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68B05E6-05A3-4038-9090-070C46F8172B}" xr6:coauthVersionLast="47" xr6:coauthVersionMax="47" xr10:uidLastSave="{00000000-0000-0000-0000-000000000000}"/>
  <bookViews>
    <workbookView xWindow="-120" yWindow="-120" windowWidth="29040" windowHeight="15720" tabRatio="575" activeTab="1" xr2:uid="{00000000-000D-0000-FFFF-FFFF00000000}"/>
  </bookViews>
  <sheets>
    <sheet name="Table" sheetId="55" r:id="rId1"/>
    <sheet name="7- PGSales" sheetId="64" r:id="rId2"/>
    <sheet name="Sheet3" sheetId="71" r:id="rId3"/>
    <sheet name="Sheet4" sheetId="72" r:id="rId4"/>
    <sheet name="Sheet5" sheetId="73" r:id="rId5"/>
    <sheet name="7-PG Sales" sheetId="65" r:id="rId6"/>
    <sheet name="7-PG Sales Summary" sheetId="68" r:id="rId7"/>
    <sheet name="Sheet2" sheetId="70" state="hidden" r:id="rId8"/>
    <sheet name="Sheet1" sheetId="69" state="hidden" r:id="rId9"/>
  </sheets>
  <externalReferences>
    <externalReference r:id="rId10"/>
    <externalReference r:id="rId11"/>
  </externalReferences>
  <definedNames>
    <definedName name="_xlnm._FilterDatabase" localSheetId="6" hidden="1">'7-PG Sales Summary'!$A$2:$B$264</definedName>
    <definedName name="a">#REF!</definedName>
    <definedName name="aa" localSheetId="5">#REF!</definedName>
    <definedName name="aa">#REF!</definedName>
    <definedName name="aaa" localSheetId="5">#REF!</definedName>
    <definedName name="aaa">#REF!</definedName>
    <definedName name="aaaaaaa">#REF!</definedName>
    <definedName name="asd">'[1]Market ( Mar) '!#REF!</definedName>
    <definedName name="atr" localSheetId="5">#REF!</definedName>
    <definedName name="atr">#REF!</definedName>
    <definedName name="b" localSheetId="5">#REF!</definedName>
    <definedName name="b">#REF!</definedName>
    <definedName name="bb" localSheetId="5">#REF!</definedName>
    <definedName name="bb">#REF!</definedName>
    <definedName name="Beg_Bal" localSheetId="5">#REF!</definedName>
    <definedName name="Beg_Bal">#REF!</definedName>
    <definedName name="Cash_Cr" localSheetId="5">#REF!</definedName>
    <definedName name="Cash_Cr">#REF!</definedName>
    <definedName name="Cash_Dr" localSheetId="5">#REF!</definedName>
    <definedName name="Cash_Dr">#REF!</definedName>
    <definedName name="cc" localSheetId="5">#REF!</definedName>
    <definedName name="cc">#REF!</definedName>
    <definedName name="ccc" localSheetId="5">#REF!</definedName>
    <definedName name="ccc">#REF!</definedName>
    <definedName name="cr" localSheetId="5">#REF!</definedName>
    <definedName name="cr">#REF!</definedName>
    <definedName name="crs" localSheetId="5">#REF!</definedName>
    <definedName name="crs">#REF!</definedName>
    <definedName name="Data" localSheetId="5">#REF!</definedName>
    <definedName name="Data">#REF!</definedName>
    <definedName name="dd" localSheetId="5">#REF!</definedName>
    <definedName name="dd">#REF!</definedName>
    <definedName name="ddd" localSheetId="5">#REF!</definedName>
    <definedName name="ddd">#REF!</definedName>
    <definedName name="dr" localSheetId="5">#REF!</definedName>
    <definedName name="dr">#REF!</definedName>
    <definedName name="drs" localSheetId="5">#REF!</definedName>
    <definedName name="drs">#REF!</definedName>
    <definedName name="End_Bal" localSheetId="5">#REF!</definedName>
    <definedName name="End_Bal">#REF!</definedName>
    <definedName name="Extra_Pay" localSheetId="5">#REF!</definedName>
    <definedName name="Extra_Pay">#REF!</definedName>
    <definedName name="fgf" localSheetId="5">#REF!</definedName>
    <definedName name="fgf">#REF!</definedName>
    <definedName name="fgjhj" localSheetId="5">#REF!</definedName>
    <definedName name="fgjhj">#REF!</definedName>
    <definedName name="Full_Print" localSheetId="5">#REF!</definedName>
    <definedName name="Full_Print">#REF!</definedName>
    <definedName name="Header_Row">ROW(#REF!)</definedName>
    <definedName name="hjj" localSheetId="5">#REF!</definedName>
    <definedName name="hjj">#REF!</definedName>
    <definedName name="hjkjk" localSheetId="5">#REF!</definedName>
    <definedName name="hjkjk">#REF!</definedName>
    <definedName name="hmjhj" localSheetId="5">#REF!</definedName>
    <definedName name="hmjhj">#REF!</definedName>
    <definedName name="Int" localSheetId="5">#REF!</definedName>
    <definedName name="Int">#REF!</definedName>
    <definedName name="Interest_Rate" localSheetId="5">#REF!</definedName>
    <definedName name="Interest_Rate">#REF!</definedName>
    <definedName name="jbkjkl" localSheetId="5">#REF!</definedName>
    <definedName name="jbkjkl">#REF!</definedName>
    <definedName name="Journal_Cr">#REF!</definedName>
    <definedName name="Journal_Dr">#REF!</definedName>
    <definedName name="kdt" localSheetId="5">#REF!</definedName>
    <definedName name="kdt">#REF!</definedName>
    <definedName name="Last_Row" localSheetId="5">IF('7-PG Sales'!Values_Entered,Header_Row+'7-PG Sales'!Number_of_Payments,Header_Row)</definedName>
    <definedName name="Last_Row" localSheetId="6">IF('7-PG Sales Summary'!Values_Entered,Header_Row+'7-PG Sales Summary'!Number_of_Payments,Header_Row)</definedName>
    <definedName name="Last_Row">IF(Values_Entered,Header_Row+Number_of_Payments,Header_Row)</definedName>
    <definedName name="Loan_Amount" localSheetId="5">#REF!</definedName>
    <definedName name="Loan_Amount">#REF!</definedName>
    <definedName name="Loan_Start" localSheetId="5">#REF!</definedName>
    <definedName name="Loan_Start">#REF!</definedName>
    <definedName name="Loan_Years" localSheetId="5">#REF!</definedName>
    <definedName name="Loan_Years">#REF!</definedName>
    <definedName name="LSO" localSheetId="5">#REF!</definedName>
    <definedName name="LSO">#REF!</definedName>
    <definedName name="lsoq" localSheetId="5">#REF!</definedName>
    <definedName name="lsoq">#REF!</definedName>
    <definedName name="mms" localSheetId="5">#REF!</definedName>
    <definedName name="mms">#REF!</definedName>
    <definedName name="neew" localSheetId="5">#REF!</definedName>
    <definedName name="neew">#REF!</definedName>
    <definedName name="New" localSheetId="5">#REF!</definedName>
    <definedName name="New">#REF!</definedName>
    <definedName name="Num_Pmt_Per_Year" localSheetId="5">#REF!</definedName>
    <definedName name="Num_Pmt_Per_Year">#REF!</definedName>
    <definedName name="Number_of_Payments" localSheetId="5">MATCH(0.01,'7-PG Sales'!End_Bal,-1)+1</definedName>
    <definedName name="Number_of_Payments" localSheetId="6">MATCH(0.01,End_Bal,-1)+1</definedName>
    <definedName name="Number_of_Payments">MATCH(0.01,End_Bal,-1)+1</definedName>
    <definedName name="Opening_Cr">#REF!</definedName>
    <definedName name="Opening_Dr" localSheetId="5">#REF!</definedName>
    <definedName name="Opening_Dr">#REF!</definedName>
    <definedName name="Pay_Date" localSheetId="5">#REF!</definedName>
    <definedName name="Pay_Date">#REF!</definedName>
    <definedName name="Pay_Num" localSheetId="5">#REF!</definedName>
    <definedName name="Pay_Num">#REF!</definedName>
    <definedName name="Payment_Date" localSheetId="5">DATE(YEAR('7-PG Sales'!Loan_Start),MONTH('7-PG Sales'!Loan_Start)+Payment_Number,DAY('7-PG Sales'!Loan_Start))</definedName>
    <definedName name="Payment_Date" localSheetId="6">DATE(YEAR(Loan_Start),MONTH(Loan_Start)+Payment_Number,DAY(Loan_Start))</definedName>
    <definedName name="Payment_Date">DATE(YEAR(Loan_Start),MONTH(Loan_Start)+Payment_Number,DAY(Loan_Start))</definedName>
    <definedName name="Princ" localSheetId="5">#REF!</definedName>
    <definedName name="Princ">#REF!</definedName>
    <definedName name="Print_Area_Reset" localSheetId="5">OFFSET('7-PG Sales'!Full_Print,0,0,'7-PG Sales'!Last_Row)</definedName>
    <definedName name="Print_Area_Reset" localSheetId="6">OFFSET(Full_Print,0,0,'7-PG Sales Summary'!Last_Row)</definedName>
    <definedName name="Print_Area_Reset">OFFSET(Full_Print,0,0,Last_Row)</definedName>
    <definedName name="_xlnm.Print_Titles" localSheetId="6">'7-PG Sales Summary'!$1:$3</definedName>
    <definedName name="s" localSheetId="5">#REF!</definedName>
    <definedName name="s">#REF!</definedName>
    <definedName name="Sched_Pay" localSheetId="5">#REF!</definedName>
    <definedName name="Sched_Pay">#REF!</definedName>
    <definedName name="Scheduled_Extra_Payments" localSheetId="5">#REF!</definedName>
    <definedName name="Scheduled_Extra_Payments">#REF!</definedName>
    <definedName name="Scheduled_Interest_Rate" localSheetId="5">#REF!</definedName>
    <definedName name="Scheduled_Interest_Rate">#REF!</definedName>
    <definedName name="Scheduled_Monthly_Payment" localSheetId="5">#REF!</definedName>
    <definedName name="Scheduled_Monthly_Payment">#REF!</definedName>
    <definedName name="smm" localSheetId="5">#REF!</definedName>
    <definedName name="smm">#REF!</definedName>
    <definedName name="smmm">'[1]Market ( Mar) '!#REF!</definedName>
    <definedName name="tdk" localSheetId="5">#REF!</definedName>
    <definedName name="tdk">#REF!</definedName>
    <definedName name="Total_Interest" localSheetId="5">#REF!</definedName>
    <definedName name="Total_Interest">#REF!</definedName>
    <definedName name="Total_Pay" localSheetId="5">#REF!</definedName>
    <definedName name="Total_Pay">#REF!</definedName>
    <definedName name="Total_Payment" localSheetId="5">Scheduled_Payment+Extra_Payment</definedName>
    <definedName name="Total_Payment" localSheetId="6">Scheduled_Payment+Extra_Payment</definedName>
    <definedName name="Total_Payment">Scheduled_Payment+Extra_Payment</definedName>
    <definedName name="TYPE1">'[2]1.2.22'!$AV$7:$AV$8</definedName>
    <definedName name="TYPE2">'[2]19.2.22'!$AV$7:$AV$9</definedName>
    <definedName name="TYPE3">'[2]20.2.22'!$AV$7:$AV$9</definedName>
    <definedName name="TYPE4">'[2]19.2.22'!$AV$7:$AV$9</definedName>
    <definedName name="Values_Entered" localSheetId="5">IF('7-PG Sales'!Loan_Amount*'7-PG Sales'!Interest_Rate*'7-PG Sales'!Loan_Years*'7-PG Sales'!Loan_Start&gt;0,1,0)</definedName>
    <definedName name="Values_Entered" localSheetId="6">IF(Loan_Amount*Interest_Rate*Loan_Years*Loan_Start&gt;0,1,0)</definedName>
    <definedName name="Values_Entered">IF(Loan_Amount*Interest_Rate*Loan_Years*Loan_Start&gt;0,1,0)</definedName>
    <definedName name="vkhfkgf" localSheetId="5">#REF!</definedName>
    <definedName name="vkhfkg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5" i="68" l="1"/>
  <c r="N226" i="68"/>
  <c r="N227" i="68"/>
  <c r="N228" i="68"/>
  <c r="N229" i="68"/>
  <c r="N230" i="68"/>
  <c r="N231" i="68"/>
  <c r="N232" i="68"/>
  <c r="N233" i="68"/>
  <c r="N234" i="68"/>
  <c r="N235" i="68"/>
  <c r="N236" i="68"/>
  <c r="C237" i="68"/>
  <c r="D237" i="68"/>
  <c r="E237" i="68"/>
  <c r="F237" i="68"/>
  <c r="G237" i="68"/>
  <c r="H237" i="68"/>
  <c r="I237" i="68"/>
  <c r="J237" i="68"/>
  <c r="K237" i="68"/>
  <c r="L237" i="68"/>
  <c r="M237" i="68"/>
  <c r="N238" i="68"/>
  <c r="N239" i="68"/>
  <c r="N240" i="68"/>
  <c r="N241" i="68"/>
  <c r="N242" i="68"/>
  <c r="N243" i="68"/>
  <c r="N244" i="68"/>
  <c r="N245" i="68"/>
  <c r="N246" i="68"/>
  <c r="N247" i="68"/>
  <c r="N248" i="68"/>
  <c r="N249" i="68"/>
  <c r="C250" i="68"/>
  <c r="D250" i="68"/>
  <c r="E250" i="68"/>
  <c r="F250" i="68"/>
  <c r="G250" i="68"/>
  <c r="H250" i="68"/>
  <c r="I250" i="68"/>
  <c r="J250" i="68"/>
  <c r="K250" i="68"/>
  <c r="L250" i="68"/>
  <c r="M250" i="68"/>
  <c r="N251" i="68"/>
  <c r="N252" i="68"/>
  <c r="N253" i="68"/>
  <c r="N254" i="68"/>
  <c r="N255" i="68"/>
  <c r="N256" i="68"/>
  <c r="N257" i="68"/>
  <c r="N258" i="68"/>
  <c r="N259" i="68"/>
  <c r="N260" i="68"/>
  <c r="N261" i="68"/>
  <c r="N262" i="68"/>
  <c r="N237" i="68" l="1"/>
  <c r="N250" i="68"/>
  <c r="L2598" i="64"/>
  <c r="R4" i="65" l="1"/>
  <c r="R5" i="65"/>
  <c r="R6" i="65"/>
  <c r="R7" i="65"/>
  <c r="R8" i="65"/>
  <c r="R9" i="65"/>
  <c r="R10" i="65"/>
  <c r="R11" i="65"/>
  <c r="R12" i="65"/>
  <c r="R13" i="65"/>
  <c r="R14" i="65"/>
  <c r="R15" i="65"/>
  <c r="R16" i="65"/>
  <c r="R17" i="65"/>
  <c r="R18" i="65"/>
  <c r="R19" i="65"/>
  <c r="R20" i="65"/>
  <c r="R21" i="65"/>
  <c r="R22" i="65"/>
  <c r="R23" i="65"/>
  <c r="R24" i="65"/>
  <c r="R25" i="65"/>
  <c r="R26" i="65"/>
  <c r="R27" i="65"/>
  <c r="R28" i="65"/>
  <c r="R29" i="65"/>
  <c r="R30" i="65"/>
  <c r="R31" i="65"/>
  <c r="R32" i="65"/>
  <c r="R33" i="65"/>
  <c r="R34" i="65"/>
  <c r="R35" i="65"/>
  <c r="R36" i="65"/>
  <c r="R37" i="65"/>
  <c r="R38" i="65"/>
  <c r="R39" i="65"/>
  <c r="R40" i="65"/>
  <c r="R41" i="65"/>
  <c r="R42" i="65"/>
  <c r="R43" i="65"/>
  <c r="R44" i="65"/>
  <c r="R45" i="65"/>
  <c r="R46" i="65"/>
  <c r="R47" i="65"/>
  <c r="R48" i="65"/>
  <c r="R49" i="65"/>
  <c r="R50" i="65"/>
  <c r="R51" i="65"/>
  <c r="R52" i="65"/>
  <c r="R53" i="65"/>
  <c r="R54" i="65"/>
  <c r="R55" i="65"/>
  <c r="R56" i="65"/>
  <c r="R57" i="65"/>
  <c r="R58" i="65"/>
  <c r="R59" i="65"/>
  <c r="R60" i="65"/>
  <c r="R61" i="65"/>
  <c r="R62" i="65"/>
  <c r="R63" i="65"/>
  <c r="R64" i="65"/>
  <c r="R65" i="65"/>
  <c r="R66" i="65"/>
  <c r="R67" i="65"/>
  <c r="R68" i="65"/>
  <c r="R69" i="65"/>
  <c r="R70" i="65"/>
  <c r="R71" i="65"/>
  <c r="R72" i="65"/>
  <c r="R73" i="65"/>
  <c r="R74" i="65"/>
  <c r="R75" i="65"/>
  <c r="R76" i="65"/>
  <c r="R77" i="65"/>
  <c r="R78" i="65"/>
  <c r="R79" i="65"/>
  <c r="R80" i="65"/>
  <c r="R81" i="65"/>
  <c r="R82" i="65"/>
  <c r="R83" i="65"/>
  <c r="R84" i="65"/>
  <c r="R85" i="65"/>
  <c r="R86" i="65"/>
  <c r="R87" i="65"/>
  <c r="R88" i="65"/>
  <c r="R89" i="65"/>
  <c r="R90" i="65"/>
  <c r="R91" i="65"/>
  <c r="R92" i="65"/>
  <c r="R93" i="65"/>
  <c r="R94" i="65"/>
  <c r="R95" i="65"/>
  <c r="R96" i="65"/>
  <c r="R97" i="65"/>
  <c r="R98" i="65"/>
  <c r="R99" i="65"/>
  <c r="R100" i="65"/>
  <c r="R101" i="65"/>
  <c r="R102" i="65"/>
  <c r="R103" i="65"/>
  <c r="R104" i="65"/>
  <c r="R105" i="65"/>
  <c r="R106" i="65"/>
  <c r="R107" i="65"/>
  <c r="R108" i="65"/>
  <c r="R109" i="65"/>
  <c r="R110" i="65"/>
  <c r="R111" i="65"/>
  <c r="R112" i="65"/>
  <c r="R113" i="65"/>
  <c r="R114" i="65"/>
  <c r="R115" i="65"/>
  <c r="R116" i="65"/>
  <c r="R117" i="65"/>
  <c r="R118" i="65"/>
  <c r="R119" i="65"/>
  <c r="R120" i="65"/>
  <c r="R121" i="65"/>
  <c r="R122" i="65"/>
  <c r="R123" i="65"/>
  <c r="R124" i="65"/>
  <c r="R125" i="65"/>
  <c r="G126" i="65"/>
  <c r="H126" i="65"/>
  <c r="I126" i="65"/>
  <c r="J126" i="65"/>
  <c r="K126" i="65"/>
  <c r="L126" i="65"/>
  <c r="M126" i="65"/>
  <c r="N126" i="65"/>
  <c r="O126" i="65"/>
  <c r="P126" i="65"/>
  <c r="Q126" i="65"/>
  <c r="F2371" i="64"/>
  <c r="R126" i="65" l="1"/>
  <c r="J263" i="68"/>
  <c r="K263" i="68"/>
  <c r="J224" i="68"/>
  <c r="K224" i="68"/>
  <c r="J211" i="68"/>
  <c r="K211" i="68"/>
  <c r="J198" i="68"/>
  <c r="K198" i="68"/>
  <c r="J185" i="68"/>
  <c r="K185" i="68"/>
  <c r="J172" i="68"/>
  <c r="K172" i="68"/>
  <c r="J159" i="68"/>
  <c r="K159" i="68"/>
  <c r="J146" i="68"/>
  <c r="K146" i="68"/>
  <c r="J133" i="68"/>
  <c r="K133" i="68"/>
  <c r="J120" i="68"/>
  <c r="K120" i="68"/>
  <c r="J107" i="68"/>
  <c r="K107" i="68"/>
  <c r="J94" i="68"/>
  <c r="K94" i="68"/>
  <c r="J81" i="68"/>
  <c r="K81" i="68"/>
  <c r="J68" i="68"/>
  <c r="K68" i="68"/>
  <c r="J55" i="68"/>
  <c r="K55" i="68"/>
  <c r="J42" i="68"/>
  <c r="K42" i="68"/>
  <c r="J29" i="68"/>
  <c r="K29" i="68"/>
  <c r="J16" i="68"/>
  <c r="K16" i="68"/>
  <c r="I16" i="68"/>
  <c r="C14" i="70"/>
  <c r="B14" i="70"/>
  <c r="J264" i="68" l="1"/>
  <c r="K264" i="68"/>
  <c r="O2609" i="64"/>
  <c r="O2608" i="64"/>
  <c r="H2273" i="64"/>
  <c r="H2274" i="64"/>
  <c r="H2275" i="64"/>
  <c r="H2276" i="64"/>
  <c r="H2277" i="64"/>
  <c r="H2278" i="64"/>
  <c r="H2279" i="64"/>
  <c r="H2280" i="64"/>
  <c r="H2281" i="64"/>
  <c r="H2282" i="64"/>
  <c r="H2283" i="64"/>
  <c r="H2284" i="64"/>
  <c r="H2285" i="64"/>
  <c r="H2286" i="64"/>
  <c r="H2287" i="64"/>
  <c r="H2288" i="64"/>
  <c r="H2289" i="64"/>
  <c r="H2290" i="64"/>
  <c r="H2291" i="64"/>
  <c r="H2292" i="64"/>
  <c r="H2293" i="64"/>
  <c r="H2294" i="64"/>
  <c r="H2295" i="64"/>
  <c r="H2296" i="64"/>
  <c r="H2297" i="64"/>
  <c r="H2298" i="64"/>
  <c r="H2299" i="64"/>
  <c r="H2300" i="64"/>
  <c r="H2301" i="64"/>
  <c r="H2302" i="64"/>
  <c r="H2303" i="64"/>
  <c r="H2304" i="64"/>
  <c r="H2305" i="64"/>
  <c r="H2306" i="64"/>
  <c r="H2307" i="64"/>
  <c r="H2308" i="64"/>
  <c r="H2309" i="64"/>
  <c r="H2310" i="64"/>
  <c r="H2311" i="64"/>
  <c r="H2312" i="64"/>
  <c r="H2313" i="64"/>
  <c r="H2314" i="64"/>
  <c r="H2315" i="64"/>
  <c r="H2316" i="64"/>
  <c r="H2317" i="64"/>
  <c r="H2318" i="64"/>
  <c r="H2319" i="64"/>
  <c r="H2320" i="64"/>
  <c r="H2321" i="64"/>
  <c r="H2322" i="64"/>
  <c r="H2323" i="64"/>
  <c r="H2324" i="64"/>
  <c r="H2325" i="64"/>
  <c r="H2326" i="64"/>
  <c r="H2327" i="64"/>
  <c r="H2328" i="64"/>
  <c r="H2329" i="64"/>
  <c r="H2330" i="64"/>
  <c r="H2331" i="64"/>
  <c r="H2332" i="64"/>
  <c r="H2333" i="64"/>
  <c r="H2334" i="64"/>
  <c r="H2335" i="64"/>
  <c r="H2336" i="64"/>
  <c r="H2337" i="64"/>
  <c r="H2338" i="64"/>
  <c r="H2339" i="64"/>
  <c r="H2340" i="64"/>
  <c r="H2341" i="64"/>
  <c r="H2342" i="64"/>
  <c r="H2343" i="64"/>
  <c r="H2344" i="64"/>
  <c r="H2345" i="64"/>
  <c r="H2346" i="64"/>
  <c r="H2347" i="64"/>
  <c r="H2348" i="64"/>
  <c r="H2349" i="64"/>
  <c r="H2350" i="64"/>
  <c r="H2351" i="64"/>
  <c r="H2352" i="64"/>
  <c r="H2353" i="64"/>
  <c r="H2354" i="64"/>
  <c r="H2355" i="64"/>
  <c r="H2356" i="64"/>
  <c r="H2357" i="64"/>
  <c r="H2358" i="64"/>
  <c r="H2359" i="64"/>
  <c r="H2360" i="64"/>
  <c r="H2361" i="64"/>
  <c r="H2362" i="64"/>
  <c r="H2363" i="64"/>
  <c r="H2364" i="64"/>
  <c r="H2365" i="64"/>
  <c r="H2366" i="64"/>
  <c r="H2367" i="64"/>
  <c r="H2368" i="64"/>
  <c r="H2369" i="64"/>
  <c r="H2370" i="64"/>
  <c r="H2371" i="64"/>
  <c r="H2372" i="64"/>
  <c r="H2373" i="64"/>
  <c r="H2374" i="64"/>
  <c r="H2375" i="64"/>
  <c r="H2376" i="64"/>
  <c r="H2377" i="64"/>
  <c r="H2378" i="64"/>
  <c r="H2379" i="64"/>
  <c r="H2380" i="64"/>
  <c r="H2381" i="64"/>
  <c r="H2382" i="64"/>
  <c r="H2383" i="64"/>
  <c r="H2384" i="64"/>
  <c r="H2385" i="64"/>
  <c r="H2386" i="64"/>
  <c r="H2387" i="64"/>
  <c r="H2388" i="64"/>
  <c r="H2389" i="64"/>
  <c r="H2390" i="64"/>
  <c r="H2391" i="64"/>
  <c r="H2392" i="64"/>
  <c r="H2393" i="64"/>
  <c r="H2394" i="64"/>
  <c r="H2395" i="64"/>
  <c r="H2396" i="64"/>
  <c r="H2397" i="64"/>
  <c r="H2398" i="64"/>
  <c r="H2399" i="64"/>
  <c r="H2400" i="64"/>
  <c r="H2401" i="64"/>
  <c r="H2402" i="64"/>
  <c r="H2403" i="64"/>
  <c r="H2404" i="64"/>
  <c r="H2405" i="64"/>
  <c r="H2406" i="64"/>
  <c r="H2407" i="64"/>
  <c r="H2408" i="64"/>
  <c r="H2409" i="64"/>
  <c r="H2410" i="64"/>
  <c r="H2411" i="64"/>
  <c r="H2412" i="64"/>
  <c r="H2413" i="64"/>
  <c r="H2414" i="64"/>
  <c r="H2415" i="64"/>
  <c r="H2416" i="64"/>
  <c r="H2417" i="64"/>
  <c r="H2418" i="64"/>
  <c r="H2419" i="64"/>
  <c r="H2420" i="64"/>
  <c r="H2421" i="64"/>
  <c r="H2422" i="64"/>
  <c r="H2423" i="64"/>
  <c r="H2424" i="64"/>
  <c r="H2425" i="64"/>
  <c r="H2426" i="64"/>
  <c r="H2427" i="64"/>
  <c r="H2428" i="64"/>
  <c r="H2429" i="64"/>
  <c r="H2430" i="64"/>
  <c r="H2431" i="64"/>
  <c r="H2432" i="64"/>
  <c r="H2433" i="64"/>
  <c r="H2434" i="64"/>
  <c r="H2435" i="64"/>
  <c r="H2436" i="64"/>
  <c r="H2437" i="64"/>
  <c r="H2438" i="64"/>
  <c r="H2439" i="64"/>
  <c r="H2440" i="64"/>
  <c r="H2441" i="64"/>
  <c r="H2442" i="64"/>
  <c r="H2443" i="64"/>
  <c r="H2444" i="64"/>
  <c r="H2445" i="64"/>
  <c r="H2446" i="64"/>
  <c r="H2447" i="64"/>
  <c r="H2448" i="64"/>
  <c r="H2449" i="64"/>
  <c r="H2450" i="64"/>
  <c r="H2451" i="64"/>
  <c r="H2452" i="64"/>
  <c r="H2453" i="64"/>
  <c r="H2454" i="64"/>
  <c r="H2455" i="64"/>
  <c r="H2456" i="64"/>
  <c r="H2457" i="64"/>
  <c r="H2458" i="64"/>
  <c r="H2459" i="64"/>
  <c r="H2460" i="64"/>
  <c r="H2461" i="64"/>
  <c r="H2462" i="64"/>
  <c r="H2463" i="64"/>
  <c r="H2464" i="64"/>
  <c r="H2465" i="64"/>
  <c r="H2466" i="64"/>
  <c r="H2467" i="64"/>
  <c r="H2468" i="64"/>
  <c r="H2469" i="64"/>
  <c r="H2470" i="64"/>
  <c r="H2471" i="64"/>
  <c r="H2472" i="64"/>
  <c r="H2473" i="64"/>
  <c r="H2474" i="64"/>
  <c r="H2475" i="64"/>
  <c r="H2476" i="64"/>
  <c r="H2477" i="64"/>
  <c r="H2478" i="64"/>
  <c r="H2479" i="64"/>
  <c r="H2480" i="64"/>
  <c r="H2481" i="64"/>
  <c r="H2482" i="64"/>
  <c r="H2483" i="64"/>
  <c r="H2484" i="64"/>
  <c r="H2485" i="64"/>
  <c r="H2486" i="64"/>
  <c r="H2487" i="64"/>
  <c r="H2488" i="64"/>
  <c r="H2489" i="64"/>
  <c r="H2490" i="64"/>
  <c r="H2491" i="64"/>
  <c r="H2492" i="64"/>
  <c r="H2493" i="64"/>
  <c r="H2494" i="64"/>
  <c r="H2495" i="64"/>
  <c r="H2496" i="64"/>
  <c r="H2497" i="64"/>
  <c r="H2498" i="64"/>
  <c r="H2499" i="64"/>
  <c r="H2500" i="64"/>
  <c r="H2501" i="64"/>
  <c r="H2502" i="64"/>
  <c r="H2503" i="64"/>
  <c r="H2504" i="64"/>
  <c r="H2505" i="64"/>
  <c r="H2506" i="64"/>
  <c r="H2507" i="64"/>
  <c r="H2508" i="64"/>
  <c r="H2509" i="64"/>
  <c r="H2510" i="64"/>
  <c r="H2511" i="64"/>
  <c r="H2512" i="64"/>
  <c r="H2513" i="64"/>
  <c r="H2514" i="64"/>
  <c r="H2515" i="64"/>
  <c r="H2516" i="64"/>
  <c r="H2517" i="64"/>
  <c r="H2518" i="64"/>
  <c r="H2519" i="64"/>
  <c r="H2520" i="64"/>
  <c r="H2521" i="64"/>
  <c r="H2522" i="64"/>
  <c r="H2523" i="64"/>
  <c r="H2524" i="64"/>
  <c r="H2525" i="64"/>
  <c r="H2526" i="64"/>
  <c r="H2527" i="64"/>
  <c r="H2528" i="64"/>
  <c r="H2529" i="64"/>
  <c r="H2530" i="64"/>
  <c r="H2531" i="64"/>
  <c r="H2532" i="64"/>
  <c r="H2533" i="64"/>
  <c r="H2534" i="64"/>
  <c r="H2535" i="64"/>
  <c r="H2536" i="64"/>
  <c r="H2537" i="64"/>
  <c r="H2538" i="64"/>
  <c r="H2539" i="64"/>
  <c r="H2540" i="64"/>
  <c r="H2541" i="64"/>
  <c r="H2542" i="64"/>
  <c r="H2543" i="64"/>
  <c r="H2544" i="64"/>
  <c r="H2545" i="64"/>
  <c r="H2546" i="64"/>
  <c r="H2547" i="64"/>
  <c r="H2548" i="64"/>
  <c r="H2549" i="64"/>
  <c r="H2550" i="64"/>
  <c r="H2551" i="64"/>
  <c r="H2552" i="64"/>
  <c r="H2553" i="64"/>
  <c r="H2554" i="64"/>
  <c r="H2555" i="64"/>
  <c r="H2556" i="64"/>
  <c r="H2557" i="64"/>
  <c r="H2558" i="64"/>
  <c r="H2559" i="64"/>
  <c r="H2560" i="64"/>
  <c r="H2561" i="64"/>
  <c r="H2562" i="64"/>
  <c r="H2563" i="64"/>
  <c r="H2564" i="64"/>
  <c r="H2565" i="64"/>
  <c r="H2566" i="64"/>
  <c r="H2567" i="64"/>
  <c r="H2568" i="64"/>
  <c r="H2569" i="64"/>
  <c r="H2570" i="64"/>
  <c r="H2571" i="64"/>
  <c r="H2572" i="64"/>
  <c r="H2573" i="64"/>
  <c r="H2574" i="64"/>
  <c r="H2575" i="64"/>
  <c r="H2576" i="64"/>
  <c r="H2577" i="64"/>
  <c r="G2273" i="64"/>
  <c r="G2274" i="64"/>
  <c r="G2275" i="64"/>
  <c r="G2276" i="64"/>
  <c r="G2277" i="64"/>
  <c r="G2278" i="64"/>
  <c r="G2279" i="64"/>
  <c r="G2280" i="64"/>
  <c r="G2281" i="64"/>
  <c r="G2282" i="64"/>
  <c r="G2283" i="64"/>
  <c r="G2284" i="64"/>
  <c r="G2285" i="64"/>
  <c r="G2286" i="64"/>
  <c r="G2287" i="64"/>
  <c r="G2288" i="64"/>
  <c r="G2289" i="64"/>
  <c r="G2290" i="64"/>
  <c r="G2291" i="64"/>
  <c r="G2292" i="64"/>
  <c r="G2293" i="64"/>
  <c r="G2294" i="64"/>
  <c r="G2295" i="64"/>
  <c r="G2296" i="64"/>
  <c r="G2297" i="64"/>
  <c r="G2298" i="64"/>
  <c r="G2299" i="64"/>
  <c r="G2300" i="64"/>
  <c r="G2301" i="64"/>
  <c r="G2302" i="64"/>
  <c r="G2303" i="64"/>
  <c r="G2304" i="64"/>
  <c r="G2305" i="64"/>
  <c r="G2306" i="64"/>
  <c r="G2307" i="64"/>
  <c r="G2308" i="64"/>
  <c r="G2309" i="64"/>
  <c r="G2310" i="64"/>
  <c r="G2311" i="64"/>
  <c r="G2312" i="64"/>
  <c r="G2313" i="64"/>
  <c r="G2314" i="64"/>
  <c r="G2315" i="64"/>
  <c r="G2316" i="64"/>
  <c r="G2317" i="64"/>
  <c r="G2318" i="64"/>
  <c r="G2319" i="64"/>
  <c r="G2320" i="64"/>
  <c r="G2321" i="64"/>
  <c r="G2322" i="64"/>
  <c r="G2323" i="64"/>
  <c r="G2324" i="64"/>
  <c r="G2325" i="64"/>
  <c r="G2326" i="64"/>
  <c r="G2327" i="64"/>
  <c r="G2328" i="64"/>
  <c r="G2329" i="64"/>
  <c r="G2330" i="64"/>
  <c r="G2331" i="64"/>
  <c r="G2332" i="64"/>
  <c r="G2333" i="64"/>
  <c r="G2334" i="64"/>
  <c r="G2335" i="64"/>
  <c r="G2336" i="64"/>
  <c r="G2337" i="64"/>
  <c r="G2338" i="64"/>
  <c r="G2339" i="64"/>
  <c r="G2340" i="64"/>
  <c r="G2341" i="64"/>
  <c r="G2342" i="64"/>
  <c r="G2343" i="64"/>
  <c r="G2344" i="64"/>
  <c r="G2345" i="64"/>
  <c r="G2346" i="64"/>
  <c r="G2347" i="64"/>
  <c r="G2348" i="64"/>
  <c r="G2349" i="64"/>
  <c r="G2350" i="64"/>
  <c r="G2351" i="64"/>
  <c r="G2352" i="64"/>
  <c r="G2353" i="64"/>
  <c r="G2354" i="64"/>
  <c r="G2355" i="64"/>
  <c r="G2356" i="64"/>
  <c r="G2357" i="64"/>
  <c r="G2358" i="64"/>
  <c r="G2359" i="64"/>
  <c r="G2360" i="64"/>
  <c r="G2361" i="64"/>
  <c r="G2362" i="64"/>
  <c r="G2363" i="64"/>
  <c r="G2364" i="64"/>
  <c r="G2365" i="64"/>
  <c r="G2366" i="64"/>
  <c r="G2367" i="64"/>
  <c r="G2368" i="64"/>
  <c r="G2369" i="64"/>
  <c r="G2370" i="64"/>
  <c r="G2371" i="64"/>
  <c r="G2372" i="64"/>
  <c r="G2373" i="64"/>
  <c r="G2374" i="64"/>
  <c r="G2375" i="64"/>
  <c r="G2376" i="64"/>
  <c r="G2377" i="64"/>
  <c r="G2378" i="64"/>
  <c r="G2379" i="64"/>
  <c r="G2380" i="64"/>
  <c r="G2381" i="64"/>
  <c r="G2382" i="64"/>
  <c r="G2383" i="64"/>
  <c r="G2384" i="64"/>
  <c r="G2385" i="64"/>
  <c r="G2386" i="64"/>
  <c r="G2387" i="64"/>
  <c r="G2388" i="64"/>
  <c r="G2389" i="64"/>
  <c r="G2390" i="64"/>
  <c r="G2391" i="64"/>
  <c r="G2392" i="64"/>
  <c r="G2393" i="64"/>
  <c r="G2394" i="64"/>
  <c r="G2395" i="64"/>
  <c r="G2396" i="64"/>
  <c r="G2397" i="64"/>
  <c r="G2398" i="64"/>
  <c r="G2399" i="64"/>
  <c r="G2400" i="64"/>
  <c r="G2401" i="64"/>
  <c r="G2402" i="64"/>
  <c r="G2403" i="64"/>
  <c r="G2404" i="64"/>
  <c r="G2405" i="64"/>
  <c r="G2406" i="64"/>
  <c r="G2407" i="64"/>
  <c r="G2408" i="64"/>
  <c r="G2409" i="64"/>
  <c r="G2410" i="64"/>
  <c r="G2411" i="64"/>
  <c r="G2412" i="64"/>
  <c r="G2413" i="64"/>
  <c r="G2414" i="64"/>
  <c r="G2415" i="64"/>
  <c r="G2416" i="64"/>
  <c r="G2417" i="64"/>
  <c r="G2418" i="64"/>
  <c r="G2419" i="64"/>
  <c r="G2420" i="64"/>
  <c r="G2421" i="64"/>
  <c r="G2422" i="64"/>
  <c r="G2423" i="64"/>
  <c r="G2424" i="64"/>
  <c r="G2425" i="64"/>
  <c r="G2426" i="64"/>
  <c r="G2427" i="64"/>
  <c r="G2428" i="64"/>
  <c r="G2429" i="64"/>
  <c r="G2430" i="64"/>
  <c r="G2431" i="64"/>
  <c r="G2432" i="64"/>
  <c r="G2433" i="64"/>
  <c r="G2434" i="64"/>
  <c r="G2435" i="64"/>
  <c r="G2436" i="64"/>
  <c r="G2437" i="64"/>
  <c r="G2438" i="64"/>
  <c r="G2439" i="64"/>
  <c r="G2440" i="64"/>
  <c r="G2441" i="64"/>
  <c r="G2442" i="64"/>
  <c r="G2443" i="64"/>
  <c r="G2444" i="64"/>
  <c r="G2445" i="64"/>
  <c r="G2446" i="64"/>
  <c r="G2447" i="64"/>
  <c r="G2448" i="64"/>
  <c r="G2449" i="64"/>
  <c r="G2450" i="64"/>
  <c r="G2451" i="64"/>
  <c r="G2452" i="64"/>
  <c r="G2453" i="64"/>
  <c r="G2454" i="64"/>
  <c r="G2455" i="64"/>
  <c r="G2456" i="64"/>
  <c r="G2457" i="64"/>
  <c r="G2458" i="64"/>
  <c r="G2459" i="64"/>
  <c r="G2460" i="64"/>
  <c r="G2461" i="64"/>
  <c r="G2462" i="64"/>
  <c r="G2463" i="64"/>
  <c r="G2464" i="64"/>
  <c r="G2465" i="64"/>
  <c r="G2466" i="64"/>
  <c r="G2467" i="64"/>
  <c r="G2468" i="64"/>
  <c r="G2469" i="64"/>
  <c r="G2470" i="64"/>
  <c r="G2471" i="64"/>
  <c r="G2472" i="64"/>
  <c r="G2473" i="64"/>
  <c r="G2474" i="64"/>
  <c r="G2475" i="64"/>
  <c r="G2476" i="64"/>
  <c r="G2477" i="64"/>
  <c r="G2478" i="64"/>
  <c r="G2479" i="64"/>
  <c r="G2480" i="64"/>
  <c r="G2481" i="64"/>
  <c r="G2482" i="64"/>
  <c r="G2483" i="64"/>
  <c r="G2484" i="64"/>
  <c r="G2485" i="64"/>
  <c r="G2486" i="64"/>
  <c r="G2487" i="64"/>
  <c r="G2488" i="64"/>
  <c r="G2489" i="64"/>
  <c r="G2490" i="64"/>
  <c r="G2491" i="64"/>
  <c r="G2492" i="64"/>
  <c r="G2493" i="64"/>
  <c r="G2494" i="64"/>
  <c r="G2495" i="64"/>
  <c r="G2496" i="64"/>
  <c r="G2497" i="64"/>
  <c r="G2498" i="64"/>
  <c r="G2499" i="64"/>
  <c r="G2500" i="64"/>
  <c r="G2501" i="64"/>
  <c r="G2502" i="64"/>
  <c r="G2503" i="64"/>
  <c r="G2504" i="64"/>
  <c r="G2505" i="64"/>
  <c r="G2506" i="64"/>
  <c r="G2507" i="64"/>
  <c r="G2508" i="64"/>
  <c r="G2509" i="64"/>
  <c r="G2510" i="64"/>
  <c r="G2511" i="64"/>
  <c r="G2512" i="64"/>
  <c r="G2513" i="64"/>
  <c r="G2514" i="64"/>
  <c r="G2515" i="64"/>
  <c r="G2516" i="64"/>
  <c r="G2517" i="64"/>
  <c r="G2518" i="64"/>
  <c r="G2519" i="64"/>
  <c r="G2520" i="64"/>
  <c r="G2521" i="64"/>
  <c r="G2522" i="64"/>
  <c r="G2523" i="64"/>
  <c r="G2524" i="64"/>
  <c r="G2525" i="64"/>
  <c r="G2526" i="64"/>
  <c r="G2527" i="64"/>
  <c r="G2528" i="64"/>
  <c r="G2529" i="64"/>
  <c r="G2530" i="64"/>
  <c r="G2531" i="64"/>
  <c r="G2532" i="64"/>
  <c r="G2533" i="64"/>
  <c r="G2534" i="64"/>
  <c r="G2535" i="64"/>
  <c r="G2536" i="64"/>
  <c r="G2537" i="64"/>
  <c r="G2538" i="64"/>
  <c r="G2539" i="64"/>
  <c r="G2540" i="64"/>
  <c r="G2541" i="64"/>
  <c r="G2542" i="64"/>
  <c r="G2543" i="64"/>
  <c r="G2544" i="64"/>
  <c r="G2545" i="64"/>
  <c r="G2546" i="64"/>
  <c r="G2547" i="64"/>
  <c r="G2548" i="64"/>
  <c r="G2549" i="64"/>
  <c r="G2550" i="64"/>
  <c r="G2551" i="64"/>
  <c r="G2552" i="64"/>
  <c r="G2553" i="64"/>
  <c r="G2554" i="64"/>
  <c r="G2555" i="64"/>
  <c r="G2556" i="64"/>
  <c r="G2557" i="64"/>
  <c r="G2558" i="64"/>
  <c r="G2559" i="64"/>
  <c r="G2560" i="64"/>
  <c r="G2561" i="64"/>
  <c r="G2562" i="64"/>
  <c r="G2563" i="64"/>
  <c r="G2564" i="64"/>
  <c r="G2565" i="64"/>
  <c r="G2566" i="64"/>
  <c r="G2567" i="64"/>
  <c r="G2568" i="64"/>
  <c r="G2569" i="64"/>
  <c r="G2570" i="64"/>
  <c r="G2571" i="64"/>
  <c r="G2572" i="64"/>
  <c r="G2573" i="64"/>
  <c r="G2574" i="64"/>
  <c r="G2575" i="64"/>
  <c r="G2576" i="64"/>
  <c r="G2577" i="64"/>
  <c r="F2273" i="64"/>
  <c r="F2274" i="64"/>
  <c r="F2275" i="64"/>
  <c r="F2276" i="64"/>
  <c r="F2277" i="64"/>
  <c r="F2278" i="64"/>
  <c r="F2279" i="64"/>
  <c r="F2280" i="64"/>
  <c r="F2281" i="64"/>
  <c r="F2282" i="64"/>
  <c r="F2283" i="64"/>
  <c r="F2284" i="64"/>
  <c r="F2285" i="64"/>
  <c r="F2286" i="64"/>
  <c r="F2287" i="64"/>
  <c r="F2288" i="64"/>
  <c r="F2289" i="64"/>
  <c r="F2290" i="64"/>
  <c r="F2291" i="64"/>
  <c r="F2292" i="64"/>
  <c r="F2293" i="64"/>
  <c r="F2294" i="64"/>
  <c r="F2295" i="64"/>
  <c r="F2296" i="64"/>
  <c r="F2297" i="64"/>
  <c r="F2298" i="64"/>
  <c r="F2299" i="64"/>
  <c r="F2300" i="64"/>
  <c r="F2301" i="64"/>
  <c r="F2302" i="64"/>
  <c r="F2303" i="64"/>
  <c r="F2304" i="64"/>
  <c r="F2305" i="64"/>
  <c r="F2306" i="64"/>
  <c r="F2307" i="64"/>
  <c r="F2308" i="64"/>
  <c r="F2309" i="64"/>
  <c r="F2310" i="64"/>
  <c r="F2311" i="64"/>
  <c r="F2312" i="64"/>
  <c r="F2313" i="64"/>
  <c r="F2314" i="64"/>
  <c r="F2315" i="64"/>
  <c r="F2316" i="64"/>
  <c r="F2317" i="64"/>
  <c r="F2318" i="64"/>
  <c r="F2319" i="64"/>
  <c r="F2320" i="64"/>
  <c r="F2321" i="64"/>
  <c r="F2322" i="64"/>
  <c r="F2323" i="64"/>
  <c r="F2324" i="64"/>
  <c r="F2325" i="64"/>
  <c r="F2326" i="64"/>
  <c r="F2327" i="64"/>
  <c r="F2328" i="64"/>
  <c r="F2329" i="64"/>
  <c r="F2330" i="64"/>
  <c r="F2331" i="64"/>
  <c r="F2332" i="64"/>
  <c r="F2333" i="64"/>
  <c r="F2334" i="64"/>
  <c r="F2335" i="64"/>
  <c r="F2336" i="64"/>
  <c r="F2337" i="64"/>
  <c r="F2338" i="64"/>
  <c r="F2339" i="64"/>
  <c r="F2340" i="64"/>
  <c r="F2341" i="64"/>
  <c r="F2342" i="64"/>
  <c r="F2343" i="64"/>
  <c r="F2344" i="64"/>
  <c r="F2345" i="64"/>
  <c r="F2346" i="64"/>
  <c r="F2347" i="64"/>
  <c r="F2348" i="64"/>
  <c r="F2349" i="64"/>
  <c r="F2350" i="64"/>
  <c r="F2351" i="64"/>
  <c r="F2352" i="64"/>
  <c r="F2353" i="64"/>
  <c r="F2354" i="64"/>
  <c r="F2355" i="64"/>
  <c r="F2356" i="64"/>
  <c r="F2357" i="64"/>
  <c r="F2358" i="64"/>
  <c r="F2359" i="64"/>
  <c r="F2360" i="64"/>
  <c r="F2361" i="64"/>
  <c r="F2362" i="64"/>
  <c r="F2363" i="64"/>
  <c r="F2364" i="64"/>
  <c r="F2365" i="64"/>
  <c r="F2366" i="64"/>
  <c r="F2367" i="64"/>
  <c r="F2368" i="64"/>
  <c r="F2369" i="64"/>
  <c r="F2370" i="64"/>
  <c r="F2372" i="64"/>
  <c r="F2373" i="64"/>
  <c r="F2374" i="64"/>
  <c r="F2375" i="64"/>
  <c r="F2376" i="64"/>
  <c r="F2377" i="64"/>
  <c r="F2378" i="64"/>
  <c r="F2379" i="64"/>
  <c r="F2380" i="64"/>
  <c r="F2381" i="64"/>
  <c r="F2382" i="64"/>
  <c r="F2383" i="64"/>
  <c r="F2384" i="64"/>
  <c r="F2385" i="64"/>
  <c r="F2386" i="64"/>
  <c r="F2387" i="64"/>
  <c r="F2388" i="64"/>
  <c r="F2389" i="64"/>
  <c r="F2390" i="64"/>
  <c r="F2391" i="64"/>
  <c r="F2392" i="64"/>
  <c r="F2393" i="64"/>
  <c r="F2394" i="64"/>
  <c r="F2395" i="64"/>
  <c r="F2396" i="64"/>
  <c r="F2397" i="64"/>
  <c r="F2398" i="64"/>
  <c r="F2399" i="64"/>
  <c r="F2400" i="64"/>
  <c r="F2401" i="64"/>
  <c r="F2402" i="64"/>
  <c r="F2403" i="64"/>
  <c r="F2404" i="64"/>
  <c r="F2405" i="64"/>
  <c r="F2406" i="64"/>
  <c r="F2407" i="64"/>
  <c r="F2408" i="64"/>
  <c r="F2409" i="64"/>
  <c r="F2410" i="64"/>
  <c r="F2411" i="64"/>
  <c r="F2412" i="64"/>
  <c r="F2413" i="64"/>
  <c r="F2414" i="64"/>
  <c r="F2415" i="64"/>
  <c r="F2416" i="64"/>
  <c r="F2417" i="64"/>
  <c r="F2418" i="64"/>
  <c r="F2419" i="64"/>
  <c r="F2420" i="64"/>
  <c r="F2421" i="64"/>
  <c r="F2422" i="64"/>
  <c r="F2423" i="64"/>
  <c r="F2424" i="64"/>
  <c r="F2425" i="64"/>
  <c r="F2426" i="64"/>
  <c r="F2427" i="64"/>
  <c r="F2428" i="64"/>
  <c r="F2429" i="64"/>
  <c r="F2430" i="64"/>
  <c r="F2431" i="64"/>
  <c r="F2432" i="64"/>
  <c r="F2433" i="64"/>
  <c r="F2434" i="64"/>
  <c r="F2435" i="64"/>
  <c r="F2436" i="64"/>
  <c r="F2437" i="64"/>
  <c r="F2438" i="64"/>
  <c r="F2439" i="64"/>
  <c r="F2440" i="64"/>
  <c r="F2441" i="64"/>
  <c r="F2442" i="64"/>
  <c r="F2443" i="64"/>
  <c r="F2444" i="64"/>
  <c r="F2445" i="64"/>
  <c r="F2446" i="64"/>
  <c r="F2447" i="64"/>
  <c r="F2448" i="64"/>
  <c r="F2449" i="64"/>
  <c r="F2450" i="64"/>
  <c r="F2451" i="64"/>
  <c r="F2452" i="64"/>
  <c r="F2453" i="64"/>
  <c r="F2454" i="64"/>
  <c r="F2455" i="64"/>
  <c r="F2456" i="64"/>
  <c r="F2457" i="64"/>
  <c r="F2458" i="64"/>
  <c r="F2459" i="64"/>
  <c r="F2460" i="64"/>
  <c r="F2461" i="64"/>
  <c r="F2462" i="64"/>
  <c r="F2463" i="64"/>
  <c r="F2464" i="64"/>
  <c r="F2465" i="64"/>
  <c r="F2466" i="64"/>
  <c r="F2467" i="64"/>
  <c r="F2468" i="64"/>
  <c r="F2469" i="64"/>
  <c r="F2470" i="64"/>
  <c r="F2471" i="64"/>
  <c r="F2472" i="64"/>
  <c r="F2473" i="64"/>
  <c r="F2474" i="64"/>
  <c r="F2475" i="64"/>
  <c r="F2476" i="64"/>
  <c r="F2477" i="64"/>
  <c r="F2478" i="64"/>
  <c r="F2479" i="64"/>
  <c r="F2480" i="64"/>
  <c r="F2481" i="64"/>
  <c r="F2482" i="64"/>
  <c r="F2483" i="64"/>
  <c r="F2484" i="64"/>
  <c r="F2485" i="64"/>
  <c r="F2486" i="64"/>
  <c r="F2487" i="64"/>
  <c r="F2488" i="64"/>
  <c r="F2489" i="64"/>
  <c r="F2490" i="64"/>
  <c r="F2491" i="64"/>
  <c r="F2492" i="64"/>
  <c r="F2493" i="64"/>
  <c r="F2494" i="64"/>
  <c r="F2495" i="64"/>
  <c r="F2496" i="64"/>
  <c r="F2497" i="64"/>
  <c r="F2498" i="64"/>
  <c r="F2499" i="64"/>
  <c r="F2500" i="64"/>
  <c r="F2501" i="64"/>
  <c r="F2502" i="64"/>
  <c r="F2503" i="64"/>
  <c r="F2504" i="64"/>
  <c r="F2505" i="64"/>
  <c r="F2506" i="64"/>
  <c r="F2507" i="64"/>
  <c r="F2508" i="64"/>
  <c r="F2509" i="64"/>
  <c r="F2510" i="64"/>
  <c r="F2511" i="64"/>
  <c r="F2512" i="64"/>
  <c r="F2513" i="64"/>
  <c r="F2514" i="64"/>
  <c r="F2515" i="64"/>
  <c r="F2516" i="64"/>
  <c r="F2517" i="64"/>
  <c r="F2518" i="64"/>
  <c r="F2519" i="64"/>
  <c r="F2520" i="64"/>
  <c r="F2521" i="64"/>
  <c r="F2522" i="64"/>
  <c r="F2523" i="64"/>
  <c r="F2524" i="64"/>
  <c r="F2525" i="64"/>
  <c r="F2526" i="64"/>
  <c r="F2527" i="64"/>
  <c r="F2528" i="64"/>
  <c r="F2529" i="64"/>
  <c r="F2530" i="64"/>
  <c r="F2531" i="64"/>
  <c r="F2532" i="64"/>
  <c r="F2533" i="64"/>
  <c r="F2534" i="64"/>
  <c r="F2535" i="64"/>
  <c r="F2536" i="64"/>
  <c r="F2537" i="64"/>
  <c r="F2538" i="64"/>
  <c r="F2539" i="64"/>
  <c r="F2540" i="64"/>
  <c r="F2541" i="64"/>
  <c r="F2542" i="64"/>
  <c r="F2543" i="64"/>
  <c r="F2544" i="64"/>
  <c r="F2545" i="64"/>
  <c r="F2546" i="64"/>
  <c r="F2547" i="64"/>
  <c r="F2548" i="64"/>
  <c r="F2549" i="64"/>
  <c r="F2550" i="64"/>
  <c r="F2551" i="64"/>
  <c r="F2552" i="64"/>
  <c r="F2553" i="64"/>
  <c r="F2554" i="64"/>
  <c r="F2555" i="64"/>
  <c r="F2556" i="64"/>
  <c r="F2557" i="64"/>
  <c r="F2558" i="64"/>
  <c r="F2559" i="64"/>
  <c r="F2560" i="64"/>
  <c r="F2561" i="64"/>
  <c r="F2562" i="64"/>
  <c r="F2563" i="64"/>
  <c r="F2564" i="64"/>
  <c r="F2565" i="64"/>
  <c r="F2566" i="64"/>
  <c r="F2567" i="64"/>
  <c r="F2568" i="64"/>
  <c r="F2569" i="64"/>
  <c r="F2570" i="64"/>
  <c r="F2571" i="64"/>
  <c r="F2572" i="64"/>
  <c r="F2573" i="64"/>
  <c r="F2574" i="64"/>
  <c r="F2575" i="64"/>
  <c r="F2576" i="64"/>
  <c r="F2577" i="64"/>
  <c r="A2273" i="64"/>
  <c r="A2274" i="64"/>
  <c r="A2275" i="64"/>
  <c r="A2276" i="64"/>
  <c r="A2277" i="64"/>
  <c r="A2278" i="64"/>
  <c r="A2279" i="64"/>
  <c r="A2280" i="64"/>
  <c r="A2281" i="64"/>
  <c r="A2282" i="64"/>
  <c r="A2283" i="64"/>
  <c r="A2284" i="64"/>
  <c r="A2285" i="64"/>
  <c r="A2286" i="64"/>
  <c r="A2287" i="64"/>
  <c r="A2288" i="64"/>
  <c r="A2289" i="64"/>
  <c r="B2273" i="64"/>
  <c r="B2274" i="64"/>
  <c r="B2275" i="64"/>
  <c r="B2276" i="64"/>
  <c r="B2277" i="64"/>
  <c r="B2278" i="64"/>
  <c r="B2279" i="64"/>
  <c r="B2280" i="64"/>
  <c r="B2281" i="64"/>
  <c r="B2282" i="64"/>
  <c r="B2283" i="64"/>
  <c r="B2284" i="64"/>
  <c r="B2285" i="64"/>
  <c r="B2286" i="64"/>
  <c r="B2287" i="64"/>
  <c r="B2288" i="64"/>
  <c r="B2289" i="64"/>
  <c r="J2273" i="64"/>
  <c r="J2274" i="64"/>
  <c r="J2275" i="64"/>
  <c r="J2276" i="64"/>
  <c r="J2277" i="64"/>
  <c r="J2278" i="64"/>
  <c r="J2279" i="64"/>
  <c r="J2280" i="64"/>
  <c r="J2281" i="64"/>
  <c r="J2282" i="64"/>
  <c r="J2283" i="64"/>
  <c r="J2284" i="64"/>
  <c r="J2285" i="64"/>
  <c r="J2286" i="64"/>
  <c r="J2287" i="64"/>
  <c r="J2288" i="64"/>
  <c r="J2289" i="64"/>
  <c r="K2273" i="64"/>
  <c r="K2274" i="64"/>
  <c r="K2275" i="64"/>
  <c r="K2276" i="64"/>
  <c r="K2277" i="64"/>
  <c r="K2278" i="64"/>
  <c r="K2279" i="64"/>
  <c r="K2280" i="64"/>
  <c r="K2281" i="64"/>
  <c r="K2282" i="64"/>
  <c r="K2283" i="64"/>
  <c r="K2284" i="64"/>
  <c r="K2285" i="64"/>
  <c r="K2286" i="64"/>
  <c r="K2287" i="64"/>
  <c r="K2288" i="64"/>
  <c r="K2289" i="64"/>
  <c r="M2273" i="64"/>
  <c r="N2273" i="64" s="1"/>
  <c r="M2274" i="64"/>
  <c r="N2274" i="64" s="1"/>
  <c r="M2275" i="64"/>
  <c r="N2275" i="64" s="1"/>
  <c r="M2276" i="64"/>
  <c r="N2276" i="64" s="1"/>
  <c r="M2277" i="64"/>
  <c r="N2277" i="64" s="1"/>
  <c r="M2278" i="64"/>
  <c r="N2278" i="64" s="1"/>
  <c r="M2279" i="64"/>
  <c r="N2279" i="64" s="1"/>
  <c r="M2280" i="64"/>
  <c r="N2280" i="64" s="1"/>
  <c r="M2281" i="64"/>
  <c r="N2281" i="64" s="1"/>
  <c r="M2282" i="64"/>
  <c r="N2282" i="64" s="1"/>
  <c r="M2283" i="64"/>
  <c r="N2283" i="64" s="1"/>
  <c r="M2284" i="64"/>
  <c r="N2284" i="64" s="1"/>
  <c r="M2285" i="64"/>
  <c r="N2285" i="64" s="1"/>
  <c r="M2286" i="64"/>
  <c r="N2286" i="64" s="1"/>
  <c r="M2287" i="64"/>
  <c r="N2287" i="64" s="1"/>
  <c r="M2288" i="64"/>
  <c r="N2288" i="64" s="1"/>
  <c r="M2289" i="64"/>
  <c r="N2289" i="64" s="1"/>
  <c r="A2290" i="64"/>
  <c r="A2291" i="64"/>
  <c r="A2292" i="64"/>
  <c r="A2293" i="64"/>
  <c r="A2294" i="64"/>
  <c r="A2295" i="64"/>
  <c r="A2296" i="64"/>
  <c r="A2297" i="64"/>
  <c r="A2298" i="64"/>
  <c r="A2299" i="64"/>
  <c r="A2300" i="64"/>
  <c r="A2301" i="64"/>
  <c r="A2302" i="64"/>
  <c r="A2303" i="64"/>
  <c r="A2304" i="64"/>
  <c r="A2305" i="64"/>
  <c r="A2306" i="64"/>
  <c r="B2290" i="64"/>
  <c r="B2291" i="64"/>
  <c r="B2292" i="64"/>
  <c r="B2293" i="64"/>
  <c r="B2294" i="64"/>
  <c r="B2295" i="64"/>
  <c r="B2296" i="64"/>
  <c r="B2297" i="64"/>
  <c r="B2298" i="64"/>
  <c r="B2299" i="64"/>
  <c r="B2300" i="64"/>
  <c r="B2301" i="64"/>
  <c r="B2302" i="64"/>
  <c r="B2303" i="64"/>
  <c r="B2304" i="64"/>
  <c r="B2305" i="64"/>
  <c r="B2306" i="64"/>
  <c r="J2290" i="64"/>
  <c r="J2291" i="64"/>
  <c r="J2292" i="64"/>
  <c r="J2293" i="64"/>
  <c r="J2294" i="64"/>
  <c r="J2295" i="64"/>
  <c r="J2296" i="64"/>
  <c r="J2297" i="64"/>
  <c r="J2298" i="64"/>
  <c r="J2299" i="64"/>
  <c r="J2300" i="64"/>
  <c r="J2301" i="64"/>
  <c r="J2302" i="64"/>
  <c r="J2303" i="64"/>
  <c r="J2304" i="64"/>
  <c r="J2305" i="64"/>
  <c r="J2306" i="64"/>
  <c r="K2290" i="64"/>
  <c r="K2291" i="64"/>
  <c r="K2292" i="64"/>
  <c r="K2293" i="64"/>
  <c r="K2294" i="64"/>
  <c r="K2295" i="64"/>
  <c r="K2296" i="64"/>
  <c r="K2297" i="64"/>
  <c r="K2298" i="64"/>
  <c r="K2299" i="64"/>
  <c r="K2300" i="64"/>
  <c r="K2301" i="64"/>
  <c r="K2302" i="64"/>
  <c r="K2303" i="64"/>
  <c r="K2304" i="64"/>
  <c r="K2305" i="64"/>
  <c r="K2306" i="64"/>
  <c r="M2290" i="64"/>
  <c r="N2290" i="64" s="1"/>
  <c r="M2291" i="64"/>
  <c r="N2291" i="64" s="1"/>
  <c r="M2292" i="64"/>
  <c r="N2292" i="64" s="1"/>
  <c r="M2293" i="64"/>
  <c r="N2293" i="64" s="1"/>
  <c r="M2294" i="64"/>
  <c r="N2294" i="64" s="1"/>
  <c r="M2295" i="64"/>
  <c r="N2295" i="64" s="1"/>
  <c r="M2296" i="64"/>
  <c r="N2296" i="64" s="1"/>
  <c r="M2297" i="64"/>
  <c r="N2297" i="64" s="1"/>
  <c r="M2298" i="64"/>
  <c r="N2298" i="64" s="1"/>
  <c r="M2299" i="64"/>
  <c r="N2299" i="64" s="1"/>
  <c r="M2300" i="64"/>
  <c r="N2300" i="64" s="1"/>
  <c r="M2301" i="64"/>
  <c r="N2301" i="64" s="1"/>
  <c r="M2302" i="64"/>
  <c r="N2302" i="64" s="1"/>
  <c r="M2303" i="64"/>
  <c r="N2303" i="64" s="1"/>
  <c r="M2304" i="64"/>
  <c r="N2304" i="64" s="1"/>
  <c r="M2305" i="64"/>
  <c r="N2305" i="64" s="1"/>
  <c r="M2306" i="64"/>
  <c r="N2306" i="64" s="1"/>
  <c r="A2307" i="64"/>
  <c r="A2308" i="64"/>
  <c r="A2309" i="64"/>
  <c r="A2310" i="64"/>
  <c r="A2311" i="64"/>
  <c r="A2312" i="64"/>
  <c r="A2313" i="64"/>
  <c r="A2314" i="64"/>
  <c r="A2315" i="64"/>
  <c r="A2316" i="64"/>
  <c r="A2317" i="64"/>
  <c r="A2318" i="64"/>
  <c r="A2319" i="64"/>
  <c r="A2320" i="64"/>
  <c r="A2321" i="64"/>
  <c r="A2322" i="64"/>
  <c r="A2323" i="64"/>
  <c r="B2307" i="64"/>
  <c r="B2308" i="64"/>
  <c r="B2309" i="64"/>
  <c r="B2310" i="64"/>
  <c r="B2311" i="64"/>
  <c r="B2312" i="64"/>
  <c r="B2313" i="64"/>
  <c r="B2314" i="64"/>
  <c r="B2315" i="64"/>
  <c r="B2316" i="64"/>
  <c r="B2317" i="64"/>
  <c r="B2318" i="64"/>
  <c r="B2319" i="64"/>
  <c r="B2320" i="64"/>
  <c r="B2321" i="64"/>
  <c r="B2322" i="64"/>
  <c r="B2323" i="64"/>
  <c r="J2307" i="64"/>
  <c r="J2308" i="64"/>
  <c r="J2309" i="64"/>
  <c r="J2310" i="64"/>
  <c r="J2311" i="64"/>
  <c r="J2312" i="64"/>
  <c r="J2313" i="64"/>
  <c r="J2314" i="64"/>
  <c r="J2315" i="64"/>
  <c r="J2316" i="64"/>
  <c r="J2317" i="64"/>
  <c r="J2318" i="64"/>
  <c r="J2319" i="64"/>
  <c r="J2320" i="64"/>
  <c r="J2321" i="64"/>
  <c r="J2322" i="64"/>
  <c r="J2323" i="64"/>
  <c r="K2307" i="64"/>
  <c r="K2308" i="64"/>
  <c r="K2309" i="64"/>
  <c r="K2310" i="64"/>
  <c r="K2311" i="64"/>
  <c r="K2312" i="64"/>
  <c r="K2313" i="64"/>
  <c r="K2314" i="64"/>
  <c r="K2315" i="64"/>
  <c r="K2316" i="64"/>
  <c r="K2317" i="64"/>
  <c r="K2318" i="64"/>
  <c r="K2319" i="64"/>
  <c r="K2320" i="64"/>
  <c r="K2321" i="64"/>
  <c r="K2322" i="64"/>
  <c r="K2323" i="64"/>
  <c r="M2307" i="64"/>
  <c r="N2307" i="64" s="1"/>
  <c r="M2308" i="64"/>
  <c r="N2308" i="64" s="1"/>
  <c r="M2309" i="64"/>
  <c r="N2309" i="64" s="1"/>
  <c r="M2310" i="64"/>
  <c r="N2310" i="64" s="1"/>
  <c r="M2311" i="64"/>
  <c r="N2311" i="64" s="1"/>
  <c r="M2312" i="64"/>
  <c r="N2312" i="64" s="1"/>
  <c r="M2313" i="64"/>
  <c r="N2313" i="64" s="1"/>
  <c r="M2314" i="64"/>
  <c r="N2314" i="64" s="1"/>
  <c r="M2315" i="64"/>
  <c r="N2315" i="64" s="1"/>
  <c r="M2316" i="64"/>
  <c r="N2316" i="64" s="1"/>
  <c r="M2317" i="64"/>
  <c r="N2317" i="64" s="1"/>
  <c r="M2318" i="64"/>
  <c r="N2318" i="64" s="1"/>
  <c r="M2319" i="64"/>
  <c r="N2319" i="64" s="1"/>
  <c r="M2320" i="64"/>
  <c r="N2320" i="64" s="1"/>
  <c r="M2321" i="64"/>
  <c r="N2321" i="64" s="1"/>
  <c r="M2322" i="64"/>
  <c r="N2322" i="64" s="1"/>
  <c r="M2323" i="64"/>
  <c r="N2323" i="64" s="1"/>
  <c r="A2324" i="64"/>
  <c r="A2325" i="64"/>
  <c r="A2326" i="64"/>
  <c r="A2327" i="64"/>
  <c r="A2328" i="64"/>
  <c r="A2329" i="64"/>
  <c r="A2330" i="64"/>
  <c r="A2331" i="64"/>
  <c r="A2332" i="64"/>
  <c r="A2333" i="64"/>
  <c r="A2334" i="64"/>
  <c r="A2335" i="64"/>
  <c r="A2336" i="64"/>
  <c r="A2337" i="64"/>
  <c r="A2338" i="64"/>
  <c r="A2339" i="64"/>
  <c r="A2340" i="64"/>
  <c r="B2324" i="64"/>
  <c r="B2325" i="64"/>
  <c r="B2326" i="64"/>
  <c r="B2327" i="64"/>
  <c r="B2328" i="64"/>
  <c r="B2329" i="64"/>
  <c r="B2330" i="64"/>
  <c r="B2331" i="64"/>
  <c r="B2332" i="64"/>
  <c r="B2333" i="64"/>
  <c r="B2334" i="64"/>
  <c r="B2335" i="64"/>
  <c r="B2336" i="64"/>
  <c r="B2337" i="64"/>
  <c r="B2338" i="64"/>
  <c r="B2339" i="64"/>
  <c r="B2340" i="64"/>
  <c r="J2324" i="64"/>
  <c r="J2325" i="64"/>
  <c r="J2326" i="64"/>
  <c r="J2327" i="64"/>
  <c r="J2328" i="64"/>
  <c r="J2329" i="64"/>
  <c r="J2330" i="64"/>
  <c r="J2331" i="64"/>
  <c r="J2332" i="64"/>
  <c r="J2333" i="64"/>
  <c r="J2334" i="64"/>
  <c r="J2335" i="64"/>
  <c r="J2336" i="64"/>
  <c r="J2337" i="64"/>
  <c r="J2338" i="64"/>
  <c r="J2339" i="64"/>
  <c r="J2340" i="64"/>
  <c r="K2324" i="64"/>
  <c r="K2325" i="64"/>
  <c r="K2326" i="64"/>
  <c r="K2327" i="64"/>
  <c r="K2328" i="64"/>
  <c r="K2329" i="64"/>
  <c r="K2330" i="64"/>
  <c r="K2331" i="64"/>
  <c r="K2332" i="64"/>
  <c r="K2333" i="64"/>
  <c r="K2334" i="64"/>
  <c r="K2335" i="64"/>
  <c r="K2336" i="64"/>
  <c r="K2337" i="64"/>
  <c r="K2338" i="64"/>
  <c r="K2339" i="64"/>
  <c r="K2340" i="64"/>
  <c r="M2324" i="64"/>
  <c r="N2324" i="64" s="1"/>
  <c r="M2325" i="64"/>
  <c r="N2325" i="64" s="1"/>
  <c r="M2326" i="64"/>
  <c r="N2326" i="64" s="1"/>
  <c r="M2327" i="64"/>
  <c r="N2327" i="64" s="1"/>
  <c r="M2328" i="64"/>
  <c r="N2328" i="64" s="1"/>
  <c r="M2329" i="64"/>
  <c r="N2329" i="64" s="1"/>
  <c r="M2330" i="64"/>
  <c r="N2330" i="64" s="1"/>
  <c r="M2331" i="64"/>
  <c r="N2331" i="64" s="1"/>
  <c r="M2332" i="64"/>
  <c r="N2332" i="64" s="1"/>
  <c r="M2333" i="64"/>
  <c r="N2333" i="64" s="1"/>
  <c r="M2334" i="64"/>
  <c r="N2334" i="64" s="1"/>
  <c r="M2335" i="64"/>
  <c r="N2335" i="64" s="1"/>
  <c r="M2336" i="64"/>
  <c r="N2336" i="64" s="1"/>
  <c r="M2337" i="64"/>
  <c r="N2337" i="64" s="1"/>
  <c r="M2338" i="64"/>
  <c r="N2338" i="64" s="1"/>
  <c r="M2339" i="64"/>
  <c r="N2339" i="64" s="1"/>
  <c r="M2340" i="64"/>
  <c r="N2340" i="64" s="1"/>
  <c r="A2341" i="64"/>
  <c r="A2342" i="64"/>
  <c r="A2343" i="64"/>
  <c r="A2344" i="64"/>
  <c r="A2345" i="64"/>
  <c r="A2346" i="64"/>
  <c r="A2347" i="64"/>
  <c r="A2348" i="64"/>
  <c r="A2349" i="64"/>
  <c r="A2350" i="64"/>
  <c r="A2351" i="64"/>
  <c r="A2352" i="64"/>
  <c r="A2353" i="64"/>
  <c r="A2354" i="64"/>
  <c r="A2355" i="64"/>
  <c r="A2356" i="64"/>
  <c r="A2357" i="64"/>
  <c r="B2341" i="64"/>
  <c r="B2342" i="64"/>
  <c r="B2343" i="64"/>
  <c r="B2344" i="64"/>
  <c r="B2345" i="64"/>
  <c r="B2346" i="64"/>
  <c r="B2347" i="64"/>
  <c r="B2348" i="64"/>
  <c r="B2349" i="64"/>
  <c r="B2350" i="64"/>
  <c r="B2351" i="64"/>
  <c r="B2352" i="64"/>
  <c r="B2353" i="64"/>
  <c r="B2354" i="64"/>
  <c r="B2355" i="64"/>
  <c r="B2356" i="64"/>
  <c r="B2357" i="64"/>
  <c r="J2341" i="64"/>
  <c r="J2342" i="64"/>
  <c r="J2343" i="64"/>
  <c r="J2344" i="64"/>
  <c r="J2345" i="64"/>
  <c r="J2346" i="64"/>
  <c r="J2347" i="64"/>
  <c r="J2348" i="64"/>
  <c r="J2349" i="64"/>
  <c r="J2350" i="64"/>
  <c r="J2351" i="64"/>
  <c r="J2352" i="64"/>
  <c r="J2353" i="64"/>
  <c r="J2354" i="64"/>
  <c r="J2355" i="64"/>
  <c r="J2356" i="64"/>
  <c r="J2357" i="64"/>
  <c r="K2341" i="64"/>
  <c r="K2342" i="64"/>
  <c r="K2343" i="64"/>
  <c r="K2344" i="64"/>
  <c r="K2345" i="64"/>
  <c r="K2346" i="64"/>
  <c r="K2347" i="64"/>
  <c r="K2348" i="64"/>
  <c r="K2349" i="64"/>
  <c r="K2350" i="64"/>
  <c r="K2351" i="64"/>
  <c r="K2352" i="64"/>
  <c r="K2353" i="64"/>
  <c r="K2354" i="64"/>
  <c r="K2355" i="64"/>
  <c r="K2356" i="64"/>
  <c r="K2357" i="64"/>
  <c r="M2341" i="64"/>
  <c r="N2341" i="64" s="1"/>
  <c r="M2342" i="64"/>
  <c r="N2342" i="64" s="1"/>
  <c r="M2343" i="64"/>
  <c r="N2343" i="64" s="1"/>
  <c r="M2344" i="64"/>
  <c r="N2344" i="64" s="1"/>
  <c r="M2345" i="64"/>
  <c r="N2345" i="64" s="1"/>
  <c r="M2346" i="64"/>
  <c r="N2346" i="64" s="1"/>
  <c r="M2347" i="64"/>
  <c r="N2347" i="64" s="1"/>
  <c r="M2348" i="64"/>
  <c r="N2348" i="64" s="1"/>
  <c r="M2349" i="64"/>
  <c r="N2349" i="64" s="1"/>
  <c r="M2350" i="64"/>
  <c r="N2350" i="64" s="1"/>
  <c r="M2351" i="64"/>
  <c r="N2351" i="64" s="1"/>
  <c r="M2352" i="64"/>
  <c r="N2352" i="64" s="1"/>
  <c r="M2353" i="64"/>
  <c r="N2353" i="64" s="1"/>
  <c r="M2354" i="64"/>
  <c r="N2354" i="64" s="1"/>
  <c r="M2355" i="64"/>
  <c r="N2355" i="64" s="1"/>
  <c r="M2356" i="64"/>
  <c r="N2356" i="64" s="1"/>
  <c r="M2357" i="64"/>
  <c r="N2357" i="64" s="1"/>
  <c r="A2358" i="64"/>
  <c r="A2359" i="64"/>
  <c r="A2360" i="64"/>
  <c r="A2361" i="64"/>
  <c r="A2362" i="64"/>
  <c r="A2363" i="64"/>
  <c r="A2364" i="64"/>
  <c r="A2365" i="64"/>
  <c r="A2366" i="64"/>
  <c r="A2367" i="64"/>
  <c r="A2368" i="64"/>
  <c r="A2369" i="64"/>
  <c r="A2370" i="64"/>
  <c r="A2371" i="64"/>
  <c r="A2372" i="64"/>
  <c r="A2373" i="64"/>
  <c r="A2374" i="64"/>
  <c r="B2358" i="64"/>
  <c r="B2359" i="64"/>
  <c r="B2360" i="64"/>
  <c r="B2361" i="64"/>
  <c r="B2362" i="64"/>
  <c r="B2363" i="64"/>
  <c r="B2364" i="64"/>
  <c r="B2365" i="64"/>
  <c r="B2366" i="64"/>
  <c r="B2367" i="64"/>
  <c r="B2368" i="64"/>
  <c r="B2369" i="64"/>
  <c r="B2370" i="64"/>
  <c r="B2371" i="64"/>
  <c r="B2372" i="64"/>
  <c r="B2373" i="64"/>
  <c r="B2374" i="64"/>
  <c r="J2358" i="64"/>
  <c r="J2359" i="64"/>
  <c r="J2360" i="64"/>
  <c r="J2361" i="64"/>
  <c r="J2362" i="64"/>
  <c r="J2363" i="64"/>
  <c r="J2364" i="64"/>
  <c r="J2365" i="64"/>
  <c r="J2366" i="64"/>
  <c r="J2367" i="64"/>
  <c r="J2368" i="64"/>
  <c r="J2369" i="64"/>
  <c r="J2370" i="64"/>
  <c r="J2371" i="64"/>
  <c r="J2372" i="64"/>
  <c r="J2373" i="64"/>
  <c r="J2374" i="64"/>
  <c r="K2358" i="64"/>
  <c r="K2359" i="64"/>
  <c r="K2360" i="64"/>
  <c r="K2361" i="64"/>
  <c r="K2362" i="64"/>
  <c r="K2363" i="64"/>
  <c r="K2364" i="64"/>
  <c r="K2365" i="64"/>
  <c r="K2366" i="64"/>
  <c r="K2367" i="64"/>
  <c r="K2368" i="64"/>
  <c r="K2369" i="64"/>
  <c r="K2370" i="64"/>
  <c r="K2371" i="64"/>
  <c r="K2372" i="64"/>
  <c r="K2373" i="64"/>
  <c r="K2374" i="64"/>
  <c r="M2358" i="64"/>
  <c r="N2358" i="64" s="1"/>
  <c r="M2359" i="64"/>
  <c r="N2359" i="64" s="1"/>
  <c r="M2360" i="64"/>
  <c r="N2360" i="64" s="1"/>
  <c r="M2361" i="64"/>
  <c r="N2361" i="64" s="1"/>
  <c r="M2362" i="64"/>
  <c r="N2362" i="64" s="1"/>
  <c r="M2363" i="64"/>
  <c r="N2363" i="64" s="1"/>
  <c r="M2364" i="64"/>
  <c r="N2364" i="64" s="1"/>
  <c r="M2365" i="64"/>
  <c r="N2365" i="64" s="1"/>
  <c r="M2366" i="64"/>
  <c r="N2366" i="64" s="1"/>
  <c r="M2367" i="64"/>
  <c r="N2367" i="64" s="1"/>
  <c r="M2368" i="64"/>
  <c r="N2368" i="64" s="1"/>
  <c r="M2369" i="64"/>
  <c r="N2369" i="64" s="1"/>
  <c r="M2370" i="64"/>
  <c r="N2370" i="64" s="1"/>
  <c r="M2371" i="64"/>
  <c r="N2371" i="64" s="1"/>
  <c r="M2372" i="64"/>
  <c r="N2372" i="64" s="1"/>
  <c r="M2373" i="64"/>
  <c r="N2373" i="64" s="1"/>
  <c r="M2374" i="64"/>
  <c r="N2374" i="64" s="1"/>
  <c r="A2375" i="64"/>
  <c r="A2376" i="64"/>
  <c r="A2377" i="64"/>
  <c r="A2378" i="64"/>
  <c r="A2379" i="64"/>
  <c r="A2380" i="64"/>
  <c r="A2381" i="64"/>
  <c r="A2382" i="64"/>
  <c r="A2383" i="64"/>
  <c r="A2384" i="64"/>
  <c r="A2385" i="64"/>
  <c r="A2386" i="64"/>
  <c r="A2387" i="64"/>
  <c r="A2388" i="64"/>
  <c r="A2389" i="64"/>
  <c r="A2390" i="64"/>
  <c r="A2391" i="64"/>
  <c r="B2375" i="64"/>
  <c r="B2376" i="64"/>
  <c r="B2377" i="64"/>
  <c r="B2378" i="64"/>
  <c r="B2379" i="64"/>
  <c r="B2380" i="64"/>
  <c r="B2381" i="64"/>
  <c r="B2382" i="64"/>
  <c r="B2383" i="64"/>
  <c r="B2384" i="64"/>
  <c r="B2385" i="64"/>
  <c r="B2386" i="64"/>
  <c r="B2387" i="64"/>
  <c r="B2388" i="64"/>
  <c r="B2389" i="64"/>
  <c r="B2390" i="64"/>
  <c r="B2391" i="64"/>
  <c r="J2375" i="64"/>
  <c r="J2376" i="64"/>
  <c r="J2377" i="64"/>
  <c r="J2378" i="64"/>
  <c r="J2379" i="64"/>
  <c r="J2380" i="64"/>
  <c r="J2381" i="64"/>
  <c r="J2382" i="64"/>
  <c r="J2383" i="64"/>
  <c r="J2384" i="64"/>
  <c r="J2385" i="64"/>
  <c r="J2386" i="64"/>
  <c r="J2387" i="64"/>
  <c r="J2388" i="64"/>
  <c r="J2389" i="64"/>
  <c r="J2390" i="64"/>
  <c r="J2391" i="64"/>
  <c r="K2375" i="64"/>
  <c r="K2376" i="64"/>
  <c r="K2377" i="64"/>
  <c r="K2378" i="64"/>
  <c r="K2379" i="64"/>
  <c r="K2380" i="64"/>
  <c r="K2381" i="64"/>
  <c r="K2382" i="64"/>
  <c r="K2383" i="64"/>
  <c r="K2384" i="64"/>
  <c r="K2385" i="64"/>
  <c r="K2386" i="64"/>
  <c r="K2387" i="64"/>
  <c r="K2388" i="64"/>
  <c r="K2389" i="64"/>
  <c r="K2390" i="64"/>
  <c r="K2391" i="64"/>
  <c r="M2375" i="64"/>
  <c r="N2375" i="64" s="1"/>
  <c r="M2376" i="64"/>
  <c r="N2376" i="64" s="1"/>
  <c r="M2377" i="64"/>
  <c r="N2377" i="64" s="1"/>
  <c r="M2378" i="64"/>
  <c r="N2378" i="64" s="1"/>
  <c r="M2379" i="64"/>
  <c r="N2379" i="64" s="1"/>
  <c r="M2380" i="64"/>
  <c r="N2380" i="64" s="1"/>
  <c r="M2381" i="64"/>
  <c r="N2381" i="64" s="1"/>
  <c r="M2382" i="64"/>
  <c r="N2382" i="64" s="1"/>
  <c r="M2383" i="64"/>
  <c r="N2383" i="64" s="1"/>
  <c r="M2384" i="64"/>
  <c r="N2384" i="64" s="1"/>
  <c r="M2385" i="64"/>
  <c r="N2385" i="64" s="1"/>
  <c r="M2386" i="64"/>
  <c r="N2386" i="64" s="1"/>
  <c r="M2387" i="64"/>
  <c r="N2387" i="64" s="1"/>
  <c r="M2388" i="64"/>
  <c r="N2388" i="64" s="1"/>
  <c r="M2389" i="64"/>
  <c r="N2389" i="64" s="1"/>
  <c r="M2390" i="64"/>
  <c r="N2390" i="64" s="1"/>
  <c r="M2391" i="64"/>
  <c r="N2391" i="64" s="1"/>
  <c r="A2392" i="64"/>
  <c r="A2393" i="64"/>
  <c r="A2394" i="64"/>
  <c r="A2395" i="64"/>
  <c r="A2396" i="64"/>
  <c r="A2397" i="64"/>
  <c r="A2398" i="64"/>
  <c r="A2399" i="64"/>
  <c r="A2400" i="64"/>
  <c r="A2401" i="64"/>
  <c r="A2402" i="64"/>
  <c r="A2403" i="64"/>
  <c r="A2404" i="64"/>
  <c r="A2405" i="64"/>
  <c r="A2406" i="64"/>
  <c r="A2407" i="64"/>
  <c r="B2392" i="64"/>
  <c r="B2393" i="64"/>
  <c r="B2394" i="64"/>
  <c r="B2395" i="64"/>
  <c r="B2396" i="64"/>
  <c r="B2397" i="64"/>
  <c r="B2398" i="64"/>
  <c r="B2399" i="64"/>
  <c r="B2400" i="64"/>
  <c r="B2401" i="64"/>
  <c r="B2402" i="64"/>
  <c r="B2403" i="64"/>
  <c r="B2404" i="64"/>
  <c r="B2405" i="64"/>
  <c r="B2406" i="64"/>
  <c r="B2407" i="64"/>
  <c r="J2392" i="64"/>
  <c r="J2393" i="64"/>
  <c r="J2394" i="64"/>
  <c r="J2395" i="64"/>
  <c r="J2396" i="64"/>
  <c r="J2397" i="64"/>
  <c r="J2398" i="64"/>
  <c r="J2399" i="64"/>
  <c r="J2400" i="64"/>
  <c r="J2401" i="64"/>
  <c r="J2402" i="64"/>
  <c r="J2403" i="64"/>
  <c r="J2404" i="64"/>
  <c r="J2405" i="64"/>
  <c r="J2406" i="64"/>
  <c r="J2407" i="64"/>
  <c r="K2392" i="64"/>
  <c r="K2393" i="64"/>
  <c r="K2394" i="64"/>
  <c r="K2395" i="64"/>
  <c r="K2396" i="64"/>
  <c r="K2397" i="64"/>
  <c r="K2398" i="64"/>
  <c r="K2399" i="64"/>
  <c r="K2400" i="64"/>
  <c r="K2401" i="64"/>
  <c r="K2402" i="64"/>
  <c r="K2403" i="64"/>
  <c r="K2404" i="64"/>
  <c r="K2405" i="64"/>
  <c r="K2406" i="64"/>
  <c r="K2407" i="64"/>
  <c r="M2392" i="64"/>
  <c r="N2392" i="64" s="1"/>
  <c r="M2393" i="64"/>
  <c r="N2393" i="64" s="1"/>
  <c r="M2394" i="64"/>
  <c r="N2394" i="64" s="1"/>
  <c r="M2395" i="64"/>
  <c r="N2395" i="64" s="1"/>
  <c r="M2396" i="64"/>
  <c r="N2396" i="64" s="1"/>
  <c r="M2397" i="64"/>
  <c r="N2397" i="64" s="1"/>
  <c r="M2398" i="64"/>
  <c r="N2398" i="64" s="1"/>
  <c r="M2399" i="64"/>
  <c r="N2399" i="64" s="1"/>
  <c r="M2400" i="64"/>
  <c r="N2400" i="64" s="1"/>
  <c r="M2401" i="64"/>
  <c r="N2401" i="64" s="1"/>
  <c r="M2402" i="64"/>
  <c r="N2402" i="64" s="1"/>
  <c r="M2403" i="64"/>
  <c r="N2403" i="64" s="1"/>
  <c r="M2404" i="64"/>
  <c r="N2404" i="64" s="1"/>
  <c r="M2405" i="64"/>
  <c r="N2405" i="64" s="1"/>
  <c r="M2406" i="64"/>
  <c r="N2406" i="64" s="1"/>
  <c r="M2407" i="64"/>
  <c r="N2407" i="64" s="1"/>
  <c r="A2408" i="64"/>
  <c r="A2409" i="64"/>
  <c r="A2410" i="64"/>
  <c r="A2411" i="64"/>
  <c r="A2412" i="64"/>
  <c r="A2413" i="64"/>
  <c r="A2414" i="64"/>
  <c r="A2415" i="64"/>
  <c r="A2416" i="64"/>
  <c r="A2417" i="64"/>
  <c r="A2418" i="64"/>
  <c r="A2419" i="64"/>
  <c r="A2420" i="64"/>
  <c r="A2421" i="64"/>
  <c r="A2422" i="64"/>
  <c r="A2423" i="64"/>
  <c r="A2424" i="64"/>
  <c r="B2408" i="64"/>
  <c r="B2409" i="64"/>
  <c r="B2410" i="64"/>
  <c r="B2411" i="64"/>
  <c r="B2412" i="64"/>
  <c r="B2413" i="64"/>
  <c r="B2414" i="64"/>
  <c r="B2415" i="64"/>
  <c r="B2416" i="64"/>
  <c r="B2417" i="64"/>
  <c r="B2418" i="64"/>
  <c r="B2419" i="64"/>
  <c r="B2420" i="64"/>
  <c r="B2421" i="64"/>
  <c r="B2422" i="64"/>
  <c r="B2423" i="64"/>
  <c r="B2424" i="64"/>
  <c r="J2408" i="64"/>
  <c r="J2409" i="64"/>
  <c r="J2410" i="64"/>
  <c r="J2411" i="64"/>
  <c r="J2412" i="64"/>
  <c r="J2413" i="64"/>
  <c r="J2414" i="64"/>
  <c r="J2415" i="64"/>
  <c r="J2416" i="64"/>
  <c r="J2417" i="64"/>
  <c r="J2418" i="64"/>
  <c r="J2419" i="64"/>
  <c r="J2420" i="64"/>
  <c r="J2421" i="64"/>
  <c r="J2422" i="64"/>
  <c r="J2423" i="64"/>
  <c r="J2424" i="64"/>
  <c r="K2408" i="64"/>
  <c r="K2409" i="64"/>
  <c r="K2410" i="64"/>
  <c r="K2411" i="64"/>
  <c r="K2412" i="64"/>
  <c r="K2413" i="64"/>
  <c r="K2414" i="64"/>
  <c r="K2415" i="64"/>
  <c r="K2416" i="64"/>
  <c r="K2417" i="64"/>
  <c r="K2418" i="64"/>
  <c r="K2419" i="64"/>
  <c r="K2420" i="64"/>
  <c r="K2421" i="64"/>
  <c r="K2422" i="64"/>
  <c r="K2423" i="64"/>
  <c r="K2424" i="64"/>
  <c r="M2408" i="64"/>
  <c r="N2408" i="64" s="1"/>
  <c r="M2409" i="64"/>
  <c r="N2409" i="64" s="1"/>
  <c r="M2410" i="64"/>
  <c r="N2410" i="64" s="1"/>
  <c r="M2411" i="64"/>
  <c r="N2411" i="64" s="1"/>
  <c r="M2412" i="64"/>
  <c r="N2412" i="64" s="1"/>
  <c r="M2413" i="64"/>
  <c r="N2413" i="64" s="1"/>
  <c r="M2414" i="64"/>
  <c r="N2414" i="64" s="1"/>
  <c r="M2415" i="64"/>
  <c r="N2415" i="64" s="1"/>
  <c r="M2416" i="64"/>
  <c r="N2416" i="64" s="1"/>
  <c r="M2417" i="64"/>
  <c r="N2417" i="64" s="1"/>
  <c r="M2418" i="64"/>
  <c r="N2418" i="64" s="1"/>
  <c r="M2419" i="64"/>
  <c r="N2419" i="64" s="1"/>
  <c r="M2420" i="64"/>
  <c r="N2420" i="64" s="1"/>
  <c r="M2421" i="64"/>
  <c r="N2421" i="64" s="1"/>
  <c r="M2422" i="64"/>
  <c r="N2422" i="64" s="1"/>
  <c r="M2423" i="64"/>
  <c r="N2423" i="64" s="1"/>
  <c r="M2424" i="64"/>
  <c r="N2424" i="64" s="1"/>
  <c r="A2425" i="64"/>
  <c r="A2426" i="64"/>
  <c r="A2427" i="64"/>
  <c r="A2428" i="64"/>
  <c r="A2429" i="64"/>
  <c r="A2430" i="64"/>
  <c r="A2431" i="64"/>
  <c r="A2432" i="64"/>
  <c r="A2433" i="64"/>
  <c r="A2434" i="64"/>
  <c r="A2435" i="64"/>
  <c r="A2436" i="64"/>
  <c r="A2437" i="64"/>
  <c r="A2438" i="64"/>
  <c r="A2439" i="64"/>
  <c r="A2440" i="64"/>
  <c r="A2441" i="64"/>
  <c r="B2425" i="64"/>
  <c r="B2426" i="64"/>
  <c r="B2427" i="64"/>
  <c r="B2428" i="64"/>
  <c r="B2429" i="64"/>
  <c r="B2430" i="64"/>
  <c r="B2431" i="64"/>
  <c r="B2432" i="64"/>
  <c r="B2433" i="64"/>
  <c r="B2434" i="64"/>
  <c r="B2435" i="64"/>
  <c r="B2436" i="64"/>
  <c r="B2437" i="64"/>
  <c r="B2438" i="64"/>
  <c r="B2439" i="64"/>
  <c r="B2440" i="64"/>
  <c r="B2441" i="64"/>
  <c r="J2425" i="64"/>
  <c r="J2426" i="64"/>
  <c r="J2427" i="64"/>
  <c r="J2428" i="64"/>
  <c r="J2429" i="64"/>
  <c r="J2430" i="64"/>
  <c r="J2431" i="64"/>
  <c r="J2432" i="64"/>
  <c r="J2433" i="64"/>
  <c r="J2434" i="64"/>
  <c r="J2435" i="64"/>
  <c r="J2436" i="64"/>
  <c r="J2437" i="64"/>
  <c r="J2438" i="64"/>
  <c r="J2439" i="64"/>
  <c r="J2440" i="64"/>
  <c r="J2441" i="64"/>
  <c r="K2425" i="64"/>
  <c r="K2426" i="64"/>
  <c r="K2427" i="64"/>
  <c r="K2428" i="64"/>
  <c r="K2429" i="64"/>
  <c r="K2430" i="64"/>
  <c r="K2431" i="64"/>
  <c r="K2432" i="64"/>
  <c r="K2433" i="64"/>
  <c r="K2434" i="64"/>
  <c r="K2435" i="64"/>
  <c r="K2436" i="64"/>
  <c r="K2437" i="64"/>
  <c r="K2438" i="64"/>
  <c r="K2439" i="64"/>
  <c r="K2440" i="64"/>
  <c r="K2441" i="64"/>
  <c r="M2425" i="64"/>
  <c r="N2425" i="64" s="1"/>
  <c r="M2426" i="64"/>
  <c r="N2426" i="64" s="1"/>
  <c r="M2427" i="64"/>
  <c r="N2427" i="64" s="1"/>
  <c r="M2428" i="64"/>
  <c r="N2428" i="64" s="1"/>
  <c r="M2429" i="64"/>
  <c r="N2429" i="64" s="1"/>
  <c r="M2430" i="64"/>
  <c r="N2430" i="64" s="1"/>
  <c r="M2431" i="64"/>
  <c r="N2431" i="64" s="1"/>
  <c r="M2432" i="64"/>
  <c r="N2432" i="64" s="1"/>
  <c r="M2433" i="64"/>
  <c r="N2433" i="64" s="1"/>
  <c r="M2434" i="64"/>
  <c r="N2434" i="64" s="1"/>
  <c r="M2435" i="64"/>
  <c r="N2435" i="64" s="1"/>
  <c r="M2436" i="64"/>
  <c r="N2436" i="64" s="1"/>
  <c r="M2437" i="64"/>
  <c r="N2437" i="64" s="1"/>
  <c r="M2438" i="64"/>
  <c r="N2438" i="64" s="1"/>
  <c r="M2439" i="64"/>
  <c r="N2439" i="64" s="1"/>
  <c r="M2440" i="64"/>
  <c r="N2440" i="64" s="1"/>
  <c r="M2441" i="64"/>
  <c r="N2441" i="64" s="1"/>
  <c r="A2442" i="64"/>
  <c r="A2443" i="64"/>
  <c r="A2444" i="64"/>
  <c r="A2445" i="64"/>
  <c r="A2446" i="64"/>
  <c r="A2447" i="64"/>
  <c r="A2448" i="64"/>
  <c r="A2449" i="64"/>
  <c r="A2450" i="64"/>
  <c r="A2451" i="64"/>
  <c r="A2452" i="64"/>
  <c r="A2453" i="64"/>
  <c r="A2454" i="64"/>
  <c r="A2455" i="64"/>
  <c r="A2456" i="64"/>
  <c r="A2457" i="64"/>
  <c r="A2458" i="64"/>
  <c r="B2442" i="64"/>
  <c r="B2443" i="64"/>
  <c r="B2444" i="64"/>
  <c r="B2445" i="64"/>
  <c r="B2446" i="64"/>
  <c r="B2447" i="64"/>
  <c r="B2448" i="64"/>
  <c r="B2449" i="64"/>
  <c r="B2450" i="64"/>
  <c r="B2451" i="64"/>
  <c r="B2452" i="64"/>
  <c r="B2453" i="64"/>
  <c r="B2454" i="64"/>
  <c r="B2455" i="64"/>
  <c r="B2456" i="64"/>
  <c r="B2457" i="64"/>
  <c r="B2458" i="64"/>
  <c r="J2442" i="64"/>
  <c r="J2443" i="64"/>
  <c r="J2444" i="64"/>
  <c r="J2445" i="64"/>
  <c r="J2446" i="64"/>
  <c r="J2447" i="64"/>
  <c r="J2448" i="64"/>
  <c r="J2449" i="64"/>
  <c r="J2450" i="64"/>
  <c r="J2451" i="64"/>
  <c r="J2452" i="64"/>
  <c r="J2453" i="64"/>
  <c r="J2454" i="64"/>
  <c r="J2455" i="64"/>
  <c r="J2456" i="64"/>
  <c r="J2457" i="64"/>
  <c r="J2458" i="64"/>
  <c r="K2442" i="64"/>
  <c r="K2443" i="64"/>
  <c r="K2444" i="64"/>
  <c r="K2445" i="64"/>
  <c r="K2446" i="64"/>
  <c r="K2447" i="64"/>
  <c r="K2448" i="64"/>
  <c r="K2449" i="64"/>
  <c r="K2450" i="64"/>
  <c r="K2451" i="64"/>
  <c r="K2452" i="64"/>
  <c r="K2453" i="64"/>
  <c r="K2454" i="64"/>
  <c r="K2455" i="64"/>
  <c r="K2456" i="64"/>
  <c r="K2457" i="64"/>
  <c r="K2458" i="64"/>
  <c r="M2442" i="64"/>
  <c r="N2442" i="64" s="1"/>
  <c r="M2443" i="64"/>
  <c r="N2443" i="64" s="1"/>
  <c r="M2444" i="64"/>
  <c r="N2444" i="64" s="1"/>
  <c r="M2445" i="64"/>
  <c r="N2445" i="64" s="1"/>
  <c r="M2446" i="64"/>
  <c r="N2446" i="64" s="1"/>
  <c r="M2447" i="64"/>
  <c r="N2447" i="64" s="1"/>
  <c r="M2448" i="64"/>
  <c r="N2448" i="64" s="1"/>
  <c r="M2449" i="64"/>
  <c r="N2449" i="64" s="1"/>
  <c r="M2450" i="64"/>
  <c r="N2450" i="64" s="1"/>
  <c r="M2451" i="64"/>
  <c r="N2451" i="64" s="1"/>
  <c r="M2452" i="64"/>
  <c r="N2452" i="64" s="1"/>
  <c r="M2453" i="64"/>
  <c r="N2453" i="64" s="1"/>
  <c r="M2454" i="64"/>
  <c r="N2454" i="64" s="1"/>
  <c r="M2455" i="64"/>
  <c r="N2455" i="64" s="1"/>
  <c r="M2456" i="64"/>
  <c r="N2456" i="64" s="1"/>
  <c r="M2457" i="64"/>
  <c r="N2457" i="64" s="1"/>
  <c r="M2458" i="64"/>
  <c r="N2458" i="64" s="1"/>
  <c r="A2459" i="64"/>
  <c r="A2460" i="64"/>
  <c r="A2461" i="64"/>
  <c r="A2462" i="64"/>
  <c r="A2463" i="64"/>
  <c r="A2464" i="64"/>
  <c r="A2465" i="64"/>
  <c r="A2466" i="64"/>
  <c r="A2467" i="64"/>
  <c r="A2468" i="64"/>
  <c r="A2469" i="64"/>
  <c r="A2470" i="64"/>
  <c r="A2471" i="64"/>
  <c r="A2472" i="64"/>
  <c r="A2473" i="64"/>
  <c r="A2474" i="64"/>
  <c r="A2475" i="64"/>
  <c r="B2459" i="64"/>
  <c r="B2460" i="64"/>
  <c r="B2461" i="64"/>
  <c r="B2462" i="64"/>
  <c r="B2463" i="64"/>
  <c r="B2464" i="64"/>
  <c r="B2465" i="64"/>
  <c r="B2466" i="64"/>
  <c r="B2467" i="64"/>
  <c r="B2468" i="64"/>
  <c r="B2469" i="64"/>
  <c r="B2470" i="64"/>
  <c r="B2471" i="64"/>
  <c r="B2472" i="64"/>
  <c r="B2473" i="64"/>
  <c r="B2474" i="64"/>
  <c r="B2475" i="64"/>
  <c r="J2459" i="64"/>
  <c r="J2460" i="64"/>
  <c r="J2461" i="64"/>
  <c r="J2462" i="64"/>
  <c r="J2463" i="64"/>
  <c r="J2464" i="64"/>
  <c r="J2465" i="64"/>
  <c r="J2466" i="64"/>
  <c r="J2467" i="64"/>
  <c r="J2468" i="64"/>
  <c r="J2469" i="64"/>
  <c r="J2470" i="64"/>
  <c r="J2471" i="64"/>
  <c r="J2472" i="64"/>
  <c r="J2473" i="64"/>
  <c r="J2474" i="64"/>
  <c r="J2475" i="64"/>
  <c r="K2459" i="64"/>
  <c r="K2460" i="64"/>
  <c r="K2461" i="64"/>
  <c r="K2462" i="64"/>
  <c r="K2463" i="64"/>
  <c r="K2464" i="64"/>
  <c r="K2465" i="64"/>
  <c r="K2466" i="64"/>
  <c r="K2467" i="64"/>
  <c r="K2468" i="64"/>
  <c r="K2469" i="64"/>
  <c r="K2470" i="64"/>
  <c r="K2471" i="64"/>
  <c r="K2472" i="64"/>
  <c r="K2473" i="64"/>
  <c r="K2474" i="64"/>
  <c r="K2475" i="64"/>
  <c r="M2459" i="64"/>
  <c r="N2459" i="64" s="1"/>
  <c r="M2460" i="64"/>
  <c r="N2460" i="64" s="1"/>
  <c r="M2461" i="64"/>
  <c r="N2461" i="64" s="1"/>
  <c r="M2462" i="64"/>
  <c r="N2462" i="64" s="1"/>
  <c r="M2463" i="64"/>
  <c r="N2463" i="64" s="1"/>
  <c r="M2464" i="64"/>
  <c r="N2464" i="64" s="1"/>
  <c r="M2465" i="64"/>
  <c r="N2465" i="64" s="1"/>
  <c r="M2466" i="64"/>
  <c r="N2466" i="64" s="1"/>
  <c r="M2467" i="64"/>
  <c r="N2467" i="64" s="1"/>
  <c r="M2468" i="64"/>
  <c r="N2468" i="64" s="1"/>
  <c r="M2469" i="64"/>
  <c r="N2469" i="64" s="1"/>
  <c r="M2470" i="64"/>
  <c r="N2470" i="64" s="1"/>
  <c r="M2471" i="64"/>
  <c r="N2471" i="64" s="1"/>
  <c r="M2472" i="64"/>
  <c r="N2472" i="64" s="1"/>
  <c r="M2473" i="64"/>
  <c r="N2473" i="64" s="1"/>
  <c r="M2474" i="64"/>
  <c r="N2474" i="64" s="1"/>
  <c r="M2475" i="64"/>
  <c r="N2475" i="64" s="1"/>
  <c r="A2476" i="64"/>
  <c r="A2477" i="64"/>
  <c r="A2478" i="64"/>
  <c r="A2479" i="64"/>
  <c r="A2480" i="64"/>
  <c r="A2481" i="64"/>
  <c r="A2482" i="64"/>
  <c r="A2483" i="64"/>
  <c r="A2484" i="64"/>
  <c r="A2485" i="64"/>
  <c r="A2486" i="64"/>
  <c r="A2487" i="64"/>
  <c r="A2488" i="64"/>
  <c r="A2489" i="64"/>
  <c r="A2490" i="64"/>
  <c r="A2491" i="64"/>
  <c r="A2492" i="64"/>
  <c r="B2476" i="64"/>
  <c r="B2477" i="64"/>
  <c r="B2478" i="64"/>
  <c r="B2479" i="64"/>
  <c r="B2480" i="64"/>
  <c r="B2481" i="64"/>
  <c r="B2482" i="64"/>
  <c r="B2483" i="64"/>
  <c r="B2484" i="64"/>
  <c r="B2485" i="64"/>
  <c r="B2486" i="64"/>
  <c r="B2487" i="64"/>
  <c r="B2488" i="64"/>
  <c r="B2489" i="64"/>
  <c r="B2490" i="64"/>
  <c r="B2491" i="64"/>
  <c r="B2492" i="64"/>
  <c r="J2476" i="64"/>
  <c r="J2477" i="64"/>
  <c r="J2478" i="64"/>
  <c r="J2479" i="64"/>
  <c r="J2480" i="64"/>
  <c r="J2481" i="64"/>
  <c r="J2482" i="64"/>
  <c r="J2483" i="64"/>
  <c r="J2484" i="64"/>
  <c r="J2485" i="64"/>
  <c r="J2486" i="64"/>
  <c r="J2487" i="64"/>
  <c r="J2488" i="64"/>
  <c r="J2489" i="64"/>
  <c r="J2490" i="64"/>
  <c r="J2491" i="64"/>
  <c r="J2492" i="64"/>
  <c r="K2476" i="64"/>
  <c r="K2477" i="64"/>
  <c r="K2478" i="64"/>
  <c r="K2479" i="64"/>
  <c r="K2480" i="64"/>
  <c r="K2481" i="64"/>
  <c r="K2482" i="64"/>
  <c r="K2483" i="64"/>
  <c r="K2484" i="64"/>
  <c r="K2485" i="64"/>
  <c r="K2486" i="64"/>
  <c r="K2487" i="64"/>
  <c r="K2488" i="64"/>
  <c r="K2489" i="64"/>
  <c r="K2490" i="64"/>
  <c r="K2491" i="64"/>
  <c r="K2492" i="64"/>
  <c r="M2476" i="64"/>
  <c r="N2476" i="64" s="1"/>
  <c r="M2477" i="64"/>
  <c r="N2477" i="64" s="1"/>
  <c r="M2478" i="64"/>
  <c r="N2478" i="64" s="1"/>
  <c r="M2479" i="64"/>
  <c r="N2479" i="64" s="1"/>
  <c r="M2480" i="64"/>
  <c r="N2480" i="64" s="1"/>
  <c r="M2481" i="64"/>
  <c r="N2481" i="64" s="1"/>
  <c r="M2482" i="64"/>
  <c r="N2482" i="64" s="1"/>
  <c r="M2483" i="64"/>
  <c r="N2483" i="64" s="1"/>
  <c r="M2484" i="64"/>
  <c r="N2484" i="64" s="1"/>
  <c r="M2485" i="64"/>
  <c r="N2485" i="64" s="1"/>
  <c r="M2486" i="64"/>
  <c r="N2486" i="64" s="1"/>
  <c r="M2487" i="64"/>
  <c r="N2487" i="64" s="1"/>
  <c r="M2488" i="64"/>
  <c r="N2488" i="64" s="1"/>
  <c r="M2489" i="64"/>
  <c r="N2489" i="64" s="1"/>
  <c r="M2490" i="64"/>
  <c r="N2490" i="64" s="1"/>
  <c r="M2491" i="64"/>
  <c r="N2491" i="64" s="1"/>
  <c r="M2492" i="64"/>
  <c r="N2492" i="64" s="1"/>
  <c r="A2493" i="64"/>
  <c r="A2494" i="64"/>
  <c r="A2495" i="64"/>
  <c r="A2496" i="64"/>
  <c r="A2497" i="64"/>
  <c r="A2498" i="64"/>
  <c r="A2499" i="64"/>
  <c r="A2500" i="64"/>
  <c r="A2501" i="64"/>
  <c r="A2502" i="64"/>
  <c r="A2503" i="64"/>
  <c r="A2504" i="64"/>
  <c r="A2505" i="64"/>
  <c r="A2506" i="64"/>
  <c r="A2507" i="64"/>
  <c r="A2508" i="64"/>
  <c r="A2509" i="64"/>
  <c r="B2493" i="64"/>
  <c r="B2494" i="64"/>
  <c r="B2495" i="64"/>
  <c r="B2496" i="64"/>
  <c r="B2497" i="64"/>
  <c r="B2498" i="64"/>
  <c r="B2499" i="64"/>
  <c r="B2500" i="64"/>
  <c r="B2501" i="64"/>
  <c r="B2502" i="64"/>
  <c r="B2503" i="64"/>
  <c r="B2504" i="64"/>
  <c r="B2505" i="64"/>
  <c r="B2506" i="64"/>
  <c r="B2507" i="64"/>
  <c r="B2508" i="64"/>
  <c r="B2509" i="64"/>
  <c r="J2493" i="64"/>
  <c r="J2494" i="64"/>
  <c r="J2495" i="64"/>
  <c r="J2496" i="64"/>
  <c r="J2497" i="64"/>
  <c r="J2498" i="64"/>
  <c r="J2499" i="64"/>
  <c r="J2500" i="64"/>
  <c r="J2501" i="64"/>
  <c r="J2502" i="64"/>
  <c r="J2503" i="64"/>
  <c r="J2504" i="64"/>
  <c r="J2505" i="64"/>
  <c r="J2506" i="64"/>
  <c r="J2507" i="64"/>
  <c r="J2508" i="64"/>
  <c r="J2509" i="64"/>
  <c r="K2493" i="64"/>
  <c r="K2494" i="64"/>
  <c r="K2495" i="64"/>
  <c r="K2496" i="64"/>
  <c r="K2497" i="64"/>
  <c r="K2498" i="64"/>
  <c r="K2499" i="64"/>
  <c r="K2500" i="64"/>
  <c r="K2501" i="64"/>
  <c r="K2502" i="64"/>
  <c r="K2503" i="64"/>
  <c r="K2504" i="64"/>
  <c r="K2505" i="64"/>
  <c r="K2506" i="64"/>
  <c r="K2507" i="64"/>
  <c r="K2508" i="64"/>
  <c r="K2509" i="64"/>
  <c r="M2493" i="64"/>
  <c r="N2493" i="64" s="1"/>
  <c r="M2494" i="64"/>
  <c r="N2494" i="64" s="1"/>
  <c r="M2495" i="64"/>
  <c r="N2495" i="64" s="1"/>
  <c r="M2496" i="64"/>
  <c r="N2496" i="64" s="1"/>
  <c r="M2497" i="64"/>
  <c r="N2497" i="64" s="1"/>
  <c r="M2498" i="64"/>
  <c r="N2498" i="64" s="1"/>
  <c r="M2499" i="64"/>
  <c r="N2499" i="64" s="1"/>
  <c r="M2500" i="64"/>
  <c r="N2500" i="64" s="1"/>
  <c r="M2501" i="64"/>
  <c r="N2501" i="64" s="1"/>
  <c r="M2502" i="64"/>
  <c r="N2502" i="64" s="1"/>
  <c r="M2503" i="64"/>
  <c r="N2503" i="64" s="1"/>
  <c r="M2504" i="64"/>
  <c r="N2504" i="64" s="1"/>
  <c r="M2505" i="64"/>
  <c r="N2505" i="64" s="1"/>
  <c r="M2506" i="64"/>
  <c r="N2506" i="64" s="1"/>
  <c r="M2507" i="64"/>
  <c r="N2507" i="64" s="1"/>
  <c r="M2508" i="64"/>
  <c r="N2508" i="64" s="1"/>
  <c r="M2509" i="64"/>
  <c r="N2509" i="64" s="1"/>
  <c r="A2510" i="64"/>
  <c r="A2511" i="64"/>
  <c r="A2512" i="64"/>
  <c r="A2513" i="64"/>
  <c r="A2514" i="64"/>
  <c r="A2515" i="64"/>
  <c r="A2516" i="64"/>
  <c r="A2517" i="64"/>
  <c r="A2518" i="64"/>
  <c r="A2519" i="64"/>
  <c r="A2520" i="64"/>
  <c r="A2521" i="64"/>
  <c r="A2522" i="64"/>
  <c r="A2523" i="64"/>
  <c r="A2524" i="64"/>
  <c r="A2525" i="64"/>
  <c r="A2526" i="64"/>
  <c r="B2510" i="64"/>
  <c r="B2511" i="64"/>
  <c r="B2512" i="64"/>
  <c r="B2513" i="64"/>
  <c r="B2514" i="64"/>
  <c r="B2515" i="64"/>
  <c r="B2516" i="64"/>
  <c r="B2517" i="64"/>
  <c r="B2518" i="64"/>
  <c r="B2519" i="64"/>
  <c r="B2520" i="64"/>
  <c r="B2521" i="64"/>
  <c r="B2522" i="64"/>
  <c r="B2523" i="64"/>
  <c r="B2524" i="64"/>
  <c r="B2525" i="64"/>
  <c r="B2526" i="64"/>
  <c r="J2510" i="64"/>
  <c r="J2511" i="64"/>
  <c r="J2512" i="64"/>
  <c r="J2513" i="64"/>
  <c r="J2514" i="64"/>
  <c r="J2515" i="64"/>
  <c r="J2516" i="64"/>
  <c r="J2517" i="64"/>
  <c r="J2518" i="64"/>
  <c r="J2519" i="64"/>
  <c r="J2520" i="64"/>
  <c r="J2521" i="64"/>
  <c r="J2522" i="64"/>
  <c r="J2523" i="64"/>
  <c r="J2524" i="64"/>
  <c r="J2525" i="64"/>
  <c r="J2526" i="64"/>
  <c r="K2510" i="64"/>
  <c r="K2511" i="64"/>
  <c r="K2512" i="64"/>
  <c r="K2513" i="64"/>
  <c r="K2514" i="64"/>
  <c r="K2515" i="64"/>
  <c r="K2516" i="64"/>
  <c r="K2517" i="64"/>
  <c r="K2518" i="64"/>
  <c r="K2519" i="64"/>
  <c r="K2520" i="64"/>
  <c r="K2521" i="64"/>
  <c r="K2522" i="64"/>
  <c r="K2523" i="64"/>
  <c r="K2524" i="64"/>
  <c r="K2525" i="64"/>
  <c r="K2526" i="64"/>
  <c r="M2510" i="64"/>
  <c r="N2510" i="64" s="1"/>
  <c r="M2511" i="64"/>
  <c r="N2511" i="64" s="1"/>
  <c r="M2512" i="64"/>
  <c r="N2512" i="64" s="1"/>
  <c r="M2513" i="64"/>
  <c r="N2513" i="64" s="1"/>
  <c r="M2514" i="64"/>
  <c r="N2514" i="64" s="1"/>
  <c r="M2515" i="64"/>
  <c r="N2515" i="64" s="1"/>
  <c r="M2516" i="64"/>
  <c r="N2516" i="64" s="1"/>
  <c r="M2517" i="64"/>
  <c r="N2517" i="64" s="1"/>
  <c r="M2518" i="64"/>
  <c r="N2518" i="64" s="1"/>
  <c r="M2519" i="64"/>
  <c r="N2519" i="64" s="1"/>
  <c r="M2520" i="64"/>
  <c r="N2520" i="64" s="1"/>
  <c r="M2521" i="64"/>
  <c r="N2521" i="64" s="1"/>
  <c r="M2522" i="64"/>
  <c r="N2522" i="64" s="1"/>
  <c r="M2523" i="64"/>
  <c r="N2523" i="64" s="1"/>
  <c r="M2524" i="64"/>
  <c r="N2524" i="64" s="1"/>
  <c r="M2525" i="64"/>
  <c r="N2525" i="64" s="1"/>
  <c r="M2526" i="64"/>
  <c r="N2526" i="64" s="1"/>
  <c r="A2527" i="64"/>
  <c r="A2528" i="64"/>
  <c r="A2529" i="64"/>
  <c r="A2530" i="64"/>
  <c r="A2531" i="64"/>
  <c r="A2532" i="64"/>
  <c r="A2533" i="64"/>
  <c r="A2534" i="64"/>
  <c r="A2535" i="64"/>
  <c r="A2536" i="64"/>
  <c r="A2537" i="64"/>
  <c r="A2538" i="64"/>
  <c r="A2539" i="64"/>
  <c r="A2540" i="64"/>
  <c r="A2541" i="64"/>
  <c r="A2542" i="64"/>
  <c r="A2543" i="64"/>
  <c r="B2527" i="64"/>
  <c r="B2528" i="64"/>
  <c r="B2529" i="64"/>
  <c r="B2530" i="64"/>
  <c r="B2531" i="64"/>
  <c r="B2532" i="64"/>
  <c r="B2533" i="64"/>
  <c r="B2534" i="64"/>
  <c r="B2535" i="64"/>
  <c r="B2536" i="64"/>
  <c r="B2537" i="64"/>
  <c r="B2538" i="64"/>
  <c r="B2539" i="64"/>
  <c r="B2540" i="64"/>
  <c r="B2541" i="64"/>
  <c r="B2542" i="64"/>
  <c r="B2543" i="64"/>
  <c r="J2527" i="64"/>
  <c r="J2528" i="64"/>
  <c r="J2529" i="64"/>
  <c r="J2530" i="64"/>
  <c r="J2531" i="64"/>
  <c r="J2532" i="64"/>
  <c r="J2533" i="64"/>
  <c r="J2534" i="64"/>
  <c r="J2535" i="64"/>
  <c r="J2536" i="64"/>
  <c r="J2537" i="64"/>
  <c r="J2538" i="64"/>
  <c r="J2539" i="64"/>
  <c r="J2540" i="64"/>
  <c r="J2541" i="64"/>
  <c r="J2542" i="64"/>
  <c r="J2543" i="64"/>
  <c r="K2527" i="64"/>
  <c r="K2528" i="64"/>
  <c r="K2529" i="64"/>
  <c r="K2530" i="64"/>
  <c r="K2531" i="64"/>
  <c r="K2532" i="64"/>
  <c r="K2533" i="64"/>
  <c r="K2534" i="64"/>
  <c r="K2535" i="64"/>
  <c r="K2536" i="64"/>
  <c r="K2537" i="64"/>
  <c r="K2538" i="64"/>
  <c r="K2539" i="64"/>
  <c r="K2540" i="64"/>
  <c r="K2541" i="64"/>
  <c r="K2542" i="64"/>
  <c r="K2543" i="64"/>
  <c r="M2527" i="64"/>
  <c r="N2527" i="64" s="1"/>
  <c r="M2528" i="64"/>
  <c r="N2528" i="64" s="1"/>
  <c r="M2529" i="64"/>
  <c r="N2529" i="64" s="1"/>
  <c r="M2530" i="64"/>
  <c r="N2530" i="64" s="1"/>
  <c r="M2531" i="64"/>
  <c r="N2531" i="64" s="1"/>
  <c r="M2532" i="64"/>
  <c r="N2532" i="64" s="1"/>
  <c r="M2533" i="64"/>
  <c r="N2533" i="64" s="1"/>
  <c r="M2534" i="64"/>
  <c r="N2534" i="64" s="1"/>
  <c r="M2535" i="64"/>
  <c r="N2535" i="64" s="1"/>
  <c r="M2536" i="64"/>
  <c r="N2536" i="64" s="1"/>
  <c r="M2537" i="64"/>
  <c r="N2537" i="64" s="1"/>
  <c r="M2538" i="64"/>
  <c r="N2538" i="64" s="1"/>
  <c r="M2539" i="64"/>
  <c r="N2539" i="64" s="1"/>
  <c r="M2540" i="64"/>
  <c r="N2540" i="64" s="1"/>
  <c r="M2541" i="64"/>
  <c r="N2541" i="64" s="1"/>
  <c r="M2542" i="64"/>
  <c r="N2542" i="64" s="1"/>
  <c r="M2543" i="64"/>
  <c r="N2543" i="64" s="1"/>
  <c r="A2544" i="64"/>
  <c r="A2545" i="64"/>
  <c r="A2546" i="64"/>
  <c r="A2547" i="64"/>
  <c r="A2548" i="64"/>
  <c r="A2549" i="64"/>
  <c r="A2550" i="64"/>
  <c r="A2551" i="64"/>
  <c r="A2552" i="64"/>
  <c r="A2553" i="64"/>
  <c r="A2554" i="64"/>
  <c r="A2555" i="64"/>
  <c r="A2556" i="64"/>
  <c r="A2557" i="64"/>
  <c r="A2558" i="64"/>
  <c r="A2559" i="64"/>
  <c r="A2560" i="64"/>
  <c r="B2544" i="64"/>
  <c r="B2545" i="64"/>
  <c r="B2546" i="64"/>
  <c r="B2547" i="64"/>
  <c r="B2548" i="64"/>
  <c r="B2549" i="64"/>
  <c r="B2550" i="64"/>
  <c r="B2551" i="64"/>
  <c r="B2552" i="64"/>
  <c r="B2553" i="64"/>
  <c r="B2554" i="64"/>
  <c r="B2555" i="64"/>
  <c r="B2556" i="64"/>
  <c r="B2557" i="64"/>
  <c r="B2558" i="64"/>
  <c r="B2559" i="64"/>
  <c r="B2560" i="64"/>
  <c r="J2544" i="64"/>
  <c r="J2545" i="64"/>
  <c r="J2546" i="64"/>
  <c r="J2547" i="64"/>
  <c r="J2548" i="64"/>
  <c r="J2549" i="64"/>
  <c r="J2550" i="64"/>
  <c r="J2551" i="64"/>
  <c r="J2552" i="64"/>
  <c r="J2553" i="64"/>
  <c r="J2554" i="64"/>
  <c r="J2555" i="64"/>
  <c r="J2556" i="64"/>
  <c r="J2557" i="64"/>
  <c r="J2558" i="64"/>
  <c r="J2559" i="64"/>
  <c r="J2560" i="64"/>
  <c r="K2544" i="64"/>
  <c r="K2545" i="64"/>
  <c r="K2546" i="64"/>
  <c r="K2547" i="64"/>
  <c r="K2548" i="64"/>
  <c r="K2549" i="64"/>
  <c r="K2550" i="64"/>
  <c r="K2551" i="64"/>
  <c r="K2552" i="64"/>
  <c r="K2553" i="64"/>
  <c r="K2554" i="64"/>
  <c r="K2555" i="64"/>
  <c r="K2556" i="64"/>
  <c r="K2557" i="64"/>
  <c r="K2558" i="64"/>
  <c r="K2559" i="64"/>
  <c r="K2560" i="64"/>
  <c r="M2544" i="64"/>
  <c r="N2544" i="64" s="1"/>
  <c r="M2545" i="64"/>
  <c r="N2545" i="64" s="1"/>
  <c r="M2546" i="64"/>
  <c r="N2546" i="64" s="1"/>
  <c r="M2547" i="64"/>
  <c r="N2547" i="64" s="1"/>
  <c r="M2548" i="64"/>
  <c r="N2548" i="64" s="1"/>
  <c r="M2549" i="64"/>
  <c r="N2549" i="64" s="1"/>
  <c r="M2550" i="64"/>
  <c r="N2550" i="64" s="1"/>
  <c r="M2551" i="64"/>
  <c r="N2551" i="64" s="1"/>
  <c r="M2552" i="64"/>
  <c r="N2552" i="64" s="1"/>
  <c r="M2553" i="64"/>
  <c r="N2553" i="64" s="1"/>
  <c r="M2554" i="64"/>
  <c r="N2554" i="64" s="1"/>
  <c r="M2555" i="64"/>
  <c r="N2555" i="64" s="1"/>
  <c r="M2556" i="64"/>
  <c r="N2556" i="64" s="1"/>
  <c r="M2557" i="64"/>
  <c r="N2557" i="64" s="1"/>
  <c r="M2558" i="64"/>
  <c r="N2558" i="64" s="1"/>
  <c r="M2559" i="64"/>
  <c r="N2559" i="64" s="1"/>
  <c r="M2560" i="64"/>
  <c r="N2560" i="64" s="1"/>
  <c r="A2561" i="64"/>
  <c r="A2562" i="64"/>
  <c r="A2563" i="64"/>
  <c r="A2564" i="64"/>
  <c r="A2565" i="64"/>
  <c r="A2566" i="64"/>
  <c r="A2567" i="64"/>
  <c r="A2568" i="64"/>
  <c r="A2569" i="64"/>
  <c r="A2570" i="64"/>
  <c r="A2571" i="64"/>
  <c r="A2572" i="64"/>
  <c r="A2573" i="64"/>
  <c r="A2574" i="64"/>
  <c r="A2575" i="64"/>
  <c r="A2576" i="64"/>
  <c r="A2577" i="64"/>
  <c r="B2561" i="64"/>
  <c r="B2562" i="64"/>
  <c r="B2563" i="64"/>
  <c r="B2564" i="64"/>
  <c r="B2565" i="64"/>
  <c r="B2566" i="64"/>
  <c r="B2567" i="64"/>
  <c r="B2568" i="64"/>
  <c r="B2569" i="64"/>
  <c r="B2570" i="64"/>
  <c r="B2571" i="64"/>
  <c r="B2572" i="64"/>
  <c r="B2573" i="64"/>
  <c r="B2574" i="64"/>
  <c r="B2575" i="64"/>
  <c r="B2576" i="64"/>
  <c r="B2577" i="64"/>
  <c r="J2561" i="64"/>
  <c r="J2562" i="64"/>
  <c r="J2563" i="64"/>
  <c r="J2564" i="64"/>
  <c r="J2565" i="64"/>
  <c r="J2566" i="64"/>
  <c r="J2567" i="64"/>
  <c r="J2568" i="64"/>
  <c r="J2569" i="64"/>
  <c r="J2570" i="64"/>
  <c r="J2571" i="64"/>
  <c r="J2572" i="64"/>
  <c r="J2573" i="64"/>
  <c r="J2574" i="64"/>
  <c r="J2575" i="64"/>
  <c r="J2576" i="64"/>
  <c r="J2577" i="64"/>
  <c r="K2561" i="64"/>
  <c r="K2562" i="64"/>
  <c r="K2563" i="64"/>
  <c r="K2564" i="64"/>
  <c r="K2565" i="64"/>
  <c r="K2566" i="64"/>
  <c r="K2567" i="64"/>
  <c r="K2568" i="64"/>
  <c r="K2569" i="64"/>
  <c r="K2570" i="64"/>
  <c r="K2571" i="64"/>
  <c r="K2572" i="64"/>
  <c r="K2573" i="64"/>
  <c r="K2574" i="64"/>
  <c r="K2575" i="64"/>
  <c r="K2576" i="64"/>
  <c r="K2577" i="64"/>
  <c r="M2561" i="64"/>
  <c r="N2561" i="64" s="1"/>
  <c r="M2562" i="64"/>
  <c r="N2562" i="64" s="1"/>
  <c r="M2563" i="64"/>
  <c r="N2563" i="64" s="1"/>
  <c r="M2564" i="64"/>
  <c r="N2564" i="64" s="1"/>
  <c r="M2565" i="64"/>
  <c r="N2565" i="64" s="1"/>
  <c r="M2566" i="64"/>
  <c r="N2566" i="64" s="1"/>
  <c r="M2567" i="64"/>
  <c r="N2567" i="64" s="1"/>
  <c r="M2568" i="64"/>
  <c r="N2568" i="64" s="1"/>
  <c r="M2569" i="64"/>
  <c r="N2569" i="64" s="1"/>
  <c r="M2570" i="64"/>
  <c r="N2570" i="64" s="1"/>
  <c r="M2571" i="64"/>
  <c r="N2571" i="64" s="1"/>
  <c r="M2572" i="64"/>
  <c r="N2572" i="64" s="1"/>
  <c r="M2573" i="64"/>
  <c r="N2573" i="64" s="1"/>
  <c r="M2574" i="64"/>
  <c r="N2574" i="64" s="1"/>
  <c r="M2575" i="64"/>
  <c r="N2575" i="64" s="1"/>
  <c r="M2576" i="64"/>
  <c r="N2576" i="64" s="1"/>
  <c r="M2577" i="64"/>
  <c r="N2577" i="64" s="1"/>
  <c r="H2264" i="64"/>
  <c r="H2265" i="64"/>
  <c r="H2266" i="64"/>
  <c r="H2267" i="64"/>
  <c r="H2268" i="64"/>
  <c r="H2269" i="64"/>
  <c r="H2270" i="64"/>
  <c r="H2271" i="64"/>
  <c r="H2272" i="64"/>
  <c r="H2578" i="64"/>
  <c r="H2579" i="64"/>
  <c r="H2580" i="64"/>
  <c r="H2581" i="64"/>
  <c r="H2582" i="64"/>
  <c r="H2583" i="64"/>
  <c r="H2584" i="64"/>
  <c r="H2585" i="64"/>
  <c r="H2586" i="64"/>
  <c r="H2587" i="64"/>
  <c r="H2588" i="64"/>
  <c r="H2589" i="64"/>
  <c r="H2590" i="64"/>
  <c r="H2591" i="64"/>
  <c r="H2592" i="64"/>
  <c r="H2593" i="64"/>
  <c r="H2594" i="64"/>
  <c r="H2595" i="64"/>
  <c r="H2596" i="64"/>
  <c r="G2264" i="64"/>
  <c r="G2265" i="64"/>
  <c r="G2266" i="64"/>
  <c r="G2267" i="64"/>
  <c r="G2268" i="64"/>
  <c r="G2269" i="64"/>
  <c r="G2270" i="64"/>
  <c r="G2271" i="64"/>
  <c r="G2272" i="64"/>
  <c r="G2578" i="64"/>
  <c r="G2579" i="64"/>
  <c r="G2580" i="64"/>
  <c r="G2581" i="64"/>
  <c r="G2582" i="64"/>
  <c r="G2583" i="64"/>
  <c r="G2584" i="64"/>
  <c r="G2585" i="64"/>
  <c r="G2586" i="64"/>
  <c r="G2587" i="64"/>
  <c r="G2588" i="64"/>
  <c r="G2589" i="64"/>
  <c r="G2590" i="64"/>
  <c r="G2591" i="64"/>
  <c r="G2592" i="64"/>
  <c r="G2593" i="64"/>
  <c r="G2594" i="64"/>
  <c r="G2595" i="64"/>
  <c r="G2596" i="64"/>
  <c r="F2264" i="64"/>
  <c r="F2265" i="64"/>
  <c r="F2266" i="64"/>
  <c r="F2267" i="64"/>
  <c r="F2268" i="64"/>
  <c r="F2269" i="64"/>
  <c r="F2270" i="64"/>
  <c r="F2271" i="64"/>
  <c r="F2272" i="64"/>
  <c r="F2578" i="64"/>
  <c r="F2579" i="64"/>
  <c r="F2580" i="64"/>
  <c r="F2581" i="64"/>
  <c r="F2582" i="64"/>
  <c r="F2583" i="64"/>
  <c r="F2584" i="64"/>
  <c r="F2585" i="64"/>
  <c r="F2586" i="64"/>
  <c r="F2587" i="64"/>
  <c r="F2588" i="64"/>
  <c r="F2589" i="64"/>
  <c r="F2590" i="64"/>
  <c r="F2591" i="64"/>
  <c r="F2592" i="64"/>
  <c r="F2593" i="64"/>
  <c r="F2594" i="64"/>
  <c r="F2595" i="64"/>
  <c r="A2264" i="64"/>
  <c r="B2264" i="64"/>
  <c r="J2264" i="64"/>
  <c r="K2264" i="64"/>
  <c r="M2264" i="64"/>
  <c r="N2264" i="64" s="1"/>
  <c r="A2265" i="64"/>
  <c r="B2265" i="64"/>
  <c r="J2265" i="64"/>
  <c r="K2265" i="64"/>
  <c r="M2265" i="64"/>
  <c r="N2265" i="64" s="1"/>
  <c r="A2266" i="64"/>
  <c r="B2266" i="64"/>
  <c r="J2266" i="64"/>
  <c r="K2266" i="64"/>
  <c r="M2266" i="64"/>
  <c r="N2266" i="64" s="1"/>
  <c r="A2267" i="64"/>
  <c r="B2267" i="64"/>
  <c r="J2267" i="64"/>
  <c r="K2267" i="64"/>
  <c r="M2267" i="64"/>
  <c r="N2267" i="64" s="1"/>
  <c r="A2268" i="64"/>
  <c r="B2268" i="64"/>
  <c r="J2268" i="64"/>
  <c r="K2268" i="64"/>
  <c r="M2268" i="64"/>
  <c r="N2268" i="64" s="1"/>
  <c r="A2269" i="64"/>
  <c r="B2269" i="64"/>
  <c r="J2269" i="64"/>
  <c r="K2269" i="64"/>
  <c r="M2269" i="64"/>
  <c r="N2269" i="64" s="1"/>
  <c r="A2270" i="64"/>
  <c r="B2270" i="64"/>
  <c r="J2270" i="64"/>
  <c r="K2270" i="64"/>
  <c r="M2270" i="64"/>
  <c r="N2270" i="64" s="1"/>
  <c r="A2271" i="64"/>
  <c r="B2271" i="64"/>
  <c r="J2271" i="64"/>
  <c r="K2271" i="64"/>
  <c r="M2271" i="64"/>
  <c r="N2271" i="64" s="1"/>
  <c r="A2272" i="64"/>
  <c r="B2272" i="64"/>
  <c r="J2272" i="64"/>
  <c r="K2272" i="64"/>
  <c r="M2272" i="64"/>
  <c r="N2272" i="64" s="1"/>
  <c r="A2578" i="64"/>
  <c r="B2578" i="64"/>
  <c r="J2578" i="64"/>
  <c r="K2578" i="64"/>
  <c r="M2578" i="64"/>
  <c r="N2578" i="64" s="1"/>
  <c r="A2579" i="64"/>
  <c r="B2579" i="64"/>
  <c r="J2579" i="64"/>
  <c r="K2579" i="64"/>
  <c r="M2579" i="64"/>
  <c r="N2579" i="64" s="1"/>
  <c r="A2580" i="64"/>
  <c r="B2580" i="64"/>
  <c r="J2580" i="64"/>
  <c r="K2580" i="64"/>
  <c r="M2580" i="64"/>
  <c r="N2580" i="64" s="1"/>
  <c r="A2581" i="64"/>
  <c r="B2581" i="64"/>
  <c r="J2581" i="64"/>
  <c r="K2581" i="64"/>
  <c r="M2581" i="64"/>
  <c r="N2581" i="64" s="1"/>
  <c r="A2582" i="64"/>
  <c r="B2582" i="64"/>
  <c r="J2582" i="64"/>
  <c r="K2582" i="64"/>
  <c r="M2582" i="64"/>
  <c r="N2582" i="64" s="1"/>
  <c r="A2583" i="64"/>
  <c r="B2583" i="64"/>
  <c r="J2583" i="64"/>
  <c r="K2583" i="64"/>
  <c r="M2583" i="64"/>
  <c r="N2583" i="64" s="1"/>
  <c r="A2584" i="64"/>
  <c r="B2584" i="64"/>
  <c r="J2584" i="64"/>
  <c r="K2584" i="64"/>
  <c r="M2584" i="64"/>
  <c r="N2584" i="64" s="1"/>
  <c r="A2585" i="64"/>
  <c r="B2585" i="64"/>
  <c r="J2585" i="64"/>
  <c r="K2585" i="64"/>
  <c r="M2585" i="64"/>
  <c r="N2585" i="64" s="1"/>
  <c r="A2586" i="64"/>
  <c r="B2586" i="64"/>
  <c r="J2586" i="64"/>
  <c r="K2586" i="64"/>
  <c r="M2586" i="64"/>
  <c r="N2586" i="64" s="1"/>
  <c r="A2587" i="64"/>
  <c r="B2587" i="64"/>
  <c r="J2587" i="64"/>
  <c r="K2587" i="64"/>
  <c r="M2587" i="64"/>
  <c r="N2587" i="64" s="1"/>
  <c r="A2588" i="64"/>
  <c r="B2588" i="64"/>
  <c r="J2588" i="64"/>
  <c r="K2588" i="64"/>
  <c r="M2588" i="64"/>
  <c r="N2588" i="64" s="1"/>
  <c r="A2589" i="64"/>
  <c r="B2589" i="64"/>
  <c r="J2589" i="64"/>
  <c r="K2589" i="64"/>
  <c r="M2589" i="64"/>
  <c r="N2589" i="64" s="1"/>
  <c r="A2590" i="64"/>
  <c r="B2590" i="64"/>
  <c r="J2590" i="64"/>
  <c r="K2590" i="64"/>
  <c r="M2590" i="64"/>
  <c r="N2590" i="64" s="1"/>
  <c r="A2591" i="64"/>
  <c r="B2591" i="64"/>
  <c r="J2591" i="64"/>
  <c r="K2591" i="64"/>
  <c r="M2591" i="64"/>
  <c r="N2591" i="64" s="1"/>
  <c r="A2592" i="64"/>
  <c r="B2592" i="64"/>
  <c r="J2592" i="64"/>
  <c r="K2592" i="64"/>
  <c r="M2592" i="64"/>
  <c r="N2592" i="64" s="1"/>
  <c r="A2593" i="64"/>
  <c r="B2593" i="64"/>
  <c r="J2593" i="64"/>
  <c r="K2593" i="64"/>
  <c r="M2593" i="64"/>
  <c r="N2593" i="64" s="1"/>
  <c r="A2594" i="64"/>
  <c r="B2594" i="64"/>
  <c r="J2594" i="64"/>
  <c r="K2594" i="64"/>
  <c r="M2594" i="64"/>
  <c r="N2594" i="64" s="1"/>
  <c r="A2595" i="64"/>
  <c r="B2595" i="64"/>
  <c r="J2595" i="64"/>
  <c r="K2595" i="64"/>
  <c r="M2595" i="64"/>
  <c r="N2595" i="64" s="1"/>
  <c r="N212" i="68"/>
  <c r="D224" i="68"/>
  <c r="E224" i="68"/>
  <c r="F224" i="68"/>
  <c r="G224" i="68"/>
  <c r="H224" i="68"/>
  <c r="I224" i="68"/>
  <c r="L224" i="68"/>
  <c r="M224" i="68"/>
  <c r="C224" i="68"/>
  <c r="N213" i="68"/>
  <c r="N214" i="68"/>
  <c r="N215" i="68"/>
  <c r="N216" i="68"/>
  <c r="N217" i="68"/>
  <c r="N218" i="68"/>
  <c r="N219" i="68"/>
  <c r="N220" i="68"/>
  <c r="N221" i="68"/>
  <c r="N222" i="68"/>
  <c r="N223" i="68"/>
  <c r="H2240" i="64"/>
  <c r="H2241" i="64"/>
  <c r="H2242" i="64"/>
  <c r="H2243" i="64"/>
  <c r="H2244" i="64"/>
  <c r="H2245" i="64"/>
  <c r="H2246" i="64"/>
  <c r="H2247" i="64"/>
  <c r="H2248" i="64"/>
  <c r="H2249" i="64"/>
  <c r="H2250" i="64"/>
  <c r="H2251" i="64"/>
  <c r="H2252" i="64"/>
  <c r="H2253" i="64"/>
  <c r="H2254" i="64"/>
  <c r="H2255" i="64"/>
  <c r="H2256" i="64"/>
  <c r="H2257" i="64"/>
  <c r="H2258" i="64"/>
  <c r="H2259" i="64"/>
  <c r="G2240" i="64"/>
  <c r="G2241" i="64"/>
  <c r="G2242" i="64"/>
  <c r="G2243" i="64"/>
  <c r="G2244" i="64"/>
  <c r="G2245" i="64"/>
  <c r="G2246" i="64"/>
  <c r="G2247" i="64"/>
  <c r="G2248" i="64"/>
  <c r="G2249" i="64"/>
  <c r="G2250" i="64"/>
  <c r="G2251" i="64"/>
  <c r="G2252" i="64"/>
  <c r="G2253" i="64"/>
  <c r="G2254" i="64"/>
  <c r="G2255" i="64"/>
  <c r="G2256" i="64"/>
  <c r="G2257" i="64"/>
  <c r="G2258" i="64"/>
  <c r="G2259" i="64"/>
  <c r="F2240" i="64"/>
  <c r="F2241" i="64"/>
  <c r="F2242" i="64"/>
  <c r="F2243" i="64"/>
  <c r="F2244" i="64"/>
  <c r="F2245" i="64"/>
  <c r="F2246" i="64"/>
  <c r="F2247" i="64"/>
  <c r="F2248" i="64"/>
  <c r="F2249" i="64"/>
  <c r="F2250" i="64"/>
  <c r="F2251" i="64"/>
  <c r="F2252" i="64"/>
  <c r="F2253" i="64"/>
  <c r="F2254" i="64"/>
  <c r="F2255" i="64"/>
  <c r="F2256" i="64"/>
  <c r="F2257" i="64"/>
  <c r="F2258" i="64"/>
  <c r="F2259" i="64"/>
  <c r="A2240" i="64"/>
  <c r="A2241" i="64"/>
  <c r="A2242" i="64"/>
  <c r="A2243" i="64"/>
  <c r="B2240" i="64"/>
  <c r="B2241" i="64"/>
  <c r="B2242" i="64"/>
  <c r="B2243" i="64"/>
  <c r="J2240" i="64"/>
  <c r="J2241" i="64"/>
  <c r="J2242" i="64"/>
  <c r="J2243" i="64"/>
  <c r="K2240" i="64"/>
  <c r="K2241" i="64"/>
  <c r="K2242" i="64"/>
  <c r="K2243" i="64"/>
  <c r="M2240" i="64"/>
  <c r="N2240" i="64" s="1"/>
  <c r="M2241" i="64"/>
  <c r="N2241" i="64" s="1"/>
  <c r="M2242" i="64"/>
  <c r="N2242" i="64" s="1"/>
  <c r="M2243" i="64"/>
  <c r="N2243" i="64" s="1"/>
  <c r="A2244" i="64"/>
  <c r="A2245" i="64"/>
  <c r="A2246" i="64"/>
  <c r="A2247" i="64"/>
  <c r="B2244" i="64"/>
  <c r="B2245" i="64"/>
  <c r="B2246" i="64"/>
  <c r="B2247" i="64"/>
  <c r="J2244" i="64"/>
  <c r="J2245" i="64"/>
  <c r="J2246" i="64"/>
  <c r="J2247" i="64"/>
  <c r="K2244" i="64"/>
  <c r="K2245" i="64"/>
  <c r="K2246" i="64"/>
  <c r="K2247" i="64"/>
  <c r="M2244" i="64"/>
  <c r="N2244" i="64" s="1"/>
  <c r="M2245" i="64"/>
  <c r="N2245" i="64" s="1"/>
  <c r="M2246" i="64"/>
  <c r="N2246" i="64" s="1"/>
  <c r="M2247" i="64"/>
  <c r="N2247" i="64" s="1"/>
  <c r="A2248" i="64"/>
  <c r="A2249" i="64"/>
  <c r="A2250" i="64"/>
  <c r="A2251" i="64"/>
  <c r="B2248" i="64"/>
  <c r="B2249" i="64"/>
  <c r="B2250" i="64"/>
  <c r="B2251" i="64"/>
  <c r="J2248" i="64"/>
  <c r="J2249" i="64"/>
  <c r="J2250" i="64"/>
  <c r="J2251" i="64"/>
  <c r="K2248" i="64"/>
  <c r="K2249" i="64"/>
  <c r="K2250" i="64"/>
  <c r="K2251" i="64"/>
  <c r="M2248" i="64"/>
  <c r="N2248" i="64" s="1"/>
  <c r="M2249" i="64"/>
  <c r="N2249" i="64" s="1"/>
  <c r="M2250" i="64"/>
  <c r="N2250" i="64" s="1"/>
  <c r="M2251" i="64"/>
  <c r="N2251" i="64" s="1"/>
  <c r="A2252" i="64"/>
  <c r="A2253" i="64"/>
  <c r="A2254" i="64"/>
  <c r="A2255" i="64"/>
  <c r="B2252" i="64"/>
  <c r="B2253" i="64"/>
  <c r="B2254" i="64"/>
  <c r="B2255" i="64"/>
  <c r="J2252" i="64"/>
  <c r="J2253" i="64"/>
  <c r="J2254" i="64"/>
  <c r="J2255" i="64"/>
  <c r="K2252" i="64"/>
  <c r="K2253" i="64"/>
  <c r="K2254" i="64"/>
  <c r="K2255" i="64"/>
  <c r="M2252" i="64"/>
  <c r="N2252" i="64" s="1"/>
  <c r="M2253" i="64"/>
  <c r="N2253" i="64" s="1"/>
  <c r="M2254" i="64"/>
  <c r="N2254" i="64" s="1"/>
  <c r="M2255" i="64"/>
  <c r="N2255" i="64" s="1"/>
  <c r="A2256" i="64"/>
  <c r="A2257" i="64"/>
  <c r="A2258" i="64"/>
  <c r="A2259" i="64"/>
  <c r="B2256" i="64"/>
  <c r="B2257" i="64"/>
  <c r="B2258" i="64"/>
  <c r="B2259" i="64"/>
  <c r="J2256" i="64"/>
  <c r="J2257" i="64"/>
  <c r="J2258" i="64"/>
  <c r="J2259" i="64"/>
  <c r="K2256" i="64"/>
  <c r="K2257" i="64"/>
  <c r="K2258" i="64"/>
  <c r="K2259" i="64"/>
  <c r="M2256" i="64"/>
  <c r="N2256" i="64" s="1"/>
  <c r="M2257" i="64"/>
  <c r="N2257" i="64" s="1"/>
  <c r="M2258" i="64"/>
  <c r="N2258" i="64" s="1"/>
  <c r="M2259" i="64"/>
  <c r="N2259" i="64" s="1"/>
  <c r="H2226" i="64"/>
  <c r="H2227" i="64"/>
  <c r="H2228" i="64"/>
  <c r="H2229" i="64"/>
  <c r="H2230" i="64"/>
  <c r="H2231" i="64"/>
  <c r="H2232" i="64"/>
  <c r="H2233" i="64"/>
  <c r="H2234" i="64"/>
  <c r="H2235" i="64"/>
  <c r="H2236" i="64"/>
  <c r="H2237" i="64"/>
  <c r="H2238" i="64"/>
  <c r="H2239" i="64"/>
  <c r="H2260" i="64"/>
  <c r="H2261" i="64"/>
  <c r="H2262" i="64"/>
  <c r="H2263" i="64"/>
  <c r="G2226" i="64"/>
  <c r="G2227" i="64"/>
  <c r="G2228" i="64"/>
  <c r="G2229" i="64"/>
  <c r="G2230" i="64"/>
  <c r="G2231" i="64"/>
  <c r="G2232" i="64"/>
  <c r="G2233" i="64"/>
  <c r="G2234" i="64"/>
  <c r="G2235" i="64"/>
  <c r="G2236" i="64"/>
  <c r="G2237" i="64"/>
  <c r="G2238" i="64"/>
  <c r="G2239" i="64"/>
  <c r="G2260" i="64"/>
  <c r="G2261" i="64"/>
  <c r="G2262" i="64"/>
  <c r="G2263" i="64"/>
  <c r="F2226" i="64"/>
  <c r="F2227" i="64"/>
  <c r="F2228" i="64"/>
  <c r="F2229" i="64"/>
  <c r="F2230" i="64"/>
  <c r="F2231" i="64"/>
  <c r="F2232" i="64"/>
  <c r="F2233" i="64"/>
  <c r="F2234" i="64"/>
  <c r="F2235" i="64"/>
  <c r="F2236" i="64"/>
  <c r="F2237" i="64"/>
  <c r="F2238" i="64"/>
  <c r="F2239" i="64"/>
  <c r="F2260" i="64"/>
  <c r="F2261" i="64"/>
  <c r="F2262" i="64"/>
  <c r="F2263" i="64"/>
  <c r="A2226" i="64"/>
  <c r="A2227" i="64"/>
  <c r="A2228" i="64"/>
  <c r="A2229" i="64"/>
  <c r="A2230" i="64"/>
  <c r="B2226" i="64"/>
  <c r="B2227" i="64"/>
  <c r="B2228" i="64"/>
  <c r="B2229" i="64"/>
  <c r="B2230" i="64"/>
  <c r="J2226" i="64"/>
  <c r="J2227" i="64"/>
  <c r="J2228" i="64"/>
  <c r="J2229" i="64"/>
  <c r="J2230" i="64"/>
  <c r="K2226" i="64"/>
  <c r="K2227" i="64"/>
  <c r="K2228" i="64"/>
  <c r="K2229" i="64"/>
  <c r="K2230" i="64"/>
  <c r="M2226" i="64"/>
  <c r="N2226" i="64" s="1"/>
  <c r="M2227" i="64"/>
  <c r="N2227" i="64" s="1"/>
  <c r="M2228" i="64"/>
  <c r="N2228" i="64" s="1"/>
  <c r="M2229" i="64"/>
  <c r="N2229" i="64" s="1"/>
  <c r="M2230" i="64"/>
  <c r="N2230" i="64" s="1"/>
  <c r="A2231" i="64"/>
  <c r="B2231" i="64"/>
  <c r="J2231" i="64"/>
  <c r="K2231" i="64"/>
  <c r="M2231" i="64"/>
  <c r="N2231" i="64" s="1"/>
  <c r="A2232" i="64"/>
  <c r="B2232" i="64"/>
  <c r="J2232" i="64"/>
  <c r="K2232" i="64"/>
  <c r="M2232" i="64"/>
  <c r="N2232" i="64" s="1"/>
  <c r="A2233" i="64"/>
  <c r="B2233" i="64"/>
  <c r="J2233" i="64"/>
  <c r="K2233" i="64"/>
  <c r="M2233" i="64"/>
  <c r="N2233" i="64" s="1"/>
  <c r="A2234" i="64"/>
  <c r="B2234" i="64"/>
  <c r="J2234" i="64"/>
  <c r="K2234" i="64"/>
  <c r="M2234" i="64"/>
  <c r="N2234" i="64" s="1"/>
  <c r="A2235" i="64"/>
  <c r="B2235" i="64"/>
  <c r="J2235" i="64"/>
  <c r="K2235" i="64"/>
  <c r="M2235" i="64"/>
  <c r="N2235" i="64" s="1"/>
  <c r="A2236" i="64"/>
  <c r="B2236" i="64"/>
  <c r="J2236" i="64"/>
  <c r="K2236" i="64"/>
  <c r="M2236" i="64"/>
  <c r="N2236" i="64" s="1"/>
  <c r="A2237" i="64"/>
  <c r="B2237" i="64"/>
  <c r="J2237" i="64"/>
  <c r="K2237" i="64"/>
  <c r="M2237" i="64"/>
  <c r="N2237" i="64" s="1"/>
  <c r="A2238" i="64"/>
  <c r="B2238" i="64"/>
  <c r="J2238" i="64"/>
  <c r="K2238" i="64"/>
  <c r="M2238" i="64"/>
  <c r="N2238" i="64" s="1"/>
  <c r="A2239" i="64"/>
  <c r="B2239" i="64"/>
  <c r="J2239" i="64"/>
  <c r="K2239" i="64"/>
  <c r="M2239" i="64"/>
  <c r="N2239" i="64" s="1"/>
  <c r="A2260" i="64"/>
  <c r="B2260" i="64"/>
  <c r="J2260" i="64"/>
  <c r="K2260" i="64"/>
  <c r="M2260" i="64"/>
  <c r="N2260" i="64" s="1"/>
  <c r="A2261" i="64"/>
  <c r="B2261" i="64"/>
  <c r="J2261" i="64"/>
  <c r="K2261" i="64"/>
  <c r="M2261" i="64"/>
  <c r="N2261" i="64" s="1"/>
  <c r="A2262" i="64"/>
  <c r="B2262" i="64"/>
  <c r="J2262" i="64"/>
  <c r="K2262" i="64"/>
  <c r="M2262" i="64"/>
  <c r="N2262" i="64" s="1"/>
  <c r="A2263" i="64"/>
  <c r="B2263" i="64"/>
  <c r="J2263" i="64"/>
  <c r="K2263" i="64"/>
  <c r="M2263" i="64"/>
  <c r="N2263" i="64" s="1"/>
  <c r="J16" i="69"/>
  <c r="F2190" i="64"/>
  <c r="H2188" i="64"/>
  <c r="H2187" i="64"/>
  <c r="H2185" i="64"/>
  <c r="H2186" i="64"/>
  <c r="H2189" i="64"/>
  <c r="H2191" i="64"/>
  <c r="H2192" i="64"/>
  <c r="H2193" i="64"/>
  <c r="H2194" i="64"/>
  <c r="H2195" i="64"/>
  <c r="H2196" i="64"/>
  <c r="H2197" i="64"/>
  <c r="H2198" i="64"/>
  <c r="H2199" i="64"/>
  <c r="H2200" i="64"/>
  <c r="H2201" i="64"/>
  <c r="H2202" i="64"/>
  <c r="H2203" i="64"/>
  <c r="H2204" i="64"/>
  <c r="H2205" i="64"/>
  <c r="H2206" i="64"/>
  <c r="H2207" i="64"/>
  <c r="H2208" i="64"/>
  <c r="H2209" i="64"/>
  <c r="H2210" i="64"/>
  <c r="H2211" i="64"/>
  <c r="H2212" i="64"/>
  <c r="H2213" i="64"/>
  <c r="H2214" i="64"/>
  <c r="H2215" i="64"/>
  <c r="H2216" i="64"/>
  <c r="G2185" i="64"/>
  <c r="G2186" i="64"/>
  <c r="G2189" i="64"/>
  <c r="G2191" i="64"/>
  <c r="G2192" i="64"/>
  <c r="G2193" i="64"/>
  <c r="G2194" i="64"/>
  <c r="G2195" i="64"/>
  <c r="G2196" i="64"/>
  <c r="G2197" i="64"/>
  <c r="G2198" i="64"/>
  <c r="G2199" i="64"/>
  <c r="G2200" i="64"/>
  <c r="G2201" i="64"/>
  <c r="G2202" i="64"/>
  <c r="G2203" i="64"/>
  <c r="G2204" i="64"/>
  <c r="G2205" i="64"/>
  <c r="G2206" i="64"/>
  <c r="G2207" i="64"/>
  <c r="G2208" i="64"/>
  <c r="G2209" i="64"/>
  <c r="G2210" i="64"/>
  <c r="G2211" i="64"/>
  <c r="G2212" i="64"/>
  <c r="G2213" i="64"/>
  <c r="G2214" i="64"/>
  <c r="G2215" i="64"/>
  <c r="G2216" i="64"/>
  <c r="F2185" i="64"/>
  <c r="F2186" i="64"/>
  <c r="F2189" i="64"/>
  <c r="F2191" i="64"/>
  <c r="F2192" i="64"/>
  <c r="F2193" i="64"/>
  <c r="F2194" i="64"/>
  <c r="F2195" i="64"/>
  <c r="F2196" i="64"/>
  <c r="F2197" i="64"/>
  <c r="F2198" i="64"/>
  <c r="F2199" i="64"/>
  <c r="F2200" i="64"/>
  <c r="F2201" i="64"/>
  <c r="F2202" i="64"/>
  <c r="F2203" i="64"/>
  <c r="F2204" i="64"/>
  <c r="F2205" i="64"/>
  <c r="F2206" i="64"/>
  <c r="F2207" i="64"/>
  <c r="F2208" i="64"/>
  <c r="F2209" i="64"/>
  <c r="F2210" i="64"/>
  <c r="F2211" i="64"/>
  <c r="F2212" i="64"/>
  <c r="F2213" i="64"/>
  <c r="F2214" i="64"/>
  <c r="F2215" i="64"/>
  <c r="F2216" i="64"/>
  <c r="A2185" i="64"/>
  <c r="A2186" i="64"/>
  <c r="A2187" i="64"/>
  <c r="A2188" i="64"/>
  <c r="A2189" i="64"/>
  <c r="A2190" i="64"/>
  <c r="A2191" i="64"/>
  <c r="A2192" i="64"/>
  <c r="B2185" i="64"/>
  <c r="B2186" i="64"/>
  <c r="B2187" i="64"/>
  <c r="B2188" i="64"/>
  <c r="B2189" i="64"/>
  <c r="B2190" i="64"/>
  <c r="B2191" i="64"/>
  <c r="B2192" i="64"/>
  <c r="J2185" i="64"/>
  <c r="J2186" i="64"/>
  <c r="J2187" i="64"/>
  <c r="J2188" i="64"/>
  <c r="J2189" i="64"/>
  <c r="J2190" i="64"/>
  <c r="J2191" i="64"/>
  <c r="J2192" i="64"/>
  <c r="K2185" i="64"/>
  <c r="K2186" i="64"/>
  <c r="K2187" i="64"/>
  <c r="K2188" i="64"/>
  <c r="K2189" i="64"/>
  <c r="K2190" i="64"/>
  <c r="K2191" i="64"/>
  <c r="K2192" i="64"/>
  <c r="M2185" i="64"/>
  <c r="N2185" i="64" s="1"/>
  <c r="M2186" i="64"/>
  <c r="N2186" i="64" s="1"/>
  <c r="M2187" i="64"/>
  <c r="N2187" i="64" s="1"/>
  <c r="M2188" i="64"/>
  <c r="N2188" i="64" s="1"/>
  <c r="M2189" i="64"/>
  <c r="N2189" i="64" s="1"/>
  <c r="M2190" i="64"/>
  <c r="N2190" i="64" s="1"/>
  <c r="M2191" i="64"/>
  <c r="N2191" i="64" s="1"/>
  <c r="M2192" i="64"/>
  <c r="N2192" i="64" s="1"/>
  <c r="A2193" i="64"/>
  <c r="A2194" i="64"/>
  <c r="A2195" i="64"/>
  <c r="A2196" i="64"/>
  <c r="A2197" i="64"/>
  <c r="A2198" i="64"/>
  <c r="A2199" i="64"/>
  <c r="A2200" i="64"/>
  <c r="B2193" i="64"/>
  <c r="B2194" i="64"/>
  <c r="B2195" i="64"/>
  <c r="B2196" i="64"/>
  <c r="B2197" i="64"/>
  <c r="B2198" i="64"/>
  <c r="B2199" i="64"/>
  <c r="B2200" i="64"/>
  <c r="J2193" i="64"/>
  <c r="J2194" i="64"/>
  <c r="J2195" i="64"/>
  <c r="J2196" i="64"/>
  <c r="J2197" i="64"/>
  <c r="J2198" i="64"/>
  <c r="J2199" i="64"/>
  <c r="J2200" i="64"/>
  <c r="K2193" i="64"/>
  <c r="K2194" i="64"/>
  <c r="K2195" i="64"/>
  <c r="K2196" i="64"/>
  <c r="K2197" i="64"/>
  <c r="K2198" i="64"/>
  <c r="K2199" i="64"/>
  <c r="K2200" i="64"/>
  <c r="M2193" i="64"/>
  <c r="N2193" i="64" s="1"/>
  <c r="M2194" i="64"/>
  <c r="N2194" i="64" s="1"/>
  <c r="M2195" i="64"/>
  <c r="N2195" i="64" s="1"/>
  <c r="M2196" i="64"/>
  <c r="N2196" i="64" s="1"/>
  <c r="M2197" i="64"/>
  <c r="N2197" i="64" s="1"/>
  <c r="M2198" i="64"/>
  <c r="N2198" i="64" s="1"/>
  <c r="M2199" i="64"/>
  <c r="N2199" i="64" s="1"/>
  <c r="M2200" i="64"/>
  <c r="N2200" i="64" s="1"/>
  <c r="A2201" i="64"/>
  <c r="A2202" i="64"/>
  <c r="A2203" i="64"/>
  <c r="A2204" i="64"/>
  <c r="A2205" i="64"/>
  <c r="A2206" i="64"/>
  <c r="A2207" i="64"/>
  <c r="A2208" i="64"/>
  <c r="B2201" i="64"/>
  <c r="B2202" i="64"/>
  <c r="B2203" i="64"/>
  <c r="B2204" i="64"/>
  <c r="B2205" i="64"/>
  <c r="B2206" i="64"/>
  <c r="B2207" i="64"/>
  <c r="B2208" i="64"/>
  <c r="J2201" i="64"/>
  <c r="J2202" i="64"/>
  <c r="J2203" i="64"/>
  <c r="J2204" i="64"/>
  <c r="J2205" i="64"/>
  <c r="J2206" i="64"/>
  <c r="J2207" i="64"/>
  <c r="J2208" i="64"/>
  <c r="K2201" i="64"/>
  <c r="K2202" i="64"/>
  <c r="K2203" i="64"/>
  <c r="K2204" i="64"/>
  <c r="K2205" i="64"/>
  <c r="K2206" i="64"/>
  <c r="K2207" i="64"/>
  <c r="K2208" i="64"/>
  <c r="M2201" i="64"/>
  <c r="N2201" i="64" s="1"/>
  <c r="M2202" i="64"/>
  <c r="N2202" i="64" s="1"/>
  <c r="M2203" i="64"/>
  <c r="N2203" i="64" s="1"/>
  <c r="M2204" i="64"/>
  <c r="N2204" i="64" s="1"/>
  <c r="M2205" i="64"/>
  <c r="N2205" i="64" s="1"/>
  <c r="M2206" i="64"/>
  <c r="N2206" i="64" s="1"/>
  <c r="M2207" i="64"/>
  <c r="N2207" i="64" s="1"/>
  <c r="M2208" i="64"/>
  <c r="N2208" i="64" s="1"/>
  <c r="A2209" i="64"/>
  <c r="A2210" i="64"/>
  <c r="A2211" i="64"/>
  <c r="A2212" i="64"/>
  <c r="A2213" i="64"/>
  <c r="A2214" i="64"/>
  <c r="A2215" i="64"/>
  <c r="A2216" i="64"/>
  <c r="B2209" i="64"/>
  <c r="B2210" i="64"/>
  <c r="B2211" i="64"/>
  <c r="B2212" i="64"/>
  <c r="B2213" i="64"/>
  <c r="B2214" i="64"/>
  <c r="B2215" i="64"/>
  <c r="B2216" i="64"/>
  <c r="J2209" i="64"/>
  <c r="J2210" i="64"/>
  <c r="J2211" i="64"/>
  <c r="J2212" i="64"/>
  <c r="J2213" i="64"/>
  <c r="J2214" i="64"/>
  <c r="J2215" i="64"/>
  <c r="J2216" i="64"/>
  <c r="K2209" i="64"/>
  <c r="K2210" i="64"/>
  <c r="K2211" i="64"/>
  <c r="K2212" i="64"/>
  <c r="K2213" i="64"/>
  <c r="K2214" i="64"/>
  <c r="K2215" i="64"/>
  <c r="K2216" i="64"/>
  <c r="M2209" i="64"/>
  <c r="N2209" i="64" s="1"/>
  <c r="M2210" i="64"/>
  <c r="N2210" i="64" s="1"/>
  <c r="M2211" i="64"/>
  <c r="N2211" i="64" s="1"/>
  <c r="M2212" i="64"/>
  <c r="N2212" i="64" s="1"/>
  <c r="M2213" i="64"/>
  <c r="N2213" i="64" s="1"/>
  <c r="M2214" i="64"/>
  <c r="N2214" i="64" s="1"/>
  <c r="M2215" i="64"/>
  <c r="N2215" i="64" s="1"/>
  <c r="M2216" i="64"/>
  <c r="N2216" i="64" s="1"/>
  <c r="N224" i="68" l="1"/>
  <c r="G2190" i="64"/>
  <c r="H2190" i="64"/>
  <c r="F2188" i="64"/>
  <c r="G2188" i="64"/>
  <c r="F2187" i="64"/>
  <c r="G2187" i="64"/>
  <c r="H2147" i="64"/>
  <c r="H2148" i="64"/>
  <c r="H2149" i="64"/>
  <c r="H2150" i="64"/>
  <c r="H2151" i="64"/>
  <c r="H2152" i="64"/>
  <c r="H2153" i="64"/>
  <c r="H2154" i="64"/>
  <c r="H2155" i="64"/>
  <c r="H2156" i="64"/>
  <c r="H2157" i="64"/>
  <c r="H2158" i="64"/>
  <c r="H2159" i="64"/>
  <c r="H2160" i="64"/>
  <c r="H2161" i="64"/>
  <c r="H2162" i="64"/>
  <c r="H2163" i="64"/>
  <c r="H2164" i="64"/>
  <c r="H2165" i="64"/>
  <c r="H2166" i="64"/>
  <c r="H2167" i="64"/>
  <c r="H2168" i="64"/>
  <c r="H2169" i="64"/>
  <c r="H2170" i="64"/>
  <c r="H2171" i="64"/>
  <c r="H2172" i="64"/>
  <c r="H2173" i="64"/>
  <c r="H2174" i="64"/>
  <c r="H2175" i="64"/>
  <c r="H2176" i="64"/>
  <c r="H2177" i="64"/>
  <c r="H2178" i="64"/>
  <c r="H2179" i="64"/>
  <c r="H2180" i="64"/>
  <c r="H2181" i="64"/>
  <c r="H2182" i="64"/>
  <c r="H2183" i="64"/>
  <c r="H2184" i="64"/>
  <c r="H2217" i="64"/>
  <c r="H2218" i="64"/>
  <c r="H2219" i="64"/>
  <c r="H2220" i="64"/>
  <c r="G2147" i="64"/>
  <c r="G2148" i="64"/>
  <c r="G2149" i="64"/>
  <c r="G2150" i="64"/>
  <c r="G2151" i="64"/>
  <c r="G2152" i="64"/>
  <c r="G2153" i="64"/>
  <c r="G2154" i="64"/>
  <c r="G2155" i="64"/>
  <c r="G2156" i="64"/>
  <c r="G2157" i="64"/>
  <c r="G2158" i="64"/>
  <c r="G2159" i="64"/>
  <c r="G2160" i="64"/>
  <c r="G2161" i="64"/>
  <c r="G2162" i="64"/>
  <c r="G2163" i="64"/>
  <c r="G2164" i="64"/>
  <c r="G2165" i="64"/>
  <c r="G2166" i="64"/>
  <c r="G2167" i="64"/>
  <c r="G2168" i="64"/>
  <c r="G2169" i="64"/>
  <c r="G2170" i="64"/>
  <c r="G2171" i="64"/>
  <c r="G2172" i="64"/>
  <c r="G2173" i="64"/>
  <c r="G2174" i="64"/>
  <c r="G2175" i="64"/>
  <c r="G2176" i="64"/>
  <c r="G2177" i="64"/>
  <c r="G2178" i="64"/>
  <c r="G2179" i="64"/>
  <c r="G2180" i="64"/>
  <c r="G2181" i="64"/>
  <c r="G2182" i="64"/>
  <c r="G2183" i="64"/>
  <c r="G2184" i="64"/>
  <c r="G2217" i="64"/>
  <c r="G2218" i="64"/>
  <c r="G2219" i="64"/>
  <c r="G2220" i="64"/>
  <c r="G2221" i="64"/>
  <c r="G2222" i="64"/>
  <c r="F2147" i="64"/>
  <c r="F2148" i="64"/>
  <c r="F2149" i="64"/>
  <c r="F2150" i="64"/>
  <c r="F2151" i="64"/>
  <c r="F2152" i="64"/>
  <c r="F2153" i="64"/>
  <c r="F2154" i="64"/>
  <c r="F2155" i="64"/>
  <c r="F2156" i="64"/>
  <c r="F2157" i="64"/>
  <c r="F2158" i="64"/>
  <c r="F2159" i="64"/>
  <c r="F2160" i="64"/>
  <c r="F2161" i="64"/>
  <c r="F2162" i="64"/>
  <c r="F2163" i="64"/>
  <c r="F2164" i="64"/>
  <c r="F2165" i="64"/>
  <c r="F2166" i="64"/>
  <c r="F2167" i="64"/>
  <c r="F2168" i="64"/>
  <c r="F2169" i="64"/>
  <c r="F2170" i="64"/>
  <c r="F2171" i="64"/>
  <c r="F2172" i="64"/>
  <c r="F2173" i="64"/>
  <c r="F2174" i="64"/>
  <c r="F2175" i="64"/>
  <c r="F2176" i="64"/>
  <c r="F2177" i="64"/>
  <c r="F2178" i="64"/>
  <c r="F2179" i="64"/>
  <c r="F2180" i="64"/>
  <c r="F2181" i="64"/>
  <c r="F2182" i="64"/>
  <c r="F2183" i="64"/>
  <c r="F2184" i="64"/>
  <c r="F2217" i="64"/>
  <c r="F2218" i="64"/>
  <c r="F2219" i="64"/>
  <c r="F2220" i="64"/>
  <c r="A2147" i="64"/>
  <c r="A2148" i="64"/>
  <c r="A2149" i="64"/>
  <c r="A2150" i="64"/>
  <c r="A2151" i="64"/>
  <c r="A2152" i="64"/>
  <c r="B2147" i="64"/>
  <c r="B2148" i="64"/>
  <c r="B2149" i="64"/>
  <c r="B2150" i="64"/>
  <c r="B2151" i="64"/>
  <c r="B2152" i="64"/>
  <c r="J2147" i="64"/>
  <c r="J2148" i="64"/>
  <c r="J2149" i="64"/>
  <c r="J2150" i="64"/>
  <c r="J2151" i="64"/>
  <c r="J2152" i="64"/>
  <c r="K2147" i="64"/>
  <c r="K2148" i="64"/>
  <c r="K2149" i="64"/>
  <c r="K2150" i="64"/>
  <c r="K2151" i="64"/>
  <c r="K2152" i="64"/>
  <c r="M2147" i="64"/>
  <c r="N2147" i="64" s="1"/>
  <c r="M2148" i="64"/>
  <c r="N2148" i="64" s="1"/>
  <c r="M2149" i="64"/>
  <c r="N2149" i="64" s="1"/>
  <c r="M2150" i="64"/>
  <c r="N2150" i="64" s="1"/>
  <c r="M2151" i="64"/>
  <c r="N2151" i="64" s="1"/>
  <c r="M2152" i="64"/>
  <c r="N2152" i="64" s="1"/>
  <c r="A2153" i="64"/>
  <c r="A2154" i="64"/>
  <c r="A2155" i="64"/>
  <c r="A2156" i="64"/>
  <c r="A2157" i="64"/>
  <c r="A2158" i="64"/>
  <c r="B2153" i="64"/>
  <c r="B2154" i="64"/>
  <c r="B2155" i="64"/>
  <c r="B2156" i="64"/>
  <c r="B2157" i="64"/>
  <c r="B2158" i="64"/>
  <c r="J2153" i="64"/>
  <c r="J2154" i="64"/>
  <c r="J2155" i="64"/>
  <c r="J2156" i="64"/>
  <c r="J2157" i="64"/>
  <c r="J2158" i="64"/>
  <c r="K2153" i="64"/>
  <c r="K2154" i="64"/>
  <c r="K2155" i="64"/>
  <c r="K2156" i="64"/>
  <c r="K2157" i="64"/>
  <c r="K2158" i="64"/>
  <c r="M2153" i="64"/>
  <c r="N2153" i="64" s="1"/>
  <c r="M2154" i="64"/>
  <c r="N2154" i="64" s="1"/>
  <c r="M2155" i="64"/>
  <c r="N2155" i="64" s="1"/>
  <c r="M2156" i="64"/>
  <c r="N2156" i="64" s="1"/>
  <c r="M2157" i="64"/>
  <c r="N2157" i="64" s="1"/>
  <c r="M2158" i="64"/>
  <c r="N2158" i="64" s="1"/>
  <c r="A2159" i="64"/>
  <c r="A2160" i="64"/>
  <c r="A2161" i="64"/>
  <c r="A2162" i="64"/>
  <c r="A2163" i="64"/>
  <c r="A2164" i="64"/>
  <c r="B2159" i="64"/>
  <c r="B2160" i="64"/>
  <c r="B2161" i="64"/>
  <c r="B2162" i="64"/>
  <c r="B2163" i="64"/>
  <c r="B2164" i="64"/>
  <c r="J2159" i="64"/>
  <c r="J2160" i="64"/>
  <c r="J2161" i="64"/>
  <c r="J2162" i="64"/>
  <c r="J2163" i="64"/>
  <c r="J2164" i="64"/>
  <c r="K2159" i="64"/>
  <c r="K2160" i="64"/>
  <c r="K2161" i="64"/>
  <c r="K2162" i="64"/>
  <c r="K2163" i="64"/>
  <c r="K2164" i="64"/>
  <c r="M2159" i="64"/>
  <c r="N2159" i="64" s="1"/>
  <c r="M2160" i="64"/>
  <c r="N2160" i="64" s="1"/>
  <c r="M2161" i="64"/>
  <c r="N2161" i="64" s="1"/>
  <c r="M2162" i="64"/>
  <c r="N2162" i="64" s="1"/>
  <c r="M2163" i="64"/>
  <c r="N2163" i="64" s="1"/>
  <c r="M2164" i="64"/>
  <c r="N2164" i="64" s="1"/>
  <c r="A2165" i="64"/>
  <c r="A2166" i="64"/>
  <c r="A2167" i="64"/>
  <c r="A2168" i="64"/>
  <c r="A2169" i="64"/>
  <c r="A2170" i="64"/>
  <c r="B2165" i="64"/>
  <c r="B2166" i="64"/>
  <c r="B2167" i="64"/>
  <c r="B2168" i="64"/>
  <c r="B2169" i="64"/>
  <c r="B2170" i="64"/>
  <c r="J2165" i="64"/>
  <c r="J2166" i="64"/>
  <c r="J2167" i="64"/>
  <c r="J2168" i="64"/>
  <c r="J2169" i="64"/>
  <c r="J2170" i="64"/>
  <c r="K2165" i="64"/>
  <c r="K2166" i="64"/>
  <c r="K2167" i="64"/>
  <c r="K2168" i="64"/>
  <c r="K2169" i="64"/>
  <c r="K2170" i="64"/>
  <c r="M2165" i="64"/>
  <c r="N2165" i="64" s="1"/>
  <c r="M2166" i="64"/>
  <c r="N2166" i="64" s="1"/>
  <c r="M2167" i="64"/>
  <c r="N2167" i="64" s="1"/>
  <c r="M2168" i="64"/>
  <c r="N2168" i="64" s="1"/>
  <c r="M2169" i="64"/>
  <c r="N2169" i="64" s="1"/>
  <c r="M2170" i="64"/>
  <c r="N2170" i="64" s="1"/>
  <c r="A2171" i="64"/>
  <c r="A2172" i="64"/>
  <c r="A2173" i="64"/>
  <c r="A2174" i="64"/>
  <c r="A2175" i="64"/>
  <c r="A2176" i="64"/>
  <c r="B2171" i="64"/>
  <c r="B2172" i="64"/>
  <c r="B2173" i="64"/>
  <c r="B2174" i="64"/>
  <c r="B2175" i="64"/>
  <c r="B2176" i="64"/>
  <c r="J2171" i="64"/>
  <c r="J2172" i="64"/>
  <c r="J2173" i="64"/>
  <c r="J2174" i="64"/>
  <c r="J2175" i="64"/>
  <c r="J2176" i="64"/>
  <c r="K2171" i="64"/>
  <c r="K2172" i="64"/>
  <c r="K2173" i="64"/>
  <c r="K2174" i="64"/>
  <c r="K2175" i="64"/>
  <c r="K2176" i="64"/>
  <c r="M2171" i="64"/>
  <c r="N2171" i="64" s="1"/>
  <c r="M2172" i="64"/>
  <c r="N2172" i="64" s="1"/>
  <c r="M2173" i="64"/>
  <c r="N2173" i="64" s="1"/>
  <c r="M2174" i="64"/>
  <c r="N2174" i="64" s="1"/>
  <c r="M2175" i="64"/>
  <c r="N2175" i="64" s="1"/>
  <c r="M2176" i="64"/>
  <c r="N2176" i="64" s="1"/>
  <c r="A2177" i="64"/>
  <c r="A2178" i="64"/>
  <c r="A2179" i="64"/>
  <c r="A2180" i="64"/>
  <c r="A2181" i="64"/>
  <c r="A2182" i="64"/>
  <c r="B2177" i="64"/>
  <c r="B2178" i="64"/>
  <c r="B2179" i="64"/>
  <c r="B2180" i="64"/>
  <c r="B2181" i="64"/>
  <c r="B2182" i="64"/>
  <c r="J2177" i="64"/>
  <c r="J2178" i="64"/>
  <c r="J2179" i="64"/>
  <c r="J2180" i="64"/>
  <c r="J2181" i="64"/>
  <c r="J2182" i="64"/>
  <c r="K2177" i="64"/>
  <c r="K2178" i="64"/>
  <c r="K2179" i="64"/>
  <c r="K2180" i="64"/>
  <c r="K2181" i="64"/>
  <c r="K2182" i="64"/>
  <c r="M2177" i="64"/>
  <c r="N2177" i="64" s="1"/>
  <c r="M2178" i="64"/>
  <c r="N2178" i="64" s="1"/>
  <c r="M2179" i="64"/>
  <c r="N2179" i="64" s="1"/>
  <c r="M2180" i="64"/>
  <c r="N2180" i="64" s="1"/>
  <c r="M2181" i="64"/>
  <c r="N2181" i="64" s="1"/>
  <c r="M2182" i="64"/>
  <c r="N2182" i="64" s="1"/>
  <c r="A2183" i="64"/>
  <c r="A2184" i="64"/>
  <c r="A2217" i="64"/>
  <c r="A2218" i="64"/>
  <c r="A2219" i="64"/>
  <c r="A2220" i="64"/>
  <c r="B2183" i="64"/>
  <c r="B2184" i="64"/>
  <c r="B2217" i="64"/>
  <c r="B2218" i="64"/>
  <c r="B2219" i="64"/>
  <c r="B2220" i="64"/>
  <c r="J2183" i="64"/>
  <c r="J2184" i="64"/>
  <c r="J2217" i="64"/>
  <c r="J2218" i="64"/>
  <c r="J2219" i="64"/>
  <c r="J2220" i="64"/>
  <c r="K2183" i="64"/>
  <c r="K2184" i="64"/>
  <c r="K2217" i="64"/>
  <c r="K2218" i="64"/>
  <c r="K2219" i="64"/>
  <c r="K2220" i="64"/>
  <c r="M2183" i="64"/>
  <c r="N2183" i="64" s="1"/>
  <c r="M2184" i="64"/>
  <c r="N2184" i="64" s="1"/>
  <c r="M2217" i="64"/>
  <c r="N2217" i="64" s="1"/>
  <c r="M2218" i="64"/>
  <c r="N2218" i="64" s="1"/>
  <c r="M2219" i="64"/>
  <c r="N2219" i="64" s="1"/>
  <c r="M2220" i="64"/>
  <c r="N2220" i="64" s="1"/>
  <c r="C7" i="69"/>
  <c r="B7" i="69"/>
  <c r="N200" i="68" l="1"/>
  <c r="N201" i="68"/>
  <c r="N202" i="68"/>
  <c r="N203" i="68"/>
  <c r="N204" i="68"/>
  <c r="N205" i="68"/>
  <c r="N206" i="68"/>
  <c r="N207" i="68"/>
  <c r="N208" i="68"/>
  <c r="N209" i="68"/>
  <c r="N210" i="68"/>
  <c r="N199" i="68"/>
  <c r="D211" i="68"/>
  <c r="E211" i="68"/>
  <c r="F211" i="68"/>
  <c r="G211" i="68"/>
  <c r="H211" i="68"/>
  <c r="I211" i="68"/>
  <c r="L211" i="68"/>
  <c r="M211" i="68"/>
  <c r="C211" i="68"/>
  <c r="N211" i="68" l="1"/>
  <c r="H2078" i="64"/>
  <c r="H2079" i="64"/>
  <c r="G2078" i="64"/>
  <c r="G2079" i="64"/>
  <c r="F2078" i="64"/>
  <c r="F2079" i="64"/>
  <c r="H2077" i="64"/>
  <c r="G2077" i="64"/>
  <c r="F2077" i="64"/>
  <c r="H2080" i="64"/>
  <c r="A2078" i="64"/>
  <c r="B2078" i="64"/>
  <c r="J2078" i="64"/>
  <c r="K2078" i="64"/>
  <c r="M2078" i="64"/>
  <c r="N2078" i="64" s="1"/>
  <c r="H2081" i="64"/>
  <c r="H2082" i="64"/>
  <c r="H2083" i="64"/>
  <c r="H2084" i="64"/>
  <c r="H2085" i="64"/>
  <c r="H2086" i="64"/>
  <c r="H2087" i="64"/>
  <c r="H2088" i="64"/>
  <c r="H2089" i="64"/>
  <c r="H2090" i="64"/>
  <c r="H2091" i="64"/>
  <c r="H2092" i="64"/>
  <c r="H2093" i="64"/>
  <c r="H2094" i="64"/>
  <c r="H2095" i="64"/>
  <c r="H2096" i="64"/>
  <c r="H2097" i="64"/>
  <c r="H2098" i="64"/>
  <c r="H2099" i="64"/>
  <c r="H2100" i="64"/>
  <c r="H2101" i="64"/>
  <c r="H2102" i="64"/>
  <c r="H2103" i="64"/>
  <c r="H2104" i="64"/>
  <c r="H2105" i="64"/>
  <c r="H2106" i="64"/>
  <c r="H2107" i="64"/>
  <c r="H2108" i="64"/>
  <c r="H2109" i="64"/>
  <c r="H2110" i="64"/>
  <c r="H2111" i="64"/>
  <c r="H2112" i="64"/>
  <c r="H2113" i="64"/>
  <c r="H2114" i="64"/>
  <c r="H2115" i="64"/>
  <c r="H2116" i="64"/>
  <c r="H2117" i="64"/>
  <c r="H2118" i="64"/>
  <c r="H2119" i="64"/>
  <c r="H2120" i="64"/>
  <c r="H2121" i="64"/>
  <c r="H2122" i="64"/>
  <c r="H2123" i="64"/>
  <c r="H2124" i="64"/>
  <c r="H2125" i="64"/>
  <c r="H2126" i="64"/>
  <c r="H2127" i="64"/>
  <c r="H2128" i="64"/>
  <c r="H2129" i="64"/>
  <c r="H2130" i="64"/>
  <c r="H2131" i="64"/>
  <c r="H2132" i="64"/>
  <c r="H2133" i="64"/>
  <c r="H2134" i="64"/>
  <c r="H2135" i="64"/>
  <c r="H2136" i="64"/>
  <c r="H2137" i="64"/>
  <c r="H2138" i="64"/>
  <c r="H2139" i="64"/>
  <c r="H2140" i="64"/>
  <c r="H2141" i="64"/>
  <c r="H2142" i="64"/>
  <c r="H2143" i="64"/>
  <c r="H2144" i="64"/>
  <c r="G2080" i="64"/>
  <c r="G2081" i="64"/>
  <c r="G2082" i="64"/>
  <c r="G2083" i="64"/>
  <c r="G2084" i="64"/>
  <c r="G2085" i="64"/>
  <c r="G2086" i="64"/>
  <c r="G2087" i="64"/>
  <c r="G2088" i="64"/>
  <c r="G2089" i="64"/>
  <c r="G2090" i="64"/>
  <c r="G2091" i="64"/>
  <c r="G2092" i="64"/>
  <c r="G2093" i="64"/>
  <c r="G2094" i="64"/>
  <c r="G2095" i="64"/>
  <c r="G2096" i="64"/>
  <c r="G2097" i="64"/>
  <c r="G2098" i="64"/>
  <c r="G2099" i="64"/>
  <c r="G2100" i="64"/>
  <c r="G2101" i="64"/>
  <c r="G2102" i="64"/>
  <c r="G2103" i="64"/>
  <c r="G2104" i="64"/>
  <c r="G2105" i="64"/>
  <c r="G2106" i="64"/>
  <c r="G2107" i="64"/>
  <c r="G2108" i="64"/>
  <c r="G2109" i="64"/>
  <c r="G2110" i="64"/>
  <c r="G2111" i="64"/>
  <c r="G2112" i="64"/>
  <c r="G2113" i="64"/>
  <c r="G2114" i="64"/>
  <c r="G2115" i="64"/>
  <c r="G2116" i="64"/>
  <c r="G2117" i="64"/>
  <c r="G2118" i="64"/>
  <c r="G2119" i="64"/>
  <c r="G2120" i="64"/>
  <c r="G2121" i="64"/>
  <c r="G2122" i="64"/>
  <c r="G2123" i="64"/>
  <c r="G2124" i="64"/>
  <c r="G2125" i="64"/>
  <c r="G2126" i="64"/>
  <c r="G2127" i="64"/>
  <c r="G2128" i="64"/>
  <c r="G2129" i="64"/>
  <c r="G2130" i="64"/>
  <c r="G2131" i="64"/>
  <c r="G2132" i="64"/>
  <c r="G2133" i="64"/>
  <c r="G2134" i="64"/>
  <c r="G2135" i="64"/>
  <c r="G2136" i="64"/>
  <c r="G2137" i="64"/>
  <c r="G2138" i="64"/>
  <c r="G2139" i="64"/>
  <c r="G2140" i="64"/>
  <c r="G2141" i="64"/>
  <c r="G2142" i="64"/>
  <c r="G2143" i="64"/>
  <c r="G2144" i="64"/>
  <c r="G2145" i="64"/>
  <c r="G2146" i="64"/>
  <c r="F2080" i="64"/>
  <c r="F2081" i="64"/>
  <c r="F2082" i="64"/>
  <c r="F2083" i="64"/>
  <c r="F2084" i="64"/>
  <c r="F2085" i="64"/>
  <c r="F2086" i="64"/>
  <c r="F2087" i="64"/>
  <c r="F2088" i="64"/>
  <c r="F2089" i="64"/>
  <c r="F2090" i="64"/>
  <c r="F2091" i="64"/>
  <c r="F2092" i="64"/>
  <c r="F2093" i="64"/>
  <c r="F2094" i="64"/>
  <c r="F2095" i="64"/>
  <c r="F2096" i="64"/>
  <c r="F2097" i="64"/>
  <c r="F2098" i="64"/>
  <c r="F2099" i="64"/>
  <c r="F2100" i="64"/>
  <c r="F2101" i="64"/>
  <c r="F2102" i="64"/>
  <c r="F2103" i="64"/>
  <c r="F2104" i="64"/>
  <c r="F2105" i="64"/>
  <c r="F2106" i="64"/>
  <c r="F2107" i="64"/>
  <c r="F2108" i="64"/>
  <c r="F2109" i="64"/>
  <c r="F2110" i="64"/>
  <c r="F2111" i="64"/>
  <c r="F2112" i="64"/>
  <c r="F2113" i="64"/>
  <c r="F2114" i="64"/>
  <c r="F2115" i="64"/>
  <c r="F2116" i="64"/>
  <c r="F2117" i="64"/>
  <c r="F2118" i="64"/>
  <c r="F2119" i="64"/>
  <c r="F2120" i="64"/>
  <c r="F2121" i="64"/>
  <c r="F2122" i="64"/>
  <c r="F2123" i="64"/>
  <c r="F2124" i="64"/>
  <c r="F2125" i="64"/>
  <c r="F2126" i="64"/>
  <c r="F2127" i="64"/>
  <c r="F2128" i="64"/>
  <c r="F2129" i="64"/>
  <c r="F2130" i="64"/>
  <c r="F2131" i="64"/>
  <c r="F2132" i="64"/>
  <c r="F2133" i="64"/>
  <c r="F2134" i="64"/>
  <c r="F2135" i="64"/>
  <c r="F2136" i="64"/>
  <c r="F2137" i="64"/>
  <c r="F2138" i="64"/>
  <c r="F2139" i="64"/>
  <c r="F2140" i="64"/>
  <c r="A2077" i="64"/>
  <c r="A2079" i="64"/>
  <c r="A2080" i="64"/>
  <c r="A2081" i="64"/>
  <c r="A2082" i="64"/>
  <c r="A2083" i="64"/>
  <c r="A2084" i="64"/>
  <c r="B2077" i="64"/>
  <c r="B2079" i="64"/>
  <c r="B2080" i="64"/>
  <c r="B2081" i="64"/>
  <c r="B2082" i="64"/>
  <c r="B2083" i="64"/>
  <c r="B2084" i="64"/>
  <c r="J2077" i="64"/>
  <c r="J2079" i="64"/>
  <c r="J2080" i="64"/>
  <c r="J2081" i="64"/>
  <c r="J2082" i="64"/>
  <c r="J2083" i="64"/>
  <c r="J2084" i="64"/>
  <c r="K2077" i="64"/>
  <c r="K2079" i="64"/>
  <c r="K2080" i="64"/>
  <c r="K2081" i="64"/>
  <c r="K2082" i="64"/>
  <c r="K2083" i="64"/>
  <c r="K2084" i="64"/>
  <c r="M2077" i="64"/>
  <c r="N2077" i="64" s="1"/>
  <c r="M2079" i="64"/>
  <c r="N2079" i="64" s="1"/>
  <c r="M2080" i="64"/>
  <c r="N2080" i="64" s="1"/>
  <c r="M2081" i="64"/>
  <c r="N2081" i="64" s="1"/>
  <c r="M2082" i="64"/>
  <c r="N2082" i="64" s="1"/>
  <c r="M2083" i="64"/>
  <c r="N2083" i="64" s="1"/>
  <c r="M2084" i="64"/>
  <c r="N2084" i="64" s="1"/>
  <c r="A2085" i="64"/>
  <c r="A2086" i="64"/>
  <c r="A2087" i="64"/>
  <c r="A2088" i="64"/>
  <c r="A2089" i="64"/>
  <c r="A2090" i="64"/>
  <c r="A2091" i="64"/>
  <c r="A2092" i="64"/>
  <c r="B2085" i="64"/>
  <c r="B2086" i="64"/>
  <c r="B2087" i="64"/>
  <c r="B2088" i="64"/>
  <c r="B2089" i="64"/>
  <c r="B2090" i="64"/>
  <c r="B2091" i="64"/>
  <c r="B2092" i="64"/>
  <c r="J2085" i="64"/>
  <c r="J2086" i="64"/>
  <c r="J2087" i="64"/>
  <c r="J2088" i="64"/>
  <c r="J2089" i="64"/>
  <c r="J2090" i="64"/>
  <c r="J2091" i="64"/>
  <c r="J2092" i="64"/>
  <c r="K2085" i="64"/>
  <c r="K2086" i="64"/>
  <c r="K2087" i="64"/>
  <c r="K2088" i="64"/>
  <c r="K2089" i="64"/>
  <c r="K2090" i="64"/>
  <c r="K2091" i="64"/>
  <c r="K2092" i="64"/>
  <c r="M2085" i="64"/>
  <c r="N2085" i="64" s="1"/>
  <c r="M2086" i="64"/>
  <c r="N2086" i="64" s="1"/>
  <c r="M2087" i="64"/>
  <c r="N2087" i="64" s="1"/>
  <c r="M2088" i="64"/>
  <c r="N2088" i="64" s="1"/>
  <c r="M2089" i="64"/>
  <c r="N2089" i="64" s="1"/>
  <c r="M2090" i="64"/>
  <c r="N2090" i="64" s="1"/>
  <c r="M2091" i="64"/>
  <c r="N2091" i="64" s="1"/>
  <c r="M2092" i="64"/>
  <c r="N2092" i="64" s="1"/>
  <c r="A2093" i="64"/>
  <c r="A2094" i="64"/>
  <c r="A2095" i="64"/>
  <c r="A2096" i="64"/>
  <c r="A2097" i="64"/>
  <c r="A2098" i="64"/>
  <c r="A2099" i="64"/>
  <c r="A2100" i="64"/>
  <c r="B2093" i="64"/>
  <c r="B2094" i="64"/>
  <c r="B2095" i="64"/>
  <c r="B2096" i="64"/>
  <c r="B2097" i="64"/>
  <c r="B2098" i="64"/>
  <c r="B2099" i="64"/>
  <c r="B2100" i="64"/>
  <c r="J2093" i="64"/>
  <c r="J2094" i="64"/>
  <c r="J2095" i="64"/>
  <c r="J2096" i="64"/>
  <c r="J2097" i="64"/>
  <c r="J2098" i="64"/>
  <c r="J2099" i="64"/>
  <c r="J2100" i="64"/>
  <c r="K2093" i="64"/>
  <c r="K2094" i="64"/>
  <c r="K2095" i="64"/>
  <c r="K2096" i="64"/>
  <c r="K2097" i="64"/>
  <c r="K2098" i="64"/>
  <c r="K2099" i="64"/>
  <c r="K2100" i="64"/>
  <c r="M2093" i="64"/>
  <c r="N2093" i="64" s="1"/>
  <c r="M2094" i="64"/>
  <c r="N2094" i="64" s="1"/>
  <c r="M2095" i="64"/>
  <c r="N2095" i="64" s="1"/>
  <c r="M2096" i="64"/>
  <c r="N2096" i="64" s="1"/>
  <c r="M2097" i="64"/>
  <c r="N2097" i="64" s="1"/>
  <c r="M2098" i="64"/>
  <c r="N2098" i="64" s="1"/>
  <c r="M2099" i="64"/>
  <c r="N2099" i="64" s="1"/>
  <c r="M2100" i="64"/>
  <c r="N2100" i="64" s="1"/>
  <c r="A2101" i="64"/>
  <c r="A2102" i="64"/>
  <c r="A2103" i="64"/>
  <c r="A2104" i="64"/>
  <c r="A2105" i="64"/>
  <c r="A2106" i="64"/>
  <c r="A2107" i="64"/>
  <c r="A2108" i="64"/>
  <c r="B2101" i="64"/>
  <c r="B2102" i="64"/>
  <c r="B2103" i="64"/>
  <c r="B2104" i="64"/>
  <c r="B2105" i="64"/>
  <c r="B2106" i="64"/>
  <c r="B2107" i="64"/>
  <c r="B2108" i="64"/>
  <c r="J2101" i="64"/>
  <c r="J2102" i="64"/>
  <c r="J2103" i="64"/>
  <c r="J2104" i="64"/>
  <c r="J2105" i="64"/>
  <c r="J2106" i="64"/>
  <c r="J2107" i="64"/>
  <c r="J2108" i="64"/>
  <c r="K2101" i="64"/>
  <c r="K2102" i="64"/>
  <c r="K2103" i="64"/>
  <c r="K2104" i="64"/>
  <c r="K2105" i="64"/>
  <c r="K2106" i="64"/>
  <c r="K2107" i="64"/>
  <c r="K2108" i="64"/>
  <c r="M2101" i="64"/>
  <c r="N2101" i="64" s="1"/>
  <c r="M2102" i="64"/>
  <c r="N2102" i="64" s="1"/>
  <c r="M2103" i="64"/>
  <c r="N2103" i="64" s="1"/>
  <c r="M2104" i="64"/>
  <c r="N2104" i="64" s="1"/>
  <c r="M2105" i="64"/>
  <c r="N2105" i="64" s="1"/>
  <c r="M2106" i="64"/>
  <c r="N2106" i="64" s="1"/>
  <c r="M2107" i="64"/>
  <c r="N2107" i="64" s="1"/>
  <c r="M2108" i="64"/>
  <c r="N2108" i="64" s="1"/>
  <c r="A2109" i="64"/>
  <c r="A2110" i="64"/>
  <c r="A2111" i="64"/>
  <c r="A2112" i="64"/>
  <c r="A2113" i="64"/>
  <c r="A2114" i="64"/>
  <c r="A2115" i="64"/>
  <c r="A2116" i="64"/>
  <c r="B2109" i="64"/>
  <c r="B2110" i="64"/>
  <c r="B2111" i="64"/>
  <c r="B2112" i="64"/>
  <c r="B2113" i="64"/>
  <c r="B2114" i="64"/>
  <c r="B2115" i="64"/>
  <c r="B2116" i="64"/>
  <c r="J2109" i="64"/>
  <c r="J2110" i="64"/>
  <c r="J2111" i="64"/>
  <c r="J2112" i="64"/>
  <c r="J2113" i="64"/>
  <c r="J2114" i="64"/>
  <c r="J2115" i="64"/>
  <c r="J2116" i="64"/>
  <c r="K2109" i="64"/>
  <c r="K2110" i="64"/>
  <c r="K2111" i="64"/>
  <c r="K2112" i="64"/>
  <c r="K2113" i="64"/>
  <c r="K2114" i="64"/>
  <c r="K2115" i="64"/>
  <c r="K2116" i="64"/>
  <c r="M2109" i="64"/>
  <c r="N2109" i="64" s="1"/>
  <c r="M2110" i="64"/>
  <c r="N2110" i="64" s="1"/>
  <c r="M2111" i="64"/>
  <c r="N2111" i="64" s="1"/>
  <c r="M2112" i="64"/>
  <c r="N2112" i="64" s="1"/>
  <c r="M2113" i="64"/>
  <c r="N2113" i="64" s="1"/>
  <c r="M2114" i="64"/>
  <c r="N2114" i="64" s="1"/>
  <c r="M2115" i="64"/>
  <c r="N2115" i="64" s="1"/>
  <c r="M2116" i="64"/>
  <c r="N2116" i="64" s="1"/>
  <c r="A2117" i="64"/>
  <c r="A2118" i="64"/>
  <c r="A2119" i="64"/>
  <c r="A2120" i="64"/>
  <c r="A2121" i="64"/>
  <c r="A2122" i="64"/>
  <c r="A2123" i="64"/>
  <c r="A2124" i="64"/>
  <c r="B2117" i="64"/>
  <c r="B2118" i="64"/>
  <c r="B2119" i="64"/>
  <c r="B2120" i="64"/>
  <c r="B2121" i="64"/>
  <c r="B2122" i="64"/>
  <c r="B2123" i="64"/>
  <c r="B2124" i="64"/>
  <c r="J2117" i="64"/>
  <c r="J2118" i="64"/>
  <c r="J2119" i="64"/>
  <c r="J2120" i="64"/>
  <c r="J2121" i="64"/>
  <c r="J2122" i="64"/>
  <c r="J2123" i="64"/>
  <c r="J2124" i="64"/>
  <c r="K2117" i="64"/>
  <c r="K2118" i="64"/>
  <c r="K2119" i="64"/>
  <c r="K2120" i="64"/>
  <c r="K2121" i="64"/>
  <c r="K2122" i="64"/>
  <c r="K2123" i="64"/>
  <c r="K2124" i="64"/>
  <c r="M2117" i="64"/>
  <c r="N2117" i="64" s="1"/>
  <c r="M2118" i="64"/>
  <c r="N2118" i="64" s="1"/>
  <c r="M2119" i="64"/>
  <c r="N2119" i="64" s="1"/>
  <c r="M2120" i="64"/>
  <c r="N2120" i="64" s="1"/>
  <c r="M2121" i="64"/>
  <c r="N2121" i="64" s="1"/>
  <c r="M2122" i="64"/>
  <c r="N2122" i="64" s="1"/>
  <c r="M2123" i="64"/>
  <c r="N2123" i="64" s="1"/>
  <c r="M2124" i="64"/>
  <c r="N2124" i="64" s="1"/>
  <c r="A2125" i="64"/>
  <c r="A2126" i="64"/>
  <c r="A2127" i="64"/>
  <c r="A2128" i="64"/>
  <c r="A2129" i="64"/>
  <c r="A2130" i="64"/>
  <c r="A2131" i="64"/>
  <c r="A2132" i="64"/>
  <c r="B2125" i="64"/>
  <c r="B2126" i="64"/>
  <c r="B2127" i="64"/>
  <c r="B2128" i="64"/>
  <c r="B2129" i="64"/>
  <c r="B2130" i="64"/>
  <c r="B2131" i="64"/>
  <c r="B2132" i="64"/>
  <c r="J2125" i="64"/>
  <c r="J2126" i="64"/>
  <c r="J2127" i="64"/>
  <c r="J2128" i="64"/>
  <c r="J2129" i="64"/>
  <c r="J2130" i="64"/>
  <c r="J2131" i="64"/>
  <c r="J2132" i="64"/>
  <c r="K2125" i="64"/>
  <c r="K2126" i="64"/>
  <c r="K2127" i="64"/>
  <c r="K2128" i="64"/>
  <c r="K2129" i="64"/>
  <c r="K2130" i="64"/>
  <c r="K2131" i="64"/>
  <c r="K2132" i="64"/>
  <c r="M2125" i="64"/>
  <c r="N2125" i="64" s="1"/>
  <c r="M2126" i="64"/>
  <c r="N2126" i="64" s="1"/>
  <c r="M2127" i="64"/>
  <c r="N2127" i="64" s="1"/>
  <c r="M2128" i="64"/>
  <c r="N2128" i="64" s="1"/>
  <c r="M2129" i="64"/>
  <c r="N2129" i="64" s="1"/>
  <c r="M2130" i="64"/>
  <c r="N2130" i="64" s="1"/>
  <c r="M2131" i="64"/>
  <c r="N2131" i="64" s="1"/>
  <c r="M2132" i="64"/>
  <c r="N2132" i="64" s="1"/>
  <c r="A2133" i="64"/>
  <c r="A2134" i="64"/>
  <c r="A2135" i="64"/>
  <c r="A2136" i="64"/>
  <c r="A2137" i="64"/>
  <c r="A2138" i="64"/>
  <c r="A2139" i="64"/>
  <c r="A2140" i="64"/>
  <c r="B2133" i="64"/>
  <c r="B2134" i="64"/>
  <c r="B2135" i="64"/>
  <c r="B2136" i="64"/>
  <c r="B2137" i="64"/>
  <c r="B2138" i="64"/>
  <c r="B2139" i="64"/>
  <c r="B2140" i="64"/>
  <c r="J2133" i="64"/>
  <c r="J2134" i="64"/>
  <c r="J2135" i="64"/>
  <c r="J2136" i="64"/>
  <c r="J2137" i="64"/>
  <c r="J2138" i="64"/>
  <c r="J2139" i="64"/>
  <c r="J2140" i="64"/>
  <c r="K2133" i="64"/>
  <c r="K2134" i="64"/>
  <c r="K2135" i="64"/>
  <c r="K2136" i="64"/>
  <c r="K2137" i="64"/>
  <c r="K2138" i="64"/>
  <c r="K2139" i="64"/>
  <c r="K2140" i="64"/>
  <c r="M2133" i="64"/>
  <c r="N2133" i="64" s="1"/>
  <c r="M2134" i="64"/>
  <c r="N2134" i="64" s="1"/>
  <c r="M2135" i="64"/>
  <c r="N2135" i="64" s="1"/>
  <c r="M2136" i="64"/>
  <c r="N2136" i="64" s="1"/>
  <c r="M2137" i="64"/>
  <c r="N2137" i="64" s="1"/>
  <c r="M2138" i="64"/>
  <c r="N2138" i="64" s="1"/>
  <c r="M2139" i="64"/>
  <c r="N2139" i="64" s="1"/>
  <c r="M2140" i="64"/>
  <c r="N2140" i="64" s="1"/>
  <c r="N187" i="68" l="1"/>
  <c r="N188" i="68"/>
  <c r="N189" i="68"/>
  <c r="N190" i="68"/>
  <c r="N191" i="68"/>
  <c r="N192" i="68"/>
  <c r="N193" i="68"/>
  <c r="N194" i="68"/>
  <c r="N195" i="68"/>
  <c r="N196" i="68"/>
  <c r="N197" i="68"/>
  <c r="N186" i="68"/>
  <c r="D198" i="68"/>
  <c r="E198" i="68"/>
  <c r="F198" i="68"/>
  <c r="G198" i="68"/>
  <c r="H198" i="68"/>
  <c r="I198" i="68"/>
  <c r="L198" i="68"/>
  <c r="M198" i="68"/>
  <c r="C198" i="68"/>
  <c r="D263" i="68"/>
  <c r="E263" i="68"/>
  <c r="F263" i="68"/>
  <c r="G263" i="68"/>
  <c r="H263" i="68"/>
  <c r="I263" i="68"/>
  <c r="L263" i="68"/>
  <c r="M263" i="68"/>
  <c r="C263" i="68"/>
  <c r="N2603" i="64"/>
  <c r="B1985" i="64"/>
  <c r="K2603" i="64"/>
  <c r="N198" i="68" l="1"/>
  <c r="N263" i="68"/>
  <c r="G2600" i="64"/>
  <c r="F2033" i="64"/>
  <c r="H2032" i="64"/>
  <c r="H2031" i="64"/>
  <c r="F2024" i="64"/>
  <c r="H2008" i="64"/>
  <c r="G2008" i="64"/>
  <c r="F2008" i="64"/>
  <c r="H2001" i="64"/>
  <c r="H2002" i="64"/>
  <c r="H2003" i="64"/>
  <c r="H2004" i="64"/>
  <c r="H2005" i="64"/>
  <c r="H2006" i="64"/>
  <c r="H2007" i="64"/>
  <c r="H2009" i="64"/>
  <c r="H2010" i="64"/>
  <c r="H2011" i="64"/>
  <c r="H2012" i="64"/>
  <c r="H2013" i="64"/>
  <c r="H2014" i="64"/>
  <c r="H2015" i="64"/>
  <c r="H2016" i="64"/>
  <c r="H2017" i="64"/>
  <c r="H2018" i="64"/>
  <c r="H2019" i="64"/>
  <c r="H2020" i="64"/>
  <c r="H2021" i="64"/>
  <c r="H2022" i="64"/>
  <c r="H2023" i="64"/>
  <c r="H2025" i="64"/>
  <c r="H2026" i="64"/>
  <c r="H2027" i="64"/>
  <c r="H2028" i="64"/>
  <c r="H2029" i="64"/>
  <c r="H2030" i="64"/>
  <c r="H2034" i="64"/>
  <c r="H2035" i="64"/>
  <c r="H2036" i="64"/>
  <c r="H2037" i="64"/>
  <c r="H2038" i="64"/>
  <c r="H2039" i="64"/>
  <c r="H2040" i="64"/>
  <c r="H2041" i="64"/>
  <c r="H2042" i="64"/>
  <c r="H2043" i="64"/>
  <c r="H2044" i="64"/>
  <c r="H2045" i="64"/>
  <c r="H2046" i="64"/>
  <c r="H2047" i="64"/>
  <c r="H2048" i="64"/>
  <c r="H2049" i="64"/>
  <c r="H2050" i="64"/>
  <c r="H2051" i="64"/>
  <c r="H2052" i="64"/>
  <c r="H2053" i="64"/>
  <c r="H2054" i="64"/>
  <c r="H2055" i="64"/>
  <c r="H2056" i="64"/>
  <c r="H2057" i="64"/>
  <c r="H2058" i="64"/>
  <c r="H2059" i="64"/>
  <c r="H2060" i="64"/>
  <c r="H2061" i="64"/>
  <c r="H2062" i="64"/>
  <c r="H2063" i="64"/>
  <c r="H2064" i="64"/>
  <c r="H2065" i="64"/>
  <c r="H2066" i="64"/>
  <c r="H2067" i="64"/>
  <c r="H2068" i="64"/>
  <c r="H2069" i="64"/>
  <c r="H2070" i="64"/>
  <c r="H2071" i="64"/>
  <c r="H2072" i="64"/>
  <c r="H2073" i="64"/>
  <c r="H2074" i="64"/>
  <c r="H2075" i="64"/>
  <c r="H2076" i="64"/>
  <c r="H2145" i="64"/>
  <c r="H2146" i="64"/>
  <c r="G2001" i="64"/>
  <c r="G2002" i="64"/>
  <c r="G2003" i="64"/>
  <c r="G2004" i="64"/>
  <c r="G2005" i="64"/>
  <c r="G2006" i="64"/>
  <c r="G2007" i="64"/>
  <c r="G2009" i="64"/>
  <c r="G2010" i="64"/>
  <c r="G2011" i="64"/>
  <c r="G2012" i="64"/>
  <c r="G2013" i="64"/>
  <c r="G2014" i="64"/>
  <c r="G2015" i="64"/>
  <c r="G2016" i="64"/>
  <c r="G2017" i="64"/>
  <c r="G2018" i="64"/>
  <c r="G2019" i="64"/>
  <c r="G2020" i="64"/>
  <c r="G2021" i="64"/>
  <c r="G2022" i="64"/>
  <c r="G2023" i="64"/>
  <c r="G2025" i="64"/>
  <c r="G2026" i="64"/>
  <c r="G2027" i="64"/>
  <c r="G2028" i="64"/>
  <c r="G2029" i="64"/>
  <c r="G2030" i="64"/>
  <c r="G2034" i="64"/>
  <c r="G2035" i="64"/>
  <c r="G2036" i="64"/>
  <c r="G2037" i="64"/>
  <c r="G2038" i="64"/>
  <c r="G2039" i="64"/>
  <c r="G2040" i="64"/>
  <c r="G2041" i="64"/>
  <c r="G2042" i="64"/>
  <c r="G2043" i="64"/>
  <c r="G2044" i="64"/>
  <c r="G2045" i="64"/>
  <c r="G2046" i="64"/>
  <c r="G2047" i="64"/>
  <c r="G2048" i="64"/>
  <c r="G2049" i="64"/>
  <c r="G2050" i="64"/>
  <c r="G2051" i="64"/>
  <c r="G2052" i="64"/>
  <c r="G2053" i="64"/>
  <c r="G2054" i="64"/>
  <c r="G2055" i="64"/>
  <c r="G2056" i="64"/>
  <c r="G2057" i="64"/>
  <c r="G2058" i="64"/>
  <c r="G2059" i="64"/>
  <c r="G2060" i="64"/>
  <c r="G2061" i="64"/>
  <c r="G2062" i="64"/>
  <c r="G2063" i="64"/>
  <c r="G2064" i="64"/>
  <c r="G2065" i="64"/>
  <c r="G2066" i="64"/>
  <c r="G2067" i="64"/>
  <c r="G2068" i="64"/>
  <c r="G2069" i="64"/>
  <c r="G2070" i="64"/>
  <c r="G2071" i="64"/>
  <c r="G2072" i="64"/>
  <c r="G2073" i="64"/>
  <c r="G2074" i="64"/>
  <c r="G2075" i="64"/>
  <c r="F2001" i="64"/>
  <c r="F2002" i="64"/>
  <c r="F2003" i="64"/>
  <c r="F2004" i="64"/>
  <c r="F2005" i="64"/>
  <c r="F2006" i="64"/>
  <c r="F2007" i="64"/>
  <c r="F2009" i="64"/>
  <c r="F2010" i="64"/>
  <c r="F2011" i="64"/>
  <c r="F2012" i="64"/>
  <c r="F2013" i="64"/>
  <c r="F2014" i="64"/>
  <c r="F2015" i="64"/>
  <c r="F2016" i="64"/>
  <c r="F2017" i="64"/>
  <c r="F2018" i="64"/>
  <c r="F2019" i="64"/>
  <c r="F2020" i="64"/>
  <c r="F2021" i="64"/>
  <c r="F2022" i="64"/>
  <c r="F2023" i="64"/>
  <c r="F2025" i="64"/>
  <c r="F2026" i="64"/>
  <c r="F2027" i="64"/>
  <c r="F2028" i="64"/>
  <c r="F2029" i="64"/>
  <c r="F2030" i="64"/>
  <c r="F2034" i="64"/>
  <c r="F2035" i="64"/>
  <c r="F2036" i="64"/>
  <c r="F2037" i="64"/>
  <c r="F2038" i="64"/>
  <c r="F2039" i="64"/>
  <c r="F2040" i="64"/>
  <c r="F2041" i="64"/>
  <c r="F2042" i="64"/>
  <c r="F2043" i="64"/>
  <c r="F2044" i="64"/>
  <c r="F2045" i="64"/>
  <c r="F2046" i="64"/>
  <c r="F2047" i="64"/>
  <c r="F2048" i="64"/>
  <c r="F2049" i="64"/>
  <c r="F2050" i="64"/>
  <c r="F2051" i="64"/>
  <c r="F2052" i="64"/>
  <c r="F2053" i="64"/>
  <c r="F2054" i="64"/>
  <c r="F2055" i="64"/>
  <c r="F2056" i="64"/>
  <c r="F2057" i="64"/>
  <c r="F2058" i="64"/>
  <c r="F2059" i="64"/>
  <c r="F2060" i="64"/>
  <c r="F2061" i="64"/>
  <c r="F2062" i="64"/>
  <c r="F2063" i="64"/>
  <c r="F2064" i="64"/>
  <c r="F2065" i="64"/>
  <c r="F2066" i="64"/>
  <c r="F2067" i="64"/>
  <c r="F2068" i="64"/>
  <c r="F2069" i="64"/>
  <c r="F2070" i="64"/>
  <c r="F2071" i="64"/>
  <c r="F2072" i="64"/>
  <c r="F2073" i="64"/>
  <c r="F2074" i="64"/>
  <c r="A2001" i="64"/>
  <c r="A2002" i="64"/>
  <c r="A2003" i="64"/>
  <c r="A2004" i="64"/>
  <c r="A2005" i="64"/>
  <c r="A2006" i="64"/>
  <c r="A2007" i="64"/>
  <c r="A2008" i="64"/>
  <c r="A2009" i="64"/>
  <c r="A2010" i="64"/>
  <c r="A2011" i="64"/>
  <c r="A2012" i="64"/>
  <c r="A2013" i="64"/>
  <c r="B2001" i="64"/>
  <c r="B2002" i="64"/>
  <c r="B2003" i="64"/>
  <c r="B2004" i="64"/>
  <c r="B2005" i="64"/>
  <c r="B2006" i="64"/>
  <c r="B2007" i="64"/>
  <c r="B2008" i="64"/>
  <c r="B2009" i="64"/>
  <c r="B2010" i="64"/>
  <c r="B2011" i="64"/>
  <c r="B2012" i="64"/>
  <c r="B2013" i="64"/>
  <c r="J2001" i="64"/>
  <c r="J2002" i="64"/>
  <c r="J2003" i="64"/>
  <c r="J2004" i="64"/>
  <c r="J2005" i="64"/>
  <c r="J2006" i="64"/>
  <c r="J2007" i="64"/>
  <c r="J2008" i="64"/>
  <c r="J2009" i="64"/>
  <c r="J2010" i="64"/>
  <c r="J2011" i="64"/>
  <c r="J2012" i="64"/>
  <c r="J2013" i="64"/>
  <c r="K2001" i="64"/>
  <c r="K2002" i="64"/>
  <c r="K2003" i="64"/>
  <c r="K2004" i="64"/>
  <c r="K2005" i="64"/>
  <c r="K2006" i="64"/>
  <c r="K2007" i="64"/>
  <c r="K2008" i="64"/>
  <c r="K2009" i="64"/>
  <c r="K2010" i="64"/>
  <c r="K2011" i="64"/>
  <c r="K2012" i="64"/>
  <c r="K2013" i="64"/>
  <c r="M2001" i="64"/>
  <c r="N2001" i="64" s="1"/>
  <c r="M2002" i="64"/>
  <c r="N2002" i="64" s="1"/>
  <c r="M2003" i="64"/>
  <c r="N2003" i="64" s="1"/>
  <c r="M2004" i="64"/>
  <c r="N2004" i="64" s="1"/>
  <c r="M2005" i="64"/>
  <c r="N2005" i="64" s="1"/>
  <c r="M2006" i="64"/>
  <c r="N2006" i="64" s="1"/>
  <c r="M2007" i="64"/>
  <c r="N2007" i="64" s="1"/>
  <c r="M2008" i="64"/>
  <c r="N2008" i="64" s="1"/>
  <c r="M2009" i="64"/>
  <c r="N2009" i="64" s="1"/>
  <c r="M2010" i="64"/>
  <c r="N2010" i="64" s="1"/>
  <c r="M2011" i="64"/>
  <c r="N2011" i="64" s="1"/>
  <c r="M2012" i="64"/>
  <c r="N2012" i="64" s="1"/>
  <c r="M2013" i="64"/>
  <c r="N2013" i="64" s="1"/>
  <c r="A2014" i="64"/>
  <c r="A2015" i="64"/>
  <c r="A2016" i="64"/>
  <c r="A2017" i="64"/>
  <c r="A2018" i="64"/>
  <c r="A2019" i="64"/>
  <c r="A2020" i="64"/>
  <c r="A2021" i="64"/>
  <c r="A2022" i="64"/>
  <c r="A2023" i="64"/>
  <c r="A2024" i="64"/>
  <c r="A2025" i="64"/>
  <c r="A2026" i="64"/>
  <c r="B2014" i="64"/>
  <c r="B2015" i="64"/>
  <c r="B2016" i="64"/>
  <c r="B2017" i="64"/>
  <c r="B2018" i="64"/>
  <c r="B2019" i="64"/>
  <c r="B2020" i="64"/>
  <c r="B2021" i="64"/>
  <c r="B2022" i="64"/>
  <c r="B2023" i="64"/>
  <c r="B2024" i="64"/>
  <c r="B2025" i="64"/>
  <c r="B2026" i="64"/>
  <c r="J2014" i="64"/>
  <c r="J2015" i="64"/>
  <c r="J2016" i="64"/>
  <c r="J2017" i="64"/>
  <c r="J2018" i="64"/>
  <c r="J2019" i="64"/>
  <c r="J2020" i="64"/>
  <c r="J2021" i="64"/>
  <c r="J2022" i="64"/>
  <c r="J2023" i="64"/>
  <c r="J2024" i="64"/>
  <c r="J2025" i="64"/>
  <c r="J2026" i="64"/>
  <c r="K2014" i="64"/>
  <c r="K2015" i="64"/>
  <c r="K2016" i="64"/>
  <c r="K2017" i="64"/>
  <c r="K2018" i="64"/>
  <c r="K2019" i="64"/>
  <c r="K2020" i="64"/>
  <c r="K2021" i="64"/>
  <c r="K2022" i="64"/>
  <c r="K2023" i="64"/>
  <c r="K2024" i="64"/>
  <c r="K2025" i="64"/>
  <c r="K2026" i="64"/>
  <c r="M2014" i="64"/>
  <c r="N2014" i="64" s="1"/>
  <c r="M2015" i="64"/>
  <c r="N2015" i="64" s="1"/>
  <c r="M2016" i="64"/>
  <c r="N2016" i="64" s="1"/>
  <c r="M2017" i="64"/>
  <c r="N2017" i="64" s="1"/>
  <c r="M2018" i="64"/>
  <c r="N2018" i="64" s="1"/>
  <c r="M2019" i="64"/>
  <c r="N2019" i="64" s="1"/>
  <c r="M2020" i="64"/>
  <c r="N2020" i="64" s="1"/>
  <c r="M2021" i="64"/>
  <c r="N2021" i="64" s="1"/>
  <c r="M2022" i="64"/>
  <c r="N2022" i="64" s="1"/>
  <c r="M2023" i="64"/>
  <c r="N2023" i="64" s="1"/>
  <c r="M2024" i="64"/>
  <c r="N2024" i="64" s="1"/>
  <c r="M2025" i="64"/>
  <c r="N2025" i="64" s="1"/>
  <c r="M2026" i="64"/>
  <c r="N2026" i="64" s="1"/>
  <c r="A2027" i="64"/>
  <c r="A2028" i="64"/>
  <c r="A2029" i="64"/>
  <c r="A2030" i="64"/>
  <c r="A2031" i="64"/>
  <c r="A2032" i="64"/>
  <c r="A2033" i="64"/>
  <c r="A2034" i="64"/>
  <c r="A2035" i="64"/>
  <c r="A2036" i="64"/>
  <c r="A2037" i="64"/>
  <c r="A2038" i="64"/>
  <c r="A2039" i="64"/>
  <c r="B2027" i="64"/>
  <c r="B2028" i="64"/>
  <c r="B2029" i="64"/>
  <c r="B2030" i="64"/>
  <c r="B2031" i="64"/>
  <c r="B2032" i="64"/>
  <c r="B2033" i="64"/>
  <c r="B2034" i="64"/>
  <c r="B2035" i="64"/>
  <c r="B2036" i="64"/>
  <c r="B2037" i="64"/>
  <c r="B2038" i="64"/>
  <c r="B2039" i="64"/>
  <c r="J2027" i="64"/>
  <c r="J2028" i="64"/>
  <c r="J2029" i="64"/>
  <c r="J2030" i="64"/>
  <c r="J2031" i="64"/>
  <c r="J2032" i="64"/>
  <c r="J2033" i="64"/>
  <c r="J2034" i="64"/>
  <c r="J2035" i="64"/>
  <c r="J2036" i="64"/>
  <c r="J2037" i="64"/>
  <c r="J2038" i="64"/>
  <c r="J2039" i="64"/>
  <c r="K2027" i="64"/>
  <c r="K2028" i="64"/>
  <c r="K2029" i="64"/>
  <c r="K2030" i="64"/>
  <c r="K2031" i="64"/>
  <c r="K2032" i="64"/>
  <c r="K2033" i="64"/>
  <c r="K2034" i="64"/>
  <c r="K2035" i="64"/>
  <c r="K2036" i="64"/>
  <c r="K2037" i="64"/>
  <c r="K2038" i="64"/>
  <c r="K2039" i="64"/>
  <c r="M2027" i="64"/>
  <c r="N2027" i="64" s="1"/>
  <c r="M2028" i="64"/>
  <c r="N2028" i="64" s="1"/>
  <c r="M2029" i="64"/>
  <c r="N2029" i="64" s="1"/>
  <c r="M2030" i="64"/>
  <c r="N2030" i="64" s="1"/>
  <c r="M2031" i="64"/>
  <c r="N2031" i="64" s="1"/>
  <c r="M2032" i="64"/>
  <c r="N2032" i="64" s="1"/>
  <c r="M2033" i="64"/>
  <c r="N2033" i="64" s="1"/>
  <c r="M2034" i="64"/>
  <c r="N2034" i="64" s="1"/>
  <c r="M2035" i="64"/>
  <c r="N2035" i="64" s="1"/>
  <c r="M2036" i="64"/>
  <c r="N2036" i="64" s="1"/>
  <c r="M2037" i="64"/>
  <c r="N2037" i="64" s="1"/>
  <c r="M2038" i="64"/>
  <c r="N2038" i="64" s="1"/>
  <c r="M2039" i="64"/>
  <c r="N2039" i="64" s="1"/>
  <c r="A2040" i="64"/>
  <c r="A2041" i="64"/>
  <c r="A2042" i="64"/>
  <c r="A2043" i="64"/>
  <c r="A2044" i="64"/>
  <c r="A2045" i="64"/>
  <c r="A2046" i="64"/>
  <c r="A2047" i="64"/>
  <c r="A2048" i="64"/>
  <c r="A2049" i="64"/>
  <c r="A2050" i="64"/>
  <c r="A2051" i="64"/>
  <c r="A2052" i="64"/>
  <c r="B2040" i="64"/>
  <c r="B2041" i="64"/>
  <c r="B2042" i="64"/>
  <c r="B2043" i="64"/>
  <c r="B2044" i="64"/>
  <c r="B2045" i="64"/>
  <c r="B2046" i="64"/>
  <c r="B2047" i="64"/>
  <c r="B2048" i="64"/>
  <c r="B2049" i="64"/>
  <c r="B2050" i="64"/>
  <c r="B2051" i="64"/>
  <c r="B2052" i="64"/>
  <c r="J2040" i="64"/>
  <c r="J2041" i="64"/>
  <c r="J2042" i="64"/>
  <c r="J2043" i="64"/>
  <c r="J2044" i="64"/>
  <c r="J2045" i="64"/>
  <c r="J2046" i="64"/>
  <c r="J2047" i="64"/>
  <c r="J2048" i="64"/>
  <c r="J2049" i="64"/>
  <c r="J2050" i="64"/>
  <c r="J2051" i="64"/>
  <c r="J2052" i="64"/>
  <c r="K2040" i="64"/>
  <c r="K2041" i="64"/>
  <c r="K2042" i="64"/>
  <c r="K2043" i="64"/>
  <c r="K2044" i="64"/>
  <c r="K2045" i="64"/>
  <c r="K2046" i="64"/>
  <c r="K2047" i="64"/>
  <c r="K2048" i="64"/>
  <c r="K2049" i="64"/>
  <c r="K2050" i="64"/>
  <c r="K2051" i="64"/>
  <c r="K2052" i="64"/>
  <c r="M2040" i="64"/>
  <c r="N2040" i="64" s="1"/>
  <c r="M2041" i="64"/>
  <c r="N2041" i="64" s="1"/>
  <c r="M2042" i="64"/>
  <c r="N2042" i="64" s="1"/>
  <c r="M2043" i="64"/>
  <c r="N2043" i="64" s="1"/>
  <c r="M2044" i="64"/>
  <c r="N2044" i="64" s="1"/>
  <c r="M2045" i="64"/>
  <c r="N2045" i="64" s="1"/>
  <c r="M2046" i="64"/>
  <c r="N2046" i="64" s="1"/>
  <c r="M2047" i="64"/>
  <c r="N2047" i="64" s="1"/>
  <c r="M2048" i="64"/>
  <c r="N2048" i="64" s="1"/>
  <c r="M2049" i="64"/>
  <c r="N2049" i="64" s="1"/>
  <c r="M2050" i="64"/>
  <c r="N2050" i="64" s="1"/>
  <c r="M2051" i="64"/>
  <c r="N2051" i="64" s="1"/>
  <c r="M2052" i="64"/>
  <c r="N2052" i="64" s="1"/>
  <c r="A2053" i="64"/>
  <c r="A2054" i="64"/>
  <c r="A2055" i="64"/>
  <c r="A2056" i="64"/>
  <c r="A2057" i="64"/>
  <c r="A2058" i="64"/>
  <c r="A2059" i="64"/>
  <c r="A2060" i="64"/>
  <c r="A2061" i="64"/>
  <c r="A2062" i="64"/>
  <c r="A2063" i="64"/>
  <c r="A2064" i="64"/>
  <c r="A2065" i="64"/>
  <c r="B2053" i="64"/>
  <c r="B2054" i="64"/>
  <c r="B2055" i="64"/>
  <c r="B2056" i="64"/>
  <c r="B2057" i="64"/>
  <c r="B2058" i="64"/>
  <c r="B2059" i="64"/>
  <c r="B2060" i="64"/>
  <c r="B2061" i="64"/>
  <c r="B2062" i="64"/>
  <c r="B2063" i="64"/>
  <c r="B2064" i="64"/>
  <c r="B2065" i="64"/>
  <c r="J2053" i="64"/>
  <c r="J2054" i="64"/>
  <c r="J2055" i="64"/>
  <c r="J2056" i="64"/>
  <c r="J2057" i="64"/>
  <c r="J2058" i="64"/>
  <c r="J2059" i="64"/>
  <c r="J2060" i="64"/>
  <c r="J2061" i="64"/>
  <c r="J2062" i="64"/>
  <c r="J2063" i="64"/>
  <c r="J2064" i="64"/>
  <c r="J2065" i="64"/>
  <c r="K2053" i="64"/>
  <c r="K2054" i="64"/>
  <c r="K2055" i="64"/>
  <c r="K2056" i="64"/>
  <c r="K2057" i="64"/>
  <c r="K2058" i="64"/>
  <c r="K2059" i="64"/>
  <c r="K2060" i="64"/>
  <c r="K2061" i="64"/>
  <c r="K2062" i="64"/>
  <c r="K2063" i="64"/>
  <c r="K2064" i="64"/>
  <c r="K2065" i="64"/>
  <c r="M2053" i="64"/>
  <c r="N2053" i="64" s="1"/>
  <c r="M2054" i="64"/>
  <c r="N2054" i="64" s="1"/>
  <c r="M2055" i="64"/>
  <c r="N2055" i="64" s="1"/>
  <c r="M2056" i="64"/>
  <c r="N2056" i="64" s="1"/>
  <c r="M2057" i="64"/>
  <c r="N2057" i="64" s="1"/>
  <c r="M2058" i="64"/>
  <c r="N2058" i="64" s="1"/>
  <c r="M2059" i="64"/>
  <c r="N2059" i="64" s="1"/>
  <c r="M2060" i="64"/>
  <c r="N2060" i="64" s="1"/>
  <c r="M2061" i="64"/>
  <c r="N2061" i="64" s="1"/>
  <c r="M2062" i="64"/>
  <c r="N2062" i="64" s="1"/>
  <c r="M2063" i="64"/>
  <c r="N2063" i="64" s="1"/>
  <c r="M2064" i="64"/>
  <c r="N2064" i="64" s="1"/>
  <c r="M2065" i="64"/>
  <c r="N2065" i="64" s="1"/>
  <c r="H1998" i="64"/>
  <c r="H1999" i="64"/>
  <c r="H2000" i="64"/>
  <c r="H2221" i="64"/>
  <c r="H2222" i="64"/>
  <c r="H2223" i="64"/>
  <c r="G1998" i="64"/>
  <c r="G1999" i="64"/>
  <c r="G2000" i="64"/>
  <c r="G2076" i="64"/>
  <c r="F1998" i="64"/>
  <c r="F1999" i="64"/>
  <c r="F2000" i="64"/>
  <c r="F2075" i="64"/>
  <c r="F2076" i="64"/>
  <c r="F2141" i="64"/>
  <c r="F2142" i="64"/>
  <c r="F2143" i="64"/>
  <c r="F2144" i="64"/>
  <c r="F2145" i="64"/>
  <c r="F2146" i="64"/>
  <c r="F2221" i="64"/>
  <c r="A1998" i="64"/>
  <c r="A1999" i="64"/>
  <c r="A2000" i="64"/>
  <c r="B1998" i="64"/>
  <c r="B1999" i="64"/>
  <c r="B2000" i="64"/>
  <c r="J1998" i="64"/>
  <c r="J1999" i="64"/>
  <c r="J2000" i="64"/>
  <c r="K1998" i="64"/>
  <c r="K1999" i="64"/>
  <c r="K2000" i="64"/>
  <c r="M1998" i="64"/>
  <c r="N1998" i="64" s="1"/>
  <c r="M1999" i="64"/>
  <c r="N1999" i="64" s="1"/>
  <c r="M2000" i="64"/>
  <c r="N2000" i="64" s="1"/>
  <c r="A2066" i="64"/>
  <c r="A2067" i="64"/>
  <c r="A2068" i="64"/>
  <c r="B2066" i="64"/>
  <c r="B2067" i="64"/>
  <c r="B2068" i="64"/>
  <c r="J2066" i="64"/>
  <c r="J2067" i="64"/>
  <c r="J2068" i="64"/>
  <c r="K2066" i="64"/>
  <c r="K2067" i="64"/>
  <c r="K2068" i="64"/>
  <c r="M2066" i="64"/>
  <c r="N2066" i="64" s="1"/>
  <c r="M2067" i="64"/>
  <c r="N2067" i="64" s="1"/>
  <c r="M2068" i="64"/>
  <c r="N2068" i="64" s="1"/>
  <c r="A2069" i="64"/>
  <c r="A2070" i="64"/>
  <c r="A2071" i="64"/>
  <c r="B2069" i="64"/>
  <c r="B2070" i="64"/>
  <c r="B2071" i="64"/>
  <c r="J2069" i="64"/>
  <c r="J2070" i="64"/>
  <c r="J2071" i="64"/>
  <c r="K2069" i="64"/>
  <c r="K2070" i="64"/>
  <c r="K2071" i="64"/>
  <c r="M2069" i="64"/>
  <c r="N2069" i="64" s="1"/>
  <c r="M2070" i="64"/>
  <c r="N2070" i="64" s="1"/>
  <c r="M2071" i="64"/>
  <c r="N2071" i="64" s="1"/>
  <c r="A2072" i="64"/>
  <c r="A2073" i="64"/>
  <c r="A2074" i="64"/>
  <c r="B2072" i="64"/>
  <c r="B2073" i="64"/>
  <c r="B2074" i="64"/>
  <c r="J2072" i="64"/>
  <c r="J2073" i="64"/>
  <c r="J2074" i="64"/>
  <c r="K2072" i="64"/>
  <c r="K2073" i="64"/>
  <c r="K2074" i="64"/>
  <c r="M2072" i="64"/>
  <c r="N2072" i="64" s="1"/>
  <c r="M2073" i="64"/>
  <c r="N2073" i="64" s="1"/>
  <c r="M2074" i="64"/>
  <c r="N2074" i="64" s="1"/>
  <c r="A2075" i="64"/>
  <c r="A2076" i="64"/>
  <c r="A2141" i="64"/>
  <c r="B2075" i="64"/>
  <c r="B2076" i="64"/>
  <c r="B2141" i="64"/>
  <c r="J2075" i="64"/>
  <c r="J2076" i="64"/>
  <c r="J2141" i="64"/>
  <c r="K2075" i="64"/>
  <c r="K2076" i="64"/>
  <c r="K2141" i="64"/>
  <c r="M2075" i="64"/>
  <c r="N2075" i="64" s="1"/>
  <c r="M2076" i="64"/>
  <c r="N2076" i="64" s="1"/>
  <c r="M2141" i="64"/>
  <c r="N2141" i="64" s="1"/>
  <c r="A2142" i="64"/>
  <c r="A2143" i="64"/>
  <c r="A2144" i="64"/>
  <c r="B2142" i="64"/>
  <c r="B2143" i="64"/>
  <c r="B2144" i="64"/>
  <c r="J2142" i="64"/>
  <c r="J2143" i="64"/>
  <c r="J2144" i="64"/>
  <c r="K2142" i="64"/>
  <c r="K2143" i="64"/>
  <c r="K2144" i="64"/>
  <c r="M2142" i="64"/>
  <c r="N2142" i="64" s="1"/>
  <c r="M2143" i="64"/>
  <c r="N2143" i="64" s="1"/>
  <c r="M2144" i="64"/>
  <c r="N2144" i="64" s="1"/>
  <c r="A2145" i="64"/>
  <c r="A2146" i="64"/>
  <c r="A2221" i="64"/>
  <c r="B2145" i="64"/>
  <c r="B2146" i="64"/>
  <c r="B2221" i="64"/>
  <c r="J2145" i="64"/>
  <c r="J2146" i="64"/>
  <c r="J2221" i="64"/>
  <c r="K2145" i="64"/>
  <c r="K2146" i="64"/>
  <c r="K2221" i="64"/>
  <c r="M2145" i="64"/>
  <c r="N2145" i="64" s="1"/>
  <c r="M2146" i="64"/>
  <c r="N2146" i="64" s="1"/>
  <c r="M2221" i="64"/>
  <c r="N2221" i="64" s="1"/>
  <c r="A1985" i="64"/>
  <c r="M1972" i="64"/>
  <c r="N1972" i="64" s="1"/>
  <c r="K1972" i="64"/>
  <c r="J1972" i="64"/>
  <c r="H1972" i="64"/>
  <c r="G1972" i="64"/>
  <c r="F1972" i="64"/>
  <c r="B1972" i="64"/>
  <c r="A1972" i="64"/>
  <c r="M1971" i="64"/>
  <c r="N1971" i="64" s="1"/>
  <c r="K1971" i="64"/>
  <c r="J1971" i="64"/>
  <c r="H1971" i="64"/>
  <c r="G1971" i="64"/>
  <c r="F1971" i="64"/>
  <c r="B1971" i="64"/>
  <c r="A1971" i="64"/>
  <c r="M1970" i="64"/>
  <c r="N1970" i="64" s="1"/>
  <c r="K1970" i="64"/>
  <c r="J1970" i="64"/>
  <c r="H1970" i="64"/>
  <c r="G1970" i="64"/>
  <c r="F1970" i="64"/>
  <c r="B1970" i="64"/>
  <c r="A1970" i="64"/>
  <c r="A1973" i="64"/>
  <c r="B1973" i="64"/>
  <c r="F1973" i="64"/>
  <c r="G1973" i="64"/>
  <c r="H1973" i="64"/>
  <c r="J1973" i="64"/>
  <c r="K1973" i="64"/>
  <c r="M1973" i="64"/>
  <c r="N1973" i="64" s="1"/>
  <c r="H1977" i="64"/>
  <c r="H1978" i="64"/>
  <c r="H1979" i="64"/>
  <c r="H1980" i="64"/>
  <c r="H1981" i="64"/>
  <c r="H1982" i="64"/>
  <c r="H1983" i="64"/>
  <c r="H1984" i="64"/>
  <c r="H1985" i="64"/>
  <c r="H1986" i="64"/>
  <c r="H1987" i="64"/>
  <c r="H1988" i="64"/>
  <c r="H1989" i="64"/>
  <c r="H1990" i="64"/>
  <c r="H1991" i="64"/>
  <c r="H1992" i="64"/>
  <c r="H1993" i="64"/>
  <c r="H1994" i="64"/>
  <c r="H1995" i="64"/>
  <c r="H1996" i="64"/>
  <c r="H1997" i="64"/>
  <c r="G1977" i="64"/>
  <c r="G1978" i="64"/>
  <c r="G1979" i="64"/>
  <c r="G1980" i="64"/>
  <c r="G1981" i="64"/>
  <c r="G1982" i="64"/>
  <c r="G1983" i="64"/>
  <c r="G1984" i="64"/>
  <c r="G1985" i="64"/>
  <c r="G1986" i="64"/>
  <c r="G1987" i="64"/>
  <c r="G1988" i="64"/>
  <c r="G1989" i="64"/>
  <c r="G1990" i="64"/>
  <c r="G1991" i="64"/>
  <c r="G1992" i="64"/>
  <c r="G1993" i="64"/>
  <c r="G1994" i="64"/>
  <c r="G1995" i="64"/>
  <c r="G1996" i="64"/>
  <c r="G1997" i="64"/>
  <c r="F1977" i="64"/>
  <c r="F1978" i="64"/>
  <c r="F1979" i="64"/>
  <c r="F1980" i="64"/>
  <c r="F1981" i="64"/>
  <c r="F1982" i="64"/>
  <c r="F1983" i="64"/>
  <c r="F1984" i="64"/>
  <c r="F1985" i="64"/>
  <c r="F1986" i="64"/>
  <c r="F1987" i="64"/>
  <c r="F1988" i="64"/>
  <c r="F1989" i="64"/>
  <c r="F1990" i="64"/>
  <c r="F1991" i="64"/>
  <c r="F1992" i="64"/>
  <c r="F1993" i="64"/>
  <c r="F1994" i="64"/>
  <c r="F1995" i="64"/>
  <c r="F1996" i="64"/>
  <c r="F1997" i="64"/>
  <c r="A1977" i="64"/>
  <c r="A1978" i="64"/>
  <c r="A1979" i="64"/>
  <c r="B1977" i="64"/>
  <c r="B1978" i="64"/>
  <c r="B1979" i="64"/>
  <c r="J1977" i="64"/>
  <c r="J1978" i="64"/>
  <c r="J1979" i="64"/>
  <c r="K1977" i="64"/>
  <c r="K1978" i="64"/>
  <c r="K1979" i="64"/>
  <c r="M1977" i="64"/>
  <c r="N1977" i="64" s="1"/>
  <c r="M1978" i="64"/>
  <c r="N1978" i="64" s="1"/>
  <c r="M1979" i="64"/>
  <c r="N1979" i="64" s="1"/>
  <c r="A1980" i="64"/>
  <c r="A1981" i="64"/>
  <c r="A1982" i="64"/>
  <c r="B1980" i="64"/>
  <c r="B1981" i="64"/>
  <c r="B1982" i="64"/>
  <c r="J1980" i="64"/>
  <c r="J1981" i="64"/>
  <c r="J1982" i="64"/>
  <c r="K1980" i="64"/>
  <c r="K1981" i="64"/>
  <c r="K1982" i="64"/>
  <c r="M1980" i="64"/>
  <c r="N1980" i="64" s="1"/>
  <c r="M1981" i="64"/>
  <c r="N1981" i="64" s="1"/>
  <c r="M1982" i="64"/>
  <c r="N1982" i="64" s="1"/>
  <c r="A1983" i="64"/>
  <c r="A1984" i="64"/>
  <c r="B1983" i="64"/>
  <c r="B1984" i="64"/>
  <c r="J1983" i="64"/>
  <c r="J1984" i="64"/>
  <c r="J1985" i="64"/>
  <c r="K1983" i="64"/>
  <c r="K1984" i="64"/>
  <c r="K1985" i="64"/>
  <c r="M1983" i="64"/>
  <c r="N1983" i="64" s="1"/>
  <c r="M1984" i="64"/>
  <c r="N1984" i="64" s="1"/>
  <c r="M1985" i="64"/>
  <c r="N1985" i="64" s="1"/>
  <c r="A1986" i="64"/>
  <c r="A1987" i="64"/>
  <c r="A1988" i="64"/>
  <c r="B1986" i="64"/>
  <c r="B1987" i="64"/>
  <c r="B1988" i="64"/>
  <c r="J1986" i="64"/>
  <c r="J1987" i="64"/>
  <c r="J1988" i="64"/>
  <c r="K1986" i="64"/>
  <c r="K1987" i="64"/>
  <c r="K1988" i="64"/>
  <c r="M1986" i="64"/>
  <c r="N1986" i="64" s="1"/>
  <c r="M1987" i="64"/>
  <c r="N1987" i="64" s="1"/>
  <c r="M1988" i="64"/>
  <c r="N1988" i="64" s="1"/>
  <c r="A1989" i="64"/>
  <c r="A1990" i="64"/>
  <c r="A1991" i="64"/>
  <c r="B1989" i="64"/>
  <c r="B1990" i="64"/>
  <c r="B1991" i="64"/>
  <c r="J1989" i="64"/>
  <c r="J1990" i="64"/>
  <c r="J1991" i="64"/>
  <c r="K1989" i="64"/>
  <c r="K1990" i="64"/>
  <c r="K1991" i="64"/>
  <c r="M1989" i="64"/>
  <c r="N1989" i="64" s="1"/>
  <c r="M1990" i="64"/>
  <c r="N1990" i="64" s="1"/>
  <c r="M1991" i="64"/>
  <c r="N1991" i="64" s="1"/>
  <c r="A1992" i="64"/>
  <c r="A1993" i="64"/>
  <c r="A1994" i="64"/>
  <c r="B1992" i="64"/>
  <c r="B1993" i="64"/>
  <c r="B1994" i="64"/>
  <c r="J1992" i="64"/>
  <c r="J1993" i="64"/>
  <c r="J1994" i="64"/>
  <c r="K1992" i="64"/>
  <c r="K1993" i="64"/>
  <c r="K1994" i="64"/>
  <c r="M1992" i="64"/>
  <c r="N1992" i="64" s="1"/>
  <c r="M1993" i="64"/>
  <c r="N1993" i="64" s="1"/>
  <c r="M1994" i="64"/>
  <c r="N1994" i="64" s="1"/>
  <c r="A1995" i="64"/>
  <c r="A1996" i="64"/>
  <c r="A1997" i="64"/>
  <c r="B1995" i="64"/>
  <c r="B1996" i="64"/>
  <c r="B1997" i="64"/>
  <c r="J1995" i="64"/>
  <c r="J1996" i="64"/>
  <c r="J1997" i="64"/>
  <c r="K1995" i="64"/>
  <c r="K1996" i="64"/>
  <c r="K1997" i="64"/>
  <c r="M1995" i="64"/>
  <c r="N1995" i="64" s="1"/>
  <c r="M1996" i="64"/>
  <c r="N1996" i="64" s="1"/>
  <c r="M1997" i="64"/>
  <c r="N1997" i="64" s="1"/>
  <c r="H2224" i="64"/>
  <c r="G2223" i="64"/>
  <c r="G2224" i="64"/>
  <c r="F2222" i="64"/>
  <c r="F2223" i="64"/>
  <c r="F2224" i="64"/>
  <c r="H1965" i="64"/>
  <c r="H1966" i="64"/>
  <c r="H1967" i="64"/>
  <c r="H1968" i="64"/>
  <c r="H1969" i="64"/>
  <c r="G1965" i="64"/>
  <c r="G1966" i="64"/>
  <c r="G1967" i="64"/>
  <c r="G1968" i="64"/>
  <c r="G1969" i="64"/>
  <c r="F1965" i="64"/>
  <c r="F1966" i="64"/>
  <c r="F1967" i="64"/>
  <c r="F1968" i="64"/>
  <c r="F1969" i="64"/>
  <c r="A1965" i="64"/>
  <c r="A1966" i="64"/>
  <c r="A1967" i="64"/>
  <c r="B1965" i="64"/>
  <c r="B1966" i="64"/>
  <c r="B1967" i="64"/>
  <c r="J1965" i="64"/>
  <c r="J1966" i="64"/>
  <c r="J1967" i="64"/>
  <c r="K1965" i="64"/>
  <c r="K1966" i="64"/>
  <c r="K1967" i="64"/>
  <c r="M1965" i="64"/>
  <c r="N1965" i="64" s="1"/>
  <c r="M1966" i="64"/>
  <c r="N1966" i="64" s="1"/>
  <c r="M1967" i="64"/>
  <c r="N1967" i="64" s="1"/>
  <c r="A1968" i="64"/>
  <c r="A1969" i="64"/>
  <c r="B1968" i="64"/>
  <c r="B1969" i="64"/>
  <c r="J1968" i="64"/>
  <c r="J1969" i="64"/>
  <c r="K1968" i="64"/>
  <c r="K1969" i="64"/>
  <c r="M1968" i="64"/>
  <c r="N1968" i="64" s="1"/>
  <c r="M1969" i="64"/>
  <c r="N1969" i="64" s="1"/>
  <c r="A2222" i="64"/>
  <c r="A2223" i="64"/>
  <c r="A2224" i="64"/>
  <c r="B2222" i="64"/>
  <c r="B2223" i="64"/>
  <c r="B2224" i="64"/>
  <c r="J2222" i="64"/>
  <c r="J2223" i="64"/>
  <c r="J2224" i="64"/>
  <c r="K2222" i="64"/>
  <c r="K2223" i="64"/>
  <c r="K2224" i="64"/>
  <c r="M2222" i="64"/>
  <c r="N2222" i="64" s="1"/>
  <c r="M2223" i="64"/>
  <c r="N2223" i="64" s="1"/>
  <c r="M2224" i="64"/>
  <c r="N2224" i="64" s="1"/>
  <c r="H1949" i="64"/>
  <c r="H1950" i="64"/>
  <c r="H1951" i="64"/>
  <c r="H1952" i="64"/>
  <c r="H1953" i="64"/>
  <c r="H1954" i="64"/>
  <c r="H1955" i="64"/>
  <c r="H1956" i="64"/>
  <c r="H1957" i="64"/>
  <c r="H1958" i="64"/>
  <c r="H1959" i="64"/>
  <c r="H1960" i="64"/>
  <c r="H1961" i="64"/>
  <c r="H1962" i="64"/>
  <c r="G1949" i="64"/>
  <c r="G1950" i="64"/>
  <c r="G1951" i="64"/>
  <c r="G1952" i="64"/>
  <c r="G1953" i="64"/>
  <c r="G1954" i="64"/>
  <c r="G1955" i="64"/>
  <c r="G1956" i="64"/>
  <c r="G1957" i="64"/>
  <c r="G1958" i="64"/>
  <c r="G1959" i="64"/>
  <c r="G1960" i="64"/>
  <c r="G1961" i="64"/>
  <c r="G1962" i="64"/>
  <c r="F1949" i="64"/>
  <c r="F1950" i="64"/>
  <c r="F1951" i="64"/>
  <c r="F1952" i="64"/>
  <c r="F1953" i="64"/>
  <c r="F1954" i="64"/>
  <c r="F1955" i="64"/>
  <c r="F1956" i="64"/>
  <c r="F1957" i="64"/>
  <c r="F1958" i="64"/>
  <c r="F1959" i="64"/>
  <c r="F1960" i="64"/>
  <c r="F1961" i="64"/>
  <c r="F1962" i="64"/>
  <c r="A1949" i="64"/>
  <c r="A1950" i="64"/>
  <c r="A1951" i="64"/>
  <c r="A1952" i="64"/>
  <c r="A1953" i="64"/>
  <c r="A1954" i="64"/>
  <c r="A1955" i="64"/>
  <c r="B1949" i="64"/>
  <c r="B1950" i="64"/>
  <c r="B1951" i="64"/>
  <c r="B1952" i="64"/>
  <c r="B1953" i="64"/>
  <c r="B1954" i="64"/>
  <c r="B1955" i="64"/>
  <c r="J1949" i="64"/>
  <c r="J1950" i="64"/>
  <c r="J1951" i="64"/>
  <c r="J1952" i="64"/>
  <c r="J1953" i="64"/>
  <c r="J1954" i="64"/>
  <c r="J1955" i="64"/>
  <c r="K1949" i="64"/>
  <c r="K1950" i="64"/>
  <c r="K1951" i="64"/>
  <c r="K1952" i="64"/>
  <c r="K1953" i="64"/>
  <c r="K1954" i="64"/>
  <c r="K1955" i="64"/>
  <c r="M1949" i="64"/>
  <c r="N1949" i="64" s="1"/>
  <c r="M1950" i="64"/>
  <c r="N1950" i="64" s="1"/>
  <c r="M1951" i="64"/>
  <c r="N1951" i="64" s="1"/>
  <c r="M1952" i="64"/>
  <c r="N1952" i="64" s="1"/>
  <c r="M1953" i="64"/>
  <c r="N1953" i="64" s="1"/>
  <c r="M1954" i="64"/>
  <c r="N1954" i="64" s="1"/>
  <c r="M1955" i="64"/>
  <c r="N1955" i="64" s="1"/>
  <c r="A1956" i="64"/>
  <c r="A1957" i="64"/>
  <c r="A1958" i="64"/>
  <c r="A1959" i="64"/>
  <c r="A1960" i="64"/>
  <c r="A1961" i="64"/>
  <c r="A1962" i="64"/>
  <c r="B1956" i="64"/>
  <c r="B1957" i="64"/>
  <c r="B1958" i="64"/>
  <c r="B1959" i="64"/>
  <c r="B1960" i="64"/>
  <c r="B1961" i="64"/>
  <c r="B1962" i="64"/>
  <c r="J1956" i="64"/>
  <c r="J1957" i="64"/>
  <c r="J1958" i="64"/>
  <c r="J1959" i="64"/>
  <c r="J1960" i="64"/>
  <c r="J1961" i="64"/>
  <c r="J1962" i="64"/>
  <c r="K1956" i="64"/>
  <c r="K1957" i="64"/>
  <c r="K1958" i="64"/>
  <c r="K1959" i="64"/>
  <c r="K1960" i="64"/>
  <c r="K1961" i="64"/>
  <c r="K1962" i="64"/>
  <c r="M1956" i="64"/>
  <c r="N1956" i="64" s="1"/>
  <c r="M1957" i="64"/>
  <c r="N1957" i="64" s="1"/>
  <c r="M1958" i="64"/>
  <c r="N1958" i="64" s="1"/>
  <c r="M1959" i="64"/>
  <c r="N1959" i="64" s="1"/>
  <c r="M1960" i="64"/>
  <c r="N1960" i="64" s="1"/>
  <c r="M1961" i="64"/>
  <c r="N1961" i="64" s="1"/>
  <c r="M1962" i="64"/>
  <c r="N1962" i="64" s="1"/>
  <c r="H1929" i="64"/>
  <c r="H1930" i="64"/>
  <c r="H1931" i="64"/>
  <c r="H1932" i="64"/>
  <c r="H1933" i="64"/>
  <c r="H1934" i="64"/>
  <c r="H1935" i="64"/>
  <c r="H1936" i="64"/>
  <c r="H1937" i="64"/>
  <c r="H1938" i="64"/>
  <c r="H1939" i="64"/>
  <c r="H1940" i="64"/>
  <c r="H1941" i="64"/>
  <c r="H1942" i="64"/>
  <c r="H1943" i="64"/>
  <c r="H1944" i="64"/>
  <c r="H1945" i="64"/>
  <c r="H1946" i="64"/>
  <c r="G1929" i="64"/>
  <c r="G1930" i="64"/>
  <c r="G1931" i="64"/>
  <c r="G1932" i="64"/>
  <c r="G1933" i="64"/>
  <c r="G1934" i="64"/>
  <c r="G1935" i="64"/>
  <c r="G1936" i="64"/>
  <c r="G1937" i="64"/>
  <c r="G1938" i="64"/>
  <c r="G1939" i="64"/>
  <c r="G1940" i="64"/>
  <c r="G1941" i="64"/>
  <c r="G1942" i="64"/>
  <c r="G1943" i="64"/>
  <c r="G1944" i="64"/>
  <c r="G1945" i="64"/>
  <c r="G1946" i="64"/>
  <c r="F1929" i="64"/>
  <c r="F1930" i="64"/>
  <c r="F1931" i="64"/>
  <c r="F1932" i="64"/>
  <c r="F1933" i="64"/>
  <c r="F1934" i="64"/>
  <c r="F1935" i="64"/>
  <c r="F1936" i="64"/>
  <c r="F1937" i="64"/>
  <c r="F1938" i="64"/>
  <c r="F1939" i="64"/>
  <c r="F1940" i="64"/>
  <c r="F1941" i="64"/>
  <c r="F1942" i="64"/>
  <c r="F1943" i="64"/>
  <c r="F1944" i="64"/>
  <c r="F1945" i="64"/>
  <c r="F1946" i="64"/>
  <c r="A1929" i="64"/>
  <c r="A1930" i="64"/>
  <c r="A1931" i="64"/>
  <c r="A1932" i="64"/>
  <c r="A1933" i="64"/>
  <c r="A1934" i="64"/>
  <c r="A1935" i="64"/>
  <c r="A1936" i="64"/>
  <c r="A1937" i="64"/>
  <c r="B1929" i="64"/>
  <c r="B1930" i="64"/>
  <c r="B1931" i="64"/>
  <c r="B1932" i="64"/>
  <c r="B1933" i="64"/>
  <c r="B1934" i="64"/>
  <c r="B1935" i="64"/>
  <c r="B1936" i="64"/>
  <c r="B1937" i="64"/>
  <c r="J1929" i="64"/>
  <c r="J1930" i="64"/>
  <c r="J1931" i="64"/>
  <c r="J1932" i="64"/>
  <c r="J1933" i="64"/>
  <c r="J1934" i="64"/>
  <c r="J1935" i="64"/>
  <c r="J1936" i="64"/>
  <c r="J1937" i="64"/>
  <c r="K1929" i="64"/>
  <c r="K1930" i="64"/>
  <c r="K1931" i="64"/>
  <c r="K1932" i="64"/>
  <c r="K1933" i="64"/>
  <c r="K1934" i="64"/>
  <c r="K1935" i="64"/>
  <c r="K1936" i="64"/>
  <c r="K1937" i="64"/>
  <c r="M1929" i="64"/>
  <c r="N1929" i="64" s="1"/>
  <c r="M1930" i="64"/>
  <c r="N1930" i="64" s="1"/>
  <c r="M1931" i="64"/>
  <c r="N1931" i="64" s="1"/>
  <c r="M1932" i="64"/>
  <c r="N1932" i="64" s="1"/>
  <c r="M1933" i="64"/>
  <c r="N1933" i="64" s="1"/>
  <c r="M1934" i="64"/>
  <c r="N1934" i="64" s="1"/>
  <c r="M1935" i="64"/>
  <c r="N1935" i="64" s="1"/>
  <c r="M1936" i="64"/>
  <c r="N1936" i="64" s="1"/>
  <c r="M1937" i="64"/>
  <c r="N1937" i="64" s="1"/>
  <c r="A1938" i="64"/>
  <c r="A1939" i="64"/>
  <c r="A1940" i="64"/>
  <c r="A1941" i="64"/>
  <c r="A1942" i="64"/>
  <c r="A1943" i="64"/>
  <c r="A1944" i="64"/>
  <c r="A1945" i="64"/>
  <c r="A1946" i="64"/>
  <c r="B1938" i="64"/>
  <c r="B1939" i="64"/>
  <c r="B1940" i="64"/>
  <c r="B1941" i="64"/>
  <c r="B1942" i="64"/>
  <c r="B1943" i="64"/>
  <c r="B1944" i="64"/>
  <c r="B1945" i="64"/>
  <c r="B1946" i="64"/>
  <c r="J1938" i="64"/>
  <c r="J1939" i="64"/>
  <c r="J1940" i="64"/>
  <c r="J1941" i="64"/>
  <c r="J1942" i="64"/>
  <c r="J1943" i="64"/>
  <c r="J1944" i="64"/>
  <c r="J1945" i="64"/>
  <c r="J1946" i="64"/>
  <c r="K1938" i="64"/>
  <c r="K1939" i="64"/>
  <c r="K1940" i="64"/>
  <c r="K1941" i="64"/>
  <c r="K1942" i="64"/>
  <c r="K1943" i="64"/>
  <c r="K1944" i="64"/>
  <c r="K1945" i="64"/>
  <c r="K1946" i="64"/>
  <c r="M1938" i="64"/>
  <c r="N1938" i="64" s="1"/>
  <c r="M1939" i="64"/>
  <c r="N1939" i="64" s="1"/>
  <c r="M1940" i="64"/>
  <c r="N1940" i="64" s="1"/>
  <c r="M1941" i="64"/>
  <c r="N1941" i="64" s="1"/>
  <c r="M1942" i="64"/>
  <c r="N1942" i="64" s="1"/>
  <c r="M1943" i="64"/>
  <c r="N1943" i="64" s="1"/>
  <c r="M1944" i="64"/>
  <c r="N1944" i="64" s="1"/>
  <c r="M1945" i="64"/>
  <c r="N1945" i="64" s="1"/>
  <c r="M1946" i="64"/>
  <c r="N1946" i="64" s="1"/>
  <c r="H1903" i="64"/>
  <c r="H1904" i="64"/>
  <c r="H1905" i="64"/>
  <c r="H1906" i="64"/>
  <c r="H1907" i="64"/>
  <c r="H1908" i="64"/>
  <c r="H1909" i="64"/>
  <c r="H1910" i="64"/>
  <c r="H1911" i="64"/>
  <c r="H1912" i="64"/>
  <c r="H1913" i="64"/>
  <c r="H1914" i="64"/>
  <c r="H1915" i="64"/>
  <c r="H1916" i="64"/>
  <c r="H1917" i="64"/>
  <c r="H1918" i="64"/>
  <c r="H1919" i="64"/>
  <c r="H1920" i="64"/>
  <c r="H1921" i="64"/>
  <c r="H1922" i="64"/>
  <c r="H1923" i="64"/>
  <c r="H1924" i="64"/>
  <c r="H1925" i="64"/>
  <c r="H1926" i="64"/>
  <c r="H1927" i="64"/>
  <c r="H1928" i="64"/>
  <c r="H1947" i="64"/>
  <c r="H1948" i="64"/>
  <c r="H1963" i="64"/>
  <c r="H1964" i="64"/>
  <c r="H1902" i="64"/>
  <c r="G1903" i="64"/>
  <c r="G1904" i="64"/>
  <c r="G1905" i="64"/>
  <c r="G1906" i="64"/>
  <c r="G1907" i="64"/>
  <c r="G1908" i="64"/>
  <c r="G1909" i="64"/>
  <c r="G1910" i="64"/>
  <c r="G1911" i="64"/>
  <c r="G1912" i="64"/>
  <c r="G1913" i="64"/>
  <c r="G1914" i="64"/>
  <c r="G1915" i="64"/>
  <c r="G1916" i="64"/>
  <c r="G1917" i="64"/>
  <c r="G1918" i="64"/>
  <c r="G1919" i="64"/>
  <c r="G1920" i="64"/>
  <c r="G1921" i="64"/>
  <c r="G1922" i="64"/>
  <c r="G1923" i="64"/>
  <c r="G1924" i="64"/>
  <c r="G1925" i="64"/>
  <c r="G1926" i="64"/>
  <c r="G1927" i="64"/>
  <c r="G1928" i="64"/>
  <c r="G1947" i="64"/>
  <c r="G1948" i="64"/>
  <c r="G1963" i="64"/>
  <c r="G1964" i="64"/>
  <c r="F1903" i="64"/>
  <c r="F1904" i="64"/>
  <c r="F1905" i="64"/>
  <c r="F1906" i="64"/>
  <c r="F1907" i="64"/>
  <c r="F1908" i="64"/>
  <c r="F1909" i="64"/>
  <c r="F1910" i="64"/>
  <c r="F1911" i="64"/>
  <c r="F1912" i="64"/>
  <c r="F1913" i="64"/>
  <c r="F1914" i="64"/>
  <c r="F1915" i="64"/>
  <c r="F1916" i="64"/>
  <c r="F1917" i="64"/>
  <c r="F1918" i="64"/>
  <c r="F1919" i="64"/>
  <c r="F1920" i="64"/>
  <c r="F1921" i="64"/>
  <c r="F1922" i="64"/>
  <c r="F1923" i="64"/>
  <c r="F1924" i="64"/>
  <c r="F1925" i="64"/>
  <c r="F1926" i="64"/>
  <c r="F1927" i="64"/>
  <c r="F1928" i="64"/>
  <c r="F1947" i="64"/>
  <c r="F1948" i="64"/>
  <c r="F1963" i="64"/>
  <c r="F1964" i="64"/>
  <c r="A1903" i="64"/>
  <c r="A1904" i="64"/>
  <c r="A1905" i="64"/>
  <c r="A1906" i="64"/>
  <c r="A1907" i="64"/>
  <c r="A1908" i="64"/>
  <c r="A1909" i="64"/>
  <c r="A1910" i="64"/>
  <c r="A1911" i="64"/>
  <c r="A1912" i="64"/>
  <c r="A1913" i="64"/>
  <c r="A1914" i="64"/>
  <c r="B1903" i="64"/>
  <c r="B1904" i="64"/>
  <c r="B1905" i="64"/>
  <c r="B1906" i="64"/>
  <c r="B1907" i="64"/>
  <c r="B1908" i="64"/>
  <c r="B1909" i="64"/>
  <c r="B1910" i="64"/>
  <c r="B1911" i="64"/>
  <c r="B1912" i="64"/>
  <c r="B1913" i="64"/>
  <c r="B1914" i="64"/>
  <c r="J1903" i="64"/>
  <c r="J1904" i="64"/>
  <c r="J1905" i="64"/>
  <c r="J1906" i="64"/>
  <c r="J1907" i="64"/>
  <c r="J1908" i="64"/>
  <c r="J1909" i="64"/>
  <c r="J1910" i="64"/>
  <c r="J1911" i="64"/>
  <c r="J1912" i="64"/>
  <c r="J1913" i="64"/>
  <c r="J1914" i="64"/>
  <c r="K1903" i="64"/>
  <c r="K1904" i="64"/>
  <c r="K1905" i="64"/>
  <c r="K1906" i="64"/>
  <c r="K1907" i="64"/>
  <c r="K1908" i="64"/>
  <c r="K1909" i="64"/>
  <c r="K1910" i="64"/>
  <c r="K1911" i="64"/>
  <c r="K1912" i="64"/>
  <c r="K1913" i="64"/>
  <c r="K1914" i="64"/>
  <c r="M1903" i="64"/>
  <c r="N1903" i="64" s="1"/>
  <c r="M1904" i="64"/>
  <c r="N1904" i="64" s="1"/>
  <c r="M1905" i="64"/>
  <c r="N1905" i="64" s="1"/>
  <c r="M1906" i="64"/>
  <c r="N1906" i="64" s="1"/>
  <c r="M1907" i="64"/>
  <c r="N1907" i="64" s="1"/>
  <c r="M1908" i="64"/>
  <c r="N1908" i="64" s="1"/>
  <c r="M1909" i="64"/>
  <c r="N1909" i="64" s="1"/>
  <c r="M1910" i="64"/>
  <c r="N1910" i="64" s="1"/>
  <c r="M1911" i="64"/>
  <c r="N1911" i="64" s="1"/>
  <c r="M1912" i="64"/>
  <c r="N1912" i="64" s="1"/>
  <c r="M1913" i="64"/>
  <c r="N1913" i="64" s="1"/>
  <c r="M1914" i="64"/>
  <c r="N1914" i="64" s="1"/>
  <c r="A1915" i="64"/>
  <c r="A1916" i="64"/>
  <c r="A1917" i="64"/>
  <c r="A1918" i="64"/>
  <c r="A1919" i="64"/>
  <c r="A1920" i="64"/>
  <c r="A1921" i="64"/>
  <c r="A1922" i="64"/>
  <c r="A1923" i="64"/>
  <c r="A1924" i="64"/>
  <c r="A1925" i="64"/>
  <c r="A1926" i="64"/>
  <c r="B1915" i="64"/>
  <c r="B1916" i="64"/>
  <c r="B1917" i="64"/>
  <c r="B1918" i="64"/>
  <c r="B1919" i="64"/>
  <c r="B1920" i="64"/>
  <c r="B1921" i="64"/>
  <c r="B1922" i="64"/>
  <c r="B1923" i="64"/>
  <c r="B1924" i="64"/>
  <c r="B1925" i="64"/>
  <c r="B1926" i="64"/>
  <c r="J1915" i="64"/>
  <c r="J1916" i="64"/>
  <c r="J1917" i="64"/>
  <c r="J1918" i="64"/>
  <c r="J1919" i="64"/>
  <c r="J1920" i="64"/>
  <c r="J1921" i="64"/>
  <c r="J1922" i="64"/>
  <c r="J1923" i="64"/>
  <c r="J1924" i="64"/>
  <c r="J1925" i="64"/>
  <c r="J1926" i="64"/>
  <c r="K1915" i="64"/>
  <c r="K1916" i="64"/>
  <c r="K1917" i="64"/>
  <c r="K1918" i="64"/>
  <c r="K1919" i="64"/>
  <c r="K1920" i="64"/>
  <c r="K1921" i="64"/>
  <c r="K1922" i="64"/>
  <c r="K1923" i="64"/>
  <c r="K1924" i="64"/>
  <c r="K1925" i="64"/>
  <c r="K1926" i="64"/>
  <c r="M1915" i="64"/>
  <c r="N1915" i="64" s="1"/>
  <c r="M1916" i="64"/>
  <c r="N1916" i="64" s="1"/>
  <c r="M1917" i="64"/>
  <c r="N1917" i="64" s="1"/>
  <c r="M1918" i="64"/>
  <c r="N1918" i="64" s="1"/>
  <c r="M1919" i="64"/>
  <c r="N1919" i="64" s="1"/>
  <c r="M1920" i="64"/>
  <c r="N1920" i="64" s="1"/>
  <c r="M1921" i="64"/>
  <c r="N1921" i="64" s="1"/>
  <c r="M1922" i="64"/>
  <c r="N1922" i="64" s="1"/>
  <c r="M1923" i="64"/>
  <c r="N1923" i="64" s="1"/>
  <c r="M1924" i="64"/>
  <c r="N1924" i="64" s="1"/>
  <c r="M1925" i="64"/>
  <c r="N1925" i="64" s="1"/>
  <c r="M1926" i="64"/>
  <c r="N1926" i="64" s="1"/>
  <c r="A1927" i="64"/>
  <c r="A1928" i="64"/>
  <c r="A1947" i="64"/>
  <c r="A1948" i="64"/>
  <c r="A1963" i="64"/>
  <c r="A1964" i="64"/>
  <c r="B1927" i="64"/>
  <c r="B1928" i="64"/>
  <c r="B1947" i="64"/>
  <c r="B1948" i="64"/>
  <c r="B1963" i="64"/>
  <c r="B1964" i="64"/>
  <c r="J1927" i="64"/>
  <c r="J1928" i="64"/>
  <c r="J1947" i="64"/>
  <c r="J1948" i="64"/>
  <c r="J1963" i="64"/>
  <c r="J1964" i="64"/>
  <c r="K1927" i="64"/>
  <c r="K1928" i="64"/>
  <c r="K1947" i="64"/>
  <c r="K1948" i="64"/>
  <c r="K1963" i="64"/>
  <c r="K1964" i="64"/>
  <c r="M1927" i="64"/>
  <c r="N1927" i="64" s="1"/>
  <c r="M1928" i="64"/>
  <c r="N1928" i="64" s="1"/>
  <c r="M1947" i="64"/>
  <c r="N1947" i="64" s="1"/>
  <c r="M1948" i="64"/>
  <c r="N1948" i="64" s="1"/>
  <c r="M1963" i="64"/>
  <c r="N1963" i="64" s="1"/>
  <c r="M1964" i="64"/>
  <c r="N1964" i="64" s="1"/>
  <c r="C185" i="68"/>
  <c r="C159" i="68"/>
  <c r="C146" i="68"/>
  <c r="D185" i="68"/>
  <c r="E185" i="68"/>
  <c r="F185" i="68"/>
  <c r="G185" i="68"/>
  <c r="H185" i="68"/>
  <c r="I185" i="68"/>
  <c r="L185" i="68"/>
  <c r="M185" i="68"/>
  <c r="H1838" i="64"/>
  <c r="G1838" i="64"/>
  <c r="F1838" i="64"/>
  <c r="A1838" i="64"/>
  <c r="B1838" i="64"/>
  <c r="J1838" i="64"/>
  <c r="K1838" i="64"/>
  <c r="M1838" i="64"/>
  <c r="N1838" i="64" s="1"/>
  <c r="F1850" i="64"/>
  <c r="G1850" i="64"/>
  <c r="H1850" i="64"/>
  <c r="H1872" i="64"/>
  <c r="H1873" i="64"/>
  <c r="H1874" i="64"/>
  <c r="H1875" i="64"/>
  <c r="H1876" i="64"/>
  <c r="H1877" i="64"/>
  <c r="H1878" i="64"/>
  <c r="H1879" i="64"/>
  <c r="H1880" i="64"/>
  <c r="H1881" i="64"/>
  <c r="H1882" i="64"/>
  <c r="H1883" i="64"/>
  <c r="H1884" i="64"/>
  <c r="H1885" i="64"/>
  <c r="H1886" i="64"/>
  <c r="H1887" i="64"/>
  <c r="H1888" i="64"/>
  <c r="H1889" i="64"/>
  <c r="H1890" i="64"/>
  <c r="H1891" i="64"/>
  <c r="H1892" i="64"/>
  <c r="H1893" i="64"/>
  <c r="H1894" i="64"/>
  <c r="H1895" i="64"/>
  <c r="H1896" i="64"/>
  <c r="H1897" i="64"/>
  <c r="H1898" i="64"/>
  <c r="G1872" i="64"/>
  <c r="G1873" i="64"/>
  <c r="G1874" i="64"/>
  <c r="G1875" i="64"/>
  <c r="G1876" i="64"/>
  <c r="G1877" i="64"/>
  <c r="G1878" i="64"/>
  <c r="G1879" i="64"/>
  <c r="G1880" i="64"/>
  <c r="G1881" i="64"/>
  <c r="G1882" i="64"/>
  <c r="G1883" i="64"/>
  <c r="G1884" i="64"/>
  <c r="G1885" i="64"/>
  <c r="G1886" i="64"/>
  <c r="G1887" i="64"/>
  <c r="G1888" i="64"/>
  <c r="G1889" i="64"/>
  <c r="G1890" i="64"/>
  <c r="G1891" i="64"/>
  <c r="G1892" i="64"/>
  <c r="G1893" i="64"/>
  <c r="G1894" i="64"/>
  <c r="G1895" i="64"/>
  <c r="G1896" i="64"/>
  <c r="G1897" i="64"/>
  <c r="G1898" i="64"/>
  <c r="F1872" i="64"/>
  <c r="F1873" i="64"/>
  <c r="F1874" i="64"/>
  <c r="F1875" i="64"/>
  <c r="F1876" i="64"/>
  <c r="F1877" i="64"/>
  <c r="F1878" i="64"/>
  <c r="F1879" i="64"/>
  <c r="F1880" i="64"/>
  <c r="F1881" i="64"/>
  <c r="F1882" i="64"/>
  <c r="F1883" i="64"/>
  <c r="F1884" i="64"/>
  <c r="F1885" i="64"/>
  <c r="F1886" i="64"/>
  <c r="F1887" i="64"/>
  <c r="F1888" i="64"/>
  <c r="F1889" i="64"/>
  <c r="F1890" i="64"/>
  <c r="F1891" i="64"/>
  <c r="F1892" i="64"/>
  <c r="F1893" i="64"/>
  <c r="F1894" i="64"/>
  <c r="F1895" i="64"/>
  <c r="F1896" i="64"/>
  <c r="F1897" i="64"/>
  <c r="F1898" i="64"/>
  <c r="A1872" i="64"/>
  <c r="A1873" i="64"/>
  <c r="A1874" i="64"/>
  <c r="A1875" i="64"/>
  <c r="A1876" i="64"/>
  <c r="A1877" i="64"/>
  <c r="A1878" i="64"/>
  <c r="A1879" i="64"/>
  <c r="A1880" i="64"/>
  <c r="B1872" i="64"/>
  <c r="B1873" i="64"/>
  <c r="B1874" i="64"/>
  <c r="B1875" i="64"/>
  <c r="B1876" i="64"/>
  <c r="B1877" i="64"/>
  <c r="B1878" i="64"/>
  <c r="B1879" i="64"/>
  <c r="B1880" i="64"/>
  <c r="J1872" i="64"/>
  <c r="J1873" i="64"/>
  <c r="J1874" i="64"/>
  <c r="J1875" i="64"/>
  <c r="J1876" i="64"/>
  <c r="J1877" i="64"/>
  <c r="J1878" i="64"/>
  <c r="J1879" i="64"/>
  <c r="J1880" i="64"/>
  <c r="K1872" i="64"/>
  <c r="K1873" i="64"/>
  <c r="K1874" i="64"/>
  <c r="K1875" i="64"/>
  <c r="K1876" i="64"/>
  <c r="K1877" i="64"/>
  <c r="K1878" i="64"/>
  <c r="K1879" i="64"/>
  <c r="K1880" i="64"/>
  <c r="M1872" i="64"/>
  <c r="N1872" i="64" s="1"/>
  <c r="M1873" i="64"/>
  <c r="N1873" i="64" s="1"/>
  <c r="M1874" i="64"/>
  <c r="N1874" i="64" s="1"/>
  <c r="M1875" i="64"/>
  <c r="N1875" i="64" s="1"/>
  <c r="M1876" i="64"/>
  <c r="N1876" i="64" s="1"/>
  <c r="M1877" i="64"/>
  <c r="N1877" i="64" s="1"/>
  <c r="M1878" i="64"/>
  <c r="N1878" i="64" s="1"/>
  <c r="M1879" i="64"/>
  <c r="N1879" i="64" s="1"/>
  <c r="M1880" i="64"/>
  <c r="N1880" i="64" s="1"/>
  <c r="A1881" i="64"/>
  <c r="A1882" i="64"/>
  <c r="A1883" i="64"/>
  <c r="A1884" i="64"/>
  <c r="A1885" i="64"/>
  <c r="A1886" i="64"/>
  <c r="A1887" i="64"/>
  <c r="A1888" i="64"/>
  <c r="A1889" i="64"/>
  <c r="B1881" i="64"/>
  <c r="B1882" i="64"/>
  <c r="B1883" i="64"/>
  <c r="B1884" i="64"/>
  <c r="B1885" i="64"/>
  <c r="B1886" i="64"/>
  <c r="B1887" i="64"/>
  <c r="B1888" i="64"/>
  <c r="B1889" i="64"/>
  <c r="J1881" i="64"/>
  <c r="J1882" i="64"/>
  <c r="J1883" i="64"/>
  <c r="J1884" i="64"/>
  <c r="J1885" i="64"/>
  <c r="J1886" i="64"/>
  <c r="J1887" i="64"/>
  <c r="J1888" i="64"/>
  <c r="J1889" i="64"/>
  <c r="K1881" i="64"/>
  <c r="K1882" i="64"/>
  <c r="K1883" i="64"/>
  <c r="K1884" i="64"/>
  <c r="K1885" i="64"/>
  <c r="K1886" i="64"/>
  <c r="K1887" i="64"/>
  <c r="K1888" i="64"/>
  <c r="K1889" i="64"/>
  <c r="M1881" i="64"/>
  <c r="N1881" i="64" s="1"/>
  <c r="M1882" i="64"/>
  <c r="N1882" i="64" s="1"/>
  <c r="M1883" i="64"/>
  <c r="N1883" i="64" s="1"/>
  <c r="M1884" i="64"/>
  <c r="N1884" i="64" s="1"/>
  <c r="M1885" i="64"/>
  <c r="N1885" i="64" s="1"/>
  <c r="M1886" i="64"/>
  <c r="N1886" i="64" s="1"/>
  <c r="M1887" i="64"/>
  <c r="N1887" i="64" s="1"/>
  <c r="M1888" i="64"/>
  <c r="N1888" i="64" s="1"/>
  <c r="M1889" i="64"/>
  <c r="N1889" i="64" s="1"/>
  <c r="A1890" i="64"/>
  <c r="A1891" i="64"/>
  <c r="A1892" i="64"/>
  <c r="A1893" i="64"/>
  <c r="A1894" i="64"/>
  <c r="A1895" i="64"/>
  <c r="A1896" i="64"/>
  <c r="A1897" i="64"/>
  <c r="A1898" i="64"/>
  <c r="B1890" i="64"/>
  <c r="B1891" i="64"/>
  <c r="B1892" i="64"/>
  <c r="B1893" i="64"/>
  <c r="B1894" i="64"/>
  <c r="B1895" i="64"/>
  <c r="B1896" i="64"/>
  <c r="B1897" i="64"/>
  <c r="B1898" i="64"/>
  <c r="J1890" i="64"/>
  <c r="J1891" i="64"/>
  <c r="J1892" i="64"/>
  <c r="J1893" i="64"/>
  <c r="J1894" i="64"/>
  <c r="J1895" i="64"/>
  <c r="J1896" i="64"/>
  <c r="J1897" i="64"/>
  <c r="J1898" i="64"/>
  <c r="K1890" i="64"/>
  <c r="K1891" i="64"/>
  <c r="K1892" i="64"/>
  <c r="K1893" i="64"/>
  <c r="K1894" i="64"/>
  <c r="K1895" i="64"/>
  <c r="K1896" i="64"/>
  <c r="K1897" i="64"/>
  <c r="K1898" i="64"/>
  <c r="M1890" i="64"/>
  <c r="N1890" i="64" s="1"/>
  <c r="M1891" i="64"/>
  <c r="N1891" i="64" s="1"/>
  <c r="M1892" i="64"/>
  <c r="N1892" i="64" s="1"/>
  <c r="M1893" i="64"/>
  <c r="N1893" i="64" s="1"/>
  <c r="M1894" i="64"/>
  <c r="N1894" i="64" s="1"/>
  <c r="M1895" i="64"/>
  <c r="N1895" i="64" s="1"/>
  <c r="M1896" i="64"/>
  <c r="N1896" i="64" s="1"/>
  <c r="M1897" i="64"/>
  <c r="N1897" i="64" s="1"/>
  <c r="M1898" i="64"/>
  <c r="N1898" i="64" s="1"/>
  <c r="M1859" i="64"/>
  <c r="F2032" i="64" l="1"/>
  <c r="F2031" i="64"/>
  <c r="G2033" i="64"/>
  <c r="H2033" i="64"/>
  <c r="G2032" i="64"/>
  <c r="G2031" i="64"/>
  <c r="H2024" i="64"/>
  <c r="G2024" i="64"/>
  <c r="M2" i="64"/>
  <c r="B1239" i="64"/>
  <c r="H1842" i="64"/>
  <c r="H1843" i="64"/>
  <c r="H1844" i="64"/>
  <c r="H1845" i="64"/>
  <c r="H1846" i="64"/>
  <c r="H1847" i="64"/>
  <c r="H1848" i="64"/>
  <c r="H1849" i="64"/>
  <c r="H1851" i="64"/>
  <c r="H1852" i="64"/>
  <c r="H1853" i="64"/>
  <c r="H1854" i="64"/>
  <c r="H1855" i="64"/>
  <c r="H1856" i="64"/>
  <c r="H1857" i="64"/>
  <c r="H1858" i="64"/>
  <c r="H1859" i="64"/>
  <c r="H1860" i="64"/>
  <c r="H1861" i="64"/>
  <c r="H1862" i="64"/>
  <c r="H1863" i="64"/>
  <c r="H1864" i="64"/>
  <c r="H1865" i="64"/>
  <c r="H1866" i="64"/>
  <c r="H1867" i="64"/>
  <c r="H1868" i="64"/>
  <c r="H1869" i="64"/>
  <c r="H1870" i="64"/>
  <c r="H1871" i="64"/>
  <c r="H1899" i="64"/>
  <c r="H1900" i="64"/>
  <c r="G1842" i="64"/>
  <c r="G1843" i="64"/>
  <c r="G1844" i="64"/>
  <c r="G1845" i="64"/>
  <c r="G1846" i="64"/>
  <c r="G1847" i="64"/>
  <c r="G1848" i="64"/>
  <c r="G1849" i="64"/>
  <c r="G1851" i="64"/>
  <c r="G1852" i="64"/>
  <c r="G1853" i="64"/>
  <c r="G1854" i="64"/>
  <c r="G1855" i="64"/>
  <c r="G1856" i="64"/>
  <c r="G1857" i="64"/>
  <c r="G1858" i="64"/>
  <c r="G1859" i="64"/>
  <c r="G1860" i="64"/>
  <c r="G1861" i="64"/>
  <c r="G1862" i="64"/>
  <c r="G1863" i="64"/>
  <c r="G1864" i="64"/>
  <c r="G1865" i="64"/>
  <c r="G1866" i="64"/>
  <c r="G1867" i="64"/>
  <c r="G1868" i="64"/>
  <c r="G1869" i="64"/>
  <c r="G1870" i="64"/>
  <c r="G1871" i="64"/>
  <c r="G1899" i="64"/>
  <c r="G1900" i="64"/>
  <c r="F1842" i="64"/>
  <c r="F1843" i="64"/>
  <c r="F1844" i="64"/>
  <c r="F1845" i="64"/>
  <c r="F1846" i="64"/>
  <c r="F1847" i="64"/>
  <c r="F1848" i="64"/>
  <c r="F1849" i="64"/>
  <c r="F1851" i="64"/>
  <c r="F1852" i="64"/>
  <c r="F1853" i="64"/>
  <c r="F1854" i="64"/>
  <c r="F1855" i="64"/>
  <c r="F1856" i="64"/>
  <c r="F1857" i="64"/>
  <c r="F1858" i="64"/>
  <c r="F1859" i="64"/>
  <c r="F1860" i="64"/>
  <c r="F1861" i="64"/>
  <c r="F1862" i="64"/>
  <c r="F1863" i="64"/>
  <c r="F1864" i="64"/>
  <c r="F1865" i="64"/>
  <c r="F1866" i="64"/>
  <c r="F1867" i="64"/>
  <c r="F1868" i="64"/>
  <c r="F1869" i="64"/>
  <c r="F1870" i="64"/>
  <c r="F1871" i="64"/>
  <c r="F1899" i="64"/>
  <c r="F1900" i="64"/>
  <c r="A1842" i="64"/>
  <c r="A1843" i="64"/>
  <c r="A1844" i="64"/>
  <c r="A1845" i="64"/>
  <c r="A1846" i="64"/>
  <c r="A1847" i="64"/>
  <c r="A1848" i="64"/>
  <c r="A1849" i="64"/>
  <c r="B1842" i="64"/>
  <c r="B1843" i="64"/>
  <c r="B1844" i="64"/>
  <c r="B1845" i="64"/>
  <c r="B1846" i="64"/>
  <c r="B1847" i="64"/>
  <c r="B1848" i="64"/>
  <c r="B1849" i="64"/>
  <c r="J1842" i="64"/>
  <c r="J1843" i="64"/>
  <c r="J1844" i="64"/>
  <c r="J1845" i="64"/>
  <c r="J1846" i="64"/>
  <c r="J1847" i="64"/>
  <c r="J1848" i="64"/>
  <c r="J1849" i="64"/>
  <c r="K1842" i="64"/>
  <c r="K1843" i="64"/>
  <c r="K1844" i="64"/>
  <c r="K1845" i="64"/>
  <c r="K1846" i="64"/>
  <c r="K1847" i="64"/>
  <c r="K1848" i="64"/>
  <c r="K1849" i="64"/>
  <c r="M1842" i="64"/>
  <c r="N1842" i="64" s="1"/>
  <c r="M1843" i="64"/>
  <c r="N1843" i="64" s="1"/>
  <c r="M1844" i="64"/>
  <c r="N1844" i="64" s="1"/>
  <c r="M1845" i="64"/>
  <c r="N1845" i="64" s="1"/>
  <c r="M1846" i="64"/>
  <c r="N1846" i="64" s="1"/>
  <c r="M1847" i="64"/>
  <c r="N1847" i="64" s="1"/>
  <c r="M1848" i="64"/>
  <c r="N1848" i="64" s="1"/>
  <c r="M1849" i="64"/>
  <c r="N1849" i="64" s="1"/>
  <c r="A1850" i="64"/>
  <c r="A1851" i="64"/>
  <c r="A1852" i="64"/>
  <c r="A1853" i="64"/>
  <c r="A1854" i="64"/>
  <c r="A1855" i="64"/>
  <c r="A1856" i="64"/>
  <c r="A1857" i="64"/>
  <c r="B1850" i="64"/>
  <c r="B1851" i="64"/>
  <c r="B1852" i="64"/>
  <c r="B1853" i="64"/>
  <c r="B1854" i="64"/>
  <c r="B1855" i="64"/>
  <c r="B1856" i="64"/>
  <c r="B1857" i="64"/>
  <c r="J1850" i="64"/>
  <c r="J1851" i="64"/>
  <c r="J1852" i="64"/>
  <c r="J1853" i="64"/>
  <c r="J1854" i="64"/>
  <c r="J1855" i="64"/>
  <c r="J1856" i="64"/>
  <c r="J1857" i="64"/>
  <c r="K1850" i="64"/>
  <c r="K1851" i="64"/>
  <c r="K1852" i="64"/>
  <c r="K1853" i="64"/>
  <c r="K1854" i="64"/>
  <c r="K1855" i="64"/>
  <c r="K1856" i="64"/>
  <c r="K1857" i="64"/>
  <c r="M1850" i="64"/>
  <c r="N1850" i="64" s="1"/>
  <c r="M1851" i="64"/>
  <c r="N1851" i="64" s="1"/>
  <c r="M1852" i="64"/>
  <c r="N1852" i="64" s="1"/>
  <c r="M1853" i="64"/>
  <c r="N1853" i="64" s="1"/>
  <c r="M1854" i="64"/>
  <c r="N1854" i="64" s="1"/>
  <c r="M1855" i="64"/>
  <c r="N1855" i="64" s="1"/>
  <c r="M1856" i="64"/>
  <c r="N1856" i="64" s="1"/>
  <c r="M1857" i="64"/>
  <c r="N1857" i="64" s="1"/>
  <c r="A1858" i="64"/>
  <c r="A1859" i="64"/>
  <c r="A1860" i="64"/>
  <c r="A1861" i="64"/>
  <c r="A1862" i="64"/>
  <c r="A1863" i="64"/>
  <c r="A1864" i="64"/>
  <c r="A1865" i="64"/>
  <c r="B1858" i="64"/>
  <c r="B1859" i="64"/>
  <c r="B1860" i="64"/>
  <c r="B1861" i="64"/>
  <c r="B1862" i="64"/>
  <c r="B1863" i="64"/>
  <c r="B1864" i="64"/>
  <c r="B1865" i="64"/>
  <c r="J1858" i="64"/>
  <c r="J1859" i="64"/>
  <c r="J1860" i="64"/>
  <c r="J1861" i="64"/>
  <c r="J1862" i="64"/>
  <c r="J1863" i="64"/>
  <c r="J1864" i="64"/>
  <c r="J1865" i="64"/>
  <c r="K1858" i="64"/>
  <c r="K1859" i="64"/>
  <c r="K1860" i="64"/>
  <c r="K1861" i="64"/>
  <c r="K1862" i="64"/>
  <c r="K1863" i="64"/>
  <c r="K1864" i="64"/>
  <c r="K1865" i="64"/>
  <c r="M1858" i="64"/>
  <c r="N1858" i="64" s="1"/>
  <c r="N1859" i="64"/>
  <c r="M1860" i="64"/>
  <c r="N1860" i="64" s="1"/>
  <c r="M1861" i="64"/>
  <c r="N1861" i="64" s="1"/>
  <c r="M1862" i="64"/>
  <c r="N1862" i="64" s="1"/>
  <c r="M1863" i="64"/>
  <c r="N1863" i="64" s="1"/>
  <c r="M1864" i="64"/>
  <c r="N1864" i="64" s="1"/>
  <c r="M1865" i="64"/>
  <c r="N1865" i="64" s="1"/>
  <c r="A1866" i="64"/>
  <c r="A1867" i="64"/>
  <c r="A1868" i="64"/>
  <c r="A1869" i="64"/>
  <c r="A1870" i="64"/>
  <c r="A1871" i="64"/>
  <c r="A1899" i="64"/>
  <c r="A1900" i="64"/>
  <c r="B1866" i="64"/>
  <c r="B1867" i="64"/>
  <c r="B1868" i="64"/>
  <c r="B1869" i="64"/>
  <c r="B1870" i="64"/>
  <c r="B1871" i="64"/>
  <c r="B1899" i="64"/>
  <c r="B1900" i="64"/>
  <c r="J1866" i="64"/>
  <c r="J1867" i="64"/>
  <c r="J1868" i="64"/>
  <c r="J1869" i="64"/>
  <c r="J1870" i="64"/>
  <c r="J1871" i="64"/>
  <c r="J1899" i="64"/>
  <c r="J1900" i="64"/>
  <c r="K1866" i="64"/>
  <c r="K1867" i="64"/>
  <c r="K1868" i="64"/>
  <c r="K1869" i="64"/>
  <c r="K1870" i="64"/>
  <c r="K1871" i="64"/>
  <c r="K1899" i="64"/>
  <c r="K1900" i="64"/>
  <c r="M1866" i="64"/>
  <c r="N1866" i="64" s="1"/>
  <c r="M1867" i="64"/>
  <c r="N1867" i="64" s="1"/>
  <c r="M1868" i="64"/>
  <c r="N1868" i="64" s="1"/>
  <c r="M1869" i="64"/>
  <c r="N1869" i="64" s="1"/>
  <c r="M1870" i="64"/>
  <c r="N1870" i="64" s="1"/>
  <c r="M1871" i="64"/>
  <c r="N1871" i="64" s="1"/>
  <c r="M1899" i="64"/>
  <c r="N1899" i="64" s="1"/>
  <c r="M1900" i="64"/>
  <c r="N1900" i="64" s="1"/>
  <c r="H1827" i="64"/>
  <c r="H1828" i="64"/>
  <c r="H1829" i="64"/>
  <c r="H1830" i="64"/>
  <c r="H1831" i="64"/>
  <c r="H1832" i="64"/>
  <c r="H1833" i="64"/>
  <c r="H1834" i="64"/>
  <c r="H1835" i="64"/>
  <c r="H1836" i="64"/>
  <c r="H1837" i="64"/>
  <c r="H1839" i="64"/>
  <c r="H1840" i="64"/>
  <c r="H1841" i="64"/>
  <c r="G1827" i="64"/>
  <c r="G1828" i="64"/>
  <c r="G1829" i="64"/>
  <c r="G1830" i="64"/>
  <c r="G1831" i="64"/>
  <c r="G1832" i="64"/>
  <c r="G1833" i="64"/>
  <c r="G1834" i="64"/>
  <c r="G1835" i="64"/>
  <c r="G1836" i="64"/>
  <c r="G1837" i="64"/>
  <c r="G1839" i="64"/>
  <c r="G1840" i="64"/>
  <c r="G1841" i="64"/>
  <c r="F1827" i="64"/>
  <c r="F1828" i="64"/>
  <c r="F1829" i="64"/>
  <c r="F1830" i="64"/>
  <c r="F1831" i="64"/>
  <c r="F1832" i="64"/>
  <c r="F1833" i="64"/>
  <c r="F1834" i="64"/>
  <c r="F1835" i="64"/>
  <c r="F1836" i="64"/>
  <c r="F1837" i="64"/>
  <c r="F1839" i="64"/>
  <c r="F1840" i="64"/>
  <c r="F1841" i="64"/>
  <c r="A1827" i="64"/>
  <c r="A1828" i="64"/>
  <c r="A1829" i="64"/>
  <c r="A1830" i="64"/>
  <c r="A1831" i="64"/>
  <c r="A1832" i="64"/>
  <c r="A1833" i="64"/>
  <c r="B1827" i="64"/>
  <c r="B1828" i="64"/>
  <c r="B1829" i="64"/>
  <c r="B1830" i="64"/>
  <c r="B1831" i="64"/>
  <c r="B1832" i="64"/>
  <c r="B1833" i="64"/>
  <c r="J1827" i="64"/>
  <c r="J1828" i="64"/>
  <c r="J1829" i="64"/>
  <c r="J1830" i="64"/>
  <c r="J1831" i="64"/>
  <c r="J1832" i="64"/>
  <c r="J1833" i="64"/>
  <c r="K1827" i="64"/>
  <c r="K1828" i="64"/>
  <c r="K1829" i="64"/>
  <c r="K1830" i="64"/>
  <c r="K1831" i="64"/>
  <c r="K1832" i="64"/>
  <c r="K1833" i="64"/>
  <c r="M1827" i="64"/>
  <c r="N1827" i="64" s="1"/>
  <c r="M1828" i="64"/>
  <c r="N1828" i="64" s="1"/>
  <c r="M1829" i="64"/>
  <c r="N1829" i="64" s="1"/>
  <c r="M1830" i="64"/>
  <c r="N1830" i="64" s="1"/>
  <c r="M1831" i="64"/>
  <c r="N1831" i="64" s="1"/>
  <c r="M1832" i="64"/>
  <c r="N1832" i="64" s="1"/>
  <c r="M1833" i="64"/>
  <c r="N1833" i="64" s="1"/>
  <c r="A1834" i="64"/>
  <c r="A1835" i="64"/>
  <c r="A1836" i="64"/>
  <c r="A1837" i="64"/>
  <c r="A1839" i="64"/>
  <c r="A1840" i="64"/>
  <c r="A1841" i="64"/>
  <c r="B1834" i="64"/>
  <c r="B1835" i="64"/>
  <c r="B1836" i="64"/>
  <c r="B1837" i="64"/>
  <c r="B1839" i="64"/>
  <c r="B1840" i="64"/>
  <c r="B1841" i="64"/>
  <c r="J1834" i="64"/>
  <c r="J1835" i="64"/>
  <c r="J1836" i="64"/>
  <c r="J1837" i="64"/>
  <c r="J1839" i="64"/>
  <c r="J1840" i="64"/>
  <c r="J1841" i="64"/>
  <c r="K1834" i="64"/>
  <c r="K1835" i="64"/>
  <c r="K1836" i="64"/>
  <c r="K1837" i="64"/>
  <c r="K1839" i="64"/>
  <c r="K1840" i="64"/>
  <c r="K1841" i="64"/>
  <c r="M1834" i="64"/>
  <c r="N1834" i="64" s="1"/>
  <c r="M1835" i="64"/>
  <c r="N1835" i="64" s="1"/>
  <c r="M1836" i="64"/>
  <c r="N1836" i="64" s="1"/>
  <c r="M1837" i="64"/>
  <c r="N1837" i="64" s="1"/>
  <c r="M1839" i="64"/>
  <c r="N1839" i="64" s="1"/>
  <c r="M1840" i="64"/>
  <c r="N1840" i="64" s="1"/>
  <c r="M1841" i="64"/>
  <c r="N1841" i="64" s="1"/>
  <c r="F1789" i="64"/>
  <c r="H1785" i="64"/>
  <c r="H1786" i="64"/>
  <c r="H1787" i="64"/>
  <c r="H1788" i="64"/>
  <c r="H1789" i="64"/>
  <c r="H1790" i="64"/>
  <c r="H1791" i="64"/>
  <c r="H1792" i="64"/>
  <c r="H1793" i="64"/>
  <c r="H1794" i="64"/>
  <c r="H1795" i="64"/>
  <c r="H1796" i="64"/>
  <c r="H1797" i="64"/>
  <c r="H1798" i="64"/>
  <c r="H1799" i="64"/>
  <c r="H1800" i="64"/>
  <c r="H1801" i="64"/>
  <c r="H1802" i="64"/>
  <c r="H1803" i="64"/>
  <c r="H1804" i="64"/>
  <c r="H1805" i="64"/>
  <c r="H1806" i="64"/>
  <c r="H1807" i="64"/>
  <c r="H1808" i="64"/>
  <c r="H1809" i="64"/>
  <c r="H1810" i="64"/>
  <c r="H1811" i="64"/>
  <c r="H1812" i="64"/>
  <c r="H1813" i="64"/>
  <c r="H1814" i="64"/>
  <c r="H1815" i="64"/>
  <c r="H1816" i="64"/>
  <c r="H1817" i="64"/>
  <c r="H1818" i="64"/>
  <c r="H1819" i="64"/>
  <c r="H1820" i="64"/>
  <c r="G1785" i="64"/>
  <c r="G1786" i="64"/>
  <c r="G1787" i="64"/>
  <c r="G1788" i="64"/>
  <c r="G1789" i="64"/>
  <c r="G1790" i="64"/>
  <c r="G1791" i="64"/>
  <c r="G1792" i="64"/>
  <c r="G1793" i="64"/>
  <c r="G1794" i="64"/>
  <c r="G1795" i="64"/>
  <c r="G1796" i="64"/>
  <c r="G1797" i="64"/>
  <c r="G1798" i="64"/>
  <c r="G1799" i="64"/>
  <c r="G1800" i="64"/>
  <c r="G1801" i="64"/>
  <c r="G1802" i="64"/>
  <c r="G1803" i="64"/>
  <c r="G1804" i="64"/>
  <c r="G1805" i="64"/>
  <c r="G1806" i="64"/>
  <c r="G1807" i="64"/>
  <c r="G1808" i="64"/>
  <c r="G1809" i="64"/>
  <c r="G1810" i="64"/>
  <c r="G1811" i="64"/>
  <c r="G1812" i="64"/>
  <c r="G1813" i="64"/>
  <c r="G1814" i="64"/>
  <c r="G1815" i="64"/>
  <c r="G1816" i="64"/>
  <c r="G1817" i="64"/>
  <c r="G1818" i="64"/>
  <c r="G1819" i="64"/>
  <c r="G1820" i="64"/>
  <c r="F1785" i="64"/>
  <c r="F1786" i="64"/>
  <c r="F1787" i="64"/>
  <c r="F1788" i="64"/>
  <c r="F1790" i="64"/>
  <c r="F1791" i="64"/>
  <c r="F1792" i="64"/>
  <c r="F1793" i="64"/>
  <c r="F1794" i="64"/>
  <c r="F1795" i="64"/>
  <c r="F1796" i="64"/>
  <c r="F1797" i="64"/>
  <c r="F1798" i="64"/>
  <c r="F1799" i="64"/>
  <c r="F1800" i="64"/>
  <c r="F1801" i="64"/>
  <c r="F1802" i="64"/>
  <c r="F1803" i="64"/>
  <c r="F1804" i="64"/>
  <c r="F1805" i="64"/>
  <c r="F1806" i="64"/>
  <c r="F1807" i="64"/>
  <c r="F1808" i="64"/>
  <c r="F1809" i="64"/>
  <c r="F1810" i="64"/>
  <c r="F1811" i="64"/>
  <c r="F1812" i="64"/>
  <c r="F1813" i="64"/>
  <c r="F1814" i="64"/>
  <c r="F1815" i="64"/>
  <c r="F1816" i="64"/>
  <c r="F1817" i="64"/>
  <c r="F1818" i="64"/>
  <c r="F1819" i="64"/>
  <c r="F1820" i="64"/>
  <c r="A1785" i="64"/>
  <c r="A1786" i="64"/>
  <c r="A1787" i="64"/>
  <c r="A1788" i="64"/>
  <c r="A1789" i="64"/>
  <c r="A1790" i="64"/>
  <c r="A1791" i="64"/>
  <c r="A1792" i="64"/>
  <c r="A1793" i="64"/>
  <c r="A1794" i="64"/>
  <c r="A1795" i="64"/>
  <c r="A1796" i="64"/>
  <c r="B1785" i="64"/>
  <c r="B1786" i="64"/>
  <c r="B1787" i="64"/>
  <c r="B1788" i="64"/>
  <c r="B1789" i="64"/>
  <c r="B1790" i="64"/>
  <c r="B1791" i="64"/>
  <c r="B1792" i="64"/>
  <c r="B1793" i="64"/>
  <c r="B1794" i="64"/>
  <c r="B1795" i="64"/>
  <c r="B1796" i="64"/>
  <c r="J1785" i="64"/>
  <c r="J1786" i="64"/>
  <c r="J1787" i="64"/>
  <c r="J1788" i="64"/>
  <c r="J1789" i="64"/>
  <c r="J1790" i="64"/>
  <c r="J1791" i="64"/>
  <c r="J1792" i="64"/>
  <c r="J1793" i="64"/>
  <c r="J1794" i="64"/>
  <c r="J1795" i="64"/>
  <c r="J1796" i="64"/>
  <c r="K1785" i="64"/>
  <c r="K1786" i="64"/>
  <c r="K1787" i="64"/>
  <c r="K1788" i="64"/>
  <c r="K1789" i="64"/>
  <c r="K1790" i="64"/>
  <c r="K1791" i="64"/>
  <c r="K1792" i="64"/>
  <c r="K1793" i="64"/>
  <c r="K1794" i="64"/>
  <c r="K1795" i="64"/>
  <c r="K1796" i="64"/>
  <c r="M1785" i="64"/>
  <c r="N1785" i="64" s="1"/>
  <c r="M1786" i="64"/>
  <c r="N1786" i="64" s="1"/>
  <c r="M1787" i="64"/>
  <c r="N1787" i="64" s="1"/>
  <c r="M1788" i="64"/>
  <c r="N1788" i="64" s="1"/>
  <c r="M1789" i="64"/>
  <c r="N1789" i="64" s="1"/>
  <c r="M1790" i="64"/>
  <c r="N1790" i="64" s="1"/>
  <c r="M1791" i="64"/>
  <c r="N1791" i="64" s="1"/>
  <c r="M1792" i="64"/>
  <c r="N1792" i="64" s="1"/>
  <c r="M1793" i="64"/>
  <c r="N1793" i="64" s="1"/>
  <c r="M1794" i="64"/>
  <c r="N1794" i="64" s="1"/>
  <c r="M1795" i="64"/>
  <c r="N1795" i="64" s="1"/>
  <c r="M1796" i="64"/>
  <c r="N1796" i="64" s="1"/>
  <c r="A1797" i="64"/>
  <c r="A1798" i="64"/>
  <c r="A1799" i="64"/>
  <c r="A1800" i="64"/>
  <c r="A1801" i="64"/>
  <c r="A1802" i="64"/>
  <c r="A1803" i="64"/>
  <c r="A1804" i="64"/>
  <c r="A1805" i="64"/>
  <c r="A1806" i="64"/>
  <c r="A1807" i="64"/>
  <c r="A1808" i="64"/>
  <c r="B1797" i="64"/>
  <c r="B1798" i="64"/>
  <c r="B1799" i="64"/>
  <c r="B1800" i="64"/>
  <c r="B1801" i="64"/>
  <c r="B1802" i="64"/>
  <c r="B1803" i="64"/>
  <c r="B1804" i="64"/>
  <c r="B1805" i="64"/>
  <c r="B1806" i="64"/>
  <c r="B1807" i="64"/>
  <c r="B1808" i="64"/>
  <c r="J1797" i="64"/>
  <c r="J1798" i="64"/>
  <c r="J1799" i="64"/>
  <c r="J1800" i="64"/>
  <c r="J1801" i="64"/>
  <c r="J1802" i="64"/>
  <c r="J1803" i="64"/>
  <c r="J1804" i="64"/>
  <c r="J1805" i="64"/>
  <c r="J1806" i="64"/>
  <c r="J1807" i="64"/>
  <c r="J1808" i="64"/>
  <c r="K1797" i="64"/>
  <c r="K1798" i="64"/>
  <c r="K1799" i="64"/>
  <c r="K1800" i="64"/>
  <c r="K1801" i="64"/>
  <c r="K1802" i="64"/>
  <c r="K1803" i="64"/>
  <c r="K1804" i="64"/>
  <c r="K1805" i="64"/>
  <c r="K1806" i="64"/>
  <c r="K1807" i="64"/>
  <c r="K1808" i="64"/>
  <c r="M1797" i="64"/>
  <c r="N1797" i="64" s="1"/>
  <c r="M1798" i="64"/>
  <c r="N1798" i="64" s="1"/>
  <c r="M1799" i="64"/>
  <c r="N1799" i="64" s="1"/>
  <c r="M1800" i="64"/>
  <c r="N1800" i="64" s="1"/>
  <c r="M1801" i="64"/>
  <c r="N1801" i="64" s="1"/>
  <c r="M1802" i="64"/>
  <c r="N1802" i="64" s="1"/>
  <c r="M1803" i="64"/>
  <c r="N1803" i="64" s="1"/>
  <c r="M1804" i="64"/>
  <c r="N1804" i="64" s="1"/>
  <c r="M1805" i="64"/>
  <c r="N1805" i="64" s="1"/>
  <c r="M1806" i="64"/>
  <c r="N1806" i="64" s="1"/>
  <c r="M1807" i="64"/>
  <c r="N1807" i="64" s="1"/>
  <c r="M1808" i="64"/>
  <c r="N1808" i="64" s="1"/>
  <c r="A1809" i="64"/>
  <c r="A1810" i="64"/>
  <c r="A1811" i="64"/>
  <c r="A1812" i="64"/>
  <c r="A1813" i="64"/>
  <c r="A1814" i="64"/>
  <c r="A1815" i="64"/>
  <c r="A1816" i="64"/>
  <c r="A1817" i="64"/>
  <c r="A1818" i="64"/>
  <c r="A1819" i="64"/>
  <c r="A1820" i="64"/>
  <c r="B1809" i="64"/>
  <c r="B1810" i="64"/>
  <c r="B1811" i="64"/>
  <c r="B1812" i="64"/>
  <c r="B1813" i="64"/>
  <c r="B1814" i="64"/>
  <c r="B1815" i="64"/>
  <c r="B1816" i="64"/>
  <c r="B1817" i="64"/>
  <c r="B1818" i="64"/>
  <c r="B1819" i="64"/>
  <c r="B1820" i="64"/>
  <c r="J1809" i="64"/>
  <c r="J1810" i="64"/>
  <c r="J1811" i="64"/>
  <c r="J1812" i="64"/>
  <c r="J1813" i="64"/>
  <c r="J1814" i="64"/>
  <c r="J1815" i="64"/>
  <c r="J1816" i="64"/>
  <c r="J1817" i="64"/>
  <c r="J1818" i="64"/>
  <c r="J1819" i="64"/>
  <c r="J1820" i="64"/>
  <c r="K1809" i="64"/>
  <c r="K1810" i="64"/>
  <c r="K1811" i="64"/>
  <c r="K1812" i="64"/>
  <c r="K1813" i="64"/>
  <c r="K1814" i="64"/>
  <c r="K1815" i="64"/>
  <c r="K1816" i="64"/>
  <c r="K1817" i="64"/>
  <c r="K1818" i="64"/>
  <c r="K1819" i="64"/>
  <c r="K1820" i="64"/>
  <c r="M1809" i="64"/>
  <c r="N1809" i="64" s="1"/>
  <c r="M1810" i="64"/>
  <c r="N1810" i="64" s="1"/>
  <c r="M1811" i="64"/>
  <c r="N1811" i="64" s="1"/>
  <c r="M1812" i="64"/>
  <c r="N1812" i="64" s="1"/>
  <c r="M1813" i="64"/>
  <c r="N1813" i="64" s="1"/>
  <c r="M1814" i="64"/>
  <c r="N1814" i="64" s="1"/>
  <c r="M1815" i="64"/>
  <c r="N1815" i="64" s="1"/>
  <c r="M1816" i="64"/>
  <c r="N1816" i="64" s="1"/>
  <c r="M1817" i="64"/>
  <c r="N1817" i="64" s="1"/>
  <c r="M1818" i="64"/>
  <c r="N1818" i="64" s="1"/>
  <c r="M1819" i="64"/>
  <c r="N1819" i="64" s="1"/>
  <c r="M1820" i="64"/>
  <c r="N1820" i="64" s="1"/>
  <c r="I172" i="68"/>
  <c r="I159" i="68"/>
  <c r="F146" i="68"/>
  <c r="G146" i="68"/>
  <c r="H146" i="68"/>
  <c r="I146" i="68"/>
  <c r="L146" i="68"/>
  <c r="I133" i="68"/>
  <c r="I120" i="68"/>
  <c r="I107" i="68"/>
  <c r="I94" i="68"/>
  <c r="I81" i="68"/>
  <c r="I68" i="68"/>
  <c r="I55" i="68"/>
  <c r="I42" i="68"/>
  <c r="I29" i="68"/>
  <c r="D172" i="68"/>
  <c r="E172" i="68"/>
  <c r="F172" i="68"/>
  <c r="G172" i="68"/>
  <c r="H172" i="68"/>
  <c r="L172" i="68"/>
  <c r="M172" i="68"/>
  <c r="H1764" i="64"/>
  <c r="H1765" i="64"/>
  <c r="H1766" i="64"/>
  <c r="H1767" i="64"/>
  <c r="H1768" i="64"/>
  <c r="H1769" i="64"/>
  <c r="H1770" i="64"/>
  <c r="H1771" i="64"/>
  <c r="H1772" i="64"/>
  <c r="H1773" i="64"/>
  <c r="H1774" i="64"/>
  <c r="H1775" i="64"/>
  <c r="H1776" i="64"/>
  <c r="H1777" i="64"/>
  <c r="H1778" i="64"/>
  <c r="H1779" i="64"/>
  <c r="H1780" i="64"/>
  <c r="H1781" i="64"/>
  <c r="H1782" i="64"/>
  <c r="H1783" i="64"/>
  <c r="G1764" i="64"/>
  <c r="G1765" i="64"/>
  <c r="G1766" i="64"/>
  <c r="G1767" i="64"/>
  <c r="G1768" i="64"/>
  <c r="G1769" i="64"/>
  <c r="G1770" i="64"/>
  <c r="G1771" i="64"/>
  <c r="G1772" i="64"/>
  <c r="G1773" i="64"/>
  <c r="G1774" i="64"/>
  <c r="G1775" i="64"/>
  <c r="G1776" i="64"/>
  <c r="G1777" i="64"/>
  <c r="G1778" i="64"/>
  <c r="G1779" i="64"/>
  <c r="G1780" i="64"/>
  <c r="G1781" i="64"/>
  <c r="G1782" i="64"/>
  <c r="G1783" i="64"/>
  <c r="F1764" i="64"/>
  <c r="F1765" i="64"/>
  <c r="F1766" i="64"/>
  <c r="F1767" i="64"/>
  <c r="F1768" i="64"/>
  <c r="F1769" i="64"/>
  <c r="F1770" i="64"/>
  <c r="F1771" i="64"/>
  <c r="F1772" i="64"/>
  <c r="F1773" i="64"/>
  <c r="F1774" i="64"/>
  <c r="F1775" i="64"/>
  <c r="F1776" i="64"/>
  <c r="F1777" i="64"/>
  <c r="F1778" i="64"/>
  <c r="F1779" i="64"/>
  <c r="F1780" i="64"/>
  <c r="F1781" i="64"/>
  <c r="F1782" i="64"/>
  <c r="F1783" i="64"/>
  <c r="A1764" i="64"/>
  <c r="A1765" i="64"/>
  <c r="A1766" i="64"/>
  <c r="A1767" i="64"/>
  <c r="A1768" i="64"/>
  <c r="A1769" i="64"/>
  <c r="A1770" i="64"/>
  <c r="A1771" i="64"/>
  <c r="A1772" i="64"/>
  <c r="A1773" i="64"/>
  <c r="B1764" i="64"/>
  <c r="B1765" i="64"/>
  <c r="B1766" i="64"/>
  <c r="B1767" i="64"/>
  <c r="B1768" i="64"/>
  <c r="B1769" i="64"/>
  <c r="B1770" i="64"/>
  <c r="B1771" i="64"/>
  <c r="B1772" i="64"/>
  <c r="B1773" i="64"/>
  <c r="J1764" i="64"/>
  <c r="J1765" i="64"/>
  <c r="J1766" i="64"/>
  <c r="J1767" i="64"/>
  <c r="J1768" i="64"/>
  <c r="J1769" i="64"/>
  <c r="J1770" i="64"/>
  <c r="J1771" i="64"/>
  <c r="J1772" i="64"/>
  <c r="J1773" i="64"/>
  <c r="K1764" i="64"/>
  <c r="K1765" i="64"/>
  <c r="K1766" i="64"/>
  <c r="K1767" i="64"/>
  <c r="K1768" i="64"/>
  <c r="K1769" i="64"/>
  <c r="K1770" i="64"/>
  <c r="K1771" i="64"/>
  <c r="K1772" i="64"/>
  <c r="K1773" i="64"/>
  <c r="M1764" i="64"/>
  <c r="N1764" i="64" s="1"/>
  <c r="M1765" i="64"/>
  <c r="N1765" i="64" s="1"/>
  <c r="M1766" i="64"/>
  <c r="N1766" i="64" s="1"/>
  <c r="M1767" i="64"/>
  <c r="N1767" i="64" s="1"/>
  <c r="M1768" i="64"/>
  <c r="N1768" i="64" s="1"/>
  <c r="M1769" i="64"/>
  <c r="N1769" i="64" s="1"/>
  <c r="M1770" i="64"/>
  <c r="N1770" i="64" s="1"/>
  <c r="M1771" i="64"/>
  <c r="N1771" i="64" s="1"/>
  <c r="M1772" i="64"/>
  <c r="N1772" i="64" s="1"/>
  <c r="M1773" i="64"/>
  <c r="N1773" i="64" s="1"/>
  <c r="A1774" i="64"/>
  <c r="A1775" i="64"/>
  <c r="A1776" i="64"/>
  <c r="A1777" i="64"/>
  <c r="A1778" i="64"/>
  <c r="A1779" i="64"/>
  <c r="A1780" i="64"/>
  <c r="A1781" i="64"/>
  <c r="A1782" i="64"/>
  <c r="A1783" i="64"/>
  <c r="B1774" i="64"/>
  <c r="B1775" i="64"/>
  <c r="B1776" i="64"/>
  <c r="B1777" i="64"/>
  <c r="B1778" i="64"/>
  <c r="B1779" i="64"/>
  <c r="B1780" i="64"/>
  <c r="B1781" i="64"/>
  <c r="B1782" i="64"/>
  <c r="B1783" i="64"/>
  <c r="J1774" i="64"/>
  <c r="J1775" i="64"/>
  <c r="J1776" i="64"/>
  <c r="J1777" i="64"/>
  <c r="J1778" i="64"/>
  <c r="J1779" i="64"/>
  <c r="J1780" i="64"/>
  <c r="J1781" i="64"/>
  <c r="J1782" i="64"/>
  <c r="J1783" i="64"/>
  <c r="K1774" i="64"/>
  <c r="K1775" i="64"/>
  <c r="K1776" i="64"/>
  <c r="K1777" i="64"/>
  <c r="K1778" i="64"/>
  <c r="K1779" i="64"/>
  <c r="K1780" i="64"/>
  <c r="K1781" i="64"/>
  <c r="K1782" i="64"/>
  <c r="K1783" i="64"/>
  <c r="M1774" i="64"/>
  <c r="N1774" i="64" s="1"/>
  <c r="M1775" i="64"/>
  <c r="N1775" i="64" s="1"/>
  <c r="M1776" i="64"/>
  <c r="N1776" i="64" s="1"/>
  <c r="M1777" i="64"/>
  <c r="N1777" i="64" s="1"/>
  <c r="M1778" i="64"/>
  <c r="N1778" i="64" s="1"/>
  <c r="M1779" i="64"/>
  <c r="N1779" i="64" s="1"/>
  <c r="M1780" i="64"/>
  <c r="N1780" i="64" s="1"/>
  <c r="M1781" i="64"/>
  <c r="N1781" i="64" s="1"/>
  <c r="M1782" i="64"/>
  <c r="N1782" i="64" s="1"/>
  <c r="M1783" i="64"/>
  <c r="N1783" i="64" s="1"/>
  <c r="F1750" i="64"/>
  <c r="K2" i="64"/>
  <c r="K3" i="64"/>
  <c r="K4" i="64"/>
  <c r="K5" i="64"/>
  <c r="K6" i="64"/>
  <c r="K7" i="64"/>
  <c r="K8" i="64"/>
  <c r="K9" i="64"/>
  <c r="K10" i="64"/>
  <c r="K11" i="64"/>
  <c r="K12" i="64"/>
  <c r="K13" i="64"/>
  <c r="K14" i="64"/>
  <c r="K15" i="64"/>
  <c r="K16" i="64"/>
  <c r="K17" i="64"/>
  <c r="K18" i="64"/>
  <c r="K19" i="64"/>
  <c r="K20" i="64"/>
  <c r="K21" i="64"/>
  <c r="K22" i="64"/>
  <c r="K23" i="64"/>
  <c r="K24" i="64"/>
  <c r="K25" i="64"/>
  <c r="K26" i="64"/>
  <c r="K27" i="64"/>
  <c r="K28" i="64"/>
  <c r="K29" i="64"/>
  <c r="K30" i="64"/>
  <c r="K31" i="64"/>
  <c r="K32" i="64"/>
  <c r="K33" i="64"/>
  <c r="K34" i="64"/>
  <c r="K35" i="64"/>
  <c r="K36" i="64"/>
  <c r="K37" i="64"/>
  <c r="K38" i="64"/>
  <c r="K39" i="64"/>
  <c r="K40" i="64"/>
  <c r="K41" i="64"/>
  <c r="K42" i="64"/>
  <c r="K43" i="64"/>
  <c r="K44" i="64"/>
  <c r="K45" i="64"/>
  <c r="K46" i="64"/>
  <c r="K47" i="64"/>
  <c r="K48" i="64"/>
  <c r="K49" i="64"/>
  <c r="K50" i="64"/>
  <c r="K51" i="64"/>
  <c r="K52" i="64"/>
  <c r="K53" i="64"/>
  <c r="K54" i="64"/>
  <c r="K55" i="64"/>
  <c r="K56" i="64"/>
  <c r="K57" i="64"/>
  <c r="K58" i="64"/>
  <c r="K59" i="64"/>
  <c r="K60" i="64"/>
  <c r="K61" i="64"/>
  <c r="K62" i="64"/>
  <c r="K63" i="64"/>
  <c r="K64" i="64"/>
  <c r="K65" i="64"/>
  <c r="K66" i="64"/>
  <c r="K67" i="64"/>
  <c r="K68" i="64"/>
  <c r="K69" i="64"/>
  <c r="K70" i="64"/>
  <c r="K71" i="64"/>
  <c r="K72" i="64"/>
  <c r="K73" i="64"/>
  <c r="K74" i="64"/>
  <c r="K75" i="64"/>
  <c r="K76" i="64"/>
  <c r="K77" i="64"/>
  <c r="K78" i="64"/>
  <c r="K79" i="64"/>
  <c r="K80" i="64"/>
  <c r="K81" i="64"/>
  <c r="K82" i="64"/>
  <c r="K83" i="64"/>
  <c r="K84" i="64"/>
  <c r="K85" i="64"/>
  <c r="K86" i="64"/>
  <c r="K87" i="64"/>
  <c r="K88" i="64"/>
  <c r="K89" i="64"/>
  <c r="K90" i="64"/>
  <c r="K91" i="64"/>
  <c r="K92" i="64"/>
  <c r="K93" i="64"/>
  <c r="K94" i="64"/>
  <c r="K95" i="64"/>
  <c r="K96" i="64"/>
  <c r="K97" i="64"/>
  <c r="K98" i="64"/>
  <c r="K99" i="64"/>
  <c r="K100" i="64"/>
  <c r="K101" i="64"/>
  <c r="K102" i="64"/>
  <c r="K103" i="64"/>
  <c r="K104" i="64"/>
  <c r="K105" i="64"/>
  <c r="K106" i="64"/>
  <c r="K107" i="64"/>
  <c r="K108" i="64"/>
  <c r="K109" i="64"/>
  <c r="K110" i="64"/>
  <c r="K111" i="64"/>
  <c r="K112" i="64"/>
  <c r="K113" i="64"/>
  <c r="K114" i="64"/>
  <c r="K115" i="64"/>
  <c r="K116" i="64"/>
  <c r="K117" i="64"/>
  <c r="K118" i="64"/>
  <c r="K119" i="64"/>
  <c r="K120" i="64"/>
  <c r="K121" i="64"/>
  <c r="K122" i="64"/>
  <c r="K123" i="64"/>
  <c r="K124" i="64"/>
  <c r="K125" i="64"/>
  <c r="K126" i="64"/>
  <c r="K127" i="64"/>
  <c r="K128" i="64"/>
  <c r="K129" i="64"/>
  <c r="K130" i="64"/>
  <c r="K131" i="64"/>
  <c r="K132" i="64"/>
  <c r="K133" i="64"/>
  <c r="K134" i="64"/>
  <c r="K135" i="64"/>
  <c r="K136" i="64"/>
  <c r="K137" i="64"/>
  <c r="K138" i="64"/>
  <c r="K139" i="64"/>
  <c r="K140" i="64"/>
  <c r="K141" i="64"/>
  <c r="K142" i="64"/>
  <c r="K143" i="64"/>
  <c r="K144" i="64"/>
  <c r="K145" i="64"/>
  <c r="K146" i="64"/>
  <c r="K147" i="64"/>
  <c r="K148" i="64"/>
  <c r="K149" i="64"/>
  <c r="K150" i="64"/>
  <c r="K151" i="64"/>
  <c r="K152" i="64"/>
  <c r="K153" i="64"/>
  <c r="K154" i="64"/>
  <c r="K155" i="64"/>
  <c r="K156" i="64"/>
  <c r="K157" i="64"/>
  <c r="K158" i="64"/>
  <c r="K159" i="64"/>
  <c r="K160" i="64"/>
  <c r="K161" i="64"/>
  <c r="K162" i="64"/>
  <c r="K163" i="64"/>
  <c r="K164" i="64"/>
  <c r="K165" i="64"/>
  <c r="K166" i="64"/>
  <c r="K167" i="64"/>
  <c r="K168" i="64"/>
  <c r="K169" i="64"/>
  <c r="K170" i="64"/>
  <c r="K171" i="64"/>
  <c r="K172" i="64"/>
  <c r="K173" i="64"/>
  <c r="K174" i="64"/>
  <c r="K175" i="64"/>
  <c r="K176" i="64"/>
  <c r="K177" i="64"/>
  <c r="K178" i="64"/>
  <c r="K179" i="64"/>
  <c r="K180" i="64"/>
  <c r="K181" i="64"/>
  <c r="K182" i="64"/>
  <c r="K183" i="64"/>
  <c r="K184" i="64"/>
  <c r="K185" i="64"/>
  <c r="K186" i="64"/>
  <c r="K187" i="64"/>
  <c r="K188" i="64"/>
  <c r="K189" i="64"/>
  <c r="K190" i="64"/>
  <c r="K191" i="64"/>
  <c r="K192" i="64"/>
  <c r="K193" i="64"/>
  <c r="K194" i="64"/>
  <c r="K195" i="64"/>
  <c r="K196" i="64"/>
  <c r="K197" i="64"/>
  <c r="K198" i="64"/>
  <c r="K199" i="64"/>
  <c r="K200" i="64"/>
  <c r="K201" i="64"/>
  <c r="K202" i="64"/>
  <c r="K203" i="64"/>
  <c r="K204" i="64"/>
  <c r="K205" i="64"/>
  <c r="K206" i="64"/>
  <c r="K207" i="64"/>
  <c r="K208" i="64"/>
  <c r="K209" i="64"/>
  <c r="K210" i="64"/>
  <c r="K211" i="64"/>
  <c r="K212" i="64"/>
  <c r="K213" i="64"/>
  <c r="K214" i="64"/>
  <c r="K215" i="64"/>
  <c r="K216" i="64"/>
  <c r="K217" i="64"/>
  <c r="K218" i="64"/>
  <c r="K219" i="64"/>
  <c r="K220" i="64"/>
  <c r="K221" i="64"/>
  <c r="K222" i="64"/>
  <c r="K223" i="64"/>
  <c r="K224" i="64"/>
  <c r="K225" i="64"/>
  <c r="K226" i="64"/>
  <c r="K227" i="64"/>
  <c r="K228" i="64"/>
  <c r="K229" i="64"/>
  <c r="K230" i="64"/>
  <c r="K231" i="64"/>
  <c r="K232" i="64"/>
  <c r="K233" i="64"/>
  <c r="K234" i="64"/>
  <c r="K235" i="64"/>
  <c r="K236" i="64"/>
  <c r="K237" i="64"/>
  <c r="K238" i="64"/>
  <c r="K239" i="64"/>
  <c r="K240" i="64"/>
  <c r="K241" i="64"/>
  <c r="K242" i="64"/>
  <c r="K243" i="64"/>
  <c r="K244" i="64"/>
  <c r="K245" i="64"/>
  <c r="K246" i="64"/>
  <c r="K247" i="64"/>
  <c r="K248" i="64"/>
  <c r="K249" i="64"/>
  <c r="K250" i="64"/>
  <c r="K251" i="64"/>
  <c r="K252" i="64"/>
  <c r="K253" i="64"/>
  <c r="K254" i="64"/>
  <c r="K255" i="64"/>
  <c r="K256" i="64"/>
  <c r="K257" i="64"/>
  <c r="K258" i="64"/>
  <c r="K259" i="64"/>
  <c r="K260" i="64"/>
  <c r="K261" i="64"/>
  <c r="K262" i="64"/>
  <c r="K263" i="64"/>
  <c r="K264" i="64"/>
  <c r="K265" i="64"/>
  <c r="K266" i="64"/>
  <c r="K267" i="64"/>
  <c r="K268" i="64"/>
  <c r="K269" i="64"/>
  <c r="K270" i="64"/>
  <c r="K271" i="64"/>
  <c r="K272" i="64"/>
  <c r="K273" i="64"/>
  <c r="K274" i="64"/>
  <c r="K275" i="64"/>
  <c r="K276" i="64"/>
  <c r="K277" i="64"/>
  <c r="K278" i="64"/>
  <c r="K279" i="64"/>
  <c r="K280" i="64"/>
  <c r="K281" i="64"/>
  <c r="K282" i="64"/>
  <c r="K283" i="64"/>
  <c r="K284" i="64"/>
  <c r="K285" i="64"/>
  <c r="K286" i="64"/>
  <c r="K287" i="64"/>
  <c r="K288" i="64"/>
  <c r="K289" i="64"/>
  <c r="K290" i="64"/>
  <c r="K291" i="64"/>
  <c r="K292" i="64"/>
  <c r="K293" i="64"/>
  <c r="K294" i="64"/>
  <c r="K295" i="64"/>
  <c r="K296" i="64"/>
  <c r="K297" i="64"/>
  <c r="K298" i="64"/>
  <c r="K299" i="64"/>
  <c r="K300" i="64"/>
  <c r="K301" i="64"/>
  <c r="K302" i="64"/>
  <c r="K303" i="64"/>
  <c r="K304" i="64"/>
  <c r="K305" i="64"/>
  <c r="K306" i="64"/>
  <c r="K307" i="64"/>
  <c r="K308" i="64"/>
  <c r="K309" i="64"/>
  <c r="K310" i="64"/>
  <c r="K311" i="64"/>
  <c r="K312" i="64"/>
  <c r="K313" i="64"/>
  <c r="K314" i="64"/>
  <c r="K315" i="64"/>
  <c r="K316" i="64"/>
  <c r="K317" i="64"/>
  <c r="K318" i="64"/>
  <c r="K319" i="64"/>
  <c r="K320" i="64"/>
  <c r="K321" i="64"/>
  <c r="K322" i="64"/>
  <c r="K323" i="64"/>
  <c r="K324" i="64"/>
  <c r="K325" i="64"/>
  <c r="K326" i="64"/>
  <c r="K327" i="64"/>
  <c r="K328" i="64"/>
  <c r="K329" i="64"/>
  <c r="K330" i="64"/>
  <c r="K331" i="64"/>
  <c r="K332" i="64"/>
  <c r="K333" i="64"/>
  <c r="K334" i="64"/>
  <c r="K335" i="64"/>
  <c r="K336" i="64"/>
  <c r="K337" i="64"/>
  <c r="K338" i="64"/>
  <c r="K339" i="64"/>
  <c r="K340" i="64"/>
  <c r="K341" i="64"/>
  <c r="K342" i="64"/>
  <c r="K343" i="64"/>
  <c r="K344" i="64"/>
  <c r="K345" i="64"/>
  <c r="K346" i="64"/>
  <c r="K347" i="64"/>
  <c r="K348" i="64"/>
  <c r="K349" i="64"/>
  <c r="K350" i="64"/>
  <c r="K351" i="64"/>
  <c r="K352" i="64"/>
  <c r="K353" i="64"/>
  <c r="K354" i="64"/>
  <c r="K355" i="64"/>
  <c r="K356" i="64"/>
  <c r="K357" i="64"/>
  <c r="K358" i="64"/>
  <c r="K359" i="64"/>
  <c r="K360" i="64"/>
  <c r="K361" i="64"/>
  <c r="K362" i="64"/>
  <c r="K363" i="64"/>
  <c r="K364" i="64"/>
  <c r="K365" i="64"/>
  <c r="K366" i="64"/>
  <c r="K367" i="64"/>
  <c r="K368" i="64"/>
  <c r="K369" i="64"/>
  <c r="K370" i="64"/>
  <c r="K371" i="64"/>
  <c r="K372" i="64"/>
  <c r="K373" i="64"/>
  <c r="K374" i="64"/>
  <c r="K375" i="64"/>
  <c r="K376" i="64"/>
  <c r="K377" i="64"/>
  <c r="K378" i="64"/>
  <c r="K379" i="64"/>
  <c r="K380" i="64"/>
  <c r="K381" i="64"/>
  <c r="K382" i="64"/>
  <c r="K383" i="64"/>
  <c r="K384" i="64"/>
  <c r="K385" i="64"/>
  <c r="K386" i="64"/>
  <c r="K387" i="64"/>
  <c r="K388" i="64"/>
  <c r="K389" i="64"/>
  <c r="K390" i="64"/>
  <c r="K391" i="64"/>
  <c r="K392" i="64"/>
  <c r="K393" i="64"/>
  <c r="K394" i="64"/>
  <c r="K395" i="64"/>
  <c r="K396" i="64"/>
  <c r="K397" i="64"/>
  <c r="K398" i="64"/>
  <c r="K399" i="64"/>
  <c r="K400" i="64"/>
  <c r="K401" i="64"/>
  <c r="K402" i="64"/>
  <c r="K403" i="64"/>
  <c r="K404" i="64"/>
  <c r="K405" i="64"/>
  <c r="K406" i="64"/>
  <c r="K407" i="64"/>
  <c r="K408" i="64"/>
  <c r="K409" i="64"/>
  <c r="K410" i="64"/>
  <c r="K411" i="64"/>
  <c r="K412" i="64"/>
  <c r="K413" i="64"/>
  <c r="K414" i="64"/>
  <c r="K415" i="64"/>
  <c r="K416" i="64"/>
  <c r="K417" i="64"/>
  <c r="K418" i="64"/>
  <c r="K419" i="64"/>
  <c r="K420" i="64"/>
  <c r="K421" i="64"/>
  <c r="K422" i="64"/>
  <c r="K423" i="64"/>
  <c r="K424" i="64"/>
  <c r="K425" i="64"/>
  <c r="K426" i="64"/>
  <c r="K427" i="64"/>
  <c r="K428" i="64"/>
  <c r="K429" i="64"/>
  <c r="K430" i="64"/>
  <c r="K431" i="64"/>
  <c r="K432" i="64"/>
  <c r="K433" i="64"/>
  <c r="K434" i="64"/>
  <c r="K435" i="64"/>
  <c r="K436" i="64"/>
  <c r="K437" i="64"/>
  <c r="K438" i="64"/>
  <c r="K439" i="64"/>
  <c r="K440" i="64"/>
  <c r="K441" i="64"/>
  <c r="K442" i="64"/>
  <c r="K443" i="64"/>
  <c r="K444" i="64"/>
  <c r="K445" i="64"/>
  <c r="K446" i="64"/>
  <c r="K447" i="64"/>
  <c r="K448" i="64"/>
  <c r="K449" i="64"/>
  <c r="K450" i="64"/>
  <c r="K451" i="64"/>
  <c r="K452" i="64"/>
  <c r="K453" i="64"/>
  <c r="K454" i="64"/>
  <c r="K455" i="64"/>
  <c r="K456" i="64"/>
  <c r="K457" i="64"/>
  <c r="K458" i="64"/>
  <c r="K459" i="64"/>
  <c r="K460" i="64"/>
  <c r="K461" i="64"/>
  <c r="K462" i="64"/>
  <c r="K463" i="64"/>
  <c r="K464" i="64"/>
  <c r="K465" i="64"/>
  <c r="K466" i="64"/>
  <c r="K467" i="64"/>
  <c r="K468" i="64"/>
  <c r="K469" i="64"/>
  <c r="K470" i="64"/>
  <c r="K471" i="64"/>
  <c r="K472" i="64"/>
  <c r="K473" i="64"/>
  <c r="K474" i="64"/>
  <c r="K475" i="64"/>
  <c r="K476" i="64"/>
  <c r="K477" i="64"/>
  <c r="K478" i="64"/>
  <c r="K479" i="64"/>
  <c r="K480" i="64"/>
  <c r="K481" i="64"/>
  <c r="K482" i="64"/>
  <c r="K483" i="64"/>
  <c r="K484" i="64"/>
  <c r="K485" i="64"/>
  <c r="K486" i="64"/>
  <c r="K487" i="64"/>
  <c r="K488" i="64"/>
  <c r="K489" i="64"/>
  <c r="K490" i="64"/>
  <c r="K491" i="64"/>
  <c r="K492" i="64"/>
  <c r="K493" i="64"/>
  <c r="K494" i="64"/>
  <c r="K495" i="64"/>
  <c r="K496" i="64"/>
  <c r="K497" i="64"/>
  <c r="K498" i="64"/>
  <c r="K499" i="64"/>
  <c r="K500" i="64"/>
  <c r="K501" i="64"/>
  <c r="K502" i="64"/>
  <c r="K503" i="64"/>
  <c r="K504" i="64"/>
  <c r="K505" i="64"/>
  <c r="K506" i="64"/>
  <c r="K507" i="64"/>
  <c r="K508" i="64"/>
  <c r="K509" i="64"/>
  <c r="K510" i="64"/>
  <c r="K511" i="64"/>
  <c r="K512" i="64"/>
  <c r="K513" i="64"/>
  <c r="K514" i="64"/>
  <c r="K515" i="64"/>
  <c r="K516" i="64"/>
  <c r="K517" i="64"/>
  <c r="K518" i="64"/>
  <c r="K519" i="64"/>
  <c r="K520" i="64"/>
  <c r="K521" i="64"/>
  <c r="K522" i="64"/>
  <c r="K523" i="64"/>
  <c r="K524" i="64"/>
  <c r="K525" i="64"/>
  <c r="K526" i="64"/>
  <c r="K527" i="64"/>
  <c r="K528" i="64"/>
  <c r="K529" i="64"/>
  <c r="K530" i="64"/>
  <c r="K531" i="64"/>
  <c r="K532" i="64"/>
  <c r="K533" i="64"/>
  <c r="K534" i="64"/>
  <c r="K535" i="64"/>
  <c r="K536" i="64"/>
  <c r="K537" i="64"/>
  <c r="K538" i="64"/>
  <c r="K539" i="64"/>
  <c r="K540" i="64"/>
  <c r="K541" i="64"/>
  <c r="K542" i="64"/>
  <c r="K543" i="64"/>
  <c r="K544" i="64"/>
  <c r="K545" i="64"/>
  <c r="K546" i="64"/>
  <c r="K547" i="64"/>
  <c r="K548" i="64"/>
  <c r="K549" i="64"/>
  <c r="K550" i="64"/>
  <c r="K551" i="64"/>
  <c r="K552" i="64"/>
  <c r="K553" i="64"/>
  <c r="K554" i="64"/>
  <c r="K555" i="64"/>
  <c r="K556" i="64"/>
  <c r="K557" i="64"/>
  <c r="K558" i="64"/>
  <c r="K559" i="64"/>
  <c r="K560" i="64"/>
  <c r="K561" i="64"/>
  <c r="K562" i="64"/>
  <c r="K563" i="64"/>
  <c r="K564" i="64"/>
  <c r="K565" i="64"/>
  <c r="K566" i="64"/>
  <c r="K567" i="64"/>
  <c r="K568" i="64"/>
  <c r="K569" i="64"/>
  <c r="K570" i="64"/>
  <c r="K571" i="64"/>
  <c r="K572" i="64"/>
  <c r="K573" i="64"/>
  <c r="K574" i="64"/>
  <c r="K575" i="64"/>
  <c r="K576" i="64"/>
  <c r="K577" i="64"/>
  <c r="K578" i="64"/>
  <c r="K579" i="64"/>
  <c r="K580" i="64"/>
  <c r="K581" i="64"/>
  <c r="K582" i="64"/>
  <c r="K583" i="64"/>
  <c r="K584" i="64"/>
  <c r="K585" i="64"/>
  <c r="K586" i="64"/>
  <c r="K587" i="64"/>
  <c r="K588" i="64"/>
  <c r="K589" i="64"/>
  <c r="K590" i="64"/>
  <c r="K591" i="64"/>
  <c r="K592" i="64"/>
  <c r="K593" i="64"/>
  <c r="K594" i="64"/>
  <c r="K595" i="64"/>
  <c r="K596" i="64"/>
  <c r="K597" i="64"/>
  <c r="K598" i="64"/>
  <c r="K599" i="64"/>
  <c r="K600" i="64"/>
  <c r="K601" i="64"/>
  <c r="K602" i="64"/>
  <c r="K603" i="64"/>
  <c r="K604" i="64"/>
  <c r="K605" i="64"/>
  <c r="K606" i="64"/>
  <c r="K607" i="64"/>
  <c r="K608" i="64"/>
  <c r="K609" i="64"/>
  <c r="K610" i="64"/>
  <c r="K611" i="64"/>
  <c r="K612" i="64"/>
  <c r="K613" i="64"/>
  <c r="K614" i="64"/>
  <c r="K615" i="64"/>
  <c r="K616" i="64"/>
  <c r="K617" i="64"/>
  <c r="K618" i="64"/>
  <c r="K619" i="64"/>
  <c r="K620" i="64"/>
  <c r="K621" i="64"/>
  <c r="K622" i="64"/>
  <c r="K623" i="64"/>
  <c r="K624" i="64"/>
  <c r="K625" i="64"/>
  <c r="K626" i="64"/>
  <c r="K627" i="64"/>
  <c r="K628" i="64"/>
  <c r="K629" i="64"/>
  <c r="K630" i="64"/>
  <c r="K631" i="64"/>
  <c r="K632" i="64"/>
  <c r="K633" i="64"/>
  <c r="K634" i="64"/>
  <c r="K635" i="64"/>
  <c r="K636" i="64"/>
  <c r="K637" i="64"/>
  <c r="K638" i="64"/>
  <c r="K639" i="64"/>
  <c r="K640" i="64"/>
  <c r="K641" i="64"/>
  <c r="K642" i="64"/>
  <c r="K643" i="64"/>
  <c r="K644" i="64"/>
  <c r="K645" i="64"/>
  <c r="K646" i="64"/>
  <c r="K647" i="64"/>
  <c r="K648" i="64"/>
  <c r="K649" i="64"/>
  <c r="K650" i="64"/>
  <c r="K651" i="64"/>
  <c r="K652" i="64"/>
  <c r="K653" i="64"/>
  <c r="K654" i="64"/>
  <c r="K655" i="64"/>
  <c r="K656" i="64"/>
  <c r="K657" i="64"/>
  <c r="K658" i="64"/>
  <c r="K659" i="64"/>
  <c r="K660" i="64"/>
  <c r="K661" i="64"/>
  <c r="K662" i="64"/>
  <c r="K663" i="64"/>
  <c r="K664" i="64"/>
  <c r="K665" i="64"/>
  <c r="K666" i="64"/>
  <c r="K667" i="64"/>
  <c r="K668" i="64"/>
  <c r="K669" i="64"/>
  <c r="K670" i="64"/>
  <c r="K671" i="64"/>
  <c r="K672" i="64"/>
  <c r="K673" i="64"/>
  <c r="K674" i="64"/>
  <c r="K675" i="64"/>
  <c r="K676" i="64"/>
  <c r="K677" i="64"/>
  <c r="K678" i="64"/>
  <c r="K679" i="64"/>
  <c r="K680" i="64"/>
  <c r="K681" i="64"/>
  <c r="K682" i="64"/>
  <c r="K683" i="64"/>
  <c r="K684" i="64"/>
  <c r="K685" i="64"/>
  <c r="K686" i="64"/>
  <c r="K687" i="64"/>
  <c r="K688" i="64"/>
  <c r="K689" i="64"/>
  <c r="K690" i="64"/>
  <c r="K691" i="64"/>
  <c r="K692" i="64"/>
  <c r="K693" i="64"/>
  <c r="K694" i="64"/>
  <c r="K695" i="64"/>
  <c r="K696" i="64"/>
  <c r="K697" i="64"/>
  <c r="K698" i="64"/>
  <c r="K699" i="64"/>
  <c r="K700" i="64"/>
  <c r="K701" i="64"/>
  <c r="K702" i="64"/>
  <c r="K703" i="64"/>
  <c r="K704" i="64"/>
  <c r="K705" i="64"/>
  <c r="K706" i="64"/>
  <c r="K707" i="64"/>
  <c r="K708" i="64"/>
  <c r="K709" i="64"/>
  <c r="K710" i="64"/>
  <c r="K711" i="64"/>
  <c r="K712" i="64"/>
  <c r="K713" i="64"/>
  <c r="K714" i="64"/>
  <c r="K715" i="64"/>
  <c r="K716" i="64"/>
  <c r="K717" i="64"/>
  <c r="K718" i="64"/>
  <c r="K719" i="64"/>
  <c r="K720" i="64"/>
  <c r="K721" i="64"/>
  <c r="K722" i="64"/>
  <c r="K723" i="64"/>
  <c r="K724" i="64"/>
  <c r="K725" i="64"/>
  <c r="K726" i="64"/>
  <c r="K727" i="64"/>
  <c r="K728" i="64"/>
  <c r="K729" i="64"/>
  <c r="K730" i="64"/>
  <c r="K731" i="64"/>
  <c r="K732" i="64"/>
  <c r="K733" i="64"/>
  <c r="K734" i="64"/>
  <c r="K735" i="64"/>
  <c r="K736" i="64"/>
  <c r="K737" i="64"/>
  <c r="K738" i="64"/>
  <c r="K739" i="64"/>
  <c r="K740" i="64"/>
  <c r="K741" i="64"/>
  <c r="K742" i="64"/>
  <c r="K743" i="64"/>
  <c r="K744" i="64"/>
  <c r="K745" i="64"/>
  <c r="K746" i="64"/>
  <c r="K747" i="64"/>
  <c r="K748" i="64"/>
  <c r="K749" i="64"/>
  <c r="K750" i="64"/>
  <c r="K751" i="64"/>
  <c r="K752" i="64"/>
  <c r="K753" i="64"/>
  <c r="K754" i="64"/>
  <c r="K755" i="64"/>
  <c r="K756" i="64"/>
  <c r="K757" i="64"/>
  <c r="K758" i="64"/>
  <c r="K759" i="64"/>
  <c r="K760" i="64"/>
  <c r="K761" i="64"/>
  <c r="K762" i="64"/>
  <c r="K763" i="64"/>
  <c r="K764" i="64"/>
  <c r="K765" i="64"/>
  <c r="K766" i="64"/>
  <c r="K767" i="64"/>
  <c r="K768" i="64"/>
  <c r="K769" i="64"/>
  <c r="K770" i="64"/>
  <c r="K771" i="64"/>
  <c r="K772" i="64"/>
  <c r="K773" i="64"/>
  <c r="K774" i="64"/>
  <c r="K775" i="64"/>
  <c r="K776" i="64"/>
  <c r="K777" i="64"/>
  <c r="K778" i="64"/>
  <c r="K779" i="64"/>
  <c r="K780" i="64"/>
  <c r="K781" i="64"/>
  <c r="K782" i="64"/>
  <c r="K783" i="64"/>
  <c r="K784" i="64"/>
  <c r="K785" i="64"/>
  <c r="K786" i="64"/>
  <c r="K787" i="64"/>
  <c r="K788" i="64"/>
  <c r="K789" i="64"/>
  <c r="K790" i="64"/>
  <c r="K791" i="64"/>
  <c r="K792" i="64"/>
  <c r="K793" i="64"/>
  <c r="K794" i="64"/>
  <c r="K795" i="64"/>
  <c r="K796" i="64"/>
  <c r="K797" i="64"/>
  <c r="K798" i="64"/>
  <c r="K799" i="64"/>
  <c r="K800" i="64"/>
  <c r="K801" i="64"/>
  <c r="K802" i="64"/>
  <c r="K803" i="64"/>
  <c r="K804" i="64"/>
  <c r="K805" i="64"/>
  <c r="K806" i="64"/>
  <c r="K807" i="64"/>
  <c r="K808" i="64"/>
  <c r="K809" i="64"/>
  <c r="K810" i="64"/>
  <c r="K811" i="64"/>
  <c r="K812" i="64"/>
  <c r="K813" i="64"/>
  <c r="K814" i="64"/>
  <c r="K815" i="64"/>
  <c r="K816" i="64"/>
  <c r="K817" i="64"/>
  <c r="K818" i="64"/>
  <c r="K819" i="64"/>
  <c r="K820" i="64"/>
  <c r="K821" i="64"/>
  <c r="K822" i="64"/>
  <c r="K823" i="64"/>
  <c r="K824" i="64"/>
  <c r="K825" i="64"/>
  <c r="K826" i="64"/>
  <c r="K827" i="64"/>
  <c r="K828" i="64"/>
  <c r="K829" i="64"/>
  <c r="K830" i="64"/>
  <c r="K831" i="64"/>
  <c r="K832" i="64"/>
  <c r="K833" i="64"/>
  <c r="K834" i="64"/>
  <c r="K835" i="64"/>
  <c r="K836" i="64"/>
  <c r="K837" i="64"/>
  <c r="K838" i="64"/>
  <c r="K839" i="64"/>
  <c r="K840" i="64"/>
  <c r="K841" i="64"/>
  <c r="K842" i="64"/>
  <c r="K843" i="64"/>
  <c r="K844" i="64"/>
  <c r="K845" i="64"/>
  <c r="K846" i="64"/>
  <c r="K847" i="64"/>
  <c r="K848" i="64"/>
  <c r="K849" i="64"/>
  <c r="K850" i="64"/>
  <c r="K851" i="64"/>
  <c r="K852" i="64"/>
  <c r="K853" i="64"/>
  <c r="K854" i="64"/>
  <c r="K855" i="64"/>
  <c r="K856" i="64"/>
  <c r="K857" i="64"/>
  <c r="K858" i="64"/>
  <c r="K859" i="64"/>
  <c r="K860" i="64"/>
  <c r="K861" i="64"/>
  <c r="K862" i="64"/>
  <c r="K863" i="64"/>
  <c r="K864" i="64"/>
  <c r="K865" i="64"/>
  <c r="K866" i="64"/>
  <c r="K867" i="64"/>
  <c r="K868" i="64"/>
  <c r="K869" i="64"/>
  <c r="K870" i="64"/>
  <c r="K871" i="64"/>
  <c r="K872" i="64"/>
  <c r="K873" i="64"/>
  <c r="K874" i="64"/>
  <c r="K875" i="64"/>
  <c r="K876" i="64"/>
  <c r="K877" i="64"/>
  <c r="K878" i="64"/>
  <c r="K879" i="64"/>
  <c r="K880" i="64"/>
  <c r="K881" i="64"/>
  <c r="K882" i="64"/>
  <c r="K883" i="64"/>
  <c r="K884" i="64"/>
  <c r="K885" i="64"/>
  <c r="K886" i="64"/>
  <c r="K887" i="64"/>
  <c r="K888" i="64"/>
  <c r="K889" i="64"/>
  <c r="K890" i="64"/>
  <c r="K891" i="64"/>
  <c r="K892" i="64"/>
  <c r="K893" i="64"/>
  <c r="K894" i="64"/>
  <c r="K895" i="64"/>
  <c r="K896" i="64"/>
  <c r="K897" i="64"/>
  <c r="K898" i="64"/>
  <c r="K899" i="64"/>
  <c r="K900" i="64"/>
  <c r="K901" i="64"/>
  <c r="K902" i="64"/>
  <c r="K903" i="64"/>
  <c r="K904" i="64"/>
  <c r="K905" i="64"/>
  <c r="K906" i="64"/>
  <c r="K907" i="64"/>
  <c r="K908" i="64"/>
  <c r="K909" i="64"/>
  <c r="K910" i="64"/>
  <c r="K911" i="64"/>
  <c r="K912" i="64"/>
  <c r="K913" i="64"/>
  <c r="K914" i="64"/>
  <c r="K915" i="64"/>
  <c r="K916" i="64"/>
  <c r="K917" i="64"/>
  <c r="K918" i="64"/>
  <c r="K919" i="64"/>
  <c r="K920" i="64"/>
  <c r="K921" i="64"/>
  <c r="K922" i="64"/>
  <c r="K923" i="64"/>
  <c r="K924" i="64"/>
  <c r="K925" i="64"/>
  <c r="K926" i="64"/>
  <c r="K927" i="64"/>
  <c r="K928" i="64"/>
  <c r="K929" i="64"/>
  <c r="K930" i="64"/>
  <c r="K931" i="64"/>
  <c r="K932" i="64"/>
  <c r="K933" i="64"/>
  <c r="K934" i="64"/>
  <c r="K935" i="64"/>
  <c r="K936" i="64"/>
  <c r="K937" i="64"/>
  <c r="K938" i="64"/>
  <c r="K939" i="64"/>
  <c r="K940" i="64"/>
  <c r="K941" i="64"/>
  <c r="K942" i="64"/>
  <c r="K943" i="64"/>
  <c r="K944" i="64"/>
  <c r="K945" i="64"/>
  <c r="K946" i="64"/>
  <c r="K947" i="64"/>
  <c r="K948" i="64"/>
  <c r="K949" i="64"/>
  <c r="K950" i="64"/>
  <c r="K951" i="64"/>
  <c r="K952" i="64"/>
  <c r="K953" i="64"/>
  <c r="K954" i="64"/>
  <c r="K955" i="64"/>
  <c r="K956" i="64"/>
  <c r="K957" i="64"/>
  <c r="K958" i="64"/>
  <c r="K959" i="64"/>
  <c r="K960" i="64"/>
  <c r="K961" i="64"/>
  <c r="K962" i="64"/>
  <c r="K963" i="64"/>
  <c r="K964" i="64"/>
  <c r="K965" i="64"/>
  <c r="K966" i="64"/>
  <c r="K967" i="64"/>
  <c r="K968" i="64"/>
  <c r="K969" i="64"/>
  <c r="K970" i="64"/>
  <c r="K971" i="64"/>
  <c r="K972" i="64"/>
  <c r="K973" i="64"/>
  <c r="K974" i="64"/>
  <c r="K975" i="64"/>
  <c r="K976" i="64"/>
  <c r="K977" i="64"/>
  <c r="K978" i="64"/>
  <c r="K979" i="64"/>
  <c r="K980" i="64"/>
  <c r="K981" i="64"/>
  <c r="K982" i="64"/>
  <c r="K983" i="64"/>
  <c r="K984" i="64"/>
  <c r="K985" i="64"/>
  <c r="K986" i="64"/>
  <c r="K987" i="64"/>
  <c r="K988" i="64"/>
  <c r="K989" i="64"/>
  <c r="K990" i="64"/>
  <c r="K991" i="64"/>
  <c r="K992" i="64"/>
  <c r="K993" i="64"/>
  <c r="K994" i="64"/>
  <c r="K995" i="64"/>
  <c r="K996" i="64"/>
  <c r="K997" i="64"/>
  <c r="K998" i="64"/>
  <c r="K999" i="64"/>
  <c r="K1000" i="64"/>
  <c r="K1001" i="64"/>
  <c r="K1002" i="64"/>
  <c r="K1003" i="64"/>
  <c r="K1004" i="64"/>
  <c r="K1005" i="64"/>
  <c r="K1006" i="64"/>
  <c r="K1007" i="64"/>
  <c r="K1008" i="64"/>
  <c r="K1009" i="64"/>
  <c r="K1010" i="64"/>
  <c r="K1011" i="64"/>
  <c r="K1012" i="64"/>
  <c r="K1013" i="64"/>
  <c r="K1014" i="64"/>
  <c r="K1015" i="64"/>
  <c r="K1016" i="64"/>
  <c r="K1017" i="64"/>
  <c r="K1018" i="64"/>
  <c r="K1019" i="64"/>
  <c r="K1020" i="64"/>
  <c r="K1021" i="64"/>
  <c r="K1022" i="64"/>
  <c r="K1023" i="64"/>
  <c r="K1024" i="64"/>
  <c r="K1025" i="64"/>
  <c r="K1026" i="64"/>
  <c r="K1027" i="64"/>
  <c r="K1028" i="64"/>
  <c r="K1029" i="64"/>
  <c r="K1030" i="64"/>
  <c r="K1031" i="64"/>
  <c r="K1032" i="64"/>
  <c r="K1033" i="64"/>
  <c r="K1034" i="64"/>
  <c r="K1035" i="64"/>
  <c r="K1036" i="64"/>
  <c r="K1037" i="64"/>
  <c r="K1038" i="64"/>
  <c r="K1039" i="64"/>
  <c r="K1040" i="64"/>
  <c r="K1041" i="64"/>
  <c r="K1042" i="64"/>
  <c r="K1043" i="64"/>
  <c r="K1044" i="64"/>
  <c r="K1045" i="64"/>
  <c r="K1046" i="64"/>
  <c r="K1047" i="64"/>
  <c r="K1048" i="64"/>
  <c r="K1049" i="64"/>
  <c r="K1050" i="64"/>
  <c r="K1051" i="64"/>
  <c r="K1052" i="64"/>
  <c r="K1053" i="64"/>
  <c r="K1054" i="64"/>
  <c r="K1055" i="64"/>
  <c r="K1056" i="64"/>
  <c r="K1057" i="64"/>
  <c r="K1058" i="64"/>
  <c r="K1059" i="64"/>
  <c r="K1060" i="64"/>
  <c r="K1061" i="64"/>
  <c r="K1062" i="64"/>
  <c r="K1063" i="64"/>
  <c r="K1064" i="64"/>
  <c r="K1065" i="64"/>
  <c r="K1066" i="64"/>
  <c r="K1067" i="64"/>
  <c r="K1068" i="64"/>
  <c r="K1069" i="64"/>
  <c r="K1070" i="64"/>
  <c r="K1071" i="64"/>
  <c r="K1072" i="64"/>
  <c r="K1073" i="64"/>
  <c r="K1074" i="64"/>
  <c r="K1075" i="64"/>
  <c r="K1076" i="64"/>
  <c r="K1077" i="64"/>
  <c r="K1078" i="64"/>
  <c r="K1079" i="64"/>
  <c r="K1080" i="64"/>
  <c r="K1081" i="64"/>
  <c r="K1082" i="64"/>
  <c r="K1083" i="64"/>
  <c r="K1084" i="64"/>
  <c r="K1085" i="64"/>
  <c r="K1086" i="64"/>
  <c r="K1087" i="64"/>
  <c r="K1088" i="64"/>
  <c r="K1089" i="64"/>
  <c r="K1090" i="64"/>
  <c r="K1091" i="64"/>
  <c r="K1092" i="64"/>
  <c r="K1093" i="64"/>
  <c r="K1094" i="64"/>
  <c r="K1095" i="64"/>
  <c r="K1096" i="64"/>
  <c r="K1097" i="64"/>
  <c r="K1098" i="64"/>
  <c r="K1099" i="64"/>
  <c r="K1100" i="64"/>
  <c r="K1101" i="64"/>
  <c r="K1102" i="64"/>
  <c r="K1103" i="64"/>
  <c r="K1104" i="64"/>
  <c r="K1105" i="64"/>
  <c r="K1106" i="64"/>
  <c r="K1107" i="64"/>
  <c r="K1108" i="64"/>
  <c r="K1109" i="64"/>
  <c r="K1110" i="64"/>
  <c r="K1111" i="64"/>
  <c r="K1112" i="64"/>
  <c r="K1113" i="64"/>
  <c r="K1114" i="64"/>
  <c r="K1115" i="64"/>
  <c r="K1116" i="64"/>
  <c r="K1117" i="64"/>
  <c r="K1118" i="64"/>
  <c r="K1119" i="64"/>
  <c r="K1120" i="64"/>
  <c r="K1121" i="64"/>
  <c r="K1122" i="64"/>
  <c r="K1123" i="64"/>
  <c r="K1124" i="64"/>
  <c r="K1125" i="64"/>
  <c r="K1126" i="64"/>
  <c r="K1127" i="64"/>
  <c r="K1128" i="64"/>
  <c r="K1129" i="64"/>
  <c r="K1130" i="64"/>
  <c r="K1131" i="64"/>
  <c r="K1132" i="64"/>
  <c r="K1133" i="64"/>
  <c r="K1134" i="64"/>
  <c r="K1135" i="64"/>
  <c r="K1136" i="64"/>
  <c r="K1137" i="64"/>
  <c r="K1138" i="64"/>
  <c r="K1139" i="64"/>
  <c r="K1140" i="64"/>
  <c r="K1141" i="64"/>
  <c r="K1142" i="64"/>
  <c r="K1143" i="64"/>
  <c r="K1144" i="64"/>
  <c r="K1145" i="64"/>
  <c r="K1146" i="64"/>
  <c r="K1147" i="64"/>
  <c r="K1148" i="64"/>
  <c r="K1149" i="64"/>
  <c r="K1150" i="64"/>
  <c r="K1151" i="64"/>
  <c r="K1152" i="64"/>
  <c r="K1153" i="64"/>
  <c r="K1154" i="64"/>
  <c r="K1155" i="64"/>
  <c r="K1156" i="64"/>
  <c r="K1157" i="64"/>
  <c r="K1158" i="64"/>
  <c r="K1159" i="64"/>
  <c r="K1160" i="64"/>
  <c r="K1161" i="64"/>
  <c r="K1162" i="64"/>
  <c r="K1163" i="64"/>
  <c r="K1164" i="64"/>
  <c r="K1165" i="64"/>
  <c r="K1166" i="64"/>
  <c r="K1167" i="64"/>
  <c r="K1168" i="64"/>
  <c r="K1169" i="64"/>
  <c r="K1170" i="64"/>
  <c r="K1171" i="64"/>
  <c r="K1172" i="64"/>
  <c r="K1173" i="64"/>
  <c r="K1174" i="64"/>
  <c r="K1175" i="64"/>
  <c r="K1176" i="64"/>
  <c r="K1177" i="64"/>
  <c r="K1178" i="64"/>
  <c r="K1179" i="64"/>
  <c r="K1180" i="64"/>
  <c r="K1181" i="64"/>
  <c r="K1182" i="64"/>
  <c r="K1183" i="64"/>
  <c r="K1184" i="64"/>
  <c r="K1185" i="64"/>
  <c r="K1186" i="64"/>
  <c r="K1187" i="64"/>
  <c r="K1188" i="64"/>
  <c r="K1189" i="64"/>
  <c r="K1190" i="64"/>
  <c r="K1191" i="64"/>
  <c r="K1192" i="64"/>
  <c r="K1193" i="64"/>
  <c r="K1194" i="64"/>
  <c r="K1195" i="64"/>
  <c r="K1196" i="64"/>
  <c r="K1197" i="64"/>
  <c r="K1198" i="64"/>
  <c r="K1199" i="64"/>
  <c r="K1200" i="64"/>
  <c r="K1201" i="64"/>
  <c r="K1202" i="64"/>
  <c r="K1203" i="64"/>
  <c r="K1204" i="64"/>
  <c r="K1205" i="64"/>
  <c r="K1206" i="64"/>
  <c r="K1207" i="64"/>
  <c r="K1208" i="64"/>
  <c r="K1209" i="64"/>
  <c r="K1210" i="64"/>
  <c r="K1211" i="64"/>
  <c r="K1212" i="64"/>
  <c r="K1213" i="64"/>
  <c r="K1214" i="64"/>
  <c r="K1215" i="64"/>
  <c r="K1216" i="64"/>
  <c r="K1217" i="64"/>
  <c r="K1218" i="64"/>
  <c r="K1219" i="64"/>
  <c r="K1220" i="64"/>
  <c r="K1221" i="64"/>
  <c r="K1222" i="64"/>
  <c r="K1223" i="64"/>
  <c r="K1224" i="64"/>
  <c r="K1225" i="64"/>
  <c r="K1226" i="64"/>
  <c r="K1227" i="64"/>
  <c r="K1228" i="64"/>
  <c r="K1229" i="64"/>
  <c r="K1230" i="64"/>
  <c r="K1231" i="64"/>
  <c r="K1232" i="64"/>
  <c r="K1233" i="64"/>
  <c r="K1234" i="64"/>
  <c r="K1235" i="64"/>
  <c r="K1236" i="64"/>
  <c r="K1237" i="64"/>
  <c r="K1238" i="64"/>
  <c r="K1239" i="64"/>
  <c r="K1240" i="64"/>
  <c r="K1241" i="64"/>
  <c r="K1242" i="64"/>
  <c r="K1243" i="64"/>
  <c r="K1244" i="64"/>
  <c r="K1245" i="64"/>
  <c r="K1246" i="64"/>
  <c r="K1247" i="64"/>
  <c r="K1248" i="64"/>
  <c r="K1249" i="64"/>
  <c r="K1250" i="64"/>
  <c r="K1251" i="64"/>
  <c r="K1252" i="64"/>
  <c r="K1253" i="64"/>
  <c r="K1254" i="64"/>
  <c r="K1255" i="64"/>
  <c r="K1256" i="64"/>
  <c r="K1257" i="64"/>
  <c r="K1258" i="64"/>
  <c r="K1259" i="64"/>
  <c r="K1260" i="64"/>
  <c r="K1261" i="64"/>
  <c r="K1262" i="64"/>
  <c r="K1263" i="64"/>
  <c r="K1264" i="64"/>
  <c r="K1265" i="64"/>
  <c r="K1266" i="64"/>
  <c r="K1267" i="64"/>
  <c r="K1268" i="64"/>
  <c r="K1269" i="64"/>
  <c r="K1270" i="64"/>
  <c r="K1271" i="64"/>
  <c r="K1272" i="64"/>
  <c r="K1273" i="64"/>
  <c r="K1274" i="64"/>
  <c r="K1275" i="64"/>
  <c r="K1276" i="64"/>
  <c r="K1277" i="64"/>
  <c r="K1278" i="64"/>
  <c r="K1279" i="64"/>
  <c r="K1280" i="64"/>
  <c r="K1281" i="64"/>
  <c r="K1282" i="64"/>
  <c r="K1283" i="64"/>
  <c r="K1284" i="64"/>
  <c r="K1285" i="64"/>
  <c r="K1286" i="64"/>
  <c r="K1287" i="64"/>
  <c r="K1288" i="64"/>
  <c r="K1289" i="64"/>
  <c r="K1290" i="64"/>
  <c r="K1291" i="64"/>
  <c r="K1292" i="64"/>
  <c r="K1293" i="64"/>
  <c r="K1294" i="64"/>
  <c r="K1295" i="64"/>
  <c r="K1296" i="64"/>
  <c r="K1297" i="64"/>
  <c r="K1298" i="64"/>
  <c r="K1299" i="64"/>
  <c r="K1300" i="64"/>
  <c r="K1301" i="64"/>
  <c r="K1302" i="64"/>
  <c r="K1303" i="64"/>
  <c r="K1304" i="64"/>
  <c r="K1305" i="64"/>
  <c r="K1306" i="64"/>
  <c r="K1307" i="64"/>
  <c r="K1308" i="64"/>
  <c r="K1309" i="64"/>
  <c r="K1310" i="64"/>
  <c r="K1311" i="64"/>
  <c r="K1312" i="64"/>
  <c r="K1313" i="64"/>
  <c r="K1314" i="64"/>
  <c r="K1315" i="64"/>
  <c r="K1316" i="64"/>
  <c r="K1317" i="64"/>
  <c r="K1318" i="64"/>
  <c r="K1319" i="64"/>
  <c r="K1320" i="64"/>
  <c r="K1321" i="64"/>
  <c r="K1322" i="64"/>
  <c r="K1323" i="64"/>
  <c r="K1324" i="64"/>
  <c r="K1325" i="64"/>
  <c r="K1326" i="64"/>
  <c r="K1327" i="64"/>
  <c r="K1328" i="64"/>
  <c r="K1329" i="64"/>
  <c r="K1330" i="64"/>
  <c r="K1331" i="64"/>
  <c r="K1332" i="64"/>
  <c r="K1333" i="64"/>
  <c r="K1334" i="64"/>
  <c r="K1335" i="64"/>
  <c r="K1336" i="64"/>
  <c r="K1337" i="64"/>
  <c r="K1338" i="64"/>
  <c r="K1339" i="64"/>
  <c r="K1340" i="64"/>
  <c r="K1341" i="64"/>
  <c r="K1342" i="64"/>
  <c r="K1343" i="64"/>
  <c r="K1344" i="64"/>
  <c r="K1345" i="64"/>
  <c r="K1346" i="64"/>
  <c r="K1347" i="64"/>
  <c r="K1348" i="64"/>
  <c r="K1349" i="64"/>
  <c r="K1350" i="64"/>
  <c r="K1351" i="64"/>
  <c r="K1352" i="64"/>
  <c r="K1353" i="64"/>
  <c r="K1354" i="64"/>
  <c r="K1355" i="64"/>
  <c r="K1356" i="64"/>
  <c r="K1357" i="64"/>
  <c r="K1358" i="64"/>
  <c r="K1359" i="64"/>
  <c r="K1360" i="64"/>
  <c r="K1361" i="64"/>
  <c r="K1362" i="64"/>
  <c r="K1363" i="64"/>
  <c r="K1364" i="64"/>
  <c r="K1365" i="64"/>
  <c r="K1366" i="64"/>
  <c r="K1367" i="64"/>
  <c r="K1368" i="64"/>
  <c r="K1369" i="64"/>
  <c r="K1370" i="64"/>
  <c r="K1371" i="64"/>
  <c r="K1372" i="64"/>
  <c r="K1373" i="64"/>
  <c r="K1374" i="64"/>
  <c r="K1375" i="64"/>
  <c r="K1376" i="64"/>
  <c r="K1377" i="64"/>
  <c r="K1378" i="64"/>
  <c r="K1379" i="64"/>
  <c r="K1380" i="64"/>
  <c r="K1381" i="64"/>
  <c r="K1382" i="64"/>
  <c r="K1383" i="64"/>
  <c r="K1384" i="64"/>
  <c r="K1385" i="64"/>
  <c r="K1386" i="64"/>
  <c r="K1387" i="64"/>
  <c r="K1388" i="64"/>
  <c r="K1389" i="64"/>
  <c r="K1390" i="64"/>
  <c r="K1391" i="64"/>
  <c r="K1392" i="64"/>
  <c r="K1393" i="64"/>
  <c r="K1394" i="64"/>
  <c r="K1395" i="64"/>
  <c r="K1396" i="64"/>
  <c r="K1397" i="64"/>
  <c r="K1398" i="64"/>
  <c r="K1399" i="64"/>
  <c r="K1400" i="64"/>
  <c r="K1401" i="64"/>
  <c r="K1402" i="64"/>
  <c r="K1403" i="64"/>
  <c r="K1404" i="64"/>
  <c r="K1405" i="64"/>
  <c r="K1406" i="64"/>
  <c r="K1407" i="64"/>
  <c r="K1408" i="64"/>
  <c r="K1409" i="64"/>
  <c r="K1410" i="64"/>
  <c r="K1411" i="64"/>
  <c r="K1412" i="64"/>
  <c r="K1413" i="64"/>
  <c r="K1414" i="64"/>
  <c r="K1415" i="64"/>
  <c r="K1416" i="64"/>
  <c r="K1417" i="64"/>
  <c r="K1418" i="64"/>
  <c r="K1419" i="64"/>
  <c r="K1420" i="64"/>
  <c r="K1421" i="64"/>
  <c r="K1422" i="64"/>
  <c r="K1423" i="64"/>
  <c r="K1424" i="64"/>
  <c r="K1425" i="64"/>
  <c r="K1426" i="64"/>
  <c r="K1427" i="64"/>
  <c r="K1428" i="64"/>
  <c r="K1429" i="64"/>
  <c r="K1430" i="64"/>
  <c r="K1431" i="64"/>
  <c r="K1432" i="64"/>
  <c r="K1433" i="64"/>
  <c r="K1434" i="64"/>
  <c r="K1435" i="64"/>
  <c r="K1436" i="64"/>
  <c r="K1437" i="64"/>
  <c r="K1438" i="64"/>
  <c r="K1439" i="64"/>
  <c r="K1440" i="64"/>
  <c r="K1441" i="64"/>
  <c r="K1442" i="64"/>
  <c r="K1443" i="64"/>
  <c r="K1444" i="64"/>
  <c r="K1445" i="64"/>
  <c r="K1446" i="64"/>
  <c r="K1447" i="64"/>
  <c r="K1448" i="64"/>
  <c r="K1449" i="64"/>
  <c r="K1450" i="64"/>
  <c r="K1451" i="64"/>
  <c r="K1452" i="64"/>
  <c r="K1453" i="64"/>
  <c r="K1454" i="64"/>
  <c r="K1455" i="64"/>
  <c r="K1456" i="64"/>
  <c r="K1457" i="64"/>
  <c r="K1458" i="64"/>
  <c r="K1459" i="64"/>
  <c r="K1460" i="64"/>
  <c r="K1461" i="64"/>
  <c r="K1462" i="64"/>
  <c r="K1463" i="64"/>
  <c r="K1464" i="64"/>
  <c r="K1465" i="64"/>
  <c r="K1466" i="64"/>
  <c r="K1467" i="64"/>
  <c r="K1468" i="64"/>
  <c r="K1469" i="64"/>
  <c r="K1470" i="64"/>
  <c r="K1471" i="64"/>
  <c r="K1472" i="64"/>
  <c r="K1473" i="64"/>
  <c r="K1474" i="64"/>
  <c r="K1475" i="64"/>
  <c r="K1476" i="64"/>
  <c r="K1477" i="64"/>
  <c r="K1478" i="64"/>
  <c r="K1479" i="64"/>
  <c r="K1480" i="64"/>
  <c r="K1481" i="64"/>
  <c r="K1482" i="64"/>
  <c r="K1483" i="64"/>
  <c r="K1484" i="64"/>
  <c r="K1485" i="64"/>
  <c r="K1486" i="64"/>
  <c r="K1487" i="64"/>
  <c r="K1488" i="64"/>
  <c r="K1489" i="64"/>
  <c r="K1490" i="64"/>
  <c r="K1491" i="64"/>
  <c r="K1492" i="64"/>
  <c r="K1493" i="64"/>
  <c r="K1494" i="64"/>
  <c r="K1495" i="64"/>
  <c r="K1496" i="64"/>
  <c r="K1497" i="64"/>
  <c r="K1498" i="64"/>
  <c r="K1499" i="64"/>
  <c r="K1500" i="64"/>
  <c r="K1501" i="64"/>
  <c r="K1502" i="64"/>
  <c r="K1503" i="64"/>
  <c r="K1504" i="64"/>
  <c r="K1505" i="64"/>
  <c r="K1506" i="64"/>
  <c r="K1507" i="64"/>
  <c r="K1508" i="64"/>
  <c r="K1509" i="64"/>
  <c r="K1510" i="64"/>
  <c r="K1511" i="64"/>
  <c r="K1512" i="64"/>
  <c r="K1513" i="64"/>
  <c r="K1514" i="64"/>
  <c r="K1515" i="64"/>
  <c r="K1516" i="64"/>
  <c r="K1517" i="64"/>
  <c r="K1518" i="64"/>
  <c r="K1519" i="64"/>
  <c r="K1520" i="64"/>
  <c r="K1521" i="64"/>
  <c r="K1522" i="64"/>
  <c r="K1523" i="64"/>
  <c r="K1524" i="64"/>
  <c r="K1525" i="64"/>
  <c r="K1526" i="64"/>
  <c r="K1527" i="64"/>
  <c r="K1528" i="64"/>
  <c r="K1529" i="64"/>
  <c r="K1530" i="64"/>
  <c r="K1531" i="64"/>
  <c r="K1532" i="64"/>
  <c r="K1533" i="64"/>
  <c r="K1534" i="64"/>
  <c r="K1535" i="64"/>
  <c r="K1536" i="64"/>
  <c r="K1537" i="64"/>
  <c r="K1538" i="64"/>
  <c r="K1539" i="64"/>
  <c r="K1540" i="64"/>
  <c r="K1541" i="64"/>
  <c r="K1542" i="64"/>
  <c r="K1543" i="64"/>
  <c r="K1544" i="64"/>
  <c r="K1545" i="64"/>
  <c r="K1546" i="64"/>
  <c r="K1547" i="64"/>
  <c r="K1548" i="64"/>
  <c r="K1549" i="64"/>
  <c r="K1550" i="64"/>
  <c r="K1551" i="64"/>
  <c r="K1552" i="64"/>
  <c r="K1553" i="64"/>
  <c r="K1554" i="64"/>
  <c r="K1555" i="64"/>
  <c r="K1556" i="64"/>
  <c r="K1557" i="64"/>
  <c r="K1558" i="64"/>
  <c r="K1559" i="64"/>
  <c r="K1560" i="64"/>
  <c r="K1561" i="64"/>
  <c r="K1562" i="64"/>
  <c r="K1563" i="64"/>
  <c r="K1564" i="64"/>
  <c r="K1565" i="64"/>
  <c r="K1566" i="64"/>
  <c r="K1567" i="64"/>
  <c r="K1568" i="64"/>
  <c r="K1569" i="64"/>
  <c r="K1570" i="64"/>
  <c r="K1571" i="64"/>
  <c r="K1572" i="64"/>
  <c r="K1573" i="64"/>
  <c r="K1574" i="64"/>
  <c r="K1575" i="64"/>
  <c r="K1576" i="64"/>
  <c r="K1577" i="64"/>
  <c r="K1578" i="64"/>
  <c r="K1579" i="64"/>
  <c r="K1580" i="64"/>
  <c r="K1581" i="64"/>
  <c r="K1582" i="64"/>
  <c r="K1583" i="64"/>
  <c r="K1584" i="64"/>
  <c r="K1585" i="64"/>
  <c r="K1586" i="64"/>
  <c r="K1587" i="64"/>
  <c r="K1588" i="64"/>
  <c r="K1589" i="64"/>
  <c r="K1590" i="64"/>
  <c r="K1591" i="64"/>
  <c r="K1592" i="64"/>
  <c r="K1593" i="64"/>
  <c r="K1594" i="64"/>
  <c r="K1595" i="64"/>
  <c r="K1596" i="64"/>
  <c r="K1597" i="64"/>
  <c r="K1598" i="64"/>
  <c r="K1599" i="64"/>
  <c r="K1600" i="64"/>
  <c r="K1601" i="64"/>
  <c r="K1602" i="64"/>
  <c r="K1603" i="64"/>
  <c r="K1604" i="64"/>
  <c r="K1605" i="64"/>
  <c r="K1606" i="64"/>
  <c r="K1607" i="64"/>
  <c r="K1608" i="64"/>
  <c r="K1609" i="64"/>
  <c r="K1610" i="64"/>
  <c r="K1611" i="64"/>
  <c r="K1612" i="64"/>
  <c r="K1613" i="64"/>
  <c r="K1614" i="64"/>
  <c r="K1615" i="64"/>
  <c r="K1616" i="64"/>
  <c r="K1617" i="64"/>
  <c r="K1618" i="64"/>
  <c r="K1619" i="64"/>
  <c r="K1620" i="64"/>
  <c r="K1621" i="64"/>
  <c r="K1622" i="64"/>
  <c r="K1623" i="64"/>
  <c r="K1624" i="64"/>
  <c r="K1625" i="64"/>
  <c r="K1626" i="64"/>
  <c r="K1627" i="64"/>
  <c r="K1628" i="64"/>
  <c r="K1629" i="64"/>
  <c r="K1630" i="64"/>
  <c r="K1631" i="64"/>
  <c r="K1632" i="64"/>
  <c r="K1633" i="64"/>
  <c r="K1634" i="64"/>
  <c r="K1635" i="64"/>
  <c r="K1636" i="64"/>
  <c r="K1637" i="64"/>
  <c r="K1638" i="64"/>
  <c r="K1639" i="64"/>
  <c r="K1640" i="64"/>
  <c r="K1641" i="64"/>
  <c r="K1642" i="64"/>
  <c r="K1643" i="64"/>
  <c r="K1644" i="64"/>
  <c r="K1645" i="64"/>
  <c r="K1646" i="64"/>
  <c r="K1647" i="64"/>
  <c r="K1648" i="64"/>
  <c r="K1649" i="64"/>
  <c r="K1650" i="64"/>
  <c r="K1651" i="64"/>
  <c r="K1652" i="64"/>
  <c r="K1653" i="64"/>
  <c r="K1654" i="64"/>
  <c r="K1655" i="64"/>
  <c r="K1656" i="64"/>
  <c r="K1657" i="64"/>
  <c r="K1658" i="64"/>
  <c r="K1659" i="64"/>
  <c r="K1660" i="64"/>
  <c r="K1661" i="64"/>
  <c r="K1662" i="64"/>
  <c r="K1663" i="64"/>
  <c r="K1664" i="64"/>
  <c r="K1665" i="64"/>
  <c r="K1666" i="64"/>
  <c r="K1667" i="64"/>
  <c r="K1668" i="64"/>
  <c r="K1669" i="64"/>
  <c r="K1670" i="64"/>
  <c r="K1671" i="64"/>
  <c r="K1672" i="64"/>
  <c r="K1673" i="64"/>
  <c r="K1674" i="64"/>
  <c r="K1675" i="64"/>
  <c r="K1676" i="64"/>
  <c r="K1677" i="64"/>
  <c r="K1678" i="64"/>
  <c r="K1679" i="64"/>
  <c r="K1680" i="64"/>
  <c r="K1681" i="64"/>
  <c r="K1682" i="64"/>
  <c r="K1683" i="64"/>
  <c r="K1684" i="64"/>
  <c r="K1685" i="64"/>
  <c r="K1686" i="64"/>
  <c r="K1687" i="64"/>
  <c r="K1688" i="64"/>
  <c r="K1689" i="64"/>
  <c r="K1690" i="64"/>
  <c r="K1691" i="64"/>
  <c r="K1692" i="64"/>
  <c r="K1693" i="64"/>
  <c r="K1694" i="64"/>
  <c r="K1695" i="64"/>
  <c r="K1696" i="64"/>
  <c r="K1697" i="64"/>
  <c r="K1698" i="64"/>
  <c r="K1699" i="64"/>
  <c r="K1700" i="64"/>
  <c r="K1701" i="64"/>
  <c r="K1702" i="64"/>
  <c r="K1703" i="64"/>
  <c r="K1704" i="64"/>
  <c r="K1705" i="64"/>
  <c r="K1706" i="64"/>
  <c r="K1707" i="64"/>
  <c r="K1708" i="64"/>
  <c r="K1709" i="64"/>
  <c r="K1710" i="64"/>
  <c r="K1711" i="64"/>
  <c r="K1712" i="64"/>
  <c r="K1713" i="64"/>
  <c r="K1714" i="64"/>
  <c r="K1715" i="64"/>
  <c r="K1716" i="64"/>
  <c r="K1717" i="64"/>
  <c r="K1718" i="64"/>
  <c r="K1719" i="64"/>
  <c r="K1721" i="64"/>
  <c r="K1722" i="64"/>
  <c r="K1723" i="64"/>
  <c r="K1724" i="64"/>
  <c r="K1725" i="64"/>
  <c r="K1726" i="64"/>
  <c r="K1727" i="64"/>
  <c r="K1728" i="64"/>
  <c r="K1729" i="64"/>
  <c r="K1730" i="64"/>
  <c r="K1731" i="64"/>
  <c r="K1732" i="64"/>
  <c r="K1733" i="64"/>
  <c r="K1734" i="64"/>
  <c r="K1735" i="64"/>
  <c r="K1736" i="64"/>
  <c r="K1737" i="64"/>
  <c r="K1738" i="64"/>
  <c r="K1739" i="64"/>
  <c r="K1740" i="64"/>
  <c r="K1741" i="64"/>
  <c r="K1742" i="64"/>
  <c r="K1743" i="64"/>
  <c r="K1744" i="64"/>
  <c r="K1745" i="64"/>
  <c r="K1746" i="64"/>
  <c r="K1747" i="64"/>
  <c r="K1748" i="64"/>
  <c r="K1749" i="64"/>
  <c r="K1750" i="64"/>
  <c r="K1751" i="64"/>
  <c r="K1752" i="64"/>
  <c r="K1753" i="64"/>
  <c r="K1754" i="64"/>
  <c r="K1755" i="64"/>
  <c r="K1756" i="64"/>
  <c r="K1757" i="64"/>
  <c r="K1758" i="64"/>
  <c r="K1759" i="64"/>
  <c r="K1760" i="64"/>
  <c r="K1761" i="64"/>
  <c r="K1762" i="64"/>
  <c r="K1763" i="64"/>
  <c r="K1784" i="64"/>
  <c r="K1821" i="64"/>
  <c r="K1822" i="64"/>
  <c r="K1823" i="64"/>
  <c r="K1824" i="64"/>
  <c r="K1825" i="64"/>
  <c r="K1826" i="64"/>
  <c r="K1901" i="64"/>
  <c r="K1902" i="64"/>
  <c r="K1974" i="64"/>
  <c r="K1975" i="64"/>
  <c r="K1976" i="64"/>
  <c r="K2225" i="64"/>
  <c r="K2596" i="64"/>
  <c r="K2597" i="64"/>
  <c r="H1721" i="64"/>
  <c r="H1722" i="64"/>
  <c r="H1723" i="64"/>
  <c r="H1724" i="64"/>
  <c r="H1725" i="64"/>
  <c r="H1726" i="64"/>
  <c r="H1727" i="64"/>
  <c r="H1728" i="64"/>
  <c r="H1729" i="64"/>
  <c r="H1730" i="64"/>
  <c r="H1731" i="64"/>
  <c r="H1732" i="64"/>
  <c r="H1733" i="64"/>
  <c r="H1734" i="64"/>
  <c r="H1735" i="64"/>
  <c r="H1736" i="64"/>
  <c r="H1737" i="64"/>
  <c r="H1738" i="64"/>
  <c r="H1739" i="64"/>
  <c r="H1740" i="64"/>
  <c r="H1741" i="64"/>
  <c r="H1742" i="64"/>
  <c r="H1743" i="64"/>
  <c r="H1744" i="64"/>
  <c r="H1745" i="64"/>
  <c r="H1746" i="64"/>
  <c r="H1747" i="64"/>
  <c r="H1748" i="64"/>
  <c r="H1749" i="64"/>
  <c r="H1750" i="64"/>
  <c r="H1751" i="64"/>
  <c r="H1752" i="64"/>
  <c r="H1753" i="64"/>
  <c r="H1754" i="64"/>
  <c r="H1755" i="64"/>
  <c r="H1756" i="64"/>
  <c r="H1757" i="64"/>
  <c r="H1758" i="64"/>
  <c r="H1759" i="64"/>
  <c r="H1760" i="64"/>
  <c r="H1761" i="64"/>
  <c r="H1762" i="64"/>
  <c r="G1721" i="64"/>
  <c r="G1722" i="64"/>
  <c r="G1723" i="64"/>
  <c r="G1724" i="64"/>
  <c r="G1725" i="64"/>
  <c r="G1726" i="64"/>
  <c r="G1727" i="64"/>
  <c r="G1728" i="64"/>
  <c r="G1729" i="64"/>
  <c r="G1730" i="64"/>
  <c r="G1731" i="64"/>
  <c r="G1732" i="64"/>
  <c r="G1733" i="64"/>
  <c r="G1734" i="64"/>
  <c r="G1735" i="64"/>
  <c r="G1736" i="64"/>
  <c r="G1737" i="64"/>
  <c r="G1738" i="64"/>
  <c r="G1739" i="64"/>
  <c r="G1740" i="64"/>
  <c r="G1741" i="64"/>
  <c r="G1742" i="64"/>
  <c r="G1743" i="64"/>
  <c r="G1744" i="64"/>
  <c r="G1745" i="64"/>
  <c r="G1746" i="64"/>
  <c r="G1747" i="64"/>
  <c r="G1748" i="64"/>
  <c r="G1749" i="64"/>
  <c r="G1750" i="64"/>
  <c r="G1751" i="64"/>
  <c r="G1752" i="64"/>
  <c r="G1753" i="64"/>
  <c r="G1754" i="64"/>
  <c r="G1755" i="64"/>
  <c r="G1756" i="64"/>
  <c r="G1757" i="64"/>
  <c r="G1758" i="64"/>
  <c r="G1759" i="64"/>
  <c r="G1760" i="64"/>
  <c r="G1761" i="64"/>
  <c r="G1762" i="64"/>
  <c r="F1721" i="64"/>
  <c r="F1722" i="64"/>
  <c r="F1723" i="64"/>
  <c r="F1724" i="64"/>
  <c r="F1725" i="64"/>
  <c r="F1726" i="64"/>
  <c r="F1727" i="64"/>
  <c r="F1728" i="64"/>
  <c r="F1729" i="64"/>
  <c r="F1730" i="64"/>
  <c r="F1731" i="64"/>
  <c r="F1732" i="64"/>
  <c r="F1733" i="64"/>
  <c r="F1734" i="64"/>
  <c r="F1735" i="64"/>
  <c r="F1736" i="64"/>
  <c r="F1737" i="64"/>
  <c r="F1738" i="64"/>
  <c r="F1739" i="64"/>
  <c r="F1740" i="64"/>
  <c r="F1741" i="64"/>
  <c r="F1742" i="64"/>
  <c r="F1743" i="64"/>
  <c r="F1744" i="64"/>
  <c r="F1745" i="64"/>
  <c r="F1746" i="64"/>
  <c r="F1747" i="64"/>
  <c r="F1748" i="64"/>
  <c r="F1749" i="64"/>
  <c r="F1751" i="64"/>
  <c r="F1752" i="64"/>
  <c r="F1753" i="64"/>
  <c r="F1754" i="64"/>
  <c r="F1755" i="64"/>
  <c r="F1756" i="64"/>
  <c r="F1757" i="64"/>
  <c r="F1758" i="64"/>
  <c r="F1759" i="64"/>
  <c r="F1760" i="64"/>
  <c r="F1761" i="64"/>
  <c r="F1762" i="64"/>
  <c r="A1721" i="64"/>
  <c r="A1722" i="64"/>
  <c r="A1723" i="64"/>
  <c r="A1724" i="64"/>
  <c r="A1725" i="64"/>
  <c r="A1726" i="64"/>
  <c r="A1727" i="64"/>
  <c r="A1728" i="64"/>
  <c r="A1729" i="64"/>
  <c r="A1730" i="64"/>
  <c r="A1731" i="64"/>
  <c r="A1732" i="64"/>
  <c r="A1733" i="64"/>
  <c r="A1734" i="64"/>
  <c r="B1721" i="64"/>
  <c r="B1722" i="64"/>
  <c r="B1723" i="64"/>
  <c r="B1724" i="64"/>
  <c r="B1725" i="64"/>
  <c r="B1726" i="64"/>
  <c r="B1727" i="64"/>
  <c r="B1728" i="64"/>
  <c r="B1729" i="64"/>
  <c r="B1730" i="64"/>
  <c r="B1731" i="64"/>
  <c r="B1732" i="64"/>
  <c r="B1733" i="64"/>
  <c r="B1734" i="64"/>
  <c r="J1721" i="64"/>
  <c r="J1722" i="64"/>
  <c r="K1720" i="64" s="1"/>
  <c r="J1723" i="64"/>
  <c r="J1724" i="64"/>
  <c r="J1725" i="64"/>
  <c r="J1726" i="64"/>
  <c r="J1727" i="64"/>
  <c r="J1728" i="64"/>
  <c r="J1729" i="64"/>
  <c r="J1730" i="64"/>
  <c r="J1731" i="64"/>
  <c r="J1732" i="64"/>
  <c r="J1733" i="64"/>
  <c r="J1734" i="64"/>
  <c r="M1721" i="64"/>
  <c r="N1721" i="64" s="1"/>
  <c r="M1722" i="64"/>
  <c r="N1722" i="64" s="1"/>
  <c r="M1723" i="64"/>
  <c r="N1723" i="64" s="1"/>
  <c r="M1724" i="64"/>
  <c r="N1724" i="64" s="1"/>
  <c r="M1725" i="64"/>
  <c r="N1725" i="64" s="1"/>
  <c r="M1726" i="64"/>
  <c r="N1726" i="64" s="1"/>
  <c r="M1727" i="64"/>
  <c r="N1727" i="64" s="1"/>
  <c r="M1728" i="64"/>
  <c r="N1728" i="64" s="1"/>
  <c r="M1729" i="64"/>
  <c r="N1729" i="64" s="1"/>
  <c r="M1730" i="64"/>
  <c r="N1730" i="64" s="1"/>
  <c r="M1731" i="64"/>
  <c r="N1731" i="64" s="1"/>
  <c r="M1732" i="64"/>
  <c r="N1732" i="64" s="1"/>
  <c r="M1733" i="64"/>
  <c r="N1733" i="64" s="1"/>
  <c r="M1734" i="64"/>
  <c r="N1734" i="64" s="1"/>
  <c r="A1735" i="64"/>
  <c r="A1736" i="64"/>
  <c r="A1737" i="64"/>
  <c r="A1738" i="64"/>
  <c r="A1739" i="64"/>
  <c r="A1740" i="64"/>
  <c r="A1741" i="64"/>
  <c r="A1742" i="64"/>
  <c r="A1743" i="64"/>
  <c r="A1744" i="64"/>
  <c r="A1745" i="64"/>
  <c r="A1746" i="64"/>
  <c r="A1747" i="64"/>
  <c r="A1748" i="64"/>
  <c r="B1735" i="64"/>
  <c r="B1736" i="64"/>
  <c r="B1737" i="64"/>
  <c r="B1738" i="64"/>
  <c r="B1739" i="64"/>
  <c r="B1740" i="64"/>
  <c r="B1741" i="64"/>
  <c r="B1742" i="64"/>
  <c r="B1743" i="64"/>
  <c r="B1744" i="64"/>
  <c r="B1745" i="64"/>
  <c r="B1746" i="64"/>
  <c r="B1747" i="64"/>
  <c r="B1748" i="64"/>
  <c r="J1735" i="64"/>
  <c r="J1736" i="64"/>
  <c r="J1737" i="64"/>
  <c r="J1738" i="64"/>
  <c r="J1739" i="64"/>
  <c r="J1740" i="64"/>
  <c r="J1741" i="64"/>
  <c r="J1742" i="64"/>
  <c r="J1743" i="64"/>
  <c r="J1744" i="64"/>
  <c r="J1745" i="64"/>
  <c r="J1746" i="64"/>
  <c r="J1747" i="64"/>
  <c r="J1748" i="64"/>
  <c r="M1735" i="64"/>
  <c r="N1735" i="64" s="1"/>
  <c r="M1736" i="64"/>
  <c r="N1736" i="64" s="1"/>
  <c r="M1737" i="64"/>
  <c r="N1737" i="64" s="1"/>
  <c r="M1738" i="64"/>
  <c r="N1738" i="64" s="1"/>
  <c r="M1739" i="64"/>
  <c r="N1739" i="64" s="1"/>
  <c r="M1740" i="64"/>
  <c r="N1740" i="64" s="1"/>
  <c r="M1741" i="64"/>
  <c r="N1741" i="64" s="1"/>
  <c r="M1742" i="64"/>
  <c r="N1742" i="64" s="1"/>
  <c r="M1743" i="64"/>
  <c r="N1743" i="64" s="1"/>
  <c r="M1744" i="64"/>
  <c r="N1744" i="64" s="1"/>
  <c r="M1745" i="64"/>
  <c r="N1745" i="64" s="1"/>
  <c r="M1746" i="64"/>
  <c r="N1746" i="64" s="1"/>
  <c r="M1747" i="64"/>
  <c r="N1747" i="64" s="1"/>
  <c r="M1748" i="64"/>
  <c r="N1748" i="64" s="1"/>
  <c r="A1749" i="64"/>
  <c r="A1750" i="64"/>
  <c r="A1751" i="64"/>
  <c r="A1752" i="64"/>
  <c r="A1753" i="64"/>
  <c r="A1754" i="64"/>
  <c r="A1755" i="64"/>
  <c r="A1756" i="64"/>
  <c r="A1757" i="64"/>
  <c r="A1758" i="64"/>
  <c r="A1759" i="64"/>
  <c r="A1760" i="64"/>
  <c r="A1761" i="64"/>
  <c r="A1762" i="64"/>
  <c r="B1749" i="64"/>
  <c r="B1750" i="64"/>
  <c r="B1751" i="64"/>
  <c r="B1752" i="64"/>
  <c r="B1753" i="64"/>
  <c r="B1754" i="64"/>
  <c r="B1755" i="64"/>
  <c r="B1756" i="64"/>
  <c r="B1757" i="64"/>
  <c r="B1758" i="64"/>
  <c r="B1759" i="64"/>
  <c r="B1760" i="64"/>
  <c r="B1761" i="64"/>
  <c r="B1762" i="64"/>
  <c r="J1749" i="64"/>
  <c r="J1750" i="64"/>
  <c r="J1751" i="64"/>
  <c r="J1752" i="64"/>
  <c r="J1753" i="64"/>
  <c r="J1754" i="64"/>
  <c r="J1755" i="64"/>
  <c r="J1756" i="64"/>
  <c r="J1757" i="64"/>
  <c r="J1758" i="64"/>
  <c r="J1759" i="64"/>
  <c r="J1760" i="64"/>
  <c r="J1761" i="64"/>
  <c r="J1762" i="64"/>
  <c r="M1749" i="64"/>
  <c r="N1749" i="64" s="1"/>
  <c r="M1750" i="64"/>
  <c r="N1750" i="64" s="1"/>
  <c r="M1751" i="64"/>
  <c r="N1751" i="64" s="1"/>
  <c r="M1752" i="64"/>
  <c r="N1752" i="64" s="1"/>
  <c r="M1753" i="64"/>
  <c r="N1753" i="64" s="1"/>
  <c r="M1754" i="64"/>
  <c r="N1754" i="64" s="1"/>
  <c r="M1755" i="64"/>
  <c r="N1755" i="64" s="1"/>
  <c r="M1756" i="64"/>
  <c r="N1756" i="64" s="1"/>
  <c r="M1757" i="64"/>
  <c r="N1757" i="64" s="1"/>
  <c r="M1758" i="64"/>
  <c r="N1758" i="64" s="1"/>
  <c r="M1759" i="64"/>
  <c r="N1759" i="64" s="1"/>
  <c r="M1760" i="64"/>
  <c r="N1760" i="64" s="1"/>
  <c r="M1761" i="64"/>
  <c r="N1761" i="64" s="1"/>
  <c r="M1762" i="64"/>
  <c r="N1762" i="64" s="1"/>
  <c r="H1717" i="64"/>
  <c r="H1702" i="64"/>
  <c r="H1703" i="64"/>
  <c r="H1704" i="64"/>
  <c r="H1705" i="64"/>
  <c r="H1706" i="64"/>
  <c r="H1707" i="64"/>
  <c r="H1708" i="64"/>
  <c r="H1709" i="64"/>
  <c r="H1710" i="64"/>
  <c r="H1711" i="64"/>
  <c r="H1712" i="64"/>
  <c r="H1713" i="64"/>
  <c r="H1714" i="64"/>
  <c r="H1715" i="64"/>
  <c r="H1716" i="64"/>
  <c r="H1718" i="64"/>
  <c r="H1719" i="64"/>
  <c r="H1720" i="64"/>
  <c r="H1763" i="64"/>
  <c r="H1784" i="64"/>
  <c r="H1821" i="64"/>
  <c r="G1702" i="64"/>
  <c r="G1703" i="64"/>
  <c r="G1704" i="64"/>
  <c r="G1705" i="64"/>
  <c r="G1706" i="64"/>
  <c r="G1707" i="64"/>
  <c r="G1708" i="64"/>
  <c r="G1709" i="64"/>
  <c r="G1710" i="64"/>
  <c r="G1711" i="64"/>
  <c r="G1712" i="64"/>
  <c r="G1713" i="64"/>
  <c r="G1714" i="64"/>
  <c r="G1715" i="64"/>
  <c r="G1716" i="64"/>
  <c r="G1717" i="64"/>
  <c r="G1718" i="64"/>
  <c r="G1719" i="64"/>
  <c r="G1720" i="64"/>
  <c r="G1763" i="64"/>
  <c r="G1784" i="64"/>
  <c r="G1821" i="64"/>
  <c r="F1702" i="64"/>
  <c r="F1703" i="64"/>
  <c r="F1704" i="64"/>
  <c r="F1705" i="64"/>
  <c r="F1706" i="64"/>
  <c r="F1707" i="64"/>
  <c r="F1708" i="64"/>
  <c r="F1709" i="64"/>
  <c r="F1710" i="64"/>
  <c r="F1711" i="64"/>
  <c r="F1712" i="64"/>
  <c r="F1713" i="64"/>
  <c r="F1714" i="64"/>
  <c r="F1715" i="64"/>
  <c r="F1716" i="64"/>
  <c r="F1717" i="64"/>
  <c r="F1718" i="64"/>
  <c r="F1719" i="64"/>
  <c r="F1720" i="64"/>
  <c r="F1763" i="64"/>
  <c r="F1784" i="64"/>
  <c r="F1821" i="64"/>
  <c r="A1702" i="64"/>
  <c r="A1703" i="64"/>
  <c r="A1704" i="64"/>
  <c r="A1705" i="64"/>
  <c r="A1706" i="64"/>
  <c r="A1707" i="64"/>
  <c r="A1708" i="64"/>
  <c r="A1709" i="64"/>
  <c r="A1710" i="64"/>
  <c r="A1711" i="64"/>
  <c r="A1712" i="64"/>
  <c r="B1702" i="64"/>
  <c r="B1703" i="64"/>
  <c r="B1704" i="64"/>
  <c r="B1705" i="64"/>
  <c r="B1706" i="64"/>
  <c r="B1707" i="64"/>
  <c r="B1708" i="64"/>
  <c r="B1709" i="64"/>
  <c r="B1710" i="64"/>
  <c r="B1711" i="64"/>
  <c r="B1712" i="64"/>
  <c r="J1702" i="64"/>
  <c r="J1703" i="64"/>
  <c r="J1704" i="64"/>
  <c r="J1705" i="64"/>
  <c r="J1706" i="64"/>
  <c r="J1707" i="64"/>
  <c r="J1708" i="64"/>
  <c r="J1709" i="64"/>
  <c r="J1710" i="64"/>
  <c r="J1711" i="64"/>
  <c r="J1712" i="64"/>
  <c r="M1702" i="64"/>
  <c r="N1702" i="64" s="1"/>
  <c r="M1703" i="64"/>
  <c r="N1703" i="64" s="1"/>
  <c r="M1704" i="64"/>
  <c r="N1704" i="64" s="1"/>
  <c r="M1705" i="64"/>
  <c r="N1705" i="64" s="1"/>
  <c r="M1706" i="64"/>
  <c r="N1706" i="64" s="1"/>
  <c r="M1707" i="64"/>
  <c r="N1707" i="64" s="1"/>
  <c r="M1708" i="64"/>
  <c r="N1708" i="64" s="1"/>
  <c r="M1709" i="64"/>
  <c r="N1709" i="64" s="1"/>
  <c r="M1710" i="64"/>
  <c r="N1710" i="64" s="1"/>
  <c r="M1711" i="64"/>
  <c r="N1711" i="64" s="1"/>
  <c r="M1712" i="64"/>
  <c r="N1712" i="64" s="1"/>
  <c r="A1713" i="64"/>
  <c r="A1714" i="64"/>
  <c r="A1715" i="64"/>
  <c r="A1716" i="64"/>
  <c r="A1717" i="64"/>
  <c r="A1718" i="64"/>
  <c r="A1719" i="64"/>
  <c r="A1720" i="64"/>
  <c r="A1763" i="64"/>
  <c r="A1784" i="64"/>
  <c r="A1821" i="64"/>
  <c r="B1713" i="64"/>
  <c r="B1714" i="64"/>
  <c r="B1715" i="64"/>
  <c r="B1716" i="64"/>
  <c r="B1717" i="64"/>
  <c r="B1718" i="64"/>
  <c r="B1719" i="64"/>
  <c r="B1720" i="64"/>
  <c r="B1763" i="64"/>
  <c r="B1784" i="64"/>
  <c r="B1821" i="64"/>
  <c r="J1713" i="64"/>
  <c r="J1714" i="64"/>
  <c r="J1715" i="64"/>
  <c r="J1716" i="64"/>
  <c r="J1717" i="64"/>
  <c r="J1718" i="64"/>
  <c r="J1719" i="64"/>
  <c r="J1720" i="64"/>
  <c r="J1763" i="64"/>
  <c r="J1784" i="64"/>
  <c r="J1821" i="64"/>
  <c r="M1713" i="64"/>
  <c r="N1713" i="64" s="1"/>
  <c r="M1714" i="64"/>
  <c r="N1714" i="64" s="1"/>
  <c r="M1715" i="64"/>
  <c r="N1715" i="64" s="1"/>
  <c r="M1716" i="64"/>
  <c r="N1716" i="64" s="1"/>
  <c r="M1717" i="64"/>
  <c r="N1717" i="64" s="1"/>
  <c r="M1718" i="64"/>
  <c r="N1718" i="64" s="1"/>
  <c r="M1719" i="64"/>
  <c r="N1719" i="64" s="1"/>
  <c r="M1720" i="64"/>
  <c r="N1720" i="64" s="1"/>
  <c r="M1763" i="64"/>
  <c r="N1763" i="64" s="1"/>
  <c r="M1784" i="64"/>
  <c r="N1784" i="64" s="1"/>
  <c r="M1821" i="64"/>
  <c r="N1821" i="64" s="1"/>
  <c r="F1643" i="64"/>
  <c r="F1644" i="64"/>
  <c r="F1645" i="64"/>
  <c r="F1646" i="64"/>
  <c r="F1647" i="64"/>
  <c r="F1648" i="64"/>
  <c r="F1649" i="64"/>
  <c r="F1650" i="64"/>
  <c r="F1651" i="64"/>
  <c r="F1652" i="64"/>
  <c r="F1653" i="64"/>
  <c r="F1654" i="64"/>
  <c r="F1655" i="64"/>
  <c r="F1656" i="64"/>
  <c r="F1657" i="64"/>
  <c r="F1658" i="64"/>
  <c r="F1659" i="64"/>
  <c r="F1660" i="64"/>
  <c r="F1661" i="64"/>
  <c r="F1662" i="64"/>
  <c r="F1663" i="64"/>
  <c r="F1664" i="64"/>
  <c r="F1665" i="64"/>
  <c r="F1666" i="64"/>
  <c r="F1667" i="64"/>
  <c r="F1668" i="64"/>
  <c r="F1669" i="64"/>
  <c r="F1670" i="64"/>
  <c r="F1671" i="64"/>
  <c r="F1672" i="64"/>
  <c r="F1673" i="64"/>
  <c r="F1674" i="64"/>
  <c r="F1675" i="64"/>
  <c r="F1676" i="64"/>
  <c r="F1677" i="64"/>
  <c r="F1678" i="64"/>
  <c r="F1679" i="64"/>
  <c r="F1680" i="64"/>
  <c r="F1681" i="64"/>
  <c r="F1682" i="64"/>
  <c r="F1683" i="64"/>
  <c r="F1684" i="64"/>
  <c r="F1685" i="64"/>
  <c r="F1686" i="64"/>
  <c r="F1687" i="64"/>
  <c r="F1688" i="64"/>
  <c r="F1689" i="64"/>
  <c r="F1690" i="64"/>
  <c r="F1691" i="64"/>
  <c r="F1692" i="64"/>
  <c r="F1693" i="64"/>
  <c r="F1694" i="64"/>
  <c r="F1695" i="64"/>
  <c r="F1696" i="64"/>
  <c r="F1697" i="64"/>
  <c r="F1698" i="64"/>
  <c r="F1699" i="64"/>
  <c r="F1700" i="64"/>
  <c r="F1701" i="64"/>
  <c r="F1822" i="64"/>
  <c r="G1643" i="64"/>
  <c r="G1644" i="64"/>
  <c r="G1645" i="64"/>
  <c r="G1646" i="64"/>
  <c r="G1647" i="64"/>
  <c r="G1648" i="64"/>
  <c r="G1649" i="64"/>
  <c r="G1650" i="64"/>
  <c r="G1651" i="64"/>
  <c r="G1652" i="64"/>
  <c r="G1653" i="64"/>
  <c r="G1654" i="64"/>
  <c r="G1655" i="64"/>
  <c r="G1656" i="64"/>
  <c r="G1657" i="64"/>
  <c r="G1658" i="64"/>
  <c r="G1659" i="64"/>
  <c r="G1660" i="64"/>
  <c r="G1661" i="64"/>
  <c r="G1662" i="64"/>
  <c r="G1663" i="64"/>
  <c r="G1664" i="64"/>
  <c r="G1665" i="64"/>
  <c r="G1666" i="64"/>
  <c r="G1667" i="64"/>
  <c r="G1668" i="64"/>
  <c r="G1669" i="64"/>
  <c r="G1670" i="64"/>
  <c r="G1671" i="64"/>
  <c r="G1672" i="64"/>
  <c r="G1673" i="64"/>
  <c r="G1674" i="64"/>
  <c r="G1675" i="64"/>
  <c r="G1676" i="64"/>
  <c r="G1677" i="64"/>
  <c r="G1678" i="64"/>
  <c r="G1679" i="64"/>
  <c r="G1680" i="64"/>
  <c r="G1681" i="64"/>
  <c r="G1682" i="64"/>
  <c r="G1683" i="64"/>
  <c r="G1684" i="64"/>
  <c r="G1685" i="64"/>
  <c r="G1686" i="64"/>
  <c r="G1687" i="64"/>
  <c r="G1688" i="64"/>
  <c r="G1689" i="64"/>
  <c r="G1690" i="64"/>
  <c r="G1691" i="64"/>
  <c r="G1692" i="64"/>
  <c r="G1693" i="64"/>
  <c r="G1694" i="64"/>
  <c r="G1695" i="64"/>
  <c r="G1696" i="64"/>
  <c r="G1697" i="64"/>
  <c r="G1698" i="64"/>
  <c r="G1699" i="64"/>
  <c r="G1700" i="64"/>
  <c r="G1701" i="64"/>
  <c r="G1822" i="64"/>
  <c r="H1643" i="64"/>
  <c r="H1644" i="64"/>
  <c r="H1645" i="64"/>
  <c r="H1646" i="64"/>
  <c r="H1647" i="64"/>
  <c r="H1648" i="64"/>
  <c r="H1649" i="64"/>
  <c r="H1650" i="64"/>
  <c r="H1651" i="64"/>
  <c r="H1652" i="64"/>
  <c r="H1653" i="64"/>
  <c r="H1654" i="64"/>
  <c r="H1655" i="64"/>
  <c r="H1656" i="64"/>
  <c r="H1657" i="64"/>
  <c r="H1658" i="64"/>
  <c r="H1659" i="64"/>
  <c r="H1660" i="64"/>
  <c r="H1661" i="64"/>
  <c r="H1662" i="64"/>
  <c r="H1663" i="64"/>
  <c r="H1664" i="64"/>
  <c r="H1665" i="64"/>
  <c r="H1666" i="64"/>
  <c r="H1667" i="64"/>
  <c r="H1668" i="64"/>
  <c r="H1669" i="64"/>
  <c r="H1670" i="64"/>
  <c r="H1671" i="64"/>
  <c r="H1672" i="64"/>
  <c r="H1673" i="64"/>
  <c r="H1674" i="64"/>
  <c r="H1675" i="64"/>
  <c r="H1676" i="64"/>
  <c r="H1677" i="64"/>
  <c r="H1678" i="64"/>
  <c r="H1679" i="64"/>
  <c r="H1680" i="64"/>
  <c r="H1681" i="64"/>
  <c r="H1682" i="64"/>
  <c r="H1683" i="64"/>
  <c r="H1684" i="64"/>
  <c r="H1685" i="64"/>
  <c r="H1686" i="64"/>
  <c r="H1687" i="64"/>
  <c r="H1688" i="64"/>
  <c r="H1689" i="64"/>
  <c r="H1690" i="64"/>
  <c r="H1691" i="64"/>
  <c r="H1692" i="64"/>
  <c r="H1693" i="64"/>
  <c r="H1694" i="64"/>
  <c r="H1695" i="64"/>
  <c r="H1696" i="64"/>
  <c r="H1697" i="64"/>
  <c r="H1698" i="64"/>
  <c r="H1699" i="64"/>
  <c r="H1700" i="64"/>
  <c r="H1701" i="64"/>
  <c r="H1822" i="64"/>
  <c r="A1643" i="64"/>
  <c r="A1644" i="64"/>
  <c r="A1645" i="64"/>
  <c r="A1646" i="64"/>
  <c r="A1647" i="64"/>
  <c r="A1648" i="64"/>
  <c r="A1649" i="64"/>
  <c r="A1650" i="64"/>
  <c r="A1651" i="64"/>
  <c r="A1652" i="64"/>
  <c r="B1643" i="64"/>
  <c r="B1644" i="64"/>
  <c r="B1645" i="64"/>
  <c r="B1646" i="64"/>
  <c r="B1647" i="64"/>
  <c r="B1648" i="64"/>
  <c r="B1649" i="64"/>
  <c r="B1650" i="64"/>
  <c r="B1651" i="64"/>
  <c r="B1652" i="64"/>
  <c r="J1643" i="64"/>
  <c r="J1644" i="64"/>
  <c r="J1645" i="64"/>
  <c r="J1646" i="64"/>
  <c r="J1647" i="64"/>
  <c r="J1648" i="64"/>
  <c r="J1649" i="64"/>
  <c r="J1650" i="64"/>
  <c r="J1651" i="64"/>
  <c r="J1652" i="64"/>
  <c r="M1643" i="64"/>
  <c r="N1643" i="64" s="1"/>
  <c r="M1644" i="64"/>
  <c r="N1644" i="64" s="1"/>
  <c r="M1645" i="64"/>
  <c r="N1645" i="64" s="1"/>
  <c r="M1646" i="64"/>
  <c r="N1646" i="64" s="1"/>
  <c r="M1647" i="64"/>
  <c r="N1647" i="64" s="1"/>
  <c r="M1648" i="64"/>
  <c r="N1648" i="64" s="1"/>
  <c r="M1649" i="64"/>
  <c r="N1649" i="64" s="1"/>
  <c r="M1650" i="64"/>
  <c r="N1650" i="64" s="1"/>
  <c r="M1651" i="64"/>
  <c r="N1651" i="64" s="1"/>
  <c r="M1652" i="64"/>
  <c r="N1652" i="64" s="1"/>
  <c r="A1653" i="64"/>
  <c r="A1654" i="64"/>
  <c r="A1655" i="64"/>
  <c r="A1656" i="64"/>
  <c r="A1657" i="64"/>
  <c r="A1658" i="64"/>
  <c r="A1659" i="64"/>
  <c r="A1660" i="64"/>
  <c r="A1661" i="64"/>
  <c r="A1662" i="64"/>
  <c r="B1653" i="64"/>
  <c r="B1654" i="64"/>
  <c r="B1655" i="64"/>
  <c r="B1656" i="64"/>
  <c r="B1657" i="64"/>
  <c r="B1658" i="64"/>
  <c r="B1659" i="64"/>
  <c r="B1660" i="64"/>
  <c r="B1661" i="64"/>
  <c r="B1662" i="64"/>
  <c r="J1653" i="64"/>
  <c r="J1654" i="64"/>
  <c r="J1655" i="64"/>
  <c r="J1656" i="64"/>
  <c r="J1657" i="64"/>
  <c r="J1658" i="64"/>
  <c r="J1659" i="64"/>
  <c r="J1660" i="64"/>
  <c r="J1661" i="64"/>
  <c r="J1662" i="64"/>
  <c r="M1653" i="64"/>
  <c r="N1653" i="64" s="1"/>
  <c r="M1654" i="64"/>
  <c r="N1654" i="64" s="1"/>
  <c r="M1655" i="64"/>
  <c r="N1655" i="64" s="1"/>
  <c r="M1656" i="64"/>
  <c r="N1656" i="64" s="1"/>
  <c r="M1657" i="64"/>
  <c r="N1657" i="64" s="1"/>
  <c r="M1658" i="64"/>
  <c r="N1658" i="64" s="1"/>
  <c r="M1659" i="64"/>
  <c r="N1659" i="64" s="1"/>
  <c r="M1660" i="64"/>
  <c r="N1660" i="64" s="1"/>
  <c r="M1661" i="64"/>
  <c r="N1661" i="64" s="1"/>
  <c r="M1662" i="64"/>
  <c r="N1662" i="64" s="1"/>
  <c r="A1663" i="64"/>
  <c r="A1664" i="64"/>
  <c r="A1665" i="64"/>
  <c r="A1666" i="64"/>
  <c r="A1667" i="64"/>
  <c r="A1668" i="64"/>
  <c r="A1669" i="64"/>
  <c r="A1670" i="64"/>
  <c r="A1671" i="64"/>
  <c r="A1672" i="64"/>
  <c r="B1663" i="64"/>
  <c r="B1664" i="64"/>
  <c r="B1665" i="64"/>
  <c r="B1666" i="64"/>
  <c r="B1667" i="64"/>
  <c r="B1668" i="64"/>
  <c r="B1669" i="64"/>
  <c r="B1670" i="64"/>
  <c r="B1671" i="64"/>
  <c r="B1672" i="64"/>
  <c r="J1663" i="64"/>
  <c r="J1664" i="64"/>
  <c r="J1665" i="64"/>
  <c r="J1666" i="64"/>
  <c r="J1667" i="64"/>
  <c r="J1668" i="64"/>
  <c r="J1669" i="64"/>
  <c r="J1670" i="64"/>
  <c r="J1671" i="64"/>
  <c r="J1672" i="64"/>
  <c r="M1663" i="64"/>
  <c r="N1663" i="64" s="1"/>
  <c r="M1664" i="64"/>
  <c r="N1664" i="64" s="1"/>
  <c r="M1665" i="64"/>
  <c r="N1665" i="64" s="1"/>
  <c r="M1666" i="64"/>
  <c r="N1666" i="64" s="1"/>
  <c r="M1667" i="64"/>
  <c r="N1667" i="64" s="1"/>
  <c r="M1668" i="64"/>
  <c r="N1668" i="64" s="1"/>
  <c r="M1669" i="64"/>
  <c r="N1669" i="64" s="1"/>
  <c r="M1670" i="64"/>
  <c r="N1670" i="64" s="1"/>
  <c r="M1671" i="64"/>
  <c r="N1671" i="64" s="1"/>
  <c r="M1672" i="64"/>
  <c r="N1672" i="64" s="1"/>
  <c r="A1673" i="64"/>
  <c r="A1674" i="64"/>
  <c r="A1675" i="64"/>
  <c r="A1676" i="64"/>
  <c r="A1677" i="64"/>
  <c r="A1678" i="64"/>
  <c r="A1679" i="64"/>
  <c r="A1680" i="64"/>
  <c r="A1681" i="64"/>
  <c r="A1682" i="64"/>
  <c r="B1673" i="64"/>
  <c r="B1674" i="64"/>
  <c r="B1675" i="64"/>
  <c r="B1676" i="64"/>
  <c r="B1677" i="64"/>
  <c r="B1678" i="64"/>
  <c r="B1679" i="64"/>
  <c r="B1680" i="64"/>
  <c r="B1681" i="64"/>
  <c r="B1682" i="64"/>
  <c r="J1673" i="64"/>
  <c r="J1674" i="64"/>
  <c r="J1675" i="64"/>
  <c r="J1676" i="64"/>
  <c r="J1677" i="64"/>
  <c r="J1678" i="64"/>
  <c r="J1679" i="64"/>
  <c r="J1680" i="64"/>
  <c r="J1681" i="64"/>
  <c r="J1682" i="64"/>
  <c r="M1673" i="64"/>
  <c r="N1673" i="64" s="1"/>
  <c r="M1674" i="64"/>
  <c r="N1674" i="64" s="1"/>
  <c r="M1675" i="64"/>
  <c r="N1675" i="64" s="1"/>
  <c r="M1676" i="64"/>
  <c r="N1676" i="64" s="1"/>
  <c r="M1677" i="64"/>
  <c r="N1677" i="64" s="1"/>
  <c r="M1678" i="64"/>
  <c r="N1678" i="64" s="1"/>
  <c r="M1679" i="64"/>
  <c r="N1679" i="64" s="1"/>
  <c r="M1680" i="64"/>
  <c r="N1680" i="64" s="1"/>
  <c r="M1681" i="64"/>
  <c r="N1681" i="64" s="1"/>
  <c r="M1682" i="64"/>
  <c r="N1682" i="64" s="1"/>
  <c r="A1683" i="64"/>
  <c r="A1684" i="64"/>
  <c r="A1685" i="64"/>
  <c r="A1686" i="64"/>
  <c r="A1687" i="64"/>
  <c r="A1688" i="64"/>
  <c r="A1689" i="64"/>
  <c r="A1690" i="64"/>
  <c r="A1691" i="64"/>
  <c r="A1692" i="64"/>
  <c r="B1683" i="64"/>
  <c r="B1684" i="64"/>
  <c r="B1685" i="64"/>
  <c r="B1686" i="64"/>
  <c r="B1687" i="64"/>
  <c r="B1688" i="64"/>
  <c r="B1689" i="64"/>
  <c r="B1690" i="64"/>
  <c r="B1691" i="64"/>
  <c r="B1692" i="64"/>
  <c r="J1683" i="64"/>
  <c r="J1684" i="64"/>
  <c r="J1685" i="64"/>
  <c r="J1686" i="64"/>
  <c r="J1687" i="64"/>
  <c r="J1688" i="64"/>
  <c r="J1689" i="64"/>
  <c r="J1690" i="64"/>
  <c r="J1691" i="64"/>
  <c r="J1692" i="64"/>
  <c r="M1683" i="64"/>
  <c r="N1683" i="64" s="1"/>
  <c r="M1684" i="64"/>
  <c r="N1684" i="64" s="1"/>
  <c r="M1685" i="64"/>
  <c r="N1685" i="64" s="1"/>
  <c r="M1686" i="64"/>
  <c r="N1686" i="64" s="1"/>
  <c r="M1687" i="64"/>
  <c r="N1687" i="64" s="1"/>
  <c r="M1688" i="64"/>
  <c r="N1688" i="64" s="1"/>
  <c r="M1689" i="64"/>
  <c r="N1689" i="64" s="1"/>
  <c r="M1690" i="64"/>
  <c r="N1690" i="64" s="1"/>
  <c r="M1691" i="64"/>
  <c r="N1691" i="64" s="1"/>
  <c r="M1692" i="64"/>
  <c r="N1692" i="64" s="1"/>
  <c r="A1693" i="64"/>
  <c r="A1694" i="64"/>
  <c r="A1695" i="64"/>
  <c r="A1696" i="64"/>
  <c r="A1697" i="64"/>
  <c r="A1698" i="64"/>
  <c r="A1699" i="64"/>
  <c r="A1700" i="64"/>
  <c r="A1701" i="64"/>
  <c r="A1822" i="64"/>
  <c r="B1693" i="64"/>
  <c r="B1694" i="64"/>
  <c r="B1695" i="64"/>
  <c r="B1696" i="64"/>
  <c r="B1697" i="64"/>
  <c r="B1698" i="64"/>
  <c r="B1699" i="64"/>
  <c r="B1700" i="64"/>
  <c r="B1701" i="64"/>
  <c r="B1822" i="64"/>
  <c r="J1693" i="64"/>
  <c r="J1694" i="64"/>
  <c r="J1695" i="64"/>
  <c r="J1696" i="64"/>
  <c r="J1697" i="64"/>
  <c r="J1698" i="64"/>
  <c r="J1699" i="64"/>
  <c r="J1700" i="64"/>
  <c r="J1701" i="64"/>
  <c r="J1822" i="64"/>
  <c r="M1693" i="64"/>
  <c r="N1693" i="64" s="1"/>
  <c r="M1694" i="64"/>
  <c r="N1694" i="64" s="1"/>
  <c r="M1695" i="64"/>
  <c r="N1695" i="64" s="1"/>
  <c r="M1696" i="64"/>
  <c r="N1696" i="64" s="1"/>
  <c r="M1697" i="64"/>
  <c r="N1697" i="64" s="1"/>
  <c r="M1698" i="64"/>
  <c r="N1698" i="64" s="1"/>
  <c r="M1699" i="64"/>
  <c r="N1699" i="64" s="1"/>
  <c r="M1700" i="64"/>
  <c r="N1700" i="64" s="1"/>
  <c r="M1701" i="64"/>
  <c r="N1701" i="64" s="1"/>
  <c r="M1822" i="64"/>
  <c r="N1822" i="64" s="1"/>
  <c r="F1430" i="64"/>
  <c r="F1429" i="64"/>
  <c r="H1601" i="64"/>
  <c r="H1602" i="64"/>
  <c r="H1603" i="64"/>
  <c r="H1604" i="64"/>
  <c r="H1605" i="64"/>
  <c r="H1606" i="64"/>
  <c r="H1607" i="64"/>
  <c r="H1608" i="64"/>
  <c r="H1609" i="64"/>
  <c r="H1610" i="64"/>
  <c r="H1611" i="64"/>
  <c r="H1612" i="64"/>
  <c r="H1613" i="64"/>
  <c r="H1614" i="64"/>
  <c r="H1615" i="64"/>
  <c r="H1616" i="64"/>
  <c r="H1617" i="64"/>
  <c r="H1618" i="64"/>
  <c r="H1619" i="64"/>
  <c r="H1620" i="64"/>
  <c r="H1621" i="64"/>
  <c r="H1622" i="64"/>
  <c r="H1623" i="64"/>
  <c r="H1624" i="64"/>
  <c r="H1625" i="64"/>
  <c r="H1626" i="64"/>
  <c r="H1627" i="64"/>
  <c r="H1628" i="64"/>
  <c r="H1629" i="64"/>
  <c r="H1630" i="64"/>
  <c r="H1631" i="64"/>
  <c r="H1632" i="64"/>
  <c r="H1633" i="64"/>
  <c r="H1634" i="64"/>
  <c r="H1635" i="64"/>
  <c r="H1636" i="64"/>
  <c r="H1637" i="64"/>
  <c r="H1638" i="64"/>
  <c r="H1639" i="64"/>
  <c r="G1601" i="64"/>
  <c r="G1602" i="64"/>
  <c r="G1603" i="64"/>
  <c r="G1604" i="64"/>
  <c r="G1605" i="64"/>
  <c r="G1606" i="64"/>
  <c r="G1607" i="64"/>
  <c r="G1608" i="64"/>
  <c r="G1609" i="64"/>
  <c r="G1610" i="64"/>
  <c r="G1611" i="64"/>
  <c r="G1612" i="64"/>
  <c r="G1613" i="64"/>
  <c r="G1614" i="64"/>
  <c r="G1615" i="64"/>
  <c r="G1616" i="64"/>
  <c r="G1617" i="64"/>
  <c r="G1618" i="64"/>
  <c r="G1619" i="64"/>
  <c r="G1620" i="64"/>
  <c r="G1621" i="64"/>
  <c r="G1622" i="64"/>
  <c r="G1623" i="64"/>
  <c r="G1624" i="64"/>
  <c r="G1625" i="64"/>
  <c r="G1626" i="64"/>
  <c r="G1627" i="64"/>
  <c r="G1628" i="64"/>
  <c r="G1629" i="64"/>
  <c r="G1630" i="64"/>
  <c r="G1631" i="64"/>
  <c r="G1632" i="64"/>
  <c r="G1633" i="64"/>
  <c r="G1634" i="64"/>
  <c r="G1635" i="64"/>
  <c r="G1636" i="64"/>
  <c r="G1637" i="64"/>
  <c r="G1638" i="64"/>
  <c r="G1639" i="64"/>
  <c r="F1601" i="64"/>
  <c r="F1602" i="64"/>
  <c r="F1603" i="64"/>
  <c r="F1604" i="64"/>
  <c r="F1605" i="64"/>
  <c r="F1606" i="64"/>
  <c r="F1607" i="64"/>
  <c r="F1608" i="64"/>
  <c r="F1609" i="64"/>
  <c r="F1610" i="64"/>
  <c r="F1611" i="64"/>
  <c r="F1612" i="64"/>
  <c r="F1613" i="64"/>
  <c r="F1614" i="64"/>
  <c r="F1615" i="64"/>
  <c r="F1616" i="64"/>
  <c r="F1617" i="64"/>
  <c r="F1618" i="64"/>
  <c r="F1619" i="64"/>
  <c r="F1620" i="64"/>
  <c r="F1621" i="64"/>
  <c r="F1622" i="64"/>
  <c r="F1623" i="64"/>
  <c r="F1624" i="64"/>
  <c r="F1625" i="64"/>
  <c r="F1626" i="64"/>
  <c r="F1627" i="64"/>
  <c r="F1628" i="64"/>
  <c r="F1629" i="64"/>
  <c r="F1630" i="64"/>
  <c r="F1631" i="64"/>
  <c r="F1632" i="64"/>
  <c r="F1633" i="64"/>
  <c r="F1634" i="64"/>
  <c r="F1635" i="64"/>
  <c r="F1636" i="64"/>
  <c r="F1637" i="64"/>
  <c r="F1638" i="64"/>
  <c r="F1639" i="64"/>
  <c r="A1601" i="64"/>
  <c r="A1602" i="64"/>
  <c r="A1603" i="64"/>
  <c r="A1604" i="64"/>
  <c r="A1605" i="64"/>
  <c r="A1606" i="64"/>
  <c r="A1607" i="64"/>
  <c r="A1608" i="64"/>
  <c r="A1609" i="64"/>
  <c r="A1610" i="64"/>
  <c r="A1611" i="64"/>
  <c r="A1612" i="64"/>
  <c r="A1613" i="64"/>
  <c r="B1601" i="64"/>
  <c r="B1602" i="64"/>
  <c r="B1603" i="64"/>
  <c r="B1604" i="64"/>
  <c r="B1605" i="64"/>
  <c r="B1606" i="64"/>
  <c r="B1607" i="64"/>
  <c r="B1608" i="64"/>
  <c r="B1609" i="64"/>
  <c r="B1610" i="64"/>
  <c r="B1611" i="64"/>
  <c r="B1612" i="64"/>
  <c r="B1613" i="64"/>
  <c r="J1601" i="64"/>
  <c r="J1602" i="64"/>
  <c r="J1603" i="64"/>
  <c r="J1604" i="64"/>
  <c r="J1605" i="64"/>
  <c r="J1606" i="64"/>
  <c r="J1607" i="64"/>
  <c r="J1608" i="64"/>
  <c r="J1609" i="64"/>
  <c r="J1610" i="64"/>
  <c r="J1611" i="64"/>
  <c r="J1612" i="64"/>
  <c r="J1613" i="64"/>
  <c r="M1601" i="64"/>
  <c r="N1601" i="64" s="1"/>
  <c r="M1602" i="64"/>
  <c r="N1602" i="64" s="1"/>
  <c r="M1603" i="64"/>
  <c r="N1603" i="64" s="1"/>
  <c r="M1604" i="64"/>
  <c r="N1604" i="64" s="1"/>
  <c r="M1605" i="64"/>
  <c r="N1605" i="64" s="1"/>
  <c r="M1606" i="64"/>
  <c r="N1606" i="64" s="1"/>
  <c r="M1607" i="64"/>
  <c r="N1607" i="64" s="1"/>
  <c r="M1608" i="64"/>
  <c r="N1608" i="64" s="1"/>
  <c r="M1609" i="64"/>
  <c r="N1609" i="64" s="1"/>
  <c r="M1610" i="64"/>
  <c r="N1610" i="64" s="1"/>
  <c r="M1611" i="64"/>
  <c r="N1611" i="64" s="1"/>
  <c r="M1612" i="64"/>
  <c r="N1612" i="64" s="1"/>
  <c r="M1613" i="64"/>
  <c r="N1613" i="64" s="1"/>
  <c r="A1614" i="64"/>
  <c r="A1615" i="64"/>
  <c r="A1616" i="64"/>
  <c r="A1617" i="64"/>
  <c r="A1618" i="64"/>
  <c r="A1619" i="64"/>
  <c r="A1620" i="64"/>
  <c r="A1621" i="64"/>
  <c r="A1622" i="64"/>
  <c r="A1623" i="64"/>
  <c r="A1624" i="64"/>
  <c r="A1625" i="64"/>
  <c r="A1626" i="64"/>
  <c r="B1614" i="64"/>
  <c r="B1615" i="64"/>
  <c r="B1616" i="64"/>
  <c r="B1617" i="64"/>
  <c r="B1618" i="64"/>
  <c r="B1619" i="64"/>
  <c r="B1620" i="64"/>
  <c r="B1621" i="64"/>
  <c r="B1622" i="64"/>
  <c r="B1623" i="64"/>
  <c r="B1624" i="64"/>
  <c r="B1625" i="64"/>
  <c r="B1626" i="64"/>
  <c r="J1614" i="64"/>
  <c r="J1615" i="64"/>
  <c r="J1616" i="64"/>
  <c r="J1617" i="64"/>
  <c r="J1618" i="64"/>
  <c r="J1619" i="64"/>
  <c r="J1620" i="64"/>
  <c r="J1621" i="64"/>
  <c r="J1622" i="64"/>
  <c r="J1623" i="64"/>
  <c r="J1624" i="64"/>
  <c r="J1625" i="64"/>
  <c r="J1626" i="64"/>
  <c r="M1614" i="64"/>
  <c r="N1614" i="64" s="1"/>
  <c r="M1615" i="64"/>
  <c r="N1615" i="64" s="1"/>
  <c r="M1616" i="64"/>
  <c r="N1616" i="64" s="1"/>
  <c r="M1617" i="64"/>
  <c r="N1617" i="64" s="1"/>
  <c r="M1618" i="64"/>
  <c r="N1618" i="64" s="1"/>
  <c r="M1619" i="64"/>
  <c r="N1619" i="64" s="1"/>
  <c r="M1620" i="64"/>
  <c r="N1620" i="64" s="1"/>
  <c r="M1621" i="64"/>
  <c r="N1621" i="64" s="1"/>
  <c r="M1622" i="64"/>
  <c r="N1622" i="64" s="1"/>
  <c r="M1623" i="64"/>
  <c r="N1623" i="64" s="1"/>
  <c r="M1624" i="64"/>
  <c r="N1624" i="64" s="1"/>
  <c r="M1625" i="64"/>
  <c r="N1625" i="64" s="1"/>
  <c r="M1626" i="64"/>
  <c r="N1626" i="64" s="1"/>
  <c r="A1627" i="64"/>
  <c r="A1628" i="64"/>
  <c r="A1629" i="64"/>
  <c r="A1630" i="64"/>
  <c r="A1631" i="64"/>
  <c r="A1632" i="64"/>
  <c r="A1633" i="64"/>
  <c r="A1634" i="64"/>
  <c r="A1635" i="64"/>
  <c r="A1636" i="64"/>
  <c r="A1637" i="64"/>
  <c r="A1638" i="64"/>
  <c r="A1639" i="64"/>
  <c r="B1627" i="64"/>
  <c r="B1628" i="64"/>
  <c r="B1629" i="64"/>
  <c r="B1630" i="64"/>
  <c r="B1631" i="64"/>
  <c r="B1632" i="64"/>
  <c r="B1633" i="64"/>
  <c r="B1634" i="64"/>
  <c r="B1635" i="64"/>
  <c r="B1636" i="64"/>
  <c r="B1637" i="64"/>
  <c r="B1638" i="64"/>
  <c r="B1639" i="64"/>
  <c r="J1627" i="64"/>
  <c r="J1628" i="64"/>
  <c r="J1629" i="64"/>
  <c r="J1630" i="64"/>
  <c r="J1631" i="64"/>
  <c r="J1632" i="64"/>
  <c r="J1633" i="64"/>
  <c r="J1634" i="64"/>
  <c r="J1635" i="64"/>
  <c r="J1636" i="64"/>
  <c r="J1637" i="64"/>
  <c r="J1638" i="64"/>
  <c r="J1639" i="64"/>
  <c r="M1627" i="64"/>
  <c r="N1627" i="64" s="1"/>
  <c r="M1628" i="64"/>
  <c r="N1628" i="64" s="1"/>
  <c r="M1629" i="64"/>
  <c r="N1629" i="64" s="1"/>
  <c r="M1630" i="64"/>
  <c r="N1630" i="64" s="1"/>
  <c r="M1631" i="64"/>
  <c r="N1631" i="64" s="1"/>
  <c r="M1632" i="64"/>
  <c r="N1632" i="64" s="1"/>
  <c r="M1633" i="64"/>
  <c r="N1633" i="64" s="1"/>
  <c r="M1634" i="64"/>
  <c r="N1634" i="64" s="1"/>
  <c r="M1635" i="64"/>
  <c r="N1635" i="64" s="1"/>
  <c r="M1636" i="64"/>
  <c r="N1636" i="64" s="1"/>
  <c r="M1637" i="64"/>
  <c r="N1637" i="64" s="1"/>
  <c r="M1638" i="64"/>
  <c r="N1638" i="64" s="1"/>
  <c r="M1639" i="64"/>
  <c r="N1639" i="64" s="1"/>
  <c r="H1548" i="64"/>
  <c r="H1549" i="64"/>
  <c r="H1550" i="64"/>
  <c r="H1551" i="64"/>
  <c r="H1552" i="64"/>
  <c r="H1553" i="64"/>
  <c r="H1554" i="64"/>
  <c r="H1555" i="64"/>
  <c r="H1556" i="64"/>
  <c r="H1557" i="64"/>
  <c r="H1558" i="64"/>
  <c r="H1559" i="64"/>
  <c r="H1560" i="64"/>
  <c r="H1561" i="64"/>
  <c r="H1562" i="64"/>
  <c r="H1563" i="64"/>
  <c r="H1564" i="64"/>
  <c r="H1565" i="64"/>
  <c r="H1566" i="64"/>
  <c r="H1567" i="64"/>
  <c r="H1568" i="64"/>
  <c r="H1569" i="64"/>
  <c r="H1570" i="64"/>
  <c r="H1571" i="64"/>
  <c r="H1572" i="64"/>
  <c r="H1573" i="64"/>
  <c r="H1574" i="64"/>
  <c r="H1575" i="64"/>
  <c r="H1576" i="64"/>
  <c r="H1577" i="64"/>
  <c r="H1578" i="64"/>
  <c r="H1579" i="64"/>
  <c r="H1580" i="64"/>
  <c r="H1581" i="64"/>
  <c r="H1582" i="64"/>
  <c r="H1583" i="64"/>
  <c r="H1584" i="64"/>
  <c r="H1585" i="64"/>
  <c r="H1586" i="64"/>
  <c r="H1587" i="64"/>
  <c r="H1588" i="64"/>
  <c r="H1589" i="64"/>
  <c r="H1590" i="64"/>
  <c r="H1591" i="64"/>
  <c r="H1592" i="64"/>
  <c r="H1593" i="64"/>
  <c r="H1594" i="64"/>
  <c r="H1595" i="64"/>
  <c r="H1596" i="64"/>
  <c r="H1597" i="64"/>
  <c r="H1598" i="64"/>
  <c r="H1599" i="64"/>
  <c r="G1548" i="64"/>
  <c r="G1549" i="64"/>
  <c r="G1550" i="64"/>
  <c r="G1551" i="64"/>
  <c r="G1552" i="64"/>
  <c r="G1553" i="64"/>
  <c r="G1554" i="64"/>
  <c r="G1555" i="64"/>
  <c r="G1556" i="64"/>
  <c r="G1557" i="64"/>
  <c r="G1558" i="64"/>
  <c r="G1559" i="64"/>
  <c r="G1560" i="64"/>
  <c r="G1561" i="64"/>
  <c r="G1562" i="64"/>
  <c r="G1563" i="64"/>
  <c r="G1564" i="64"/>
  <c r="G1565" i="64"/>
  <c r="G1566" i="64"/>
  <c r="G1567" i="64"/>
  <c r="G1568" i="64"/>
  <c r="G1569" i="64"/>
  <c r="G1570" i="64"/>
  <c r="G1571" i="64"/>
  <c r="G1572" i="64"/>
  <c r="G1573" i="64"/>
  <c r="G1574" i="64"/>
  <c r="G1575" i="64"/>
  <c r="G1576" i="64"/>
  <c r="G1577" i="64"/>
  <c r="G1578" i="64"/>
  <c r="G1579" i="64"/>
  <c r="G1580" i="64"/>
  <c r="G1581" i="64"/>
  <c r="G1582" i="64"/>
  <c r="G1583" i="64"/>
  <c r="G1584" i="64"/>
  <c r="G1585" i="64"/>
  <c r="G1586" i="64"/>
  <c r="G1587" i="64"/>
  <c r="G1588" i="64"/>
  <c r="G1589" i="64"/>
  <c r="G1590" i="64"/>
  <c r="G1591" i="64"/>
  <c r="G1592" i="64"/>
  <c r="G1593" i="64"/>
  <c r="G1594" i="64"/>
  <c r="G1595" i="64"/>
  <c r="G1596" i="64"/>
  <c r="G1597" i="64"/>
  <c r="G1598" i="64"/>
  <c r="G1599" i="64"/>
  <c r="F1548" i="64"/>
  <c r="F1549" i="64"/>
  <c r="F1550" i="64"/>
  <c r="F1551" i="64"/>
  <c r="F1552" i="64"/>
  <c r="F1553" i="64"/>
  <c r="F1554" i="64"/>
  <c r="F1555" i="64"/>
  <c r="F1556" i="64"/>
  <c r="F1557" i="64"/>
  <c r="F1558" i="64"/>
  <c r="F1559" i="64"/>
  <c r="F1560" i="64"/>
  <c r="F1561" i="64"/>
  <c r="F1562" i="64"/>
  <c r="F1563" i="64"/>
  <c r="F1564" i="64"/>
  <c r="F1565" i="64"/>
  <c r="F1566" i="64"/>
  <c r="F1567" i="64"/>
  <c r="F1568" i="64"/>
  <c r="F1569" i="64"/>
  <c r="F1570" i="64"/>
  <c r="F1571" i="64"/>
  <c r="F1572" i="64"/>
  <c r="F1573" i="64"/>
  <c r="F1574" i="64"/>
  <c r="F1575" i="64"/>
  <c r="F1576" i="64"/>
  <c r="F1577" i="64"/>
  <c r="F1578" i="64"/>
  <c r="F1579" i="64"/>
  <c r="F1580" i="64"/>
  <c r="F1581" i="64"/>
  <c r="F1582" i="64"/>
  <c r="F1583" i="64"/>
  <c r="F1584" i="64"/>
  <c r="F1585" i="64"/>
  <c r="F1586" i="64"/>
  <c r="F1587" i="64"/>
  <c r="F1588" i="64"/>
  <c r="F1589" i="64"/>
  <c r="F1590" i="64"/>
  <c r="F1591" i="64"/>
  <c r="F1592" i="64"/>
  <c r="F1593" i="64"/>
  <c r="F1594" i="64"/>
  <c r="F1595" i="64"/>
  <c r="F1596" i="64"/>
  <c r="F1597" i="64"/>
  <c r="F1598" i="64"/>
  <c r="F1599" i="64"/>
  <c r="A1548" i="64"/>
  <c r="A1549" i="64"/>
  <c r="A1550" i="64"/>
  <c r="A1551" i="64"/>
  <c r="A1552" i="64"/>
  <c r="A1553" i="64"/>
  <c r="A1554" i="64"/>
  <c r="A1555" i="64"/>
  <c r="A1556" i="64"/>
  <c r="A1557" i="64"/>
  <c r="A1558" i="64"/>
  <c r="A1559" i="64"/>
  <c r="A1560" i="64"/>
  <c r="B1548" i="64"/>
  <c r="B1549" i="64"/>
  <c r="B1550" i="64"/>
  <c r="B1551" i="64"/>
  <c r="B1552" i="64"/>
  <c r="B1553" i="64"/>
  <c r="B1554" i="64"/>
  <c r="B1555" i="64"/>
  <c r="B1556" i="64"/>
  <c r="B1557" i="64"/>
  <c r="B1558" i="64"/>
  <c r="B1559" i="64"/>
  <c r="B1560" i="64"/>
  <c r="J1548" i="64"/>
  <c r="J1549" i="64"/>
  <c r="J1550" i="64"/>
  <c r="J1551" i="64"/>
  <c r="J1552" i="64"/>
  <c r="J1553" i="64"/>
  <c r="J1554" i="64"/>
  <c r="J1555" i="64"/>
  <c r="J1556" i="64"/>
  <c r="J1557" i="64"/>
  <c r="J1558" i="64"/>
  <c r="J1559" i="64"/>
  <c r="J1560" i="64"/>
  <c r="M1548" i="64"/>
  <c r="N1548" i="64" s="1"/>
  <c r="M1549" i="64"/>
  <c r="N1549" i="64" s="1"/>
  <c r="M1550" i="64"/>
  <c r="N1550" i="64" s="1"/>
  <c r="M1551" i="64"/>
  <c r="N1551" i="64" s="1"/>
  <c r="M1552" i="64"/>
  <c r="N1552" i="64" s="1"/>
  <c r="M1553" i="64"/>
  <c r="N1553" i="64" s="1"/>
  <c r="M1554" i="64"/>
  <c r="N1554" i="64" s="1"/>
  <c r="M1555" i="64"/>
  <c r="N1555" i="64" s="1"/>
  <c r="M1556" i="64"/>
  <c r="N1556" i="64" s="1"/>
  <c r="M1557" i="64"/>
  <c r="N1557" i="64" s="1"/>
  <c r="M1558" i="64"/>
  <c r="N1558" i="64" s="1"/>
  <c r="M1559" i="64"/>
  <c r="N1559" i="64" s="1"/>
  <c r="M1560" i="64"/>
  <c r="N1560" i="64" s="1"/>
  <c r="A1561" i="64"/>
  <c r="A1562" i="64"/>
  <c r="A1563" i="64"/>
  <c r="A1564" i="64"/>
  <c r="A1565" i="64"/>
  <c r="A1566" i="64"/>
  <c r="A1567" i="64"/>
  <c r="A1568" i="64"/>
  <c r="A1569" i="64"/>
  <c r="A1570" i="64"/>
  <c r="A1571" i="64"/>
  <c r="A1572" i="64"/>
  <c r="A1573" i="64"/>
  <c r="B1561" i="64"/>
  <c r="B1562" i="64"/>
  <c r="B1563" i="64"/>
  <c r="B1564" i="64"/>
  <c r="B1565" i="64"/>
  <c r="B1566" i="64"/>
  <c r="B1567" i="64"/>
  <c r="B1568" i="64"/>
  <c r="B1569" i="64"/>
  <c r="B1570" i="64"/>
  <c r="B1571" i="64"/>
  <c r="B1572" i="64"/>
  <c r="B1573" i="64"/>
  <c r="J1561" i="64"/>
  <c r="J1562" i="64"/>
  <c r="J1563" i="64"/>
  <c r="J1564" i="64"/>
  <c r="J1565" i="64"/>
  <c r="J1566" i="64"/>
  <c r="J1567" i="64"/>
  <c r="J1568" i="64"/>
  <c r="J1569" i="64"/>
  <c r="J1570" i="64"/>
  <c r="J1571" i="64"/>
  <c r="J1572" i="64"/>
  <c r="J1573" i="64"/>
  <c r="M1561" i="64"/>
  <c r="N1561" i="64" s="1"/>
  <c r="M1562" i="64"/>
  <c r="N1562" i="64" s="1"/>
  <c r="M1563" i="64"/>
  <c r="N1563" i="64" s="1"/>
  <c r="M1564" i="64"/>
  <c r="N1564" i="64" s="1"/>
  <c r="M1565" i="64"/>
  <c r="N1565" i="64" s="1"/>
  <c r="M1566" i="64"/>
  <c r="N1566" i="64" s="1"/>
  <c r="M1567" i="64"/>
  <c r="N1567" i="64" s="1"/>
  <c r="M1568" i="64"/>
  <c r="N1568" i="64" s="1"/>
  <c r="M1569" i="64"/>
  <c r="N1569" i="64" s="1"/>
  <c r="M1570" i="64"/>
  <c r="N1570" i="64" s="1"/>
  <c r="M1571" i="64"/>
  <c r="N1571" i="64" s="1"/>
  <c r="M1572" i="64"/>
  <c r="N1572" i="64" s="1"/>
  <c r="M1573" i="64"/>
  <c r="N1573" i="64" s="1"/>
  <c r="A1574" i="64"/>
  <c r="A1575" i="64"/>
  <c r="A1576" i="64"/>
  <c r="A1577" i="64"/>
  <c r="A1578" i="64"/>
  <c r="A1579" i="64"/>
  <c r="A1580" i="64"/>
  <c r="A1581" i="64"/>
  <c r="A1582" i="64"/>
  <c r="A1583" i="64"/>
  <c r="A1584" i="64"/>
  <c r="A1585" i="64"/>
  <c r="A1586" i="64"/>
  <c r="B1574" i="64"/>
  <c r="B1575" i="64"/>
  <c r="B1576" i="64"/>
  <c r="B1577" i="64"/>
  <c r="B1578" i="64"/>
  <c r="B1579" i="64"/>
  <c r="B1580" i="64"/>
  <c r="B1581" i="64"/>
  <c r="B1582" i="64"/>
  <c r="B1583" i="64"/>
  <c r="B1584" i="64"/>
  <c r="B1585" i="64"/>
  <c r="B1586" i="64"/>
  <c r="J1574" i="64"/>
  <c r="J1575" i="64"/>
  <c r="J1576" i="64"/>
  <c r="J1577" i="64"/>
  <c r="J1578" i="64"/>
  <c r="J1579" i="64"/>
  <c r="J1580" i="64"/>
  <c r="J1581" i="64"/>
  <c r="J1582" i="64"/>
  <c r="J1583" i="64"/>
  <c r="J1584" i="64"/>
  <c r="J1585" i="64"/>
  <c r="J1586" i="64"/>
  <c r="M1574" i="64"/>
  <c r="N1574" i="64" s="1"/>
  <c r="M1575" i="64"/>
  <c r="N1575" i="64" s="1"/>
  <c r="M1576" i="64"/>
  <c r="N1576" i="64" s="1"/>
  <c r="M1577" i="64"/>
  <c r="N1577" i="64" s="1"/>
  <c r="M1578" i="64"/>
  <c r="N1578" i="64" s="1"/>
  <c r="M1579" i="64"/>
  <c r="N1579" i="64" s="1"/>
  <c r="M1580" i="64"/>
  <c r="N1580" i="64" s="1"/>
  <c r="M1581" i="64"/>
  <c r="N1581" i="64" s="1"/>
  <c r="M1582" i="64"/>
  <c r="N1582" i="64" s="1"/>
  <c r="M1583" i="64"/>
  <c r="N1583" i="64" s="1"/>
  <c r="M1584" i="64"/>
  <c r="N1584" i="64" s="1"/>
  <c r="M1585" i="64"/>
  <c r="N1585" i="64" s="1"/>
  <c r="M1586" i="64"/>
  <c r="N1586" i="64" s="1"/>
  <c r="A1587" i="64"/>
  <c r="A1588" i="64"/>
  <c r="A1589" i="64"/>
  <c r="A1590" i="64"/>
  <c r="A1591" i="64"/>
  <c r="A1592" i="64"/>
  <c r="A1593" i="64"/>
  <c r="A1594" i="64"/>
  <c r="A1595" i="64"/>
  <c r="A1596" i="64"/>
  <c r="A1597" i="64"/>
  <c r="A1598" i="64"/>
  <c r="A1599" i="64"/>
  <c r="B1587" i="64"/>
  <c r="B1588" i="64"/>
  <c r="B1589" i="64"/>
  <c r="B1590" i="64"/>
  <c r="B1591" i="64"/>
  <c r="B1592" i="64"/>
  <c r="B1593" i="64"/>
  <c r="B1594" i="64"/>
  <c r="B1595" i="64"/>
  <c r="B1596" i="64"/>
  <c r="B1597" i="64"/>
  <c r="B1598" i="64"/>
  <c r="B1599" i="64"/>
  <c r="J1587" i="64"/>
  <c r="J1588" i="64"/>
  <c r="J1589" i="64"/>
  <c r="J1590" i="64"/>
  <c r="J1591" i="64"/>
  <c r="J1592" i="64"/>
  <c r="J1593" i="64"/>
  <c r="J1594" i="64"/>
  <c r="J1595" i="64"/>
  <c r="J1596" i="64"/>
  <c r="J1597" i="64"/>
  <c r="J1598" i="64"/>
  <c r="J1599" i="64"/>
  <c r="M1587" i="64"/>
  <c r="N1587" i="64" s="1"/>
  <c r="M1588" i="64"/>
  <c r="N1588" i="64" s="1"/>
  <c r="M1589" i="64"/>
  <c r="N1589" i="64" s="1"/>
  <c r="M1590" i="64"/>
  <c r="N1590" i="64" s="1"/>
  <c r="M1591" i="64"/>
  <c r="N1591" i="64" s="1"/>
  <c r="M1592" i="64"/>
  <c r="N1592" i="64" s="1"/>
  <c r="M1593" i="64"/>
  <c r="N1593" i="64" s="1"/>
  <c r="M1594" i="64"/>
  <c r="N1594" i="64" s="1"/>
  <c r="M1595" i="64"/>
  <c r="N1595" i="64" s="1"/>
  <c r="M1596" i="64"/>
  <c r="N1596" i="64" s="1"/>
  <c r="M1597" i="64"/>
  <c r="N1597" i="64" s="1"/>
  <c r="M1598" i="64"/>
  <c r="N1598" i="64" s="1"/>
  <c r="M1599" i="64"/>
  <c r="N1599" i="64" s="1"/>
  <c r="H1496" i="64"/>
  <c r="H1497" i="64"/>
  <c r="H1498" i="64"/>
  <c r="H1499" i="64"/>
  <c r="H1500" i="64"/>
  <c r="H1501" i="64"/>
  <c r="H1502" i="64"/>
  <c r="H1503" i="64"/>
  <c r="H1504" i="64"/>
  <c r="H1505" i="64"/>
  <c r="H1506" i="64"/>
  <c r="H1507" i="64"/>
  <c r="H1508" i="64"/>
  <c r="H1509" i="64"/>
  <c r="H1510" i="64"/>
  <c r="H1511" i="64"/>
  <c r="H1512" i="64"/>
  <c r="H1513" i="64"/>
  <c r="H1514" i="64"/>
  <c r="H1515" i="64"/>
  <c r="H1516" i="64"/>
  <c r="H1517" i="64"/>
  <c r="H1518" i="64"/>
  <c r="H1519" i="64"/>
  <c r="H1520" i="64"/>
  <c r="H1521" i="64"/>
  <c r="H1522" i="64"/>
  <c r="H1523" i="64"/>
  <c r="H1524" i="64"/>
  <c r="H1525" i="64"/>
  <c r="H1526" i="64"/>
  <c r="H1527" i="64"/>
  <c r="H1528" i="64"/>
  <c r="H1529" i="64"/>
  <c r="H1530" i="64"/>
  <c r="H1531" i="64"/>
  <c r="G1496" i="64"/>
  <c r="G1497" i="64"/>
  <c r="G1498" i="64"/>
  <c r="G1499" i="64"/>
  <c r="G1500" i="64"/>
  <c r="G1501" i="64"/>
  <c r="G1502" i="64"/>
  <c r="G1503" i="64"/>
  <c r="G1504" i="64"/>
  <c r="G1505" i="64"/>
  <c r="G1506" i="64"/>
  <c r="G1507" i="64"/>
  <c r="G1508" i="64"/>
  <c r="G1509" i="64"/>
  <c r="G1510" i="64"/>
  <c r="G1511" i="64"/>
  <c r="G1512" i="64"/>
  <c r="G1513" i="64"/>
  <c r="G1514" i="64"/>
  <c r="G1515" i="64"/>
  <c r="G1516" i="64"/>
  <c r="G1517" i="64"/>
  <c r="G1518" i="64"/>
  <c r="G1519" i="64"/>
  <c r="G1520" i="64"/>
  <c r="G1521" i="64"/>
  <c r="G1522" i="64"/>
  <c r="G1523" i="64"/>
  <c r="G1524" i="64"/>
  <c r="G1525" i="64"/>
  <c r="G1526" i="64"/>
  <c r="G1527" i="64"/>
  <c r="G1528" i="64"/>
  <c r="G1529" i="64"/>
  <c r="G1530" i="64"/>
  <c r="G1531" i="64"/>
  <c r="F1496" i="64"/>
  <c r="F1497" i="64"/>
  <c r="F1498" i="64"/>
  <c r="F1499" i="64"/>
  <c r="F1500" i="64"/>
  <c r="F1501" i="64"/>
  <c r="F1502" i="64"/>
  <c r="F1503" i="64"/>
  <c r="F1504" i="64"/>
  <c r="F1505" i="64"/>
  <c r="F1506" i="64"/>
  <c r="F1507" i="64"/>
  <c r="F1508" i="64"/>
  <c r="F1509" i="64"/>
  <c r="F1510" i="64"/>
  <c r="F1511" i="64"/>
  <c r="F1512" i="64"/>
  <c r="F1513" i="64"/>
  <c r="F1514" i="64"/>
  <c r="F1515" i="64"/>
  <c r="F1516" i="64"/>
  <c r="F1517" i="64"/>
  <c r="F1518" i="64"/>
  <c r="F1519" i="64"/>
  <c r="F1520" i="64"/>
  <c r="F1521" i="64"/>
  <c r="F1522" i="64"/>
  <c r="F1523" i="64"/>
  <c r="F1524" i="64"/>
  <c r="F1525" i="64"/>
  <c r="F1526" i="64"/>
  <c r="F1527" i="64"/>
  <c r="F1528" i="64"/>
  <c r="F1529" i="64"/>
  <c r="F1530" i="64"/>
  <c r="F1531" i="64"/>
  <c r="A1496" i="64"/>
  <c r="A1497" i="64"/>
  <c r="A1498" i="64"/>
  <c r="A1499" i="64"/>
  <c r="A1500" i="64"/>
  <c r="A1501" i="64"/>
  <c r="A1502" i="64"/>
  <c r="A1503" i="64"/>
  <c r="A1504" i="64"/>
  <c r="A1505" i="64"/>
  <c r="A1506" i="64"/>
  <c r="A1507" i="64"/>
  <c r="A1508" i="64"/>
  <c r="A1509" i="64"/>
  <c r="A1510" i="64"/>
  <c r="A1511" i="64"/>
  <c r="A1512" i="64"/>
  <c r="A1513" i="64"/>
  <c r="B1496" i="64"/>
  <c r="B1497" i="64"/>
  <c r="B1498" i="64"/>
  <c r="B1499" i="64"/>
  <c r="B1500" i="64"/>
  <c r="B1501" i="64"/>
  <c r="B1502" i="64"/>
  <c r="B1503" i="64"/>
  <c r="B1504" i="64"/>
  <c r="B1505" i="64"/>
  <c r="B1506" i="64"/>
  <c r="B1507" i="64"/>
  <c r="B1508" i="64"/>
  <c r="B1509" i="64"/>
  <c r="B1510" i="64"/>
  <c r="B1511" i="64"/>
  <c r="B1512" i="64"/>
  <c r="B1513" i="64"/>
  <c r="J1496" i="64"/>
  <c r="J1497" i="64"/>
  <c r="J1498" i="64"/>
  <c r="J1499" i="64"/>
  <c r="J1500" i="64"/>
  <c r="J1501" i="64"/>
  <c r="J1502" i="64"/>
  <c r="J1503" i="64"/>
  <c r="J1504" i="64"/>
  <c r="J1505" i="64"/>
  <c r="J1506" i="64"/>
  <c r="J1507" i="64"/>
  <c r="J1508" i="64"/>
  <c r="J1509" i="64"/>
  <c r="J1510" i="64"/>
  <c r="J1511" i="64"/>
  <c r="J1512" i="64"/>
  <c r="J1513" i="64"/>
  <c r="M1496" i="64"/>
  <c r="N1496" i="64" s="1"/>
  <c r="M1497" i="64"/>
  <c r="N1497" i="64" s="1"/>
  <c r="M1498" i="64"/>
  <c r="N1498" i="64" s="1"/>
  <c r="M1499" i="64"/>
  <c r="N1499" i="64" s="1"/>
  <c r="M1500" i="64"/>
  <c r="N1500" i="64" s="1"/>
  <c r="M1501" i="64"/>
  <c r="N1501" i="64" s="1"/>
  <c r="M1502" i="64"/>
  <c r="N1502" i="64" s="1"/>
  <c r="M1503" i="64"/>
  <c r="N1503" i="64" s="1"/>
  <c r="M1504" i="64"/>
  <c r="N1504" i="64" s="1"/>
  <c r="M1505" i="64"/>
  <c r="N1505" i="64" s="1"/>
  <c r="M1506" i="64"/>
  <c r="N1506" i="64" s="1"/>
  <c r="M1507" i="64"/>
  <c r="N1507" i="64" s="1"/>
  <c r="M1508" i="64"/>
  <c r="N1508" i="64" s="1"/>
  <c r="M1509" i="64"/>
  <c r="N1509" i="64" s="1"/>
  <c r="M1510" i="64"/>
  <c r="N1510" i="64" s="1"/>
  <c r="M1511" i="64"/>
  <c r="N1511" i="64" s="1"/>
  <c r="M1512" i="64"/>
  <c r="N1512" i="64" s="1"/>
  <c r="M1513" i="64"/>
  <c r="N1513" i="64" s="1"/>
  <c r="A1514" i="64"/>
  <c r="A1515" i="64"/>
  <c r="A1516" i="64"/>
  <c r="A1517" i="64"/>
  <c r="A1518" i="64"/>
  <c r="A1519" i="64"/>
  <c r="A1520" i="64"/>
  <c r="A1521" i="64"/>
  <c r="A1522" i="64"/>
  <c r="A1523" i="64"/>
  <c r="A1524" i="64"/>
  <c r="A1525" i="64"/>
  <c r="A1526" i="64"/>
  <c r="A1527" i="64"/>
  <c r="A1528" i="64"/>
  <c r="A1529" i="64"/>
  <c r="A1530" i="64"/>
  <c r="A1531" i="64"/>
  <c r="B1514" i="64"/>
  <c r="B1515" i="64"/>
  <c r="B1516" i="64"/>
  <c r="B1517" i="64"/>
  <c r="B1518" i="64"/>
  <c r="B1519" i="64"/>
  <c r="B1520" i="64"/>
  <c r="B1521" i="64"/>
  <c r="B1522" i="64"/>
  <c r="B1523" i="64"/>
  <c r="B1524" i="64"/>
  <c r="B1525" i="64"/>
  <c r="B1526" i="64"/>
  <c r="B1527" i="64"/>
  <c r="B1528" i="64"/>
  <c r="B1529" i="64"/>
  <c r="B1530" i="64"/>
  <c r="B1531" i="64"/>
  <c r="J1514" i="64"/>
  <c r="J1515" i="64"/>
  <c r="J1516" i="64"/>
  <c r="J1517" i="64"/>
  <c r="J1518" i="64"/>
  <c r="J1519" i="64"/>
  <c r="J1520" i="64"/>
  <c r="J1521" i="64"/>
  <c r="J1522" i="64"/>
  <c r="J1523" i="64"/>
  <c r="J1524" i="64"/>
  <c r="J1525" i="64"/>
  <c r="J1526" i="64"/>
  <c r="J1527" i="64"/>
  <c r="J1528" i="64"/>
  <c r="J1529" i="64"/>
  <c r="J1530" i="64"/>
  <c r="J1531" i="64"/>
  <c r="M1514" i="64"/>
  <c r="N1514" i="64" s="1"/>
  <c r="M1515" i="64"/>
  <c r="N1515" i="64" s="1"/>
  <c r="M1516" i="64"/>
  <c r="N1516" i="64" s="1"/>
  <c r="M1517" i="64"/>
  <c r="N1517" i="64" s="1"/>
  <c r="M1518" i="64"/>
  <c r="N1518" i="64" s="1"/>
  <c r="M1519" i="64"/>
  <c r="N1519" i="64" s="1"/>
  <c r="M1520" i="64"/>
  <c r="N1520" i="64" s="1"/>
  <c r="M1521" i="64"/>
  <c r="N1521" i="64" s="1"/>
  <c r="M1522" i="64"/>
  <c r="N1522" i="64" s="1"/>
  <c r="M1523" i="64"/>
  <c r="N1523" i="64" s="1"/>
  <c r="M1524" i="64"/>
  <c r="N1524" i="64" s="1"/>
  <c r="M1525" i="64"/>
  <c r="N1525" i="64" s="1"/>
  <c r="M1526" i="64"/>
  <c r="N1526" i="64" s="1"/>
  <c r="M1527" i="64"/>
  <c r="N1527" i="64" s="1"/>
  <c r="M1528" i="64"/>
  <c r="N1528" i="64" s="1"/>
  <c r="M1529" i="64"/>
  <c r="N1529" i="64" s="1"/>
  <c r="M1530" i="64"/>
  <c r="N1530" i="64" s="1"/>
  <c r="M1531" i="64"/>
  <c r="N1531" i="64" s="1"/>
  <c r="H1473" i="64"/>
  <c r="H1474" i="64"/>
  <c r="H1475" i="64"/>
  <c r="H1476" i="64"/>
  <c r="H1477" i="64"/>
  <c r="H1478" i="64"/>
  <c r="H1479" i="64"/>
  <c r="H1480" i="64"/>
  <c r="H1481" i="64"/>
  <c r="H1482" i="64"/>
  <c r="H1483" i="64"/>
  <c r="H1484" i="64"/>
  <c r="H1485" i="64"/>
  <c r="H1486" i="64"/>
  <c r="H1487" i="64"/>
  <c r="H1488" i="64"/>
  <c r="H1489" i="64"/>
  <c r="H1490" i="64"/>
  <c r="H1491" i="64"/>
  <c r="H1492" i="64"/>
  <c r="H1493" i="64"/>
  <c r="H1494" i="64"/>
  <c r="H1495" i="64"/>
  <c r="H1532" i="64"/>
  <c r="H1533" i="64"/>
  <c r="H1534" i="64"/>
  <c r="H1535" i="64"/>
  <c r="H1536" i="64"/>
  <c r="H1537" i="64"/>
  <c r="H1538" i="64"/>
  <c r="H1539" i="64"/>
  <c r="H1540" i="64"/>
  <c r="H1541" i="64"/>
  <c r="H1542" i="64"/>
  <c r="H1543" i="64"/>
  <c r="H1544" i="64"/>
  <c r="H1545" i="64"/>
  <c r="H1546" i="64"/>
  <c r="H1547" i="64"/>
  <c r="H1600" i="64"/>
  <c r="H1640" i="64"/>
  <c r="H1641" i="64"/>
  <c r="H1642" i="64"/>
  <c r="H1823" i="64"/>
  <c r="H1824" i="64"/>
  <c r="G1473" i="64"/>
  <c r="G1474" i="64"/>
  <c r="G1475" i="64"/>
  <c r="G1476" i="64"/>
  <c r="G1477" i="64"/>
  <c r="G1478" i="64"/>
  <c r="G1479" i="64"/>
  <c r="G1480" i="64"/>
  <c r="G1481" i="64"/>
  <c r="G1482" i="64"/>
  <c r="G1483" i="64"/>
  <c r="G1484" i="64"/>
  <c r="G1485" i="64"/>
  <c r="G1486" i="64"/>
  <c r="G1487" i="64"/>
  <c r="G1488" i="64"/>
  <c r="G1489" i="64"/>
  <c r="G1490" i="64"/>
  <c r="G1491" i="64"/>
  <c r="G1492" i="64"/>
  <c r="G1493" i="64"/>
  <c r="G1494" i="64"/>
  <c r="G1495" i="64"/>
  <c r="G1532" i="64"/>
  <c r="G1533" i="64"/>
  <c r="G1534" i="64"/>
  <c r="G1535" i="64"/>
  <c r="G1536" i="64"/>
  <c r="G1537" i="64"/>
  <c r="G1538" i="64"/>
  <c r="G1539" i="64"/>
  <c r="G1540" i="64"/>
  <c r="G1541" i="64"/>
  <c r="G1542" i="64"/>
  <c r="G1543" i="64"/>
  <c r="G1544" i="64"/>
  <c r="G1545" i="64"/>
  <c r="G1546" i="64"/>
  <c r="G1547" i="64"/>
  <c r="G1600" i="64"/>
  <c r="G1640" i="64"/>
  <c r="G1641" i="64"/>
  <c r="G1642" i="64"/>
  <c r="G1823" i="64"/>
  <c r="G1824" i="64"/>
  <c r="F1473" i="64"/>
  <c r="F1474" i="64"/>
  <c r="F1475" i="64"/>
  <c r="F1476" i="64"/>
  <c r="F1477" i="64"/>
  <c r="F1478" i="64"/>
  <c r="F1479" i="64"/>
  <c r="F1480" i="64"/>
  <c r="F1481" i="64"/>
  <c r="F1482" i="64"/>
  <c r="F1483" i="64"/>
  <c r="F1484" i="64"/>
  <c r="F1485" i="64"/>
  <c r="F1486" i="64"/>
  <c r="F1487" i="64"/>
  <c r="F1488" i="64"/>
  <c r="F1489" i="64"/>
  <c r="F1490" i="64"/>
  <c r="F1491" i="64"/>
  <c r="F1492" i="64"/>
  <c r="F1493" i="64"/>
  <c r="F1494" i="64"/>
  <c r="F1495" i="64"/>
  <c r="F1532" i="64"/>
  <c r="F1533" i="64"/>
  <c r="F1534" i="64"/>
  <c r="F1535" i="64"/>
  <c r="F1536" i="64"/>
  <c r="F1537" i="64"/>
  <c r="F1538" i="64"/>
  <c r="F1539" i="64"/>
  <c r="F1540" i="64"/>
  <c r="F1541" i="64"/>
  <c r="F1542" i="64"/>
  <c r="F1543" i="64"/>
  <c r="F1544" i="64"/>
  <c r="F1545" i="64"/>
  <c r="F1546" i="64"/>
  <c r="F1547" i="64"/>
  <c r="F1600" i="64"/>
  <c r="F1640" i="64"/>
  <c r="F1641" i="64"/>
  <c r="F1642" i="64"/>
  <c r="F1823" i="64"/>
  <c r="F1824" i="64"/>
  <c r="A1473" i="64"/>
  <c r="A1474" i="64"/>
  <c r="A1475" i="64"/>
  <c r="A1476" i="64"/>
  <c r="A1477" i="64"/>
  <c r="A1478" i="64"/>
  <c r="A1479" i="64"/>
  <c r="A1480" i="64"/>
  <c r="A1481" i="64"/>
  <c r="B1473" i="64"/>
  <c r="B1474" i="64"/>
  <c r="B1475" i="64"/>
  <c r="B1476" i="64"/>
  <c r="B1477" i="64"/>
  <c r="B1478" i="64"/>
  <c r="B1479" i="64"/>
  <c r="B1480" i="64"/>
  <c r="B1481" i="64"/>
  <c r="J1473" i="64"/>
  <c r="J1474" i="64"/>
  <c r="J1475" i="64"/>
  <c r="J1476" i="64"/>
  <c r="J1477" i="64"/>
  <c r="J1478" i="64"/>
  <c r="J1479" i="64"/>
  <c r="J1480" i="64"/>
  <c r="J1481" i="64"/>
  <c r="M1473" i="64"/>
  <c r="N1473" i="64" s="1"/>
  <c r="M1474" i="64"/>
  <c r="N1474" i="64" s="1"/>
  <c r="M1475" i="64"/>
  <c r="N1475" i="64" s="1"/>
  <c r="M1476" i="64"/>
  <c r="N1476" i="64" s="1"/>
  <c r="M1477" i="64"/>
  <c r="N1477" i="64" s="1"/>
  <c r="M1478" i="64"/>
  <c r="N1478" i="64" s="1"/>
  <c r="M1479" i="64"/>
  <c r="N1479" i="64" s="1"/>
  <c r="M1480" i="64"/>
  <c r="N1480" i="64" s="1"/>
  <c r="M1481" i="64"/>
  <c r="N1481" i="64" s="1"/>
  <c r="A1482" i="64"/>
  <c r="A1483" i="64"/>
  <c r="A1484" i="64"/>
  <c r="A1485" i="64"/>
  <c r="A1486" i="64"/>
  <c r="A1487" i="64"/>
  <c r="A1488" i="64"/>
  <c r="A1489" i="64"/>
  <c r="A1490" i="64"/>
  <c r="B1482" i="64"/>
  <c r="B1483" i="64"/>
  <c r="B1484" i="64"/>
  <c r="B1485" i="64"/>
  <c r="B1486" i="64"/>
  <c r="B1487" i="64"/>
  <c r="B1488" i="64"/>
  <c r="B1489" i="64"/>
  <c r="B1490" i="64"/>
  <c r="J1482" i="64"/>
  <c r="J1483" i="64"/>
  <c r="J1484" i="64"/>
  <c r="J1485" i="64"/>
  <c r="J1486" i="64"/>
  <c r="J1487" i="64"/>
  <c r="J1488" i="64"/>
  <c r="J1489" i="64"/>
  <c r="J1490" i="64"/>
  <c r="M1482" i="64"/>
  <c r="N1482" i="64" s="1"/>
  <c r="M1483" i="64"/>
  <c r="N1483" i="64" s="1"/>
  <c r="M1484" i="64"/>
  <c r="N1484" i="64" s="1"/>
  <c r="M1485" i="64"/>
  <c r="N1485" i="64" s="1"/>
  <c r="M1486" i="64"/>
  <c r="N1486" i="64" s="1"/>
  <c r="M1487" i="64"/>
  <c r="N1487" i="64" s="1"/>
  <c r="M1488" i="64"/>
  <c r="N1488" i="64" s="1"/>
  <c r="M1489" i="64"/>
  <c r="N1489" i="64" s="1"/>
  <c r="M1490" i="64"/>
  <c r="N1490" i="64" s="1"/>
  <c r="A1491" i="64"/>
  <c r="A1492" i="64"/>
  <c r="A1493" i="64"/>
  <c r="A1494" i="64"/>
  <c r="A1495" i="64"/>
  <c r="A1532" i="64"/>
  <c r="A1533" i="64"/>
  <c r="A1534" i="64"/>
  <c r="A1535" i="64"/>
  <c r="B1491" i="64"/>
  <c r="B1492" i="64"/>
  <c r="B1493" i="64"/>
  <c r="B1494" i="64"/>
  <c r="B1495" i="64"/>
  <c r="B1532" i="64"/>
  <c r="B1533" i="64"/>
  <c r="B1534" i="64"/>
  <c r="B1535" i="64"/>
  <c r="J1491" i="64"/>
  <c r="J1492" i="64"/>
  <c r="J1493" i="64"/>
  <c r="J1494" i="64"/>
  <c r="J1495" i="64"/>
  <c r="J1532" i="64"/>
  <c r="J1533" i="64"/>
  <c r="J1534" i="64"/>
  <c r="J1535" i="64"/>
  <c r="M1491" i="64"/>
  <c r="N1491" i="64" s="1"/>
  <c r="M1492" i="64"/>
  <c r="N1492" i="64" s="1"/>
  <c r="M1493" i="64"/>
  <c r="N1493" i="64" s="1"/>
  <c r="M1494" i="64"/>
  <c r="N1494" i="64" s="1"/>
  <c r="M1495" i="64"/>
  <c r="N1495" i="64" s="1"/>
  <c r="M1532" i="64"/>
  <c r="N1532" i="64" s="1"/>
  <c r="M1533" i="64"/>
  <c r="N1533" i="64" s="1"/>
  <c r="M1534" i="64"/>
  <c r="N1534" i="64" s="1"/>
  <c r="M1535" i="64"/>
  <c r="N1535" i="64" s="1"/>
  <c r="A1536" i="64"/>
  <c r="A1537" i="64"/>
  <c r="A1538" i="64"/>
  <c r="A1539" i="64"/>
  <c r="A1540" i="64"/>
  <c r="A1541" i="64"/>
  <c r="A1542" i="64"/>
  <c r="A1543" i="64"/>
  <c r="A1544" i="64"/>
  <c r="B1536" i="64"/>
  <c r="B1537" i="64"/>
  <c r="B1538" i="64"/>
  <c r="B1539" i="64"/>
  <c r="B1540" i="64"/>
  <c r="B1541" i="64"/>
  <c r="B1542" i="64"/>
  <c r="B1543" i="64"/>
  <c r="B1544" i="64"/>
  <c r="J1536" i="64"/>
  <c r="J1537" i="64"/>
  <c r="J1538" i="64"/>
  <c r="J1539" i="64"/>
  <c r="J1540" i="64"/>
  <c r="J1541" i="64"/>
  <c r="J1542" i="64"/>
  <c r="J1543" i="64"/>
  <c r="J1544" i="64"/>
  <c r="M1536" i="64"/>
  <c r="N1536" i="64" s="1"/>
  <c r="M1537" i="64"/>
  <c r="N1537" i="64" s="1"/>
  <c r="M1538" i="64"/>
  <c r="N1538" i="64" s="1"/>
  <c r="M1539" i="64"/>
  <c r="N1539" i="64" s="1"/>
  <c r="M1540" i="64"/>
  <c r="N1540" i="64" s="1"/>
  <c r="M1541" i="64"/>
  <c r="N1541" i="64" s="1"/>
  <c r="M1542" i="64"/>
  <c r="N1542" i="64" s="1"/>
  <c r="M1543" i="64"/>
  <c r="N1543" i="64" s="1"/>
  <c r="M1544" i="64"/>
  <c r="N1544" i="64" s="1"/>
  <c r="A1545" i="64"/>
  <c r="A1546" i="64"/>
  <c r="A1547" i="64"/>
  <c r="A1600" i="64"/>
  <c r="A1640" i="64"/>
  <c r="A1641" i="64"/>
  <c r="A1642" i="64"/>
  <c r="A1823" i="64"/>
  <c r="A1824" i="64"/>
  <c r="B1545" i="64"/>
  <c r="B1546" i="64"/>
  <c r="B1547" i="64"/>
  <c r="B1600" i="64"/>
  <c r="B1640" i="64"/>
  <c r="B1641" i="64"/>
  <c r="B1642" i="64"/>
  <c r="B1823" i="64"/>
  <c r="B1824" i="64"/>
  <c r="J1545" i="64"/>
  <c r="J1546" i="64"/>
  <c r="J1547" i="64"/>
  <c r="J1600" i="64"/>
  <c r="J1640" i="64"/>
  <c r="J1641" i="64"/>
  <c r="J1642" i="64"/>
  <c r="J1823" i="64"/>
  <c r="J1824" i="64"/>
  <c r="M1545" i="64"/>
  <c r="N1545" i="64" s="1"/>
  <c r="M1546" i="64"/>
  <c r="N1546" i="64" s="1"/>
  <c r="M1547" i="64"/>
  <c r="N1547" i="64" s="1"/>
  <c r="M1600" i="64"/>
  <c r="N1600" i="64" s="1"/>
  <c r="M1640" i="64"/>
  <c r="N1640" i="64" s="1"/>
  <c r="M1641" i="64"/>
  <c r="N1641" i="64" s="1"/>
  <c r="M1642" i="64"/>
  <c r="N1642" i="64" s="1"/>
  <c r="M1823" i="64"/>
  <c r="N1823" i="64" s="1"/>
  <c r="M1824" i="64"/>
  <c r="N1824" i="64" s="1"/>
  <c r="H1458" i="64"/>
  <c r="H1459" i="64"/>
  <c r="H1460" i="64"/>
  <c r="H1461" i="64"/>
  <c r="H1462" i="64"/>
  <c r="H1463" i="64"/>
  <c r="H1464" i="64"/>
  <c r="H1465" i="64"/>
  <c r="H1466" i="64"/>
  <c r="H1467" i="64"/>
  <c r="H1468" i="64"/>
  <c r="H1469" i="64"/>
  <c r="G1458" i="64"/>
  <c r="G1459" i="64"/>
  <c r="G1460" i="64"/>
  <c r="G1461" i="64"/>
  <c r="G1462" i="64"/>
  <c r="G1463" i="64"/>
  <c r="G1464" i="64"/>
  <c r="G1465" i="64"/>
  <c r="G1466" i="64"/>
  <c r="G1467" i="64"/>
  <c r="G1468" i="64"/>
  <c r="G1469" i="64"/>
  <c r="F1458" i="64"/>
  <c r="F1459" i="64"/>
  <c r="F1460" i="64"/>
  <c r="F1461" i="64"/>
  <c r="F1462" i="64"/>
  <c r="F1463" i="64"/>
  <c r="F1464" i="64"/>
  <c r="F1465" i="64"/>
  <c r="F1466" i="64"/>
  <c r="F1467" i="64"/>
  <c r="F1468" i="64"/>
  <c r="F1469" i="64"/>
  <c r="A1458" i="64"/>
  <c r="A1459" i="64"/>
  <c r="A1460" i="64"/>
  <c r="A1461" i="64"/>
  <c r="A1462" i="64"/>
  <c r="A1463" i="64"/>
  <c r="A1464" i="64"/>
  <c r="A1465" i="64"/>
  <c r="A1466" i="64"/>
  <c r="A1467" i="64"/>
  <c r="A1468" i="64"/>
  <c r="A1469" i="64"/>
  <c r="B1458" i="64"/>
  <c r="B1459" i="64"/>
  <c r="B1460" i="64"/>
  <c r="B1461" i="64"/>
  <c r="B1462" i="64"/>
  <c r="B1463" i="64"/>
  <c r="B1464" i="64"/>
  <c r="B1465" i="64"/>
  <c r="B1466" i="64"/>
  <c r="B1467" i="64"/>
  <c r="B1468" i="64"/>
  <c r="B1469" i="64"/>
  <c r="J1458" i="64"/>
  <c r="J1459" i="64"/>
  <c r="J1460" i="64"/>
  <c r="J1461" i="64"/>
  <c r="J1462" i="64"/>
  <c r="J1463" i="64"/>
  <c r="J1464" i="64"/>
  <c r="J1465" i="64"/>
  <c r="J1466" i="64"/>
  <c r="J1467" i="64"/>
  <c r="J1468" i="64"/>
  <c r="J1469" i="64"/>
  <c r="M1458" i="64"/>
  <c r="N1458" i="64" s="1"/>
  <c r="M1459" i="64"/>
  <c r="N1459" i="64" s="1"/>
  <c r="M1460" i="64"/>
  <c r="N1460" i="64" s="1"/>
  <c r="M1461" i="64"/>
  <c r="N1461" i="64" s="1"/>
  <c r="M1462" i="64"/>
  <c r="N1462" i="64" s="1"/>
  <c r="M1463" i="64"/>
  <c r="N1463" i="64" s="1"/>
  <c r="M1464" i="64"/>
  <c r="N1464" i="64" s="1"/>
  <c r="M1465" i="64"/>
  <c r="N1465" i="64" s="1"/>
  <c r="M1466" i="64"/>
  <c r="N1466" i="64" s="1"/>
  <c r="M1467" i="64"/>
  <c r="N1467" i="64" s="1"/>
  <c r="M1468" i="64"/>
  <c r="N1468" i="64" s="1"/>
  <c r="M1469" i="64"/>
  <c r="N1469" i="64" s="1"/>
  <c r="F1457" i="64"/>
  <c r="I264" i="68" l="1"/>
  <c r="E146" i="68"/>
  <c r="D159" i="68"/>
  <c r="E159" i="68"/>
  <c r="F159" i="68"/>
  <c r="G159" i="68"/>
  <c r="H159" i="68"/>
  <c r="L159" i="68"/>
  <c r="M159" i="68"/>
  <c r="J1148" i="64"/>
  <c r="G1162" i="64"/>
  <c r="M1228" i="64"/>
  <c r="H1387" i="64"/>
  <c r="H1388" i="64"/>
  <c r="H1389" i="64"/>
  <c r="H1390" i="64"/>
  <c r="H1391" i="64"/>
  <c r="H1392" i="64"/>
  <c r="H1393" i="64"/>
  <c r="H1394" i="64"/>
  <c r="H1395" i="64"/>
  <c r="H1396" i="64"/>
  <c r="H1397" i="64"/>
  <c r="H1398" i="64"/>
  <c r="H1399" i="64"/>
  <c r="H1400" i="64"/>
  <c r="H1401" i="64"/>
  <c r="H1402" i="64"/>
  <c r="H1403" i="64"/>
  <c r="H1404" i="64"/>
  <c r="H1405" i="64"/>
  <c r="H1406" i="64"/>
  <c r="H1407" i="64"/>
  <c r="H1408" i="64"/>
  <c r="G1387" i="64"/>
  <c r="G1388" i="64"/>
  <c r="G1389" i="64"/>
  <c r="G1390" i="64"/>
  <c r="G1391" i="64"/>
  <c r="G1392" i="64"/>
  <c r="G1393" i="64"/>
  <c r="G1394" i="64"/>
  <c r="G1395" i="64"/>
  <c r="G1396" i="64"/>
  <c r="G1397" i="64"/>
  <c r="G1398" i="64"/>
  <c r="G1399" i="64"/>
  <c r="G1400" i="64"/>
  <c r="G1401" i="64"/>
  <c r="G1402" i="64"/>
  <c r="G1403" i="64"/>
  <c r="G1404" i="64"/>
  <c r="G1405" i="64"/>
  <c r="G1406" i="64"/>
  <c r="G1407" i="64"/>
  <c r="G1408" i="64"/>
  <c r="F1387" i="64"/>
  <c r="F1388" i="64"/>
  <c r="F1389" i="64"/>
  <c r="F1390" i="64"/>
  <c r="F1391" i="64"/>
  <c r="F1392" i="64"/>
  <c r="F1393" i="64"/>
  <c r="F1394" i="64"/>
  <c r="F1395" i="64"/>
  <c r="F1396" i="64"/>
  <c r="F1397" i="64"/>
  <c r="F1398" i="64"/>
  <c r="F1399" i="64"/>
  <c r="F1400" i="64"/>
  <c r="F1401" i="64"/>
  <c r="F1402" i="64"/>
  <c r="F1403" i="64"/>
  <c r="F1404" i="64"/>
  <c r="F1405" i="64"/>
  <c r="F1406" i="64"/>
  <c r="F1407" i="64"/>
  <c r="F1408" i="64"/>
  <c r="A1387" i="64"/>
  <c r="A1388" i="64"/>
  <c r="A1389" i="64"/>
  <c r="A1390" i="64"/>
  <c r="A1391" i="64"/>
  <c r="A1392" i="64"/>
  <c r="A1393" i="64"/>
  <c r="A1394" i="64"/>
  <c r="A1395" i="64"/>
  <c r="A1396" i="64"/>
  <c r="A1397" i="64"/>
  <c r="B1387" i="64"/>
  <c r="B1388" i="64"/>
  <c r="B1389" i="64"/>
  <c r="B1390" i="64"/>
  <c r="B1391" i="64"/>
  <c r="B1392" i="64"/>
  <c r="B1393" i="64"/>
  <c r="B1394" i="64"/>
  <c r="B1395" i="64"/>
  <c r="B1396" i="64"/>
  <c r="B1397" i="64"/>
  <c r="J1387" i="64"/>
  <c r="J1388" i="64"/>
  <c r="J1389" i="64"/>
  <c r="J1390" i="64"/>
  <c r="J1391" i="64"/>
  <c r="J1392" i="64"/>
  <c r="J1393" i="64"/>
  <c r="J1394" i="64"/>
  <c r="J1395" i="64"/>
  <c r="J1396" i="64"/>
  <c r="J1397" i="64"/>
  <c r="M1387" i="64"/>
  <c r="N1387" i="64" s="1"/>
  <c r="M1388" i="64"/>
  <c r="N1388" i="64" s="1"/>
  <c r="M1389" i="64"/>
  <c r="N1389" i="64" s="1"/>
  <c r="M1390" i="64"/>
  <c r="N1390" i="64" s="1"/>
  <c r="M1391" i="64"/>
  <c r="N1391" i="64" s="1"/>
  <c r="M1392" i="64"/>
  <c r="N1392" i="64" s="1"/>
  <c r="M1393" i="64"/>
  <c r="N1393" i="64" s="1"/>
  <c r="M1394" i="64"/>
  <c r="N1394" i="64" s="1"/>
  <c r="M1395" i="64"/>
  <c r="N1395" i="64" s="1"/>
  <c r="M1396" i="64"/>
  <c r="N1396" i="64" s="1"/>
  <c r="M1397" i="64"/>
  <c r="N1397" i="64" s="1"/>
  <c r="A1398" i="64"/>
  <c r="A1399" i="64"/>
  <c r="A1400" i="64"/>
  <c r="A1401" i="64"/>
  <c r="A1402" i="64"/>
  <c r="A1403" i="64"/>
  <c r="A1404" i="64"/>
  <c r="A1405" i="64"/>
  <c r="A1406" i="64"/>
  <c r="A1407" i="64"/>
  <c r="A1408" i="64"/>
  <c r="B1398" i="64"/>
  <c r="B1399" i="64"/>
  <c r="B1400" i="64"/>
  <c r="B1401" i="64"/>
  <c r="B1402" i="64"/>
  <c r="B1403" i="64"/>
  <c r="B1404" i="64"/>
  <c r="B1405" i="64"/>
  <c r="B1406" i="64"/>
  <c r="B1407" i="64"/>
  <c r="B1408" i="64"/>
  <c r="J1398" i="64"/>
  <c r="J1399" i="64"/>
  <c r="J1400" i="64"/>
  <c r="J1401" i="64"/>
  <c r="J1402" i="64"/>
  <c r="J1403" i="64"/>
  <c r="J1404" i="64"/>
  <c r="J1405" i="64"/>
  <c r="J1406" i="64"/>
  <c r="J1407" i="64"/>
  <c r="J1408" i="64"/>
  <c r="M1398" i="64"/>
  <c r="N1398" i="64" s="1"/>
  <c r="M1399" i="64"/>
  <c r="N1399" i="64" s="1"/>
  <c r="M1400" i="64"/>
  <c r="N1400" i="64" s="1"/>
  <c r="M1401" i="64"/>
  <c r="N1401" i="64" s="1"/>
  <c r="M1402" i="64"/>
  <c r="N1402" i="64" s="1"/>
  <c r="M1403" i="64"/>
  <c r="N1403" i="64" s="1"/>
  <c r="M1404" i="64"/>
  <c r="N1404" i="64" s="1"/>
  <c r="M1405" i="64"/>
  <c r="N1405" i="64" s="1"/>
  <c r="M1406" i="64"/>
  <c r="N1406" i="64" s="1"/>
  <c r="M1407" i="64"/>
  <c r="N1407" i="64" s="1"/>
  <c r="M1408" i="64"/>
  <c r="N1408" i="64" s="1"/>
  <c r="F1348" i="64"/>
  <c r="F1349" i="64"/>
  <c r="F1350" i="64"/>
  <c r="F1351" i="64"/>
  <c r="F1352" i="64"/>
  <c r="F1353" i="64"/>
  <c r="F1354" i="64"/>
  <c r="F1355" i="64"/>
  <c r="F1356" i="64"/>
  <c r="F1357" i="64"/>
  <c r="F1358" i="64"/>
  <c r="F1359" i="64"/>
  <c r="F1360" i="64"/>
  <c r="F1361" i="64"/>
  <c r="F1362" i="64"/>
  <c r="F1363" i="64"/>
  <c r="F1364" i="64"/>
  <c r="F1365" i="64"/>
  <c r="F1366" i="64"/>
  <c r="F1367" i="64"/>
  <c r="F1368" i="64"/>
  <c r="F1369" i="64"/>
  <c r="F1370" i="64"/>
  <c r="F1371" i="64"/>
  <c r="F1372" i="64"/>
  <c r="F1373" i="64"/>
  <c r="F1374" i="64"/>
  <c r="F1375" i="64"/>
  <c r="F1376" i="64"/>
  <c r="F1377" i="64"/>
  <c r="F1378" i="64"/>
  <c r="F1379" i="64"/>
  <c r="F1380" i="64"/>
  <c r="F1381" i="64"/>
  <c r="F1382" i="64"/>
  <c r="F1383" i="64"/>
  <c r="F1384" i="64"/>
  <c r="F1385" i="64"/>
  <c r="F1386" i="64"/>
  <c r="F1409" i="64"/>
  <c r="F1410" i="64"/>
  <c r="F1411" i="64"/>
  <c r="F1412" i="64"/>
  <c r="F1413" i="64"/>
  <c r="F1414" i="64"/>
  <c r="F1415" i="64"/>
  <c r="F1416" i="64"/>
  <c r="F1417" i="64"/>
  <c r="F1418" i="64"/>
  <c r="F1419" i="64"/>
  <c r="F1420" i="64"/>
  <c r="F1421" i="64"/>
  <c r="F1422" i="64"/>
  <c r="F1423" i="64"/>
  <c r="F1424" i="64"/>
  <c r="F1425" i="64"/>
  <c r="F1426" i="64"/>
  <c r="F1427" i="64"/>
  <c r="F1428" i="64"/>
  <c r="F1431" i="64"/>
  <c r="F1432" i="64"/>
  <c r="F1433" i="64"/>
  <c r="F1434" i="64"/>
  <c r="F1435" i="64"/>
  <c r="F1436" i="64"/>
  <c r="F1437" i="64"/>
  <c r="F1438" i="64"/>
  <c r="F1439" i="64"/>
  <c r="F1440" i="64"/>
  <c r="F1441" i="64"/>
  <c r="F1442" i="64"/>
  <c r="F1443" i="64"/>
  <c r="F1444" i="64"/>
  <c r="F1445" i="64"/>
  <c r="F1446" i="64"/>
  <c r="F1447" i="64"/>
  <c r="F1448" i="64"/>
  <c r="F1449" i="64"/>
  <c r="F1450" i="64"/>
  <c r="F1451" i="64"/>
  <c r="F1452" i="64"/>
  <c r="F1453" i="64"/>
  <c r="F1454" i="64"/>
  <c r="F1455" i="64"/>
  <c r="F1456" i="64"/>
  <c r="F1470" i="64"/>
  <c r="F1471" i="64"/>
  <c r="F1472" i="64"/>
  <c r="F1825" i="64"/>
  <c r="F1826" i="64"/>
  <c r="F1901" i="64"/>
  <c r="F1902" i="64"/>
  <c r="F1974" i="64"/>
  <c r="F1975" i="64"/>
  <c r="F1976" i="64"/>
  <c r="F2225" i="64"/>
  <c r="F1340" i="64"/>
  <c r="F1341" i="64"/>
  <c r="F1342" i="64"/>
  <c r="F1343" i="64"/>
  <c r="F1344" i="64"/>
  <c r="F1345" i="64"/>
  <c r="F1346" i="64"/>
  <c r="F1347" i="64"/>
  <c r="F1339" i="64"/>
  <c r="F1338" i="64"/>
  <c r="G1350" i="64"/>
  <c r="G1351" i="64"/>
  <c r="G1352" i="64"/>
  <c r="G1353" i="64"/>
  <c r="G1354" i="64"/>
  <c r="G1355" i="64"/>
  <c r="G1356" i="64"/>
  <c r="G1357" i="64"/>
  <c r="G1358" i="64"/>
  <c r="G1359" i="64"/>
  <c r="G1360" i="64"/>
  <c r="G1361" i="64"/>
  <c r="G1362" i="64"/>
  <c r="G1363" i="64"/>
  <c r="G1364" i="64"/>
  <c r="G1365" i="64"/>
  <c r="G1366" i="64"/>
  <c r="G1367" i="64"/>
  <c r="G1368" i="64"/>
  <c r="G1369" i="64"/>
  <c r="G1370" i="64"/>
  <c r="G1371" i="64"/>
  <c r="G1372" i="64"/>
  <c r="G1373" i="64"/>
  <c r="G1374" i="64"/>
  <c r="G1375" i="64"/>
  <c r="G1376" i="64"/>
  <c r="G1377" i="64"/>
  <c r="G1378" i="64"/>
  <c r="G1379" i="64"/>
  <c r="G1380" i="64"/>
  <c r="G1381" i="64"/>
  <c r="G1382" i="64"/>
  <c r="G1383" i="64"/>
  <c r="G1384" i="64"/>
  <c r="G1385" i="64"/>
  <c r="G1386" i="64"/>
  <c r="G1409" i="64"/>
  <c r="G1410" i="64"/>
  <c r="G1411" i="64"/>
  <c r="G1412" i="64"/>
  <c r="G1413" i="64"/>
  <c r="G1414" i="64"/>
  <c r="G1415" i="64"/>
  <c r="G1416" i="64"/>
  <c r="G1417" i="64"/>
  <c r="G1418" i="64"/>
  <c r="G1419" i="64"/>
  <c r="G1420" i="64"/>
  <c r="G1421" i="64"/>
  <c r="G1422" i="64"/>
  <c r="G1423" i="64"/>
  <c r="G1424" i="64"/>
  <c r="G1425" i="64"/>
  <c r="G1426" i="64"/>
  <c r="G1427" i="64"/>
  <c r="G1428" i="64"/>
  <c r="G1429" i="64"/>
  <c r="G1430" i="64"/>
  <c r="G1431" i="64"/>
  <c r="G1432" i="64"/>
  <c r="G1433" i="64"/>
  <c r="G1434" i="64"/>
  <c r="G1435" i="64"/>
  <c r="G1436" i="64"/>
  <c r="G1437" i="64"/>
  <c r="G1438" i="64"/>
  <c r="G1439" i="64"/>
  <c r="G1440" i="64"/>
  <c r="G1441" i="64"/>
  <c r="G1442" i="64"/>
  <c r="G1443" i="64"/>
  <c r="G1444" i="64"/>
  <c r="G1445" i="64"/>
  <c r="G1446" i="64"/>
  <c r="G1447" i="64"/>
  <c r="G1448" i="64"/>
  <c r="G1449" i="64"/>
  <c r="G1450" i="64"/>
  <c r="G1451" i="64"/>
  <c r="G1452" i="64"/>
  <c r="G1453" i="64"/>
  <c r="G1454" i="64"/>
  <c r="G1455" i="64"/>
  <c r="G1456" i="64"/>
  <c r="G1457" i="64"/>
  <c r="G1470" i="64"/>
  <c r="G1471" i="64"/>
  <c r="G1472" i="64"/>
  <c r="G1825" i="64"/>
  <c r="G1826" i="64"/>
  <c r="G1901" i="64"/>
  <c r="G1902" i="64"/>
  <c r="G1974" i="64"/>
  <c r="G1975" i="64"/>
  <c r="G1976" i="64"/>
  <c r="G2225" i="64"/>
  <c r="H1351" i="64"/>
  <c r="H1352" i="64"/>
  <c r="H1353" i="64"/>
  <c r="H1354" i="64"/>
  <c r="H1355" i="64"/>
  <c r="H1356" i="64"/>
  <c r="H1357" i="64"/>
  <c r="H1358" i="64"/>
  <c r="H1359" i="64"/>
  <c r="H1360" i="64"/>
  <c r="H1361" i="64"/>
  <c r="H1362" i="64"/>
  <c r="H1363" i="64"/>
  <c r="H1364" i="64"/>
  <c r="H1365" i="64"/>
  <c r="H1366" i="64"/>
  <c r="H1367" i="64"/>
  <c r="H1368" i="64"/>
  <c r="H1369" i="64"/>
  <c r="H1370" i="64"/>
  <c r="H1371" i="64"/>
  <c r="H1372" i="64"/>
  <c r="H1373" i="64"/>
  <c r="H1374" i="64"/>
  <c r="H1375" i="64"/>
  <c r="H1376" i="64"/>
  <c r="H1377" i="64"/>
  <c r="H1378" i="64"/>
  <c r="H1379" i="64"/>
  <c r="H1380" i="64"/>
  <c r="H1381" i="64"/>
  <c r="H1382" i="64"/>
  <c r="H1383" i="64"/>
  <c r="H1384" i="64"/>
  <c r="H1385" i="64"/>
  <c r="H1386" i="64"/>
  <c r="H1409" i="64"/>
  <c r="H1410" i="64"/>
  <c r="H1411" i="64"/>
  <c r="H1412" i="64"/>
  <c r="H1413" i="64"/>
  <c r="H1414" i="64"/>
  <c r="H1415" i="64"/>
  <c r="H1416" i="64"/>
  <c r="H1417" i="64"/>
  <c r="H1418" i="64"/>
  <c r="H1419" i="64"/>
  <c r="H1420" i="64"/>
  <c r="H1421" i="64"/>
  <c r="H1422" i="64"/>
  <c r="H1423" i="64"/>
  <c r="H1424" i="64"/>
  <c r="H1425" i="64"/>
  <c r="H1426" i="64"/>
  <c r="H1427" i="64"/>
  <c r="H1428" i="64"/>
  <c r="H1429" i="64"/>
  <c r="H1430" i="64"/>
  <c r="H1431" i="64"/>
  <c r="H1432" i="64"/>
  <c r="H1433" i="64"/>
  <c r="H1434" i="64"/>
  <c r="H1435" i="64"/>
  <c r="H1436" i="64"/>
  <c r="H1437" i="64"/>
  <c r="H1438" i="64"/>
  <c r="H1439" i="64"/>
  <c r="H1440" i="64"/>
  <c r="H1441" i="64"/>
  <c r="H1442" i="64"/>
  <c r="H1443" i="64"/>
  <c r="H1444" i="64"/>
  <c r="H1445" i="64"/>
  <c r="H1446" i="64"/>
  <c r="H1447" i="64"/>
  <c r="H1448" i="64"/>
  <c r="H1449" i="64"/>
  <c r="H1450" i="64"/>
  <c r="H1451" i="64"/>
  <c r="H1452" i="64"/>
  <c r="H1453" i="64"/>
  <c r="H1454" i="64"/>
  <c r="H1455" i="64"/>
  <c r="H1456" i="64"/>
  <c r="H1457" i="64"/>
  <c r="H1470" i="64"/>
  <c r="H1471" i="64"/>
  <c r="H1472" i="64"/>
  <c r="H1825" i="64"/>
  <c r="H1826" i="64"/>
  <c r="H1901" i="64"/>
  <c r="H1974" i="64"/>
  <c r="H1975" i="64"/>
  <c r="H1976" i="64"/>
  <c r="H2225" i="64"/>
  <c r="H2597" i="64"/>
  <c r="G1343" i="64"/>
  <c r="G1344" i="64"/>
  <c r="G1345" i="64"/>
  <c r="G1346" i="64"/>
  <c r="G1347" i="64"/>
  <c r="G1348" i="64"/>
  <c r="G1349" i="64"/>
  <c r="H1339" i="64"/>
  <c r="H1340" i="64"/>
  <c r="H1341" i="64"/>
  <c r="H1342" i="64"/>
  <c r="H1343" i="64"/>
  <c r="H1344" i="64"/>
  <c r="H1345" i="64"/>
  <c r="H1346" i="64"/>
  <c r="H1347" i="64"/>
  <c r="H1348" i="64"/>
  <c r="H1349" i="64"/>
  <c r="H1350" i="64"/>
  <c r="F1337" i="64"/>
  <c r="G1326" i="64"/>
  <c r="G1327" i="64"/>
  <c r="G1328" i="64"/>
  <c r="G1329" i="64"/>
  <c r="G1330" i="64"/>
  <c r="G1331" i="64"/>
  <c r="G1332" i="64"/>
  <c r="G1333" i="64"/>
  <c r="G1334" i="64"/>
  <c r="G1335" i="64"/>
  <c r="G1336" i="64"/>
  <c r="G1337" i="64"/>
  <c r="G1338" i="64"/>
  <c r="G1339" i="64"/>
  <c r="G1340" i="64"/>
  <c r="G1341" i="64"/>
  <c r="G1342" i="64"/>
  <c r="F1326" i="64"/>
  <c r="F1327" i="64"/>
  <c r="F1328" i="64"/>
  <c r="F1329" i="64"/>
  <c r="F1330" i="64"/>
  <c r="F1331" i="64"/>
  <c r="F1332" i="64"/>
  <c r="F1333" i="64"/>
  <c r="F1334" i="64"/>
  <c r="F1335" i="64"/>
  <c r="F1336" i="64"/>
  <c r="H1325" i="64"/>
  <c r="H1326" i="64"/>
  <c r="H1327" i="64"/>
  <c r="H1328" i="64"/>
  <c r="H1329" i="64"/>
  <c r="H1330" i="64"/>
  <c r="H1331" i="64"/>
  <c r="H1332" i="64"/>
  <c r="H1333" i="64"/>
  <c r="H1334" i="64"/>
  <c r="H1335" i="64"/>
  <c r="H1336" i="64"/>
  <c r="H1337" i="64"/>
  <c r="H1338" i="64"/>
  <c r="G1325" i="64"/>
  <c r="F1325" i="64"/>
  <c r="H1324" i="64"/>
  <c r="G1324" i="64"/>
  <c r="F1324" i="64"/>
  <c r="H1323" i="64"/>
  <c r="G1323" i="64"/>
  <c r="F1323" i="64"/>
  <c r="H1322" i="64"/>
  <c r="G1322" i="64"/>
  <c r="F1322" i="64"/>
  <c r="H1321" i="64"/>
  <c r="G1321" i="64"/>
  <c r="F1321" i="64"/>
  <c r="A1335" i="64"/>
  <c r="B1335" i="64"/>
  <c r="J1335" i="64"/>
  <c r="M1335" i="64"/>
  <c r="N1335" i="64" s="1"/>
  <c r="A1336" i="64"/>
  <c r="B1336" i="64"/>
  <c r="J1336" i="64"/>
  <c r="M1336" i="64"/>
  <c r="N1336" i="64" s="1"/>
  <c r="A1337" i="64"/>
  <c r="B1337" i="64"/>
  <c r="J1337" i="64"/>
  <c r="M1337" i="64"/>
  <c r="N1337" i="64" s="1"/>
  <c r="A1338" i="64"/>
  <c r="B1338" i="64"/>
  <c r="J1338" i="64"/>
  <c r="M1338" i="64"/>
  <c r="N1338" i="64" s="1"/>
  <c r="A1339" i="64"/>
  <c r="B1339" i="64"/>
  <c r="J1339" i="64"/>
  <c r="M1339" i="64"/>
  <c r="N1339" i="64" s="1"/>
  <c r="A1340" i="64"/>
  <c r="B1340" i="64"/>
  <c r="J1340" i="64"/>
  <c r="M1340" i="64"/>
  <c r="N1340" i="64" s="1"/>
  <c r="A1341" i="64"/>
  <c r="B1341" i="64"/>
  <c r="J1341" i="64"/>
  <c r="M1341" i="64"/>
  <c r="N1341" i="64" s="1"/>
  <c r="A1342" i="64"/>
  <c r="B1342" i="64"/>
  <c r="J1342" i="64"/>
  <c r="M1342" i="64"/>
  <c r="N1342" i="64" s="1"/>
  <c r="A1343" i="64"/>
  <c r="B1343" i="64"/>
  <c r="J1343" i="64"/>
  <c r="M1343" i="64"/>
  <c r="N1343" i="64" s="1"/>
  <c r="A1344" i="64"/>
  <c r="B1344" i="64"/>
  <c r="J1344" i="64"/>
  <c r="M1344" i="64"/>
  <c r="N1344" i="64" s="1"/>
  <c r="A1345" i="64"/>
  <c r="B1345" i="64"/>
  <c r="J1345" i="64"/>
  <c r="M1345" i="64"/>
  <c r="N1345" i="64" s="1"/>
  <c r="A1346" i="64"/>
  <c r="B1346" i="64"/>
  <c r="J1346" i="64"/>
  <c r="M1346" i="64"/>
  <c r="N1346" i="64" s="1"/>
  <c r="A1347" i="64"/>
  <c r="B1347" i="64"/>
  <c r="J1347" i="64"/>
  <c r="M1347" i="64"/>
  <c r="N1347" i="64" s="1"/>
  <c r="A1348" i="64"/>
  <c r="B1348" i="64"/>
  <c r="J1348" i="64"/>
  <c r="M1348" i="64"/>
  <c r="N1348" i="64" s="1"/>
  <c r="A1349" i="64"/>
  <c r="B1349" i="64"/>
  <c r="J1349" i="64"/>
  <c r="M1349" i="64"/>
  <c r="N1349" i="64" s="1"/>
  <c r="A1350" i="64"/>
  <c r="B1350" i="64"/>
  <c r="J1350" i="64"/>
  <c r="M1350" i="64"/>
  <c r="N1350" i="64" s="1"/>
  <c r="A1351" i="64"/>
  <c r="B1351" i="64"/>
  <c r="J1351" i="64"/>
  <c r="M1351" i="64"/>
  <c r="N1351" i="64" s="1"/>
  <c r="A1352" i="64"/>
  <c r="B1352" i="64"/>
  <c r="J1352" i="64"/>
  <c r="M1352" i="64"/>
  <c r="N1352" i="64" s="1"/>
  <c r="A1353" i="64"/>
  <c r="B1353" i="64"/>
  <c r="J1353" i="64"/>
  <c r="M1353" i="64"/>
  <c r="N1353" i="64" s="1"/>
  <c r="A1354" i="64"/>
  <c r="B1354" i="64"/>
  <c r="J1354" i="64"/>
  <c r="M1354" i="64"/>
  <c r="N1354" i="64" s="1"/>
  <c r="A1355" i="64"/>
  <c r="B1355" i="64"/>
  <c r="J1355" i="64"/>
  <c r="M1355" i="64"/>
  <c r="N1355" i="64" s="1"/>
  <c r="A1356" i="64"/>
  <c r="B1356" i="64"/>
  <c r="J1356" i="64"/>
  <c r="M1356" i="64"/>
  <c r="N1356" i="64" s="1"/>
  <c r="A1357" i="64"/>
  <c r="B1357" i="64"/>
  <c r="J1357" i="64"/>
  <c r="M1357" i="64"/>
  <c r="N1357" i="64" s="1"/>
  <c r="A1358" i="64"/>
  <c r="B1358" i="64"/>
  <c r="J1358" i="64"/>
  <c r="M1358" i="64"/>
  <c r="N1358" i="64" s="1"/>
  <c r="A1359" i="64"/>
  <c r="B1359" i="64"/>
  <c r="J1359" i="64"/>
  <c r="M1359" i="64"/>
  <c r="N1359" i="64" s="1"/>
  <c r="A1360" i="64"/>
  <c r="B1360" i="64"/>
  <c r="J1360" i="64"/>
  <c r="M1360" i="64"/>
  <c r="N1360" i="64" s="1"/>
  <c r="A1361" i="64"/>
  <c r="B1361" i="64"/>
  <c r="J1361" i="64"/>
  <c r="M1361" i="64"/>
  <c r="N1361" i="64" s="1"/>
  <c r="A1362" i="64"/>
  <c r="B1362" i="64"/>
  <c r="J1362" i="64"/>
  <c r="M1362" i="64"/>
  <c r="N1362" i="64" s="1"/>
  <c r="A1363" i="64"/>
  <c r="B1363" i="64"/>
  <c r="J1363" i="64"/>
  <c r="M1363" i="64"/>
  <c r="N1363" i="64" s="1"/>
  <c r="A1364" i="64"/>
  <c r="B1364" i="64"/>
  <c r="J1364" i="64"/>
  <c r="M1364" i="64"/>
  <c r="N1364" i="64" s="1"/>
  <c r="A1365" i="64"/>
  <c r="B1365" i="64"/>
  <c r="J1365" i="64"/>
  <c r="M1365" i="64"/>
  <c r="N1365" i="64" s="1"/>
  <c r="A1366" i="64"/>
  <c r="B1366" i="64"/>
  <c r="J1366" i="64"/>
  <c r="M1366" i="64"/>
  <c r="N1366" i="64" s="1"/>
  <c r="A1367" i="64"/>
  <c r="B1367" i="64"/>
  <c r="J1367" i="64"/>
  <c r="M1367" i="64"/>
  <c r="N1367" i="64" s="1"/>
  <c r="A1368" i="64"/>
  <c r="B1368" i="64"/>
  <c r="J1368" i="64"/>
  <c r="M1368" i="64"/>
  <c r="N1368" i="64" s="1"/>
  <c r="A1369" i="64"/>
  <c r="B1369" i="64"/>
  <c r="J1369" i="64"/>
  <c r="M1369" i="64"/>
  <c r="N1369" i="64" s="1"/>
  <c r="A1370" i="64"/>
  <c r="B1370" i="64"/>
  <c r="J1370" i="64"/>
  <c r="M1370" i="64"/>
  <c r="N1370" i="64" s="1"/>
  <c r="A1371" i="64"/>
  <c r="B1371" i="64"/>
  <c r="J1371" i="64"/>
  <c r="M1371" i="64"/>
  <c r="N1371" i="64" s="1"/>
  <c r="A1372" i="64"/>
  <c r="B1372" i="64"/>
  <c r="J1372" i="64"/>
  <c r="M1372" i="64"/>
  <c r="N1372" i="64" s="1"/>
  <c r="A1373" i="64"/>
  <c r="B1373" i="64"/>
  <c r="J1373" i="64"/>
  <c r="M1373" i="64"/>
  <c r="N1373" i="64" s="1"/>
  <c r="A1374" i="64"/>
  <c r="B1374" i="64"/>
  <c r="J1374" i="64"/>
  <c r="M1374" i="64"/>
  <c r="N1374" i="64" s="1"/>
  <c r="A1375" i="64"/>
  <c r="B1375" i="64"/>
  <c r="J1375" i="64"/>
  <c r="M1375" i="64"/>
  <c r="N1375" i="64" s="1"/>
  <c r="A1376" i="64"/>
  <c r="B1376" i="64"/>
  <c r="J1376" i="64"/>
  <c r="M1376" i="64"/>
  <c r="N1376" i="64" s="1"/>
  <c r="A1377" i="64"/>
  <c r="B1377" i="64"/>
  <c r="J1377" i="64"/>
  <c r="M1377" i="64"/>
  <c r="N1377" i="64" s="1"/>
  <c r="A1378" i="64"/>
  <c r="B1378" i="64"/>
  <c r="J1378" i="64"/>
  <c r="M1378" i="64"/>
  <c r="N1378" i="64" s="1"/>
  <c r="A1379" i="64"/>
  <c r="B1379" i="64"/>
  <c r="J1379" i="64"/>
  <c r="M1379" i="64"/>
  <c r="N1379" i="64" s="1"/>
  <c r="A1380" i="64"/>
  <c r="B1380" i="64"/>
  <c r="J1380" i="64"/>
  <c r="M1380" i="64"/>
  <c r="N1380" i="64" s="1"/>
  <c r="A1381" i="64"/>
  <c r="B1381" i="64"/>
  <c r="J1381" i="64"/>
  <c r="M1381" i="64"/>
  <c r="N1381" i="64" s="1"/>
  <c r="A1382" i="64"/>
  <c r="B1382" i="64"/>
  <c r="J1382" i="64"/>
  <c r="M1382" i="64"/>
  <c r="N1382" i="64" s="1"/>
  <c r="A1383" i="64"/>
  <c r="B1383" i="64"/>
  <c r="J1383" i="64"/>
  <c r="M1383" i="64"/>
  <c r="N1383" i="64" s="1"/>
  <c r="A1384" i="64"/>
  <c r="B1384" i="64"/>
  <c r="J1384" i="64"/>
  <c r="M1384" i="64"/>
  <c r="N1384" i="64" s="1"/>
  <c r="A1385" i="64"/>
  <c r="B1385" i="64"/>
  <c r="J1385" i="64"/>
  <c r="M1385" i="64"/>
  <c r="N1385" i="64" s="1"/>
  <c r="A1386" i="64"/>
  <c r="B1386" i="64"/>
  <c r="J1386" i="64"/>
  <c r="M1386" i="64"/>
  <c r="N1386" i="64" s="1"/>
  <c r="A1409" i="64"/>
  <c r="B1409" i="64"/>
  <c r="J1409" i="64"/>
  <c r="M1409" i="64"/>
  <c r="N1409" i="64" s="1"/>
  <c r="A1410" i="64"/>
  <c r="B1410" i="64"/>
  <c r="J1410" i="64"/>
  <c r="M1410" i="64"/>
  <c r="N1410" i="64" s="1"/>
  <c r="A1411" i="64"/>
  <c r="B1411" i="64"/>
  <c r="J1411" i="64"/>
  <c r="M1411" i="64"/>
  <c r="N1411" i="64" s="1"/>
  <c r="A1412" i="64"/>
  <c r="B1412" i="64"/>
  <c r="J1412" i="64"/>
  <c r="M1412" i="64"/>
  <c r="N1412" i="64" s="1"/>
  <c r="A1413" i="64"/>
  <c r="B1413" i="64"/>
  <c r="J1413" i="64"/>
  <c r="M1413" i="64"/>
  <c r="N1413" i="64" s="1"/>
  <c r="A1414" i="64"/>
  <c r="B1414" i="64"/>
  <c r="J1414" i="64"/>
  <c r="M1414" i="64"/>
  <c r="N1414" i="64" s="1"/>
  <c r="A1415" i="64"/>
  <c r="B1415" i="64"/>
  <c r="J1415" i="64"/>
  <c r="M1415" i="64"/>
  <c r="N1415" i="64" s="1"/>
  <c r="H1308" i="64"/>
  <c r="H1309" i="64"/>
  <c r="H1310" i="64"/>
  <c r="H1311" i="64"/>
  <c r="H1312" i="64"/>
  <c r="H1313" i="64"/>
  <c r="H1314" i="64"/>
  <c r="H1315" i="64"/>
  <c r="H1316" i="64"/>
  <c r="H1317" i="64"/>
  <c r="H1318" i="64"/>
  <c r="H1319" i="64"/>
  <c r="H1320" i="64"/>
  <c r="G1308" i="64"/>
  <c r="G1309" i="64"/>
  <c r="G1310" i="64"/>
  <c r="G1311" i="64"/>
  <c r="G1312" i="64"/>
  <c r="G1313" i="64"/>
  <c r="G1314" i="64"/>
  <c r="G1315" i="64"/>
  <c r="G1316" i="64"/>
  <c r="G1317" i="64"/>
  <c r="G1318" i="64"/>
  <c r="G1319" i="64"/>
  <c r="G1320" i="64"/>
  <c r="F1308" i="64"/>
  <c r="F1309" i="64"/>
  <c r="F1310" i="64"/>
  <c r="F1311" i="64"/>
  <c r="F1312" i="64"/>
  <c r="F1313" i="64"/>
  <c r="F1314" i="64"/>
  <c r="F1315" i="64"/>
  <c r="F1316" i="64"/>
  <c r="F1317" i="64"/>
  <c r="F1318" i="64"/>
  <c r="F1319" i="64"/>
  <c r="F1320" i="64"/>
  <c r="H1291" i="64" l="1"/>
  <c r="H1292" i="64"/>
  <c r="H1293" i="64"/>
  <c r="H1294" i="64"/>
  <c r="H1295" i="64"/>
  <c r="H1296" i="64"/>
  <c r="H1297" i="64"/>
  <c r="H1298" i="64"/>
  <c r="H1299" i="64"/>
  <c r="H1300" i="64"/>
  <c r="H1301" i="64"/>
  <c r="H1302" i="64"/>
  <c r="H1303" i="64"/>
  <c r="H1304" i="64"/>
  <c r="H1305" i="64"/>
  <c r="H1306" i="64"/>
  <c r="H1307" i="64"/>
  <c r="G1291" i="64"/>
  <c r="G1292" i="64"/>
  <c r="G1293" i="64"/>
  <c r="G1294" i="64"/>
  <c r="G1295" i="64"/>
  <c r="G1296" i="64"/>
  <c r="G1297" i="64"/>
  <c r="G1298" i="64"/>
  <c r="G1299" i="64"/>
  <c r="G1300" i="64"/>
  <c r="G1301" i="64"/>
  <c r="G1302" i="64"/>
  <c r="G1303" i="64"/>
  <c r="G1304" i="64"/>
  <c r="G1305" i="64"/>
  <c r="G1306" i="64"/>
  <c r="G1307" i="64"/>
  <c r="F1291" i="64"/>
  <c r="F1292" i="64"/>
  <c r="F1293" i="64"/>
  <c r="F1294" i="64"/>
  <c r="F1295" i="64"/>
  <c r="F1296" i="64"/>
  <c r="F1297" i="64"/>
  <c r="F1298" i="64"/>
  <c r="F1299" i="64"/>
  <c r="F1300" i="64"/>
  <c r="F1301" i="64"/>
  <c r="F1302" i="64"/>
  <c r="F1303" i="64"/>
  <c r="F1304" i="64"/>
  <c r="F1305" i="64"/>
  <c r="F1306" i="64"/>
  <c r="F1307" i="64"/>
  <c r="H1290" i="64" l="1"/>
  <c r="G1290" i="64"/>
  <c r="F1290" i="64"/>
  <c r="H1276" i="64"/>
  <c r="H1277" i="64"/>
  <c r="H1278" i="64"/>
  <c r="H1279" i="64"/>
  <c r="H1280" i="64"/>
  <c r="H1281" i="64"/>
  <c r="H1282" i="64"/>
  <c r="H1283" i="64"/>
  <c r="H1284" i="64"/>
  <c r="H1285" i="64"/>
  <c r="H1286" i="64"/>
  <c r="H1287" i="64"/>
  <c r="H1288" i="64"/>
  <c r="H1289" i="64"/>
  <c r="G1276" i="64"/>
  <c r="G1277" i="64"/>
  <c r="G1278" i="64"/>
  <c r="G1279" i="64"/>
  <c r="G1280" i="64"/>
  <c r="G1281" i="64"/>
  <c r="G1282" i="64"/>
  <c r="G1283" i="64"/>
  <c r="G1284" i="64"/>
  <c r="G1285" i="64"/>
  <c r="G1286" i="64"/>
  <c r="G1287" i="64"/>
  <c r="G1288" i="64"/>
  <c r="G1289" i="64"/>
  <c r="F1276" i="64"/>
  <c r="F1277" i="64"/>
  <c r="F1278" i="64"/>
  <c r="F1279" i="64"/>
  <c r="F1280" i="64"/>
  <c r="F1281" i="64"/>
  <c r="F1282" i="64"/>
  <c r="F1283" i="64"/>
  <c r="F1284" i="64"/>
  <c r="F1285" i="64"/>
  <c r="F1286" i="64"/>
  <c r="F1287" i="64"/>
  <c r="F1288" i="64"/>
  <c r="F1289" i="64"/>
  <c r="H1265" i="64"/>
  <c r="H1266" i="64"/>
  <c r="H1267" i="64"/>
  <c r="H1268" i="64"/>
  <c r="H1269" i="64"/>
  <c r="H1270" i="64"/>
  <c r="H1271" i="64"/>
  <c r="H1272" i="64"/>
  <c r="H1273" i="64"/>
  <c r="H1274" i="64"/>
  <c r="H1275" i="64"/>
  <c r="G1265" i="64"/>
  <c r="G1266" i="64"/>
  <c r="G1267" i="64"/>
  <c r="G1268" i="64"/>
  <c r="G1269" i="64"/>
  <c r="G1270" i="64"/>
  <c r="G1271" i="64"/>
  <c r="G1272" i="64"/>
  <c r="G1273" i="64"/>
  <c r="G1274" i="64"/>
  <c r="G1275" i="64"/>
  <c r="F1265" i="64"/>
  <c r="F1266" i="64"/>
  <c r="F1267" i="64"/>
  <c r="F1268" i="64"/>
  <c r="F1269" i="64"/>
  <c r="F1270" i="64"/>
  <c r="F1271" i="64"/>
  <c r="F1272" i="64"/>
  <c r="F1273" i="64"/>
  <c r="F1274" i="64"/>
  <c r="F1275" i="64"/>
  <c r="H1250" i="64"/>
  <c r="H1251" i="64"/>
  <c r="H1252" i="64"/>
  <c r="H1253" i="64"/>
  <c r="H1254" i="64"/>
  <c r="H1255" i="64"/>
  <c r="H1256" i="64"/>
  <c r="H1257" i="64"/>
  <c r="H1258" i="64"/>
  <c r="H1259" i="64"/>
  <c r="H1260" i="64"/>
  <c r="H1261" i="64"/>
  <c r="H1262" i="64"/>
  <c r="H1263" i="64"/>
  <c r="H1264" i="64"/>
  <c r="G1250" i="64"/>
  <c r="G1251" i="64"/>
  <c r="G1252" i="64"/>
  <c r="G1253" i="64"/>
  <c r="G1254" i="64"/>
  <c r="G1255" i="64"/>
  <c r="G1256" i="64"/>
  <c r="G1257" i="64"/>
  <c r="G1258" i="64"/>
  <c r="G1259" i="64"/>
  <c r="G1260" i="64"/>
  <c r="G1261" i="64"/>
  <c r="G1262" i="64"/>
  <c r="G1263" i="64"/>
  <c r="G1264" i="64"/>
  <c r="F1250" i="64"/>
  <c r="F1251" i="64"/>
  <c r="F1252" i="64"/>
  <c r="F1253" i="64"/>
  <c r="F1254" i="64"/>
  <c r="F1255" i="64"/>
  <c r="F1256" i="64"/>
  <c r="F1257" i="64"/>
  <c r="F1258" i="64"/>
  <c r="F1259" i="64"/>
  <c r="F1260" i="64"/>
  <c r="F1261" i="64"/>
  <c r="F1262" i="64"/>
  <c r="F1263" i="64"/>
  <c r="F1264" i="64"/>
  <c r="H1236" i="64"/>
  <c r="H1237" i="64"/>
  <c r="H1238" i="64"/>
  <c r="H1239" i="64"/>
  <c r="H1240" i="64"/>
  <c r="H1241" i="64"/>
  <c r="H1242" i="64"/>
  <c r="H1243" i="64"/>
  <c r="H1244" i="64"/>
  <c r="H1245" i="64"/>
  <c r="H1246" i="64"/>
  <c r="H1247" i="64"/>
  <c r="H1248" i="64"/>
  <c r="H1249" i="64"/>
  <c r="G1236" i="64"/>
  <c r="G1237" i="64"/>
  <c r="G1238" i="64"/>
  <c r="G1239" i="64"/>
  <c r="G1240" i="64"/>
  <c r="G1241" i="64"/>
  <c r="G1242" i="64"/>
  <c r="G1243" i="64"/>
  <c r="G1244" i="64"/>
  <c r="G1245" i="64"/>
  <c r="G1246" i="64"/>
  <c r="G1247" i="64"/>
  <c r="G1248" i="64"/>
  <c r="G1249" i="64"/>
  <c r="F1236" i="64"/>
  <c r="F1237" i="64"/>
  <c r="F1238" i="64"/>
  <c r="F1239" i="64"/>
  <c r="F1240" i="64"/>
  <c r="F1241" i="64"/>
  <c r="F1242" i="64"/>
  <c r="F1243" i="64"/>
  <c r="F1244" i="64"/>
  <c r="F1245" i="64"/>
  <c r="F1246" i="64"/>
  <c r="F1247" i="64"/>
  <c r="F1248" i="64"/>
  <c r="F1249" i="64"/>
  <c r="A1256" i="64" l="1"/>
  <c r="B1256" i="64"/>
  <c r="J1256" i="64"/>
  <c r="M1256" i="64"/>
  <c r="N1256" i="64" s="1"/>
  <c r="A1257" i="64"/>
  <c r="B1257" i="64"/>
  <c r="J1257" i="64"/>
  <c r="M1257" i="64"/>
  <c r="N1257" i="64" s="1"/>
  <c r="A1258" i="64"/>
  <c r="B1258" i="64"/>
  <c r="J1258" i="64"/>
  <c r="M1258" i="64"/>
  <c r="N1258" i="64" s="1"/>
  <c r="A1259" i="64"/>
  <c r="B1259" i="64"/>
  <c r="J1259" i="64"/>
  <c r="M1259" i="64"/>
  <c r="N1259" i="64" s="1"/>
  <c r="A1260" i="64"/>
  <c r="B1260" i="64"/>
  <c r="J1260" i="64"/>
  <c r="M1260" i="64"/>
  <c r="N1260" i="64" s="1"/>
  <c r="A1261" i="64"/>
  <c r="B1261" i="64"/>
  <c r="J1261" i="64"/>
  <c r="M1261" i="64"/>
  <c r="N1261" i="64" s="1"/>
  <c r="A1262" i="64"/>
  <c r="B1262" i="64"/>
  <c r="J1262" i="64"/>
  <c r="M1262" i="64"/>
  <c r="N1262" i="64" s="1"/>
  <c r="A1263" i="64"/>
  <c r="B1263" i="64"/>
  <c r="J1263" i="64"/>
  <c r="M1263" i="64"/>
  <c r="N1263" i="64" s="1"/>
  <c r="A1264" i="64"/>
  <c r="B1264" i="64"/>
  <c r="J1264" i="64"/>
  <c r="M1264" i="64"/>
  <c r="N1264" i="64" s="1"/>
  <c r="A1265" i="64"/>
  <c r="B1265" i="64"/>
  <c r="J1265" i="64"/>
  <c r="M1265" i="64"/>
  <c r="N1265" i="64" s="1"/>
  <c r="A1266" i="64"/>
  <c r="B1266" i="64"/>
  <c r="J1266" i="64"/>
  <c r="M1266" i="64"/>
  <c r="N1266" i="64" s="1"/>
  <c r="A1267" i="64"/>
  <c r="B1267" i="64"/>
  <c r="J1267" i="64"/>
  <c r="M1267" i="64"/>
  <c r="N1267" i="64" s="1"/>
  <c r="A1268" i="64"/>
  <c r="B1268" i="64"/>
  <c r="J1268" i="64"/>
  <c r="M1268" i="64"/>
  <c r="N1268" i="64" s="1"/>
  <c r="A1269" i="64"/>
  <c r="B1269" i="64"/>
  <c r="J1269" i="64"/>
  <c r="M1269" i="64"/>
  <c r="N1269" i="64" s="1"/>
  <c r="A1270" i="64"/>
  <c r="B1270" i="64"/>
  <c r="J1270" i="64"/>
  <c r="M1270" i="64"/>
  <c r="N1270" i="64" s="1"/>
  <c r="A1271" i="64"/>
  <c r="B1271" i="64"/>
  <c r="J1271" i="64"/>
  <c r="M1271" i="64"/>
  <c r="N1271" i="64" s="1"/>
  <c r="A1272" i="64"/>
  <c r="B1272" i="64"/>
  <c r="J1272" i="64"/>
  <c r="M1272" i="64"/>
  <c r="N1272" i="64" s="1"/>
  <c r="A1273" i="64"/>
  <c r="B1273" i="64"/>
  <c r="J1273" i="64"/>
  <c r="M1273" i="64"/>
  <c r="N1273" i="64" s="1"/>
  <c r="A1274" i="64"/>
  <c r="B1274" i="64"/>
  <c r="J1274" i="64"/>
  <c r="M1274" i="64"/>
  <c r="N1274" i="64" s="1"/>
  <c r="A1275" i="64"/>
  <c r="B1275" i="64"/>
  <c r="J1275" i="64"/>
  <c r="M1275" i="64"/>
  <c r="N1275" i="64" s="1"/>
  <c r="A1276" i="64"/>
  <c r="B1276" i="64"/>
  <c r="J1276" i="64"/>
  <c r="M1276" i="64"/>
  <c r="N1276" i="64" s="1"/>
  <c r="A1277" i="64"/>
  <c r="B1277" i="64"/>
  <c r="J1277" i="64"/>
  <c r="M1277" i="64"/>
  <c r="N1277" i="64" s="1"/>
  <c r="A1278" i="64"/>
  <c r="B1278" i="64"/>
  <c r="J1278" i="64"/>
  <c r="M1278" i="64"/>
  <c r="N1278" i="64" s="1"/>
  <c r="A1279" i="64"/>
  <c r="B1279" i="64"/>
  <c r="J1279" i="64"/>
  <c r="M1279" i="64"/>
  <c r="N1279" i="64" s="1"/>
  <c r="A1280" i="64"/>
  <c r="B1280" i="64"/>
  <c r="J1280" i="64"/>
  <c r="M1280" i="64"/>
  <c r="N1280" i="64" s="1"/>
  <c r="A1281" i="64"/>
  <c r="B1281" i="64"/>
  <c r="J1281" i="64"/>
  <c r="M1281" i="64"/>
  <c r="N1281" i="64" s="1"/>
  <c r="A1282" i="64"/>
  <c r="B1282" i="64"/>
  <c r="J1282" i="64"/>
  <c r="M1282" i="64"/>
  <c r="N1282" i="64" s="1"/>
  <c r="A1283" i="64"/>
  <c r="B1283" i="64"/>
  <c r="J1283" i="64"/>
  <c r="M1283" i="64"/>
  <c r="N1283" i="64" s="1"/>
  <c r="A1284" i="64"/>
  <c r="B1284" i="64"/>
  <c r="J1284" i="64"/>
  <c r="M1284" i="64"/>
  <c r="N1284" i="64" s="1"/>
  <c r="A1285" i="64"/>
  <c r="B1285" i="64"/>
  <c r="J1285" i="64"/>
  <c r="M1285" i="64"/>
  <c r="N1285" i="64" s="1"/>
  <c r="A1286" i="64"/>
  <c r="B1286" i="64"/>
  <c r="J1286" i="64"/>
  <c r="M1286" i="64"/>
  <c r="N1286" i="64" s="1"/>
  <c r="A1287" i="64"/>
  <c r="B1287" i="64"/>
  <c r="J1287" i="64"/>
  <c r="M1287" i="64"/>
  <c r="N1287" i="64" s="1"/>
  <c r="A1288" i="64"/>
  <c r="B1288" i="64"/>
  <c r="J1288" i="64"/>
  <c r="M1288" i="64"/>
  <c r="N1288" i="64" s="1"/>
  <c r="A1289" i="64"/>
  <c r="B1289" i="64"/>
  <c r="J1289" i="64"/>
  <c r="M1289" i="64"/>
  <c r="N1289" i="64" s="1"/>
  <c r="A1290" i="64"/>
  <c r="B1290" i="64"/>
  <c r="J1290" i="64"/>
  <c r="M1290" i="64"/>
  <c r="N1290" i="64" s="1"/>
  <c r="A1291" i="64"/>
  <c r="B1291" i="64"/>
  <c r="J1291" i="64"/>
  <c r="M1291" i="64"/>
  <c r="N1291" i="64" s="1"/>
  <c r="A1292" i="64"/>
  <c r="B1292" i="64"/>
  <c r="J1292" i="64"/>
  <c r="M1292" i="64"/>
  <c r="N1292" i="64" s="1"/>
  <c r="A1293" i="64"/>
  <c r="B1293" i="64"/>
  <c r="J1293" i="64"/>
  <c r="M1293" i="64"/>
  <c r="N1293" i="64" s="1"/>
  <c r="A1294" i="64"/>
  <c r="B1294" i="64"/>
  <c r="J1294" i="64"/>
  <c r="M1294" i="64"/>
  <c r="N1294" i="64" s="1"/>
  <c r="A1295" i="64"/>
  <c r="B1295" i="64"/>
  <c r="J1295" i="64"/>
  <c r="M1295" i="64"/>
  <c r="N1295" i="64" s="1"/>
  <c r="A1296" i="64"/>
  <c r="B1296" i="64"/>
  <c r="J1296" i="64"/>
  <c r="M1296" i="64"/>
  <c r="N1296" i="64" s="1"/>
  <c r="A1297" i="64"/>
  <c r="B1297" i="64"/>
  <c r="J1297" i="64"/>
  <c r="M1297" i="64"/>
  <c r="N1297" i="64" s="1"/>
  <c r="A1298" i="64"/>
  <c r="B1298" i="64"/>
  <c r="J1298" i="64"/>
  <c r="M1298" i="64"/>
  <c r="N1298" i="64" s="1"/>
  <c r="A1299" i="64"/>
  <c r="B1299" i="64"/>
  <c r="J1299" i="64"/>
  <c r="M1299" i="64"/>
  <c r="N1299" i="64" s="1"/>
  <c r="A1300" i="64"/>
  <c r="B1300" i="64"/>
  <c r="J1300" i="64"/>
  <c r="M1300" i="64"/>
  <c r="N1300" i="64" s="1"/>
  <c r="A1301" i="64"/>
  <c r="B1301" i="64"/>
  <c r="J1301" i="64"/>
  <c r="M1301" i="64"/>
  <c r="N1301" i="64" s="1"/>
  <c r="A1302" i="64"/>
  <c r="B1302" i="64"/>
  <c r="J1302" i="64"/>
  <c r="M1302" i="64"/>
  <c r="N1302" i="64" s="1"/>
  <c r="A1303" i="64"/>
  <c r="B1303" i="64"/>
  <c r="J1303" i="64"/>
  <c r="M1303" i="64"/>
  <c r="N1303" i="64" s="1"/>
  <c r="A1304" i="64"/>
  <c r="B1304" i="64"/>
  <c r="J1304" i="64"/>
  <c r="M1304" i="64"/>
  <c r="N1304" i="64" s="1"/>
  <c r="A1305" i="64"/>
  <c r="B1305" i="64"/>
  <c r="J1305" i="64"/>
  <c r="M1305" i="64"/>
  <c r="N1305" i="64" s="1"/>
  <c r="A1306" i="64"/>
  <c r="B1306" i="64"/>
  <c r="J1306" i="64"/>
  <c r="M1306" i="64"/>
  <c r="N1306" i="64" s="1"/>
  <c r="A1307" i="64"/>
  <c r="B1307" i="64"/>
  <c r="J1307" i="64"/>
  <c r="M1307" i="64"/>
  <c r="N1307" i="64" s="1"/>
  <c r="A1308" i="64"/>
  <c r="B1308" i="64"/>
  <c r="J1308" i="64"/>
  <c r="M1308" i="64"/>
  <c r="N1308" i="64" s="1"/>
  <c r="A1309" i="64"/>
  <c r="B1309" i="64"/>
  <c r="J1309" i="64"/>
  <c r="M1309" i="64"/>
  <c r="N1309" i="64" s="1"/>
  <c r="A1310" i="64"/>
  <c r="B1310" i="64"/>
  <c r="J1310" i="64"/>
  <c r="M1310" i="64"/>
  <c r="N1310" i="64" s="1"/>
  <c r="A1311" i="64"/>
  <c r="B1311" i="64"/>
  <c r="J1311" i="64"/>
  <c r="M1311" i="64"/>
  <c r="N1311" i="64" s="1"/>
  <c r="A1312" i="64"/>
  <c r="B1312" i="64"/>
  <c r="J1312" i="64"/>
  <c r="M1312" i="64"/>
  <c r="N1312" i="64" s="1"/>
  <c r="A1313" i="64"/>
  <c r="B1313" i="64"/>
  <c r="J1313" i="64"/>
  <c r="M1313" i="64"/>
  <c r="N1313" i="64" s="1"/>
  <c r="A1314" i="64"/>
  <c r="B1314" i="64"/>
  <c r="J1314" i="64"/>
  <c r="M1314" i="64"/>
  <c r="N1314" i="64" s="1"/>
  <c r="A1315" i="64"/>
  <c r="B1315" i="64"/>
  <c r="J1315" i="64"/>
  <c r="M1315" i="64"/>
  <c r="N1315" i="64" s="1"/>
  <c r="A1316" i="64"/>
  <c r="B1316" i="64"/>
  <c r="J1316" i="64"/>
  <c r="M1316" i="64"/>
  <c r="N1316" i="64" s="1"/>
  <c r="A1317" i="64"/>
  <c r="B1317" i="64"/>
  <c r="J1317" i="64"/>
  <c r="M1317" i="64"/>
  <c r="N1317" i="64" s="1"/>
  <c r="A1318" i="64"/>
  <c r="B1318" i="64"/>
  <c r="J1318" i="64"/>
  <c r="M1318" i="64"/>
  <c r="N1318" i="64" s="1"/>
  <c r="A1319" i="64"/>
  <c r="B1319" i="64"/>
  <c r="J1319" i="64"/>
  <c r="M1319" i="64"/>
  <c r="N1319" i="64" s="1"/>
  <c r="A1320" i="64"/>
  <c r="B1320" i="64"/>
  <c r="J1320" i="64"/>
  <c r="M1320" i="64"/>
  <c r="N1320" i="64" s="1"/>
  <c r="A1321" i="64"/>
  <c r="B1321" i="64"/>
  <c r="J1321" i="64"/>
  <c r="M1321" i="64"/>
  <c r="N1321" i="64" s="1"/>
  <c r="A1322" i="64"/>
  <c r="B1322" i="64"/>
  <c r="J1322" i="64"/>
  <c r="M1322" i="64"/>
  <c r="N1322" i="64" s="1"/>
  <c r="A1323" i="64"/>
  <c r="B1323" i="64"/>
  <c r="J1323" i="64"/>
  <c r="M1323" i="64"/>
  <c r="N1323" i="64" s="1"/>
  <c r="A1324" i="64"/>
  <c r="B1324" i="64"/>
  <c r="J1324" i="64"/>
  <c r="M1324" i="64"/>
  <c r="N1324" i="64" s="1"/>
  <c r="A1325" i="64"/>
  <c r="B1325" i="64"/>
  <c r="J1325" i="64"/>
  <c r="M1325" i="64"/>
  <c r="N1325" i="64" s="1"/>
  <c r="A1326" i="64"/>
  <c r="B1326" i="64"/>
  <c r="J1326" i="64"/>
  <c r="M1326" i="64"/>
  <c r="N1326" i="64" s="1"/>
  <c r="A1327" i="64"/>
  <c r="B1327" i="64"/>
  <c r="J1327" i="64"/>
  <c r="M1327" i="64"/>
  <c r="N1327" i="64" s="1"/>
  <c r="A1328" i="64"/>
  <c r="B1328" i="64"/>
  <c r="J1328" i="64"/>
  <c r="M1328" i="64"/>
  <c r="N1328" i="64" s="1"/>
  <c r="A1329" i="64"/>
  <c r="B1329" i="64"/>
  <c r="J1329" i="64"/>
  <c r="M1329" i="64"/>
  <c r="N1329" i="64" s="1"/>
  <c r="A1330" i="64"/>
  <c r="B1330" i="64"/>
  <c r="J1330" i="64"/>
  <c r="M1330" i="64"/>
  <c r="N1330" i="64" s="1"/>
  <c r="A1331" i="64"/>
  <c r="B1331" i="64"/>
  <c r="J1331" i="64"/>
  <c r="M1331" i="64"/>
  <c r="N1331" i="64" s="1"/>
  <c r="A1332" i="64"/>
  <c r="B1332" i="64"/>
  <c r="J1332" i="64"/>
  <c r="M1332" i="64"/>
  <c r="N1332" i="64" s="1"/>
  <c r="A1333" i="64"/>
  <c r="B1333" i="64"/>
  <c r="J1333" i="64"/>
  <c r="M1333" i="64"/>
  <c r="N1333" i="64" s="1"/>
  <c r="A1334" i="64"/>
  <c r="B1334" i="64"/>
  <c r="J1334" i="64"/>
  <c r="M1334" i="64"/>
  <c r="N1334" i="64" s="1"/>
  <c r="A1416" i="64"/>
  <c r="B1416" i="64"/>
  <c r="J1416" i="64"/>
  <c r="M1416" i="64"/>
  <c r="N1416" i="64" s="1"/>
  <c r="A1417" i="64"/>
  <c r="B1417" i="64"/>
  <c r="J1417" i="64"/>
  <c r="M1417" i="64"/>
  <c r="N1417" i="64" s="1"/>
  <c r="A1418" i="64"/>
  <c r="B1418" i="64"/>
  <c r="J1418" i="64"/>
  <c r="M1418" i="64"/>
  <c r="N1418" i="64" s="1"/>
  <c r="A1419" i="64"/>
  <c r="B1419" i="64"/>
  <c r="J1419" i="64"/>
  <c r="M1419" i="64"/>
  <c r="N1419" i="64" s="1"/>
  <c r="A1420" i="64"/>
  <c r="B1420" i="64"/>
  <c r="J1420" i="64"/>
  <c r="M1420" i="64"/>
  <c r="N1420" i="64" s="1"/>
  <c r="A1421" i="64"/>
  <c r="B1421" i="64"/>
  <c r="J1421" i="64"/>
  <c r="M1421" i="64"/>
  <c r="N1421" i="64" s="1"/>
  <c r="A1422" i="64"/>
  <c r="B1422" i="64"/>
  <c r="J1422" i="64"/>
  <c r="M1422" i="64"/>
  <c r="N1422" i="64" s="1"/>
  <c r="A1423" i="64"/>
  <c r="B1423" i="64"/>
  <c r="J1423" i="64"/>
  <c r="M1423" i="64"/>
  <c r="N1423" i="64" s="1"/>
  <c r="A1424" i="64"/>
  <c r="B1424" i="64"/>
  <c r="J1424" i="64"/>
  <c r="M1424" i="64"/>
  <c r="N1424" i="64" s="1"/>
  <c r="A1425" i="64"/>
  <c r="B1425" i="64"/>
  <c r="J1425" i="64"/>
  <c r="M1425" i="64"/>
  <c r="N1425" i="64" s="1"/>
  <c r="A1426" i="64"/>
  <c r="B1426" i="64"/>
  <c r="J1426" i="64"/>
  <c r="M1426" i="64"/>
  <c r="N1426" i="64" s="1"/>
  <c r="A1427" i="64"/>
  <c r="B1427" i="64"/>
  <c r="J1427" i="64"/>
  <c r="M1427" i="64"/>
  <c r="N1427" i="64" s="1"/>
  <c r="A1428" i="64"/>
  <c r="B1428" i="64"/>
  <c r="J1428" i="64"/>
  <c r="M1428" i="64"/>
  <c r="N1428" i="64" s="1"/>
  <c r="A1429" i="64"/>
  <c r="B1429" i="64"/>
  <c r="J1429" i="64"/>
  <c r="M1429" i="64"/>
  <c r="N1429" i="64" s="1"/>
  <c r="A1430" i="64"/>
  <c r="B1430" i="64"/>
  <c r="J1430" i="64"/>
  <c r="M1430" i="64"/>
  <c r="N1430" i="64" s="1"/>
  <c r="A1431" i="64"/>
  <c r="B1431" i="64"/>
  <c r="J1431" i="64"/>
  <c r="M1431" i="64"/>
  <c r="N1431" i="64" s="1"/>
  <c r="A1432" i="64"/>
  <c r="B1432" i="64"/>
  <c r="J1432" i="64"/>
  <c r="M1432" i="64"/>
  <c r="N1432" i="64" s="1"/>
  <c r="A1433" i="64"/>
  <c r="B1433" i="64"/>
  <c r="J1433" i="64"/>
  <c r="M1433" i="64"/>
  <c r="N1433" i="64" s="1"/>
  <c r="A1434" i="64"/>
  <c r="B1434" i="64"/>
  <c r="J1434" i="64"/>
  <c r="M1434" i="64"/>
  <c r="N1434" i="64" s="1"/>
  <c r="A1435" i="64"/>
  <c r="B1435" i="64"/>
  <c r="J1435" i="64"/>
  <c r="M1435" i="64"/>
  <c r="N1435" i="64" s="1"/>
  <c r="A1436" i="64"/>
  <c r="B1436" i="64"/>
  <c r="J1436" i="64"/>
  <c r="M1436" i="64"/>
  <c r="N1436" i="64" s="1"/>
  <c r="A1437" i="64"/>
  <c r="B1437" i="64"/>
  <c r="J1437" i="64"/>
  <c r="M1437" i="64"/>
  <c r="N1437" i="64" s="1"/>
  <c r="A1438" i="64"/>
  <c r="B1438" i="64"/>
  <c r="J1438" i="64"/>
  <c r="M1438" i="64"/>
  <c r="N1438" i="64" s="1"/>
  <c r="A1439" i="64"/>
  <c r="B1439" i="64"/>
  <c r="J1439" i="64"/>
  <c r="M1439" i="64"/>
  <c r="N1439" i="64" s="1"/>
  <c r="A1440" i="64"/>
  <c r="B1440" i="64"/>
  <c r="J1440" i="64"/>
  <c r="M1440" i="64"/>
  <c r="N1440" i="64" s="1"/>
  <c r="A1441" i="64"/>
  <c r="B1441" i="64"/>
  <c r="J1441" i="64"/>
  <c r="M1441" i="64"/>
  <c r="N1441" i="64" s="1"/>
  <c r="A1442" i="64"/>
  <c r="B1442" i="64"/>
  <c r="J1442" i="64"/>
  <c r="M1442" i="64"/>
  <c r="N1442" i="64" s="1"/>
  <c r="A1443" i="64"/>
  <c r="B1443" i="64"/>
  <c r="J1443" i="64"/>
  <c r="M1443" i="64"/>
  <c r="N1443" i="64" s="1"/>
  <c r="A1444" i="64"/>
  <c r="B1444" i="64"/>
  <c r="J1444" i="64"/>
  <c r="M1444" i="64"/>
  <c r="N1444" i="64" s="1"/>
  <c r="H1222" i="64" l="1"/>
  <c r="H1223" i="64"/>
  <c r="H1224" i="64"/>
  <c r="H1225" i="64"/>
  <c r="H1226" i="64"/>
  <c r="H1227" i="64"/>
  <c r="H1228" i="64"/>
  <c r="H1229" i="64"/>
  <c r="H1230" i="64"/>
  <c r="H1231" i="64"/>
  <c r="H1232" i="64"/>
  <c r="H1233" i="64"/>
  <c r="H1234" i="64"/>
  <c r="H1235" i="64"/>
  <c r="G1222" i="64"/>
  <c r="G1223" i="64"/>
  <c r="G1224" i="64"/>
  <c r="G1225" i="64"/>
  <c r="G1226" i="64"/>
  <c r="G1227" i="64"/>
  <c r="G1228" i="64"/>
  <c r="G1229" i="64"/>
  <c r="G1230" i="64"/>
  <c r="G1231" i="64"/>
  <c r="G1232" i="64"/>
  <c r="G1233" i="64"/>
  <c r="G1234" i="64"/>
  <c r="G1235" i="64"/>
  <c r="F1222" i="64"/>
  <c r="F1223" i="64"/>
  <c r="F1224" i="64"/>
  <c r="F1225" i="64"/>
  <c r="F1226" i="64"/>
  <c r="F1227" i="64"/>
  <c r="F1228" i="64"/>
  <c r="F1229" i="64"/>
  <c r="F1230" i="64"/>
  <c r="F1231" i="64"/>
  <c r="F1232" i="64"/>
  <c r="F1233" i="64"/>
  <c r="F1234" i="64"/>
  <c r="F1235" i="64"/>
  <c r="H1202" i="64"/>
  <c r="H1203" i="64"/>
  <c r="H1204" i="64"/>
  <c r="H1205" i="64"/>
  <c r="H1206" i="64"/>
  <c r="H1207" i="64"/>
  <c r="H1208" i="64"/>
  <c r="H1209" i="64"/>
  <c r="H1210" i="64"/>
  <c r="H1211" i="64"/>
  <c r="H1212" i="64"/>
  <c r="H1213" i="64"/>
  <c r="H1214" i="64"/>
  <c r="H1215" i="64"/>
  <c r="H1216" i="64"/>
  <c r="H1217" i="64"/>
  <c r="H1218" i="64"/>
  <c r="H1219" i="64"/>
  <c r="H1220" i="64"/>
  <c r="H1221" i="64"/>
  <c r="G1202" i="64"/>
  <c r="G1203" i="64"/>
  <c r="G1204" i="64"/>
  <c r="G1205" i="64"/>
  <c r="G1206" i="64"/>
  <c r="G1207" i="64"/>
  <c r="G1208" i="64"/>
  <c r="G1209" i="64"/>
  <c r="G1210" i="64"/>
  <c r="G1211" i="64"/>
  <c r="G1212" i="64"/>
  <c r="G1213" i="64"/>
  <c r="G1214" i="64"/>
  <c r="G1215" i="64"/>
  <c r="G1216" i="64"/>
  <c r="G1217" i="64"/>
  <c r="G1218" i="64"/>
  <c r="G1219" i="64"/>
  <c r="G1220" i="64"/>
  <c r="G1221" i="64"/>
  <c r="F1202" i="64"/>
  <c r="F1203" i="64"/>
  <c r="F1204" i="64"/>
  <c r="F1205" i="64"/>
  <c r="F1206" i="64"/>
  <c r="F1207" i="64"/>
  <c r="F1208" i="64"/>
  <c r="F1209" i="64"/>
  <c r="F1210" i="64"/>
  <c r="F1211" i="64"/>
  <c r="F1212" i="64"/>
  <c r="F1213" i="64"/>
  <c r="F1214" i="64"/>
  <c r="F1215" i="64"/>
  <c r="F1216" i="64"/>
  <c r="F1217" i="64"/>
  <c r="F1218" i="64"/>
  <c r="F1219" i="64"/>
  <c r="F1220" i="64"/>
  <c r="F1221" i="64"/>
  <c r="A1206" i="64"/>
  <c r="B1206" i="64"/>
  <c r="J1206" i="64"/>
  <c r="M1206" i="64"/>
  <c r="N1206" i="64" s="1"/>
  <c r="A1207" i="64"/>
  <c r="B1207" i="64"/>
  <c r="J1207" i="64"/>
  <c r="M1207" i="64"/>
  <c r="N1207" i="64" s="1"/>
  <c r="A1208" i="64"/>
  <c r="B1208" i="64"/>
  <c r="J1208" i="64"/>
  <c r="M1208" i="64"/>
  <c r="N1208" i="64" s="1"/>
  <c r="A1209" i="64"/>
  <c r="B1209" i="64"/>
  <c r="J1209" i="64"/>
  <c r="M1209" i="64"/>
  <c r="N1209" i="64" s="1"/>
  <c r="A1210" i="64"/>
  <c r="B1210" i="64"/>
  <c r="J1210" i="64"/>
  <c r="M1210" i="64"/>
  <c r="N1210" i="64" s="1"/>
  <c r="A1211" i="64"/>
  <c r="B1211" i="64"/>
  <c r="J1211" i="64"/>
  <c r="M1211" i="64"/>
  <c r="N1211" i="64" s="1"/>
  <c r="A1212" i="64"/>
  <c r="B1212" i="64"/>
  <c r="J1212" i="64"/>
  <c r="M1212" i="64"/>
  <c r="N1212" i="64" s="1"/>
  <c r="A1213" i="64"/>
  <c r="B1213" i="64"/>
  <c r="J1213" i="64"/>
  <c r="M1213" i="64"/>
  <c r="N1213" i="64" s="1"/>
  <c r="A1214" i="64"/>
  <c r="B1214" i="64"/>
  <c r="J1214" i="64"/>
  <c r="M1214" i="64"/>
  <c r="N1214" i="64" s="1"/>
  <c r="A1215" i="64"/>
  <c r="B1215" i="64"/>
  <c r="J1215" i="64"/>
  <c r="M1215" i="64"/>
  <c r="N1215" i="64" s="1"/>
  <c r="A1216" i="64"/>
  <c r="B1216" i="64"/>
  <c r="J1216" i="64"/>
  <c r="M1216" i="64"/>
  <c r="N1216" i="64" s="1"/>
  <c r="A1217" i="64"/>
  <c r="B1217" i="64"/>
  <c r="J1217" i="64"/>
  <c r="M1217" i="64"/>
  <c r="N1217" i="64" s="1"/>
  <c r="A1218" i="64"/>
  <c r="B1218" i="64"/>
  <c r="J1218" i="64"/>
  <c r="M1218" i="64"/>
  <c r="N1218" i="64" s="1"/>
  <c r="A1204" i="64"/>
  <c r="B1204" i="64"/>
  <c r="J1204" i="64"/>
  <c r="M1204" i="64"/>
  <c r="N1204" i="64" s="1"/>
  <c r="A1205" i="64"/>
  <c r="B1205" i="64"/>
  <c r="J1205" i="64"/>
  <c r="M1205" i="64"/>
  <c r="N1205" i="64" s="1"/>
  <c r="A1219" i="64"/>
  <c r="B1219" i="64"/>
  <c r="J1219" i="64"/>
  <c r="M1219" i="64"/>
  <c r="N1219" i="64" s="1"/>
  <c r="A1220" i="64"/>
  <c r="B1220" i="64"/>
  <c r="J1220" i="64"/>
  <c r="M1220" i="64"/>
  <c r="N1220" i="64" s="1"/>
  <c r="A1221" i="64"/>
  <c r="B1221" i="64"/>
  <c r="J1221" i="64"/>
  <c r="M1221" i="64"/>
  <c r="N1221" i="64" s="1"/>
  <c r="A1222" i="64"/>
  <c r="B1222" i="64"/>
  <c r="J1222" i="64"/>
  <c r="M1222" i="64"/>
  <c r="N1222" i="64" s="1"/>
  <c r="A1223" i="64"/>
  <c r="B1223" i="64"/>
  <c r="J1223" i="64"/>
  <c r="M1223" i="64"/>
  <c r="N1223" i="64" s="1"/>
  <c r="A1224" i="64"/>
  <c r="B1224" i="64"/>
  <c r="J1224" i="64"/>
  <c r="M1224" i="64"/>
  <c r="N1224" i="64" s="1"/>
  <c r="A1225" i="64"/>
  <c r="B1225" i="64"/>
  <c r="J1225" i="64"/>
  <c r="M1225" i="64"/>
  <c r="N1225" i="64" s="1"/>
  <c r="A1226" i="64"/>
  <c r="B1226" i="64"/>
  <c r="J1226" i="64"/>
  <c r="M1226" i="64"/>
  <c r="N1226" i="64" s="1"/>
  <c r="A1227" i="64"/>
  <c r="B1227" i="64"/>
  <c r="J1227" i="64"/>
  <c r="M1227" i="64"/>
  <c r="N1227" i="64" s="1"/>
  <c r="A1228" i="64"/>
  <c r="B1228" i="64"/>
  <c r="J1228" i="64"/>
  <c r="N1228" i="64"/>
  <c r="A1229" i="64"/>
  <c r="B1229" i="64"/>
  <c r="J1229" i="64"/>
  <c r="M1229" i="64"/>
  <c r="N1229" i="64" s="1"/>
  <c r="A1230" i="64"/>
  <c r="B1230" i="64"/>
  <c r="J1230" i="64"/>
  <c r="M1230" i="64"/>
  <c r="N1230" i="64" s="1"/>
  <c r="A1231" i="64"/>
  <c r="B1231" i="64"/>
  <c r="J1231" i="64"/>
  <c r="M1231" i="64"/>
  <c r="N1231" i="64" s="1"/>
  <c r="A1232" i="64"/>
  <c r="B1232" i="64"/>
  <c r="J1232" i="64"/>
  <c r="M1232" i="64"/>
  <c r="N1232" i="64" s="1"/>
  <c r="A1233" i="64"/>
  <c r="B1233" i="64"/>
  <c r="J1233" i="64"/>
  <c r="M1233" i="64"/>
  <c r="N1233" i="64" s="1"/>
  <c r="A1234" i="64"/>
  <c r="B1234" i="64"/>
  <c r="J1234" i="64"/>
  <c r="M1234" i="64"/>
  <c r="N1234" i="64" s="1"/>
  <c r="A1235" i="64"/>
  <c r="B1235" i="64"/>
  <c r="J1235" i="64"/>
  <c r="M1235" i="64"/>
  <c r="N1235" i="64" s="1"/>
  <c r="A1236" i="64"/>
  <c r="B1236" i="64"/>
  <c r="J1236" i="64"/>
  <c r="M1236" i="64"/>
  <c r="N1236" i="64" s="1"/>
  <c r="A1237" i="64"/>
  <c r="B1237" i="64"/>
  <c r="J1237" i="64"/>
  <c r="M1237" i="64"/>
  <c r="N1237" i="64" s="1"/>
  <c r="A1238" i="64"/>
  <c r="B1238" i="64"/>
  <c r="J1238" i="64"/>
  <c r="M1238" i="64"/>
  <c r="N1238" i="64" s="1"/>
  <c r="A1239" i="64"/>
  <c r="J1239" i="64"/>
  <c r="M1239" i="64"/>
  <c r="N1239" i="64" s="1"/>
  <c r="A1240" i="64"/>
  <c r="B1240" i="64"/>
  <c r="J1240" i="64"/>
  <c r="M1240" i="64"/>
  <c r="N1240" i="64" s="1"/>
  <c r="A1241" i="64"/>
  <c r="B1241" i="64"/>
  <c r="J1241" i="64"/>
  <c r="M1241" i="64"/>
  <c r="N1241" i="64" s="1"/>
  <c r="A1242" i="64"/>
  <c r="B1242" i="64"/>
  <c r="J1242" i="64"/>
  <c r="M1242" i="64"/>
  <c r="N1242" i="64" s="1"/>
  <c r="A1243" i="64"/>
  <c r="B1243" i="64"/>
  <c r="J1243" i="64"/>
  <c r="M1243" i="64"/>
  <c r="N1243" i="64" s="1"/>
  <c r="A1244" i="64"/>
  <c r="B1244" i="64"/>
  <c r="J1244" i="64"/>
  <c r="M1244" i="64"/>
  <c r="N1244" i="64" s="1"/>
  <c r="A1245" i="64"/>
  <c r="B1245" i="64"/>
  <c r="J1245" i="64"/>
  <c r="M1245" i="64"/>
  <c r="N1245" i="64" s="1"/>
  <c r="A1246" i="64"/>
  <c r="B1246" i="64"/>
  <c r="J1246" i="64"/>
  <c r="M1246" i="64"/>
  <c r="N1246" i="64" s="1"/>
  <c r="A1247" i="64"/>
  <c r="B1247" i="64"/>
  <c r="J1247" i="64"/>
  <c r="M1247" i="64"/>
  <c r="N1247" i="64" s="1"/>
  <c r="A1248" i="64"/>
  <c r="B1248" i="64"/>
  <c r="J1248" i="64"/>
  <c r="M1248" i="64"/>
  <c r="N1248" i="64" s="1"/>
  <c r="A1249" i="64"/>
  <c r="B1249" i="64"/>
  <c r="J1249" i="64"/>
  <c r="M1249" i="64"/>
  <c r="N1249" i="64" s="1"/>
  <c r="A1250" i="64"/>
  <c r="B1250" i="64"/>
  <c r="J1250" i="64"/>
  <c r="M1250" i="64"/>
  <c r="N1250" i="64" s="1"/>
  <c r="A1251" i="64"/>
  <c r="B1251" i="64"/>
  <c r="J1251" i="64"/>
  <c r="M1251" i="64"/>
  <c r="N1251" i="64" s="1"/>
  <c r="A1252" i="64"/>
  <c r="B1252" i="64"/>
  <c r="J1252" i="64"/>
  <c r="M1252" i="64"/>
  <c r="N1252" i="64" s="1"/>
  <c r="A1253" i="64"/>
  <c r="B1253" i="64"/>
  <c r="J1253" i="64"/>
  <c r="M1253" i="64"/>
  <c r="N1253" i="64" s="1"/>
  <c r="A1254" i="64"/>
  <c r="B1254" i="64"/>
  <c r="J1254" i="64"/>
  <c r="M1254" i="64"/>
  <c r="N1254" i="64" s="1"/>
  <c r="A1255" i="64"/>
  <c r="B1255" i="64"/>
  <c r="J1255" i="64"/>
  <c r="M1255" i="64"/>
  <c r="N1255" i="64" s="1"/>
  <c r="A1445" i="64"/>
  <c r="B1445" i="64"/>
  <c r="J1445" i="64"/>
  <c r="M1445" i="64"/>
  <c r="N1445" i="64" s="1"/>
  <c r="A1446" i="64"/>
  <c r="B1446" i="64"/>
  <c r="J1446" i="64"/>
  <c r="M1446" i="64"/>
  <c r="N1446" i="64" s="1"/>
  <c r="A1447" i="64"/>
  <c r="B1447" i="64"/>
  <c r="J1447" i="64"/>
  <c r="M1447" i="64"/>
  <c r="N1447" i="64" s="1"/>
  <c r="A1448" i="64"/>
  <c r="B1448" i="64"/>
  <c r="J1448" i="64"/>
  <c r="M1448" i="64"/>
  <c r="N1448" i="64" s="1"/>
  <c r="A1449" i="64"/>
  <c r="B1449" i="64"/>
  <c r="J1449" i="64"/>
  <c r="M1449" i="64"/>
  <c r="N1449" i="64" s="1"/>
  <c r="A1450" i="64"/>
  <c r="B1450" i="64"/>
  <c r="J1450" i="64"/>
  <c r="M1450" i="64"/>
  <c r="N1450" i="64" s="1"/>
  <c r="A1451" i="64"/>
  <c r="B1451" i="64"/>
  <c r="J1451" i="64"/>
  <c r="M1451" i="64"/>
  <c r="N1451" i="64" s="1"/>
  <c r="A1452" i="64"/>
  <c r="B1452" i="64"/>
  <c r="J1452" i="64"/>
  <c r="M1452" i="64"/>
  <c r="N1452" i="64" s="1"/>
  <c r="A1453" i="64"/>
  <c r="B1453" i="64"/>
  <c r="J1453" i="64"/>
  <c r="M1453" i="64"/>
  <c r="N1453" i="64" s="1"/>
  <c r="A1454" i="64"/>
  <c r="B1454" i="64"/>
  <c r="J1454" i="64"/>
  <c r="M1454" i="64"/>
  <c r="N1454" i="64" s="1"/>
  <c r="A1455" i="64"/>
  <c r="B1455" i="64"/>
  <c r="J1455" i="64"/>
  <c r="M1455" i="64"/>
  <c r="N1455" i="64" s="1"/>
  <c r="H1187" i="64"/>
  <c r="H1188" i="64"/>
  <c r="H1189" i="64"/>
  <c r="H1190" i="64"/>
  <c r="H1191" i="64"/>
  <c r="H1192" i="64"/>
  <c r="H1193" i="64"/>
  <c r="H1194" i="64"/>
  <c r="H1195" i="64"/>
  <c r="H1196" i="64"/>
  <c r="H1197" i="64"/>
  <c r="H1198" i="64"/>
  <c r="H1199" i="64"/>
  <c r="H1200" i="64"/>
  <c r="H1201" i="64"/>
  <c r="G1187" i="64"/>
  <c r="G1188" i="64"/>
  <c r="G1189" i="64"/>
  <c r="G1190" i="64"/>
  <c r="G1191" i="64"/>
  <c r="G1192" i="64"/>
  <c r="G1193" i="64"/>
  <c r="G1194" i="64"/>
  <c r="G1195" i="64"/>
  <c r="G1196" i="64"/>
  <c r="G1197" i="64"/>
  <c r="G1198" i="64"/>
  <c r="G1199" i="64"/>
  <c r="G1200" i="64"/>
  <c r="G1201" i="64"/>
  <c r="F1187" i="64"/>
  <c r="F1188" i="64"/>
  <c r="F1189" i="64"/>
  <c r="F1190" i="64"/>
  <c r="F1191" i="64"/>
  <c r="F1192" i="64"/>
  <c r="F1193" i="64"/>
  <c r="F1194" i="64"/>
  <c r="F1195" i="64"/>
  <c r="F1196" i="64"/>
  <c r="F1197" i="64"/>
  <c r="F1198" i="64"/>
  <c r="F1199" i="64"/>
  <c r="F1200" i="64"/>
  <c r="F1201" i="64"/>
  <c r="H1171" i="64"/>
  <c r="H1172" i="64"/>
  <c r="H1173" i="64"/>
  <c r="H1174" i="64"/>
  <c r="H1175" i="64"/>
  <c r="H1176" i="64"/>
  <c r="H1177" i="64"/>
  <c r="H1178" i="64"/>
  <c r="H1179" i="64"/>
  <c r="H1180" i="64"/>
  <c r="H1181" i="64"/>
  <c r="H1182" i="64"/>
  <c r="H1183" i="64"/>
  <c r="H1184" i="64"/>
  <c r="H1185" i="64"/>
  <c r="H1186" i="64"/>
  <c r="G1171" i="64"/>
  <c r="G1172" i="64"/>
  <c r="G1173" i="64"/>
  <c r="G1174" i="64"/>
  <c r="G1175" i="64"/>
  <c r="G1176" i="64"/>
  <c r="G1177" i="64"/>
  <c r="G1178" i="64"/>
  <c r="G1179" i="64"/>
  <c r="G1180" i="64"/>
  <c r="G1181" i="64"/>
  <c r="G1182" i="64"/>
  <c r="G1183" i="64"/>
  <c r="G1184" i="64"/>
  <c r="G1185" i="64"/>
  <c r="G1186" i="64"/>
  <c r="F1171" i="64"/>
  <c r="F1172" i="64"/>
  <c r="F1173" i="64"/>
  <c r="F1174" i="64"/>
  <c r="F1175" i="64"/>
  <c r="F1176" i="64"/>
  <c r="F1177" i="64"/>
  <c r="F1178" i="64"/>
  <c r="F1179" i="64"/>
  <c r="F1180" i="64"/>
  <c r="F1181" i="64"/>
  <c r="F1182" i="64"/>
  <c r="F1183" i="64"/>
  <c r="F1184" i="64"/>
  <c r="F1185" i="64"/>
  <c r="F1186" i="64"/>
  <c r="N149" i="68" l="1"/>
  <c r="N147" i="68"/>
  <c r="N148" i="68"/>
  <c r="H1157" i="64"/>
  <c r="H1158" i="64"/>
  <c r="H1159" i="64"/>
  <c r="H1160" i="64"/>
  <c r="H1161" i="64"/>
  <c r="H1162" i="64"/>
  <c r="H1163" i="64"/>
  <c r="H1164" i="64"/>
  <c r="H1165" i="64"/>
  <c r="H1166" i="64"/>
  <c r="H1167" i="64"/>
  <c r="H1168" i="64"/>
  <c r="H1169" i="64"/>
  <c r="H1170" i="64"/>
  <c r="G1157" i="64"/>
  <c r="G1158" i="64"/>
  <c r="G1159" i="64"/>
  <c r="G1160" i="64"/>
  <c r="G1161" i="64"/>
  <c r="G1163" i="64"/>
  <c r="G1164" i="64"/>
  <c r="G1165" i="64"/>
  <c r="G1166" i="64"/>
  <c r="G1167" i="64"/>
  <c r="G1168" i="64"/>
  <c r="G1169" i="64"/>
  <c r="G1170" i="64"/>
  <c r="F1157" i="64"/>
  <c r="F1158" i="64"/>
  <c r="F1159" i="64"/>
  <c r="F1160" i="64"/>
  <c r="F1161" i="64"/>
  <c r="F1162" i="64"/>
  <c r="F1163" i="64"/>
  <c r="F1164" i="64"/>
  <c r="F1165" i="64"/>
  <c r="F1166" i="64"/>
  <c r="F1167" i="64"/>
  <c r="F1168" i="64"/>
  <c r="F1169" i="64"/>
  <c r="F1170" i="64"/>
  <c r="H1156" i="64"/>
  <c r="G1156" i="64"/>
  <c r="F1156" i="64"/>
  <c r="H1144" i="64"/>
  <c r="H1145" i="64"/>
  <c r="H1146" i="64"/>
  <c r="H1147" i="64"/>
  <c r="H1148" i="64"/>
  <c r="H1149" i="64"/>
  <c r="H1150" i="64"/>
  <c r="H1151" i="64"/>
  <c r="H1152" i="64"/>
  <c r="H1153" i="64"/>
  <c r="H1154" i="64"/>
  <c r="H1155" i="64"/>
  <c r="G1144" i="64"/>
  <c r="G1145" i="64"/>
  <c r="G1146" i="64"/>
  <c r="G1147" i="64"/>
  <c r="G1148" i="64"/>
  <c r="G1149" i="64"/>
  <c r="G1150" i="64"/>
  <c r="G1151" i="64"/>
  <c r="G1152" i="64"/>
  <c r="G1153" i="64"/>
  <c r="G1154" i="64"/>
  <c r="G1155" i="64"/>
  <c r="F1144" i="64"/>
  <c r="F1145" i="64"/>
  <c r="F1146" i="64"/>
  <c r="F1147" i="64"/>
  <c r="F1148" i="64"/>
  <c r="F1149" i="64"/>
  <c r="F1150" i="64"/>
  <c r="F1151" i="64"/>
  <c r="F1152" i="64"/>
  <c r="F1153" i="64"/>
  <c r="F1154" i="64"/>
  <c r="F1155" i="64"/>
  <c r="H1128" i="64"/>
  <c r="H1129" i="64"/>
  <c r="H1130" i="64"/>
  <c r="H1131" i="64"/>
  <c r="H1132" i="64"/>
  <c r="H1133" i="64"/>
  <c r="H1134" i="64"/>
  <c r="H1135" i="64"/>
  <c r="H1136" i="64"/>
  <c r="H1137" i="64"/>
  <c r="H1138" i="64"/>
  <c r="H1139" i="64"/>
  <c r="H1140" i="64"/>
  <c r="H1141" i="64"/>
  <c r="H1142" i="64"/>
  <c r="H1143" i="64"/>
  <c r="G1128" i="64"/>
  <c r="G1129" i="64"/>
  <c r="G1130" i="64"/>
  <c r="G1131" i="64"/>
  <c r="G1132" i="64"/>
  <c r="G1133" i="64"/>
  <c r="G1134" i="64"/>
  <c r="G1135" i="64"/>
  <c r="G1136" i="64"/>
  <c r="G1137" i="64"/>
  <c r="G1138" i="64"/>
  <c r="G1139" i="64"/>
  <c r="G1140" i="64"/>
  <c r="G1141" i="64"/>
  <c r="G1142" i="64"/>
  <c r="G1143" i="64"/>
  <c r="F1128" i="64"/>
  <c r="F1129" i="64"/>
  <c r="F1130" i="64"/>
  <c r="F1131" i="64"/>
  <c r="F1132" i="64"/>
  <c r="F1133" i="64"/>
  <c r="F1134" i="64"/>
  <c r="F1135" i="64"/>
  <c r="F1136" i="64"/>
  <c r="F1137" i="64"/>
  <c r="F1138" i="64"/>
  <c r="F1139" i="64"/>
  <c r="F1140" i="64"/>
  <c r="F1141" i="64"/>
  <c r="F1142" i="64"/>
  <c r="F1143" i="64"/>
  <c r="H1112" i="64"/>
  <c r="H1113" i="64"/>
  <c r="H1114" i="64"/>
  <c r="H1115" i="64"/>
  <c r="H1116" i="64"/>
  <c r="H1117" i="64"/>
  <c r="H1118" i="64"/>
  <c r="H1119" i="64"/>
  <c r="H1120" i="64"/>
  <c r="H1121" i="64"/>
  <c r="H1122" i="64"/>
  <c r="H1123" i="64"/>
  <c r="H1124" i="64"/>
  <c r="H1125" i="64"/>
  <c r="H1126" i="64"/>
  <c r="H1127" i="64"/>
  <c r="G1112" i="64"/>
  <c r="G1113" i="64"/>
  <c r="G1114" i="64"/>
  <c r="G1115" i="64"/>
  <c r="G1116" i="64"/>
  <c r="G1117" i="64"/>
  <c r="G1118" i="64"/>
  <c r="G1119" i="64"/>
  <c r="G1120" i="64"/>
  <c r="G1121" i="64"/>
  <c r="G1122" i="64"/>
  <c r="G1123" i="64"/>
  <c r="G1124" i="64"/>
  <c r="G1125" i="64"/>
  <c r="G1126" i="64"/>
  <c r="G1127" i="64"/>
  <c r="F1112" i="64"/>
  <c r="F1113" i="64"/>
  <c r="F1114" i="64"/>
  <c r="F1115" i="64"/>
  <c r="F1116" i="64"/>
  <c r="F1117" i="64"/>
  <c r="F1118" i="64"/>
  <c r="F1119" i="64"/>
  <c r="F1120" i="64"/>
  <c r="F1121" i="64"/>
  <c r="F1122" i="64"/>
  <c r="F1123" i="64"/>
  <c r="F1124" i="64"/>
  <c r="F1125" i="64"/>
  <c r="F1126" i="64"/>
  <c r="F1127" i="64"/>
  <c r="N150" i="68" l="1"/>
  <c r="A1126" i="64"/>
  <c r="B1126" i="64"/>
  <c r="J1126" i="64"/>
  <c r="M1126" i="64"/>
  <c r="N1126" i="64" s="1"/>
  <c r="A1127" i="64"/>
  <c r="B1127" i="64"/>
  <c r="J1127" i="64"/>
  <c r="M1127" i="64"/>
  <c r="N1127" i="64" s="1"/>
  <c r="A1128" i="64"/>
  <c r="B1128" i="64"/>
  <c r="J1128" i="64"/>
  <c r="M1128" i="64"/>
  <c r="N1128" i="64" s="1"/>
  <c r="A1129" i="64"/>
  <c r="B1129" i="64"/>
  <c r="J1129" i="64"/>
  <c r="M1129" i="64"/>
  <c r="N1129" i="64" s="1"/>
  <c r="A1130" i="64"/>
  <c r="B1130" i="64"/>
  <c r="J1130" i="64"/>
  <c r="M1130" i="64"/>
  <c r="N1130" i="64" s="1"/>
  <c r="A1131" i="64"/>
  <c r="B1131" i="64"/>
  <c r="J1131" i="64"/>
  <c r="M1131" i="64"/>
  <c r="N1131" i="64" s="1"/>
  <c r="A1132" i="64"/>
  <c r="B1132" i="64"/>
  <c r="J1132" i="64"/>
  <c r="M1132" i="64"/>
  <c r="N1132" i="64" s="1"/>
  <c r="A1133" i="64"/>
  <c r="B1133" i="64"/>
  <c r="J1133" i="64"/>
  <c r="M1133" i="64"/>
  <c r="N1133" i="64" s="1"/>
  <c r="A1134" i="64"/>
  <c r="B1134" i="64"/>
  <c r="J1134" i="64"/>
  <c r="M1134" i="64"/>
  <c r="N1134" i="64" s="1"/>
  <c r="A1135" i="64"/>
  <c r="B1135" i="64"/>
  <c r="J1135" i="64"/>
  <c r="M1135" i="64"/>
  <c r="N1135" i="64" s="1"/>
  <c r="A1136" i="64"/>
  <c r="B1136" i="64"/>
  <c r="J1136" i="64"/>
  <c r="M1136" i="64"/>
  <c r="N1136" i="64" s="1"/>
  <c r="A1137" i="64"/>
  <c r="B1137" i="64"/>
  <c r="J1137" i="64"/>
  <c r="M1137" i="64"/>
  <c r="N1137" i="64" s="1"/>
  <c r="A1138" i="64"/>
  <c r="B1138" i="64"/>
  <c r="J1138" i="64"/>
  <c r="M1138" i="64"/>
  <c r="N1138" i="64" s="1"/>
  <c r="A1139" i="64"/>
  <c r="B1139" i="64"/>
  <c r="J1139" i="64"/>
  <c r="M1139" i="64"/>
  <c r="N1139" i="64" s="1"/>
  <c r="A1140" i="64"/>
  <c r="B1140" i="64"/>
  <c r="J1140" i="64"/>
  <c r="M1140" i="64"/>
  <c r="N1140" i="64" s="1"/>
  <c r="A1141" i="64"/>
  <c r="B1141" i="64"/>
  <c r="J1141" i="64"/>
  <c r="M1141" i="64"/>
  <c r="N1141" i="64" s="1"/>
  <c r="A1142" i="64"/>
  <c r="B1142" i="64"/>
  <c r="J1142" i="64"/>
  <c r="M1142" i="64"/>
  <c r="N1142" i="64" s="1"/>
  <c r="A1143" i="64"/>
  <c r="B1143" i="64"/>
  <c r="J1143" i="64"/>
  <c r="M1143" i="64"/>
  <c r="N1143" i="64" s="1"/>
  <c r="A1144" i="64"/>
  <c r="B1144" i="64"/>
  <c r="J1144" i="64"/>
  <c r="M1144" i="64"/>
  <c r="N1144" i="64" s="1"/>
  <c r="A1145" i="64"/>
  <c r="B1145" i="64"/>
  <c r="J1145" i="64"/>
  <c r="M1145" i="64"/>
  <c r="N1145" i="64" s="1"/>
  <c r="A1146" i="64"/>
  <c r="B1146" i="64"/>
  <c r="J1146" i="64"/>
  <c r="M1146" i="64"/>
  <c r="N1146" i="64" s="1"/>
  <c r="A1147" i="64"/>
  <c r="B1147" i="64"/>
  <c r="J1147" i="64"/>
  <c r="M1147" i="64"/>
  <c r="N1147" i="64" s="1"/>
  <c r="A1148" i="64"/>
  <c r="B1148" i="64"/>
  <c r="M1148" i="64"/>
  <c r="N1148" i="64" s="1"/>
  <c r="A1149" i="64"/>
  <c r="B1149" i="64"/>
  <c r="J1149" i="64"/>
  <c r="M1149" i="64"/>
  <c r="N1149" i="64" s="1"/>
  <c r="A1150" i="64"/>
  <c r="B1150" i="64"/>
  <c r="J1150" i="64"/>
  <c r="M1150" i="64"/>
  <c r="N1150" i="64" s="1"/>
  <c r="A1151" i="64"/>
  <c r="B1151" i="64"/>
  <c r="J1151" i="64"/>
  <c r="M1151" i="64"/>
  <c r="N1151" i="64" s="1"/>
  <c r="A1152" i="64"/>
  <c r="B1152" i="64"/>
  <c r="J1152" i="64"/>
  <c r="M1152" i="64"/>
  <c r="N1152" i="64" s="1"/>
  <c r="A1153" i="64"/>
  <c r="B1153" i="64"/>
  <c r="J1153" i="64"/>
  <c r="M1153" i="64"/>
  <c r="N1153" i="64" s="1"/>
  <c r="A1154" i="64"/>
  <c r="B1154" i="64"/>
  <c r="J1154" i="64"/>
  <c r="M1154" i="64"/>
  <c r="N1154" i="64" s="1"/>
  <c r="A1155" i="64"/>
  <c r="B1155" i="64"/>
  <c r="J1155" i="64"/>
  <c r="M1155" i="64"/>
  <c r="N1155" i="64" s="1"/>
  <c r="A1156" i="64"/>
  <c r="B1156" i="64"/>
  <c r="J1156" i="64"/>
  <c r="M1156" i="64"/>
  <c r="N1156" i="64" s="1"/>
  <c r="A1157" i="64"/>
  <c r="B1157" i="64"/>
  <c r="J1157" i="64"/>
  <c r="M1157" i="64"/>
  <c r="N1157" i="64" s="1"/>
  <c r="A1158" i="64"/>
  <c r="B1158" i="64"/>
  <c r="J1158" i="64"/>
  <c r="M1158" i="64"/>
  <c r="N1158" i="64" s="1"/>
  <c r="A1159" i="64"/>
  <c r="B1159" i="64"/>
  <c r="J1159" i="64"/>
  <c r="M1159" i="64"/>
  <c r="N1159" i="64" s="1"/>
  <c r="A1160" i="64"/>
  <c r="B1160" i="64"/>
  <c r="J1160" i="64"/>
  <c r="M1160" i="64"/>
  <c r="N1160" i="64" s="1"/>
  <c r="A1161" i="64"/>
  <c r="B1161" i="64"/>
  <c r="J1161" i="64"/>
  <c r="M1161" i="64"/>
  <c r="N1161" i="64" s="1"/>
  <c r="A1162" i="64"/>
  <c r="B1162" i="64"/>
  <c r="J1162" i="64"/>
  <c r="M1162" i="64"/>
  <c r="N1162" i="64" s="1"/>
  <c r="A1163" i="64"/>
  <c r="B1163" i="64"/>
  <c r="J1163" i="64"/>
  <c r="M1163" i="64"/>
  <c r="N1163" i="64" s="1"/>
  <c r="A1164" i="64"/>
  <c r="B1164" i="64"/>
  <c r="J1164" i="64"/>
  <c r="M1164" i="64"/>
  <c r="N1164" i="64" s="1"/>
  <c r="H1101" i="64"/>
  <c r="H1102" i="64"/>
  <c r="H1103" i="64"/>
  <c r="H1104" i="64"/>
  <c r="H1105" i="64"/>
  <c r="H1106" i="64"/>
  <c r="H1107" i="64"/>
  <c r="H1108" i="64"/>
  <c r="H1109" i="64"/>
  <c r="H1110" i="64"/>
  <c r="H1111" i="64"/>
  <c r="G1101" i="64"/>
  <c r="G1102" i="64"/>
  <c r="G1103" i="64"/>
  <c r="G1104" i="64"/>
  <c r="G1105" i="64"/>
  <c r="G1106" i="64"/>
  <c r="G1107" i="64"/>
  <c r="G1108" i="64"/>
  <c r="G1109" i="64"/>
  <c r="G1110" i="64"/>
  <c r="G1111" i="64"/>
  <c r="F1101" i="64"/>
  <c r="F1102" i="64"/>
  <c r="F1103" i="64"/>
  <c r="F1104" i="64"/>
  <c r="F1105" i="64"/>
  <c r="F1106" i="64"/>
  <c r="F1107" i="64"/>
  <c r="F1108" i="64"/>
  <c r="F1109" i="64"/>
  <c r="F1110" i="64"/>
  <c r="F1111" i="64"/>
  <c r="N151" i="68" l="1"/>
  <c r="A1112" i="64"/>
  <c r="B1112" i="64"/>
  <c r="J1112" i="64"/>
  <c r="M1112" i="64"/>
  <c r="N1112" i="64" s="1"/>
  <c r="A1113" i="64"/>
  <c r="B1113" i="64"/>
  <c r="J1113" i="64"/>
  <c r="M1113" i="64"/>
  <c r="N1113" i="64" s="1"/>
  <c r="A1114" i="64"/>
  <c r="B1114" i="64"/>
  <c r="J1114" i="64"/>
  <c r="M1114" i="64"/>
  <c r="N1114" i="64" s="1"/>
  <c r="A1115" i="64"/>
  <c r="B1115" i="64"/>
  <c r="J1115" i="64"/>
  <c r="M1115" i="64"/>
  <c r="N1115" i="64" s="1"/>
  <c r="A1116" i="64"/>
  <c r="B1116" i="64"/>
  <c r="J1116" i="64"/>
  <c r="M1116" i="64"/>
  <c r="N1116" i="64" s="1"/>
  <c r="A1117" i="64"/>
  <c r="B1117" i="64"/>
  <c r="J1117" i="64"/>
  <c r="M1117" i="64"/>
  <c r="N1117" i="64" s="1"/>
  <c r="A1118" i="64"/>
  <c r="B1118" i="64"/>
  <c r="J1118" i="64"/>
  <c r="M1118" i="64"/>
  <c r="N1118" i="64" s="1"/>
  <c r="A1119" i="64"/>
  <c r="B1119" i="64"/>
  <c r="J1119" i="64"/>
  <c r="M1119" i="64"/>
  <c r="N1119" i="64" s="1"/>
  <c r="A1120" i="64"/>
  <c r="B1120" i="64"/>
  <c r="J1120" i="64"/>
  <c r="M1120" i="64"/>
  <c r="N1120" i="64" s="1"/>
  <c r="A1121" i="64"/>
  <c r="B1121" i="64"/>
  <c r="J1121" i="64"/>
  <c r="M1121" i="64"/>
  <c r="N1121" i="64" s="1"/>
  <c r="A1122" i="64"/>
  <c r="B1122" i="64"/>
  <c r="J1122" i="64"/>
  <c r="M1122" i="64"/>
  <c r="N1122" i="64" s="1"/>
  <c r="A1123" i="64"/>
  <c r="B1123" i="64"/>
  <c r="J1123" i="64"/>
  <c r="M1123" i="64"/>
  <c r="N1123" i="64" s="1"/>
  <c r="A1124" i="64"/>
  <c r="B1124" i="64"/>
  <c r="J1124" i="64"/>
  <c r="M1124" i="64"/>
  <c r="N1124" i="64" s="1"/>
  <c r="A1125" i="64"/>
  <c r="B1125" i="64"/>
  <c r="J1125" i="64"/>
  <c r="M1125" i="64"/>
  <c r="N1125" i="64" s="1"/>
  <c r="A1165" i="64"/>
  <c r="B1165" i="64"/>
  <c r="J1165" i="64"/>
  <c r="M1165" i="64"/>
  <c r="N1165" i="64" s="1"/>
  <c r="A1166" i="64"/>
  <c r="B1166" i="64"/>
  <c r="J1166" i="64"/>
  <c r="M1166" i="64"/>
  <c r="N1166" i="64" s="1"/>
  <c r="A1167" i="64"/>
  <c r="B1167" i="64"/>
  <c r="J1167" i="64"/>
  <c r="M1167" i="64"/>
  <c r="N1167" i="64" s="1"/>
  <c r="A1168" i="64"/>
  <c r="B1168" i="64"/>
  <c r="J1168" i="64"/>
  <c r="M1168" i="64"/>
  <c r="N1168" i="64" s="1"/>
  <c r="A1169" i="64"/>
  <c r="B1169" i="64"/>
  <c r="J1169" i="64"/>
  <c r="M1169" i="64"/>
  <c r="N1169" i="64" s="1"/>
  <c r="A1170" i="64"/>
  <c r="B1170" i="64"/>
  <c r="J1170" i="64"/>
  <c r="M1170" i="64"/>
  <c r="N1170" i="64" s="1"/>
  <c r="A1171" i="64"/>
  <c r="B1171" i="64"/>
  <c r="J1171" i="64"/>
  <c r="M1171" i="64"/>
  <c r="N1171" i="64" s="1"/>
  <c r="A1172" i="64"/>
  <c r="B1172" i="64"/>
  <c r="J1172" i="64"/>
  <c r="M1172" i="64"/>
  <c r="N1172" i="64" s="1"/>
  <c r="A1173" i="64"/>
  <c r="B1173" i="64"/>
  <c r="J1173" i="64"/>
  <c r="M1173" i="64"/>
  <c r="N1173" i="64" s="1"/>
  <c r="A1174" i="64"/>
  <c r="B1174" i="64"/>
  <c r="J1174" i="64"/>
  <c r="M1174" i="64"/>
  <c r="N1174" i="64" s="1"/>
  <c r="A1175" i="64"/>
  <c r="B1175" i="64"/>
  <c r="J1175" i="64"/>
  <c r="M1175" i="64"/>
  <c r="N1175" i="64" s="1"/>
  <c r="A1176" i="64"/>
  <c r="B1176" i="64"/>
  <c r="J1176" i="64"/>
  <c r="M1176" i="64"/>
  <c r="N1176" i="64" s="1"/>
  <c r="A1177" i="64"/>
  <c r="B1177" i="64"/>
  <c r="J1177" i="64"/>
  <c r="M1177" i="64"/>
  <c r="N1177" i="64" s="1"/>
  <c r="A1178" i="64"/>
  <c r="B1178" i="64"/>
  <c r="J1178" i="64"/>
  <c r="M1178" i="64"/>
  <c r="N1178" i="64" s="1"/>
  <c r="A1179" i="64"/>
  <c r="B1179" i="64"/>
  <c r="J1179" i="64"/>
  <c r="M1179" i="64"/>
  <c r="N1179" i="64" s="1"/>
  <c r="A1111" i="64"/>
  <c r="B1111" i="64"/>
  <c r="J1111" i="64"/>
  <c r="M1111" i="64"/>
  <c r="N1111" i="64" s="1"/>
  <c r="A1180" i="64"/>
  <c r="B1180" i="64"/>
  <c r="J1180" i="64"/>
  <c r="M1180" i="64"/>
  <c r="N1180" i="64" s="1"/>
  <c r="A1181" i="64"/>
  <c r="B1181" i="64"/>
  <c r="J1181" i="64"/>
  <c r="M1181" i="64"/>
  <c r="N1181" i="64" s="1"/>
  <c r="A1182" i="64"/>
  <c r="B1182" i="64"/>
  <c r="J1182" i="64"/>
  <c r="M1182" i="64"/>
  <c r="N1182" i="64" s="1"/>
  <c r="A1183" i="64"/>
  <c r="B1183" i="64"/>
  <c r="J1183" i="64"/>
  <c r="M1183" i="64"/>
  <c r="N1183" i="64" s="1"/>
  <c r="A1184" i="64"/>
  <c r="B1184" i="64"/>
  <c r="J1184" i="64"/>
  <c r="M1184" i="64"/>
  <c r="N1184" i="64" s="1"/>
  <c r="A1185" i="64"/>
  <c r="B1185" i="64"/>
  <c r="J1185" i="64"/>
  <c r="M1185" i="64"/>
  <c r="N1185" i="64" s="1"/>
  <c r="A1186" i="64"/>
  <c r="B1186" i="64"/>
  <c r="J1186" i="64"/>
  <c r="M1186" i="64"/>
  <c r="N1186" i="64" s="1"/>
  <c r="A1187" i="64"/>
  <c r="B1187" i="64"/>
  <c r="J1187" i="64"/>
  <c r="M1187" i="64"/>
  <c r="N1187" i="64" s="1"/>
  <c r="A1188" i="64"/>
  <c r="B1188" i="64"/>
  <c r="J1188" i="64"/>
  <c r="M1188" i="64"/>
  <c r="N1188" i="64" s="1"/>
  <c r="A1189" i="64"/>
  <c r="B1189" i="64"/>
  <c r="J1189" i="64"/>
  <c r="M1189" i="64"/>
  <c r="N1189" i="64" s="1"/>
  <c r="A1190" i="64"/>
  <c r="B1190" i="64"/>
  <c r="J1190" i="64"/>
  <c r="M1190" i="64"/>
  <c r="N1190" i="64" s="1"/>
  <c r="A1191" i="64"/>
  <c r="B1191" i="64"/>
  <c r="J1191" i="64"/>
  <c r="M1191" i="64"/>
  <c r="N1191" i="64" s="1"/>
  <c r="A1192" i="64"/>
  <c r="B1192" i="64"/>
  <c r="J1192" i="64"/>
  <c r="M1192" i="64"/>
  <c r="N1192" i="64" s="1"/>
  <c r="A1193" i="64"/>
  <c r="B1193" i="64"/>
  <c r="J1193" i="64"/>
  <c r="M1193" i="64"/>
  <c r="N1193" i="64" s="1"/>
  <c r="A1194" i="64"/>
  <c r="B1194" i="64"/>
  <c r="J1194" i="64"/>
  <c r="M1194" i="64"/>
  <c r="N1194" i="64" s="1"/>
  <c r="A1195" i="64"/>
  <c r="B1195" i="64"/>
  <c r="J1195" i="64"/>
  <c r="M1195" i="64"/>
  <c r="N1195" i="64" s="1"/>
  <c r="A1196" i="64"/>
  <c r="B1196" i="64"/>
  <c r="J1196" i="64"/>
  <c r="M1196" i="64"/>
  <c r="N1196" i="64" s="1"/>
  <c r="A1197" i="64"/>
  <c r="B1197" i="64"/>
  <c r="J1197" i="64"/>
  <c r="M1197" i="64"/>
  <c r="N1197" i="64" s="1"/>
  <c r="A1198" i="64"/>
  <c r="B1198" i="64"/>
  <c r="J1198" i="64"/>
  <c r="M1198" i="64"/>
  <c r="N1198" i="64" s="1"/>
  <c r="A1199" i="64"/>
  <c r="B1199" i="64"/>
  <c r="J1199" i="64"/>
  <c r="M1199" i="64"/>
  <c r="N1199" i="64" s="1"/>
  <c r="A1200" i="64"/>
  <c r="B1200" i="64"/>
  <c r="J1200" i="64"/>
  <c r="M1200" i="64"/>
  <c r="N1200" i="64" s="1"/>
  <c r="A1201" i="64"/>
  <c r="B1201" i="64"/>
  <c r="J1201" i="64"/>
  <c r="M1201" i="64"/>
  <c r="N1201" i="64" s="1"/>
  <c r="A1202" i="64"/>
  <c r="B1202" i="64"/>
  <c r="J1202" i="64"/>
  <c r="M1202" i="64"/>
  <c r="N1202" i="64" s="1"/>
  <c r="H1100" i="64"/>
  <c r="H1090" i="64"/>
  <c r="H1091" i="64"/>
  <c r="H1092" i="64"/>
  <c r="H1093" i="64"/>
  <c r="H1094" i="64"/>
  <c r="H1095" i="64"/>
  <c r="H1096" i="64"/>
  <c r="H1097" i="64"/>
  <c r="H1098" i="64"/>
  <c r="H1099" i="64"/>
  <c r="G1090" i="64"/>
  <c r="G1091" i="64"/>
  <c r="G1092" i="64"/>
  <c r="G1093" i="64"/>
  <c r="G1094" i="64"/>
  <c r="G1095" i="64"/>
  <c r="G1096" i="64"/>
  <c r="G1097" i="64"/>
  <c r="G1098" i="64"/>
  <c r="G1099" i="64"/>
  <c r="G1100" i="64"/>
  <c r="F1090" i="64"/>
  <c r="F1091" i="64"/>
  <c r="F1092" i="64"/>
  <c r="F1093" i="64"/>
  <c r="F1094" i="64"/>
  <c r="F1095" i="64"/>
  <c r="F1096" i="64"/>
  <c r="F1097" i="64"/>
  <c r="F1098" i="64"/>
  <c r="F1099" i="64"/>
  <c r="F1100" i="64"/>
  <c r="N152" i="68" l="1"/>
  <c r="A1091" i="64"/>
  <c r="B1091" i="64"/>
  <c r="J1091" i="64"/>
  <c r="M1091" i="64"/>
  <c r="N1091" i="64" s="1"/>
  <c r="A1092" i="64"/>
  <c r="B1092" i="64"/>
  <c r="J1092" i="64"/>
  <c r="M1092" i="64"/>
  <c r="N1092" i="64" s="1"/>
  <c r="A1093" i="64"/>
  <c r="B1093" i="64"/>
  <c r="J1093" i="64"/>
  <c r="M1093" i="64"/>
  <c r="N1093" i="64" s="1"/>
  <c r="A1094" i="64"/>
  <c r="B1094" i="64"/>
  <c r="J1094" i="64"/>
  <c r="M1094" i="64"/>
  <c r="N1094" i="64" s="1"/>
  <c r="A1095" i="64"/>
  <c r="B1095" i="64"/>
  <c r="J1095" i="64"/>
  <c r="M1095" i="64"/>
  <c r="N1095" i="64" s="1"/>
  <c r="A1096" i="64"/>
  <c r="B1096" i="64"/>
  <c r="J1096" i="64"/>
  <c r="M1096" i="64"/>
  <c r="N1096" i="64" s="1"/>
  <c r="A1097" i="64"/>
  <c r="B1097" i="64"/>
  <c r="J1097" i="64"/>
  <c r="M1097" i="64"/>
  <c r="N1097" i="64" s="1"/>
  <c r="A1098" i="64"/>
  <c r="B1098" i="64"/>
  <c r="J1098" i="64"/>
  <c r="M1098" i="64"/>
  <c r="N1098" i="64" s="1"/>
  <c r="A1099" i="64"/>
  <c r="B1099" i="64"/>
  <c r="J1099" i="64"/>
  <c r="M1099" i="64"/>
  <c r="N1099" i="64" s="1"/>
  <c r="A1100" i="64"/>
  <c r="B1100" i="64"/>
  <c r="J1100" i="64"/>
  <c r="M1100" i="64"/>
  <c r="N1100" i="64" s="1"/>
  <c r="A1101" i="64"/>
  <c r="B1101" i="64"/>
  <c r="J1101" i="64"/>
  <c r="M1101" i="64"/>
  <c r="N1101" i="64" s="1"/>
  <c r="A1102" i="64"/>
  <c r="B1102" i="64"/>
  <c r="J1102" i="64"/>
  <c r="M1102" i="64"/>
  <c r="N1102" i="64" s="1"/>
  <c r="A1103" i="64"/>
  <c r="B1103" i="64"/>
  <c r="J1103" i="64"/>
  <c r="M1103" i="64"/>
  <c r="N1103" i="64" s="1"/>
  <c r="A1104" i="64"/>
  <c r="B1104" i="64"/>
  <c r="J1104" i="64"/>
  <c r="M1104" i="64"/>
  <c r="N1104" i="64" s="1"/>
  <c r="A1105" i="64"/>
  <c r="B1105" i="64"/>
  <c r="J1105" i="64"/>
  <c r="M1105" i="64"/>
  <c r="N1105" i="64" s="1"/>
  <c r="A1106" i="64"/>
  <c r="B1106" i="64"/>
  <c r="J1106" i="64"/>
  <c r="M1106" i="64"/>
  <c r="N1106" i="64" s="1"/>
  <c r="A1107" i="64"/>
  <c r="B1107" i="64"/>
  <c r="J1107" i="64"/>
  <c r="M1107" i="64"/>
  <c r="N1107" i="64" s="1"/>
  <c r="A1108" i="64"/>
  <c r="B1108" i="64"/>
  <c r="J1108" i="64"/>
  <c r="M1108" i="64"/>
  <c r="N1108" i="64" s="1"/>
  <c r="A1109" i="64"/>
  <c r="B1109" i="64"/>
  <c r="J1109" i="64"/>
  <c r="M1109" i="64"/>
  <c r="N1109" i="64" s="1"/>
  <c r="A1110" i="64"/>
  <c r="B1110" i="64"/>
  <c r="J1110" i="64"/>
  <c r="M1110" i="64"/>
  <c r="N1110" i="64" s="1"/>
  <c r="A1090" i="64"/>
  <c r="B1090" i="64"/>
  <c r="J1090" i="64"/>
  <c r="M1090" i="64"/>
  <c r="N1090" i="64" s="1"/>
  <c r="A1203" i="64"/>
  <c r="B1203" i="64"/>
  <c r="J1203" i="64"/>
  <c r="M1203" i="64"/>
  <c r="N1203" i="64" s="1"/>
  <c r="A1456" i="64"/>
  <c r="B1456" i="64"/>
  <c r="J1456" i="64"/>
  <c r="M1456" i="64"/>
  <c r="N1456" i="64" s="1"/>
  <c r="A1457" i="64"/>
  <c r="B1457" i="64"/>
  <c r="J1457" i="64"/>
  <c r="M1457" i="64"/>
  <c r="N1457" i="64" s="1"/>
  <c r="A1470" i="64"/>
  <c r="B1470" i="64"/>
  <c r="J1470" i="64"/>
  <c r="M1470" i="64"/>
  <c r="N1470" i="64" s="1"/>
  <c r="A1471" i="64"/>
  <c r="B1471" i="64"/>
  <c r="J1471" i="64"/>
  <c r="M1471" i="64"/>
  <c r="N1471" i="64" s="1"/>
  <c r="A1472" i="64"/>
  <c r="B1472" i="64"/>
  <c r="J1472" i="64"/>
  <c r="M1472" i="64"/>
  <c r="N1472" i="64" s="1"/>
  <c r="H1075" i="64"/>
  <c r="H1076" i="64"/>
  <c r="H1077" i="64"/>
  <c r="H1078" i="64"/>
  <c r="H1079" i="64"/>
  <c r="H1080" i="64"/>
  <c r="H1081" i="64"/>
  <c r="H1082" i="64"/>
  <c r="H1083" i="64"/>
  <c r="H1084" i="64"/>
  <c r="H1085" i="64"/>
  <c r="H1086" i="64"/>
  <c r="H1087" i="64"/>
  <c r="H1088" i="64"/>
  <c r="H1089" i="64"/>
  <c r="G1089" i="64"/>
  <c r="G1075" i="64"/>
  <c r="G1076" i="64"/>
  <c r="G1077" i="64"/>
  <c r="G1078" i="64"/>
  <c r="G1079" i="64"/>
  <c r="G1080" i="64"/>
  <c r="G1081" i="64"/>
  <c r="G1082" i="64"/>
  <c r="G1083" i="64"/>
  <c r="G1084" i="64"/>
  <c r="G1085" i="64"/>
  <c r="G1086" i="64"/>
  <c r="G1087" i="64"/>
  <c r="G1088" i="64"/>
  <c r="F1075" i="64"/>
  <c r="F1076" i="64"/>
  <c r="F1077" i="64"/>
  <c r="F1078" i="64"/>
  <c r="F1079" i="64"/>
  <c r="F1080" i="64"/>
  <c r="F1081" i="64"/>
  <c r="F1082" i="64"/>
  <c r="F1083" i="64"/>
  <c r="F1084" i="64"/>
  <c r="F1085" i="64"/>
  <c r="F1086" i="64"/>
  <c r="F1087" i="64"/>
  <c r="F1088" i="64"/>
  <c r="F1089" i="64"/>
  <c r="A1076" i="64"/>
  <c r="B1076" i="64"/>
  <c r="J1076" i="64"/>
  <c r="M1076" i="64"/>
  <c r="N1076" i="64" s="1"/>
  <c r="A1077" i="64"/>
  <c r="B1077" i="64"/>
  <c r="J1077" i="64"/>
  <c r="M1077" i="64"/>
  <c r="N1077" i="64" s="1"/>
  <c r="A1078" i="64"/>
  <c r="B1078" i="64"/>
  <c r="J1078" i="64"/>
  <c r="M1078" i="64"/>
  <c r="N1078" i="64" s="1"/>
  <c r="A1079" i="64"/>
  <c r="B1079" i="64"/>
  <c r="J1079" i="64"/>
  <c r="M1079" i="64"/>
  <c r="N1079" i="64" s="1"/>
  <c r="A1080" i="64"/>
  <c r="B1080" i="64"/>
  <c r="J1080" i="64"/>
  <c r="M1080" i="64"/>
  <c r="N1080" i="64" s="1"/>
  <c r="A1081" i="64"/>
  <c r="B1081" i="64"/>
  <c r="J1081" i="64"/>
  <c r="M1081" i="64"/>
  <c r="N1081" i="64" s="1"/>
  <c r="A1082" i="64"/>
  <c r="B1082" i="64"/>
  <c r="J1082" i="64"/>
  <c r="M1082" i="64"/>
  <c r="N1082" i="64" s="1"/>
  <c r="A1083" i="64"/>
  <c r="B1083" i="64"/>
  <c r="J1083" i="64"/>
  <c r="M1083" i="64"/>
  <c r="N1083" i="64" s="1"/>
  <c r="A1084" i="64"/>
  <c r="B1084" i="64"/>
  <c r="J1084" i="64"/>
  <c r="M1084" i="64"/>
  <c r="N1084" i="64" s="1"/>
  <c r="A1085" i="64"/>
  <c r="B1085" i="64"/>
  <c r="J1085" i="64"/>
  <c r="M1085" i="64"/>
  <c r="N1085" i="64" s="1"/>
  <c r="A1086" i="64"/>
  <c r="B1086" i="64"/>
  <c r="J1086" i="64"/>
  <c r="M1086" i="64"/>
  <c r="N1086" i="64" s="1"/>
  <c r="A1087" i="64"/>
  <c r="B1087" i="64"/>
  <c r="J1087" i="64"/>
  <c r="M1087" i="64"/>
  <c r="N1087" i="64" s="1"/>
  <c r="A1088" i="64"/>
  <c r="B1088" i="64"/>
  <c r="J1088" i="64"/>
  <c r="M1088" i="64"/>
  <c r="N1088" i="64" s="1"/>
  <c r="A1089" i="64"/>
  <c r="B1089" i="64"/>
  <c r="J1089" i="64"/>
  <c r="M1089" i="64"/>
  <c r="N1089" i="64" s="1"/>
  <c r="A1825" i="64"/>
  <c r="B1825" i="64"/>
  <c r="J1825" i="64"/>
  <c r="M1825" i="64"/>
  <c r="N1825" i="64" s="1"/>
  <c r="A1826" i="64"/>
  <c r="B1826" i="64"/>
  <c r="J1826" i="64"/>
  <c r="M1826" i="64"/>
  <c r="N1826" i="64" s="1"/>
  <c r="A1901" i="64"/>
  <c r="B1901" i="64"/>
  <c r="J1901" i="64"/>
  <c r="M1901" i="64"/>
  <c r="N1901" i="64" s="1"/>
  <c r="A1902" i="64"/>
  <c r="B1902" i="64"/>
  <c r="J1902" i="64"/>
  <c r="M1902" i="64"/>
  <c r="N1902" i="64" s="1"/>
  <c r="H1062" i="64"/>
  <c r="H1063" i="64"/>
  <c r="H1064" i="64"/>
  <c r="H1065" i="64"/>
  <c r="H1066" i="64"/>
  <c r="H1067" i="64"/>
  <c r="H1068" i="64"/>
  <c r="H1069" i="64"/>
  <c r="H1070" i="64"/>
  <c r="H1071" i="64"/>
  <c r="H1072" i="64"/>
  <c r="H1073" i="64"/>
  <c r="H1074" i="64"/>
  <c r="G1062" i="64"/>
  <c r="G1063" i="64"/>
  <c r="G1064" i="64"/>
  <c r="G1065" i="64"/>
  <c r="G1066" i="64"/>
  <c r="G1067" i="64"/>
  <c r="G1068" i="64"/>
  <c r="G1069" i="64"/>
  <c r="G1070" i="64"/>
  <c r="G1071" i="64"/>
  <c r="G1072" i="64"/>
  <c r="G1073" i="64"/>
  <c r="G1074" i="64"/>
  <c r="F1062" i="64"/>
  <c r="F1063" i="64"/>
  <c r="F1064" i="64"/>
  <c r="F1065" i="64"/>
  <c r="F1066" i="64"/>
  <c r="F1067" i="64"/>
  <c r="F1068" i="64"/>
  <c r="F1069" i="64"/>
  <c r="F1070" i="64"/>
  <c r="F1071" i="64"/>
  <c r="F1072" i="64"/>
  <c r="F1073" i="64"/>
  <c r="F1074" i="64"/>
  <c r="H1043" i="64"/>
  <c r="H1044" i="64"/>
  <c r="H1045" i="64"/>
  <c r="H1046" i="64"/>
  <c r="H1047" i="64"/>
  <c r="H1048" i="64"/>
  <c r="H1049" i="64"/>
  <c r="H1050" i="64"/>
  <c r="H1051" i="64"/>
  <c r="H1052" i="64"/>
  <c r="H1053" i="64"/>
  <c r="H1054" i="64"/>
  <c r="H1055" i="64"/>
  <c r="H1056" i="64"/>
  <c r="H1057" i="64"/>
  <c r="H1058" i="64"/>
  <c r="H1059" i="64"/>
  <c r="H1060" i="64"/>
  <c r="H1061" i="64"/>
  <c r="G1043" i="64"/>
  <c r="G1044" i="64"/>
  <c r="G1045" i="64"/>
  <c r="G1046" i="64"/>
  <c r="G1047" i="64"/>
  <c r="G1048" i="64"/>
  <c r="G1049" i="64"/>
  <c r="G1050" i="64"/>
  <c r="G1051" i="64"/>
  <c r="G1052" i="64"/>
  <c r="G1053" i="64"/>
  <c r="G1054" i="64"/>
  <c r="G1055" i="64"/>
  <c r="G1056" i="64"/>
  <c r="G1057" i="64"/>
  <c r="G1058" i="64"/>
  <c r="G1059" i="64"/>
  <c r="G1060" i="64"/>
  <c r="G1061" i="64"/>
  <c r="F1043" i="64"/>
  <c r="F1044" i="64"/>
  <c r="F1045" i="64"/>
  <c r="F1046" i="64"/>
  <c r="F1047" i="64"/>
  <c r="F1048" i="64"/>
  <c r="F1049" i="64"/>
  <c r="F1050" i="64"/>
  <c r="F1051" i="64"/>
  <c r="F1052" i="64"/>
  <c r="F1053" i="64"/>
  <c r="F1054" i="64"/>
  <c r="F1055" i="64"/>
  <c r="F1056" i="64"/>
  <c r="F1057" i="64"/>
  <c r="F1058" i="64"/>
  <c r="F1059" i="64"/>
  <c r="F1060" i="64"/>
  <c r="F1061" i="64"/>
  <c r="H1023" i="64"/>
  <c r="H1024" i="64"/>
  <c r="H1025" i="64"/>
  <c r="H1026" i="64"/>
  <c r="H1027" i="64"/>
  <c r="H1028" i="64"/>
  <c r="H1029" i="64"/>
  <c r="H1030" i="64"/>
  <c r="H1031" i="64"/>
  <c r="H1032" i="64"/>
  <c r="H1033" i="64"/>
  <c r="H1034" i="64"/>
  <c r="H1035" i="64"/>
  <c r="H1036" i="64"/>
  <c r="H1037" i="64"/>
  <c r="H1038" i="64"/>
  <c r="H1039" i="64"/>
  <c r="H1040" i="64"/>
  <c r="H1041" i="64"/>
  <c r="H1042" i="64"/>
  <c r="G1023" i="64"/>
  <c r="G1024" i="64"/>
  <c r="G1025" i="64"/>
  <c r="G1026" i="64"/>
  <c r="G1027" i="64"/>
  <c r="G1028" i="64"/>
  <c r="G1029" i="64"/>
  <c r="G1030" i="64"/>
  <c r="G1031" i="64"/>
  <c r="G1032" i="64"/>
  <c r="G1033" i="64"/>
  <c r="G1034" i="64"/>
  <c r="G1035" i="64"/>
  <c r="G1036" i="64"/>
  <c r="G1037" i="64"/>
  <c r="G1038" i="64"/>
  <c r="G1039" i="64"/>
  <c r="G1040" i="64"/>
  <c r="G1041" i="64"/>
  <c r="G1042" i="64"/>
  <c r="F1023" i="64"/>
  <c r="F1024" i="64"/>
  <c r="F1025" i="64"/>
  <c r="F1026" i="64"/>
  <c r="F1027" i="64"/>
  <c r="F1028" i="64"/>
  <c r="F1029" i="64"/>
  <c r="F1030" i="64"/>
  <c r="F1031" i="64"/>
  <c r="F1032" i="64"/>
  <c r="F1033" i="64"/>
  <c r="F1034" i="64"/>
  <c r="F1035" i="64"/>
  <c r="F1036" i="64"/>
  <c r="F1037" i="64"/>
  <c r="F1038" i="64"/>
  <c r="F1039" i="64"/>
  <c r="F1040" i="64"/>
  <c r="F1041" i="64"/>
  <c r="F1042" i="64"/>
  <c r="N153" i="68" l="1"/>
  <c r="D146" i="68"/>
  <c r="M146" i="68"/>
  <c r="N134" i="68"/>
  <c r="N135" i="68"/>
  <c r="N136" i="68"/>
  <c r="N137" i="68"/>
  <c r="N138" i="68"/>
  <c r="N139" i="68"/>
  <c r="N140" i="68"/>
  <c r="N141" i="68"/>
  <c r="N142" i="68"/>
  <c r="N143" i="68"/>
  <c r="N144" i="68"/>
  <c r="N145" i="68"/>
  <c r="N154" i="68" l="1"/>
  <c r="N146" i="68"/>
  <c r="H925" i="64"/>
  <c r="H926" i="64"/>
  <c r="G925" i="64"/>
  <c r="G926" i="64"/>
  <c r="F925" i="64"/>
  <c r="F926" i="64"/>
  <c r="A925" i="64"/>
  <c r="B925" i="64"/>
  <c r="J925" i="64"/>
  <c r="M925" i="64"/>
  <c r="N925" i="64" s="1"/>
  <c r="A926" i="64"/>
  <c r="B926" i="64"/>
  <c r="J926" i="64"/>
  <c r="M926" i="64"/>
  <c r="N926" i="64" s="1"/>
  <c r="N155" i="68" l="1"/>
  <c r="H1012" i="64"/>
  <c r="H1013" i="64"/>
  <c r="H1014" i="64"/>
  <c r="H1015" i="64"/>
  <c r="H1016" i="64"/>
  <c r="H1017" i="64"/>
  <c r="H1018" i="64"/>
  <c r="H1019" i="64"/>
  <c r="H1020" i="64"/>
  <c r="H1021" i="64"/>
  <c r="H1022" i="64"/>
  <c r="G1012" i="64"/>
  <c r="G1013" i="64"/>
  <c r="G1014" i="64"/>
  <c r="G1015" i="64"/>
  <c r="G1016" i="64"/>
  <c r="G1017" i="64"/>
  <c r="G1018" i="64"/>
  <c r="G1019" i="64"/>
  <c r="G1020" i="64"/>
  <c r="G1021" i="64"/>
  <c r="G1022" i="64"/>
  <c r="F1012" i="64"/>
  <c r="F1013" i="64"/>
  <c r="F1014" i="64"/>
  <c r="F1015" i="64"/>
  <c r="F1016" i="64"/>
  <c r="F1017" i="64"/>
  <c r="F1018" i="64"/>
  <c r="F1019" i="64"/>
  <c r="F1020" i="64"/>
  <c r="F1021" i="64"/>
  <c r="F1022" i="64"/>
  <c r="N156" i="68" l="1"/>
  <c r="H997" i="64"/>
  <c r="H998" i="64"/>
  <c r="H999" i="64"/>
  <c r="H1000" i="64"/>
  <c r="H1001" i="64"/>
  <c r="H1002" i="64"/>
  <c r="H1003" i="64"/>
  <c r="H1004" i="64"/>
  <c r="H1005" i="64"/>
  <c r="H1006" i="64"/>
  <c r="H1007" i="64"/>
  <c r="H1008" i="64"/>
  <c r="H1009" i="64"/>
  <c r="H1010" i="64"/>
  <c r="H1011" i="64"/>
  <c r="G997" i="64"/>
  <c r="G998" i="64"/>
  <c r="G999" i="64"/>
  <c r="G1000" i="64"/>
  <c r="G1001" i="64"/>
  <c r="G1002" i="64"/>
  <c r="G1003" i="64"/>
  <c r="G1004" i="64"/>
  <c r="G1005" i="64"/>
  <c r="G1006" i="64"/>
  <c r="G1007" i="64"/>
  <c r="G1008" i="64"/>
  <c r="G1009" i="64"/>
  <c r="G1010" i="64"/>
  <c r="G1011" i="64"/>
  <c r="F997" i="64"/>
  <c r="F998" i="64"/>
  <c r="F999" i="64"/>
  <c r="F1000" i="64"/>
  <c r="F1001" i="64"/>
  <c r="F1002" i="64"/>
  <c r="F1003" i="64"/>
  <c r="F1004" i="64"/>
  <c r="F1005" i="64"/>
  <c r="F1006" i="64"/>
  <c r="F1007" i="64"/>
  <c r="F1008" i="64"/>
  <c r="F1009" i="64"/>
  <c r="F1010" i="64"/>
  <c r="F1011" i="64"/>
  <c r="N157" i="68" l="1"/>
  <c r="H981" i="64"/>
  <c r="H982" i="64"/>
  <c r="H983" i="64"/>
  <c r="H984" i="64"/>
  <c r="H985" i="64"/>
  <c r="H986" i="64"/>
  <c r="H987" i="64"/>
  <c r="H988" i="64"/>
  <c r="H989" i="64"/>
  <c r="H990" i="64"/>
  <c r="H991" i="64"/>
  <c r="H992" i="64"/>
  <c r="H993" i="64"/>
  <c r="H994" i="64"/>
  <c r="H995" i="64"/>
  <c r="H996" i="64"/>
  <c r="G981" i="64"/>
  <c r="G982" i="64"/>
  <c r="G983" i="64"/>
  <c r="G984" i="64"/>
  <c r="G985" i="64"/>
  <c r="G986" i="64"/>
  <c r="G987" i="64"/>
  <c r="G988" i="64"/>
  <c r="G989" i="64"/>
  <c r="G990" i="64"/>
  <c r="G991" i="64"/>
  <c r="G992" i="64"/>
  <c r="G993" i="64"/>
  <c r="G994" i="64"/>
  <c r="G995" i="64"/>
  <c r="G996" i="64"/>
  <c r="F981" i="64"/>
  <c r="F982" i="64"/>
  <c r="F983" i="64"/>
  <c r="F984" i="64"/>
  <c r="F985" i="64"/>
  <c r="F986" i="64"/>
  <c r="F987" i="64"/>
  <c r="F988" i="64"/>
  <c r="F989" i="64"/>
  <c r="F990" i="64"/>
  <c r="F991" i="64"/>
  <c r="F992" i="64"/>
  <c r="F993" i="64"/>
  <c r="F994" i="64"/>
  <c r="F995" i="64"/>
  <c r="F996" i="64"/>
  <c r="N158" i="68" l="1"/>
  <c r="H965" i="64"/>
  <c r="H966" i="64"/>
  <c r="H967" i="64"/>
  <c r="H968" i="64"/>
  <c r="H969" i="64"/>
  <c r="H970" i="64"/>
  <c r="H971" i="64"/>
  <c r="H972" i="64"/>
  <c r="H973" i="64"/>
  <c r="H974" i="64"/>
  <c r="H975" i="64"/>
  <c r="H976" i="64"/>
  <c r="H977" i="64"/>
  <c r="H978" i="64"/>
  <c r="H979" i="64"/>
  <c r="H980" i="64"/>
  <c r="G965" i="64"/>
  <c r="G966" i="64"/>
  <c r="G967" i="64"/>
  <c r="G968" i="64"/>
  <c r="G969" i="64"/>
  <c r="G970" i="64"/>
  <c r="G971" i="64"/>
  <c r="G972" i="64"/>
  <c r="G973" i="64"/>
  <c r="G974" i="64"/>
  <c r="G975" i="64"/>
  <c r="G976" i="64"/>
  <c r="G977" i="64"/>
  <c r="G978" i="64"/>
  <c r="G979" i="64"/>
  <c r="G980" i="64"/>
  <c r="F965" i="64"/>
  <c r="F966" i="64"/>
  <c r="F967" i="64"/>
  <c r="F968" i="64"/>
  <c r="F969" i="64"/>
  <c r="F970" i="64"/>
  <c r="F971" i="64"/>
  <c r="F972" i="64"/>
  <c r="F973" i="64"/>
  <c r="F974" i="64"/>
  <c r="F975" i="64"/>
  <c r="F976" i="64"/>
  <c r="F977" i="64"/>
  <c r="F978" i="64"/>
  <c r="F979" i="64"/>
  <c r="F980" i="64"/>
  <c r="N159" i="68" l="1"/>
  <c r="H952" i="64"/>
  <c r="H953" i="64"/>
  <c r="H954" i="64"/>
  <c r="H955" i="64"/>
  <c r="H956" i="64"/>
  <c r="H957" i="64"/>
  <c r="H958" i="64"/>
  <c r="H959" i="64"/>
  <c r="H960" i="64"/>
  <c r="H961" i="64"/>
  <c r="H962" i="64"/>
  <c r="H963" i="64"/>
  <c r="H964" i="64"/>
  <c r="G952" i="64"/>
  <c r="G953" i="64"/>
  <c r="G954" i="64"/>
  <c r="G955" i="64"/>
  <c r="G956" i="64"/>
  <c r="G957" i="64"/>
  <c r="G958" i="64"/>
  <c r="G959" i="64"/>
  <c r="G960" i="64"/>
  <c r="G961" i="64"/>
  <c r="G962" i="64"/>
  <c r="G963" i="64"/>
  <c r="G964" i="64"/>
  <c r="F952" i="64"/>
  <c r="F953" i="64"/>
  <c r="F954" i="64"/>
  <c r="F955" i="64"/>
  <c r="F956" i="64"/>
  <c r="F957" i="64"/>
  <c r="F958" i="64"/>
  <c r="F959" i="64"/>
  <c r="F960" i="64"/>
  <c r="F961" i="64"/>
  <c r="F962" i="64"/>
  <c r="F963" i="64"/>
  <c r="F964" i="64"/>
  <c r="N160" i="68" l="1"/>
  <c r="H941" i="64"/>
  <c r="H942" i="64"/>
  <c r="H943" i="64"/>
  <c r="H944" i="64"/>
  <c r="H945" i="64"/>
  <c r="H946" i="64"/>
  <c r="H947" i="64"/>
  <c r="H948" i="64"/>
  <c r="H949" i="64"/>
  <c r="H950" i="64"/>
  <c r="H951" i="64"/>
  <c r="G941" i="64"/>
  <c r="G942" i="64"/>
  <c r="G943" i="64"/>
  <c r="G944" i="64"/>
  <c r="G945" i="64"/>
  <c r="G946" i="64"/>
  <c r="G947" i="64"/>
  <c r="G948" i="64"/>
  <c r="G949" i="64"/>
  <c r="G950" i="64"/>
  <c r="G951" i="64"/>
  <c r="F941" i="64"/>
  <c r="F942" i="64"/>
  <c r="F943" i="64"/>
  <c r="F944" i="64"/>
  <c r="F945" i="64"/>
  <c r="F946" i="64"/>
  <c r="F947" i="64"/>
  <c r="F948" i="64"/>
  <c r="F949" i="64"/>
  <c r="F950" i="64"/>
  <c r="F951" i="64"/>
  <c r="H931" i="64"/>
  <c r="H932" i="64"/>
  <c r="H933" i="64"/>
  <c r="H934" i="64"/>
  <c r="H935" i="64"/>
  <c r="H936" i="64"/>
  <c r="H937" i="64"/>
  <c r="H938" i="64"/>
  <c r="H939" i="64"/>
  <c r="H940" i="64"/>
  <c r="G931" i="64"/>
  <c r="G932" i="64"/>
  <c r="G933" i="64"/>
  <c r="G934" i="64"/>
  <c r="G935" i="64"/>
  <c r="G936" i="64"/>
  <c r="G937" i="64"/>
  <c r="G938" i="64"/>
  <c r="G939" i="64"/>
  <c r="G940" i="64"/>
  <c r="F931" i="64"/>
  <c r="F932" i="64"/>
  <c r="F933" i="64"/>
  <c r="F934" i="64"/>
  <c r="F935" i="64"/>
  <c r="F936" i="64"/>
  <c r="F937" i="64"/>
  <c r="F938" i="64"/>
  <c r="F939" i="64"/>
  <c r="F940" i="64"/>
  <c r="H918" i="64"/>
  <c r="H919" i="64"/>
  <c r="H920" i="64"/>
  <c r="H921" i="64"/>
  <c r="H922" i="64"/>
  <c r="H923" i="64"/>
  <c r="H924" i="64"/>
  <c r="H927" i="64"/>
  <c r="H928" i="64"/>
  <c r="H929" i="64"/>
  <c r="H930" i="64"/>
  <c r="G918" i="64"/>
  <c r="G919" i="64"/>
  <c r="G920" i="64"/>
  <c r="G921" i="64"/>
  <c r="G922" i="64"/>
  <c r="G923" i="64"/>
  <c r="G924" i="64"/>
  <c r="G927" i="64"/>
  <c r="G928" i="64"/>
  <c r="G929" i="64"/>
  <c r="G930" i="64"/>
  <c r="F918" i="64"/>
  <c r="F919" i="64"/>
  <c r="F920" i="64"/>
  <c r="F921" i="64"/>
  <c r="F922" i="64"/>
  <c r="F923" i="64"/>
  <c r="F924" i="64"/>
  <c r="F927" i="64"/>
  <c r="F928" i="64"/>
  <c r="F929" i="64"/>
  <c r="F930" i="64"/>
  <c r="H852" i="64"/>
  <c r="H853" i="64"/>
  <c r="H854" i="64"/>
  <c r="H855" i="64"/>
  <c r="H856" i="64"/>
  <c r="H857" i="64"/>
  <c r="H858" i="64"/>
  <c r="H859" i="64"/>
  <c r="H860" i="64"/>
  <c r="H861" i="64"/>
  <c r="H862" i="64"/>
  <c r="H863" i="64"/>
  <c r="H864" i="64"/>
  <c r="H865" i="64"/>
  <c r="G852" i="64"/>
  <c r="G853" i="64"/>
  <c r="G854" i="64"/>
  <c r="G855" i="64"/>
  <c r="G856" i="64"/>
  <c r="G857" i="64"/>
  <c r="G858" i="64"/>
  <c r="G859" i="64"/>
  <c r="G860" i="64"/>
  <c r="G861" i="64"/>
  <c r="G862" i="64"/>
  <c r="G863" i="64"/>
  <c r="G864" i="64"/>
  <c r="G865" i="64"/>
  <c r="F852" i="64"/>
  <c r="F853" i="64"/>
  <c r="F854" i="64"/>
  <c r="F855" i="64"/>
  <c r="F856" i="64"/>
  <c r="F857" i="64"/>
  <c r="F858" i="64"/>
  <c r="F859" i="64"/>
  <c r="F860" i="64"/>
  <c r="F861" i="64"/>
  <c r="F862" i="64"/>
  <c r="F863" i="64"/>
  <c r="F864" i="64"/>
  <c r="F865" i="64"/>
  <c r="A852" i="64"/>
  <c r="B852" i="64"/>
  <c r="J852" i="64"/>
  <c r="M852" i="64"/>
  <c r="N852" i="64" s="1"/>
  <c r="A853" i="64"/>
  <c r="B853" i="64"/>
  <c r="J853" i="64"/>
  <c r="M853" i="64"/>
  <c r="N853" i="64" s="1"/>
  <c r="A854" i="64"/>
  <c r="B854" i="64"/>
  <c r="J854" i="64"/>
  <c r="M854" i="64"/>
  <c r="N854" i="64" s="1"/>
  <c r="A855" i="64"/>
  <c r="B855" i="64"/>
  <c r="J855" i="64"/>
  <c r="M855" i="64"/>
  <c r="N855" i="64" s="1"/>
  <c r="A856" i="64"/>
  <c r="B856" i="64"/>
  <c r="J856" i="64"/>
  <c r="M856" i="64"/>
  <c r="N856" i="64" s="1"/>
  <c r="A857" i="64"/>
  <c r="B857" i="64"/>
  <c r="J857" i="64"/>
  <c r="M857" i="64"/>
  <c r="N857" i="64" s="1"/>
  <c r="A858" i="64"/>
  <c r="B858" i="64"/>
  <c r="J858" i="64"/>
  <c r="M858" i="64"/>
  <c r="N858" i="64" s="1"/>
  <c r="A859" i="64"/>
  <c r="B859" i="64"/>
  <c r="J859" i="64"/>
  <c r="M859" i="64"/>
  <c r="N859" i="64" s="1"/>
  <c r="A860" i="64"/>
  <c r="B860" i="64"/>
  <c r="J860" i="64"/>
  <c r="M860" i="64"/>
  <c r="N860" i="64" s="1"/>
  <c r="A861" i="64"/>
  <c r="B861" i="64"/>
  <c r="J861" i="64"/>
  <c r="M861" i="64"/>
  <c r="N861" i="64" s="1"/>
  <c r="A862" i="64"/>
  <c r="B862" i="64"/>
  <c r="J862" i="64"/>
  <c r="M862" i="64"/>
  <c r="N862" i="64" s="1"/>
  <c r="A863" i="64"/>
  <c r="B863" i="64"/>
  <c r="J863" i="64"/>
  <c r="M863" i="64"/>
  <c r="N863" i="64" s="1"/>
  <c r="A864" i="64"/>
  <c r="B864" i="64"/>
  <c r="J864" i="64"/>
  <c r="M864" i="64"/>
  <c r="N864" i="64" s="1"/>
  <c r="A865" i="64"/>
  <c r="B865" i="64"/>
  <c r="J865" i="64"/>
  <c r="M865" i="64"/>
  <c r="N865" i="64" s="1"/>
  <c r="N161" i="68" l="1"/>
  <c r="H910" i="64"/>
  <c r="H911" i="64"/>
  <c r="H912" i="64"/>
  <c r="H913" i="64"/>
  <c r="H914" i="64"/>
  <c r="H915" i="64"/>
  <c r="H916" i="64"/>
  <c r="H917" i="64"/>
  <c r="G910" i="64"/>
  <c r="G911" i="64"/>
  <c r="G912" i="64"/>
  <c r="G913" i="64"/>
  <c r="G914" i="64"/>
  <c r="G915" i="64"/>
  <c r="G916" i="64"/>
  <c r="G917" i="64"/>
  <c r="F910" i="64"/>
  <c r="F911" i="64"/>
  <c r="F912" i="64"/>
  <c r="F913" i="64"/>
  <c r="F914" i="64"/>
  <c r="F915" i="64"/>
  <c r="F916" i="64"/>
  <c r="F917" i="64"/>
  <c r="N162" i="68" l="1"/>
  <c r="A933" i="64"/>
  <c r="B933" i="64"/>
  <c r="J933" i="64"/>
  <c r="M933" i="64"/>
  <c r="N933" i="64" s="1"/>
  <c r="A934" i="64"/>
  <c r="B934" i="64"/>
  <c r="J934" i="64"/>
  <c r="M934" i="64"/>
  <c r="N934" i="64" s="1"/>
  <c r="A935" i="64"/>
  <c r="B935" i="64"/>
  <c r="J935" i="64"/>
  <c r="M935" i="64"/>
  <c r="N935" i="64" s="1"/>
  <c r="A936" i="64"/>
  <c r="B936" i="64"/>
  <c r="J936" i="64"/>
  <c r="M936" i="64"/>
  <c r="N936" i="64" s="1"/>
  <c r="A937" i="64"/>
  <c r="B937" i="64"/>
  <c r="J937" i="64"/>
  <c r="M937" i="64"/>
  <c r="N937" i="64" s="1"/>
  <c r="A938" i="64"/>
  <c r="B938" i="64"/>
  <c r="J938" i="64"/>
  <c r="M938" i="64"/>
  <c r="N938" i="64" s="1"/>
  <c r="A939" i="64"/>
  <c r="B939" i="64"/>
  <c r="J939" i="64"/>
  <c r="M939" i="64"/>
  <c r="N939" i="64" s="1"/>
  <c r="A940" i="64"/>
  <c r="B940" i="64"/>
  <c r="J940" i="64"/>
  <c r="M940" i="64"/>
  <c r="N940" i="64" s="1"/>
  <c r="A941" i="64"/>
  <c r="B941" i="64"/>
  <c r="J941" i="64"/>
  <c r="M941" i="64"/>
  <c r="N941" i="64" s="1"/>
  <c r="A942" i="64"/>
  <c r="B942" i="64"/>
  <c r="J942" i="64"/>
  <c r="M942" i="64"/>
  <c r="N942" i="64" s="1"/>
  <c r="A943" i="64"/>
  <c r="B943" i="64"/>
  <c r="J943" i="64"/>
  <c r="M943" i="64"/>
  <c r="N943" i="64" s="1"/>
  <c r="A944" i="64"/>
  <c r="B944" i="64"/>
  <c r="J944" i="64"/>
  <c r="M944" i="64"/>
  <c r="N944" i="64" s="1"/>
  <c r="A945" i="64"/>
  <c r="B945" i="64"/>
  <c r="J945" i="64"/>
  <c r="M945" i="64"/>
  <c r="N945" i="64" s="1"/>
  <c r="A946" i="64"/>
  <c r="B946" i="64"/>
  <c r="J946" i="64"/>
  <c r="M946" i="64"/>
  <c r="N946" i="64" s="1"/>
  <c r="A947" i="64"/>
  <c r="B947" i="64"/>
  <c r="J947" i="64"/>
  <c r="M947" i="64"/>
  <c r="N947" i="64" s="1"/>
  <c r="A948" i="64"/>
  <c r="B948" i="64"/>
  <c r="J948" i="64"/>
  <c r="M948" i="64"/>
  <c r="N948" i="64" s="1"/>
  <c r="A949" i="64"/>
  <c r="B949" i="64"/>
  <c r="J949" i="64"/>
  <c r="M949" i="64"/>
  <c r="N949" i="64" s="1"/>
  <c r="A950" i="64"/>
  <c r="B950" i="64"/>
  <c r="J950" i="64"/>
  <c r="M950" i="64"/>
  <c r="N950" i="64" s="1"/>
  <c r="A951" i="64"/>
  <c r="B951" i="64"/>
  <c r="J951" i="64"/>
  <c r="M951" i="64"/>
  <c r="N951" i="64" s="1"/>
  <c r="A952" i="64"/>
  <c r="B952" i="64"/>
  <c r="J952" i="64"/>
  <c r="M952" i="64"/>
  <c r="N952" i="64" s="1"/>
  <c r="A953" i="64"/>
  <c r="B953" i="64"/>
  <c r="J953" i="64"/>
  <c r="M953" i="64"/>
  <c r="N953" i="64" s="1"/>
  <c r="A954" i="64"/>
  <c r="B954" i="64"/>
  <c r="J954" i="64"/>
  <c r="M954" i="64"/>
  <c r="N954" i="64" s="1"/>
  <c r="A955" i="64"/>
  <c r="B955" i="64"/>
  <c r="J955" i="64"/>
  <c r="M955" i="64"/>
  <c r="N955" i="64" s="1"/>
  <c r="A956" i="64"/>
  <c r="B956" i="64"/>
  <c r="J956" i="64"/>
  <c r="M956" i="64"/>
  <c r="N956" i="64" s="1"/>
  <c r="A957" i="64"/>
  <c r="B957" i="64"/>
  <c r="J957" i="64"/>
  <c r="M957" i="64"/>
  <c r="N957" i="64" s="1"/>
  <c r="A958" i="64"/>
  <c r="B958" i="64"/>
  <c r="J958" i="64"/>
  <c r="M958" i="64"/>
  <c r="N958" i="64" s="1"/>
  <c r="A959" i="64"/>
  <c r="B959" i="64"/>
  <c r="J959" i="64"/>
  <c r="M959" i="64"/>
  <c r="N959" i="64" s="1"/>
  <c r="A960" i="64"/>
  <c r="B960" i="64"/>
  <c r="J960" i="64"/>
  <c r="M960" i="64"/>
  <c r="N960" i="64" s="1"/>
  <c r="A961" i="64"/>
  <c r="B961" i="64"/>
  <c r="J961" i="64"/>
  <c r="M961" i="64"/>
  <c r="N961" i="64" s="1"/>
  <c r="A962" i="64"/>
  <c r="B962" i="64"/>
  <c r="J962" i="64"/>
  <c r="M962" i="64"/>
  <c r="N962" i="64" s="1"/>
  <c r="A963" i="64"/>
  <c r="B963" i="64"/>
  <c r="J963" i="64"/>
  <c r="M963" i="64"/>
  <c r="N963" i="64" s="1"/>
  <c r="A964" i="64"/>
  <c r="B964" i="64"/>
  <c r="J964" i="64"/>
  <c r="M964" i="64"/>
  <c r="N964" i="64" s="1"/>
  <c r="A965" i="64"/>
  <c r="B965" i="64"/>
  <c r="J965" i="64"/>
  <c r="M965" i="64"/>
  <c r="N965" i="64" s="1"/>
  <c r="A966" i="64"/>
  <c r="B966" i="64"/>
  <c r="J966" i="64"/>
  <c r="M966" i="64"/>
  <c r="N966" i="64" s="1"/>
  <c r="A967" i="64"/>
  <c r="B967" i="64"/>
  <c r="J967" i="64"/>
  <c r="M967" i="64"/>
  <c r="N967" i="64" s="1"/>
  <c r="A968" i="64"/>
  <c r="B968" i="64"/>
  <c r="J968" i="64"/>
  <c r="M968" i="64"/>
  <c r="N968" i="64" s="1"/>
  <c r="A969" i="64"/>
  <c r="B969" i="64"/>
  <c r="J969" i="64"/>
  <c r="M969" i="64"/>
  <c r="N969" i="64" s="1"/>
  <c r="A970" i="64"/>
  <c r="B970" i="64"/>
  <c r="J970" i="64"/>
  <c r="M970" i="64"/>
  <c r="N970" i="64" s="1"/>
  <c r="A971" i="64"/>
  <c r="B971" i="64"/>
  <c r="J971" i="64"/>
  <c r="M971" i="64"/>
  <c r="N971" i="64" s="1"/>
  <c r="A972" i="64"/>
  <c r="B972" i="64"/>
  <c r="J972" i="64"/>
  <c r="M972" i="64"/>
  <c r="N972" i="64" s="1"/>
  <c r="A973" i="64"/>
  <c r="B973" i="64"/>
  <c r="J973" i="64"/>
  <c r="M973" i="64"/>
  <c r="N973" i="64" s="1"/>
  <c r="A974" i="64"/>
  <c r="B974" i="64"/>
  <c r="J974" i="64"/>
  <c r="M974" i="64"/>
  <c r="N974" i="64" s="1"/>
  <c r="A975" i="64"/>
  <c r="B975" i="64"/>
  <c r="J975" i="64"/>
  <c r="M975" i="64"/>
  <c r="N975" i="64" s="1"/>
  <c r="A976" i="64"/>
  <c r="B976" i="64"/>
  <c r="J976" i="64"/>
  <c r="M976" i="64"/>
  <c r="N976" i="64" s="1"/>
  <c r="A977" i="64"/>
  <c r="B977" i="64"/>
  <c r="J977" i="64"/>
  <c r="M977" i="64"/>
  <c r="N977" i="64" s="1"/>
  <c r="A978" i="64"/>
  <c r="B978" i="64"/>
  <c r="J978" i="64"/>
  <c r="M978" i="64"/>
  <c r="N978" i="64" s="1"/>
  <c r="A979" i="64"/>
  <c r="B979" i="64"/>
  <c r="J979" i="64"/>
  <c r="M979" i="64"/>
  <c r="N979" i="64" s="1"/>
  <c r="A980" i="64"/>
  <c r="B980" i="64"/>
  <c r="J980" i="64"/>
  <c r="M980" i="64"/>
  <c r="N980" i="64" s="1"/>
  <c r="A981" i="64"/>
  <c r="B981" i="64"/>
  <c r="J981" i="64"/>
  <c r="M981" i="64"/>
  <c r="N981" i="64" s="1"/>
  <c r="A982" i="64"/>
  <c r="B982" i="64"/>
  <c r="J982" i="64"/>
  <c r="M982" i="64"/>
  <c r="N982" i="64" s="1"/>
  <c r="A983" i="64"/>
  <c r="B983" i="64"/>
  <c r="J983" i="64"/>
  <c r="M983" i="64"/>
  <c r="N983" i="64" s="1"/>
  <c r="A984" i="64"/>
  <c r="B984" i="64"/>
  <c r="J984" i="64"/>
  <c r="M984" i="64"/>
  <c r="N984" i="64" s="1"/>
  <c r="A985" i="64"/>
  <c r="B985" i="64"/>
  <c r="J985" i="64"/>
  <c r="M985" i="64"/>
  <c r="N985" i="64" s="1"/>
  <c r="A986" i="64"/>
  <c r="B986" i="64"/>
  <c r="J986" i="64"/>
  <c r="M986" i="64"/>
  <c r="N986" i="64" s="1"/>
  <c r="A987" i="64"/>
  <c r="B987" i="64"/>
  <c r="J987" i="64"/>
  <c r="M987" i="64"/>
  <c r="N987" i="64" s="1"/>
  <c r="A988" i="64"/>
  <c r="B988" i="64"/>
  <c r="J988" i="64"/>
  <c r="M988" i="64"/>
  <c r="N988" i="64" s="1"/>
  <c r="A989" i="64"/>
  <c r="B989" i="64"/>
  <c r="J989" i="64"/>
  <c r="M989" i="64"/>
  <c r="N989" i="64" s="1"/>
  <c r="A990" i="64"/>
  <c r="B990" i="64"/>
  <c r="J990" i="64"/>
  <c r="M990" i="64"/>
  <c r="N990" i="64" s="1"/>
  <c r="A991" i="64"/>
  <c r="B991" i="64"/>
  <c r="J991" i="64"/>
  <c r="M991" i="64"/>
  <c r="N991" i="64" s="1"/>
  <c r="A992" i="64"/>
  <c r="B992" i="64"/>
  <c r="J992" i="64"/>
  <c r="M992" i="64"/>
  <c r="N992" i="64" s="1"/>
  <c r="A993" i="64"/>
  <c r="B993" i="64"/>
  <c r="J993" i="64"/>
  <c r="M993" i="64"/>
  <c r="N993" i="64" s="1"/>
  <c r="A994" i="64"/>
  <c r="B994" i="64"/>
  <c r="J994" i="64"/>
  <c r="M994" i="64"/>
  <c r="N994" i="64" s="1"/>
  <c r="A995" i="64"/>
  <c r="B995" i="64"/>
  <c r="J995" i="64"/>
  <c r="M995" i="64"/>
  <c r="N995" i="64" s="1"/>
  <c r="A996" i="64"/>
  <c r="B996" i="64"/>
  <c r="J996" i="64"/>
  <c r="M996" i="64"/>
  <c r="N996" i="64" s="1"/>
  <c r="A997" i="64"/>
  <c r="B997" i="64"/>
  <c r="J997" i="64"/>
  <c r="M997" i="64"/>
  <c r="N997" i="64" s="1"/>
  <c r="A998" i="64"/>
  <c r="B998" i="64"/>
  <c r="J998" i="64"/>
  <c r="M998" i="64"/>
  <c r="N998" i="64" s="1"/>
  <c r="A999" i="64"/>
  <c r="B999" i="64"/>
  <c r="J999" i="64"/>
  <c r="M999" i="64"/>
  <c r="N999" i="64" s="1"/>
  <c r="A1000" i="64"/>
  <c r="B1000" i="64"/>
  <c r="J1000" i="64"/>
  <c r="M1000" i="64"/>
  <c r="N1000" i="64" s="1"/>
  <c r="A1001" i="64"/>
  <c r="B1001" i="64"/>
  <c r="J1001" i="64"/>
  <c r="M1001" i="64"/>
  <c r="N1001" i="64" s="1"/>
  <c r="A1002" i="64"/>
  <c r="B1002" i="64"/>
  <c r="J1002" i="64"/>
  <c r="M1002" i="64"/>
  <c r="N1002" i="64" s="1"/>
  <c r="A1003" i="64"/>
  <c r="B1003" i="64"/>
  <c r="J1003" i="64"/>
  <c r="M1003" i="64"/>
  <c r="N1003" i="64" s="1"/>
  <c r="A1004" i="64"/>
  <c r="B1004" i="64"/>
  <c r="J1004" i="64"/>
  <c r="M1004" i="64"/>
  <c r="N1004" i="64" s="1"/>
  <c r="A1005" i="64"/>
  <c r="B1005" i="64"/>
  <c r="J1005" i="64"/>
  <c r="M1005" i="64"/>
  <c r="N1005" i="64" s="1"/>
  <c r="A1006" i="64"/>
  <c r="B1006" i="64"/>
  <c r="J1006" i="64"/>
  <c r="M1006" i="64"/>
  <c r="N1006" i="64" s="1"/>
  <c r="A1007" i="64"/>
  <c r="B1007" i="64"/>
  <c r="J1007" i="64"/>
  <c r="M1007" i="64"/>
  <c r="N1007" i="64" s="1"/>
  <c r="A1008" i="64"/>
  <c r="B1008" i="64"/>
  <c r="J1008" i="64"/>
  <c r="M1008" i="64"/>
  <c r="N1008" i="64" s="1"/>
  <c r="A1009" i="64"/>
  <c r="B1009" i="64"/>
  <c r="J1009" i="64"/>
  <c r="M1009" i="64"/>
  <c r="N1009" i="64" s="1"/>
  <c r="N163" i="68" l="1"/>
  <c r="H894" i="64"/>
  <c r="H895" i="64"/>
  <c r="H896" i="64"/>
  <c r="H897" i="64"/>
  <c r="H898" i="64"/>
  <c r="H899" i="64"/>
  <c r="H900" i="64"/>
  <c r="H901" i="64"/>
  <c r="H902" i="64"/>
  <c r="H903" i="64"/>
  <c r="H904" i="64"/>
  <c r="H905" i="64"/>
  <c r="H906" i="64"/>
  <c r="H907" i="64"/>
  <c r="H908" i="64"/>
  <c r="H909" i="64"/>
  <c r="G894" i="64"/>
  <c r="G895" i="64"/>
  <c r="G896" i="64"/>
  <c r="G897" i="64"/>
  <c r="G898" i="64"/>
  <c r="G899" i="64"/>
  <c r="G900" i="64"/>
  <c r="G901" i="64"/>
  <c r="G902" i="64"/>
  <c r="G903" i="64"/>
  <c r="G904" i="64"/>
  <c r="G905" i="64"/>
  <c r="G906" i="64"/>
  <c r="G907" i="64"/>
  <c r="G908" i="64"/>
  <c r="G909" i="64"/>
  <c r="F894" i="64"/>
  <c r="F895" i="64"/>
  <c r="F896" i="64"/>
  <c r="F897" i="64"/>
  <c r="F898" i="64"/>
  <c r="F899" i="64"/>
  <c r="F900" i="64"/>
  <c r="F901" i="64"/>
  <c r="F902" i="64"/>
  <c r="F903" i="64"/>
  <c r="F904" i="64"/>
  <c r="F905" i="64"/>
  <c r="F906" i="64"/>
  <c r="F907" i="64"/>
  <c r="F908" i="64"/>
  <c r="F909" i="64"/>
  <c r="N164" i="68" l="1"/>
  <c r="H885" i="64"/>
  <c r="H886" i="64"/>
  <c r="H887" i="64"/>
  <c r="H888" i="64"/>
  <c r="H889" i="64"/>
  <c r="H890" i="64"/>
  <c r="H891" i="64"/>
  <c r="H892" i="64"/>
  <c r="H893" i="64"/>
  <c r="G885" i="64"/>
  <c r="G886" i="64"/>
  <c r="G887" i="64"/>
  <c r="G888" i="64"/>
  <c r="G889" i="64"/>
  <c r="G890" i="64"/>
  <c r="G891" i="64"/>
  <c r="G892" i="64"/>
  <c r="G893" i="64"/>
  <c r="F885" i="64"/>
  <c r="F886" i="64"/>
  <c r="F887" i="64"/>
  <c r="F888" i="64"/>
  <c r="F889" i="64"/>
  <c r="F890" i="64"/>
  <c r="F891" i="64"/>
  <c r="F892" i="64"/>
  <c r="F893" i="64"/>
  <c r="N165" i="68" l="1"/>
  <c r="H877" i="64"/>
  <c r="H878" i="64"/>
  <c r="H879" i="64"/>
  <c r="H880" i="64"/>
  <c r="H881" i="64"/>
  <c r="H882" i="64"/>
  <c r="H883" i="64"/>
  <c r="H884" i="64"/>
  <c r="G877" i="64"/>
  <c r="G878" i="64"/>
  <c r="G879" i="64"/>
  <c r="G880" i="64"/>
  <c r="G881" i="64"/>
  <c r="G882" i="64"/>
  <c r="G883" i="64"/>
  <c r="G884" i="64"/>
  <c r="F877" i="64"/>
  <c r="F878" i="64"/>
  <c r="F879" i="64"/>
  <c r="F880" i="64"/>
  <c r="F881" i="64"/>
  <c r="F882" i="64"/>
  <c r="F883" i="64"/>
  <c r="F884" i="64"/>
  <c r="H851" i="64"/>
  <c r="H836" i="64"/>
  <c r="H837" i="64"/>
  <c r="H838" i="64"/>
  <c r="H839" i="64"/>
  <c r="H840" i="64"/>
  <c r="H841" i="64"/>
  <c r="H842" i="64"/>
  <c r="H843" i="64"/>
  <c r="H844" i="64"/>
  <c r="H845" i="64"/>
  <c r="H846" i="64"/>
  <c r="H847" i="64"/>
  <c r="H848" i="64"/>
  <c r="H849" i="64"/>
  <c r="H850" i="64"/>
  <c r="G836" i="64"/>
  <c r="G837" i="64"/>
  <c r="G838" i="64"/>
  <c r="G839" i="64"/>
  <c r="G840" i="64"/>
  <c r="G841" i="64"/>
  <c r="G842" i="64"/>
  <c r="G843" i="64"/>
  <c r="G844" i="64"/>
  <c r="G845" i="64"/>
  <c r="G846" i="64"/>
  <c r="G847" i="64"/>
  <c r="G848" i="64"/>
  <c r="G849" i="64"/>
  <c r="G850" i="64"/>
  <c r="G851" i="64"/>
  <c r="F836" i="64"/>
  <c r="F837" i="64"/>
  <c r="F838" i="64"/>
  <c r="F839" i="64"/>
  <c r="F840" i="64"/>
  <c r="F841" i="64"/>
  <c r="F842" i="64"/>
  <c r="F843" i="64"/>
  <c r="F844" i="64"/>
  <c r="F845" i="64"/>
  <c r="F846" i="64"/>
  <c r="F847" i="64"/>
  <c r="F848" i="64"/>
  <c r="F849" i="64"/>
  <c r="F850" i="64"/>
  <c r="F851" i="64"/>
  <c r="A836" i="64"/>
  <c r="B836" i="64"/>
  <c r="J836" i="64"/>
  <c r="M836" i="64"/>
  <c r="N836" i="64" s="1"/>
  <c r="A837" i="64"/>
  <c r="B837" i="64"/>
  <c r="J837" i="64"/>
  <c r="M837" i="64"/>
  <c r="N837" i="64" s="1"/>
  <c r="A838" i="64"/>
  <c r="B838" i="64"/>
  <c r="J838" i="64"/>
  <c r="M838" i="64"/>
  <c r="N838" i="64" s="1"/>
  <c r="A839" i="64"/>
  <c r="B839" i="64"/>
  <c r="J839" i="64"/>
  <c r="M839" i="64"/>
  <c r="N839" i="64" s="1"/>
  <c r="A840" i="64"/>
  <c r="B840" i="64"/>
  <c r="J840" i="64"/>
  <c r="M840" i="64"/>
  <c r="N840" i="64" s="1"/>
  <c r="A841" i="64"/>
  <c r="B841" i="64"/>
  <c r="J841" i="64"/>
  <c r="M841" i="64"/>
  <c r="N841" i="64" s="1"/>
  <c r="A842" i="64"/>
  <c r="B842" i="64"/>
  <c r="J842" i="64"/>
  <c r="M842" i="64"/>
  <c r="N842" i="64" s="1"/>
  <c r="A843" i="64"/>
  <c r="B843" i="64"/>
  <c r="J843" i="64"/>
  <c r="M843" i="64"/>
  <c r="N843" i="64" s="1"/>
  <c r="A844" i="64"/>
  <c r="B844" i="64"/>
  <c r="J844" i="64"/>
  <c r="M844" i="64"/>
  <c r="N844" i="64" s="1"/>
  <c r="A845" i="64"/>
  <c r="B845" i="64"/>
  <c r="J845" i="64"/>
  <c r="M845" i="64"/>
  <c r="N845" i="64" s="1"/>
  <c r="A846" i="64"/>
  <c r="B846" i="64"/>
  <c r="J846" i="64"/>
  <c r="M846" i="64"/>
  <c r="N846" i="64" s="1"/>
  <c r="A847" i="64"/>
  <c r="B847" i="64"/>
  <c r="J847" i="64"/>
  <c r="M847" i="64"/>
  <c r="N847" i="64" s="1"/>
  <c r="A848" i="64"/>
  <c r="B848" i="64"/>
  <c r="J848" i="64"/>
  <c r="M848" i="64"/>
  <c r="N848" i="64" s="1"/>
  <c r="A849" i="64"/>
  <c r="B849" i="64"/>
  <c r="J849" i="64"/>
  <c r="M849" i="64"/>
  <c r="N849" i="64" s="1"/>
  <c r="A850" i="64"/>
  <c r="B850" i="64"/>
  <c r="J850" i="64"/>
  <c r="M850" i="64"/>
  <c r="N850" i="64" s="1"/>
  <c r="A851" i="64"/>
  <c r="B851" i="64"/>
  <c r="J851" i="64"/>
  <c r="M851" i="64"/>
  <c r="N851" i="64" s="1"/>
  <c r="N166" i="68" l="1"/>
  <c r="A879" i="64"/>
  <c r="B879" i="64"/>
  <c r="J879" i="64"/>
  <c r="M879" i="64"/>
  <c r="N879" i="64" s="1"/>
  <c r="A880" i="64"/>
  <c r="B880" i="64"/>
  <c r="J880" i="64"/>
  <c r="M880" i="64"/>
  <c r="N880" i="64" s="1"/>
  <c r="A881" i="64"/>
  <c r="B881" i="64"/>
  <c r="J881" i="64"/>
  <c r="M881" i="64"/>
  <c r="N881" i="64" s="1"/>
  <c r="A882" i="64"/>
  <c r="B882" i="64"/>
  <c r="J882" i="64"/>
  <c r="M882" i="64"/>
  <c r="N882" i="64" s="1"/>
  <c r="A883" i="64"/>
  <c r="B883" i="64"/>
  <c r="J883" i="64"/>
  <c r="M883" i="64"/>
  <c r="N883" i="64" s="1"/>
  <c r="A884" i="64"/>
  <c r="B884" i="64"/>
  <c r="J884" i="64"/>
  <c r="M884" i="64"/>
  <c r="N884" i="64" s="1"/>
  <c r="A885" i="64"/>
  <c r="B885" i="64"/>
  <c r="J885" i="64"/>
  <c r="M885" i="64"/>
  <c r="N885" i="64" s="1"/>
  <c r="A886" i="64"/>
  <c r="B886" i="64"/>
  <c r="J886" i="64"/>
  <c r="M886" i="64"/>
  <c r="N886" i="64" s="1"/>
  <c r="A887" i="64"/>
  <c r="B887" i="64"/>
  <c r="J887" i="64"/>
  <c r="M887" i="64"/>
  <c r="N887" i="64" s="1"/>
  <c r="A888" i="64"/>
  <c r="B888" i="64"/>
  <c r="J888" i="64"/>
  <c r="M888" i="64"/>
  <c r="N888" i="64" s="1"/>
  <c r="A889" i="64"/>
  <c r="B889" i="64"/>
  <c r="J889" i="64"/>
  <c r="M889" i="64"/>
  <c r="N889" i="64" s="1"/>
  <c r="A890" i="64"/>
  <c r="B890" i="64"/>
  <c r="J890" i="64"/>
  <c r="M890" i="64"/>
  <c r="N890" i="64" s="1"/>
  <c r="A891" i="64"/>
  <c r="B891" i="64"/>
  <c r="J891" i="64"/>
  <c r="M891" i="64"/>
  <c r="N891" i="64" s="1"/>
  <c r="A892" i="64"/>
  <c r="B892" i="64"/>
  <c r="J892" i="64"/>
  <c r="M892" i="64"/>
  <c r="N892" i="64" s="1"/>
  <c r="A893" i="64"/>
  <c r="B893" i="64"/>
  <c r="J893" i="64"/>
  <c r="M893" i="64"/>
  <c r="N893" i="64" s="1"/>
  <c r="A894" i="64"/>
  <c r="B894" i="64"/>
  <c r="J894" i="64"/>
  <c r="M894" i="64"/>
  <c r="N894" i="64" s="1"/>
  <c r="A895" i="64"/>
  <c r="B895" i="64"/>
  <c r="J895" i="64"/>
  <c r="M895" i="64"/>
  <c r="N895" i="64" s="1"/>
  <c r="A896" i="64"/>
  <c r="B896" i="64"/>
  <c r="J896" i="64"/>
  <c r="M896" i="64"/>
  <c r="N896" i="64" s="1"/>
  <c r="A897" i="64"/>
  <c r="B897" i="64"/>
  <c r="J897" i="64"/>
  <c r="M897" i="64"/>
  <c r="N897" i="64" s="1"/>
  <c r="A898" i="64"/>
  <c r="B898" i="64"/>
  <c r="J898" i="64"/>
  <c r="M898" i="64"/>
  <c r="N898" i="64" s="1"/>
  <c r="A899" i="64"/>
  <c r="B899" i="64"/>
  <c r="J899" i="64"/>
  <c r="M899" i="64"/>
  <c r="N899" i="64" s="1"/>
  <c r="A900" i="64"/>
  <c r="B900" i="64"/>
  <c r="J900" i="64"/>
  <c r="M900" i="64"/>
  <c r="N900" i="64" s="1"/>
  <c r="A901" i="64"/>
  <c r="B901" i="64"/>
  <c r="J901" i="64"/>
  <c r="M901" i="64"/>
  <c r="N901" i="64" s="1"/>
  <c r="A902" i="64"/>
  <c r="B902" i="64"/>
  <c r="J902" i="64"/>
  <c r="M902" i="64"/>
  <c r="N902" i="64" s="1"/>
  <c r="A903" i="64"/>
  <c r="B903" i="64"/>
  <c r="J903" i="64"/>
  <c r="M903" i="64"/>
  <c r="N903" i="64" s="1"/>
  <c r="A904" i="64"/>
  <c r="B904" i="64"/>
  <c r="J904" i="64"/>
  <c r="M904" i="64"/>
  <c r="N904" i="64" s="1"/>
  <c r="A905" i="64"/>
  <c r="B905" i="64"/>
  <c r="J905" i="64"/>
  <c r="M905" i="64"/>
  <c r="N905" i="64" s="1"/>
  <c r="A906" i="64"/>
  <c r="B906" i="64"/>
  <c r="J906" i="64"/>
  <c r="M906" i="64"/>
  <c r="N906" i="64" s="1"/>
  <c r="H866" i="64"/>
  <c r="H867" i="64"/>
  <c r="H868" i="64"/>
  <c r="H869" i="64"/>
  <c r="H870" i="64"/>
  <c r="H871" i="64"/>
  <c r="H872" i="64"/>
  <c r="H873" i="64"/>
  <c r="H874" i="64"/>
  <c r="H875" i="64"/>
  <c r="H876" i="64"/>
  <c r="G866" i="64"/>
  <c r="G867" i="64"/>
  <c r="G868" i="64"/>
  <c r="G869" i="64"/>
  <c r="G870" i="64"/>
  <c r="G871" i="64"/>
  <c r="G872" i="64"/>
  <c r="G873" i="64"/>
  <c r="G874" i="64"/>
  <c r="G875" i="64"/>
  <c r="G876" i="64"/>
  <c r="F866" i="64"/>
  <c r="F867" i="64"/>
  <c r="F868" i="64"/>
  <c r="F869" i="64"/>
  <c r="F870" i="64"/>
  <c r="F871" i="64"/>
  <c r="F872" i="64"/>
  <c r="F873" i="64"/>
  <c r="F874" i="64"/>
  <c r="F875" i="64"/>
  <c r="F876" i="64"/>
  <c r="N167" i="68" l="1"/>
  <c r="A874" i="64"/>
  <c r="B874" i="64"/>
  <c r="J874" i="64"/>
  <c r="M874" i="64"/>
  <c r="N874" i="64" s="1"/>
  <c r="A875" i="64"/>
  <c r="B875" i="64"/>
  <c r="J875" i="64"/>
  <c r="M875" i="64"/>
  <c r="N875" i="64" s="1"/>
  <c r="A876" i="64"/>
  <c r="B876" i="64"/>
  <c r="J876" i="64"/>
  <c r="M876" i="64"/>
  <c r="N876" i="64" s="1"/>
  <c r="A877" i="64"/>
  <c r="B877" i="64"/>
  <c r="J877" i="64"/>
  <c r="M877" i="64"/>
  <c r="N877" i="64" s="1"/>
  <c r="A878" i="64"/>
  <c r="B878" i="64"/>
  <c r="J878" i="64"/>
  <c r="M878" i="64"/>
  <c r="N878" i="64" s="1"/>
  <c r="A907" i="64"/>
  <c r="B907" i="64"/>
  <c r="J907" i="64"/>
  <c r="M907" i="64"/>
  <c r="N907" i="64" s="1"/>
  <c r="A908" i="64"/>
  <c r="B908" i="64"/>
  <c r="J908" i="64"/>
  <c r="M908" i="64"/>
  <c r="N908" i="64" s="1"/>
  <c r="A909" i="64"/>
  <c r="B909" i="64"/>
  <c r="J909" i="64"/>
  <c r="M909" i="64"/>
  <c r="N909" i="64" s="1"/>
  <c r="A910" i="64"/>
  <c r="B910" i="64"/>
  <c r="J910" i="64"/>
  <c r="M910" i="64"/>
  <c r="N910" i="64" s="1"/>
  <c r="A911" i="64"/>
  <c r="B911" i="64"/>
  <c r="J911" i="64"/>
  <c r="M911" i="64"/>
  <c r="N911" i="64" s="1"/>
  <c r="A912" i="64"/>
  <c r="B912" i="64"/>
  <c r="J912" i="64"/>
  <c r="M912" i="64"/>
  <c r="N912" i="64" s="1"/>
  <c r="A913" i="64"/>
  <c r="B913" i="64"/>
  <c r="J913" i="64"/>
  <c r="M913" i="64"/>
  <c r="N913" i="64" s="1"/>
  <c r="H820" i="64"/>
  <c r="H821" i="64"/>
  <c r="H822" i="64"/>
  <c r="H823" i="64"/>
  <c r="H824" i="64"/>
  <c r="H825" i="64"/>
  <c r="H826" i="64"/>
  <c r="H827" i="64"/>
  <c r="H828" i="64"/>
  <c r="H829" i="64"/>
  <c r="H830" i="64"/>
  <c r="H831" i="64"/>
  <c r="H832" i="64"/>
  <c r="H833" i="64"/>
  <c r="H834" i="64"/>
  <c r="H835" i="64"/>
  <c r="G820" i="64"/>
  <c r="G821" i="64"/>
  <c r="G822" i="64"/>
  <c r="G823" i="64"/>
  <c r="G824" i="64"/>
  <c r="G825" i="64"/>
  <c r="G826" i="64"/>
  <c r="G827" i="64"/>
  <c r="G828" i="64"/>
  <c r="G829" i="64"/>
  <c r="G830" i="64"/>
  <c r="G831" i="64"/>
  <c r="G832" i="64"/>
  <c r="G833" i="64"/>
  <c r="G834" i="64"/>
  <c r="G835" i="64"/>
  <c r="F820" i="64"/>
  <c r="F821" i="64"/>
  <c r="F822" i="64"/>
  <c r="F823" i="64"/>
  <c r="F824" i="64"/>
  <c r="F825" i="64"/>
  <c r="F826" i="64"/>
  <c r="F827" i="64"/>
  <c r="F828" i="64"/>
  <c r="F829" i="64"/>
  <c r="F830" i="64"/>
  <c r="F831" i="64"/>
  <c r="F832" i="64"/>
  <c r="F833" i="64"/>
  <c r="F834" i="64"/>
  <c r="F835" i="64"/>
  <c r="N168" i="68" l="1"/>
  <c r="H803" i="64"/>
  <c r="H804" i="64"/>
  <c r="H805" i="64"/>
  <c r="H806" i="64"/>
  <c r="H807" i="64"/>
  <c r="H808" i="64"/>
  <c r="H809" i="64"/>
  <c r="H810" i="64"/>
  <c r="H811" i="64"/>
  <c r="H812" i="64"/>
  <c r="H813" i="64"/>
  <c r="H814" i="64"/>
  <c r="H815" i="64"/>
  <c r="H816" i="64"/>
  <c r="H817" i="64"/>
  <c r="H818" i="64"/>
  <c r="H819" i="64"/>
  <c r="G803" i="64"/>
  <c r="G804" i="64"/>
  <c r="G805" i="64"/>
  <c r="G806" i="64"/>
  <c r="G807" i="64"/>
  <c r="G808" i="64"/>
  <c r="G809" i="64"/>
  <c r="G810" i="64"/>
  <c r="G811" i="64"/>
  <c r="G812" i="64"/>
  <c r="G813" i="64"/>
  <c r="G814" i="64"/>
  <c r="G815" i="64"/>
  <c r="G816" i="64"/>
  <c r="G817" i="64"/>
  <c r="G818" i="64"/>
  <c r="G819" i="64"/>
  <c r="F819" i="64"/>
  <c r="F803" i="64"/>
  <c r="F804" i="64"/>
  <c r="F805" i="64"/>
  <c r="F806" i="64"/>
  <c r="F807" i="64"/>
  <c r="F808" i="64"/>
  <c r="F809" i="64"/>
  <c r="F810" i="64"/>
  <c r="F811" i="64"/>
  <c r="F812" i="64"/>
  <c r="F813" i="64"/>
  <c r="F814" i="64"/>
  <c r="F815" i="64"/>
  <c r="F816" i="64"/>
  <c r="F817" i="64"/>
  <c r="F818" i="64"/>
  <c r="N169" i="68" l="1"/>
  <c r="N170" i="68" l="1"/>
  <c r="H785" i="64"/>
  <c r="H786" i="64"/>
  <c r="H787" i="64"/>
  <c r="H788" i="64"/>
  <c r="H789" i="64"/>
  <c r="H790" i="64"/>
  <c r="H791" i="64"/>
  <c r="H792" i="64"/>
  <c r="H793" i="64"/>
  <c r="H794" i="64"/>
  <c r="H795" i="64"/>
  <c r="H796" i="64"/>
  <c r="H797" i="64"/>
  <c r="H798" i="64"/>
  <c r="H799" i="64"/>
  <c r="H800" i="64"/>
  <c r="H801" i="64"/>
  <c r="H802" i="64"/>
  <c r="G802" i="64"/>
  <c r="G785" i="64"/>
  <c r="G786" i="64"/>
  <c r="G787" i="64"/>
  <c r="G788" i="64"/>
  <c r="G789" i="64"/>
  <c r="G790" i="64"/>
  <c r="G791" i="64"/>
  <c r="G792" i="64"/>
  <c r="G793" i="64"/>
  <c r="G794" i="64"/>
  <c r="G795" i="64"/>
  <c r="G796" i="64"/>
  <c r="G797" i="64"/>
  <c r="G798" i="64"/>
  <c r="G799" i="64"/>
  <c r="G800" i="64"/>
  <c r="G801" i="64"/>
  <c r="F785" i="64"/>
  <c r="F786" i="64"/>
  <c r="F787" i="64"/>
  <c r="F788" i="64"/>
  <c r="F789" i="64"/>
  <c r="F790" i="64"/>
  <c r="F791" i="64"/>
  <c r="F792" i="64"/>
  <c r="F793" i="64"/>
  <c r="F794" i="64"/>
  <c r="F795" i="64"/>
  <c r="F796" i="64"/>
  <c r="F797" i="64"/>
  <c r="F798" i="64"/>
  <c r="F799" i="64"/>
  <c r="F800" i="64"/>
  <c r="F801" i="64"/>
  <c r="F802" i="64"/>
  <c r="H771" i="64"/>
  <c r="H772" i="64"/>
  <c r="H773" i="64"/>
  <c r="H774" i="64"/>
  <c r="H775" i="64"/>
  <c r="H776" i="64"/>
  <c r="H777" i="64"/>
  <c r="H778" i="64"/>
  <c r="H779" i="64"/>
  <c r="H780" i="64"/>
  <c r="H781" i="64"/>
  <c r="H782" i="64"/>
  <c r="H783" i="64"/>
  <c r="H784" i="64"/>
  <c r="F784" i="64"/>
  <c r="G771" i="64"/>
  <c r="G772" i="64"/>
  <c r="G773" i="64"/>
  <c r="G774" i="64"/>
  <c r="G775" i="64"/>
  <c r="G776" i="64"/>
  <c r="G777" i="64"/>
  <c r="G778" i="64"/>
  <c r="G779" i="64"/>
  <c r="G780" i="64"/>
  <c r="G781" i="64"/>
  <c r="G782" i="64"/>
  <c r="G783" i="64"/>
  <c r="G784" i="64"/>
  <c r="F771" i="64"/>
  <c r="F772" i="64"/>
  <c r="F773" i="64"/>
  <c r="F774" i="64"/>
  <c r="F775" i="64"/>
  <c r="F776" i="64"/>
  <c r="F777" i="64"/>
  <c r="F778" i="64"/>
  <c r="F779" i="64"/>
  <c r="F780" i="64"/>
  <c r="F781" i="64"/>
  <c r="F782" i="64"/>
  <c r="F783" i="64"/>
  <c r="H760" i="64"/>
  <c r="H761" i="64"/>
  <c r="H762" i="64"/>
  <c r="H763" i="64"/>
  <c r="H764" i="64"/>
  <c r="H765" i="64"/>
  <c r="H766" i="64"/>
  <c r="H767" i="64"/>
  <c r="H768" i="64"/>
  <c r="H769" i="64"/>
  <c r="H770" i="64"/>
  <c r="G760" i="64"/>
  <c r="G761" i="64"/>
  <c r="G762" i="64"/>
  <c r="G763" i="64"/>
  <c r="G764" i="64"/>
  <c r="G765" i="64"/>
  <c r="G766" i="64"/>
  <c r="G767" i="64"/>
  <c r="G768" i="64"/>
  <c r="G769" i="64"/>
  <c r="G770" i="64"/>
  <c r="F760" i="64"/>
  <c r="F761" i="64"/>
  <c r="F762" i="64"/>
  <c r="F763" i="64"/>
  <c r="F764" i="64"/>
  <c r="F765" i="64"/>
  <c r="F766" i="64"/>
  <c r="F767" i="64"/>
  <c r="F768" i="64"/>
  <c r="F769" i="64"/>
  <c r="F770" i="64"/>
  <c r="G759" i="64"/>
  <c r="H747" i="64"/>
  <c r="H748" i="64"/>
  <c r="H749" i="64"/>
  <c r="H750" i="64"/>
  <c r="H751" i="64"/>
  <c r="H752" i="64"/>
  <c r="H753" i="64"/>
  <c r="H754" i="64"/>
  <c r="H755" i="64"/>
  <c r="H756" i="64"/>
  <c r="H757" i="64"/>
  <c r="H758" i="64"/>
  <c r="H759" i="64"/>
  <c r="G747" i="64"/>
  <c r="G748" i="64"/>
  <c r="G749" i="64"/>
  <c r="G750" i="64"/>
  <c r="G751" i="64"/>
  <c r="G752" i="64"/>
  <c r="G753" i="64"/>
  <c r="G754" i="64"/>
  <c r="G755" i="64"/>
  <c r="G756" i="64"/>
  <c r="G757" i="64"/>
  <c r="G758" i="64"/>
  <c r="F747" i="64"/>
  <c r="F748" i="64"/>
  <c r="F749" i="64"/>
  <c r="F750" i="64"/>
  <c r="F751" i="64"/>
  <c r="F752" i="64"/>
  <c r="F753" i="64"/>
  <c r="F754" i="64"/>
  <c r="F755" i="64"/>
  <c r="F756" i="64"/>
  <c r="F757" i="64"/>
  <c r="F758" i="64"/>
  <c r="F759" i="64"/>
  <c r="H731" i="64"/>
  <c r="H732" i="64"/>
  <c r="H733" i="64"/>
  <c r="H734" i="64"/>
  <c r="H735" i="64"/>
  <c r="H736" i="64"/>
  <c r="H737" i="64"/>
  <c r="H738" i="64"/>
  <c r="H739" i="64"/>
  <c r="H740" i="64"/>
  <c r="H741" i="64"/>
  <c r="H742" i="64"/>
  <c r="H743" i="64"/>
  <c r="H744" i="64"/>
  <c r="H745" i="64"/>
  <c r="H746" i="64"/>
  <c r="G731" i="64"/>
  <c r="G732" i="64"/>
  <c r="G733" i="64"/>
  <c r="G734" i="64"/>
  <c r="G735" i="64"/>
  <c r="G736" i="64"/>
  <c r="G737" i="64"/>
  <c r="G738" i="64"/>
  <c r="G739" i="64"/>
  <c r="G740" i="64"/>
  <c r="G741" i="64"/>
  <c r="G742" i="64"/>
  <c r="G743" i="64"/>
  <c r="G744" i="64"/>
  <c r="G745" i="64"/>
  <c r="G746" i="64"/>
  <c r="F731" i="64"/>
  <c r="F732" i="64"/>
  <c r="F733" i="64"/>
  <c r="F734" i="64"/>
  <c r="F735" i="64"/>
  <c r="F736" i="64"/>
  <c r="F737" i="64"/>
  <c r="F738" i="64"/>
  <c r="F739" i="64"/>
  <c r="F740" i="64"/>
  <c r="F741" i="64"/>
  <c r="F742" i="64"/>
  <c r="F743" i="64"/>
  <c r="F744" i="64"/>
  <c r="F745" i="64"/>
  <c r="F746" i="64"/>
  <c r="H717" i="64"/>
  <c r="H718" i="64"/>
  <c r="H719" i="64"/>
  <c r="H720" i="64"/>
  <c r="H721" i="64"/>
  <c r="H722" i="64"/>
  <c r="H723" i="64"/>
  <c r="H724" i="64"/>
  <c r="H725" i="64"/>
  <c r="H726" i="64"/>
  <c r="H727" i="64"/>
  <c r="H728" i="64"/>
  <c r="H729" i="64"/>
  <c r="H730" i="64"/>
  <c r="G717" i="64"/>
  <c r="G718" i="64"/>
  <c r="G719" i="64"/>
  <c r="G720" i="64"/>
  <c r="G721" i="64"/>
  <c r="G722" i="64"/>
  <c r="G723" i="64"/>
  <c r="G724" i="64"/>
  <c r="G725" i="64"/>
  <c r="G726" i="64"/>
  <c r="G727" i="64"/>
  <c r="G728" i="64"/>
  <c r="G729" i="64"/>
  <c r="G730" i="64"/>
  <c r="F717" i="64"/>
  <c r="F718" i="64"/>
  <c r="F719" i="64"/>
  <c r="F720" i="64"/>
  <c r="F721" i="64"/>
  <c r="F722" i="64"/>
  <c r="F723" i="64"/>
  <c r="F724" i="64"/>
  <c r="F725" i="64"/>
  <c r="F726" i="64"/>
  <c r="F727" i="64"/>
  <c r="F728" i="64"/>
  <c r="F729" i="64"/>
  <c r="F730" i="64"/>
  <c r="A719" i="64"/>
  <c r="B719" i="64"/>
  <c r="J719" i="64"/>
  <c r="M719" i="64"/>
  <c r="N719" i="64" s="1"/>
  <c r="A720" i="64"/>
  <c r="B720" i="64"/>
  <c r="J720" i="64"/>
  <c r="M720" i="64"/>
  <c r="N720" i="64" s="1"/>
  <c r="A721" i="64"/>
  <c r="B721" i="64"/>
  <c r="J721" i="64"/>
  <c r="M721" i="64"/>
  <c r="N721" i="64" s="1"/>
  <c r="A722" i="64"/>
  <c r="B722" i="64"/>
  <c r="J722" i="64"/>
  <c r="M722" i="64"/>
  <c r="N722" i="64" s="1"/>
  <c r="A723" i="64"/>
  <c r="B723" i="64"/>
  <c r="J723" i="64"/>
  <c r="M723" i="64"/>
  <c r="N723" i="64" s="1"/>
  <c r="A724" i="64"/>
  <c r="B724" i="64"/>
  <c r="J724" i="64"/>
  <c r="M724" i="64"/>
  <c r="N724" i="64" s="1"/>
  <c r="A725" i="64"/>
  <c r="B725" i="64"/>
  <c r="J725" i="64"/>
  <c r="M725" i="64"/>
  <c r="N725" i="64" s="1"/>
  <c r="A726" i="64"/>
  <c r="B726" i="64"/>
  <c r="J726" i="64"/>
  <c r="M726" i="64"/>
  <c r="N726" i="64" s="1"/>
  <c r="A727" i="64"/>
  <c r="B727" i="64"/>
  <c r="J727" i="64"/>
  <c r="M727" i="64"/>
  <c r="N727" i="64" s="1"/>
  <c r="A728" i="64"/>
  <c r="B728" i="64"/>
  <c r="J728" i="64"/>
  <c r="M728" i="64"/>
  <c r="N728" i="64" s="1"/>
  <c r="A729" i="64"/>
  <c r="B729" i="64"/>
  <c r="J729" i="64"/>
  <c r="M729" i="64"/>
  <c r="N729" i="64" s="1"/>
  <c r="A718" i="64"/>
  <c r="B718" i="64"/>
  <c r="J718" i="64"/>
  <c r="M718" i="64"/>
  <c r="N718" i="64" s="1"/>
  <c r="A730" i="64"/>
  <c r="B730" i="64"/>
  <c r="J730" i="64"/>
  <c r="M730" i="64"/>
  <c r="N730" i="64" s="1"/>
  <c r="A731" i="64"/>
  <c r="B731" i="64"/>
  <c r="J731" i="64"/>
  <c r="M731" i="64"/>
  <c r="N731" i="64" s="1"/>
  <c r="A732" i="64"/>
  <c r="B732" i="64"/>
  <c r="J732" i="64"/>
  <c r="M732" i="64"/>
  <c r="N732" i="64" s="1"/>
  <c r="A733" i="64"/>
  <c r="B733" i="64"/>
  <c r="J733" i="64"/>
  <c r="M733" i="64"/>
  <c r="N733" i="64" s="1"/>
  <c r="A734" i="64"/>
  <c r="B734" i="64"/>
  <c r="J734" i="64"/>
  <c r="M734" i="64"/>
  <c r="N734" i="64" s="1"/>
  <c r="A735" i="64"/>
  <c r="B735" i="64"/>
  <c r="J735" i="64"/>
  <c r="M735" i="64"/>
  <c r="N735" i="64" s="1"/>
  <c r="A736" i="64"/>
  <c r="B736" i="64"/>
  <c r="J736" i="64"/>
  <c r="M736" i="64"/>
  <c r="N736" i="64" s="1"/>
  <c r="A737" i="64"/>
  <c r="B737" i="64"/>
  <c r="J737" i="64"/>
  <c r="M737" i="64"/>
  <c r="N737" i="64" s="1"/>
  <c r="A738" i="64"/>
  <c r="B738" i="64"/>
  <c r="J738" i="64"/>
  <c r="M738" i="64"/>
  <c r="N738" i="64" s="1"/>
  <c r="A739" i="64"/>
  <c r="B739" i="64"/>
  <c r="J739" i="64"/>
  <c r="M739" i="64"/>
  <c r="N739" i="64" s="1"/>
  <c r="A740" i="64"/>
  <c r="B740" i="64"/>
  <c r="J740" i="64"/>
  <c r="M740" i="64"/>
  <c r="N740" i="64" s="1"/>
  <c r="A741" i="64"/>
  <c r="B741" i="64"/>
  <c r="J741" i="64"/>
  <c r="M741" i="64"/>
  <c r="N741" i="64" s="1"/>
  <c r="A742" i="64"/>
  <c r="B742" i="64"/>
  <c r="J742" i="64"/>
  <c r="M742" i="64"/>
  <c r="N742" i="64" s="1"/>
  <c r="A743" i="64"/>
  <c r="B743" i="64"/>
  <c r="J743" i="64"/>
  <c r="M743" i="64"/>
  <c r="N743" i="64" s="1"/>
  <c r="A744" i="64"/>
  <c r="B744" i="64"/>
  <c r="J744" i="64"/>
  <c r="M744" i="64"/>
  <c r="N744" i="64" s="1"/>
  <c r="A745" i="64"/>
  <c r="B745" i="64"/>
  <c r="J745" i="64"/>
  <c r="M745" i="64"/>
  <c r="N745" i="64" s="1"/>
  <c r="A746" i="64"/>
  <c r="B746" i="64"/>
  <c r="J746" i="64"/>
  <c r="M746" i="64"/>
  <c r="N746" i="64" s="1"/>
  <c r="A747" i="64"/>
  <c r="B747" i="64"/>
  <c r="J747" i="64"/>
  <c r="M747" i="64"/>
  <c r="N747" i="64" s="1"/>
  <c r="A748" i="64"/>
  <c r="B748" i="64"/>
  <c r="J748" i="64"/>
  <c r="M748" i="64"/>
  <c r="N748" i="64" s="1"/>
  <c r="A749" i="64"/>
  <c r="B749" i="64"/>
  <c r="J749" i="64"/>
  <c r="M749" i="64"/>
  <c r="N749" i="64" s="1"/>
  <c r="A750" i="64"/>
  <c r="B750" i="64"/>
  <c r="J750" i="64"/>
  <c r="M750" i="64"/>
  <c r="N750" i="64" s="1"/>
  <c r="A751" i="64"/>
  <c r="B751" i="64"/>
  <c r="J751" i="64"/>
  <c r="M751" i="64"/>
  <c r="N751" i="64" s="1"/>
  <c r="A752" i="64"/>
  <c r="B752" i="64"/>
  <c r="J752" i="64"/>
  <c r="M752" i="64"/>
  <c r="N752" i="64" s="1"/>
  <c r="A753" i="64"/>
  <c r="B753" i="64"/>
  <c r="J753" i="64"/>
  <c r="M753" i="64"/>
  <c r="N753" i="64" s="1"/>
  <c r="A754" i="64"/>
  <c r="B754" i="64"/>
  <c r="J754" i="64"/>
  <c r="M754" i="64"/>
  <c r="N754" i="64" s="1"/>
  <c r="A755" i="64"/>
  <c r="B755" i="64"/>
  <c r="J755" i="64"/>
  <c r="M755" i="64"/>
  <c r="N755" i="64" s="1"/>
  <c r="A756" i="64"/>
  <c r="B756" i="64"/>
  <c r="J756" i="64"/>
  <c r="M756" i="64"/>
  <c r="N756" i="64" s="1"/>
  <c r="A757" i="64"/>
  <c r="B757" i="64"/>
  <c r="J757" i="64"/>
  <c r="M757" i="64"/>
  <c r="N757" i="64" s="1"/>
  <c r="A758" i="64"/>
  <c r="B758" i="64"/>
  <c r="J758" i="64"/>
  <c r="M758" i="64"/>
  <c r="N758" i="64" s="1"/>
  <c r="A759" i="64"/>
  <c r="B759" i="64"/>
  <c r="J759" i="64"/>
  <c r="M759" i="64"/>
  <c r="N759" i="64" s="1"/>
  <c r="A760" i="64"/>
  <c r="B760" i="64"/>
  <c r="J760" i="64"/>
  <c r="M760" i="64"/>
  <c r="N760" i="64" s="1"/>
  <c r="A761" i="64"/>
  <c r="B761" i="64"/>
  <c r="J761" i="64"/>
  <c r="M761" i="64"/>
  <c r="N761" i="64" s="1"/>
  <c r="A762" i="64"/>
  <c r="B762" i="64"/>
  <c r="J762" i="64"/>
  <c r="M762" i="64"/>
  <c r="N762" i="64" s="1"/>
  <c r="A763" i="64"/>
  <c r="B763" i="64"/>
  <c r="J763" i="64"/>
  <c r="M763" i="64"/>
  <c r="N763" i="64" s="1"/>
  <c r="A764" i="64"/>
  <c r="B764" i="64"/>
  <c r="J764" i="64"/>
  <c r="M764" i="64"/>
  <c r="N764" i="64" s="1"/>
  <c r="A765" i="64"/>
  <c r="B765" i="64"/>
  <c r="J765" i="64"/>
  <c r="M765" i="64"/>
  <c r="N765" i="64" s="1"/>
  <c r="A766" i="64"/>
  <c r="B766" i="64"/>
  <c r="J766" i="64"/>
  <c r="M766" i="64"/>
  <c r="N766" i="64" s="1"/>
  <c r="A767" i="64"/>
  <c r="B767" i="64"/>
  <c r="J767" i="64"/>
  <c r="M767" i="64"/>
  <c r="N767" i="64" s="1"/>
  <c r="A768" i="64"/>
  <c r="B768" i="64"/>
  <c r="J768" i="64"/>
  <c r="M768" i="64"/>
  <c r="N768" i="64" s="1"/>
  <c r="A769" i="64"/>
  <c r="B769" i="64"/>
  <c r="J769" i="64"/>
  <c r="M769" i="64"/>
  <c r="N769" i="64" s="1"/>
  <c r="A770" i="64"/>
  <c r="B770" i="64"/>
  <c r="J770" i="64"/>
  <c r="M770" i="64"/>
  <c r="N770" i="64" s="1"/>
  <c r="A772" i="64"/>
  <c r="B772" i="64"/>
  <c r="J772" i="64"/>
  <c r="M772" i="64"/>
  <c r="N772" i="64" s="1"/>
  <c r="A773" i="64"/>
  <c r="B773" i="64"/>
  <c r="J773" i="64"/>
  <c r="M773" i="64"/>
  <c r="N773" i="64" s="1"/>
  <c r="A774" i="64"/>
  <c r="B774" i="64"/>
  <c r="J774" i="64"/>
  <c r="M774" i="64"/>
  <c r="N774" i="64" s="1"/>
  <c r="A775" i="64"/>
  <c r="B775" i="64"/>
  <c r="J775" i="64"/>
  <c r="M775" i="64"/>
  <c r="N775" i="64" s="1"/>
  <c r="A776" i="64"/>
  <c r="B776" i="64"/>
  <c r="J776" i="64"/>
  <c r="M776" i="64"/>
  <c r="N776" i="64" s="1"/>
  <c r="A777" i="64"/>
  <c r="B777" i="64"/>
  <c r="J777" i="64"/>
  <c r="M777" i="64"/>
  <c r="N777" i="64" s="1"/>
  <c r="A778" i="64"/>
  <c r="B778" i="64"/>
  <c r="J778" i="64"/>
  <c r="M778" i="64"/>
  <c r="N778" i="64" s="1"/>
  <c r="A779" i="64"/>
  <c r="B779" i="64"/>
  <c r="J779" i="64"/>
  <c r="M779" i="64"/>
  <c r="N779" i="64" s="1"/>
  <c r="A780" i="64"/>
  <c r="B780" i="64"/>
  <c r="J780" i="64"/>
  <c r="M780" i="64"/>
  <c r="N780" i="64" s="1"/>
  <c r="A781" i="64"/>
  <c r="B781" i="64"/>
  <c r="J781" i="64"/>
  <c r="M781" i="64"/>
  <c r="N781" i="64" s="1"/>
  <c r="A782" i="64"/>
  <c r="B782" i="64"/>
  <c r="J782" i="64"/>
  <c r="M782" i="64"/>
  <c r="N782" i="64" s="1"/>
  <c r="A783" i="64"/>
  <c r="B783" i="64"/>
  <c r="J783" i="64"/>
  <c r="M783" i="64"/>
  <c r="N783" i="64" s="1"/>
  <c r="A784" i="64"/>
  <c r="B784" i="64"/>
  <c r="J784" i="64"/>
  <c r="M784" i="64"/>
  <c r="N784" i="64" s="1"/>
  <c r="A785" i="64"/>
  <c r="B785" i="64"/>
  <c r="J785" i="64"/>
  <c r="M785" i="64"/>
  <c r="N785" i="64" s="1"/>
  <c r="A786" i="64"/>
  <c r="B786" i="64"/>
  <c r="J786" i="64"/>
  <c r="M786" i="64"/>
  <c r="N786" i="64" s="1"/>
  <c r="A787" i="64"/>
  <c r="B787" i="64"/>
  <c r="J787" i="64"/>
  <c r="M787" i="64"/>
  <c r="N787" i="64" s="1"/>
  <c r="A788" i="64"/>
  <c r="B788" i="64"/>
  <c r="J788" i="64"/>
  <c r="M788" i="64"/>
  <c r="N788" i="64" s="1"/>
  <c r="A789" i="64"/>
  <c r="B789" i="64"/>
  <c r="J789" i="64"/>
  <c r="M789" i="64"/>
  <c r="N789" i="64" s="1"/>
  <c r="A790" i="64"/>
  <c r="B790" i="64"/>
  <c r="J790" i="64"/>
  <c r="M790" i="64"/>
  <c r="N790" i="64" s="1"/>
  <c r="A791" i="64"/>
  <c r="B791" i="64"/>
  <c r="J791" i="64"/>
  <c r="M791" i="64"/>
  <c r="N791" i="64" s="1"/>
  <c r="A792" i="64"/>
  <c r="B792" i="64"/>
  <c r="J792" i="64"/>
  <c r="M792" i="64"/>
  <c r="N792" i="64" s="1"/>
  <c r="A793" i="64"/>
  <c r="B793" i="64"/>
  <c r="J793" i="64"/>
  <c r="M793" i="64"/>
  <c r="N793" i="64" s="1"/>
  <c r="A794" i="64"/>
  <c r="B794" i="64"/>
  <c r="J794" i="64"/>
  <c r="M794" i="64"/>
  <c r="N794" i="64" s="1"/>
  <c r="A795" i="64"/>
  <c r="B795" i="64"/>
  <c r="J795" i="64"/>
  <c r="M795" i="64"/>
  <c r="N795" i="64" s="1"/>
  <c r="A796" i="64"/>
  <c r="B796" i="64"/>
  <c r="J796" i="64"/>
  <c r="M796" i="64"/>
  <c r="N796" i="64" s="1"/>
  <c r="A797" i="64"/>
  <c r="B797" i="64"/>
  <c r="J797" i="64"/>
  <c r="M797" i="64"/>
  <c r="N797" i="64" s="1"/>
  <c r="A798" i="64"/>
  <c r="B798" i="64"/>
  <c r="J798" i="64"/>
  <c r="M798" i="64"/>
  <c r="N798" i="64" s="1"/>
  <c r="A799" i="64"/>
  <c r="B799" i="64"/>
  <c r="J799" i="64"/>
  <c r="M799" i="64"/>
  <c r="N799" i="64" s="1"/>
  <c r="A800" i="64"/>
  <c r="B800" i="64"/>
  <c r="J800" i="64"/>
  <c r="M800" i="64"/>
  <c r="N800" i="64" s="1"/>
  <c r="A801" i="64"/>
  <c r="B801" i="64"/>
  <c r="J801" i="64"/>
  <c r="M801" i="64"/>
  <c r="N801" i="64" s="1"/>
  <c r="A802" i="64"/>
  <c r="B802" i="64"/>
  <c r="J802" i="64"/>
  <c r="M802" i="64"/>
  <c r="N802" i="64" s="1"/>
  <c r="A803" i="64"/>
  <c r="B803" i="64"/>
  <c r="J803" i="64"/>
  <c r="M803" i="64"/>
  <c r="N803" i="64" s="1"/>
  <c r="A804" i="64"/>
  <c r="B804" i="64"/>
  <c r="J804" i="64"/>
  <c r="M804" i="64"/>
  <c r="N804" i="64" s="1"/>
  <c r="A805" i="64"/>
  <c r="B805" i="64"/>
  <c r="J805" i="64"/>
  <c r="M805" i="64"/>
  <c r="N805" i="64" s="1"/>
  <c r="A806" i="64"/>
  <c r="B806" i="64"/>
  <c r="J806" i="64"/>
  <c r="M806" i="64"/>
  <c r="N806" i="64" s="1"/>
  <c r="A807" i="64"/>
  <c r="B807" i="64"/>
  <c r="J807" i="64"/>
  <c r="M807" i="64"/>
  <c r="N807" i="64" s="1"/>
  <c r="A808" i="64"/>
  <c r="B808" i="64"/>
  <c r="J808" i="64"/>
  <c r="M808" i="64"/>
  <c r="N808" i="64" s="1"/>
  <c r="A809" i="64"/>
  <c r="B809" i="64"/>
  <c r="J809" i="64"/>
  <c r="M809" i="64"/>
  <c r="N809" i="64" s="1"/>
  <c r="A810" i="64"/>
  <c r="B810" i="64"/>
  <c r="J810" i="64"/>
  <c r="M810" i="64"/>
  <c r="N810" i="64" s="1"/>
  <c r="A811" i="64"/>
  <c r="B811" i="64"/>
  <c r="J811" i="64"/>
  <c r="M811" i="64"/>
  <c r="N811" i="64" s="1"/>
  <c r="A812" i="64"/>
  <c r="B812" i="64"/>
  <c r="J812" i="64"/>
  <c r="M812" i="64"/>
  <c r="N812" i="64" s="1"/>
  <c r="A813" i="64"/>
  <c r="B813" i="64"/>
  <c r="J813" i="64"/>
  <c r="M813" i="64"/>
  <c r="N813" i="64" s="1"/>
  <c r="A814" i="64"/>
  <c r="B814" i="64"/>
  <c r="J814" i="64"/>
  <c r="M814" i="64"/>
  <c r="N814" i="64" s="1"/>
  <c r="A815" i="64"/>
  <c r="B815" i="64"/>
  <c r="J815" i="64"/>
  <c r="M815" i="64"/>
  <c r="N815" i="64" s="1"/>
  <c r="A816" i="64"/>
  <c r="B816" i="64"/>
  <c r="J816" i="64"/>
  <c r="M816" i="64"/>
  <c r="N816" i="64" s="1"/>
  <c r="A817" i="64"/>
  <c r="B817" i="64"/>
  <c r="J817" i="64"/>
  <c r="M817" i="64"/>
  <c r="N817" i="64" s="1"/>
  <c r="A818" i="64"/>
  <c r="B818" i="64"/>
  <c r="J818" i="64"/>
  <c r="M818" i="64"/>
  <c r="N818" i="64" s="1"/>
  <c r="A819" i="64"/>
  <c r="B819" i="64"/>
  <c r="J819" i="64"/>
  <c r="M819" i="64"/>
  <c r="N819" i="64" s="1"/>
  <c r="A820" i="64"/>
  <c r="B820" i="64"/>
  <c r="J820" i="64"/>
  <c r="M820" i="64"/>
  <c r="N820" i="64" s="1"/>
  <c r="A821" i="64"/>
  <c r="B821" i="64"/>
  <c r="J821" i="64"/>
  <c r="M821" i="64"/>
  <c r="N821" i="64" s="1"/>
  <c r="A822" i="64"/>
  <c r="B822" i="64"/>
  <c r="J822" i="64"/>
  <c r="M822" i="64"/>
  <c r="N822" i="64" s="1"/>
  <c r="A823" i="64"/>
  <c r="B823" i="64"/>
  <c r="J823" i="64"/>
  <c r="M823" i="64"/>
  <c r="N823" i="64" s="1"/>
  <c r="A824" i="64"/>
  <c r="B824" i="64"/>
  <c r="J824" i="64"/>
  <c r="M824" i="64"/>
  <c r="N824" i="64" s="1"/>
  <c r="A825" i="64"/>
  <c r="B825" i="64"/>
  <c r="J825" i="64"/>
  <c r="M825" i="64"/>
  <c r="N825" i="64" s="1"/>
  <c r="A826" i="64"/>
  <c r="B826" i="64"/>
  <c r="J826" i="64"/>
  <c r="M826" i="64"/>
  <c r="N826" i="64" s="1"/>
  <c r="A827" i="64"/>
  <c r="B827" i="64"/>
  <c r="J827" i="64"/>
  <c r="M827" i="64"/>
  <c r="N827" i="64" s="1"/>
  <c r="A828" i="64"/>
  <c r="B828" i="64"/>
  <c r="J828" i="64"/>
  <c r="M828" i="64"/>
  <c r="N828" i="64" s="1"/>
  <c r="A829" i="64"/>
  <c r="B829" i="64"/>
  <c r="J829" i="64"/>
  <c r="M829" i="64"/>
  <c r="N829" i="64" s="1"/>
  <c r="A830" i="64"/>
  <c r="B830" i="64"/>
  <c r="J830" i="64"/>
  <c r="M830" i="64"/>
  <c r="N830" i="64" s="1"/>
  <c r="A831" i="64"/>
  <c r="B831" i="64"/>
  <c r="J831" i="64"/>
  <c r="M831" i="64"/>
  <c r="N831" i="64" s="1"/>
  <c r="A832" i="64"/>
  <c r="B832" i="64"/>
  <c r="J832" i="64"/>
  <c r="M832" i="64"/>
  <c r="N832" i="64" s="1"/>
  <c r="A833" i="64"/>
  <c r="B833" i="64"/>
  <c r="J833" i="64"/>
  <c r="M833" i="64"/>
  <c r="N833" i="64" s="1"/>
  <c r="A834" i="64"/>
  <c r="B834" i="64"/>
  <c r="J834" i="64"/>
  <c r="M834" i="64"/>
  <c r="N834" i="64" s="1"/>
  <c r="A835" i="64"/>
  <c r="B835" i="64"/>
  <c r="J835" i="64"/>
  <c r="M835" i="64"/>
  <c r="N835" i="64" s="1"/>
  <c r="A866" i="64"/>
  <c r="B866" i="64"/>
  <c r="J866" i="64"/>
  <c r="M866" i="64"/>
  <c r="N866" i="64" s="1"/>
  <c r="A867" i="64"/>
  <c r="B867" i="64"/>
  <c r="J867" i="64"/>
  <c r="M867" i="64"/>
  <c r="N867" i="64" s="1"/>
  <c r="A868" i="64"/>
  <c r="B868" i="64"/>
  <c r="J868" i="64"/>
  <c r="M868" i="64"/>
  <c r="N868" i="64" s="1"/>
  <c r="A869" i="64"/>
  <c r="B869" i="64"/>
  <c r="J869" i="64"/>
  <c r="M869" i="64"/>
  <c r="N869" i="64" s="1"/>
  <c r="A870" i="64"/>
  <c r="B870" i="64"/>
  <c r="J870" i="64"/>
  <c r="M870" i="64"/>
  <c r="N870" i="64" s="1"/>
  <c r="A871" i="64"/>
  <c r="B871" i="64"/>
  <c r="J871" i="64"/>
  <c r="M871" i="64"/>
  <c r="N871" i="64" s="1"/>
  <c r="A872" i="64"/>
  <c r="B872" i="64"/>
  <c r="J872" i="64"/>
  <c r="M872" i="64"/>
  <c r="N872" i="64" s="1"/>
  <c r="A873" i="64"/>
  <c r="B873" i="64"/>
  <c r="J873" i="64"/>
  <c r="M873" i="64"/>
  <c r="N873" i="64" s="1"/>
  <c r="A914" i="64"/>
  <c r="B914" i="64"/>
  <c r="J914" i="64"/>
  <c r="M914" i="64"/>
  <c r="N914" i="64" s="1"/>
  <c r="A915" i="64"/>
  <c r="B915" i="64"/>
  <c r="J915" i="64"/>
  <c r="M915" i="64"/>
  <c r="N915" i="64" s="1"/>
  <c r="A916" i="64"/>
  <c r="B916" i="64"/>
  <c r="J916" i="64"/>
  <c r="M916" i="64"/>
  <c r="N916" i="64" s="1"/>
  <c r="A917" i="64"/>
  <c r="B917" i="64"/>
  <c r="J917" i="64"/>
  <c r="M917" i="64"/>
  <c r="N917" i="64" s="1"/>
  <c r="A918" i="64"/>
  <c r="B918" i="64"/>
  <c r="J918" i="64"/>
  <c r="M918" i="64"/>
  <c r="N918" i="64" s="1"/>
  <c r="A919" i="64"/>
  <c r="B919" i="64"/>
  <c r="J919" i="64"/>
  <c r="M919" i="64"/>
  <c r="N919" i="64" s="1"/>
  <c r="A920" i="64"/>
  <c r="B920" i="64"/>
  <c r="J920" i="64"/>
  <c r="M920" i="64"/>
  <c r="N920" i="64" s="1"/>
  <c r="A921" i="64"/>
  <c r="B921" i="64"/>
  <c r="J921" i="64"/>
  <c r="M921" i="64"/>
  <c r="N921" i="64" s="1"/>
  <c r="A922" i="64"/>
  <c r="B922" i="64"/>
  <c r="J922" i="64"/>
  <c r="M922" i="64"/>
  <c r="N922" i="64" s="1"/>
  <c r="A923" i="64"/>
  <c r="B923" i="64"/>
  <c r="J923" i="64"/>
  <c r="M923" i="64"/>
  <c r="N923" i="64" s="1"/>
  <c r="A924" i="64"/>
  <c r="B924" i="64"/>
  <c r="J924" i="64"/>
  <c r="M924" i="64"/>
  <c r="N924" i="64" s="1"/>
  <c r="A927" i="64"/>
  <c r="B927" i="64"/>
  <c r="J927" i="64"/>
  <c r="M927" i="64"/>
  <c r="N927" i="64" s="1"/>
  <c r="A928" i="64"/>
  <c r="B928" i="64"/>
  <c r="J928" i="64"/>
  <c r="M928" i="64"/>
  <c r="N928" i="64" s="1"/>
  <c r="A929" i="64"/>
  <c r="B929" i="64"/>
  <c r="J929" i="64"/>
  <c r="M929" i="64"/>
  <c r="N929" i="64" s="1"/>
  <c r="A930" i="64"/>
  <c r="B930" i="64"/>
  <c r="J930" i="64"/>
  <c r="M930" i="64"/>
  <c r="N930" i="64" s="1"/>
  <c r="A931" i="64"/>
  <c r="B931" i="64"/>
  <c r="J931" i="64"/>
  <c r="M931" i="64"/>
  <c r="N931" i="64" s="1"/>
  <c r="A932" i="64"/>
  <c r="B932" i="64"/>
  <c r="J932" i="64"/>
  <c r="M932" i="64"/>
  <c r="N932" i="64" s="1"/>
  <c r="A1010" i="64"/>
  <c r="B1010" i="64"/>
  <c r="J1010" i="64"/>
  <c r="M1010" i="64"/>
  <c r="N1010" i="64" s="1"/>
  <c r="A1011" i="64"/>
  <c r="B1011" i="64"/>
  <c r="J1011" i="64"/>
  <c r="M1011" i="64"/>
  <c r="N1011" i="64" s="1"/>
  <c r="A1012" i="64"/>
  <c r="B1012" i="64"/>
  <c r="J1012" i="64"/>
  <c r="M1012" i="64"/>
  <c r="N1012" i="64" s="1"/>
  <c r="A1013" i="64"/>
  <c r="B1013" i="64"/>
  <c r="J1013" i="64"/>
  <c r="M1013" i="64"/>
  <c r="N1013" i="64" s="1"/>
  <c r="A1014" i="64"/>
  <c r="B1014" i="64"/>
  <c r="J1014" i="64"/>
  <c r="M1014" i="64"/>
  <c r="N1014" i="64" s="1"/>
  <c r="A1015" i="64"/>
  <c r="B1015" i="64"/>
  <c r="J1015" i="64"/>
  <c r="M1015" i="64"/>
  <c r="N1015" i="64" s="1"/>
  <c r="A1016" i="64"/>
  <c r="B1016" i="64"/>
  <c r="J1016" i="64"/>
  <c r="M1016" i="64"/>
  <c r="N1016" i="64" s="1"/>
  <c r="A1017" i="64"/>
  <c r="B1017" i="64"/>
  <c r="J1017" i="64"/>
  <c r="M1017" i="64"/>
  <c r="N1017" i="64" s="1"/>
  <c r="A1018" i="64"/>
  <c r="B1018" i="64"/>
  <c r="J1018" i="64"/>
  <c r="M1018" i="64"/>
  <c r="N1018" i="64" s="1"/>
  <c r="A1019" i="64"/>
  <c r="B1019" i="64"/>
  <c r="J1019" i="64"/>
  <c r="M1019" i="64"/>
  <c r="N1019" i="64" s="1"/>
  <c r="A1020" i="64"/>
  <c r="B1020" i="64"/>
  <c r="J1020" i="64"/>
  <c r="M1020" i="64"/>
  <c r="N1020" i="64" s="1"/>
  <c r="A1021" i="64"/>
  <c r="B1021" i="64"/>
  <c r="J1021" i="64"/>
  <c r="M1021" i="64"/>
  <c r="N1021" i="64" s="1"/>
  <c r="A1022" i="64"/>
  <c r="B1022" i="64"/>
  <c r="J1022" i="64"/>
  <c r="M1022" i="64"/>
  <c r="N1022" i="64" s="1"/>
  <c r="A1023" i="64"/>
  <c r="B1023" i="64"/>
  <c r="J1023" i="64"/>
  <c r="M1023" i="64"/>
  <c r="N1023" i="64" s="1"/>
  <c r="A1024" i="64"/>
  <c r="B1024" i="64"/>
  <c r="J1024" i="64"/>
  <c r="M1024" i="64"/>
  <c r="N1024" i="64" s="1"/>
  <c r="A1025" i="64"/>
  <c r="B1025" i="64"/>
  <c r="J1025" i="64"/>
  <c r="M1025" i="64"/>
  <c r="N1025" i="64" s="1"/>
  <c r="A1026" i="64"/>
  <c r="B1026" i="64"/>
  <c r="J1026" i="64"/>
  <c r="M1026" i="64"/>
  <c r="N1026" i="64" s="1"/>
  <c r="A1027" i="64"/>
  <c r="B1027" i="64"/>
  <c r="J1027" i="64"/>
  <c r="M1027" i="64"/>
  <c r="N1027" i="64" s="1"/>
  <c r="A1028" i="64"/>
  <c r="B1028" i="64"/>
  <c r="J1028" i="64"/>
  <c r="M1028" i="64"/>
  <c r="N1028" i="64" s="1"/>
  <c r="A1029" i="64"/>
  <c r="B1029" i="64"/>
  <c r="J1029" i="64"/>
  <c r="M1029" i="64"/>
  <c r="N1029" i="64" s="1"/>
  <c r="A1030" i="64"/>
  <c r="B1030" i="64"/>
  <c r="J1030" i="64"/>
  <c r="M1030" i="64"/>
  <c r="N1030" i="64" s="1"/>
  <c r="A1031" i="64"/>
  <c r="B1031" i="64"/>
  <c r="J1031" i="64"/>
  <c r="M1031" i="64"/>
  <c r="N1031" i="64" s="1"/>
  <c r="A1032" i="64"/>
  <c r="B1032" i="64"/>
  <c r="J1032" i="64"/>
  <c r="M1032" i="64"/>
  <c r="N1032" i="64" s="1"/>
  <c r="A1033" i="64"/>
  <c r="B1033" i="64"/>
  <c r="J1033" i="64"/>
  <c r="M1033" i="64"/>
  <c r="N1033" i="64" s="1"/>
  <c r="A1034" i="64"/>
  <c r="B1034" i="64"/>
  <c r="J1034" i="64"/>
  <c r="M1034" i="64"/>
  <c r="N1034" i="64" s="1"/>
  <c r="A1035" i="64"/>
  <c r="B1035" i="64"/>
  <c r="J1035" i="64"/>
  <c r="M1035" i="64"/>
  <c r="N1035" i="64" s="1"/>
  <c r="A1036" i="64"/>
  <c r="B1036" i="64"/>
  <c r="J1036" i="64"/>
  <c r="M1036" i="64"/>
  <c r="N1036" i="64" s="1"/>
  <c r="A1037" i="64"/>
  <c r="B1037" i="64"/>
  <c r="J1037" i="64"/>
  <c r="M1037" i="64"/>
  <c r="N1037" i="64" s="1"/>
  <c r="A1038" i="64"/>
  <c r="B1038" i="64"/>
  <c r="J1038" i="64"/>
  <c r="M1038" i="64"/>
  <c r="N1038" i="64" s="1"/>
  <c r="A1039" i="64"/>
  <c r="B1039" i="64"/>
  <c r="J1039" i="64"/>
  <c r="M1039" i="64"/>
  <c r="N1039" i="64" s="1"/>
  <c r="A1040" i="64"/>
  <c r="B1040" i="64"/>
  <c r="J1040" i="64"/>
  <c r="M1040" i="64"/>
  <c r="N1040" i="64" s="1"/>
  <c r="A1041" i="64"/>
  <c r="B1041" i="64"/>
  <c r="J1041" i="64"/>
  <c r="M1041" i="64"/>
  <c r="N1041" i="64" s="1"/>
  <c r="A1042" i="64"/>
  <c r="B1042" i="64"/>
  <c r="J1042" i="64"/>
  <c r="M1042" i="64"/>
  <c r="N1042" i="64" s="1"/>
  <c r="A1043" i="64"/>
  <c r="B1043" i="64"/>
  <c r="J1043" i="64"/>
  <c r="M1043" i="64"/>
  <c r="N1043" i="64" s="1"/>
  <c r="A1044" i="64"/>
  <c r="B1044" i="64"/>
  <c r="J1044" i="64"/>
  <c r="M1044" i="64"/>
  <c r="N1044" i="64" s="1"/>
  <c r="A1045" i="64"/>
  <c r="B1045" i="64"/>
  <c r="J1045" i="64"/>
  <c r="M1045" i="64"/>
  <c r="N1045" i="64" s="1"/>
  <c r="A1046" i="64"/>
  <c r="B1046" i="64"/>
  <c r="J1046" i="64"/>
  <c r="M1046" i="64"/>
  <c r="N1046" i="64" s="1"/>
  <c r="A1047" i="64"/>
  <c r="B1047" i="64"/>
  <c r="J1047" i="64"/>
  <c r="M1047" i="64"/>
  <c r="N1047" i="64" s="1"/>
  <c r="A1048" i="64"/>
  <c r="B1048" i="64"/>
  <c r="J1048" i="64"/>
  <c r="M1048" i="64"/>
  <c r="N1048" i="64" s="1"/>
  <c r="A1049" i="64"/>
  <c r="B1049" i="64"/>
  <c r="J1049" i="64"/>
  <c r="M1049" i="64"/>
  <c r="N1049" i="64" s="1"/>
  <c r="A1050" i="64"/>
  <c r="B1050" i="64"/>
  <c r="J1050" i="64"/>
  <c r="M1050" i="64"/>
  <c r="N1050" i="64" s="1"/>
  <c r="A1051" i="64"/>
  <c r="B1051" i="64"/>
  <c r="J1051" i="64"/>
  <c r="M1051" i="64"/>
  <c r="N1051" i="64" s="1"/>
  <c r="A1052" i="64"/>
  <c r="B1052" i="64"/>
  <c r="J1052" i="64"/>
  <c r="M1052" i="64"/>
  <c r="N1052" i="64" s="1"/>
  <c r="A771" i="64"/>
  <c r="B771" i="64"/>
  <c r="J771" i="64"/>
  <c r="M771" i="64"/>
  <c r="N771" i="64" s="1"/>
  <c r="A1053" i="64"/>
  <c r="B1053" i="64"/>
  <c r="J1053" i="64"/>
  <c r="M1053" i="64"/>
  <c r="N1053" i="64" s="1"/>
  <c r="A1054" i="64"/>
  <c r="B1054" i="64"/>
  <c r="J1054" i="64"/>
  <c r="M1054" i="64"/>
  <c r="N1054" i="64" s="1"/>
  <c r="N171" i="68" l="1"/>
  <c r="H700" i="64"/>
  <c r="H701" i="64"/>
  <c r="H702" i="64"/>
  <c r="H703" i="64"/>
  <c r="H704" i="64"/>
  <c r="H705" i="64"/>
  <c r="H706" i="64"/>
  <c r="H707" i="64"/>
  <c r="H708" i="64"/>
  <c r="H709" i="64"/>
  <c r="H710" i="64"/>
  <c r="H711" i="64"/>
  <c r="H712" i="64"/>
  <c r="H713" i="64"/>
  <c r="H714" i="64"/>
  <c r="H715" i="64"/>
  <c r="H716" i="64"/>
  <c r="G700" i="64"/>
  <c r="G701" i="64"/>
  <c r="G702" i="64"/>
  <c r="G703" i="64"/>
  <c r="G704" i="64"/>
  <c r="G705" i="64"/>
  <c r="G706" i="64"/>
  <c r="G707" i="64"/>
  <c r="G708" i="64"/>
  <c r="G709" i="64"/>
  <c r="G710" i="64"/>
  <c r="G711" i="64"/>
  <c r="G712" i="64"/>
  <c r="G713" i="64"/>
  <c r="G714" i="64"/>
  <c r="G715" i="64"/>
  <c r="G716" i="64"/>
  <c r="F700" i="64"/>
  <c r="F701" i="64"/>
  <c r="F702" i="64"/>
  <c r="F703" i="64"/>
  <c r="F704" i="64"/>
  <c r="F705" i="64"/>
  <c r="F706" i="64"/>
  <c r="F707" i="64"/>
  <c r="F708" i="64"/>
  <c r="F709" i="64"/>
  <c r="F710" i="64"/>
  <c r="F711" i="64"/>
  <c r="F712" i="64"/>
  <c r="F713" i="64"/>
  <c r="F714" i="64"/>
  <c r="F715" i="64"/>
  <c r="F716" i="64"/>
  <c r="H684" i="64"/>
  <c r="H685" i="64"/>
  <c r="H686" i="64"/>
  <c r="H687" i="64"/>
  <c r="H688" i="64"/>
  <c r="H689" i="64"/>
  <c r="H690" i="64"/>
  <c r="H691" i="64"/>
  <c r="H692" i="64"/>
  <c r="H693" i="64"/>
  <c r="H694" i="64"/>
  <c r="H695" i="64"/>
  <c r="H696" i="64"/>
  <c r="H697" i="64"/>
  <c r="H698" i="64"/>
  <c r="H699" i="64"/>
  <c r="G684" i="64"/>
  <c r="G685" i="64"/>
  <c r="G686" i="64"/>
  <c r="G687" i="64"/>
  <c r="G688" i="64"/>
  <c r="G689" i="64"/>
  <c r="G690" i="64"/>
  <c r="G691" i="64"/>
  <c r="G692" i="64"/>
  <c r="G693" i="64"/>
  <c r="G694" i="64"/>
  <c r="G695" i="64"/>
  <c r="G696" i="64"/>
  <c r="G697" i="64"/>
  <c r="G698" i="64"/>
  <c r="G699" i="64"/>
  <c r="F684" i="64"/>
  <c r="F685" i="64"/>
  <c r="F686" i="64"/>
  <c r="F687" i="64"/>
  <c r="F688" i="64"/>
  <c r="F689" i="64"/>
  <c r="F690" i="64"/>
  <c r="F691" i="64"/>
  <c r="F692" i="64"/>
  <c r="F693" i="64"/>
  <c r="F694" i="64"/>
  <c r="F695" i="64"/>
  <c r="F696" i="64"/>
  <c r="F697" i="64"/>
  <c r="F698" i="64"/>
  <c r="F699" i="64"/>
  <c r="H674" i="64"/>
  <c r="H675" i="64"/>
  <c r="H676" i="64"/>
  <c r="H677" i="64"/>
  <c r="H678" i="64"/>
  <c r="H679" i="64"/>
  <c r="H680" i="64"/>
  <c r="H681" i="64"/>
  <c r="H682" i="64"/>
  <c r="H683" i="64"/>
  <c r="G674" i="64"/>
  <c r="G675" i="64"/>
  <c r="G676" i="64"/>
  <c r="G677" i="64"/>
  <c r="G678" i="64"/>
  <c r="G679" i="64"/>
  <c r="G680" i="64"/>
  <c r="G681" i="64"/>
  <c r="G682" i="64"/>
  <c r="G683" i="64"/>
  <c r="F674" i="64"/>
  <c r="F675" i="64"/>
  <c r="F676" i="64"/>
  <c r="F677" i="64"/>
  <c r="F678" i="64"/>
  <c r="F679" i="64"/>
  <c r="F680" i="64"/>
  <c r="F681" i="64"/>
  <c r="F682" i="64"/>
  <c r="F683" i="64"/>
  <c r="H671" i="64"/>
  <c r="H672" i="64"/>
  <c r="H673" i="64"/>
  <c r="G671" i="64"/>
  <c r="G672" i="64"/>
  <c r="G673" i="64"/>
  <c r="F671" i="64"/>
  <c r="F672" i="64"/>
  <c r="F673" i="64"/>
  <c r="H644" i="64"/>
  <c r="H645" i="64"/>
  <c r="H646" i="64"/>
  <c r="H647" i="64"/>
  <c r="H648" i="64"/>
  <c r="H649" i="64"/>
  <c r="H650" i="64"/>
  <c r="H651" i="64"/>
  <c r="H652" i="64"/>
  <c r="H653" i="64"/>
  <c r="H654" i="64"/>
  <c r="H655" i="64"/>
  <c r="H656" i="64"/>
  <c r="H657" i="64"/>
  <c r="H658" i="64"/>
  <c r="H659" i="64"/>
  <c r="H660" i="64"/>
  <c r="H661" i="64"/>
  <c r="H662" i="64"/>
  <c r="H663" i="64"/>
  <c r="H664" i="64"/>
  <c r="H665" i="64"/>
  <c r="H666" i="64"/>
  <c r="H667" i="64"/>
  <c r="H668" i="64"/>
  <c r="H669" i="64"/>
  <c r="H670" i="64"/>
  <c r="G644" i="64"/>
  <c r="G645" i="64"/>
  <c r="G646" i="64"/>
  <c r="G647" i="64"/>
  <c r="G648" i="64"/>
  <c r="G649" i="64"/>
  <c r="G650" i="64"/>
  <c r="G651" i="64"/>
  <c r="G652" i="64"/>
  <c r="G653" i="64"/>
  <c r="G654" i="64"/>
  <c r="G655" i="64"/>
  <c r="G656" i="64"/>
  <c r="G657" i="64"/>
  <c r="G658" i="64"/>
  <c r="G659" i="64"/>
  <c r="G660" i="64"/>
  <c r="G661" i="64"/>
  <c r="G662" i="64"/>
  <c r="G663" i="64"/>
  <c r="G664" i="64"/>
  <c r="G665" i="64"/>
  <c r="G666" i="64"/>
  <c r="G667" i="64"/>
  <c r="G668" i="64"/>
  <c r="G669" i="64"/>
  <c r="G670" i="64"/>
  <c r="F660" i="64"/>
  <c r="F661" i="64"/>
  <c r="F662" i="64"/>
  <c r="F663" i="64"/>
  <c r="F664" i="64"/>
  <c r="F665" i="64"/>
  <c r="F666" i="64"/>
  <c r="F667" i="64"/>
  <c r="F668" i="64"/>
  <c r="F669" i="64"/>
  <c r="F670" i="64"/>
  <c r="F648" i="64"/>
  <c r="F649" i="64"/>
  <c r="F650" i="64"/>
  <c r="F651" i="64"/>
  <c r="F652" i="64"/>
  <c r="F653" i="64"/>
  <c r="F654" i="64"/>
  <c r="F655" i="64"/>
  <c r="F656" i="64"/>
  <c r="F657" i="64"/>
  <c r="F658" i="64"/>
  <c r="F659" i="64"/>
  <c r="F644" i="64"/>
  <c r="F645" i="64"/>
  <c r="F646" i="64"/>
  <c r="F647" i="64"/>
  <c r="N172" i="68" l="1"/>
  <c r="A644" i="64"/>
  <c r="A645" i="64"/>
  <c r="A646" i="64"/>
  <c r="A647" i="64"/>
  <c r="A648" i="64"/>
  <c r="A649" i="64"/>
  <c r="A650" i="64"/>
  <c r="A651" i="64"/>
  <c r="A652" i="64"/>
  <c r="A653" i="64"/>
  <c r="A654" i="64"/>
  <c r="A655" i="64"/>
  <c r="A656" i="64"/>
  <c r="B644" i="64"/>
  <c r="J644" i="64"/>
  <c r="M644" i="64"/>
  <c r="N644" i="64" s="1"/>
  <c r="B645" i="64"/>
  <c r="J645" i="64"/>
  <c r="M645" i="64"/>
  <c r="N645" i="64" s="1"/>
  <c r="B646" i="64"/>
  <c r="J646" i="64"/>
  <c r="M646" i="64"/>
  <c r="N646" i="64" s="1"/>
  <c r="B647" i="64"/>
  <c r="J647" i="64"/>
  <c r="M647" i="64"/>
  <c r="N647" i="64" s="1"/>
  <c r="B648" i="64"/>
  <c r="J648" i="64"/>
  <c r="M648" i="64"/>
  <c r="N648" i="64" s="1"/>
  <c r="B649" i="64"/>
  <c r="J649" i="64"/>
  <c r="M649" i="64"/>
  <c r="N649" i="64" s="1"/>
  <c r="B650" i="64"/>
  <c r="J650" i="64"/>
  <c r="M650" i="64"/>
  <c r="N650" i="64" s="1"/>
  <c r="B651" i="64"/>
  <c r="J651" i="64"/>
  <c r="M651" i="64"/>
  <c r="N651" i="64" s="1"/>
  <c r="B652" i="64"/>
  <c r="J652" i="64"/>
  <c r="M652" i="64"/>
  <c r="N652" i="64" s="1"/>
  <c r="B653" i="64"/>
  <c r="J653" i="64"/>
  <c r="M653" i="64"/>
  <c r="N653" i="64" s="1"/>
  <c r="B654" i="64"/>
  <c r="J654" i="64"/>
  <c r="M654" i="64"/>
  <c r="N654" i="64" s="1"/>
  <c r="B655" i="64"/>
  <c r="J655" i="64"/>
  <c r="M655" i="64"/>
  <c r="N655" i="64" s="1"/>
  <c r="B656" i="64"/>
  <c r="J656" i="64"/>
  <c r="M656" i="64"/>
  <c r="N656" i="64" s="1"/>
  <c r="A657" i="64"/>
  <c r="B657" i="64"/>
  <c r="J657" i="64"/>
  <c r="M657" i="64"/>
  <c r="N657" i="64" s="1"/>
  <c r="A658" i="64"/>
  <c r="B658" i="64"/>
  <c r="J658" i="64"/>
  <c r="M658" i="64"/>
  <c r="N658" i="64" s="1"/>
  <c r="A659" i="64"/>
  <c r="B659" i="64"/>
  <c r="J659" i="64"/>
  <c r="M659" i="64"/>
  <c r="N659" i="64" s="1"/>
  <c r="A660" i="64"/>
  <c r="B660" i="64"/>
  <c r="J660" i="64"/>
  <c r="M660" i="64"/>
  <c r="N660" i="64" s="1"/>
  <c r="A661" i="64"/>
  <c r="B661" i="64"/>
  <c r="J661" i="64"/>
  <c r="M661" i="64"/>
  <c r="N661" i="64" s="1"/>
  <c r="A662" i="64"/>
  <c r="B662" i="64"/>
  <c r="J662" i="64"/>
  <c r="M662" i="64"/>
  <c r="N662" i="64" s="1"/>
  <c r="A663" i="64"/>
  <c r="B663" i="64"/>
  <c r="J663" i="64"/>
  <c r="M663" i="64"/>
  <c r="N663" i="64" s="1"/>
  <c r="A664" i="64"/>
  <c r="B664" i="64"/>
  <c r="J664" i="64"/>
  <c r="M664" i="64"/>
  <c r="N664" i="64" s="1"/>
  <c r="A665" i="64"/>
  <c r="B665" i="64"/>
  <c r="J665" i="64"/>
  <c r="M665" i="64"/>
  <c r="N665" i="64" s="1"/>
  <c r="A666" i="64"/>
  <c r="B666" i="64"/>
  <c r="J666" i="64"/>
  <c r="M666" i="64"/>
  <c r="N666" i="64" s="1"/>
  <c r="A667" i="64"/>
  <c r="B667" i="64"/>
  <c r="J667" i="64"/>
  <c r="M667" i="64"/>
  <c r="N667" i="64" s="1"/>
  <c r="A668" i="64"/>
  <c r="B668" i="64"/>
  <c r="J668" i="64"/>
  <c r="M668" i="64"/>
  <c r="N668" i="64" s="1"/>
  <c r="A669" i="64"/>
  <c r="B669" i="64"/>
  <c r="J669" i="64"/>
  <c r="M669" i="64"/>
  <c r="N669" i="64" s="1"/>
  <c r="A670" i="64"/>
  <c r="B670" i="64"/>
  <c r="J670" i="64"/>
  <c r="M670" i="64"/>
  <c r="N670" i="64" s="1"/>
  <c r="A671" i="64"/>
  <c r="B671" i="64"/>
  <c r="J671" i="64"/>
  <c r="M671" i="64"/>
  <c r="N671" i="64" s="1"/>
  <c r="A672" i="64"/>
  <c r="B672" i="64"/>
  <c r="J672" i="64"/>
  <c r="M672" i="64"/>
  <c r="N672" i="64" s="1"/>
  <c r="A673" i="64"/>
  <c r="B673" i="64"/>
  <c r="J673" i="64"/>
  <c r="M673" i="64"/>
  <c r="N673" i="64" s="1"/>
  <c r="A674" i="64"/>
  <c r="B674" i="64"/>
  <c r="J674" i="64"/>
  <c r="M674" i="64"/>
  <c r="N674" i="64" s="1"/>
  <c r="A675" i="64"/>
  <c r="B675" i="64"/>
  <c r="J675" i="64"/>
  <c r="M675" i="64"/>
  <c r="N675" i="64" s="1"/>
  <c r="A676" i="64"/>
  <c r="B676" i="64"/>
  <c r="J676" i="64"/>
  <c r="M676" i="64"/>
  <c r="N676" i="64" s="1"/>
  <c r="A677" i="64"/>
  <c r="B677" i="64"/>
  <c r="J677" i="64"/>
  <c r="M677" i="64"/>
  <c r="N677" i="64" s="1"/>
  <c r="A678" i="64"/>
  <c r="B678" i="64"/>
  <c r="J678" i="64"/>
  <c r="M678" i="64"/>
  <c r="N678" i="64" s="1"/>
  <c r="A679" i="64"/>
  <c r="B679" i="64"/>
  <c r="J679" i="64"/>
  <c r="M679" i="64"/>
  <c r="N679" i="64" s="1"/>
  <c r="A680" i="64"/>
  <c r="B680" i="64"/>
  <c r="J680" i="64"/>
  <c r="M680" i="64"/>
  <c r="N680" i="64" s="1"/>
  <c r="A681" i="64"/>
  <c r="B681" i="64"/>
  <c r="J681" i="64"/>
  <c r="M681" i="64"/>
  <c r="N681" i="64" s="1"/>
  <c r="A682" i="64"/>
  <c r="B682" i="64"/>
  <c r="J682" i="64"/>
  <c r="M682" i="64"/>
  <c r="N682" i="64" s="1"/>
  <c r="A683" i="64"/>
  <c r="B683" i="64"/>
  <c r="J683" i="64"/>
  <c r="M683" i="64"/>
  <c r="N683" i="64" s="1"/>
  <c r="A684" i="64"/>
  <c r="B684" i="64"/>
  <c r="J684" i="64"/>
  <c r="M684" i="64"/>
  <c r="N684" i="64" s="1"/>
  <c r="A685" i="64"/>
  <c r="B685" i="64"/>
  <c r="J685" i="64"/>
  <c r="M685" i="64"/>
  <c r="N685" i="64" s="1"/>
  <c r="A686" i="64"/>
  <c r="B686" i="64"/>
  <c r="J686" i="64"/>
  <c r="M686" i="64"/>
  <c r="N686" i="64" s="1"/>
  <c r="A687" i="64"/>
  <c r="B687" i="64"/>
  <c r="J687" i="64"/>
  <c r="M687" i="64"/>
  <c r="N687" i="64" s="1"/>
  <c r="A688" i="64"/>
  <c r="B688" i="64"/>
  <c r="J688" i="64"/>
  <c r="M688" i="64"/>
  <c r="N688" i="64" s="1"/>
  <c r="A689" i="64"/>
  <c r="B689" i="64"/>
  <c r="J689" i="64"/>
  <c r="M689" i="64"/>
  <c r="N689" i="64" s="1"/>
  <c r="A690" i="64"/>
  <c r="B690" i="64"/>
  <c r="J690" i="64"/>
  <c r="M690" i="64"/>
  <c r="N690" i="64" s="1"/>
  <c r="A691" i="64"/>
  <c r="B691" i="64"/>
  <c r="J691" i="64"/>
  <c r="M691" i="64"/>
  <c r="N691" i="64" s="1"/>
  <c r="A692" i="64"/>
  <c r="B692" i="64"/>
  <c r="J692" i="64"/>
  <c r="M692" i="64"/>
  <c r="N692" i="64" s="1"/>
  <c r="A693" i="64"/>
  <c r="B693" i="64"/>
  <c r="J693" i="64"/>
  <c r="M693" i="64"/>
  <c r="N693" i="64" s="1"/>
  <c r="A694" i="64"/>
  <c r="B694" i="64"/>
  <c r="J694" i="64"/>
  <c r="M694" i="64"/>
  <c r="N694" i="64" s="1"/>
  <c r="A695" i="64"/>
  <c r="B695" i="64"/>
  <c r="J695" i="64"/>
  <c r="M695" i="64"/>
  <c r="N695" i="64" s="1"/>
  <c r="A696" i="64"/>
  <c r="B696" i="64"/>
  <c r="J696" i="64"/>
  <c r="M696" i="64"/>
  <c r="N696" i="64" s="1"/>
  <c r="A697" i="64"/>
  <c r="B697" i="64"/>
  <c r="J697" i="64"/>
  <c r="M697" i="64"/>
  <c r="N697" i="64" s="1"/>
  <c r="A698" i="64"/>
  <c r="B698" i="64"/>
  <c r="J698" i="64"/>
  <c r="M698" i="64"/>
  <c r="N698" i="64" s="1"/>
  <c r="A699" i="64"/>
  <c r="B699" i="64"/>
  <c r="J699" i="64"/>
  <c r="M699" i="64"/>
  <c r="N699" i="64" s="1"/>
  <c r="A700" i="64"/>
  <c r="B700" i="64"/>
  <c r="J700" i="64"/>
  <c r="M700" i="64"/>
  <c r="N700" i="64" s="1"/>
  <c r="A701" i="64"/>
  <c r="B701" i="64"/>
  <c r="J701" i="64"/>
  <c r="M701" i="64"/>
  <c r="N701" i="64" s="1"/>
  <c r="A702" i="64"/>
  <c r="B702" i="64"/>
  <c r="J702" i="64"/>
  <c r="M702" i="64"/>
  <c r="N702" i="64" s="1"/>
  <c r="A703" i="64"/>
  <c r="B703" i="64"/>
  <c r="J703" i="64"/>
  <c r="M703" i="64"/>
  <c r="N703" i="64" s="1"/>
  <c r="A704" i="64"/>
  <c r="B704" i="64"/>
  <c r="J704" i="64"/>
  <c r="M704" i="64"/>
  <c r="N704" i="64" s="1"/>
  <c r="A705" i="64"/>
  <c r="B705" i="64"/>
  <c r="J705" i="64"/>
  <c r="M705" i="64"/>
  <c r="N705" i="64" s="1"/>
  <c r="A706" i="64"/>
  <c r="B706" i="64"/>
  <c r="J706" i="64"/>
  <c r="M706" i="64"/>
  <c r="N706" i="64" s="1"/>
  <c r="A707" i="64"/>
  <c r="B707" i="64"/>
  <c r="J707" i="64"/>
  <c r="M707" i="64"/>
  <c r="N707" i="64" s="1"/>
  <c r="A708" i="64"/>
  <c r="B708" i="64"/>
  <c r="J708" i="64"/>
  <c r="M708" i="64"/>
  <c r="N708" i="64" s="1"/>
  <c r="A709" i="64"/>
  <c r="B709" i="64"/>
  <c r="J709" i="64"/>
  <c r="M709" i="64"/>
  <c r="N709" i="64" s="1"/>
  <c r="A710" i="64"/>
  <c r="B710" i="64"/>
  <c r="J710" i="64"/>
  <c r="M710" i="64"/>
  <c r="N710" i="64" s="1"/>
  <c r="A711" i="64"/>
  <c r="B711" i="64"/>
  <c r="J711" i="64"/>
  <c r="M711" i="64"/>
  <c r="N711" i="64" s="1"/>
  <c r="A712" i="64"/>
  <c r="B712" i="64"/>
  <c r="J712" i="64"/>
  <c r="M712" i="64"/>
  <c r="N712" i="64" s="1"/>
  <c r="A713" i="64"/>
  <c r="B713" i="64"/>
  <c r="J713" i="64"/>
  <c r="M713" i="64"/>
  <c r="N713" i="64" s="1"/>
  <c r="A714" i="64"/>
  <c r="B714" i="64"/>
  <c r="J714" i="64"/>
  <c r="M714" i="64"/>
  <c r="N714" i="64" s="1"/>
  <c r="A715" i="64"/>
  <c r="B715" i="64"/>
  <c r="J715" i="64"/>
  <c r="M715" i="64"/>
  <c r="N715" i="64" s="1"/>
  <c r="A716" i="64"/>
  <c r="B716" i="64"/>
  <c r="J716" i="64"/>
  <c r="M716" i="64"/>
  <c r="N716" i="64" s="1"/>
  <c r="A717" i="64"/>
  <c r="B717" i="64"/>
  <c r="J717" i="64"/>
  <c r="M717" i="64"/>
  <c r="N717" i="64" s="1"/>
  <c r="A1055" i="64"/>
  <c r="B1055" i="64"/>
  <c r="J1055" i="64"/>
  <c r="M1055" i="64"/>
  <c r="N1055" i="64" s="1"/>
  <c r="A1056" i="64"/>
  <c r="B1056" i="64"/>
  <c r="J1056" i="64"/>
  <c r="M1056" i="64"/>
  <c r="N1056" i="64" s="1"/>
  <c r="A1057" i="64"/>
  <c r="B1057" i="64"/>
  <c r="J1057" i="64"/>
  <c r="M1057" i="64"/>
  <c r="N1057" i="64" s="1"/>
  <c r="A1058" i="64"/>
  <c r="B1058" i="64"/>
  <c r="J1058" i="64"/>
  <c r="M1058" i="64"/>
  <c r="N1058" i="64" s="1"/>
  <c r="A1059" i="64"/>
  <c r="B1059" i="64"/>
  <c r="J1059" i="64"/>
  <c r="M1059" i="64"/>
  <c r="N1059" i="64" s="1"/>
  <c r="A1060" i="64"/>
  <c r="B1060" i="64"/>
  <c r="J1060" i="64"/>
  <c r="M1060" i="64"/>
  <c r="N1060" i="64" s="1"/>
  <c r="A1061" i="64"/>
  <c r="B1061" i="64"/>
  <c r="J1061" i="64"/>
  <c r="M1061" i="64"/>
  <c r="N1061" i="64" s="1"/>
  <c r="A1062" i="64"/>
  <c r="B1062" i="64"/>
  <c r="J1062" i="64"/>
  <c r="M1062" i="64"/>
  <c r="N1062" i="64" s="1"/>
  <c r="A1063" i="64"/>
  <c r="B1063" i="64"/>
  <c r="J1063" i="64"/>
  <c r="M1063" i="64"/>
  <c r="N1063" i="64" s="1"/>
  <c r="A1064" i="64"/>
  <c r="B1064" i="64"/>
  <c r="J1064" i="64"/>
  <c r="M1064" i="64"/>
  <c r="N1064" i="64" s="1"/>
  <c r="A1065" i="64"/>
  <c r="B1065" i="64"/>
  <c r="J1065" i="64"/>
  <c r="M1065" i="64"/>
  <c r="N1065" i="64" s="1"/>
  <c r="A1066" i="64"/>
  <c r="B1066" i="64"/>
  <c r="J1066" i="64"/>
  <c r="M1066" i="64"/>
  <c r="N1066" i="64" s="1"/>
  <c r="A1067" i="64"/>
  <c r="B1067" i="64"/>
  <c r="J1067" i="64"/>
  <c r="M1067" i="64"/>
  <c r="N1067" i="64" s="1"/>
  <c r="A1068" i="64"/>
  <c r="B1068" i="64"/>
  <c r="J1068" i="64"/>
  <c r="M1068" i="64"/>
  <c r="N1068" i="64" s="1"/>
  <c r="A1069" i="64"/>
  <c r="B1069" i="64"/>
  <c r="J1069" i="64"/>
  <c r="M1069" i="64"/>
  <c r="N1069" i="64" s="1"/>
  <c r="A1070" i="64"/>
  <c r="B1070" i="64"/>
  <c r="J1070" i="64"/>
  <c r="M1070" i="64"/>
  <c r="N1070" i="64" s="1"/>
  <c r="A1071" i="64"/>
  <c r="B1071" i="64"/>
  <c r="J1071" i="64"/>
  <c r="M1071" i="64"/>
  <c r="N1071" i="64" s="1"/>
  <c r="A1072" i="64"/>
  <c r="B1072" i="64"/>
  <c r="J1072" i="64"/>
  <c r="M1072" i="64"/>
  <c r="N1072" i="64" s="1"/>
  <c r="A1073" i="64"/>
  <c r="B1073" i="64"/>
  <c r="J1073" i="64"/>
  <c r="M1073" i="64"/>
  <c r="N1073" i="64" s="1"/>
  <c r="A1074" i="64"/>
  <c r="B1074" i="64"/>
  <c r="J1074" i="64"/>
  <c r="M1074" i="64"/>
  <c r="N1074" i="64" s="1"/>
  <c r="A1075" i="64"/>
  <c r="B1075" i="64"/>
  <c r="J1075" i="64"/>
  <c r="M1075" i="64"/>
  <c r="N1075" i="64" s="1"/>
  <c r="A1974" i="64"/>
  <c r="B1974" i="64"/>
  <c r="J1974" i="64"/>
  <c r="M1974" i="64"/>
  <c r="N1974" i="64" s="1"/>
  <c r="A1975" i="64"/>
  <c r="B1975" i="64"/>
  <c r="J1975" i="64"/>
  <c r="M1975" i="64"/>
  <c r="N1975" i="64" s="1"/>
  <c r="A1976" i="64"/>
  <c r="B1976" i="64"/>
  <c r="J1976" i="64"/>
  <c r="M1976" i="64"/>
  <c r="N1976" i="64" s="1"/>
  <c r="A2225" i="64"/>
  <c r="B2225" i="64"/>
  <c r="J2225" i="64"/>
  <c r="M2225" i="64"/>
  <c r="N2225" i="64" s="1"/>
  <c r="N173" i="68" l="1"/>
  <c r="D94" i="68"/>
  <c r="E94" i="68"/>
  <c r="F94" i="68"/>
  <c r="G94" i="68"/>
  <c r="H94" i="68"/>
  <c r="L94" i="68"/>
  <c r="M94" i="68"/>
  <c r="C94" i="68"/>
  <c r="C81" i="68"/>
  <c r="N90" i="68"/>
  <c r="N91" i="68"/>
  <c r="N92" i="68"/>
  <c r="N93" i="68"/>
  <c r="N82" i="68"/>
  <c r="N83" i="68"/>
  <c r="N84" i="68"/>
  <c r="N85" i="68"/>
  <c r="N86" i="68"/>
  <c r="N87" i="68"/>
  <c r="N88" i="68"/>
  <c r="N89" i="68"/>
  <c r="N7" i="68"/>
  <c r="F643" i="64"/>
  <c r="F2596" i="64"/>
  <c r="G641" i="64"/>
  <c r="G642" i="64"/>
  <c r="G643" i="64"/>
  <c r="H627" i="64"/>
  <c r="H628" i="64"/>
  <c r="H629" i="64"/>
  <c r="H630" i="64"/>
  <c r="H631" i="64"/>
  <c r="H632" i="64"/>
  <c r="H633" i="64"/>
  <c r="H634" i="64"/>
  <c r="H635" i="64"/>
  <c r="H636" i="64"/>
  <c r="H637" i="64"/>
  <c r="H638" i="64"/>
  <c r="H639" i="64"/>
  <c r="H640" i="64"/>
  <c r="H641" i="64"/>
  <c r="H642" i="64"/>
  <c r="H643" i="64"/>
  <c r="G627" i="64"/>
  <c r="G628" i="64"/>
  <c r="G629" i="64"/>
  <c r="G630" i="64"/>
  <c r="G631" i="64"/>
  <c r="G632" i="64"/>
  <c r="G633" i="64"/>
  <c r="G634" i="64"/>
  <c r="G635" i="64"/>
  <c r="G636" i="64"/>
  <c r="G637" i="64"/>
  <c r="G638" i="64"/>
  <c r="G639" i="64"/>
  <c r="G640" i="64"/>
  <c r="F627" i="64"/>
  <c r="F628" i="64"/>
  <c r="F629" i="64"/>
  <c r="F630" i="64"/>
  <c r="F631" i="64"/>
  <c r="F632" i="64"/>
  <c r="F633" i="64"/>
  <c r="F634" i="64"/>
  <c r="F635" i="64"/>
  <c r="F636" i="64"/>
  <c r="F637" i="64"/>
  <c r="F638" i="64"/>
  <c r="F639" i="64"/>
  <c r="F640" i="64"/>
  <c r="F641" i="64"/>
  <c r="F642" i="64"/>
  <c r="H615" i="64"/>
  <c r="H616" i="64"/>
  <c r="H617" i="64"/>
  <c r="H618" i="64"/>
  <c r="H619" i="64"/>
  <c r="H620" i="64"/>
  <c r="H621" i="64"/>
  <c r="H622" i="64"/>
  <c r="H623" i="64"/>
  <c r="H624" i="64"/>
  <c r="H625" i="64"/>
  <c r="H626" i="64"/>
  <c r="G615" i="64"/>
  <c r="G616" i="64"/>
  <c r="G617" i="64"/>
  <c r="G618" i="64"/>
  <c r="G619" i="64"/>
  <c r="G620" i="64"/>
  <c r="G621" i="64"/>
  <c r="G622" i="64"/>
  <c r="G623" i="64"/>
  <c r="G624" i="64"/>
  <c r="G625" i="64"/>
  <c r="G626" i="64"/>
  <c r="F615" i="64"/>
  <c r="F616" i="64"/>
  <c r="F617" i="64"/>
  <c r="F618" i="64"/>
  <c r="F619" i="64"/>
  <c r="F620" i="64"/>
  <c r="F621" i="64"/>
  <c r="F622" i="64"/>
  <c r="F623" i="64"/>
  <c r="F624" i="64"/>
  <c r="F625" i="64"/>
  <c r="F626" i="64"/>
  <c r="A615" i="64"/>
  <c r="B615" i="64"/>
  <c r="J615" i="64"/>
  <c r="M615" i="64"/>
  <c r="N615" i="64" s="1"/>
  <c r="A616" i="64"/>
  <c r="B616" i="64"/>
  <c r="J616" i="64"/>
  <c r="M616" i="64"/>
  <c r="N616" i="64" s="1"/>
  <c r="A617" i="64"/>
  <c r="B617" i="64"/>
  <c r="J617" i="64"/>
  <c r="M617" i="64"/>
  <c r="N617" i="64" s="1"/>
  <c r="A618" i="64"/>
  <c r="B618" i="64"/>
  <c r="J618" i="64"/>
  <c r="M618" i="64"/>
  <c r="N618" i="64" s="1"/>
  <c r="A619" i="64"/>
  <c r="B619" i="64"/>
  <c r="J619" i="64"/>
  <c r="M619" i="64"/>
  <c r="N619" i="64" s="1"/>
  <c r="A620" i="64"/>
  <c r="B620" i="64"/>
  <c r="J620" i="64"/>
  <c r="M620" i="64"/>
  <c r="N620" i="64" s="1"/>
  <c r="A621" i="64"/>
  <c r="B621" i="64"/>
  <c r="J621" i="64"/>
  <c r="M621" i="64"/>
  <c r="N621" i="64" s="1"/>
  <c r="A622" i="64"/>
  <c r="B622" i="64"/>
  <c r="J622" i="64"/>
  <c r="M622" i="64"/>
  <c r="N622" i="64" s="1"/>
  <c r="A623" i="64"/>
  <c r="B623" i="64"/>
  <c r="J623" i="64"/>
  <c r="M623" i="64"/>
  <c r="N623" i="64" s="1"/>
  <c r="A624" i="64"/>
  <c r="B624" i="64"/>
  <c r="J624" i="64"/>
  <c r="M624" i="64"/>
  <c r="N624" i="64" s="1"/>
  <c r="A625" i="64"/>
  <c r="B625" i="64"/>
  <c r="J625" i="64"/>
  <c r="M625" i="64"/>
  <c r="N625" i="64" s="1"/>
  <c r="A626" i="64"/>
  <c r="B626" i="64"/>
  <c r="J626" i="64"/>
  <c r="M626" i="64"/>
  <c r="N626" i="64" s="1"/>
  <c r="A627" i="64"/>
  <c r="B627" i="64"/>
  <c r="J627" i="64"/>
  <c r="M627" i="64"/>
  <c r="N627" i="64" s="1"/>
  <c r="A628" i="64"/>
  <c r="B628" i="64"/>
  <c r="J628" i="64"/>
  <c r="M628" i="64"/>
  <c r="N628" i="64" s="1"/>
  <c r="A629" i="64"/>
  <c r="B629" i="64"/>
  <c r="J629" i="64"/>
  <c r="M629" i="64"/>
  <c r="N629" i="64" s="1"/>
  <c r="A630" i="64"/>
  <c r="B630" i="64"/>
  <c r="J630" i="64"/>
  <c r="M630" i="64"/>
  <c r="N630" i="64" s="1"/>
  <c r="A631" i="64"/>
  <c r="B631" i="64"/>
  <c r="J631" i="64"/>
  <c r="M631" i="64"/>
  <c r="N631" i="64" s="1"/>
  <c r="A632" i="64"/>
  <c r="B632" i="64"/>
  <c r="J632" i="64"/>
  <c r="M632" i="64"/>
  <c r="N632" i="64" s="1"/>
  <c r="A633" i="64"/>
  <c r="B633" i="64"/>
  <c r="J633" i="64"/>
  <c r="M633" i="64"/>
  <c r="N633" i="64" s="1"/>
  <c r="A634" i="64"/>
  <c r="B634" i="64"/>
  <c r="J634" i="64"/>
  <c r="M634" i="64"/>
  <c r="N634" i="64" s="1"/>
  <c r="A635" i="64"/>
  <c r="B635" i="64"/>
  <c r="J635" i="64"/>
  <c r="M635" i="64"/>
  <c r="N635" i="64" s="1"/>
  <c r="A636" i="64"/>
  <c r="B636" i="64"/>
  <c r="J636" i="64"/>
  <c r="M636" i="64"/>
  <c r="N636" i="64" s="1"/>
  <c r="A637" i="64"/>
  <c r="B637" i="64"/>
  <c r="J637" i="64"/>
  <c r="M637" i="64"/>
  <c r="N637" i="64" s="1"/>
  <c r="A638" i="64"/>
  <c r="B638" i="64"/>
  <c r="J638" i="64"/>
  <c r="M638" i="64"/>
  <c r="N638" i="64" s="1"/>
  <c r="A639" i="64"/>
  <c r="B639" i="64"/>
  <c r="J639" i="64"/>
  <c r="M639" i="64"/>
  <c r="N639" i="64" s="1"/>
  <c r="A640" i="64"/>
  <c r="B640" i="64"/>
  <c r="J640" i="64"/>
  <c r="M640" i="64"/>
  <c r="N640" i="64" s="1"/>
  <c r="A641" i="64"/>
  <c r="B641" i="64"/>
  <c r="J641" i="64"/>
  <c r="M641" i="64"/>
  <c r="N641" i="64" s="1"/>
  <c r="A642" i="64"/>
  <c r="B642" i="64"/>
  <c r="J642" i="64"/>
  <c r="M642" i="64"/>
  <c r="N642" i="64" s="1"/>
  <c r="J643" i="64"/>
  <c r="M643" i="64"/>
  <c r="N643" i="64" s="1"/>
  <c r="A2596" i="64"/>
  <c r="B2596" i="64"/>
  <c r="J2596" i="64"/>
  <c r="M2596" i="64"/>
  <c r="N2596" i="64" s="1"/>
  <c r="H596" i="64"/>
  <c r="H597" i="64"/>
  <c r="H598" i="64"/>
  <c r="H599" i="64"/>
  <c r="H600" i="64"/>
  <c r="H601" i="64"/>
  <c r="H602" i="64"/>
  <c r="H603" i="64"/>
  <c r="H604" i="64"/>
  <c r="H605" i="64"/>
  <c r="H606" i="64"/>
  <c r="H607" i="64"/>
  <c r="H608" i="64"/>
  <c r="H609" i="64"/>
  <c r="H610" i="64"/>
  <c r="H611" i="64"/>
  <c r="H612" i="64"/>
  <c r="H613" i="64"/>
  <c r="G596" i="64"/>
  <c r="G597" i="64"/>
  <c r="G598" i="64"/>
  <c r="G599" i="64"/>
  <c r="G600" i="64"/>
  <c r="G601" i="64"/>
  <c r="G602" i="64"/>
  <c r="G603" i="64"/>
  <c r="G604" i="64"/>
  <c r="G605" i="64"/>
  <c r="G606" i="64"/>
  <c r="G607" i="64"/>
  <c r="G608" i="64"/>
  <c r="G609" i="64"/>
  <c r="G610" i="64"/>
  <c r="G611" i="64"/>
  <c r="G612" i="64"/>
  <c r="G613" i="64"/>
  <c r="F608" i="64"/>
  <c r="F609" i="64"/>
  <c r="F610" i="64"/>
  <c r="F611" i="64"/>
  <c r="F612" i="64"/>
  <c r="F613" i="64"/>
  <c r="F596" i="64"/>
  <c r="F597" i="64"/>
  <c r="F598" i="64"/>
  <c r="F599" i="64"/>
  <c r="F600" i="64"/>
  <c r="F601" i="64"/>
  <c r="F602" i="64"/>
  <c r="F603" i="64"/>
  <c r="F604" i="64"/>
  <c r="F605" i="64"/>
  <c r="F606" i="64"/>
  <c r="F607" i="64"/>
  <c r="A596" i="64"/>
  <c r="B596" i="64"/>
  <c r="J596" i="64"/>
  <c r="M596" i="64"/>
  <c r="N596" i="64" s="1"/>
  <c r="A597" i="64"/>
  <c r="B597" i="64"/>
  <c r="J597" i="64"/>
  <c r="M597" i="64"/>
  <c r="N597" i="64" s="1"/>
  <c r="A598" i="64"/>
  <c r="B598" i="64"/>
  <c r="J598" i="64"/>
  <c r="M598" i="64"/>
  <c r="N598" i="64" s="1"/>
  <c r="A599" i="64"/>
  <c r="B599" i="64"/>
  <c r="J599" i="64"/>
  <c r="M599" i="64"/>
  <c r="N599" i="64" s="1"/>
  <c r="A600" i="64"/>
  <c r="B600" i="64"/>
  <c r="J600" i="64"/>
  <c r="M600" i="64"/>
  <c r="N600" i="64" s="1"/>
  <c r="A601" i="64"/>
  <c r="B601" i="64"/>
  <c r="J601" i="64"/>
  <c r="M601" i="64"/>
  <c r="N601" i="64" s="1"/>
  <c r="A602" i="64"/>
  <c r="B602" i="64"/>
  <c r="J602" i="64"/>
  <c r="M602" i="64"/>
  <c r="N602" i="64" s="1"/>
  <c r="A603" i="64"/>
  <c r="B603" i="64"/>
  <c r="J603" i="64"/>
  <c r="M603" i="64"/>
  <c r="N603" i="64" s="1"/>
  <c r="A604" i="64"/>
  <c r="B604" i="64"/>
  <c r="J604" i="64"/>
  <c r="M604" i="64"/>
  <c r="N604" i="64" s="1"/>
  <c r="A605" i="64"/>
  <c r="B605" i="64"/>
  <c r="J605" i="64"/>
  <c r="M605" i="64"/>
  <c r="N605" i="64" s="1"/>
  <c r="A606" i="64"/>
  <c r="B606" i="64"/>
  <c r="J606" i="64"/>
  <c r="M606" i="64"/>
  <c r="N606" i="64" s="1"/>
  <c r="A607" i="64"/>
  <c r="B607" i="64"/>
  <c r="J607" i="64"/>
  <c r="M607" i="64"/>
  <c r="N607" i="64" s="1"/>
  <c r="A608" i="64"/>
  <c r="B608" i="64"/>
  <c r="J608" i="64"/>
  <c r="M608" i="64"/>
  <c r="N608" i="64" s="1"/>
  <c r="A609" i="64"/>
  <c r="B609" i="64"/>
  <c r="J609" i="64"/>
  <c r="M609" i="64"/>
  <c r="N609" i="64" s="1"/>
  <c r="A610" i="64"/>
  <c r="B610" i="64"/>
  <c r="J610" i="64"/>
  <c r="M610" i="64"/>
  <c r="N610" i="64" s="1"/>
  <c r="A611" i="64"/>
  <c r="B611" i="64"/>
  <c r="J611" i="64"/>
  <c r="M611" i="64"/>
  <c r="N611" i="64" s="1"/>
  <c r="A612" i="64"/>
  <c r="B612" i="64"/>
  <c r="J612" i="64"/>
  <c r="M612" i="64"/>
  <c r="N612" i="64" s="1"/>
  <c r="A613" i="64"/>
  <c r="B613" i="64"/>
  <c r="J613" i="64"/>
  <c r="M613" i="64"/>
  <c r="N613" i="64" s="1"/>
  <c r="F586" i="64"/>
  <c r="F587" i="64"/>
  <c r="F588" i="64"/>
  <c r="F589" i="64"/>
  <c r="F590" i="64"/>
  <c r="F591" i="64"/>
  <c r="F592" i="64"/>
  <c r="F593" i="64"/>
  <c r="G586" i="64"/>
  <c r="G587" i="64"/>
  <c r="G588" i="64"/>
  <c r="G589" i="64"/>
  <c r="G590" i="64"/>
  <c r="G591" i="64"/>
  <c r="G592" i="64"/>
  <c r="G593" i="64"/>
  <c r="H576" i="64"/>
  <c r="H577" i="64"/>
  <c r="H578" i="64"/>
  <c r="H579" i="64"/>
  <c r="H580" i="64"/>
  <c r="H581" i="64"/>
  <c r="H582" i="64"/>
  <c r="H583" i="64"/>
  <c r="H584" i="64"/>
  <c r="H585" i="64"/>
  <c r="H586" i="64"/>
  <c r="H587" i="64"/>
  <c r="H588" i="64"/>
  <c r="H589" i="64"/>
  <c r="H590" i="64"/>
  <c r="H591" i="64"/>
  <c r="H592" i="64"/>
  <c r="H593" i="64"/>
  <c r="G576" i="64"/>
  <c r="G577" i="64"/>
  <c r="G578" i="64"/>
  <c r="G579" i="64"/>
  <c r="G580" i="64"/>
  <c r="G581" i="64"/>
  <c r="G582" i="64"/>
  <c r="G583" i="64"/>
  <c r="G584" i="64"/>
  <c r="G585" i="64"/>
  <c r="F576" i="64"/>
  <c r="F577" i="64"/>
  <c r="F578" i="64"/>
  <c r="F579" i="64"/>
  <c r="F580" i="64"/>
  <c r="F581" i="64"/>
  <c r="F582" i="64"/>
  <c r="F583" i="64"/>
  <c r="F584" i="64"/>
  <c r="F585" i="64"/>
  <c r="F575" i="64"/>
  <c r="A576" i="64"/>
  <c r="B576" i="64"/>
  <c r="J576" i="64"/>
  <c r="M576" i="64"/>
  <c r="N576" i="64" s="1"/>
  <c r="A577" i="64"/>
  <c r="B577" i="64"/>
  <c r="J577" i="64"/>
  <c r="M577" i="64"/>
  <c r="N577" i="64" s="1"/>
  <c r="A578" i="64"/>
  <c r="B578" i="64"/>
  <c r="J578" i="64"/>
  <c r="M578" i="64"/>
  <c r="N578" i="64" s="1"/>
  <c r="A579" i="64"/>
  <c r="B579" i="64"/>
  <c r="J579" i="64"/>
  <c r="M579" i="64"/>
  <c r="N579" i="64" s="1"/>
  <c r="A580" i="64"/>
  <c r="B580" i="64"/>
  <c r="J580" i="64"/>
  <c r="M580" i="64"/>
  <c r="N580" i="64" s="1"/>
  <c r="A581" i="64"/>
  <c r="B581" i="64"/>
  <c r="J581" i="64"/>
  <c r="M581" i="64"/>
  <c r="N581" i="64" s="1"/>
  <c r="A582" i="64"/>
  <c r="B582" i="64"/>
  <c r="J582" i="64"/>
  <c r="M582" i="64"/>
  <c r="N582" i="64" s="1"/>
  <c r="A583" i="64"/>
  <c r="B583" i="64"/>
  <c r="J583" i="64"/>
  <c r="M583" i="64"/>
  <c r="N583" i="64" s="1"/>
  <c r="A584" i="64"/>
  <c r="B584" i="64"/>
  <c r="J584" i="64"/>
  <c r="M584" i="64"/>
  <c r="N584" i="64" s="1"/>
  <c r="A585" i="64"/>
  <c r="B585" i="64"/>
  <c r="J585" i="64"/>
  <c r="M585" i="64"/>
  <c r="N585" i="64" s="1"/>
  <c r="A586" i="64"/>
  <c r="B586" i="64"/>
  <c r="J586" i="64"/>
  <c r="M586" i="64"/>
  <c r="N586" i="64" s="1"/>
  <c r="A587" i="64"/>
  <c r="B587" i="64"/>
  <c r="J587" i="64"/>
  <c r="M587" i="64"/>
  <c r="N587" i="64" s="1"/>
  <c r="A588" i="64"/>
  <c r="B588" i="64"/>
  <c r="J588" i="64"/>
  <c r="M588" i="64"/>
  <c r="N588" i="64" s="1"/>
  <c r="A589" i="64"/>
  <c r="B589" i="64"/>
  <c r="J589" i="64"/>
  <c r="M589" i="64"/>
  <c r="N589" i="64" s="1"/>
  <c r="A590" i="64"/>
  <c r="B590" i="64"/>
  <c r="J590" i="64"/>
  <c r="M590" i="64"/>
  <c r="N590" i="64" s="1"/>
  <c r="A591" i="64"/>
  <c r="B591" i="64"/>
  <c r="J591" i="64"/>
  <c r="M591" i="64"/>
  <c r="N591" i="64" s="1"/>
  <c r="A592" i="64"/>
  <c r="B592" i="64"/>
  <c r="J592" i="64"/>
  <c r="M592" i="64"/>
  <c r="N592" i="64" s="1"/>
  <c r="A593" i="64"/>
  <c r="B593" i="64"/>
  <c r="J593" i="64"/>
  <c r="M593" i="64"/>
  <c r="N593" i="64" s="1"/>
  <c r="H567" i="64"/>
  <c r="H568" i="64"/>
  <c r="H569" i="64"/>
  <c r="H570" i="64"/>
  <c r="H571" i="64"/>
  <c r="H572" i="64"/>
  <c r="H573" i="64"/>
  <c r="H574" i="64"/>
  <c r="H575" i="64"/>
  <c r="H594" i="64"/>
  <c r="H595" i="64"/>
  <c r="G567" i="64"/>
  <c r="G568" i="64"/>
  <c r="G569" i="64"/>
  <c r="G570" i="64"/>
  <c r="G571" i="64"/>
  <c r="G572" i="64"/>
  <c r="G573" i="64"/>
  <c r="G574" i="64"/>
  <c r="G575" i="64"/>
  <c r="G594" i="64"/>
  <c r="G595" i="64"/>
  <c r="F567" i="64"/>
  <c r="F568" i="64"/>
  <c r="F569" i="64"/>
  <c r="F570" i="64"/>
  <c r="F571" i="64"/>
  <c r="F572" i="64"/>
  <c r="F573" i="64"/>
  <c r="F574" i="64"/>
  <c r="F594" i="64"/>
  <c r="F595" i="64"/>
  <c r="A567" i="64"/>
  <c r="B567" i="64"/>
  <c r="J567" i="64"/>
  <c r="M567" i="64"/>
  <c r="N567" i="64" s="1"/>
  <c r="A568" i="64"/>
  <c r="B568" i="64"/>
  <c r="J568" i="64"/>
  <c r="M568" i="64"/>
  <c r="N568" i="64" s="1"/>
  <c r="A569" i="64"/>
  <c r="B569" i="64"/>
  <c r="J569" i="64"/>
  <c r="M569" i="64"/>
  <c r="N569" i="64" s="1"/>
  <c r="A570" i="64"/>
  <c r="B570" i="64"/>
  <c r="J570" i="64"/>
  <c r="M570" i="64"/>
  <c r="N570" i="64" s="1"/>
  <c r="A571" i="64"/>
  <c r="B571" i="64"/>
  <c r="J571" i="64"/>
  <c r="M571" i="64"/>
  <c r="N571" i="64" s="1"/>
  <c r="A572" i="64"/>
  <c r="B572" i="64"/>
  <c r="J572" i="64"/>
  <c r="M572" i="64"/>
  <c r="N572" i="64" s="1"/>
  <c r="A573" i="64"/>
  <c r="B573" i="64"/>
  <c r="J573" i="64"/>
  <c r="M573" i="64"/>
  <c r="N573" i="64" s="1"/>
  <c r="A574" i="64"/>
  <c r="B574" i="64"/>
  <c r="J574" i="64"/>
  <c r="M574" i="64"/>
  <c r="N574" i="64" s="1"/>
  <c r="A575" i="64"/>
  <c r="B575" i="64"/>
  <c r="J575" i="64"/>
  <c r="M575" i="64"/>
  <c r="N575" i="64" s="1"/>
  <c r="A594" i="64"/>
  <c r="B594" i="64"/>
  <c r="J594" i="64"/>
  <c r="M594" i="64"/>
  <c r="N594" i="64" s="1"/>
  <c r="A595" i="64"/>
  <c r="B595" i="64"/>
  <c r="J595" i="64"/>
  <c r="M595" i="64"/>
  <c r="N595" i="64" s="1"/>
  <c r="H552" i="64"/>
  <c r="H553" i="64"/>
  <c r="H554" i="64"/>
  <c r="H555" i="64"/>
  <c r="H556" i="64"/>
  <c r="H557" i="64"/>
  <c r="H558" i="64"/>
  <c r="H559" i="64"/>
  <c r="H560" i="64"/>
  <c r="H561" i="64"/>
  <c r="H562" i="64"/>
  <c r="H563" i="64"/>
  <c r="H564" i="64"/>
  <c r="H565" i="64"/>
  <c r="H566" i="64"/>
  <c r="G552" i="64"/>
  <c r="G553" i="64"/>
  <c r="G554" i="64"/>
  <c r="G555" i="64"/>
  <c r="G556" i="64"/>
  <c r="G557" i="64"/>
  <c r="G558" i="64"/>
  <c r="G559" i="64"/>
  <c r="G560" i="64"/>
  <c r="G561" i="64"/>
  <c r="G562" i="64"/>
  <c r="G563" i="64"/>
  <c r="G564" i="64"/>
  <c r="G565" i="64"/>
  <c r="G566" i="64"/>
  <c r="F552" i="64"/>
  <c r="F553" i="64"/>
  <c r="F554" i="64"/>
  <c r="F555" i="64"/>
  <c r="F556" i="64"/>
  <c r="F557" i="64"/>
  <c r="F558" i="64"/>
  <c r="F559" i="64"/>
  <c r="F560" i="64"/>
  <c r="F561" i="64"/>
  <c r="F562" i="64"/>
  <c r="F563" i="64"/>
  <c r="F564" i="64"/>
  <c r="F565" i="64"/>
  <c r="F566" i="64"/>
  <c r="A552" i="64"/>
  <c r="B552" i="64"/>
  <c r="J552" i="64"/>
  <c r="M552" i="64"/>
  <c r="N552" i="64" s="1"/>
  <c r="A553" i="64"/>
  <c r="B553" i="64"/>
  <c r="J553" i="64"/>
  <c r="M553" i="64"/>
  <c r="N553" i="64" s="1"/>
  <c r="A554" i="64"/>
  <c r="B554" i="64"/>
  <c r="J554" i="64"/>
  <c r="M554" i="64"/>
  <c r="N554" i="64" s="1"/>
  <c r="A555" i="64"/>
  <c r="B555" i="64"/>
  <c r="J555" i="64"/>
  <c r="M555" i="64"/>
  <c r="N555" i="64" s="1"/>
  <c r="A556" i="64"/>
  <c r="B556" i="64"/>
  <c r="J556" i="64"/>
  <c r="M556" i="64"/>
  <c r="N556" i="64" s="1"/>
  <c r="A557" i="64"/>
  <c r="B557" i="64"/>
  <c r="J557" i="64"/>
  <c r="M557" i="64"/>
  <c r="N557" i="64" s="1"/>
  <c r="A558" i="64"/>
  <c r="B558" i="64"/>
  <c r="J558" i="64"/>
  <c r="M558" i="64"/>
  <c r="N558" i="64" s="1"/>
  <c r="A559" i="64"/>
  <c r="B559" i="64"/>
  <c r="J559" i="64"/>
  <c r="M559" i="64"/>
  <c r="N559" i="64" s="1"/>
  <c r="A560" i="64"/>
  <c r="B560" i="64"/>
  <c r="J560" i="64"/>
  <c r="M560" i="64"/>
  <c r="N560" i="64" s="1"/>
  <c r="A561" i="64"/>
  <c r="B561" i="64"/>
  <c r="J561" i="64"/>
  <c r="M561" i="64"/>
  <c r="N561" i="64" s="1"/>
  <c r="A562" i="64"/>
  <c r="B562" i="64"/>
  <c r="J562" i="64"/>
  <c r="M562" i="64"/>
  <c r="N562" i="64" s="1"/>
  <c r="A563" i="64"/>
  <c r="B563" i="64"/>
  <c r="J563" i="64"/>
  <c r="M563" i="64"/>
  <c r="N563" i="64" s="1"/>
  <c r="A564" i="64"/>
  <c r="B564" i="64"/>
  <c r="J564" i="64"/>
  <c r="M564" i="64"/>
  <c r="N564" i="64" s="1"/>
  <c r="A565" i="64"/>
  <c r="B565" i="64"/>
  <c r="J565" i="64"/>
  <c r="M565" i="64"/>
  <c r="N565" i="64" s="1"/>
  <c r="A566" i="64"/>
  <c r="B566" i="64"/>
  <c r="J566" i="64"/>
  <c r="M566" i="64"/>
  <c r="N566" i="64" s="1"/>
  <c r="H542" i="64"/>
  <c r="H543" i="64"/>
  <c r="H544" i="64"/>
  <c r="H545" i="64"/>
  <c r="H546" i="64"/>
  <c r="H547" i="64"/>
  <c r="H548" i="64"/>
  <c r="H549" i="64"/>
  <c r="H550" i="64"/>
  <c r="H551" i="64"/>
  <c r="G542" i="64"/>
  <c r="G543" i="64"/>
  <c r="G544" i="64"/>
  <c r="G545" i="64"/>
  <c r="G546" i="64"/>
  <c r="G547" i="64"/>
  <c r="G548" i="64"/>
  <c r="G549" i="64"/>
  <c r="G550" i="64"/>
  <c r="G551" i="64"/>
  <c r="F542" i="64"/>
  <c r="F543" i="64"/>
  <c r="F544" i="64"/>
  <c r="F545" i="64"/>
  <c r="F546" i="64"/>
  <c r="F547" i="64"/>
  <c r="F548" i="64"/>
  <c r="F549" i="64"/>
  <c r="F550" i="64"/>
  <c r="F551" i="64"/>
  <c r="A542" i="64"/>
  <c r="B542" i="64"/>
  <c r="J542" i="64"/>
  <c r="M542" i="64"/>
  <c r="N542" i="64" s="1"/>
  <c r="A543" i="64"/>
  <c r="B543" i="64"/>
  <c r="J543" i="64"/>
  <c r="M543" i="64"/>
  <c r="N543" i="64" s="1"/>
  <c r="A544" i="64"/>
  <c r="B544" i="64"/>
  <c r="J544" i="64"/>
  <c r="M544" i="64"/>
  <c r="N544" i="64" s="1"/>
  <c r="A545" i="64"/>
  <c r="B545" i="64"/>
  <c r="J545" i="64"/>
  <c r="M545" i="64"/>
  <c r="N545" i="64" s="1"/>
  <c r="A546" i="64"/>
  <c r="B546" i="64"/>
  <c r="J546" i="64"/>
  <c r="M546" i="64"/>
  <c r="N546" i="64" s="1"/>
  <c r="A547" i="64"/>
  <c r="B547" i="64"/>
  <c r="J547" i="64"/>
  <c r="M547" i="64"/>
  <c r="N547" i="64" s="1"/>
  <c r="A548" i="64"/>
  <c r="B548" i="64"/>
  <c r="J548" i="64"/>
  <c r="M548" i="64"/>
  <c r="N548" i="64" s="1"/>
  <c r="A549" i="64"/>
  <c r="B549" i="64"/>
  <c r="J549" i="64"/>
  <c r="M549" i="64"/>
  <c r="N549" i="64" s="1"/>
  <c r="A550" i="64"/>
  <c r="B550" i="64"/>
  <c r="J550" i="64"/>
  <c r="M550" i="64"/>
  <c r="N550" i="64" s="1"/>
  <c r="A551" i="64"/>
  <c r="B551" i="64"/>
  <c r="J551" i="64"/>
  <c r="M551" i="64"/>
  <c r="N551" i="64" s="1"/>
  <c r="N174" i="68" l="1"/>
  <c r="N94" i="68"/>
  <c r="H528" i="64"/>
  <c r="H529" i="64"/>
  <c r="H530" i="64"/>
  <c r="H531" i="64"/>
  <c r="H532" i="64"/>
  <c r="H533" i="64"/>
  <c r="H534" i="64"/>
  <c r="H535" i="64"/>
  <c r="H536" i="64"/>
  <c r="H537" i="64"/>
  <c r="H538" i="64"/>
  <c r="H539" i="64"/>
  <c r="H540" i="64"/>
  <c r="H541" i="64"/>
  <c r="H614" i="64"/>
  <c r="G528" i="64"/>
  <c r="G529" i="64"/>
  <c r="G530" i="64"/>
  <c r="G531" i="64"/>
  <c r="G532" i="64"/>
  <c r="G533" i="64"/>
  <c r="G534" i="64"/>
  <c r="G535" i="64"/>
  <c r="G536" i="64"/>
  <c r="G537" i="64"/>
  <c r="G538" i="64"/>
  <c r="G539" i="64"/>
  <c r="G540" i="64"/>
  <c r="G541" i="64"/>
  <c r="G614" i="64"/>
  <c r="F528" i="64"/>
  <c r="F529" i="64"/>
  <c r="F530" i="64"/>
  <c r="F531" i="64"/>
  <c r="F532" i="64"/>
  <c r="F533" i="64"/>
  <c r="F534" i="64"/>
  <c r="F535" i="64"/>
  <c r="F536" i="64"/>
  <c r="F537" i="64"/>
  <c r="F538" i="64"/>
  <c r="F539" i="64"/>
  <c r="F540" i="64"/>
  <c r="F541" i="64"/>
  <c r="F614" i="64"/>
  <c r="A528" i="64"/>
  <c r="B528" i="64"/>
  <c r="J528" i="64"/>
  <c r="M528" i="64"/>
  <c r="N528" i="64" s="1"/>
  <c r="A529" i="64"/>
  <c r="B529" i="64"/>
  <c r="J529" i="64"/>
  <c r="M529" i="64"/>
  <c r="N529" i="64" s="1"/>
  <c r="A530" i="64"/>
  <c r="B530" i="64"/>
  <c r="J530" i="64"/>
  <c r="M530" i="64"/>
  <c r="N530" i="64" s="1"/>
  <c r="A531" i="64"/>
  <c r="B531" i="64"/>
  <c r="J531" i="64"/>
  <c r="M531" i="64"/>
  <c r="N531" i="64" s="1"/>
  <c r="A532" i="64"/>
  <c r="B532" i="64"/>
  <c r="J532" i="64"/>
  <c r="M532" i="64"/>
  <c r="N532" i="64" s="1"/>
  <c r="A533" i="64"/>
  <c r="B533" i="64"/>
  <c r="J533" i="64"/>
  <c r="M533" i="64"/>
  <c r="N533" i="64" s="1"/>
  <c r="A534" i="64"/>
  <c r="B534" i="64"/>
  <c r="J534" i="64"/>
  <c r="M534" i="64"/>
  <c r="N534" i="64" s="1"/>
  <c r="A535" i="64"/>
  <c r="B535" i="64"/>
  <c r="J535" i="64"/>
  <c r="M535" i="64"/>
  <c r="N535" i="64" s="1"/>
  <c r="A536" i="64"/>
  <c r="B536" i="64"/>
  <c r="J536" i="64"/>
  <c r="M536" i="64"/>
  <c r="N536" i="64" s="1"/>
  <c r="A537" i="64"/>
  <c r="B537" i="64"/>
  <c r="J537" i="64"/>
  <c r="M537" i="64"/>
  <c r="N537" i="64" s="1"/>
  <c r="A538" i="64"/>
  <c r="B538" i="64"/>
  <c r="J538" i="64"/>
  <c r="M538" i="64"/>
  <c r="N538" i="64" s="1"/>
  <c r="A539" i="64"/>
  <c r="B539" i="64"/>
  <c r="J539" i="64"/>
  <c r="M539" i="64"/>
  <c r="N539" i="64" s="1"/>
  <c r="A540" i="64"/>
  <c r="B540" i="64"/>
  <c r="J540" i="64"/>
  <c r="M540" i="64"/>
  <c r="N540" i="64" s="1"/>
  <c r="A541" i="64"/>
  <c r="B541" i="64"/>
  <c r="J541" i="64"/>
  <c r="M541" i="64"/>
  <c r="N541" i="64" s="1"/>
  <c r="A614" i="64"/>
  <c r="B614" i="64"/>
  <c r="J614" i="64"/>
  <c r="M614" i="64"/>
  <c r="N614" i="64" s="1"/>
  <c r="H512" i="64"/>
  <c r="H513" i="64"/>
  <c r="H514" i="64"/>
  <c r="H515" i="64"/>
  <c r="H516" i="64"/>
  <c r="H517" i="64"/>
  <c r="H518" i="64"/>
  <c r="H519" i="64"/>
  <c r="H520" i="64"/>
  <c r="H521" i="64"/>
  <c r="H522" i="64"/>
  <c r="H523" i="64"/>
  <c r="H524" i="64"/>
  <c r="H525" i="64"/>
  <c r="H526" i="64"/>
  <c r="G512" i="64"/>
  <c r="G513" i="64"/>
  <c r="G514" i="64"/>
  <c r="G515" i="64"/>
  <c r="G516" i="64"/>
  <c r="G517" i="64"/>
  <c r="G518" i="64"/>
  <c r="G519" i="64"/>
  <c r="G520" i="64"/>
  <c r="G521" i="64"/>
  <c r="G522" i="64"/>
  <c r="G523" i="64"/>
  <c r="G524" i="64"/>
  <c r="G525" i="64"/>
  <c r="G526" i="64"/>
  <c r="F512" i="64"/>
  <c r="F513" i="64"/>
  <c r="F514" i="64"/>
  <c r="F515" i="64"/>
  <c r="F516" i="64"/>
  <c r="F517" i="64"/>
  <c r="F518" i="64"/>
  <c r="F519" i="64"/>
  <c r="F520" i="64"/>
  <c r="F521" i="64"/>
  <c r="F522" i="64"/>
  <c r="F523" i="64"/>
  <c r="F524" i="64"/>
  <c r="F525" i="64"/>
  <c r="F526" i="64"/>
  <c r="A512" i="64"/>
  <c r="B512" i="64"/>
  <c r="J512" i="64"/>
  <c r="M512" i="64"/>
  <c r="N512" i="64" s="1"/>
  <c r="A513" i="64"/>
  <c r="B513" i="64"/>
  <c r="J513" i="64"/>
  <c r="M513" i="64"/>
  <c r="N513" i="64" s="1"/>
  <c r="A514" i="64"/>
  <c r="B514" i="64"/>
  <c r="J514" i="64"/>
  <c r="M514" i="64"/>
  <c r="N514" i="64" s="1"/>
  <c r="A515" i="64"/>
  <c r="B515" i="64"/>
  <c r="J515" i="64"/>
  <c r="M515" i="64"/>
  <c r="N515" i="64" s="1"/>
  <c r="A516" i="64"/>
  <c r="B516" i="64"/>
  <c r="J516" i="64"/>
  <c r="M516" i="64"/>
  <c r="N516" i="64" s="1"/>
  <c r="A517" i="64"/>
  <c r="B517" i="64"/>
  <c r="J517" i="64"/>
  <c r="M517" i="64"/>
  <c r="N517" i="64" s="1"/>
  <c r="A518" i="64"/>
  <c r="B518" i="64"/>
  <c r="J518" i="64"/>
  <c r="M518" i="64"/>
  <c r="N518" i="64" s="1"/>
  <c r="A519" i="64"/>
  <c r="B519" i="64"/>
  <c r="J519" i="64"/>
  <c r="M519" i="64"/>
  <c r="N519" i="64" s="1"/>
  <c r="A520" i="64"/>
  <c r="B520" i="64"/>
  <c r="J520" i="64"/>
  <c r="M520" i="64"/>
  <c r="N520" i="64" s="1"/>
  <c r="A521" i="64"/>
  <c r="B521" i="64"/>
  <c r="J521" i="64"/>
  <c r="M521" i="64"/>
  <c r="N521" i="64" s="1"/>
  <c r="A522" i="64"/>
  <c r="B522" i="64"/>
  <c r="J522" i="64"/>
  <c r="M522" i="64"/>
  <c r="N522" i="64" s="1"/>
  <c r="A523" i="64"/>
  <c r="B523" i="64"/>
  <c r="J523" i="64"/>
  <c r="M523" i="64"/>
  <c r="N523" i="64" s="1"/>
  <c r="A524" i="64"/>
  <c r="B524" i="64"/>
  <c r="J524" i="64"/>
  <c r="M524" i="64"/>
  <c r="N524" i="64" s="1"/>
  <c r="A525" i="64"/>
  <c r="B525" i="64"/>
  <c r="J525" i="64"/>
  <c r="M525" i="64"/>
  <c r="N525" i="64" s="1"/>
  <c r="A526" i="64"/>
  <c r="B526" i="64"/>
  <c r="J526" i="64"/>
  <c r="M526" i="64"/>
  <c r="N526" i="64" s="1"/>
  <c r="N175" i="68" l="1"/>
  <c r="H498" i="64"/>
  <c r="H499" i="64"/>
  <c r="H500" i="64"/>
  <c r="H501" i="64"/>
  <c r="H502" i="64"/>
  <c r="H503" i="64"/>
  <c r="H504" i="64"/>
  <c r="H505" i="64"/>
  <c r="H506" i="64"/>
  <c r="H507" i="64"/>
  <c r="H508" i="64"/>
  <c r="H509" i="64"/>
  <c r="H510" i="64"/>
  <c r="H511" i="64"/>
  <c r="H527" i="64"/>
  <c r="G498" i="64"/>
  <c r="G499" i="64"/>
  <c r="G500" i="64"/>
  <c r="G501" i="64"/>
  <c r="G502" i="64"/>
  <c r="G503" i="64"/>
  <c r="G504" i="64"/>
  <c r="G505" i="64"/>
  <c r="G506" i="64"/>
  <c r="G507" i="64"/>
  <c r="G508" i="64"/>
  <c r="G509" i="64"/>
  <c r="G510" i="64"/>
  <c r="G511" i="64"/>
  <c r="G527" i="64"/>
  <c r="F498" i="64"/>
  <c r="F499" i="64"/>
  <c r="F500" i="64"/>
  <c r="F501" i="64"/>
  <c r="F502" i="64"/>
  <c r="F503" i="64"/>
  <c r="F504" i="64"/>
  <c r="F505" i="64"/>
  <c r="F506" i="64"/>
  <c r="F507" i="64"/>
  <c r="F508" i="64"/>
  <c r="F509" i="64"/>
  <c r="F510" i="64"/>
  <c r="F511" i="64"/>
  <c r="F527" i="64"/>
  <c r="A498" i="64"/>
  <c r="B498" i="64"/>
  <c r="J498" i="64"/>
  <c r="M498" i="64"/>
  <c r="N498" i="64" s="1"/>
  <c r="A499" i="64"/>
  <c r="B499" i="64"/>
  <c r="J499" i="64"/>
  <c r="M499" i="64"/>
  <c r="N499" i="64" s="1"/>
  <c r="A500" i="64"/>
  <c r="B500" i="64"/>
  <c r="J500" i="64"/>
  <c r="M500" i="64"/>
  <c r="N500" i="64" s="1"/>
  <c r="A501" i="64"/>
  <c r="B501" i="64"/>
  <c r="J501" i="64"/>
  <c r="M501" i="64"/>
  <c r="N501" i="64" s="1"/>
  <c r="A502" i="64"/>
  <c r="B502" i="64"/>
  <c r="J502" i="64"/>
  <c r="M502" i="64"/>
  <c r="N502" i="64" s="1"/>
  <c r="A503" i="64"/>
  <c r="B503" i="64"/>
  <c r="J503" i="64"/>
  <c r="M503" i="64"/>
  <c r="N503" i="64" s="1"/>
  <c r="A504" i="64"/>
  <c r="B504" i="64"/>
  <c r="J504" i="64"/>
  <c r="M504" i="64"/>
  <c r="N504" i="64" s="1"/>
  <c r="A505" i="64"/>
  <c r="B505" i="64"/>
  <c r="J505" i="64"/>
  <c r="M505" i="64"/>
  <c r="N505" i="64" s="1"/>
  <c r="A506" i="64"/>
  <c r="B506" i="64"/>
  <c r="J506" i="64"/>
  <c r="M506" i="64"/>
  <c r="N506" i="64" s="1"/>
  <c r="A507" i="64"/>
  <c r="B507" i="64"/>
  <c r="J507" i="64"/>
  <c r="M507" i="64"/>
  <c r="N507" i="64" s="1"/>
  <c r="A508" i="64"/>
  <c r="B508" i="64"/>
  <c r="J508" i="64"/>
  <c r="M508" i="64"/>
  <c r="N508" i="64" s="1"/>
  <c r="A509" i="64"/>
  <c r="B509" i="64"/>
  <c r="J509" i="64"/>
  <c r="M509" i="64"/>
  <c r="N509" i="64" s="1"/>
  <c r="A510" i="64"/>
  <c r="B510" i="64"/>
  <c r="J510" i="64"/>
  <c r="M510" i="64"/>
  <c r="N510" i="64" s="1"/>
  <c r="A511" i="64"/>
  <c r="B511" i="64"/>
  <c r="J511" i="64"/>
  <c r="M511" i="64"/>
  <c r="N511" i="64" s="1"/>
  <c r="A527" i="64"/>
  <c r="B527" i="64"/>
  <c r="J527" i="64"/>
  <c r="M527" i="64"/>
  <c r="N527" i="64" s="1"/>
  <c r="N176" i="68" l="1"/>
  <c r="H487" i="64"/>
  <c r="H488" i="64"/>
  <c r="H489" i="64"/>
  <c r="H490" i="64"/>
  <c r="H491" i="64"/>
  <c r="H492" i="64"/>
  <c r="H493" i="64"/>
  <c r="H494" i="64"/>
  <c r="H495" i="64"/>
  <c r="H496" i="64"/>
  <c r="G487" i="64"/>
  <c r="G488" i="64"/>
  <c r="G489" i="64"/>
  <c r="G490" i="64"/>
  <c r="G491" i="64"/>
  <c r="G492" i="64"/>
  <c r="G493" i="64"/>
  <c r="G494" i="64"/>
  <c r="G495" i="64"/>
  <c r="G496" i="64"/>
  <c r="F487" i="64"/>
  <c r="F488" i="64"/>
  <c r="F489" i="64"/>
  <c r="F490" i="64"/>
  <c r="F491" i="64"/>
  <c r="F492" i="64"/>
  <c r="F493" i="64"/>
  <c r="F494" i="64"/>
  <c r="F495" i="64"/>
  <c r="F496" i="64"/>
  <c r="A487" i="64"/>
  <c r="B487" i="64"/>
  <c r="J487" i="64"/>
  <c r="M487" i="64"/>
  <c r="N487" i="64" s="1"/>
  <c r="A488" i="64"/>
  <c r="B488" i="64"/>
  <c r="J488" i="64"/>
  <c r="M488" i="64"/>
  <c r="N488" i="64" s="1"/>
  <c r="A489" i="64"/>
  <c r="B489" i="64"/>
  <c r="J489" i="64"/>
  <c r="M489" i="64"/>
  <c r="N489" i="64" s="1"/>
  <c r="A490" i="64"/>
  <c r="B490" i="64"/>
  <c r="J490" i="64"/>
  <c r="M490" i="64"/>
  <c r="N490" i="64" s="1"/>
  <c r="A491" i="64"/>
  <c r="B491" i="64"/>
  <c r="J491" i="64"/>
  <c r="M491" i="64"/>
  <c r="N491" i="64" s="1"/>
  <c r="A492" i="64"/>
  <c r="B492" i="64"/>
  <c r="J492" i="64"/>
  <c r="M492" i="64"/>
  <c r="N492" i="64" s="1"/>
  <c r="A493" i="64"/>
  <c r="B493" i="64"/>
  <c r="J493" i="64"/>
  <c r="M493" i="64"/>
  <c r="N493" i="64" s="1"/>
  <c r="A494" i="64"/>
  <c r="B494" i="64"/>
  <c r="J494" i="64"/>
  <c r="M494" i="64"/>
  <c r="N494" i="64" s="1"/>
  <c r="A495" i="64"/>
  <c r="B495" i="64"/>
  <c r="J495" i="64"/>
  <c r="M495" i="64"/>
  <c r="N495" i="64" s="1"/>
  <c r="A496" i="64"/>
  <c r="B496" i="64"/>
  <c r="J496" i="64"/>
  <c r="M496" i="64"/>
  <c r="N496" i="64" s="1"/>
  <c r="N177" i="68" l="1"/>
  <c r="H478" i="64"/>
  <c r="H479" i="64"/>
  <c r="H480" i="64"/>
  <c r="H481" i="64"/>
  <c r="H482" i="64"/>
  <c r="H483" i="64"/>
  <c r="H484" i="64"/>
  <c r="H485" i="64"/>
  <c r="H486" i="64"/>
  <c r="H497" i="64"/>
  <c r="G478" i="64"/>
  <c r="G479" i="64"/>
  <c r="G480" i="64"/>
  <c r="G481" i="64"/>
  <c r="G482" i="64"/>
  <c r="G483" i="64"/>
  <c r="G484" i="64"/>
  <c r="G485" i="64"/>
  <c r="G486" i="64"/>
  <c r="G497" i="64"/>
  <c r="F478" i="64"/>
  <c r="F479" i="64"/>
  <c r="F480" i="64"/>
  <c r="F481" i="64"/>
  <c r="F482" i="64"/>
  <c r="F483" i="64"/>
  <c r="F484" i="64"/>
  <c r="F485" i="64"/>
  <c r="F486" i="64"/>
  <c r="F497" i="64"/>
  <c r="A478" i="64"/>
  <c r="B478" i="64"/>
  <c r="J478" i="64"/>
  <c r="M478" i="64"/>
  <c r="N478" i="64" s="1"/>
  <c r="A479" i="64"/>
  <c r="B479" i="64"/>
  <c r="J479" i="64"/>
  <c r="M479" i="64"/>
  <c r="N479" i="64" s="1"/>
  <c r="A480" i="64"/>
  <c r="B480" i="64"/>
  <c r="J480" i="64"/>
  <c r="M480" i="64"/>
  <c r="N480" i="64" s="1"/>
  <c r="A481" i="64"/>
  <c r="B481" i="64"/>
  <c r="J481" i="64"/>
  <c r="M481" i="64"/>
  <c r="N481" i="64" s="1"/>
  <c r="A482" i="64"/>
  <c r="B482" i="64"/>
  <c r="J482" i="64"/>
  <c r="M482" i="64"/>
  <c r="N482" i="64" s="1"/>
  <c r="A483" i="64"/>
  <c r="B483" i="64"/>
  <c r="J483" i="64"/>
  <c r="M483" i="64"/>
  <c r="N483" i="64" s="1"/>
  <c r="A484" i="64"/>
  <c r="B484" i="64"/>
  <c r="J484" i="64"/>
  <c r="M484" i="64"/>
  <c r="N484" i="64" s="1"/>
  <c r="A485" i="64"/>
  <c r="B485" i="64"/>
  <c r="J485" i="64"/>
  <c r="M485" i="64"/>
  <c r="N485" i="64" s="1"/>
  <c r="A486" i="64"/>
  <c r="B486" i="64"/>
  <c r="J486" i="64"/>
  <c r="M486" i="64"/>
  <c r="N486" i="64" s="1"/>
  <c r="A497" i="64"/>
  <c r="B497" i="64"/>
  <c r="J497" i="64"/>
  <c r="M497" i="64"/>
  <c r="N497" i="64" s="1"/>
  <c r="H462" i="64"/>
  <c r="H463" i="64"/>
  <c r="H464" i="64"/>
  <c r="H465" i="64"/>
  <c r="H466" i="64"/>
  <c r="H467" i="64"/>
  <c r="H468" i="64"/>
  <c r="H469" i="64"/>
  <c r="H470" i="64"/>
  <c r="H471" i="64"/>
  <c r="H472" i="64"/>
  <c r="H473" i="64"/>
  <c r="H474" i="64"/>
  <c r="H475" i="64"/>
  <c r="H476" i="64"/>
  <c r="G462" i="64"/>
  <c r="G463" i="64"/>
  <c r="G464" i="64"/>
  <c r="G465" i="64"/>
  <c r="G466" i="64"/>
  <c r="G467" i="64"/>
  <c r="G468" i="64"/>
  <c r="G469" i="64"/>
  <c r="G470" i="64"/>
  <c r="G471" i="64"/>
  <c r="G472" i="64"/>
  <c r="G473" i="64"/>
  <c r="G474" i="64"/>
  <c r="G475" i="64"/>
  <c r="G476" i="64"/>
  <c r="F462" i="64"/>
  <c r="F463" i="64"/>
  <c r="F464" i="64"/>
  <c r="F465" i="64"/>
  <c r="F466" i="64"/>
  <c r="F467" i="64"/>
  <c r="F468" i="64"/>
  <c r="F469" i="64"/>
  <c r="F470" i="64"/>
  <c r="F471" i="64"/>
  <c r="F472" i="64"/>
  <c r="F473" i="64"/>
  <c r="F474" i="64"/>
  <c r="F475" i="64"/>
  <c r="F476" i="64"/>
  <c r="A462" i="64"/>
  <c r="B462" i="64"/>
  <c r="J462" i="64"/>
  <c r="M462" i="64"/>
  <c r="N462" i="64" s="1"/>
  <c r="A463" i="64"/>
  <c r="B463" i="64"/>
  <c r="J463" i="64"/>
  <c r="M463" i="64"/>
  <c r="N463" i="64" s="1"/>
  <c r="A464" i="64"/>
  <c r="B464" i="64"/>
  <c r="J464" i="64"/>
  <c r="M464" i="64"/>
  <c r="N464" i="64" s="1"/>
  <c r="A465" i="64"/>
  <c r="B465" i="64"/>
  <c r="J465" i="64"/>
  <c r="M465" i="64"/>
  <c r="N465" i="64" s="1"/>
  <c r="A466" i="64"/>
  <c r="B466" i="64"/>
  <c r="J466" i="64"/>
  <c r="M466" i="64"/>
  <c r="N466" i="64" s="1"/>
  <c r="A467" i="64"/>
  <c r="B467" i="64"/>
  <c r="J467" i="64"/>
  <c r="M467" i="64"/>
  <c r="N467" i="64" s="1"/>
  <c r="A468" i="64"/>
  <c r="B468" i="64"/>
  <c r="J468" i="64"/>
  <c r="M468" i="64"/>
  <c r="N468" i="64" s="1"/>
  <c r="A469" i="64"/>
  <c r="B469" i="64"/>
  <c r="J469" i="64"/>
  <c r="M469" i="64"/>
  <c r="N469" i="64" s="1"/>
  <c r="A470" i="64"/>
  <c r="B470" i="64"/>
  <c r="J470" i="64"/>
  <c r="M470" i="64"/>
  <c r="N470" i="64" s="1"/>
  <c r="A471" i="64"/>
  <c r="B471" i="64"/>
  <c r="J471" i="64"/>
  <c r="M471" i="64"/>
  <c r="N471" i="64" s="1"/>
  <c r="A472" i="64"/>
  <c r="B472" i="64"/>
  <c r="J472" i="64"/>
  <c r="M472" i="64"/>
  <c r="N472" i="64" s="1"/>
  <c r="A473" i="64"/>
  <c r="B473" i="64"/>
  <c r="J473" i="64"/>
  <c r="M473" i="64"/>
  <c r="N473" i="64" s="1"/>
  <c r="A474" i="64"/>
  <c r="B474" i="64"/>
  <c r="J474" i="64"/>
  <c r="M474" i="64"/>
  <c r="N474" i="64" s="1"/>
  <c r="A475" i="64"/>
  <c r="B475" i="64"/>
  <c r="J475" i="64"/>
  <c r="M475" i="64"/>
  <c r="N475" i="64" s="1"/>
  <c r="A476" i="64"/>
  <c r="B476" i="64"/>
  <c r="J476" i="64"/>
  <c r="M476" i="64"/>
  <c r="N476" i="64" s="1"/>
  <c r="N178" i="68" l="1"/>
  <c r="H452" i="64"/>
  <c r="H453" i="64"/>
  <c r="H454" i="64"/>
  <c r="H455" i="64"/>
  <c r="H456" i="64"/>
  <c r="H457" i="64"/>
  <c r="H458" i="64"/>
  <c r="H459" i="64"/>
  <c r="H460" i="64"/>
  <c r="H461" i="64"/>
  <c r="G452" i="64"/>
  <c r="G453" i="64"/>
  <c r="G454" i="64"/>
  <c r="G455" i="64"/>
  <c r="G456" i="64"/>
  <c r="G457" i="64"/>
  <c r="G458" i="64"/>
  <c r="G459" i="64"/>
  <c r="G460" i="64"/>
  <c r="G461" i="64"/>
  <c r="F452" i="64"/>
  <c r="F453" i="64"/>
  <c r="F454" i="64"/>
  <c r="F455" i="64"/>
  <c r="F456" i="64"/>
  <c r="F457" i="64"/>
  <c r="F458" i="64"/>
  <c r="F459" i="64"/>
  <c r="F460" i="64"/>
  <c r="F461" i="64"/>
  <c r="A452" i="64"/>
  <c r="B452" i="64"/>
  <c r="J452" i="64"/>
  <c r="M452" i="64"/>
  <c r="N452" i="64" s="1"/>
  <c r="A453" i="64"/>
  <c r="B453" i="64"/>
  <c r="J453" i="64"/>
  <c r="M453" i="64"/>
  <c r="N453" i="64" s="1"/>
  <c r="A454" i="64"/>
  <c r="B454" i="64"/>
  <c r="J454" i="64"/>
  <c r="M454" i="64"/>
  <c r="N454" i="64" s="1"/>
  <c r="A455" i="64"/>
  <c r="B455" i="64"/>
  <c r="J455" i="64"/>
  <c r="M455" i="64"/>
  <c r="N455" i="64" s="1"/>
  <c r="A456" i="64"/>
  <c r="B456" i="64"/>
  <c r="J456" i="64"/>
  <c r="M456" i="64"/>
  <c r="N456" i="64" s="1"/>
  <c r="A457" i="64"/>
  <c r="B457" i="64"/>
  <c r="J457" i="64"/>
  <c r="M457" i="64"/>
  <c r="N457" i="64" s="1"/>
  <c r="A458" i="64"/>
  <c r="B458" i="64"/>
  <c r="J458" i="64"/>
  <c r="M458" i="64"/>
  <c r="N458" i="64" s="1"/>
  <c r="A459" i="64"/>
  <c r="B459" i="64"/>
  <c r="J459" i="64"/>
  <c r="M459" i="64"/>
  <c r="N459" i="64" s="1"/>
  <c r="A460" i="64"/>
  <c r="B460" i="64"/>
  <c r="J460" i="64"/>
  <c r="M460" i="64"/>
  <c r="N460" i="64" s="1"/>
  <c r="A461" i="64"/>
  <c r="B461" i="64"/>
  <c r="J461" i="64"/>
  <c r="M461" i="64"/>
  <c r="N461" i="64" s="1"/>
  <c r="N179" i="68" l="1"/>
  <c r="H440" i="64"/>
  <c r="H441" i="64"/>
  <c r="H442" i="64"/>
  <c r="H443" i="64"/>
  <c r="H444" i="64"/>
  <c r="H445" i="64"/>
  <c r="H446" i="64"/>
  <c r="H447" i="64"/>
  <c r="H448" i="64"/>
  <c r="H449" i="64"/>
  <c r="G440" i="64"/>
  <c r="G441" i="64"/>
  <c r="G442" i="64"/>
  <c r="G443" i="64"/>
  <c r="G444" i="64"/>
  <c r="G445" i="64"/>
  <c r="G446" i="64"/>
  <c r="G447" i="64"/>
  <c r="G448" i="64"/>
  <c r="G449" i="64"/>
  <c r="F440" i="64"/>
  <c r="F441" i="64"/>
  <c r="F442" i="64"/>
  <c r="F443" i="64"/>
  <c r="F444" i="64"/>
  <c r="F445" i="64"/>
  <c r="F446" i="64"/>
  <c r="F447" i="64"/>
  <c r="F448" i="64"/>
  <c r="F449" i="64"/>
  <c r="A440" i="64"/>
  <c r="B440" i="64"/>
  <c r="J440" i="64"/>
  <c r="M440" i="64"/>
  <c r="N440" i="64" s="1"/>
  <c r="A441" i="64"/>
  <c r="B441" i="64"/>
  <c r="J441" i="64"/>
  <c r="M441" i="64"/>
  <c r="N441" i="64" s="1"/>
  <c r="A442" i="64"/>
  <c r="B442" i="64"/>
  <c r="J442" i="64"/>
  <c r="M442" i="64"/>
  <c r="N442" i="64" s="1"/>
  <c r="A443" i="64"/>
  <c r="B443" i="64"/>
  <c r="J443" i="64"/>
  <c r="M443" i="64"/>
  <c r="N443" i="64" s="1"/>
  <c r="A444" i="64"/>
  <c r="B444" i="64"/>
  <c r="J444" i="64"/>
  <c r="M444" i="64"/>
  <c r="N444" i="64" s="1"/>
  <c r="A445" i="64"/>
  <c r="B445" i="64"/>
  <c r="J445" i="64"/>
  <c r="M445" i="64"/>
  <c r="N445" i="64" s="1"/>
  <c r="A446" i="64"/>
  <c r="B446" i="64"/>
  <c r="J446" i="64"/>
  <c r="M446" i="64"/>
  <c r="N446" i="64" s="1"/>
  <c r="A447" i="64"/>
  <c r="B447" i="64"/>
  <c r="J447" i="64"/>
  <c r="M447" i="64"/>
  <c r="N447" i="64" s="1"/>
  <c r="A448" i="64"/>
  <c r="B448" i="64"/>
  <c r="J448" i="64"/>
  <c r="M448" i="64"/>
  <c r="N448" i="64" s="1"/>
  <c r="A449" i="64"/>
  <c r="B449" i="64"/>
  <c r="J449" i="64"/>
  <c r="M449" i="64"/>
  <c r="N449" i="64" s="1"/>
  <c r="N180" i="68" l="1"/>
  <c r="H433" i="64"/>
  <c r="H434" i="64"/>
  <c r="H435" i="64"/>
  <c r="H436" i="64"/>
  <c r="H437" i="64"/>
  <c r="H438" i="64"/>
  <c r="H439" i="64"/>
  <c r="H450" i="64"/>
  <c r="H451" i="64"/>
  <c r="G433" i="64"/>
  <c r="G434" i="64"/>
  <c r="G435" i="64"/>
  <c r="G436" i="64"/>
  <c r="G437" i="64"/>
  <c r="G438" i="64"/>
  <c r="G439" i="64"/>
  <c r="G450" i="64"/>
  <c r="G451" i="64"/>
  <c r="F433" i="64"/>
  <c r="F434" i="64"/>
  <c r="F435" i="64"/>
  <c r="F436" i="64"/>
  <c r="F437" i="64"/>
  <c r="F438" i="64"/>
  <c r="F439" i="64"/>
  <c r="F450" i="64"/>
  <c r="F451" i="64"/>
  <c r="A433" i="64"/>
  <c r="B433" i="64"/>
  <c r="J433" i="64"/>
  <c r="M433" i="64"/>
  <c r="N433" i="64" s="1"/>
  <c r="A434" i="64"/>
  <c r="B434" i="64"/>
  <c r="J434" i="64"/>
  <c r="M434" i="64"/>
  <c r="N434" i="64" s="1"/>
  <c r="A435" i="64"/>
  <c r="B435" i="64"/>
  <c r="J435" i="64"/>
  <c r="M435" i="64"/>
  <c r="N435" i="64" s="1"/>
  <c r="A436" i="64"/>
  <c r="B436" i="64"/>
  <c r="J436" i="64"/>
  <c r="M436" i="64"/>
  <c r="N436" i="64" s="1"/>
  <c r="A437" i="64"/>
  <c r="B437" i="64"/>
  <c r="J437" i="64"/>
  <c r="M437" i="64"/>
  <c r="N437" i="64" s="1"/>
  <c r="A438" i="64"/>
  <c r="B438" i="64"/>
  <c r="J438" i="64"/>
  <c r="M438" i="64"/>
  <c r="N438" i="64" s="1"/>
  <c r="A439" i="64"/>
  <c r="B439" i="64"/>
  <c r="J439" i="64"/>
  <c r="M439" i="64"/>
  <c r="N439" i="64" s="1"/>
  <c r="A450" i="64"/>
  <c r="B450" i="64"/>
  <c r="J450" i="64"/>
  <c r="M450" i="64"/>
  <c r="N450" i="64" s="1"/>
  <c r="A451" i="64"/>
  <c r="B451" i="64"/>
  <c r="J451" i="64"/>
  <c r="M451" i="64"/>
  <c r="N451" i="64" s="1"/>
  <c r="N181" i="68" l="1"/>
  <c r="H421" i="64"/>
  <c r="H422" i="64"/>
  <c r="H423" i="64"/>
  <c r="H424" i="64"/>
  <c r="H425" i="64"/>
  <c r="H426" i="64"/>
  <c r="H427" i="64"/>
  <c r="H428" i="64"/>
  <c r="H429" i="64"/>
  <c r="H430" i="64"/>
  <c r="H431" i="64"/>
  <c r="H432" i="64"/>
  <c r="G421" i="64"/>
  <c r="G422" i="64"/>
  <c r="G423" i="64"/>
  <c r="G424" i="64"/>
  <c r="G425" i="64"/>
  <c r="G426" i="64"/>
  <c r="G427" i="64"/>
  <c r="G428" i="64"/>
  <c r="G429" i="64"/>
  <c r="G430" i="64"/>
  <c r="G431" i="64"/>
  <c r="G432" i="64"/>
  <c r="F421" i="64"/>
  <c r="F422" i="64"/>
  <c r="F423" i="64"/>
  <c r="F424" i="64"/>
  <c r="F425" i="64"/>
  <c r="F426" i="64"/>
  <c r="F427" i="64"/>
  <c r="F428" i="64"/>
  <c r="F429" i="64"/>
  <c r="F430" i="64"/>
  <c r="F431" i="64"/>
  <c r="F432" i="64"/>
  <c r="A421" i="64"/>
  <c r="B421" i="64"/>
  <c r="J421" i="64"/>
  <c r="M421" i="64"/>
  <c r="N421" i="64" s="1"/>
  <c r="A422" i="64"/>
  <c r="B422" i="64"/>
  <c r="J422" i="64"/>
  <c r="M422" i="64"/>
  <c r="N422" i="64" s="1"/>
  <c r="A423" i="64"/>
  <c r="B423" i="64"/>
  <c r="J423" i="64"/>
  <c r="M423" i="64"/>
  <c r="N423" i="64" s="1"/>
  <c r="A424" i="64"/>
  <c r="B424" i="64"/>
  <c r="J424" i="64"/>
  <c r="M424" i="64"/>
  <c r="N424" i="64" s="1"/>
  <c r="A425" i="64"/>
  <c r="B425" i="64"/>
  <c r="J425" i="64"/>
  <c r="M425" i="64"/>
  <c r="N425" i="64" s="1"/>
  <c r="A426" i="64"/>
  <c r="B426" i="64"/>
  <c r="J426" i="64"/>
  <c r="M426" i="64"/>
  <c r="N426" i="64" s="1"/>
  <c r="A427" i="64"/>
  <c r="B427" i="64"/>
  <c r="J427" i="64"/>
  <c r="M427" i="64"/>
  <c r="N427" i="64" s="1"/>
  <c r="A428" i="64"/>
  <c r="B428" i="64"/>
  <c r="J428" i="64"/>
  <c r="M428" i="64"/>
  <c r="N428" i="64" s="1"/>
  <c r="A429" i="64"/>
  <c r="B429" i="64"/>
  <c r="J429" i="64"/>
  <c r="M429" i="64"/>
  <c r="N429" i="64" s="1"/>
  <c r="A430" i="64"/>
  <c r="B430" i="64"/>
  <c r="J430" i="64"/>
  <c r="M430" i="64"/>
  <c r="N430" i="64" s="1"/>
  <c r="A431" i="64"/>
  <c r="B431" i="64"/>
  <c r="J431" i="64"/>
  <c r="M431" i="64"/>
  <c r="N431" i="64" s="1"/>
  <c r="A432" i="64"/>
  <c r="B432" i="64"/>
  <c r="J432" i="64"/>
  <c r="M432" i="64"/>
  <c r="N432" i="64" s="1"/>
  <c r="H407" i="64"/>
  <c r="H408" i="64"/>
  <c r="H409" i="64"/>
  <c r="H410" i="64"/>
  <c r="H411" i="64"/>
  <c r="H412" i="64"/>
  <c r="H413" i="64"/>
  <c r="H414" i="64"/>
  <c r="H415" i="64"/>
  <c r="H416" i="64"/>
  <c r="H417" i="64"/>
  <c r="H418" i="64"/>
  <c r="H419" i="64"/>
  <c r="H420" i="64"/>
  <c r="G407" i="64"/>
  <c r="G408" i="64"/>
  <c r="G409" i="64"/>
  <c r="G410" i="64"/>
  <c r="G411" i="64"/>
  <c r="G412" i="64"/>
  <c r="G413" i="64"/>
  <c r="G414" i="64"/>
  <c r="G415" i="64"/>
  <c r="G416" i="64"/>
  <c r="G417" i="64"/>
  <c r="G418" i="64"/>
  <c r="G419" i="64"/>
  <c r="G420" i="64"/>
  <c r="F407" i="64"/>
  <c r="F408" i="64"/>
  <c r="F409" i="64"/>
  <c r="F410" i="64"/>
  <c r="F411" i="64"/>
  <c r="F412" i="64"/>
  <c r="F413" i="64"/>
  <c r="F414" i="64"/>
  <c r="F415" i="64"/>
  <c r="F416" i="64"/>
  <c r="F417" i="64"/>
  <c r="F418" i="64"/>
  <c r="F419" i="64"/>
  <c r="F420" i="64"/>
  <c r="A407" i="64"/>
  <c r="B407" i="64"/>
  <c r="J407" i="64"/>
  <c r="M407" i="64"/>
  <c r="N407" i="64" s="1"/>
  <c r="A408" i="64"/>
  <c r="B408" i="64"/>
  <c r="J408" i="64"/>
  <c r="M408" i="64"/>
  <c r="N408" i="64" s="1"/>
  <c r="A409" i="64"/>
  <c r="B409" i="64"/>
  <c r="J409" i="64"/>
  <c r="M409" i="64"/>
  <c r="N409" i="64" s="1"/>
  <c r="A410" i="64"/>
  <c r="B410" i="64"/>
  <c r="J410" i="64"/>
  <c r="M410" i="64"/>
  <c r="N410" i="64" s="1"/>
  <c r="A411" i="64"/>
  <c r="B411" i="64"/>
  <c r="J411" i="64"/>
  <c r="M411" i="64"/>
  <c r="N411" i="64" s="1"/>
  <c r="A412" i="64"/>
  <c r="B412" i="64"/>
  <c r="J412" i="64"/>
  <c r="M412" i="64"/>
  <c r="N412" i="64" s="1"/>
  <c r="A413" i="64"/>
  <c r="B413" i="64"/>
  <c r="J413" i="64"/>
  <c r="M413" i="64"/>
  <c r="N413" i="64" s="1"/>
  <c r="A414" i="64"/>
  <c r="B414" i="64"/>
  <c r="J414" i="64"/>
  <c r="M414" i="64"/>
  <c r="N414" i="64" s="1"/>
  <c r="A415" i="64"/>
  <c r="B415" i="64"/>
  <c r="J415" i="64"/>
  <c r="M415" i="64"/>
  <c r="N415" i="64" s="1"/>
  <c r="A416" i="64"/>
  <c r="B416" i="64"/>
  <c r="J416" i="64"/>
  <c r="M416" i="64"/>
  <c r="N416" i="64" s="1"/>
  <c r="A417" i="64"/>
  <c r="B417" i="64"/>
  <c r="J417" i="64"/>
  <c r="M417" i="64"/>
  <c r="N417" i="64" s="1"/>
  <c r="A418" i="64"/>
  <c r="B418" i="64"/>
  <c r="J418" i="64"/>
  <c r="M418" i="64"/>
  <c r="N418" i="64" s="1"/>
  <c r="A419" i="64"/>
  <c r="B419" i="64"/>
  <c r="J419" i="64"/>
  <c r="M419" i="64"/>
  <c r="N419" i="64" s="1"/>
  <c r="A420" i="64"/>
  <c r="B420" i="64"/>
  <c r="J420" i="64"/>
  <c r="M420" i="64"/>
  <c r="N420" i="64" s="1"/>
  <c r="H396" i="64"/>
  <c r="H397" i="64"/>
  <c r="H398" i="64"/>
  <c r="H399" i="64"/>
  <c r="H400" i="64"/>
  <c r="H401" i="64"/>
  <c r="H402" i="64"/>
  <c r="H403" i="64"/>
  <c r="H404" i="64"/>
  <c r="H405" i="64"/>
  <c r="H406" i="64"/>
  <c r="G396" i="64"/>
  <c r="G397" i="64"/>
  <c r="G398" i="64"/>
  <c r="G399" i="64"/>
  <c r="G400" i="64"/>
  <c r="G401" i="64"/>
  <c r="G402" i="64"/>
  <c r="G403" i="64"/>
  <c r="G404" i="64"/>
  <c r="G405" i="64"/>
  <c r="G406" i="64"/>
  <c r="F396" i="64"/>
  <c r="F397" i="64"/>
  <c r="F398" i="64"/>
  <c r="F399" i="64"/>
  <c r="F400" i="64"/>
  <c r="F401" i="64"/>
  <c r="F402" i="64"/>
  <c r="F403" i="64"/>
  <c r="F404" i="64"/>
  <c r="F405" i="64"/>
  <c r="F406" i="64"/>
  <c r="A396" i="64"/>
  <c r="B396" i="64"/>
  <c r="J396" i="64"/>
  <c r="M396" i="64"/>
  <c r="N396" i="64" s="1"/>
  <c r="A397" i="64"/>
  <c r="B397" i="64"/>
  <c r="J397" i="64"/>
  <c r="M397" i="64"/>
  <c r="N397" i="64" s="1"/>
  <c r="A398" i="64"/>
  <c r="B398" i="64"/>
  <c r="J398" i="64"/>
  <c r="M398" i="64"/>
  <c r="N398" i="64" s="1"/>
  <c r="A399" i="64"/>
  <c r="B399" i="64"/>
  <c r="J399" i="64"/>
  <c r="M399" i="64"/>
  <c r="N399" i="64" s="1"/>
  <c r="A400" i="64"/>
  <c r="B400" i="64"/>
  <c r="J400" i="64"/>
  <c r="M400" i="64"/>
  <c r="N400" i="64" s="1"/>
  <c r="A401" i="64"/>
  <c r="B401" i="64"/>
  <c r="J401" i="64"/>
  <c r="M401" i="64"/>
  <c r="N401" i="64" s="1"/>
  <c r="A402" i="64"/>
  <c r="B402" i="64"/>
  <c r="J402" i="64"/>
  <c r="M402" i="64"/>
  <c r="N402" i="64" s="1"/>
  <c r="A403" i="64"/>
  <c r="B403" i="64"/>
  <c r="J403" i="64"/>
  <c r="M403" i="64"/>
  <c r="N403" i="64" s="1"/>
  <c r="A404" i="64"/>
  <c r="B404" i="64"/>
  <c r="J404" i="64"/>
  <c r="M404" i="64"/>
  <c r="N404" i="64" s="1"/>
  <c r="A405" i="64"/>
  <c r="B405" i="64"/>
  <c r="J405" i="64"/>
  <c r="M405" i="64"/>
  <c r="N405" i="64" s="1"/>
  <c r="A406" i="64"/>
  <c r="B406" i="64"/>
  <c r="J406" i="64"/>
  <c r="M406" i="64"/>
  <c r="N406" i="64" s="1"/>
  <c r="H382" i="64"/>
  <c r="H383" i="64"/>
  <c r="H384" i="64"/>
  <c r="H385" i="64"/>
  <c r="H386" i="64"/>
  <c r="H387" i="64"/>
  <c r="H388" i="64"/>
  <c r="H389" i="64"/>
  <c r="H390" i="64"/>
  <c r="H391" i="64"/>
  <c r="H392" i="64"/>
  <c r="H393" i="64"/>
  <c r="H394" i="64"/>
  <c r="H395" i="64"/>
  <c r="G382" i="64"/>
  <c r="G383" i="64"/>
  <c r="G384" i="64"/>
  <c r="G385" i="64"/>
  <c r="G386" i="64"/>
  <c r="G387" i="64"/>
  <c r="G388" i="64"/>
  <c r="G389" i="64"/>
  <c r="G390" i="64"/>
  <c r="G391" i="64"/>
  <c r="G392" i="64"/>
  <c r="G393" i="64"/>
  <c r="G394" i="64"/>
  <c r="G395" i="64"/>
  <c r="F382" i="64"/>
  <c r="F383" i="64"/>
  <c r="F384" i="64"/>
  <c r="F385" i="64"/>
  <c r="F386" i="64"/>
  <c r="F387" i="64"/>
  <c r="F388" i="64"/>
  <c r="F389" i="64"/>
  <c r="F390" i="64"/>
  <c r="F391" i="64"/>
  <c r="F392" i="64"/>
  <c r="F393" i="64"/>
  <c r="F394" i="64"/>
  <c r="F395" i="64"/>
  <c r="A382" i="64"/>
  <c r="B382" i="64"/>
  <c r="J382" i="64"/>
  <c r="M382" i="64"/>
  <c r="N382" i="64" s="1"/>
  <c r="A383" i="64"/>
  <c r="B383" i="64"/>
  <c r="J383" i="64"/>
  <c r="M383" i="64"/>
  <c r="N383" i="64" s="1"/>
  <c r="A384" i="64"/>
  <c r="B384" i="64"/>
  <c r="J384" i="64"/>
  <c r="M384" i="64"/>
  <c r="N384" i="64" s="1"/>
  <c r="A385" i="64"/>
  <c r="B385" i="64"/>
  <c r="J385" i="64"/>
  <c r="M385" i="64"/>
  <c r="N385" i="64" s="1"/>
  <c r="A386" i="64"/>
  <c r="B386" i="64"/>
  <c r="J386" i="64"/>
  <c r="M386" i="64"/>
  <c r="N386" i="64" s="1"/>
  <c r="A387" i="64"/>
  <c r="B387" i="64"/>
  <c r="J387" i="64"/>
  <c r="M387" i="64"/>
  <c r="N387" i="64" s="1"/>
  <c r="A388" i="64"/>
  <c r="B388" i="64"/>
  <c r="J388" i="64"/>
  <c r="M388" i="64"/>
  <c r="N388" i="64" s="1"/>
  <c r="A389" i="64"/>
  <c r="B389" i="64"/>
  <c r="J389" i="64"/>
  <c r="M389" i="64"/>
  <c r="N389" i="64" s="1"/>
  <c r="A390" i="64"/>
  <c r="B390" i="64"/>
  <c r="J390" i="64"/>
  <c r="M390" i="64"/>
  <c r="N390" i="64" s="1"/>
  <c r="A391" i="64"/>
  <c r="B391" i="64"/>
  <c r="J391" i="64"/>
  <c r="M391" i="64"/>
  <c r="N391" i="64" s="1"/>
  <c r="A392" i="64"/>
  <c r="B392" i="64"/>
  <c r="J392" i="64"/>
  <c r="M392" i="64"/>
  <c r="N392" i="64" s="1"/>
  <c r="A393" i="64"/>
  <c r="B393" i="64"/>
  <c r="J393" i="64"/>
  <c r="M393" i="64"/>
  <c r="N393" i="64" s="1"/>
  <c r="A394" i="64"/>
  <c r="B394" i="64"/>
  <c r="J394" i="64"/>
  <c r="M394" i="64"/>
  <c r="N394" i="64" s="1"/>
  <c r="A395" i="64"/>
  <c r="B395" i="64"/>
  <c r="J395" i="64"/>
  <c r="M395" i="64"/>
  <c r="N395" i="64" s="1"/>
  <c r="N182" i="68" l="1"/>
  <c r="H379" i="64"/>
  <c r="H380" i="64"/>
  <c r="G379" i="64"/>
  <c r="G380" i="64"/>
  <c r="F379" i="64"/>
  <c r="F380" i="64"/>
  <c r="H360" i="64"/>
  <c r="H361" i="64"/>
  <c r="H362" i="64"/>
  <c r="H363" i="64"/>
  <c r="H364" i="64"/>
  <c r="H365" i="64"/>
  <c r="H366" i="64"/>
  <c r="H367" i="64"/>
  <c r="H368" i="64"/>
  <c r="H369" i="64"/>
  <c r="H370" i="64"/>
  <c r="H371" i="64"/>
  <c r="H372" i="64"/>
  <c r="H373" i="64"/>
  <c r="H374" i="64"/>
  <c r="H375" i="64"/>
  <c r="H376" i="64"/>
  <c r="H377" i="64"/>
  <c r="H378" i="64"/>
  <c r="G360" i="64"/>
  <c r="G361" i="64"/>
  <c r="G362" i="64"/>
  <c r="G363" i="64"/>
  <c r="G364" i="64"/>
  <c r="G365" i="64"/>
  <c r="G366" i="64"/>
  <c r="G367" i="64"/>
  <c r="G368" i="64"/>
  <c r="G369" i="64"/>
  <c r="G370" i="64"/>
  <c r="G371" i="64"/>
  <c r="G372" i="64"/>
  <c r="G373" i="64"/>
  <c r="G374" i="64"/>
  <c r="G375" i="64"/>
  <c r="G376" i="64"/>
  <c r="G377" i="64"/>
  <c r="G378" i="64"/>
  <c r="F360" i="64"/>
  <c r="F361" i="64"/>
  <c r="F362" i="64"/>
  <c r="F363" i="64"/>
  <c r="F364" i="64"/>
  <c r="F365" i="64"/>
  <c r="F366" i="64"/>
  <c r="F367" i="64"/>
  <c r="F368" i="64"/>
  <c r="F369" i="64"/>
  <c r="F370" i="64"/>
  <c r="F371" i="64"/>
  <c r="F372" i="64"/>
  <c r="F373" i="64"/>
  <c r="F374" i="64"/>
  <c r="F375" i="64"/>
  <c r="F376" i="64"/>
  <c r="F377" i="64"/>
  <c r="F378" i="64"/>
  <c r="A360" i="64"/>
  <c r="B360" i="64"/>
  <c r="J360" i="64"/>
  <c r="M360" i="64"/>
  <c r="N360" i="64" s="1"/>
  <c r="A361" i="64"/>
  <c r="B361" i="64"/>
  <c r="J361" i="64"/>
  <c r="M361" i="64"/>
  <c r="N361" i="64" s="1"/>
  <c r="A362" i="64"/>
  <c r="B362" i="64"/>
  <c r="J362" i="64"/>
  <c r="M362" i="64"/>
  <c r="N362" i="64" s="1"/>
  <c r="A363" i="64"/>
  <c r="B363" i="64"/>
  <c r="J363" i="64"/>
  <c r="M363" i="64"/>
  <c r="N363" i="64" s="1"/>
  <c r="A364" i="64"/>
  <c r="B364" i="64"/>
  <c r="J364" i="64"/>
  <c r="M364" i="64"/>
  <c r="N364" i="64" s="1"/>
  <c r="A365" i="64"/>
  <c r="B365" i="64"/>
  <c r="J365" i="64"/>
  <c r="M365" i="64"/>
  <c r="N365" i="64" s="1"/>
  <c r="A366" i="64"/>
  <c r="B366" i="64"/>
  <c r="J366" i="64"/>
  <c r="M366" i="64"/>
  <c r="N366" i="64" s="1"/>
  <c r="A367" i="64"/>
  <c r="B367" i="64"/>
  <c r="J367" i="64"/>
  <c r="M367" i="64"/>
  <c r="N367" i="64" s="1"/>
  <c r="A368" i="64"/>
  <c r="B368" i="64"/>
  <c r="J368" i="64"/>
  <c r="M368" i="64"/>
  <c r="N368" i="64" s="1"/>
  <c r="A369" i="64"/>
  <c r="B369" i="64"/>
  <c r="J369" i="64"/>
  <c r="M369" i="64"/>
  <c r="N369" i="64" s="1"/>
  <c r="A370" i="64"/>
  <c r="B370" i="64"/>
  <c r="J370" i="64"/>
  <c r="M370" i="64"/>
  <c r="N370" i="64" s="1"/>
  <c r="A371" i="64"/>
  <c r="B371" i="64"/>
  <c r="J371" i="64"/>
  <c r="M371" i="64"/>
  <c r="N371" i="64" s="1"/>
  <c r="A372" i="64"/>
  <c r="B372" i="64"/>
  <c r="J372" i="64"/>
  <c r="M372" i="64"/>
  <c r="N372" i="64" s="1"/>
  <c r="A373" i="64"/>
  <c r="B373" i="64"/>
  <c r="J373" i="64"/>
  <c r="M373" i="64"/>
  <c r="N373" i="64" s="1"/>
  <c r="A374" i="64"/>
  <c r="B374" i="64"/>
  <c r="J374" i="64"/>
  <c r="M374" i="64"/>
  <c r="N374" i="64" s="1"/>
  <c r="A375" i="64"/>
  <c r="B375" i="64"/>
  <c r="J375" i="64"/>
  <c r="M375" i="64"/>
  <c r="N375" i="64" s="1"/>
  <c r="A376" i="64"/>
  <c r="B376" i="64"/>
  <c r="J376" i="64"/>
  <c r="M376" i="64"/>
  <c r="N376" i="64" s="1"/>
  <c r="A377" i="64"/>
  <c r="B377" i="64"/>
  <c r="J377" i="64"/>
  <c r="M377" i="64"/>
  <c r="N377" i="64" s="1"/>
  <c r="A378" i="64"/>
  <c r="B378" i="64"/>
  <c r="J378" i="64"/>
  <c r="M378" i="64"/>
  <c r="N378" i="64" s="1"/>
  <c r="A379" i="64"/>
  <c r="B379" i="64"/>
  <c r="J379" i="64"/>
  <c r="M379" i="64"/>
  <c r="N379" i="64" s="1"/>
  <c r="A380" i="64"/>
  <c r="B380" i="64"/>
  <c r="J380" i="64"/>
  <c r="M380" i="64"/>
  <c r="N380" i="64" s="1"/>
  <c r="H349" i="64"/>
  <c r="H350" i="64"/>
  <c r="H351" i="64"/>
  <c r="H352" i="64"/>
  <c r="H353" i="64"/>
  <c r="H354" i="64"/>
  <c r="H355" i="64"/>
  <c r="H356" i="64"/>
  <c r="H357" i="64"/>
  <c r="H358" i="64"/>
  <c r="G349" i="64"/>
  <c r="G350" i="64"/>
  <c r="G351" i="64"/>
  <c r="G352" i="64"/>
  <c r="G353" i="64"/>
  <c r="G354" i="64"/>
  <c r="G355" i="64"/>
  <c r="G356" i="64"/>
  <c r="G357" i="64"/>
  <c r="G358" i="64"/>
  <c r="F349" i="64"/>
  <c r="F350" i="64"/>
  <c r="F351" i="64"/>
  <c r="F352" i="64"/>
  <c r="F353" i="64"/>
  <c r="F354" i="64"/>
  <c r="F355" i="64"/>
  <c r="F356" i="64"/>
  <c r="F357" i="64"/>
  <c r="F358" i="64"/>
  <c r="A349" i="64"/>
  <c r="B349" i="64"/>
  <c r="J349" i="64"/>
  <c r="M349" i="64"/>
  <c r="N349" i="64" s="1"/>
  <c r="A350" i="64"/>
  <c r="B350" i="64"/>
  <c r="J350" i="64"/>
  <c r="M350" i="64"/>
  <c r="N350" i="64" s="1"/>
  <c r="A351" i="64"/>
  <c r="B351" i="64"/>
  <c r="J351" i="64"/>
  <c r="M351" i="64"/>
  <c r="N351" i="64" s="1"/>
  <c r="A352" i="64"/>
  <c r="B352" i="64"/>
  <c r="J352" i="64"/>
  <c r="M352" i="64"/>
  <c r="N352" i="64" s="1"/>
  <c r="A353" i="64"/>
  <c r="B353" i="64"/>
  <c r="J353" i="64"/>
  <c r="M353" i="64"/>
  <c r="N353" i="64" s="1"/>
  <c r="A354" i="64"/>
  <c r="B354" i="64"/>
  <c r="J354" i="64"/>
  <c r="M354" i="64"/>
  <c r="N354" i="64" s="1"/>
  <c r="A355" i="64"/>
  <c r="B355" i="64"/>
  <c r="J355" i="64"/>
  <c r="M355" i="64"/>
  <c r="N355" i="64" s="1"/>
  <c r="A356" i="64"/>
  <c r="B356" i="64"/>
  <c r="J356" i="64"/>
  <c r="M356" i="64"/>
  <c r="N356" i="64" s="1"/>
  <c r="A357" i="64"/>
  <c r="B357" i="64"/>
  <c r="J357" i="64"/>
  <c r="M357" i="64"/>
  <c r="N357" i="64" s="1"/>
  <c r="A358" i="64"/>
  <c r="B358" i="64"/>
  <c r="J358" i="64"/>
  <c r="M358" i="64"/>
  <c r="N358" i="64" s="1"/>
  <c r="H335" i="64"/>
  <c r="H336" i="64"/>
  <c r="H337" i="64"/>
  <c r="H338" i="64"/>
  <c r="H339" i="64"/>
  <c r="H340" i="64"/>
  <c r="H341" i="64"/>
  <c r="H342" i="64"/>
  <c r="H343" i="64"/>
  <c r="H344" i="64"/>
  <c r="H345" i="64"/>
  <c r="H346" i="64"/>
  <c r="H347" i="64"/>
  <c r="H348" i="64"/>
  <c r="H359" i="64"/>
  <c r="H381" i="64"/>
  <c r="G335" i="64"/>
  <c r="G336" i="64"/>
  <c r="G337" i="64"/>
  <c r="G338" i="64"/>
  <c r="G339" i="64"/>
  <c r="G340" i="64"/>
  <c r="G341" i="64"/>
  <c r="G342" i="64"/>
  <c r="G343" i="64"/>
  <c r="G344" i="64"/>
  <c r="G345" i="64"/>
  <c r="G346" i="64"/>
  <c r="G347" i="64"/>
  <c r="G348" i="64"/>
  <c r="G359" i="64"/>
  <c r="G381" i="64"/>
  <c r="F335" i="64"/>
  <c r="F336" i="64"/>
  <c r="F337" i="64"/>
  <c r="F338" i="64"/>
  <c r="F339" i="64"/>
  <c r="F340" i="64"/>
  <c r="F341" i="64"/>
  <c r="F342" i="64"/>
  <c r="F343" i="64"/>
  <c r="F344" i="64"/>
  <c r="F345" i="64"/>
  <c r="F346" i="64"/>
  <c r="F347" i="64"/>
  <c r="F348" i="64"/>
  <c r="F359" i="64"/>
  <c r="F381" i="64"/>
  <c r="A335" i="64"/>
  <c r="B335" i="64"/>
  <c r="J335" i="64"/>
  <c r="M335" i="64"/>
  <c r="N335" i="64" s="1"/>
  <c r="A336" i="64"/>
  <c r="B336" i="64"/>
  <c r="J336" i="64"/>
  <c r="M336" i="64"/>
  <c r="N336" i="64" s="1"/>
  <c r="A337" i="64"/>
  <c r="B337" i="64"/>
  <c r="J337" i="64"/>
  <c r="M337" i="64"/>
  <c r="N337" i="64" s="1"/>
  <c r="A338" i="64"/>
  <c r="B338" i="64"/>
  <c r="J338" i="64"/>
  <c r="M338" i="64"/>
  <c r="N338" i="64" s="1"/>
  <c r="A339" i="64"/>
  <c r="B339" i="64"/>
  <c r="J339" i="64"/>
  <c r="M339" i="64"/>
  <c r="N339" i="64" s="1"/>
  <c r="A340" i="64"/>
  <c r="B340" i="64"/>
  <c r="J340" i="64"/>
  <c r="M340" i="64"/>
  <c r="N340" i="64" s="1"/>
  <c r="A341" i="64"/>
  <c r="B341" i="64"/>
  <c r="J341" i="64"/>
  <c r="M341" i="64"/>
  <c r="N341" i="64" s="1"/>
  <c r="A342" i="64"/>
  <c r="B342" i="64"/>
  <c r="J342" i="64"/>
  <c r="M342" i="64"/>
  <c r="N342" i="64" s="1"/>
  <c r="A343" i="64"/>
  <c r="B343" i="64"/>
  <c r="J343" i="64"/>
  <c r="M343" i="64"/>
  <c r="N343" i="64" s="1"/>
  <c r="A344" i="64"/>
  <c r="B344" i="64"/>
  <c r="J344" i="64"/>
  <c r="M344" i="64"/>
  <c r="N344" i="64" s="1"/>
  <c r="A345" i="64"/>
  <c r="B345" i="64"/>
  <c r="J345" i="64"/>
  <c r="M345" i="64"/>
  <c r="N345" i="64" s="1"/>
  <c r="A346" i="64"/>
  <c r="B346" i="64"/>
  <c r="J346" i="64"/>
  <c r="M346" i="64"/>
  <c r="N346" i="64" s="1"/>
  <c r="A347" i="64"/>
  <c r="B347" i="64"/>
  <c r="J347" i="64"/>
  <c r="M347" i="64"/>
  <c r="N347" i="64" s="1"/>
  <c r="A348" i="64"/>
  <c r="B348" i="64"/>
  <c r="J348" i="64"/>
  <c r="M348" i="64"/>
  <c r="N348" i="64" s="1"/>
  <c r="A359" i="64"/>
  <c r="B359" i="64"/>
  <c r="J359" i="64"/>
  <c r="M359" i="64"/>
  <c r="N359" i="64" s="1"/>
  <c r="A381" i="64"/>
  <c r="B381" i="64"/>
  <c r="J381" i="64"/>
  <c r="M381" i="64"/>
  <c r="N381" i="64" s="1"/>
  <c r="N183" i="68" l="1"/>
  <c r="H319" i="64"/>
  <c r="H320" i="64"/>
  <c r="H321" i="64"/>
  <c r="H322" i="64"/>
  <c r="H323" i="64"/>
  <c r="H324" i="64"/>
  <c r="H325" i="64"/>
  <c r="H326" i="64"/>
  <c r="H327" i="64"/>
  <c r="H328" i="64"/>
  <c r="H329" i="64"/>
  <c r="H330" i="64"/>
  <c r="H331" i="64"/>
  <c r="H332" i="64"/>
  <c r="H333" i="64"/>
  <c r="G319" i="64"/>
  <c r="G320" i="64"/>
  <c r="G321" i="64"/>
  <c r="G322" i="64"/>
  <c r="G323" i="64"/>
  <c r="G324" i="64"/>
  <c r="G325" i="64"/>
  <c r="G326" i="64"/>
  <c r="G327" i="64"/>
  <c r="G328" i="64"/>
  <c r="G329" i="64"/>
  <c r="G330" i="64"/>
  <c r="G331" i="64"/>
  <c r="G332" i="64"/>
  <c r="G333" i="64"/>
  <c r="F319" i="64"/>
  <c r="F320" i="64"/>
  <c r="F321" i="64"/>
  <c r="F322" i="64"/>
  <c r="F323" i="64"/>
  <c r="F324" i="64"/>
  <c r="F325" i="64"/>
  <c r="F326" i="64"/>
  <c r="F327" i="64"/>
  <c r="F328" i="64"/>
  <c r="F329" i="64"/>
  <c r="F330" i="64"/>
  <c r="F331" i="64"/>
  <c r="F332" i="64"/>
  <c r="F333" i="64"/>
  <c r="A319" i="64"/>
  <c r="B319" i="64"/>
  <c r="J319" i="64"/>
  <c r="M319" i="64"/>
  <c r="N319" i="64" s="1"/>
  <c r="A320" i="64"/>
  <c r="B320" i="64"/>
  <c r="J320" i="64"/>
  <c r="M320" i="64"/>
  <c r="N320" i="64" s="1"/>
  <c r="A321" i="64"/>
  <c r="B321" i="64"/>
  <c r="J321" i="64"/>
  <c r="M321" i="64"/>
  <c r="N321" i="64" s="1"/>
  <c r="A322" i="64"/>
  <c r="B322" i="64"/>
  <c r="J322" i="64"/>
  <c r="M322" i="64"/>
  <c r="N322" i="64" s="1"/>
  <c r="A323" i="64"/>
  <c r="B323" i="64"/>
  <c r="J323" i="64"/>
  <c r="M323" i="64"/>
  <c r="N323" i="64" s="1"/>
  <c r="A324" i="64"/>
  <c r="B324" i="64"/>
  <c r="J324" i="64"/>
  <c r="M324" i="64"/>
  <c r="N324" i="64" s="1"/>
  <c r="A325" i="64"/>
  <c r="B325" i="64"/>
  <c r="J325" i="64"/>
  <c r="M325" i="64"/>
  <c r="N325" i="64" s="1"/>
  <c r="A326" i="64"/>
  <c r="B326" i="64"/>
  <c r="J326" i="64"/>
  <c r="M326" i="64"/>
  <c r="N326" i="64" s="1"/>
  <c r="A327" i="64"/>
  <c r="B327" i="64"/>
  <c r="J327" i="64"/>
  <c r="M327" i="64"/>
  <c r="N327" i="64" s="1"/>
  <c r="A328" i="64"/>
  <c r="B328" i="64"/>
  <c r="J328" i="64"/>
  <c r="M328" i="64"/>
  <c r="N328" i="64" s="1"/>
  <c r="A329" i="64"/>
  <c r="B329" i="64"/>
  <c r="J329" i="64"/>
  <c r="M329" i="64"/>
  <c r="N329" i="64" s="1"/>
  <c r="A330" i="64"/>
  <c r="B330" i="64"/>
  <c r="J330" i="64"/>
  <c r="M330" i="64"/>
  <c r="N330" i="64" s="1"/>
  <c r="A331" i="64"/>
  <c r="B331" i="64"/>
  <c r="J331" i="64"/>
  <c r="M331" i="64"/>
  <c r="N331" i="64" s="1"/>
  <c r="A332" i="64"/>
  <c r="B332" i="64"/>
  <c r="J332" i="64"/>
  <c r="M332" i="64"/>
  <c r="N332" i="64" s="1"/>
  <c r="A333" i="64"/>
  <c r="B333" i="64"/>
  <c r="J333" i="64"/>
  <c r="M333" i="64"/>
  <c r="N333" i="64" s="1"/>
  <c r="N184" i="68" l="1"/>
  <c r="N185" i="68" s="1"/>
  <c r="H310" i="64"/>
  <c r="H311" i="64"/>
  <c r="H312" i="64"/>
  <c r="H313" i="64"/>
  <c r="H314" i="64"/>
  <c r="H315" i="64"/>
  <c r="H316" i="64"/>
  <c r="H317" i="64"/>
  <c r="H318" i="64"/>
  <c r="H334" i="64"/>
  <c r="G310" i="64"/>
  <c r="G311" i="64"/>
  <c r="G312" i="64"/>
  <c r="G313" i="64"/>
  <c r="G314" i="64"/>
  <c r="G315" i="64"/>
  <c r="G316" i="64"/>
  <c r="G317" i="64"/>
  <c r="G318" i="64"/>
  <c r="G334" i="64"/>
  <c r="F310" i="64"/>
  <c r="F311" i="64"/>
  <c r="F312" i="64"/>
  <c r="F313" i="64"/>
  <c r="F314" i="64"/>
  <c r="F315" i="64"/>
  <c r="F316" i="64"/>
  <c r="F317" i="64"/>
  <c r="F318" i="64"/>
  <c r="F334" i="64"/>
  <c r="A310" i="64"/>
  <c r="B310" i="64"/>
  <c r="J310" i="64"/>
  <c r="M310" i="64"/>
  <c r="N310" i="64" s="1"/>
  <c r="A311" i="64"/>
  <c r="B311" i="64"/>
  <c r="J311" i="64"/>
  <c r="M311" i="64"/>
  <c r="N311" i="64" s="1"/>
  <c r="A312" i="64"/>
  <c r="B312" i="64"/>
  <c r="J312" i="64"/>
  <c r="M312" i="64"/>
  <c r="N312" i="64" s="1"/>
  <c r="A313" i="64"/>
  <c r="B313" i="64"/>
  <c r="J313" i="64"/>
  <c r="M313" i="64"/>
  <c r="N313" i="64" s="1"/>
  <c r="A314" i="64"/>
  <c r="B314" i="64"/>
  <c r="J314" i="64"/>
  <c r="M314" i="64"/>
  <c r="N314" i="64" s="1"/>
  <c r="A315" i="64"/>
  <c r="B315" i="64"/>
  <c r="J315" i="64"/>
  <c r="M315" i="64"/>
  <c r="N315" i="64" s="1"/>
  <c r="A316" i="64"/>
  <c r="B316" i="64"/>
  <c r="J316" i="64"/>
  <c r="M316" i="64"/>
  <c r="N316" i="64" s="1"/>
  <c r="A317" i="64"/>
  <c r="B317" i="64"/>
  <c r="J317" i="64"/>
  <c r="M317" i="64"/>
  <c r="N317" i="64" s="1"/>
  <c r="A318" i="64"/>
  <c r="B318" i="64"/>
  <c r="J318" i="64"/>
  <c r="M318" i="64"/>
  <c r="N318" i="64" s="1"/>
  <c r="A334" i="64"/>
  <c r="B334" i="64"/>
  <c r="J334" i="64"/>
  <c r="M334" i="64"/>
  <c r="N334" i="64" s="1"/>
  <c r="H301" i="64" l="1"/>
  <c r="H302" i="64"/>
  <c r="H303" i="64"/>
  <c r="H304" i="64"/>
  <c r="H305" i="64"/>
  <c r="H306" i="64"/>
  <c r="H307" i="64"/>
  <c r="H308" i="64"/>
  <c r="H309" i="64"/>
  <c r="G301" i="64"/>
  <c r="G302" i="64"/>
  <c r="G303" i="64"/>
  <c r="G304" i="64"/>
  <c r="G305" i="64"/>
  <c r="G306" i="64"/>
  <c r="G307" i="64"/>
  <c r="G308" i="64"/>
  <c r="G309" i="64"/>
  <c r="F301" i="64"/>
  <c r="F302" i="64"/>
  <c r="F303" i="64"/>
  <c r="F304" i="64"/>
  <c r="F305" i="64"/>
  <c r="F306" i="64"/>
  <c r="F307" i="64"/>
  <c r="F308" i="64"/>
  <c r="F309" i="64"/>
  <c r="A301" i="64"/>
  <c r="B301" i="64"/>
  <c r="J301" i="64"/>
  <c r="M301" i="64"/>
  <c r="N301" i="64" s="1"/>
  <c r="A302" i="64"/>
  <c r="B302" i="64"/>
  <c r="J302" i="64"/>
  <c r="M302" i="64"/>
  <c r="N302" i="64" s="1"/>
  <c r="A303" i="64"/>
  <c r="B303" i="64"/>
  <c r="J303" i="64"/>
  <c r="M303" i="64"/>
  <c r="N303" i="64" s="1"/>
  <c r="A304" i="64"/>
  <c r="B304" i="64"/>
  <c r="J304" i="64"/>
  <c r="M304" i="64"/>
  <c r="N304" i="64" s="1"/>
  <c r="A305" i="64"/>
  <c r="B305" i="64"/>
  <c r="J305" i="64"/>
  <c r="M305" i="64"/>
  <c r="N305" i="64" s="1"/>
  <c r="A306" i="64"/>
  <c r="B306" i="64"/>
  <c r="J306" i="64"/>
  <c r="M306" i="64"/>
  <c r="N306" i="64" s="1"/>
  <c r="A307" i="64"/>
  <c r="B307" i="64"/>
  <c r="J307" i="64"/>
  <c r="M307" i="64"/>
  <c r="N307" i="64" s="1"/>
  <c r="A308" i="64"/>
  <c r="B308" i="64"/>
  <c r="J308" i="64"/>
  <c r="M308" i="64"/>
  <c r="N308" i="64" s="1"/>
  <c r="A309" i="64"/>
  <c r="B309" i="64"/>
  <c r="J309" i="64"/>
  <c r="M309" i="64"/>
  <c r="N309" i="64" s="1"/>
  <c r="H291" i="64"/>
  <c r="H292" i="64"/>
  <c r="H293" i="64"/>
  <c r="H294" i="64"/>
  <c r="H295" i="64"/>
  <c r="H296" i="64"/>
  <c r="H297" i="64"/>
  <c r="H298" i="64"/>
  <c r="H299" i="64"/>
  <c r="H300" i="64"/>
  <c r="G291" i="64"/>
  <c r="G292" i="64"/>
  <c r="G293" i="64"/>
  <c r="G294" i="64"/>
  <c r="G295" i="64"/>
  <c r="G296" i="64"/>
  <c r="G297" i="64"/>
  <c r="G298" i="64"/>
  <c r="G299" i="64"/>
  <c r="G300" i="64"/>
  <c r="F291" i="64"/>
  <c r="F292" i="64"/>
  <c r="F293" i="64"/>
  <c r="F294" i="64"/>
  <c r="F295" i="64"/>
  <c r="F296" i="64"/>
  <c r="F297" i="64"/>
  <c r="F298" i="64"/>
  <c r="F299" i="64"/>
  <c r="F300" i="64"/>
  <c r="A291" i="64"/>
  <c r="B291" i="64"/>
  <c r="J291" i="64"/>
  <c r="M291" i="64"/>
  <c r="N291" i="64" s="1"/>
  <c r="A292" i="64"/>
  <c r="B292" i="64"/>
  <c r="J292" i="64"/>
  <c r="M292" i="64"/>
  <c r="N292" i="64" s="1"/>
  <c r="A293" i="64"/>
  <c r="B293" i="64"/>
  <c r="J293" i="64"/>
  <c r="M293" i="64"/>
  <c r="N293" i="64" s="1"/>
  <c r="A294" i="64"/>
  <c r="B294" i="64"/>
  <c r="J294" i="64"/>
  <c r="M294" i="64"/>
  <c r="N294" i="64" s="1"/>
  <c r="A295" i="64"/>
  <c r="B295" i="64"/>
  <c r="J295" i="64"/>
  <c r="M295" i="64"/>
  <c r="N295" i="64" s="1"/>
  <c r="A296" i="64"/>
  <c r="B296" i="64"/>
  <c r="J296" i="64"/>
  <c r="M296" i="64"/>
  <c r="N296" i="64" s="1"/>
  <c r="A297" i="64"/>
  <c r="B297" i="64"/>
  <c r="J297" i="64"/>
  <c r="M297" i="64"/>
  <c r="N297" i="64" s="1"/>
  <c r="A298" i="64"/>
  <c r="B298" i="64"/>
  <c r="J298" i="64"/>
  <c r="M298" i="64"/>
  <c r="N298" i="64" s="1"/>
  <c r="A299" i="64"/>
  <c r="B299" i="64"/>
  <c r="J299" i="64"/>
  <c r="M299" i="64"/>
  <c r="N299" i="64" s="1"/>
  <c r="A300" i="64"/>
  <c r="B300" i="64"/>
  <c r="J300" i="64"/>
  <c r="M300" i="64"/>
  <c r="N300" i="64" s="1"/>
  <c r="D107" i="68" l="1"/>
  <c r="E107" i="68"/>
  <c r="F107" i="68"/>
  <c r="G107" i="68"/>
  <c r="H107" i="68"/>
  <c r="L107" i="68"/>
  <c r="M107" i="68"/>
  <c r="C107" i="68"/>
  <c r="N95" i="68"/>
  <c r="N96" i="68"/>
  <c r="N97" i="68"/>
  <c r="N98" i="68"/>
  <c r="N99" i="68"/>
  <c r="N100" i="68"/>
  <c r="N101" i="68"/>
  <c r="N102" i="68"/>
  <c r="N103" i="68"/>
  <c r="N104" i="68"/>
  <c r="N105" i="68"/>
  <c r="N106" i="68"/>
  <c r="N69" i="68"/>
  <c r="H275" i="64"/>
  <c r="H276" i="64"/>
  <c r="H277" i="64"/>
  <c r="H278" i="64"/>
  <c r="H279" i="64"/>
  <c r="H280" i="64"/>
  <c r="H281" i="64"/>
  <c r="H282" i="64"/>
  <c r="H283" i="64"/>
  <c r="H284" i="64"/>
  <c r="H285" i="64"/>
  <c r="H286" i="64"/>
  <c r="H287" i="64"/>
  <c r="H288" i="64"/>
  <c r="H289" i="64"/>
  <c r="G275" i="64"/>
  <c r="G276" i="64"/>
  <c r="G277" i="64"/>
  <c r="G278" i="64"/>
  <c r="G279" i="64"/>
  <c r="G280" i="64"/>
  <c r="G281" i="64"/>
  <c r="G282" i="64"/>
  <c r="G283" i="64"/>
  <c r="G284" i="64"/>
  <c r="G285" i="64"/>
  <c r="G286" i="64"/>
  <c r="G287" i="64"/>
  <c r="G288" i="64"/>
  <c r="G289" i="64"/>
  <c r="F275" i="64"/>
  <c r="F276" i="64"/>
  <c r="F277" i="64"/>
  <c r="F278" i="64"/>
  <c r="F279" i="64"/>
  <c r="F280" i="64"/>
  <c r="F281" i="64"/>
  <c r="F282" i="64"/>
  <c r="F283" i="64"/>
  <c r="F284" i="64"/>
  <c r="F285" i="64"/>
  <c r="F286" i="64"/>
  <c r="F287" i="64"/>
  <c r="F288" i="64"/>
  <c r="F289" i="64"/>
  <c r="A275" i="64"/>
  <c r="B275" i="64"/>
  <c r="J275" i="64"/>
  <c r="M275" i="64"/>
  <c r="N275" i="64" s="1"/>
  <c r="A276" i="64"/>
  <c r="B276" i="64"/>
  <c r="J276" i="64"/>
  <c r="M276" i="64"/>
  <c r="N276" i="64" s="1"/>
  <c r="A277" i="64"/>
  <c r="B277" i="64"/>
  <c r="J277" i="64"/>
  <c r="M277" i="64"/>
  <c r="N277" i="64" s="1"/>
  <c r="A278" i="64"/>
  <c r="B278" i="64"/>
  <c r="J278" i="64"/>
  <c r="M278" i="64"/>
  <c r="N278" i="64" s="1"/>
  <c r="A279" i="64"/>
  <c r="B279" i="64"/>
  <c r="J279" i="64"/>
  <c r="M279" i="64"/>
  <c r="N279" i="64" s="1"/>
  <c r="A280" i="64"/>
  <c r="B280" i="64"/>
  <c r="J280" i="64"/>
  <c r="M280" i="64"/>
  <c r="N280" i="64" s="1"/>
  <c r="A281" i="64"/>
  <c r="B281" i="64"/>
  <c r="J281" i="64"/>
  <c r="M281" i="64"/>
  <c r="N281" i="64" s="1"/>
  <c r="A282" i="64"/>
  <c r="B282" i="64"/>
  <c r="J282" i="64"/>
  <c r="M282" i="64"/>
  <c r="N282" i="64" s="1"/>
  <c r="A283" i="64"/>
  <c r="B283" i="64"/>
  <c r="J283" i="64"/>
  <c r="M283" i="64"/>
  <c r="N283" i="64" s="1"/>
  <c r="A284" i="64"/>
  <c r="B284" i="64"/>
  <c r="J284" i="64"/>
  <c r="M284" i="64"/>
  <c r="N284" i="64" s="1"/>
  <c r="A285" i="64"/>
  <c r="B285" i="64"/>
  <c r="J285" i="64"/>
  <c r="M285" i="64"/>
  <c r="N285" i="64" s="1"/>
  <c r="A286" i="64"/>
  <c r="B286" i="64"/>
  <c r="J286" i="64"/>
  <c r="M286" i="64"/>
  <c r="N286" i="64" s="1"/>
  <c r="A287" i="64"/>
  <c r="B287" i="64"/>
  <c r="J287" i="64"/>
  <c r="M287" i="64"/>
  <c r="N287" i="64" s="1"/>
  <c r="A288" i="64"/>
  <c r="B288" i="64"/>
  <c r="J288" i="64"/>
  <c r="M288" i="64"/>
  <c r="N288" i="64" s="1"/>
  <c r="A289" i="64"/>
  <c r="B289" i="64"/>
  <c r="J289" i="64"/>
  <c r="M289" i="64"/>
  <c r="N289" i="64" s="1"/>
  <c r="N107" i="68" l="1"/>
  <c r="H266" i="64"/>
  <c r="H267" i="64"/>
  <c r="H268" i="64"/>
  <c r="H269" i="64"/>
  <c r="H270" i="64"/>
  <c r="H271" i="64"/>
  <c r="H272" i="64"/>
  <c r="H273" i="64"/>
  <c r="H274" i="64"/>
  <c r="H290" i="64"/>
  <c r="G266" i="64"/>
  <c r="G267" i="64"/>
  <c r="G268" i="64"/>
  <c r="G269" i="64"/>
  <c r="G270" i="64"/>
  <c r="G271" i="64"/>
  <c r="G272" i="64"/>
  <c r="G273" i="64"/>
  <c r="G274" i="64"/>
  <c r="G290" i="64"/>
  <c r="F266" i="64"/>
  <c r="F267" i="64"/>
  <c r="F268" i="64"/>
  <c r="F269" i="64"/>
  <c r="F270" i="64"/>
  <c r="F271" i="64"/>
  <c r="F272" i="64"/>
  <c r="F273" i="64"/>
  <c r="F274" i="64"/>
  <c r="F290" i="64"/>
  <c r="A266" i="64"/>
  <c r="B266" i="64"/>
  <c r="J266" i="64"/>
  <c r="M266" i="64"/>
  <c r="N266" i="64" s="1"/>
  <c r="A267" i="64"/>
  <c r="B267" i="64"/>
  <c r="J267" i="64"/>
  <c r="M267" i="64"/>
  <c r="N267" i="64" s="1"/>
  <c r="A268" i="64"/>
  <c r="B268" i="64"/>
  <c r="J268" i="64"/>
  <c r="M268" i="64"/>
  <c r="N268" i="64" s="1"/>
  <c r="A269" i="64"/>
  <c r="B269" i="64"/>
  <c r="J269" i="64"/>
  <c r="M269" i="64"/>
  <c r="N269" i="64" s="1"/>
  <c r="A270" i="64"/>
  <c r="B270" i="64"/>
  <c r="J270" i="64"/>
  <c r="M270" i="64"/>
  <c r="N270" i="64" s="1"/>
  <c r="A271" i="64"/>
  <c r="B271" i="64"/>
  <c r="J271" i="64"/>
  <c r="M271" i="64"/>
  <c r="N271" i="64" s="1"/>
  <c r="A272" i="64"/>
  <c r="B272" i="64"/>
  <c r="J272" i="64"/>
  <c r="M272" i="64"/>
  <c r="N272" i="64" s="1"/>
  <c r="A273" i="64"/>
  <c r="B273" i="64"/>
  <c r="J273" i="64"/>
  <c r="M273" i="64"/>
  <c r="N273" i="64" s="1"/>
  <c r="A274" i="64"/>
  <c r="B274" i="64"/>
  <c r="J274" i="64"/>
  <c r="M274" i="64"/>
  <c r="N274" i="64" s="1"/>
  <c r="A290" i="64"/>
  <c r="B290" i="64"/>
  <c r="J290" i="64"/>
  <c r="M290" i="64"/>
  <c r="N290" i="64" s="1"/>
  <c r="H253" i="64" l="1"/>
  <c r="H254" i="64"/>
  <c r="H255" i="64"/>
  <c r="H256" i="64"/>
  <c r="H257" i="64"/>
  <c r="H258" i="64"/>
  <c r="H259" i="64"/>
  <c r="H260" i="64"/>
  <c r="H261" i="64"/>
  <c r="H262" i="64"/>
  <c r="H263" i="64"/>
  <c r="H264" i="64"/>
  <c r="H265" i="64"/>
  <c r="H477" i="64"/>
  <c r="G253" i="64"/>
  <c r="G254" i="64"/>
  <c r="G255" i="64"/>
  <c r="G256" i="64"/>
  <c r="G257" i="64"/>
  <c r="G258" i="64"/>
  <c r="G259" i="64"/>
  <c r="G260" i="64"/>
  <c r="G261" i="64"/>
  <c r="G262" i="64"/>
  <c r="G263" i="64"/>
  <c r="G264" i="64"/>
  <c r="G265" i="64"/>
  <c r="F253" i="64"/>
  <c r="F254" i="64"/>
  <c r="F255" i="64"/>
  <c r="F256" i="64"/>
  <c r="F257" i="64"/>
  <c r="F258" i="64"/>
  <c r="F259" i="64"/>
  <c r="F260" i="64"/>
  <c r="F261" i="64"/>
  <c r="F262" i="64"/>
  <c r="F263" i="64"/>
  <c r="F264" i="64"/>
  <c r="F265" i="64"/>
  <c r="A253" i="64"/>
  <c r="B253" i="64"/>
  <c r="J253" i="64"/>
  <c r="M253" i="64"/>
  <c r="N253" i="64" s="1"/>
  <c r="A254" i="64"/>
  <c r="B254" i="64"/>
  <c r="J254" i="64"/>
  <c r="M254" i="64"/>
  <c r="N254" i="64" s="1"/>
  <c r="A255" i="64"/>
  <c r="B255" i="64"/>
  <c r="J255" i="64"/>
  <c r="M255" i="64"/>
  <c r="N255" i="64" s="1"/>
  <c r="A256" i="64"/>
  <c r="B256" i="64"/>
  <c r="J256" i="64"/>
  <c r="M256" i="64"/>
  <c r="N256" i="64" s="1"/>
  <c r="A257" i="64"/>
  <c r="B257" i="64"/>
  <c r="J257" i="64"/>
  <c r="M257" i="64"/>
  <c r="N257" i="64" s="1"/>
  <c r="A258" i="64"/>
  <c r="B258" i="64"/>
  <c r="J258" i="64"/>
  <c r="M258" i="64"/>
  <c r="N258" i="64" s="1"/>
  <c r="A259" i="64"/>
  <c r="B259" i="64"/>
  <c r="J259" i="64"/>
  <c r="M259" i="64"/>
  <c r="N259" i="64" s="1"/>
  <c r="A260" i="64"/>
  <c r="B260" i="64"/>
  <c r="J260" i="64"/>
  <c r="M260" i="64"/>
  <c r="N260" i="64" s="1"/>
  <c r="A261" i="64"/>
  <c r="B261" i="64"/>
  <c r="J261" i="64"/>
  <c r="M261" i="64"/>
  <c r="N261" i="64" s="1"/>
  <c r="A262" i="64"/>
  <c r="B262" i="64"/>
  <c r="J262" i="64"/>
  <c r="M262" i="64"/>
  <c r="N262" i="64" s="1"/>
  <c r="A263" i="64"/>
  <c r="B263" i="64"/>
  <c r="J263" i="64"/>
  <c r="M263" i="64"/>
  <c r="N263" i="64" s="1"/>
  <c r="A264" i="64"/>
  <c r="B264" i="64"/>
  <c r="J264" i="64"/>
  <c r="M264" i="64"/>
  <c r="N264" i="64" s="1"/>
  <c r="A265" i="64"/>
  <c r="B265" i="64"/>
  <c r="J265" i="64"/>
  <c r="M265" i="64"/>
  <c r="N265" i="64" s="1"/>
  <c r="H243" i="64" l="1"/>
  <c r="H244" i="64"/>
  <c r="H245" i="64"/>
  <c r="H246" i="64"/>
  <c r="H247" i="64"/>
  <c r="H248" i="64"/>
  <c r="H249" i="64"/>
  <c r="H250" i="64"/>
  <c r="H251" i="64"/>
  <c r="H252" i="64"/>
  <c r="G243" i="64"/>
  <c r="G244" i="64"/>
  <c r="G245" i="64"/>
  <c r="G246" i="64"/>
  <c r="G247" i="64"/>
  <c r="G248" i="64"/>
  <c r="G249" i="64"/>
  <c r="G250" i="64"/>
  <c r="G251" i="64"/>
  <c r="G252" i="64"/>
  <c r="F243" i="64"/>
  <c r="F244" i="64"/>
  <c r="F245" i="64"/>
  <c r="F246" i="64"/>
  <c r="F247" i="64"/>
  <c r="F248" i="64"/>
  <c r="F249" i="64"/>
  <c r="F250" i="64"/>
  <c r="F251" i="64"/>
  <c r="F252" i="64"/>
  <c r="A243" i="64"/>
  <c r="B243" i="64"/>
  <c r="J243" i="64"/>
  <c r="M243" i="64"/>
  <c r="N243" i="64" s="1"/>
  <c r="A244" i="64"/>
  <c r="B244" i="64"/>
  <c r="J244" i="64"/>
  <c r="M244" i="64"/>
  <c r="N244" i="64" s="1"/>
  <c r="A245" i="64"/>
  <c r="B245" i="64"/>
  <c r="J245" i="64"/>
  <c r="M245" i="64"/>
  <c r="N245" i="64" s="1"/>
  <c r="A246" i="64"/>
  <c r="B246" i="64"/>
  <c r="J246" i="64"/>
  <c r="M246" i="64"/>
  <c r="N246" i="64" s="1"/>
  <c r="A247" i="64"/>
  <c r="B247" i="64"/>
  <c r="J247" i="64"/>
  <c r="M247" i="64"/>
  <c r="N247" i="64" s="1"/>
  <c r="A248" i="64"/>
  <c r="B248" i="64"/>
  <c r="J248" i="64"/>
  <c r="M248" i="64"/>
  <c r="N248" i="64" s="1"/>
  <c r="A249" i="64"/>
  <c r="B249" i="64"/>
  <c r="J249" i="64"/>
  <c r="M249" i="64"/>
  <c r="N249" i="64" s="1"/>
  <c r="A250" i="64"/>
  <c r="B250" i="64"/>
  <c r="J250" i="64"/>
  <c r="M250" i="64"/>
  <c r="N250" i="64" s="1"/>
  <c r="A251" i="64"/>
  <c r="B251" i="64"/>
  <c r="J251" i="64"/>
  <c r="M251" i="64"/>
  <c r="N251" i="64" s="1"/>
  <c r="A252" i="64"/>
  <c r="B252" i="64"/>
  <c r="J252" i="64"/>
  <c r="M252" i="64"/>
  <c r="N252" i="64" s="1"/>
  <c r="H228" i="64" l="1"/>
  <c r="H229" i="64"/>
  <c r="H230" i="64"/>
  <c r="H231" i="64"/>
  <c r="H232" i="64"/>
  <c r="H233" i="64"/>
  <c r="H234" i="64"/>
  <c r="H235" i="64"/>
  <c r="H236" i="64"/>
  <c r="H237" i="64"/>
  <c r="H238" i="64"/>
  <c r="H239" i="64"/>
  <c r="H240" i="64"/>
  <c r="H241" i="64"/>
  <c r="H242" i="64"/>
  <c r="G228" i="64"/>
  <c r="G229" i="64"/>
  <c r="G230" i="64"/>
  <c r="G231" i="64"/>
  <c r="G232" i="64"/>
  <c r="G233" i="64"/>
  <c r="G234" i="64"/>
  <c r="G235" i="64"/>
  <c r="G236" i="64"/>
  <c r="G237" i="64"/>
  <c r="G238" i="64"/>
  <c r="G239" i="64"/>
  <c r="G240" i="64"/>
  <c r="G241" i="64"/>
  <c r="G242" i="64"/>
  <c r="F228" i="64"/>
  <c r="F229" i="64"/>
  <c r="F230" i="64"/>
  <c r="F231" i="64"/>
  <c r="F232" i="64"/>
  <c r="F233" i="64"/>
  <c r="F234" i="64"/>
  <c r="F235" i="64"/>
  <c r="F236" i="64"/>
  <c r="F237" i="64"/>
  <c r="F238" i="64"/>
  <c r="F239" i="64"/>
  <c r="F240" i="64"/>
  <c r="F241" i="64"/>
  <c r="F242" i="64"/>
  <c r="A228" i="64"/>
  <c r="B228" i="64"/>
  <c r="J228" i="64"/>
  <c r="M228" i="64"/>
  <c r="N228" i="64" s="1"/>
  <c r="A229" i="64"/>
  <c r="B229" i="64"/>
  <c r="J229" i="64"/>
  <c r="M229" i="64"/>
  <c r="N229" i="64" s="1"/>
  <c r="A230" i="64"/>
  <c r="B230" i="64"/>
  <c r="J230" i="64"/>
  <c r="M230" i="64"/>
  <c r="N230" i="64" s="1"/>
  <c r="A231" i="64"/>
  <c r="B231" i="64"/>
  <c r="J231" i="64"/>
  <c r="M231" i="64"/>
  <c r="N231" i="64" s="1"/>
  <c r="A232" i="64"/>
  <c r="B232" i="64"/>
  <c r="J232" i="64"/>
  <c r="M232" i="64"/>
  <c r="N232" i="64" s="1"/>
  <c r="A233" i="64"/>
  <c r="B233" i="64"/>
  <c r="J233" i="64"/>
  <c r="M233" i="64"/>
  <c r="N233" i="64" s="1"/>
  <c r="A234" i="64"/>
  <c r="B234" i="64"/>
  <c r="J234" i="64"/>
  <c r="M234" i="64"/>
  <c r="N234" i="64" s="1"/>
  <c r="A235" i="64"/>
  <c r="B235" i="64"/>
  <c r="J235" i="64"/>
  <c r="M235" i="64"/>
  <c r="N235" i="64" s="1"/>
  <c r="A236" i="64"/>
  <c r="B236" i="64"/>
  <c r="J236" i="64"/>
  <c r="M236" i="64"/>
  <c r="N236" i="64" s="1"/>
  <c r="A237" i="64"/>
  <c r="B237" i="64"/>
  <c r="J237" i="64"/>
  <c r="M237" i="64"/>
  <c r="N237" i="64" s="1"/>
  <c r="A238" i="64"/>
  <c r="B238" i="64"/>
  <c r="J238" i="64"/>
  <c r="M238" i="64"/>
  <c r="N238" i="64" s="1"/>
  <c r="A239" i="64"/>
  <c r="B239" i="64"/>
  <c r="J239" i="64"/>
  <c r="M239" i="64"/>
  <c r="N239" i="64" s="1"/>
  <c r="A240" i="64"/>
  <c r="B240" i="64"/>
  <c r="J240" i="64"/>
  <c r="M240" i="64"/>
  <c r="N240" i="64" s="1"/>
  <c r="A241" i="64"/>
  <c r="B241" i="64"/>
  <c r="J241" i="64"/>
  <c r="M241" i="64"/>
  <c r="N241" i="64" s="1"/>
  <c r="A242" i="64"/>
  <c r="B242" i="64"/>
  <c r="J242" i="64"/>
  <c r="M242" i="64"/>
  <c r="N242" i="64" s="1"/>
  <c r="H218" i="64" l="1"/>
  <c r="H219" i="64"/>
  <c r="H220" i="64"/>
  <c r="H221" i="64"/>
  <c r="H222" i="64"/>
  <c r="H223" i="64"/>
  <c r="H224" i="64"/>
  <c r="H225" i="64"/>
  <c r="H226" i="64"/>
  <c r="H227" i="64"/>
  <c r="G218" i="64"/>
  <c r="G219" i="64"/>
  <c r="G220" i="64"/>
  <c r="G221" i="64"/>
  <c r="G222" i="64"/>
  <c r="G223" i="64"/>
  <c r="G224" i="64"/>
  <c r="G225" i="64"/>
  <c r="G226" i="64"/>
  <c r="G227" i="64"/>
  <c r="F218" i="64"/>
  <c r="F219" i="64"/>
  <c r="F220" i="64"/>
  <c r="F221" i="64"/>
  <c r="F222" i="64"/>
  <c r="F223" i="64"/>
  <c r="F224" i="64"/>
  <c r="F225" i="64"/>
  <c r="F226" i="64"/>
  <c r="F227" i="64"/>
  <c r="A218" i="64"/>
  <c r="B218" i="64"/>
  <c r="J218" i="64"/>
  <c r="M218" i="64"/>
  <c r="N218" i="64" s="1"/>
  <c r="A219" i="64"/>
  <c r="B219" i="64"/>
  <c r="J219" i="64"/>
  <c r="M219" i="64"/>
  <c r="N219" i="64" s="1"/>
  <c r="A220" i="64"/>
  <c r="B220" i="64"/>
  <c r="J220" i="64"/>
  <c r="M220" i="64"/>
  <c r="N220" i="64" s="1"/>
  <c r="A221" i="64"/>
  <c r="B221" i="64"/>
  <c r="J221" i="64"/>
  <c r="M221" i="64"/>
  <c r="N221" i="64" s="1"/>
  <c r="A222" i="64"/>
  <c r="B222" i="64"/>
  <c r="J222" i="64"/>
  <c r="M222" i="64"/>
  <c r="N222" i="64" s="1"/>
  <c r="A223" i="64"/>
  <c r="B223" i="64"/>
  <c r="J223" i="64"/>
  <c r="M223" i="64"/>
  <c r="N223" i="64" s="1"/>
  <c r="A224" i="64"/>
  <c r="B224" i="64"/>
  <c r="J224" i="64"/>
  <c r="M224" i="64"/>
  <c r="N224" i="64" s="1"/>
  <c r="A225" i="64"/>
  <c r="B225" i="64"/>
  <c r="J225" i="64"/>
  <c r="M225" i="64"/>
  <c r="N225" i="64" s="1"/>
  <c r="A226" i="64"/>
  <c r="B226" i="64"/>
  <c r="J226" i="64"/>
  <c r="M226" i="64"/>
  <c r="N226" i="64" s="1"/>
  <c r="A227" i="64"/>
  <c r="B227" i="64"/>
  <c r="J227" i="64"/>
  <c r="M227" i="64"/>
  <c r="N227" i="64" s="1"/>
  <c r="H208" i="64" l="1"/>
  <c r="H209" i="64"/>
  <c r="H210" i="64"/>
  <c r="H211" i="64"/>
  <c r="H212" i="64"/>
  <c r="H213" i="64"/>
  <c r="H214" i="64"/>
  <c r="H215" i="64"/>
  <c r="H216" i="64"/>
  <c r="H217" i="64"/>
  <c r="G208" i="64"/>
  <c r="G209" i="64"/>
  <c r="G210" i="64"/>
  <c r="G211" i="64"/>
  <c r="G212" i="64"/>
  <c r="G213" i="64"/>
  <c r="G214" i="64"/>
  <c r="G215" i="64"/>
  <c r="G216" i="64"/>
  <c r="G217" i="64"/>
  <c r="F208" i="64"/>
  <c r="F209" i="64"/>
  <c r="F210" i="64"/>
  <c r="F211" i="64"/>
  <c r="F212" i="64"/>
  <c r="F213" i="64"/>
  <c r="F214" i="64"/>
  <c r="F215" i="64"/>
  <c r="F216" i="64"/>
  <c r="F217" i="64"/>
  <c r="A208" i="64"/>
  <c r="B208" i="64"/>
  <c r="J208" i="64"/>
  <c r="M208" i="64"/>
  <c r="N208" i="64" s="1"/>
  <c r="A209" i="64"/>
  <c r="B209" i="64"/>
  <c r="J209" i="64"/>
  <c r="M209" i="64"/>
  <c r="N209" i="64" s="1"/>
  <c r="A210" i="64"/>
  <c r="B210" i="64"/>
  <c r="J210" i="64"/>
  <c r="M210" i="64"/>
  <c r="N210" i="64" s="1"/>
  <c r="A211" i="64"/>
  <c r="B211" i="64"/>
  <c r="J211" i="64"/>
  <c r="M211" i="64"/>
  <c r="N211" i="64" s="1"/>
  <c r="A212" i="64"/>
  <c r="B212" i="64"/>
  <c r="J212" i="64"/>
  <c r="M212" i="64"/>
  <c r="N212" i="64" s="1"/>
  <c r="A213" i="64"/>
  <c r="B213" i="64"/>
  <c r="J213" i="64"/>
  <c r="M213" i="64"/>
  <c r="N213" i="64" s="1"/>
  <c r="A214" i="64"/>
  <c r="B214" i="64"/>
  <c r="J214" i="64"/>
  <c r="M214" i="64"/>
  <c r="N214" i="64" s="1"/>
  <c r="A215" i="64"/>
  <c r="B215" i="64"/>
  <c r="J215" i="64"/>
  <c r="M215" i="64"/>
  <c r="N215" i="64" s="1"/>
  <c r="A216" i="64"/>
  <c r="B216" i="64"/>
  <c r="J216" i="64"/>
  <c r="M216" i="64"/>
  <c r="N216" i="64" s="1"/>
  <c r="A217" i="64"/>
  <c r="B217" i="64"/>
  <c r="J217" i="64"/>
  <c r="M217" i="64"/>
  <c r="N217" i="64" s="1"/>
  <c r="H188" i="64" l="1"/>
  <c r="H189" i="64"/>
  <c r="H190" i="64"/>
  <c r="H191" i="64"/>
  <c r="H192" i="64"/>
  <c r="H193" i="64"/>
  <c r="H194" i="64"/>
  <c r="H195" i="64"/>
  <c r="H196" i="64"/>
  <c r="H197" i="64"/>
  <c r="H198" i="64"/>
  <c r="H199" i="64"/>
  <c r="H200" i="64"/>
  <c r="H201" i="64"/>
  <c r="H202" i="64"/>
  <c r="H203" i="64"/>
  <c r="H204" i="64"/>
  <c r="H205" i="64"/>
  <c r="H206" i="64"/>
  <c r="G188" i="64"/>
  <c r="G189" i="64"/>
  <c r="G190" i="64"/>
  <c r="G191" i="64"/>
  <c r="G192" i="64"/>
  <c r="G193" i="64"/>
  <c r="G194" i="64"/>
  <c r="G195" i="64"/>
  <c r="G196" i="64"/>
  <c r="G197" i="64"/>
  <c r="G198" i="64"/>
  <c r="G199" i="64"/>
  <c r="G200" i="64"/>
  <c r="G201" i="64"/>
  <c r="G202" i="64"/>
  <c r="G203" i="64"/>
  <c r="G204" i="64"/>
  <c r="G205" i="64"/>
  <c r="G206" i="64"/>
  <c r="F188" i="64"/>
  <c r="F189" i="64"/>
  <c r="F190" i="64"/>
  <c r="F191" i="64"/>
  <c r="F192" i="64"/>
  <c r="F193" i="64"/>
  <c r="F194" i="64"/>
  <c r="F195" i="64"/>
  <c r="F196" i="64"/>
  <c r="F197" i="64"/>
  <c r="F198" i="64"/>
  <c r="F199" i="64"/>
  <c r="F200" i="64"/>
  <c r="F201" i="64"/>
  <c r="F202" i="64"/>
  <c r="F203" i="64"/>
  <c r="F204" i="64"/>
  <c r="F205" i="64"/>
  <c r="F206" i="64"/>
  <c r="A188" i="64"/>
  <c r="B188" i="64"/>
  <c r="J188" i="64"/>
  <c r="M188" i="64"/>
  <c r="N188" i="64" s="1"/>
  <c r="A189" i="64"/>
  <c r="B189" i="64"/>
  <c r="J189" i="64"/>
  <c r="M189" i="64"/>
  <c r="N189" i="64" s="1"/>
  <c r="A190" i="64"/>
  <c r="B190" i="64"/>
  <c r="J190" i="64"/>
  <c r="M190" i="64"/>
  <c r="N190" i="64" s="1"/>
  <c r="A191" i="64"/>
  <c r="B191" i="64"/>
  <c r="J191" i="64"/>
  <c r="M191" i="64"/>
  <c r="N191" i="64" s="1"/>
  <c r="A192" i="64"/>
  <c r="B192" i="64"/>
  <c r="J192" i="64"/>
  <c r="M192" i="64"/>
  <c r="N192" i="64" s="1"/>
  <c r="A193" i="64"/>
  <c r="B193" i="64"/>
  <c r="J193" i="64"/>
  <c r="M193" i="64"/>
  <c r="N193" i="64" s="1"/>
  <c r="A194" i="64"/>
  <c r="B194" i="64"/>
  <c r="J194" i="64"/>
  <c r="M194" i="64"/>
  <c r="N194" i="64" s="1"/>
  <c r="A195" i="64"/>
  <c r="B195" i="64"/>
  <c r="J195" i="64"/>
  <c r="M195" i="64"/>
  <c r="N195" i="64" s="1"/>
  <c r="A196" i="64"/>
  <c r="B196" i="64"/>
  <c r="J196" i="64"/>
  <c r="M196" i="64"/>
  <c r="N196" i="64" s="1"/>
  <c r="A197" i="64"/>
  <c r="B197" i="64"/>
  <c r="J197" i="64"/>
  <c r="M197" i="64"/>
  <c r="N197" i="64" s="1"/>
  <c r="A198" i="64"/>
  <c r="B198" i="64"/>
  <c r="J198" i="64"/>
  <c r="M198" i="64"/>
  <c r="N198" i="64" s="1"/>
  <c r="A199" i="64"/>
  <c r="B199" i="64"/>
  <c r="J199" i="64"/>
  <c r="M199" i="64"/>
  <c r="N199" i="64" s="1"/>
  <c r="A200" i="64"/>
  <c r="B200" i="64"/>
  <c r="J200" i="64"/>
  <c r="M200" i="64"/>
  <c r="N200" i="64" s="1"/>
  <c r="A201" i="64"/>
  <c r="B201" i="64"/>
  <c r="J201" i="64"/>
  <c r="M201" i="64"/>
  <c r="N201" i="64" s="1"/>
  <c r="A202" i="64"/>
  <c r="B202" i="64"/>
  <c r="J202" i="64"/>
  <c r="M202" i="64"/>
  <c r="N202" i="64" s="1"/>
  <c r="A203" i="64"/>
  <c r="B203" i="64"/>
  <c r="J203" i="64"/>
  <c r="M203" i="64"/>
  <c r="N203" i="64" s="1"/>
  <c r="A204" i="64"/>
  <c r="B204" i="64"/>
  <c r="J204" i="64"/>
  <c r="M204" i="64"/>
  <c r="N204" i="64" s="1"/>
  <c r="A205" i="64"/>
  <c r="B205" i="64"/>
  <c r="J205" i="64"/>
  <c r="M205" i="64"/>
  <c r="N205" i="64" s="1"/>
  <c r="A206" i="64"/>
  <c r="B206" i="64"/>
  <c r="J206" i="64"/>
  <c r="M206" i="64"/>
  <c r="N206" i="64" s="1"/>
  <c r="H179" i="64" l="1"/>
  <c r="H180" i="64"/>
  <c r="H181" i="64"/>
  <c r="H182" i="64"/>
  <c r="H183" i="64"/>
  <c r="H184" i="64"/>
  <c r="H185" i="64"/>
  <c r="H186" i="64"/>
  <c r="H187" i="64"/>
  <c r="H207" i="64"/>
  <c r="G179" i="64"/>
  <c r="G180" i="64"/>
  <c r="G181" i="64"/>
  <c r="G182" i="64"/>
  <c r="G183" i="64"/>
  <c r="G184" i="64"/>
  <c r="G185" i="64"/>
  <c r="G186" i="64"/>
  <c r="G187" i="64"/>
  <c r="G207" i="64"/>
  <c r="F179" i="64"/>
  <c r="F180" i="64"/>
  <c r="F181" i="64"/>
  <c r="F182" i="64"/>
  <c r="F183" i="64"/>
  <c r="F184" i="64"/>
  <c r="F185" i="64"/>
  <c r="F186" i="64"/>
  <c r="F187" i="64"/>
  <c r="F207" i="64"/>
  <c r="A179" i="64"/>
  <c r="B179" i="64"/>
  <c r="J179" i="64"/>
  <c r="M179" i="64"/>
  <c r="N179" i="64" s="1"/>
  <c r="A180" i="64"/>
  <c r="B180" i="64"/>
  <c r="J180" i="64"/>
  <c r="M180" i="64"/>
  <c r="N180" i="64" s="1"/>
  <c r="A181" i="64"/>
  <c r="B181" i="64"/>
  <c r="J181" i="64"/>
  <c r="M181" i="64"/>
  <c r="N181" i="64" s="1"/>
  <c r="A182" i="64"/>
  <c r="B182" i="64"/>
  <c r="J182" i="64"/>
  <c r="M182" i="64"/>
  <c r="N182" i="64" s="1"/>
  <c r="A183" i="64"/>
  <c r="B183" i="64"/>
  <c r="J183" i="64"/>
  <c r="M183" i="64"/>
  <c r="N183" i="64" s="1"/>
  <c r="A184" i="64"/>
  <c r="B184" i="64"/>
  <c r="J184" i="64"/>
  <c r="M184" i="64"/>
  <c r="N184" i="64" s="1"/>
  <c r="A185" i="64"/>
  <c r="B185" i="64"/>
  <c r="J185" i="64"/>
  <c r="M185" i="64"/>
  <c r="N185" i="64" s="1"/>
  <c r="A186" i="64"/>
  <c r="B186" i="64"/>
  <c r="J186" i="64"/>
  <c r="M186" i="64"/>
  <c r="N186" i="64" s="1"/>
  <c r="A187" i="64"/>
  <c r="B187" i="64"/>
  <c r="J187" i="64"/>
  <c r="M187" i="64"/>
  <c r="N187" i="64" s="1"/>
  <c r="A207" i="64"/>
  <c r="B207" i="64"/>
  <c r="J207" i="64"/>
  <c r="M207" i="64"/>
  <c r="N207" i="64" s="1"/>
  <c r="C120" i="68" l="1"/>
  <c r="C133" i="68"/>
  <c r="H164" i="64" l="1"/>
  <c r="H165" i="64"/>
  <c r="H166" i="64"/>
  <c r="H167" i="64"/>
  <c r="H168" i="64"/>
  <c r="H169" i="64"/>
  <c r="H170" i="64"/>
  <c r="H171" i="64"/>
  <c r="H172" i="64"/>
  <c r="H173" i="64"/>
  <c r="H174" i="64"/>
  <c r="H175" i="64"/>
  <c r="H176" i="64"/>
  <c r="H177" i="64"/>
  <c r="H178" i="64"/>
  <c r="G164" i="64"/>
  <c r="G165" i="64"/>
  <c r="G166" i="64"/>
  <c r="G167" i="64"/>
  <c r="G168" i="64"/>
  <c r="G169" i="64"/>
  <c r="G170" i="64"/>
  <c r="G171" i="64"/>
  <c r="G172" i="64"/>
  <c r="G173" i="64"/>
  <c r="G174" i="64"/>
  <c r="G175" i="64"/>
  <c r="G176" i="64"/>
  <c r="G177" i="64"/>
  <c r="G178" i="64"/>
  <c r="F164" i="64"/>
  <c r="F165" i="64"/>
  <c r="F166" i="64"/>
  <c r="F167" i="64"/>
  <c r="F168" i="64"/>
  <c r="F169" i="64"/>
  <c r="F170" i="64"/>
  <c r="F171" i="64"/>
  <c r="F172" i="64"/>
  <c r="F173" i="64"/>
  <c r="F174" i="64"/>
  <c r="F175" i="64"/>
  <c r="F176" i="64"/>
  <c r="F177" i="64"/>
  <c r="F178" i="64"/>
  <c r="A164" i="64"/>
  <c r="B164" i="64"/>
  <c r="J164" i="64"/>
  <c r="M164" i="64"/>
  <c r="N164" i="64" s="1"/>
  <c r="A165" i="64"/>
  <c r="B165" i="64"/>
  <c r="J165" i="64"/>
  <c r="M165" i="64"/>
  <c r="N165" i="64" s="1"/>
  <c r="A166" i="64"/>
  <c r="B166" i="64"/>
  <c r="J166" i="64"/>
  <c r="M166" i="64"/>
  <c r="N166" i="64" s="1"/>
  <c r="A167" i="64"/>
  <c r="B167" i="64"/>
  <c r="J167" i="64"/>
  <c r="M167" i="64"/>
  <c r="N167" i="64" s="1"/>
  <c r="A168" i="64"/>
  <c r="B168" i="64"/>
  <c r="J168" i="64"/>
  <c r="M168" i="64"/>
  <c r="N168" i="64" s="1"/>
  <c r="A169" i="64"/>
  <c r="B169" i="64"/>
  <c r="J169" i="64"/>
  <c r="M169" i="64"/>
  <c r="N169" i="64" s="1"/>
  <c r="A170" i="64"/>
  <c r="B170" i="64"/>
  <c r="J170" i="64"/>
  <c r="M170" i="64"/>
  <c r="N170" i="64" s="1"/>
  <c r="A171" i="64"/>
  <c r="B171" i="64"/>
  <c r="J171" i="64"/>
  <c r="M171" i="64"/>
  <c r="N171" i="64" s="1"/>
  <c r="A172" i="64"/>
  <c r="B172" i="64"/>
  <c r="J172" i="64"/>
  <c r="M172" i="64"/>
  <c r="N172" i="64" s="1"/>
  <c r="A173" i="64"/>
  <c r="B173" i="64"/>
  <c r="J173" i="64"/>
  <c r="M173" i="64"/>
  <c r="N173" i="64" s="1"/>
  <c r="A174" i="64"/>
  <c r="B174" i="64"/>
  <c r="J174" i="64"/>
  <c r="M174" i="64"/>
  <c r="N174" i="64" s="1"/>
  <c r="A175" i="64"/>
  <c r="B175" i="64"/>
  <c r="J175" i="64"/>
  <c r="M175" i="64"/>
  <c r="N175" i="64" s="1"/>
  <c r="A176" i="64"/>
  <c r="B176" i="64"/>
  <c r="J176" i="64"/>
  <c r="M176" i="64"/>
  <c r="N176" i="64" s="1"/>
  <c r="A177" i="64"/>
  <c r="B177" i="64"/>
  <c r="J177" i="64"/>
  <c r="M177" i="64"/>
  <c r="N177" i="64" s="1"/>
  <c r="A178" i="64"/>
  <c r="B178" i="64"/>
  <c r="J178" i="64"/>
  <c r="M178" i="64"/>
  <c r="N178" i="64" s="1"/>
  <c r="G477" i="64"/>
  <c r="H144" i="64"/>
  <c r="H145" i="64"/>
  <c r="H146" i="64"/>
  <c r="H147" i="64"/>
  <c r="H148" i="64"/>
  <c r="H149" i="64"/>
  <c r="H150" i="64"/>
  <c r="H151" i="64"/>
  <c r="H152" i="64"/>
  <c r="H153" i="64"/>
  <c r="H154" i="64"/>
  <c r="H155" i="64"/>
  <c r="H156" i="64"/>
  <c r="H157" i="64"/>
  <c r="H158" i="64"/>
  <c r="H159" i="64"/>
  <c r="H160" i="64"/>
  <c r="H161" i="64"/>
  <c r="H162" i="64"/>
  <c r="H163" i="64"/>
  <c r="G144" i="64"/>
  <c r="G145" i="64"/>
  <c r="G146" i="64"/>
  <c r="G147" i="64"/>
  <c r="G148" i="64"/>
  <c r="G149" i="64"/>
  <c r="G150" i="64"/>
  <c r="G151" i="64"/>
  <c r="G152" i="64"/>
  <c r="G153" i="64"/>
  <c r="G154" i="64"/>
  <c r="G155" i="64"/>
  <c r="G156" i="64"/>
  <c r="G157" i="64"/>
  <c r="G158" i="64"/>
  <c r="G159" i="64"/>
  <c r="G160" i="64"/>
  <c r="G161" i="64"/>
  <c r="G162" i="64"/>
  <c r="G163" i="64"/>
  <c r="F144" i="64"/>
  <c r="F145" i="64"/>
  <c r="F146" i="64"/>
  <c r="F147" i="64"/>
  <c r="F148" i="64"/>
  <c r="F149" i="64"/>
  <c r="F150" i="64"/>
  <c r="F151" i="64"/>
  <c r="F152" i="64"/>
  <c r="F153" i="64"/>
  <c r="F154" i="64"/>
  <c r="F155" i="64"/>
  <c r="F156" i="64"/>
  <c r="F157" i="64"/>
  <c r="F158" i="64"/>
  <c r="F159" i="64"/>
  <c r="F160" i="64"/>
  <c r="F161" i="64"/>
  <c r="F162" i="64"/>
  <c r="F163" i="64"/>
  <c r="F477" i="64"/>
  <c r="F2597" i="64"/>
  <c r="A144" i="64"/>
  <c r="B144" i="64"/>
  <c r="J144" i="64"/>
  <c r="M144" i="64"/>
  <c r="N144" i="64" s="1"/>
  <c r="A145" i="64"/>
  <c r="B145" i="64"/>
  <c r="J145" i="64"/>
  <c r="M145" i="64"/>
  <c r="N145" i="64" s="1"/>
  <c r="A146" i="64"/>
  <c r="B146" i="64"/>
  <c r="J146" i="64"/>
  <c r="M146" i="64"/>
  <c r="N146" i="64" s="1"/>
  <c r="A147" i="64"/>
  <c r="B147" i="64"/>
  <c r="J147" i="64"/>
  <c r="M147" i="64"/>
  <c r="N147" i="64" s="1"/>
  <c r="A148" i="64"/>
  <c r="B148" i="64"/>
  <c r="J148" i="64"/>
  <c r="M148" i="64"/>
  <c r="N148" i="64" s="1"/>
  <c r="A149" i="64"/>
  <c r="B149" i="64"/>
  <c r="J149" i="64"/>
  <c r="M149" i="64"/>
  <c r="N149" i="64" s="1"/>
  <c r="A150" i="64"/>
  <c r="B150" i="64"/>
  <c r="J150" i="64"/>
  <c r="M150" i="64"/>
  <c r="N150" i="64" s="1"/>
  <c r="A151" i="64"/>
  <c r="B151" i="64"/>
  <c r="J151" i="64"/>
  <c r="M151" i="64"/>
  <c r="N151" i="64" s="1"/>
  <c r="A152" i="64"/>
  <c r="B152" i="64"/>
  <c r="J152" i="64"/>
  <c r="M152" i="64"/>
  <c r="N152" i="64" s="1"/>
  <c r="A153" i="64"/>
  <c r="B153" i="64"/>
  <c r="J153" i="64"/>
  <c r="M153" i="64"/>
  <c r="N153" i="64" s="1"/>
  <c r="A154" i="64"/>
  <c r="B154" i="64"/>
  <c r="J154" i="64"/>
  <c r="M154" i="64"/>
  <c r="N154" i="64" s="1"/>
  <c r="A155" i="64"/>
  <c r="B155" i="64"/>
  <c r="J155" i="64"/>
  <c r="M155" i="64"/>
  <c r="N155" i="64" s="1"/>
  <c r="A156" i="64"/>
  <c r="B156" i="64"/>
  <c r="J156" i="64"/>
  <c r="M156" i="64"/>
  <c r="N156" i="64" s="1"/>
  <c r="A157" i="64"/>
  <c r="B157" i="64"/>
  <c r="J157" i="64"/>
  <c r="M157" i="64"/>
  <c r="N157" i="64" s="1"/>
  <c r="A158" i="64"/>
  <c r="B158" i="64"/>
  <c r="J158" i="64"/>
  <c r="M158" i="64"/>
  <c r="N158" i="64" s="1"/>
  <c r="A159" i="64"/>
  <c r="B159" i="64"/>
  <c r="J159" i="64"/>
  <c r="M159" i="64"/>
  <c r="N159" i="64" s="1"/>
  <c r="A160" i="64"/>
  <c r="B160" i="64"/>
  <c r="J160" i="64"/>
  <c r="M160" i="64"/>
  <c r="N160" i="64" s="1"/>
  <c r="A161" i="64"/>
  <c r="B161" i="64"/>
  <c r="J161" i="64"/>
  <c r="M161" i="64"/>
  <c r="N161" i="64" s="1"/>
  <c r="A162" i="64"/>
  <c r="B162" i="64"/>
  <c r="J162" i="64"/>
  <c r="M162" i="64"/>
  <c r="N162" i="64" s="1"/>
  <c r="A163" i="64"/>
  <c r="B163" i="64"/>
  <c r="J163" i="64"/>
  <c r="M163" i="64"/>
  <c r="N163" i="64" s="1"/>
  <c r="A477" i="64"/>
  <c r="B477" i="64"/>
  <c r="J477" i="64"/>
  <c r="M477" i="64"/>
  <c r="N477" i="64" s="1"/>
  <c r="N122" i="68" l="1"/>
  <c r="N123" i="68"/>
  <c r="N124" i="68"/>
  <c r="N125" i="68"/>
  <c r="N126" i="68"/>
  <c r="N127" i="68"/>
  <c r="N128" i="68"/>
  <c r="N129" i="68"/>
  <c r="N130" i="68"/>
  <c r="N131" i="68"/>
  <c r="N132" i="68"/>
  <c r="N121" i="68"/>
  <c r="N116" i="68"/>
  <c r="D133" i="68"/>
  <c r="E133" i="68"/>
  <c r="F133" i="68"/>
  <c r="G133" i="68"/>
  <c r="H133" i="68"/>
  <c r="L133" i="68"/>
  <c r="M133" i="68"/>
  <c r="N133" i="68" l="1"/>
  <c r="D120" i="68"/>
  <c r="E120" i="68"/>
  <c r="F120" i="68"/>
  <c r="G120" i="68"/>
  <c r="H120" i="68"/>
  <c r="L120" i="68"/>
  <c r="M120" i="68"/>
  <c r="N119" i="68"/>
  <c r="F121" i="64"/>
  <c r="F122" i="64"/>
  <c r="H121" i="64"/>
  <c r="H122" i="64"/>
  <c r="G121" i="64"/>
  <c r="G122" i="64"/>
  <c r="A121" i="64"/>
  <c r="B121" i="64"/>
  <c r="J121" i="64"/>
  <c r="M121" i="64"/>
  <c r="N121" i="64" s="1"/>
  <c r="A122" i="64"/>
  <c r="B122" i="64"/>
  <c r="J122" i="64"/>
  <c r="M122" i="64"/>
  <c r="N122" i="64" s="1"/>
  <c r="H134" i="64"/>
  <c r="H135" i="64"/>
  <c r="H136" i="64"/>
  <c r="H137" i="64"/>
  <c r="H138" i="64"/>
  <c r="H139" i="64"/>
  <c r="H140" i="64"/>
  <c r="H141" i="64"/>
  <c r="H142" i="64"/>
  <c r="H143" i="64"/>
  <c r="G134" i="64"/>
  <c r="G135" i="64"/>
  <c r="G136" i="64"/>
  <c r="G137" i="64"/>
  <c r="G138" i="64"/>
  <c r="G139" i="64"/>
  <c r="G140" i="64"/>
  <c r="G141" i="64"/>
  <c r="G142" i="64"/>
  <c r="G143" i="64"/>
  <c r="F134" i="64"/>
  <c r="F135" i="64"/>
  <c r="F136" i="64"/>
  <c r="F137" i="64"/>
  <c r="F138" i="64"/>
  <c r="F139" i="64"/>
  <c r="F140" i="64"/>
  <c r="F141" i="64"/>
  <c r="F142" i="64"/>
  <c r="F143" i="64"/>
  <c r="A134" i="64"/>
  <c r="B134" i="64"/>
  <c r="J134" i="64"/>
  <c r="M134" i="64"/>
  <c r="N134" i="64" s="1"/>
  <c r="A135" i="64"/>
  <c r="B135" i="64"/>
  <c r="J135" i="64"/>
  <c r="M135" i="64"/>
  <c r="N135" i="64" s="1"/>
  <c r="A136" i="64"/>
  <c r="B136" i="64"/>
  <c r="J136" i="64"/>
  <c r="M136" i="64"/>
  <c r="N136" i="64" s="1"/>
  <c r="A137" i="64"/>
  <c r="B137" i="64"/>
  <c r="J137" i="64"/>
  <c r="M137" i="64"/>
  <c r="N137" i="64" s="1"/>
  <c r="A138" i="64"/>
  <c r="B138" i="64"/>
  <c r="J138" i="64"/>
  <c r="M138" i="64"/>
  <c r="N138" i="64" s="1"/>
  <c r="A139" i="64"/>
  <c r="B139" i="64"/>
  <c r="J139" i="64"/>
  <c r="M139" i="64"/>
  <c r="N139" i="64" s="1"/>
  <c r="A140" i="64"/>
  <c r="B140" i="64"/>
  <c r="J140" i="64"/>
  <c r="M140" i="64"/>
  <c r="N140" i="64" s="1"/>
  <c r="A141" i="64"/>
  <c r="B141" i="64"/>
  <c r="J141" i="64"/>
  <c r="M141" i="64"/>
  <c r="N141" i="64" s="1"/>
  <c r="A142" i="64"/>
  <c r="B142" i="64"/>
  <c r="J142" i="64"/>
  <c r="M142" i="64"/>
  <c r="N142" i="64" s="1"/>
  <c r="A143" i="64"/>
  <c r="B143" i="64"/>
  <c r="J143" i="64"/>
  <c r="M143" i="64"/>
  <c r="N143" i="64" s="1"/>
  <c r="H124" i="64"/>
  <c r="H125" i="64"/>
  <c r="H126" i="64"/>
  <c r="H127" i="64"/>
  <c r="H128" i="64"/>
  <c r="H129" i="64"/>
  <c r="H130" i="64"/>
  <c r="H131" i="64"/>
  <c r="H132" i="64"/>
  <c r="H133" i="64"/>
  <c r="G124" i="64"/>
  <c r="G125" i="64"/>
  <c r="G126" i="64"/>
  <c r="G127" i="64"/>
  <c r="G128" i="64"/>
  <c r="G129" i="64"/>
  <c r="G130" i="64"/>
  <c r="G131" i="64"/>
  <c r="G132" i="64"/>
  <c r="G133" i="64"/>
  <c r="F124" i="64"/>
  <c r="F125" i="64"/>
  <c r="F126" i="64"/>
  <c r="F127" i="64"/>
  <c r="F128" i="64"/>
  <c r="F129" i="64"/>
  <c r="F130" i="64"/>
  <c r="F131" i="64"/>
  <c r="F132" i="64"/>
  <c r="F133" i="64"/>
  <c r="A124" i="64"/>
  <c r="B124" i="64"/>
  <c r="J124" i="64"/>
  <c r="M124" i="64"/>
  <c r="N124" i="64" s="1"/>
  <c r="A125" i="64"/>
  <c r="B125" i="64"/>
  <c r="J125" i="64"/>
  <c r="M125" i="64"/>
  <c r="N125" i="64" s="1"/>
  <c r="A126" i="64"/>
  <c r="B126" i="64"/>
  <c r="J126" i="64"/>
  <c r="M126" i="64"/>
  <c r="N126" i="64" s="1"/>
  <c r="A127" i="64"/>
  <c r="B127" i="64"/>
  <c r="J127" i="64"/>
  <c r="M127" i="64"/>
  <c r="N127" i="64" s="1"/>
  <c r="A128" i="64"/>
  <c r="B128" i="64"/>
  <c r="J128" i="64"/>
  <c r="M128" i="64"/>
  <c r="N128" i="64" s="1"/>
  <c r="A129" i="64"/>
  <c r="B129" i="64"/>
  <c r="J129" i="64"/>
  <c r="M129" i="64"/>
  <c r="N129" i="64" s="1"/>
  <c r="A130" i="64"/>
  <c r="B130" i="64"/>
  <c r="J130" i="64"/>
  <c r="M130" i="64"/>
  <c r="N130" i="64" s="1"/>
  <c r="A131" i="64"/>
  <c r="B131" i="64"/>
  <c r="J131" i="64"/>
  <c r="M131" i="64"/>
  <c r="N131" i="64" s="1"/>
  <c r="A132" i="64"/>
  <c r="B132" i="64"/>
  <c r="J132" i="64"/>
  <c r="M132" i="64"/>
  <c r="N132" i="64" s="1"/>
  <c r="A133" i="64"/>
  <c r="B133" i="64"/>
  <c r="J133" i="64"/>
  <c r="M133" i="64"/>
  <c r="N133" i="64" s="1"/>
  <c r="H112" i="64"/>
  <c r="H113" i="64"/>
  <c r="H114" i="64"/>
  <c r="H115" i="64"/>
  <c r="H116" i="64"/>
  <c r="H117" i="64"/>
  <c r="H118" i="64"/>
  <c r="H119" i="64"/>
  <c r="H120" i="64"/>
  <c r="H123" i="64"/>
  <c r="G112" i="64"/>
  <c r="G113" i="64"/>
  <c r="G114" i="64"/>
  <c r="G115" i="64"/>
  <c r="G116" i="64"/>
  <c r="G117" i="64"/>
  <c r="G118" i="64"/>
  <c r="G119" i="64"/>
  <c r="G120" i="64"/>
  <c r="G123" i="64"/>
  <c r="F112" i="64"/>
  <c r="F113" i="64"/>
  <c r="F114" i="64"/>
  <c r="F115" i="64"/>
  <c r="F116" i="64"/>
  <c r="F117" i="64"/>
  <c r="F118" i="64"/>
  <c r="F119" i="64"/>
  <c r="F120" i="64"/>
  <c r="F123" i="64"/>
  <c r="A112" i="64"/>
  <c r="B112" i="64"/>
  <c r="J112" i="64"/>
  <c r="M112" i="64"/>
  <c r="N112" i="64" s="1"/>
  <c r="A113" i="64"/>
  <c r="B113" i="64"/>
  <c r="J113" i="64"/>
  <c r="M113" i="64"/>
  <c r="N113" i="64" s="1"/>
  <c r="A114" i="64"/>
  <c r="B114" i="64"/>
  <c r="J114" i="64"/>
  <c r="M114" i="64"/>
  <c r="N114" i="64" s="1"/>
  <c r="A115" i="64"/>
  <c r="B115" i="64"/>
  <c r="J115" i="64"/>
  <c r="M115" i="64"/>
  <c r="N115" i="64" s="1"/>
  <c r="A116" i="64"/>
  <c r="B116" i="64"/>
  <c r="J116" i="64"/>
  <c r="M116" i="64"/>
  <c r="N116" i="64" s="1"/>
  <c r="A117" i="64"/>
  <c r="B117" i="64"/>
  <c r="J117" i="64"/>
  <c r="M117" i="64"/>
  <c r="N117" i="64" s="1"/>
  <c r="A118" i="64"/>
  <c r="B118" i="64"/>
  <c r="J118" i="64"/>
  <c r="M118" i="64"/>
  <c r="N118" i="64" s="1"/>
  <c r="A119" i="64"/>
  <c r="B119" i="64"/>
  <c r="J119" i="64"/>
  <c r="M119" i="64"/>
  <c r="N119" i="64" s="1"/>
  <c r="A120" i="64"/>
  <c r="B120" i="64"/>
  <c r="J120" i="64"/>
  <c r="M120" i="64"/>
  <c r="N120" i="64" s="1"/>
  <c r="A123" i="64"/>
  <c r="B123" i="64"/>
  <c r="J123" i="64"/>
  <c r="M123" i="64"/>
  <c r="N123" i="64" s="1"/>
  <c r="N120" i="68" l="1"/>
  <c r="H102" i="64"/>
  <c r="H103" i="64"/>
  <c r="H104" i="64"/>
  <c r="H105" i="64"/>
  <c r="H106" i="64"/>
  <c r="H107" i="64"/>
  <c r="H108" i="64"/>
  <c r="H109" i="64"/>
  <c r="H110" i="64"/>
  <c r="H111" i="64"/>
  <c r="G102" i="64"/>
  <c r="G103" i="64"/>
  <c r="G104" i="64"/>
  <c r="G105" i="64"/>
  <c r="G106" i="64"/>
  <c r="G107" i="64"/>
  <c r="G108" i="64"/>
  <c r="G109" i="64"/>
  <c r="G110" i="64"/>
  <c r="G111" i="64"/>
  <c r="F102" i="64"/>
  <c r="F103" i="64"/>
  <c r="F104" i="64"/>
  <c r="F105" i="64"/>
  <c r="F106" i="64"/>
  <c r="F107" i="64"/>
  <c r="F108" i="64"/>
  <c r="F109" i="64"/>
  <c r="F110" i="64"/>
  <c r="F111" i="64"/>
  <c r="A102" i="64"/>
  <c r="B102" i="64"/>
  <c r="J102" i="64"/>
  <c r="M102" i="64"/>
  <c r="N102" i="64" s="1"/>
  <c r="A103" i="64"/>
  <c r="B103" i="64"/>
  <c r="J103" i="64"/>
  <c r="M103" i="64"/>
  <c r="N103" i="64" s="1"/>
  <c r="A104" i="64"/>
  <c r="B104" i="64"/>
  <c r="J104" i="64"/>
  <c r="M104" i="64"/>
  <c r="N104" i="64" s="1"/>
  <c r="A105" i="64"/>
  <c r="B105" i="64"/>
  <c r="J105" i="64"/>
  <c r="M105" i="64"/>
  <c r="N105" i="64" s="1"/>
  <c r="A106" i="64"/>
  <c r="B106" i="64"/>
  <c r="J106" i="64"/>
  <c r="M106" i="64"/>
  <c r="N106" i="64" s="1"/>
  <c r="A107" i="64"/>
  <c r="B107" i="64"/>
  <c r="J107" i="64"/>
  <c r="M107" i="64"/>
  <c r="N107" i="64" s="1"/>
  <c r="A108" i="64"/>
  <c r="B108" i="64"/>
  <c r="J108" i="64"/>
  <c r="M108" i="64"/>
  <c r="N108" i="64" s="1"/>
  <c r="A109" i="64"/>
  <c r="B109" i="64"/>
  <c r="J109" i="64"/>
  <c r="M109" i="64"/>
  <c r="N109" i="64" s="1"/>
  <c r="A110" i="64"/>
  <c r="B110" i="64"/>
  <c r="J110" i="64"/>
  <c r="M110" i="64"/>
  <c r="N110" i="64" s="1"/>
  <c r="A111" i="64"/>
  <c r="B111" i="64"/>
  <c r="J111" i="64"/>
  <c r="M111" i="64"/>
  <c r="N111" i="64" s="1"/>
  <c r="H92" i="64" l="1"/>
  <c r="H93" i="64"/>
  <c r="H94" i="64"/>
  <c r="H95" i="64"/>
  <c r="H96" i="64"/>
  <c r="H97" i="64"/>
  <c r="H98" i="64"/>
  <c r="H99" i="64"/>
  <c r="H100" i="64"/>
  <c r="H101" i="64"/>
  <c r="G92" i="64"/>
  <c r="G93" i="64"/>
  <c r="G94" i="64"/>
  <c r="G95" i="64"/>
  <c r="G96" i="64"/>
  <c r="G97" i="64"/>
  <c r="G98" i="64"/>
  <c r="G99" i="64"/>
  <c r="G100" i="64"/>
  <c r="G101" i="64"/>
  <c r="F92" i="64"/>
  <c r="F93" i="64"/>
  <c r="F94" i="64"/>
  <c r="F95" i="64"/>
  <c r="F96" i="64"/>
  <c r="F97" i="64"/>
  <c r="F98" i="64"/>
  <c r="F99" i="64"/>
  <c r="F100" i="64"/>
  <c r="F101" i="64"/>
  <c r="A92" i="64"/>
  <c r="B92" i="64"/>
  <c r="J92" i="64"/>
  <c r="M92" i="64"/>
  <c r="N92" i="64" s="1"/>
  <c r="A93" i="64"/>
  <c r="B93" i="64"/>
  <c r="J93" i="64"/>
  <c r="M93" i="64"/>
  <c r="N93" i="64" s="1"/>
  <c r="A94" i="64"/>
  <c r="B94" i="64"/>
  <c r="J94" i="64"/>
  <c r="M94" i="64"/>
  <c r="N94" i="64" s="1"/>
  <c r="A95" i="64"/>
  <c r="B95" i="64"/>
  <c r="J95" i="64"/>
  <c r="M95" i="64"/>
  <c r="N95" i="64" s="1"/>
  <c r="A96" i="64"/>
  <c r="B96" i="64"/>
  <c r="J96" i="64"/>
  <c r="M96" i="64"/>
  <c r="N96" i="64" s="1"/>
  <c r="A97" i="64"/>
  <c r="B97" i="64"/>
  <c r="J97" i="64"/>
  <c r="M97" i="64"/>
  <c r="N97" i="64" s="1"/>
  <c r="A98" i="64"/>
  <c r="B98" i="64"/>
  <c r="J98" i="64"/>
  <c r="M98" i="64"/>
  <c r="N98" i="64" s="1"/>
  <c r="A99" i="64"/>
  <c r="B99" i="64"/>
  <c r="J99" i="64"/>
  <c r="M99" i="64"/>
  <c r="N99" i="64" s="1"/>
  <c r="A100" i="64"/>
  <c r="B100" i="64"/>
  <c r="J100" i="64"/>
  <c r="M100" i="64"/>
  <c r="N100" i="64" s="1"/>
  <c r="A101" i="64"/>
  <c r="B101" i="64"/>
  <c r="J101" i="64"/>
  <c r="M101" i="64"/>
  <c r="N101" i="64" s="1"/>
  <c r="H82" i="64" l="1"/>
  <c r="H83" i="64"/>
  <c r="H84" i="64"/>
  <c r="H85" i="64"/>
  <c r="H86" i="64"/>
  <c r="H87" i="64"/>
  <c r="H88" i="64"/>
  <c r="H89" i="64"/>
  <c r="H90" i="64"/>
  <c r="H91" i="64"/>
  <c r="G82" i="64"/>
  <c r="G83" i="64"/>
  <c r="G84" i="64"/>
  <c r="G85" i="64"/>
  <c r="G86" i="64"/>
  <c r="G87" i="64"/>
  <c r="G88" i="64"/>
  <c r="G89" i="64"/>
  <c r="G90" i="64"/>
  <c r="G91" i="64"/>
  <c r="F82" i="64"/>
  <c r="F83" i="64"/>
  <c r="F84" i="64"/>
  <c r="F85" i="64"/>
  <c r="F86" i="64"/>
  <c r="F87" i="64"/>
  <c r="F88" i="64"/>
  <c r="F89" i="64"/>
  <c r="F90" i="64"/>
  <c r="F91" i="64"/>
  <c r="A82" i="64"/>
  <c r="B82" i="64"/>
  <c r="J82" i="64"/>
  <c r="M82" i="64"/>
  <c r="N82" i="64" s="1"/>
  <c r="A83" i="64"/>
  <c r="B83" i="64"/>
  <c r="J83" i="64"/>
  <c r="M83" i="64"/>
  <c r="N83" i="64" s="1"/>
  <c r="A84" i="64"/>
  <c r="B84" i="64"/>
  <c r="J84" i="64"/>
  <c r="M84" i="64"/>
  <c r="N84" i="64" s="1"/>
  <c r="A85" i="64"/>
  <c r="B85" i="64"/>
  <c r="J85" i="64"/>
  <c r="M85" i="64"/>
  <c r="N85" i="64" s="1"/>
  <c r="A86" i="64"/>
  <c r="B86" i="64"/>
  <c r="J86" i="64"/>
  <c r="M86" i="64"/>
  <c r="N86" i="64" s="1"/>
  <c r="A87" i="64"/>
  <c r="B87" i="64"/>
  <c r="J87" i="64"/>
  <c r="M87" i="64"/>
  <c r="N87" i="64" s="1"/>
  <c r="A88" i="64"/>
  <c r="B88" i="64"/>
  <c r="J88" i="64"/>
  <c r="M88" i="64"/>
  <c r="N88" i="64" s="1"/>
  <c r="A89" i="64"/>
  <c r="B89" i="64"/>
  <c r="J89" i="64"/>
  <c r="M89" i="64"/>
  <c r="N89" i="64" s="1"/>
  <c r="A90" i="64"/>
  <c r="B90" i="64"/>
  <c r="J90" i="64"/>
  <c r="M90" i="64"/>
  <c r="N90" i="64" s="1"/>
  <c r="A91" i="64"/>
  <c r="B91" i="64"/>
  <c r="J91" i="64"/>
  <c r="M91" i="64"/>
  <c r="N91" i="64" s="1"/>
  <c r="H74" i="64" l="1"/>
  <c r="H75" i="64"/>
  <c r="H76" i="64"/>
  <c r="H77" i="64"/>
  <c r="H78" i="64"/>
  <c r="H79" i="64"/>
  <c r="H80" i="64"/>
  <c r="H81" i="64"/>
  <c r="G74" i="64"/>
  <c r="G75" i="64"/>
  <c r="G76" i="64"/>
  <c r="G77" i="64"/>
  <c r="G78" i="64"/>
  <c r="G79" i="64"/>
  <c r="G80" i="64"/>
  <c r="G81" i="64"/>
  <c r="F74" i="64"/>
  <c r="F75" i="64"/>
  <c r="F76" i="64"/>
  <c r="F77" i="64"/>
  <c r="F78" i="64"/>
  <c r="F79" i="64"/>
  <c r="F80" i="64"/>
  <c r="F81" i="64"/>
  <c r="A74" i="64"/>
  <c r="B74" i="64"/>
  <c r="J74" i="64"/>
  <c r="M74" i="64"/>
  <c r="N74" i="64" s="1"/>
  <c r="A75" i="64"/>
  <c r="B75" i="64"/>
  <c r="J75" i="64"/>
  <c r="M75" i="64"/>
  <c r="N75" i="64" s="1"/>
  <c r="A76" i="64"/>
  <c r="B76" i="64"/>
  <c r="J76" i="64"/>
  <c r="M76" i="64"/>
  <c r="N76" i="64" s="1"/>
  <c r="A77" i="64"/>
  <c r="B77" i="64"/>
  <c r="J77" i="64"/>
  <c r="M77" i="64"/>
  <c r="N77" i="64" s="1"/>
  <c r="A78" i="64"/>
  <c r="B78" i="64"/>
  <c r="J78" i="64"/>
  <c r="M78" i="64"/>
  <c r="N78" i="64" s="1"/>
  <c r="A79" i="64"/>
  <c r="B79" i="64"/>
  <c r="J79" i="64"/>
  <c r="M79" i="64"/>
  <c r="N79" i="64" s="1"/>
  <c r="A80" i="64"/>
  <c r="B80" i="64"/>
  <c r="J80" i="64"/>
  <c r="M80" i="64"/>
  <c r="N80" i="64" s="1"/>
  <c r="A81" i="64"/>
  <c r="B81" i="64"/>
  <c r="J81" i="64"/>
  <c r="M81" i="64"/>
  <c r="N81" i="64" s="1"/>
  <c r="H63" i="64" l="1"/>
  <c r="H64" i="64"/>
  <c r="H65" i="64"/>
  <c r="H66" i="64"/>
  <c r="H67" i="64"/>
  <c r="H68" i="64"/>
  <c r="H69" i="64"/>
  <c r="H70" i="64"/>
  <c r="H71" i="64"/>
  <c r="H72" i="64"/>
  <c r="G63" i="64"/>
  <c r="G64" i="64"/>
  <c r="G65" i="64"/>
  <c r="G66" i="64"/>
  <c r="G67" i="64"/>
  <c r="G68" i="64"/>
  <c r="G69" i="64"/>
  <c r="G70" i="64"/>
  <c r="G71" i="64"/>
  <c r="G72" i="64"/>
  <c r="F63" i="64"/>
  <c r="F64" i="64"/>
  <c r="F65" i="64"/>
  <c r="F66" i="64"/>
  <c r="F67" i="64"/>
  <c r="F68" i="64"/>
  <c r="F69" i="64"/>
  <c r="F70" i="64"/>
  <c r="F71" i="64"/>
  <c r="F72" i="64"/>
  <c r="A63" i="64"/>
  <c r="B63" i="64"/>
  <c r="J63" i="64"/>
  <c r="M63" i="64"/>
  <c r="N63" i="64" s="1"/>
  <c r="A64" i="64"/>
  <c r="B64" i="64"/>
  <c r="J64" i="64"/>
  <c r="M64" i="64"/>
  <c r="N64" i="64" s="1"/>
  <c r="A65" i="64"/>
  <c r="B65" i="64"/>
  <c r="J65" i="64"/>
  <c r="M65" i="64"/>
  <c r="N65" i="64" s="1"/>
  <c r="A66" i="64"/>
  <c r="B66" i="64"/>
  <c r="J66" i="64"/>
  <c r="M66" i="64"/>
  <c r="N66" i="64" s="1"/>
  <c r="A67" i="64"/>
  <c r="B67" i="64"/>
  <c r="J67" i="64"/>
  <c r="M67" i="64"/>
  <c r="N67" i="64" s="1"/>
  <c r="A68" i="64"/>
  <c r="B68" i="64"/>
  <c r="J68" i="64"/>
  <c r="M68" i="64"/>
  <c r="N68" i="64" s="1"/>
  <c r="A69" i="64"/>
  <c r="B69" i="64"/>
  <c r="J69" i="64"/>
  <c r="M69" i="64"/>
  <c r="N69" i="64" s="1"/>
  <c r="A70" i="64"/>
  <c r="B70" i="64"/>
  <c r="J70" i="64"/>
  <c r="M70" i="64"/>
  <c r="N70" i="64" s="1"/>
  <c r="A71" i="64"/>
  <c r="B71" i="64"/>
  <c r="J71" i="64"/>
  <c r="M71" i="64"/>
  <c r="N71" i="64" s="1"/>
  <c r="A72" i="64"/>
  <c r="B72" i="64"/>
  <c r="J72" i="64"/>
  <c r="M72" i="64"/>
  <c r="N72" i="64" s="1"/>
  <c r="H48" i="64" l="1"/>
  <c r="H49" i="64"/>
  <c r="H50" i="64"/>
  <c r="H51" i="64"/>
  <c r="H52" i="64"/>
  <c r="H53" i="64"/>
  <c r="H54" i="64"/>
  <c r="H55" i="64"/>
  <c r="H56" i="64"/>
  <c r="H57" i="64"/>
  <c r="H58" i="64"/>
  <c r="H59" i="64"/>
  <c r="H60" i="64"/>
  <c r="H61" i="64"/>
  <c r="H62" i="64"/>
  <c r="G48" i="64"/>
  <c r="G49" i="64"/>
  <c r="G50" i="64"/>
  <c r="G51" i="64"/>
  <c r="G52" i="64"/>
  <c r="G53" i="64"/>
  <c r="G54" i="64"/>
  <c r="G55" i="64"/>
  <c r="G56" i="64"/>
  <c r="G57" i="64"/>
  <c r="G58" i="64"/>
  <c r="G59" i="64"/>
  <c r="G60" i="64"/>
  <c r="G61" i="64"/>
  <c r="G62" i="64"/>
  <c r="F48" i="64"/>
  <c r="F49" i="64"/>
  <c r="F50" i="64"/>
  <c r="F51" i="64"/>
  <c r="F52" i="64"/>
  <c r="F53" i="64"/>
  <c r="F54" i="64"/>
  <c r="F55" i="64"/>
  <c r="F56" i="64"/>
  <c r="F57" i="64"/>
  <c r="F58" i="64"/>
  <c r="F59" i="64"/>
  <c r="F60" i="64"/>
  <c r="F61" i="64"/>
  <c r="F62" i="64"/>
  <c r="A48" i="64"/>
  <c r="B48" i="64"/>
  <c r="J48" i="64"/>
  <c r="M48" i="64"/>
  <c r="N48" i="64" s="1"/>
  <c r="A49" i="64"/>
  <c r="B49" i="64"/>
  <c r="J49" i="64"/>
  <c r="M49" i="64"/>
  <c r="N49" i="64" s="1"/>
  <c r="A50" i="64"/>
  <c r="B50" i="64"/>
  <c r="J50" i="64"/>
  <c r="M50" i="64"/>
  <c r="N50" i="64" s="1"/>
  <c r="A51" i="64"/>
  <c r="B51" i="64"/>
  <c r="J51" i="64"/>
  <c r="M51" i="64"/>
  <c r="N51" i="64" s="1"/>
  <c r="A52" i="64"/>
  <c r="B52" i="64"/>
  <c r="J52" i="64"/>
  <c r="M52" i="64"/>
  <c r="N52" i="64" s="1"/>
  <c r="A53" i="64"/>
  <c r="B53" i="64"/>
  <c r="J53" i="64"/>
  <c r="M53" i="64"/>
  <c r="N53" i="64" s="1"/>
  <c r="A54" i="64"/>
  <c r="B54" i="64"/>
  <c r="J54" i="64"/>
  <c r="M54" i="64"/>
  <c r="N54" i="64" s="1"/>
  <c r="A55" i="64"/>
  <c r="B55" i="64"/>
  <c r="J55" i="64"/>
  <c r="M55" i="64"/>
  <c r="N55" i="64" s="1"/>
  <c r="A56" i="64"/>
  <c r="B56" i="64"/>
  <c r="J56" i="64"/>
  <c r="M56" i="64"/>
  <c r="N56" i="64" s="1"/>
  <c r="A57" i="64"/>
  <c r="B57" i="64"/>
  <c r="J57" i="64"/>
  <c r="M57" i="64"/>
  <c r="N57" i="64" s="1"/>
  <c r="A58" i="64"/>
  <c r="B58" i="64"/>
  <c r="J58" i="64"/>
  <c r="M58" i="64"/>
  <c r="N58" i="64" s="1"/>
  <c r="A59" i="64"/>
  <c r="B59" i="64"/>
  <c r="J59" i="64"/>
  <c r="M59" i="64"/>
  <c r="N59" i="64" s="1"/>
  <c r="A60" i="64"/>
  <c r="B60" i="64"/>
  <c r="J60" i="64"/>
  <c r="M60" i="64"/>
  <c r="N60" i="64" s="1"/>
  <c r="A61" i="64"/>
  <c r="B61" i="64"/>
  <c r="J61" i="64"/>
  <c r="M61" i="64"/>
  <c r="N61" i="64" s="1"/>
  <c r="A62" i="64"/>
  <c r="B62" i="64"/>
  <c r="J62" i="64"/>
  <c r="M62" i="64"/>
  <c r="N62" i="64" s="1"/>
  <c r="H38" i="64"/>
  <c r="H39" i="64"/>
  <c r="H40" i="64"/>
  <c r="H41" i="64"/>
  <c r="H42" i="64"/>
  <c r="H43" i="64"/>
  <c r="H44" i="64"/>
  <c r="H45" i="64"/>
  <c r="H46" i="64"/>
  <c r="H47" i="64"/>
  <c r="G38" i="64"/>
  <c r="G39" i="64"/>
  <c r="G40" i="64"/>
  <c r="G41" i="64"/>
  <c r="G42" i="64"/>
  <c r="G43" i="64"/>
  <c r="G44" i="64"/>
  <c r="G45" i="64"/>
  <c r="G46" i="64"/>
  <c r="G47" i="64"/>
  <c r="F38" i="64"/>
  <c r="F39" i="64"/>
  <c r="F40" i="64"/>
  <c r="F41" i="64"/>
  <c r="F42" i="64"/>
  <c r="F43" i="64"/>
  <c r="F44" i="64"/>
  <c r="F45" i="64"/>
  <c r="F46" i="64"/>
  <c r="F47" i="64"/>
  <c r="A38" i="64"/>
  <c r="B38" i="64"/>
  <c r="J38" i="64"/>
  <c r="M38" i="64"/>
  <c r="N38" i="64" s="1"/>
  <c r="A39" i="64"/>
  <c r="B39" i="64"/>
  <c r="J39" i="64"/>
  <c r="M39" i="64"/>
  <c r="N39" i="64" s="1"/>
  <c r="A40" i="64"/>
  <c r="B40" i="64"/>
  <c r="J40" i="64"/>
  <c r="M40" i="64"/>
  <c r="N40" i="64" s="1"/>
  <c r="A41" i="64"/>
  <c r="B41" i="64"/>
  <c r="J41" i="64"/>
  <c r="M41" i="64"/>
  <c r="N41" i="64" s="1"/>
  <c r="A42" i="64"/>
  <c r="B42" i="64"/>
  <c r="J42" i="64"/>
  <c r="M42" i="64"/>
  <c r="N42" i="64" s="1"/>
  <c r="A43" i="64"/>
  <c r="B43" i="64"/>
  <c r="J43" i="64"/>
  <c r="M43" i="64"/>
  <c r="N43" i="64" s="1"/>
  <c r="A44" i="64"/>
  <c r="B44" i="64"/>
  <c r="J44" i="64"/>
  <c r="M44" i="64"/>
  <c r="N44" i="64" s="1"/>
  <c r="A45" i="64"/>
  <c r="B45" i="64"/>
  <c r="J45" i="64"/>
  <c r="M45" i="64"/>
  <c r="N45" i="64" s="1"/>
  <c r="A46" i="64"/>
  <c r="B46" i="64"/>
  <c r="J46" i="64"/>
  <c r="M46" i="64"/>
  <c r="N46" i="64" s="1"/>
  <c r="A47" i="64"/>
  <c r="B47" i="64"/>
  <c r="J47" i="64"/>
  <c r="M47" i="64"/>
  <c r="N47" i="64" s="1"/>
  <c r="H23" i="64" l="1"/>
  <c r="H24" i="64"/>
  <c r="H25" i="64"/>
  <c r="H26" i="64"/>
  <c r="H27" i="64"/>
  <c r="H28" i="64"/>
  <c r="H29" i="64"/>
  <c r="H30" i="64"/>
  <c r="H31" i="64"/>
  <c r="H32" i="64"/>
  <c r="H33" i="64"/>
  <c r="H34" i="64"/>
  <c r="H35" i="64"/>
  <c r="H36" i="64"/>
  <c r="H37" i="64"/>
  <c r="G23" i="64"/>
  <c r="G24" i="64"/>
  <c r="G25" i="64"/>
  <c r="G26" i="64"/>
  <c r="G27" i="64"/>
  <c r="G28" i="64"/>
  <c r="G29" i="64"/>
  <c r="G30" i="64"/>
  <c r="G31" i="64"/>
  <c r="G32" i="64"/>
  <c r="G33" i="64"/>
  <c r="G34" i="64"/>
  <c r="G35" i="64"/>
  <c r="G36" i="64"/>
  <c r="G37" i="64"/>
  <c r="F23" i="64"/>
  <c r="F24" i="64"/>
  <c r="F25" i="64"/>
  <c r="F26" i="64"/>
  <c r="F27" i="64"/>
  <c r="F28" i="64"/>
  <c r="F29" i="64"/>
  <c r="F30" i="64"/>
  <c r="F31" i="64"/>
  <c r="F32" i="64"/>
  <c r="F33" i="64"/>
  <c r="F34" i="64"/>
  <c r="F35" i="64"/>
  <c r="F36" i="64"/>
  <c r="F37" i="64"/>
  <c r="A23" i="64"/>
  <c r="B23" i="64"/>
  <c r="J23" i="64"/>
  <c r="M23" i="64"/>
  <c r="N23" i="64" s="1"/>
  <c r="A24" i="64"/>
  <c r="B24" i="64"/>
  <c r="J24" i="64"/>
  <c r="M24" i="64"/>
  <c r="N24" i="64" s="1"/>
  <c r="A25" i="64"/>
  <c r="B25" i="64"/>
  <c r="J25" i="64"/>
  <c r="M25" i="64"/>
  <c r="N25" i="64" s="1"/>
  <c r="A26" i="64"/>
  <c r="B26" i="64"/>
  <c r="J26" i="64"/>
  <c r="M26" i="64"/>
  <c r="N26" i="64" s="1"/>
  <c r="A27" i="64"/>
  <c r="B27" i="64"/>
  <c r="J27" i="64"/>
  <c r="M27" i="64"/>
  <c r="N27" i="64" s="1"/>
  <c r="A28" i="64"/>
  <c r="B28" i="64"/>
  <c r="J28" i="64"/>
  <c r="M28" i="64"/>
  <c r="N28" i="64" s="1"/>
  <c r="A29" i="64"/>
  <c r="B29" i="64"/>
  <c r="J29" i="64"/>
  <c r="M29" i="64"/>
  <c r="N29" i="64" s="1"/>
  <c r="A30" i="64"/>
  <c r="B30" i="64"/>
  <c r="J30" i="64"/>
  <c r="M30" i="64"/>
  <c r="N30" i="64" s="1"/>
  <c r="A31" i="64"/>
  <c r="B31" i="64"/>
  <c r="J31" i="64"/>
  <c r="M31" i="64"/>
  <c r="N31" i="64" s="1"/>
  <c r="A32" i="64"/>
  <c r="B32" i="64"/>
  <c r="J32" i="64"/>
  <c r="M32" i="64"/>
  <c r="N32" i="64" s="1"/>
  <c r="A33" i="64"/>
  <c r="B33" i="64"/>
  <c r="J33" i="64"/>
  <c r="M33" i="64"/>
  <c r="N33" i="64" s="1"/>
  <c r="A34" i="64"/>
  <c r="B34" i="64"/>
  <c r="J34" i="64"/>
  <c r="M34" i="64"/>
  <c r="N34" i="64" s="1"/>
  <c r="A35" i="64"/>
  <c r="B35" i="64"/>
  <c r="J35" i="64"/>
  <c r="M35" i="64"/>
  <c r="N35" i="64" s="1"/>
  <c r="A36" i="64"/>
  <c r="B36" i="64"/>
  <c r="J36" i="64"/>
  <c r="M36" i="64"/>
  <c r="N36" i="64" s="1"/>
  <c r="A37" i="64"/>
  <c r="B37" i="64"/>
  <c r="J37" i="64"/>
  <c r="M37" i="64"/>
  <c r="N37" i="64" s="1"/>
  <c r="H15" i="64"/>
  <c r="H16" i="64"/>
  <c r="H17" i="64"/>
  <c r="H18" i="64"/>
  <c r="H19" i="64"/>
  <c r="H20" i="64"/>
  <c r="H21" i="64"/>
  <c r="H22" i="64"/>
  <c r="H73" i="64"/>
  <c r="H14" i="64"/>
  <c r="H12" i="64"/>
  <c r="H13" i="64"/>
  <c r="H11" i="64"/>
  <c r="H10" i="64"/>
  <c r="G21" i="64"/>
  <c r="F21" i="64"/>
  <c r="A21" i="64"/>
  <c r="B21" i="64"/>
  <c r="J21" i="64"/>
  <c r="M21" i="64"/>
  <c r="N21" i="64" s="1"/>
  <c r="G10" i="64"/>
  <c r="G11" i="64"/>
  <c r="G12" i="64"/>
  <c r="G13" i="64"/>
  <c r="G14" i="64"/>
  <c r="G15" i="64"/>
  <c r="G16" i="64"/>
  <c r="G17" i="64"/>
  <c r="G18" i="64"/>
  <c r="G19" i="64"/>
  <c r="G20" i="64"/>
  <c r="G22" i="64"/>
  <c r="G73" i="64"/>
  <c r="G9" i="64"/>
  <c r="F11" i="64"/>
  <c r="F12" i="64"/>
  <c r="F13" i="64"/>
  <c r="F14" i="64"/>
  <c r="F15" i="64"/>
  <c r="F16" i="64"/>
  <c r="F17" i="64"/>
  <c r="F18" i="64"/>
  <c r="F19" i="64"/>
  <c r="F20" i="64"/>
  <c r="F22" i="64"/>
  <c r="F73" i="64"/>
  <c r="F3" i="64"/>
  <c r="F10" i="64"/>
  <c r="A10" i="64" l="1"/>
  <c r="B10" i="64"/>
  <c r="J10" i="64"/>
  <c r="M10" i="64"/>
  <c r="N10" i="64" s="1"/>
  <c r="A11" i="64"/>
  <c r="B11" i="64"/>
  <c r="J11" i="64"/>
  <c r="M11" i="64"/>
  <c r="N11" i="64" s="1"/>
  <c r="A12" i="64"/>
  <c r="B12" i="64"/>
  <c r="J12" i="64"/>
  <c r="M12" i="64"/>
  <c r="N12" i="64" s="1"/>
  <c r="A13" i="64"/>
  <c r="B13" i="64"/>
  <c r="J13" i="64"/>
  <c r="M13" i="64"/>
  <c r="N13" i="64" s="1"/>
  <c r="A14" i="64"/>
  <c r="B14" i="64"/>
  <c r="J14" i="64"/>
  <c r="M14" i="64"/>
  <c r="N14" i="64" s="1"/>
  <c r="A15" i="64"/>
  <c r="B15" i="64"/>
  <c r="J15" i="64"/>
  <c r="M15" i="64"/>
  <c r="N15" i="64" s="1"/>
  <c r="A16" i="64"/>
  <c r="B16" i="64"/>
  <c r="J16" i="64"/>
  <c r="M16" i="64"/>
  <c r="N16" i="64" s="1"/>
  <c r="A17" i="64"/>
  <c r="B17" i="64"/>
  <c r="J17" i="64"/>
  <c r="M17" i="64"/>
  <c r="N17" i="64" s="1"/>
  <c r="A18" i="64"/>
  <c r="B18" i="64"/>
  <c r="J18" i="64"/>
  <c r="M18" i="64"/>
  <c r="N18" i="64" s="1"/>
  <c r="A19" i="64"/>
  <c r="B19" i="64"/>
  <c r="J19" i="64"/>
  <c r="M19" i="64"/>
  <c r="N19" i="64" s="1"/>
  <c r="A20" i="64"/>
  <c r="B20" i="64"/>
  <c r="J20" i="64"/>
  <c r="M20" i="64"/>
  <c r="N20" i="64" s="1"/>
  <c r="A22" i="64"/>
  <c r="B22" i="64"/>
  <c r="J22" i="64"/>
  <c r="M22" i="64"/>
  <c r="N22" i="64" s="1"/>
  <c r="A73" i="64"/>
  <c r="B73" i="64"/>
  <c r="J73" i="64"/>
  <c r="M73" i="64"/>
  <c r="N73" i="64" s="1"/>
  <c r="N80" i="68" l="1"/>
  <c r="N79" i="68"/>
  <c r="N78" i="68"/>
  <c r="N77" i="68"/>
  <c r="N76" i="68"/>
  <c r="N75" i="68"/>
  <c r="N74" i="68"/>
  <c r="N73" i="68"/>
  <c r="N72" i="68"/>
  <c r="N71" i="68"/>
  <c r="N70" i="68"/>
  <c r="M81" i="68"/>
  <c r="L81" i="68"/>
  <c r="H81" i="68"/>
  <c r="G81" i="68"/>
  <c r="F81" i="68"/>
  <c r="E81" i="68"/>
  <c r="D81" i="68"/>
  <c r="N4" i="68"/>
  <c r="N81" i="68" l="1"/>
  <c r="N118" i="68"/>
  <c r="N117" i="68"/>
  <c r="N115" i="68"/>
  <c r="N114" i="68"/>
  <c r="N113" i="68"/>
  <c r="N112" i="68"/>
  <c r="N111" i="68"/>
  <c r="N110" i="68"/>
  <c r="N109" i="68"/>
  <c r="N108" i="68"/>
  <c r="M68" i="68"/>
  <c r="L68" i="68"/>
  <c r="H68" i="68"/>
  <c r="G68" i="68"/>
  <c r="F68" i="68"/>
  <c r="E68" i="68"/>
  <c r="D68" i="68"/>
  <c r="C68" i="68"/>
  <c r="N67" i="68"/>
  <c r="N66" i="68"/>
  <c r="N65" i="68"/>
  <c r="N64" i="68"/>
  <c r="N63" i="68"/>
  <c r="N62" i="68"/>
  <c r="N61" i="68"/>
  <c r="N60" i="68"/>
  <c r="N59" i="68"/>
  <c r="N58" i="68"/>
  <c r="N57" i="68"/>
  <c r="N56" i="68"/>
  <c r="M55" i="68"/>
  <c r="L55" i="68"/>
  <c r="H55" i="68"/>
  <c r="G55" i="68"/>
  <c r="F55" i="68"/>
  <c r="E55" i="68"/>
  <c r="D55" i="68"/>
  <c r="C55" i="68"/>
  <c r="N54" i="68"/>
  <c r="N53" i="68"/>
  <c r="N52" i="68"/>
  <c r="N51" i="68"/>
  <c r="N50" i="68"/>
  <c r="N49" i="68"/>
  <c r="N48" i="68"/>
  <c r="N47" i="68"/>
  <c r="N46" i="68"/>
  <c r="N45" i="68"/>
  <c r="N44" i="68"/>
  <c r="N43" i="68"/>
  <c r="M42" i="68"/>
  <c r="L42" i="68"/>
  <c r="H42" i="68"/>
  <c r="G42" i="68"/>
  <c r="F42" i="68"/>
  <c r="E42" i="68"/>
  <c r="D42" i="68"/>
  <c r="C42" i="68"/>
  <c r="N41" i="68"/>
  <c r="N40" i="68"/>
  <c r="N39" i="68"/>
  <c r="N38" i="68"/>
  <c r="N37" i="68"/>
  <c r="N36" i="68"/>
  <c r="N35" i="68"/>
  <c r="N34" i="68"/>
  <c r="N33" i="68"/>
  <c r="N32" i="68"/>
  <c r="N31" i="68"/>
  <c r="N30" i="68"/>
  <c r="M29" i="68"/>
  <c r="L29" i="68"/>
  <c r="H29" i="68"/>
  <c r="G29" i="68"/>
  <c r="F29" i="68"/>
  <c r="E29" i="68"/>
  <c r="D29" i="68"/>
  <c r="C29" i="68"/>
  <c r="N28" i="68"/>
  <c r="N27" i="68"/>
  <c r="N26" i="68"/>
  <c r="N25" i="68"/>
  <c r="N24" i="68"/>
  <c r="N23" i="68"/>
  <c r="N22" i="68"/>
  <c r="N21" i="68"/>
  <c r="N20" i="68"/>
  <c r="N19" i="68"/>
  <c r="N18" i="68"/>
  <c r="N17" i="68"/>
  <c r="M16" i="68"/>
  <c r="L16" i="68"/>
  <c r="H16" i="68"/>
  <c r="H264" i="68" s="1"/>
  <c r="G16" i="68"/>
  <c r="F16" i="68"/>
  <c r="E16" i="68"/>
  <c r="D16" i="68"/>
  <c r="C16" i="68"/>
  <c r="N15" i="68"/>
  <c r="N14" i="68"/>
  <c r="N13" i="68"/>
  <c r="N12" i="68"/>
  <c r="N11" i="68"/>
  <c r="N10" i="68"/>
  <c r="N9" i="68"/>
  <c r="N8" i="68"/>
  <c r="N6" i="68"/>
  <c r="N5" i="68"/>
  <c r="G264" i="68" l="1"/>
  <c r="F264" i="68"/>
  <c r="L264" i="68"/>
  <c r="M264" i="68"/>
  <c r="C264" i="68"/>
  <c r="D264" i="68"/>
  <c r="E264" i="68"/>
  <c r="N68" i="68"/>
  <c r="N55" i="68"/>
  <c r="N42" i="68"/>
  <c r="N29" i="68"/>
  <c r="N16" i="68"/>
  <c r="N264" i="68" l="1"/>
  <c r="F9" i="64" l="1"/>
  <c r="H9" i="64"/>
  <c r="G2597" i="64"/>
  <c r="A9" i="64"/>
  <c r="A2597" i="64"/>
  <c r="B9" i="64"/>
  <c r="B2597" i="64"/>
  <c r="J9" i="64"/>
  <c r="J2597" i="64"/>
  <c r="M9" i="64"/>
  <c r="N9" i="64" s="1"/>
  <c r="M2597" i="64"/>
  <c r="N2597" i="64" s="1"/>
  <c r="A6" i="64"/>
  <c r="B6" i="64"/>
  <c r="F6" i="64"/>
  <c r="G6" i="64"/>
  <c r="H6" i="64"/>
  <c r="J6" i="64"/>
  <c r="M6" i="64"/>
  <c r="N6" i="64" s="1"/>
  <c r="A7" i="64"/>
  <c r="B7" i="64"/>
  <c r="F7" i="64"/>
  <c r="G7" i="64"/>
  <c r="H7" i="64"/>
  <c r="J7" i="64"/>
  <c r="M7" i="64"/>
  <c r="N7" i="64" s="1"/>
  <c r="A8" i="64"/>
  <c r="B8" i="64"/>
  <c r="F8" i="64"/>
  <c r="G8" i="64"/>
  <c r="H8" i="64"/>
  <c r="J8" i="64"/>
  <c r="M8" i="64"/>
  <c r="N8" i="64" s="1"/>
  <c r="Q3" i="64" l="1"/>
  <c r="R3" i="64" s="1"/>
  <c r="S3" i="64"/>
  <c r="U3" i="64"/>
  <c r="V3" i="64"/>
  <c r="Q4" i="64"/>
  <c r="R4" i="64" s="1"/>
  <c r="S4" i="64"/>
  <c r="U4" i="64"/>
  <c r="V4" i="64"/>
  <c r="Q5" i="64"/>
  <c r="R5" i="64" s="1"/>
  <c r="S5" i="64"/>
  <c r="U5" i="64"/>
  <c r="V5" i="64"/>
  <c r="V2" i="64"/>
  <c r="U2" i="64"/>
  <c r="S2" i="64"/>
  <c r="Q2" i="64"/>
  <c r="R2" i="64" s="1"/>
  <c r="A2" i="64" l="1"/>
  <c r="A3" i="64"/>
  <c r="A4" i="64"/>
  <c r="A5" i="64"/>
  <c r="B2" i="64"/>
  <c r="B3" i="64"/>
  <c r="B4" i="64"/>
  <c r="B5" i="64"/>
  <c r="J2" i="64"/>
  <c r="J3" i="64"/>
  <c r="J4" i="64"/>
  <c r="J5" i="64"/>
  <c r="N2" i="64"/>
  <c r="M3" i="64"/>
  <c r="N3" i="64" s="1"/>
  <c r="M4" i="64"/>
  <c r="N4" i="64" s="1"/>
  <c r="M5" i="64"/>
  <c r="N5" i="64" s="1"/>
  <c r="F2" i="64"/>
  <c r="T2" i="64" s="1"/>
  <c r="G2" i="64"/>
  <c r="H2" i="64"/>
  <c r="G3" i="64"/>
  <c r="H3" i="64"/>
  <c r="F4" i="64"/>
  <c r="T4" i="64" s="1"/>
  <c r="G4" i="64"/>
  <c r="H4" i="64"/>
  <c r="F5" i="64"/>
  <c r="G5" i="64"/>
  <c r="H5" i="64"/>
  <c r="N2598" i="64" l="1"/>
  <c r="T3" i="64"/>
  <c r="T5" i="64"/>
</calcChain>
</file>

<file path=xl/sharedStrings.xml><?xml version="1.0" encoding="utf-8"?>
<sst xmlns="http://schemas.openxmlformats.org/spreadsheetml/2006/main" count="1292" uniqueCount="267">
  <si>
    <t>Date</t>
  </si>
  <si>
    <t>No</t>
  </si>
  <si>
    <t>Township</t>
  </si>
  <si>
    <t>Stock ID</t>
  </si>
  <si>
    <t>Particular</t>
  </si>
  <si>
    <t>ml</t>
  </si>
  <si>
    <t>ကုန်သည်</t>
  </si>
  <si>
    <t>လိပ်စာ</t>
  </si>
  <si>
    <t>ကုန်ရောင်း(လက်ငင်း)</t>
  </si>
  <si>
    <t>ကုန်ရောင်း(အကြွေး)</t>
  </si>
  <si>
    <t>ကုန်ရောင်းပြန်သွင်း</t>
  </si>
  <si>
    <t>အကွဲ</t>
  </si>
  <si>
    <t>လက်ဆောင်</t>
  </si>
  <si>
    <t>ဖောက်တိုက်</t>
  </si>
  <si>
    <t>ကော်မရှင်</t>
  </si>
  <si>
    <t>အရက်ဖာကော်မရှင်</t>
  </si>
  <si>
    <t>ဈေးဟောင်းလျှော့</t>
  </si>
  <si>
    <t>700-Col</t>
  </si>
  <si>
    <t>Columbus Whisky 700 Ml</t>
  </si>
  <si>
    <t>350-Col</t>
  </si>
  <si>
    <t>Columbus Whisky 350 Ml</t>
  </si>
  <si>
    <t>175-Col</t>
  </si>
  <si>
    <t>Columbus Whisky 175 Ml</t>
  </si>
  <si>
    <t>700-SRS</t>
  </si>
  <si>
    <t>Columbus Super Red Smooth 700 Ml</t>
  </si>
  <si>
    <t>350-SRS</t>
  </si>
  <si>
    <t>Columbus Super Red Smooth 350 Ml</t>
  </si>
  <si>
    <t>175-SRS</t>
  </si>
  <si>
    <t>Columbus Super Red Smooth 175 Ml</t>
  </si>
  <si>
    <t>Formula Rum 700ml</t>
  </si>
  <si>
    <t>700-FR</t>
  </si>
  <si>
    <t>Formula Rum 350ml</t>
  </si>
  <si>
    <t>350-FR</t>
  </si>
  <si>
    <t>Year</t>
  </si>
  <si>
    <t>Month</t>
  </si>
  <si>
    <t>ကုန်သည်အမည်</t>
  </si>
  <si>
    <t>StockName</t>
  </si>
  <si>
    <t>ML</t>
  </si>
  <si>
    <t>Sales</t>
  </si>
  <si>
    <t>Qty</t>
  </si>
  <si>
    <t>Whisky</t>
  </si>
  <si>
    <t>Formula</t>
  </si>
  <si>
    <t>Column1</t>
  </si>
  <si>
    <t>Car No.</t>
  </si>
  <si>
    <t>PG Name</t>
  </si>
  <si>
    <t>Bonus</t>
  </si>
  <si>
    <t>MMK</t>
  </si>
  <si>
    <t>Shop name</t>
  </si>
  <si>
    <t>Shop Address</t>
  </si>
  <si>
    <t xml:space="preserve">Township </t>
  </si>
  <si>
    <t>Ph.no</t>
  </si>
  <si>
    <t>Columbus Super red smooth</t>
  </si>
  <si>
    <t>Columbus Original</t>
  </si>
  <si>
    <t>Formula Rum</t>
  </si>
  <si>
    <t>Total</t>
  </si>
  <si>
    <t>700ml</t>
  </si>
  <si>
    <t>350ml</t>
  </si>
  <si>
    <t>175ml</t>
  </si>
  <si>
    <t>Outlet Name</t>
  </si>
  <si>
    <t>Product Name</t>
  </si>
  <si>
    <t>Sales Qtys</t>
  </si>
  <si>
    <t>Column2</t>
  </si>
  <si>
    <t>Name</t>
  </si>
  <si>
    <t>မိတ္ထီလာ</t>
  </si>
  <si>
    <t>TT</t>
  </si>
  <si>
    <t>ထိပ်ထား</t>
  </si>
  <si>
    <t>လေးမျက်နှာတိုက်တမ်း</t>
  </si>
  <si>
    <t>ကောင်းသန့်-၂</t>
  </si>
  <si>
    <t>နာရီစင်</t>
  </si>
  <si>
    <t>စံသုခ</t>
  </si>
  <si>
    <t>စည်းခုံကြီး</t>
  </si>
  <si>
    <t>တက်လမ်း</t>
  </si>
  <si>
    <t>ဝန်ဇင်း</t>
  </si>
  <si>
    <t>PGSales</t>
  </si>
  <si>
    <t>KT-2</t>
  </si>
  <si>
    <t>STK</t>
  </si>
  <si>
    <t>TL</t>
  </si>
  <si>
    <t>မေဇင်ထွန်း</t>
  </si>
  <si>
    <t>ဖြိုးစန္ဒာကျော်</t>
  </si>
  <si>
    <t>Ever Top</t>
  </si>
  <si>
    <t>ရန်မျိုးအောင်</t>
  </si>
  <si>
    <t>HH</t>
  </si>
  <si>
    <t>ဟိဏ်းထက်</t>
  </si>
  <si>
    <t>စက်မှု့ဇုန်</t>
  </si>
  <si>
    <t>ရဲမာန်ဟိန်း</t>
  </si>
  <si>
    <t>ရွှေလွန်းပျံ</t>
  </si>
  <si>
    <t>Liquar House</t>
  </si>
  <si>
    <t>PTK</t>
  </si>
  <si>
    <t>YMH</t>
  </si>
  <si>
    <t>SLP</t>
  </si>
  <si>
    <t>HP</t>
  </si>
  <si>
    <t>လှိုင်ဖြိုး</t>
  </si>
  <si>
    <t>ပြည်သာယာ</t>
  </si>
  <si>
    <t>စိန်ခြယ်</t>
  </si>
  <si>
    <t>ညောင်အိုင့်</t>
  </si>
  <si>
    <t>SC</t>
  </si>
  <si>
    <t>09-690521828</t>
  </si>
  <si>
    <t>09-448159614</t>
  </si>
  <si>
    <t>7Q-8019</t>
  </si>
  <si>
    <t>SC-2</t>
  </si>
  <si>
    <t>စိန်ခြယ်-2</t>
  </si>
  <si>
    <t>ကောင်းထက်သူ</t>
  </si>
  <si>
    <t>ကျောက်ပန်းတောင်း</t>
  </si>
  <si>
    <t>လွင်</t>
  </si>
  <si>
    <t>ကောင်းစုဝေ</t>
  </si>
  <si>
    <t>တက်လူ</t>
  </si>
  <si>
    <t>ဒေါ်ခင်စန်းမြင့်</t>
  </si>
  <si>
    <t>ဦးသိန်းစိုး</t>
  </si>
  <si>
    <t>ဦးစိုးဝင်း</t>
  </si>
  <si>
    <t>KHT</t>
  </si>
  <si>
    <t>Lwin</t>
  </si>
  <si>
    <t>KSW</t>
  </si>
  <si>
    <t>Tlu</t>
  </si>
  <si>
    <t>Daw KSM</t>
  </si>
  <si>
    <t>UTS</t>
  </si>
  <si>
    <t>USW</t>
  </si>
  <si>
    <t>Hlaing</t>
  </si>
  <si>
    <t>လှိုင်</t>
  </si>
  <si>
    <t>ဈေးလမ်း</t>
  </si>
  <si>
    <t>ညောင်ဦးလမ်း</t>
  </si>
  <si>
    <t>ပြည်တော်သာလမ်း</t>
  </si>
  <si>
    <t>ဘူတာလမ်း</t>
  </si>
  <si>
    <t>ပုဂံလမ်း</t>
  </si>
  <si>
    <t>၆ လမ်း</t>
  </si>
  <si>
    <t>KA</t>
  </si>
  <si>
    <t>ကိုအောင်</t>
  </si>
  <si>
    <t>S</t>
  </si>
  <si>
    <t>Smart</t>
  </si>
  <si>
    <t>ဘူတာဟောင်းလမ်း</t>
  </si>
  <si>
    <t>PTT</t>
  </si>
  <si>
    <t>ပစ်တိုင်းထောင်</t>
  </si>
  <si>
    <t>တောမ</t>
  </si>
  <si>
    <t>ပြည့်လျှံ</t>
  </si>
  <si>
    <t>PS</t>
  </si>
  <si>
    <t>ST</t>
  </si>
  <si>
    <t>Super Top</t>
  </si>
  <si>
    <t>KSS</t>
  </si>
  <si>
    <t>ကောင်းစုစံ</t>
  </si>
  <si>
    <t>TK</t>
  </si>
  <si>
    <t>The King</t>
  </si>
  <si>
    <t>မြို့သစ်</t>
  </si>
  <si>
    <t>ရွှေမြင့်မိုရ်</t>
  </si>
  <si>
    <t>အန်တီရှမ်း</t>
  </si>
  <si>
    <t>သဇင်ဖြူ</t>
  </si>
  <si>
    <t>ရွှေတောင်</t>
  </si>
  <si>
    <t>7-Colour</t>
  </si>
  <si>
    <t>SMM</t>
  </si>
  <si>
    <t>A Shan</t>
  </si>
  <si>
    <t>7C</t>
  </si>
  <si>
    <t>TZP</t>
  </si>
  <si>
    <t>S Taung</t>
  </si>
  <si>
    <t>700-NT</t>
  </si>
  <si>
    <t>Ngwe Taung  700ml</t>
  </si>
  <si>
    <t>Ngwe
Taung</t>
  </si>
  <si>
    <t>MHP</t>
  </si>
  <si>
    <t>KNS</t>
  </si>
  <si>
    <t>Dmon</t>
  </si>
  <si>
    <t>မင်းထက်ပိုင်</t>
  </si>
  <si>
    <t>ခိုင်နီဆွေ</t>
  </si>
  <si>
    <t>ဒိုင်းမွန်း</t>
  </si>
  <si>
    <t>ပေါက်ချောင်း</t>
  </si>
  <si>
    <t>G9</t>
  </si>
  <si>
    <t>Galaxy-9</t>
  </si>
  <si>
    <t>ပြည်သာယာ-၆လမ်း</t>
  </si>
  <si>
    <t>KMH</t>
  </si>
  <si>
    <t>သင်းသင်းစိုး</t>
  </si>
  <si>
    <t>ဇွန်ပန်းခိုင်</t>
  </si>
  <si>
    <t>A T</t>
  </si>
  <si>
    <t>အရှေ့တိုင်း</t>
  </si>
  <si>
    <t>စည်သူရပ်</t>
  </si>
  <si>
    <t>S Shwe</t>
  </si>
  <si>
    <t>စိန်ရွှေ</t>
  </si>
  <si>
    <t>Y3</t>
  </si>
  <si>
    <t>ယူနန်-3</t>
  </si>
  <si>
    <t>SS</t>
  </si>
  <si>
    <t>ရွှေလျှံ</t>
  </si>
  <si>
    <t>DNL</t>
  </si>
  <si>
    <t>ဒီနားလေး</t>
  </si>
  <si>
    <t>Htet</t>
  </si>
  <si>
    <t>HP-2</t>
  </si>
  <si>
    <t>လှိုင်ဖြိုး-2</t>
  </si>
  <si>
    <t>SL</t>
  </si>
  <si>
    <t>ရွှေခြင်္သေ့</t>
  </si>
  <si>
    <t>PTH</t>
  </si>
  <si>
    <t>ဈေးကြီးလမ်း</t>
  </si>
  <si>
    <t>ဖိုးသာထူး</t>
  </si>
  <si>
    <t>ကျွဲတပ်စုံ</t>
  </si>
  <si>
    <t>မေမိုးသူ</t>
  </si>
  <si>
    <t>မမေမိုးသူ</t>
  </si>
  <si>
    <t>1 to 11</t>
  </si>
  <si>
    <t>MHL</t>
  </si>
  <si>
    <t>KPT</t>
  </si>
  <si>
    <t>နှင်းနန္ဒာဝင်း</t>
  </si>
  <si>
    <t>ထိပ်သီး</t>
  </si>
  <si>
    <t>HT</t>
  </si>
  <si>
    <t>1.10.2025</t>
  </si>
  <si>
    <t>2.10.2025</t>
  </si>
  <si>
    <t>3.10.2025</t>
  </si>
  <si>
    <t>4.10.2025</t>
  </si>
  <si>
    <t>7.10.2025</t>
  </si>
  <si>
    <t>8.10.2025</t>
  </si>
  <si>
    <t>9.10.2025</t>
  </si>
  <si>
    <t>10.10.2025</t>
  </si>
  <si>
    <t>11.10.2025</t>
  </si>
  <si>
    <t>13.10.2025</t>
  </si>
  <si>
    <t>14.10.2025</t>
  </si>
  <si>
    <t>15.10.2025</t>
  </si>
  <si>
    <t>1.11.25</t>
  </si>
  <si>
    <t>ACT</t>
  </si>
  <si>
    <t>အောင်ချမ်းသာ</t>
  </si>
  <si>
    <t>3.11.25</t>
  </si>
  <si>
    <t>5.11.25</t>
  </si>
  <si>
    <t>6.11.25</t>
  </si>
  <si>
    <t>ထက်ဝေခိုင်</t>
  </si>
  <si>
    <t>7.11.25</t>
  </si>
  <si>
    <t>8.11.25</t>
  </si>
  <si>
    <t>10.11.25</t>
  </si>
  <si>
    <t>11.11.25</t>
  </si>
  <si>
    <t>ကျီတော်ကုန်း</t>
  </si>
  <si>
    <t>ရဲနောင်</t>
  </si>
  <si>
    <t>YN</t>
  </si>
  <si>
    <t>12.11.25</t>
  </si>
  <si>
    <t>700-TS</t>
  </si>
  <si>
    <t>350-TS</t>
  </si>
  <si>
    <t>Testing Sample 700ml</t>
  </si>
  <si>
    <t>Testing Sample 350ml</t>
  </si>
  <si>
    <t>13.11.25</t>
  </si>
  <si>
    <t>14.11.25</t>
  </si>
  <si>
    <t>Testing Sample</t>
  </si>
  <si>
    <t>15.11.25</t>
  </si>
  <si>
    <t>17.11.25</t>
  </si>
  <si>
    <t>BB</t>
  </si>
  <si>
    <t>18.11.25</t>
  </si>
  <si>
    <t>19.11.25</t>
  </si>
  <si>
    <t>20.11.25</t>
  </si>
  <si>
    <t>21.11.25</t>
  </si>
  <si>
    <t>22.11.25</t>
  </si>
  <si>
    <t>24.11.25</t>
  </si>
  <si>
    <t>ရွှေအိမ်စည်</t>
  </si>
  <si>
    <t>ကောင်းပေ့</t>
  </si>
  <si>
    <t>SES</t>
  </si>
  <si>
    <t>CP</t>
  </si>
  <si>
    <t>25.11.25</t>
  </si>
  <si>
    <t>26.11.25</t>
  </si>
  <si>
    <t>28.11.25</t>
  </si>
  <si>
    <t>27.11.25</t>
  </si>
  <si>
    <t>29.11.25</t>
  </si>
  <si>
    <t>မိုနာလီဇာ</t>
  </si>
  <si>
    <t>MNLZ</t>
  </si>
  <si>
    <t>Ayar Min Beverages Co.,Ltd.(MTL) PG Sales for 2026</t>
  </si>
  <si>
    <t>2026 Total</t>
  </si>
  <si>
    <t>ID</t>
  </si>
  <si>
    <t>SalesBot</t>
  </si>
  <si>
    <t>RS</t>
  </si>
  <si>
    <t>RS-525</t>
  </si>
  <si>
    <t>BOC လမ်းထိပ်</t>
  </si>
  <si>
    <t>NF</t>
  </si>
  <si>
    <t>ကမ္ဘာသစ်</t>
  </si>
  <si>
    <t>နှင်းဝေထွန်း</t>
  </si>
  <si>
    <t>AK</t>
  </si>
  <si>
    <t xml:space="preserve"> နှင်းဝေထွန်း</t>
  </si>
  <si>
    <t>ခင်မျိုးမျိုး</t>
  </si>
  <si>
    <t>Meikhtila  PG Sale Report (01-02-2026) to (15-02-2026)</t>
  </si>
  <si>
    <t>နှင်းသက်မွန်</t>
  </si>
  <si>
    <t xml:space="preserve"> နှင်းသက်မွန်</t>
  </si>
  <si>
    <t>ကေဇာလင်း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</si>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</sst>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10000455]0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Pyidaungsu"/>
      <family val="2"/>
    </font>
    <font>
      <sz val="10"/>
      <name val="Pyidaungsu"/>
      <family val="2"/>
    </font>
    <font>
      <b/>
      <sz val="10"/>
      <name val="Pyidaungsu"/>
      <family val="2"/>
    </font>
    <font>
      <sz val="10"/>
      <color rgb="FFFF0000"/>
      <name val="Pyidaungsu"/>
      <family val="2"/>
    </font>
    <font>
      <b/>
      <sz val="10"/>
      <color theme="0"/>
      <name val="Pyidaungsu"/>
      <family val="2"/>
    </font>
    <font>
      <b/>
      <sz val="10"/>
      <color rgb="FFFF0000"/>
      <name val="Pyidaungsu"/>
      <family val="2"/>
    </font>
    <font>
      <sz val="8"/>
      <name val="Aptos Narrow"/>
      <family val="2"/>
      <scheme val="minor"/>
    </font>
    <font>
      <sz val="11"/>
      <color theme="1"/>
      <name val="Zawgyi-One"/>
      <family val="2"/>
    </font>
    <font>
      <sz val="12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2"/>
      <color theme="1"/>
      <name val="Pyidaungsu"/>
      <family val="2"/>
    </font>
    <font>
      <sz val="11"/>
      <color theme="1"/>
      <name val="Pyidaungsu"/>
      <family val="2"/>
    </font>
    <font>
      <sz val="10"/>
      <color theme="1"/>
      <name val="Candara"/>
      <family val="2"/>
    </font>
    <font>
      <b/>
      <sz val="10"/>
      <color theme="1"/>
      <name val="Candara"/>
      <family val="2"/>
    </font>
    <font>
      <b/>
      <sz val="10"/>
      <color theme="1"/>
      <name val="Pyidaungsu"/>
      <family val="2"/>
    </font>
    <font>
      <b/>
      <sz val="13"/>
      <color theme="1"/>
      <name val="Pyidaungsu"/>
      <family val="2"/>
    </font>
    <font>
      <b/>
      <sz val="11"/>
      <color theme="1"/>
      <name val="Pyidaungsu"/>
      <family val="2"/>
    </font>
    <font>
      <sz val="10"/>
      <color theme="1"/>
      <name val="Pyidaungsu"/>
      <family val="2"/>
    </font>
    <font>
      <sz val="10"/>
      <color rgb="FFFF0000"/>
      <name val="Pyidaungsu"/>
      <family val="2"/>
    </font>
    <font>
      <sz val="10"/>
      <name val="Pyidaungsu"/>
      <family val="2"/>
    </font>
    <font>
      <sz val="10"/>
      <color theme="1"/>
      <name val="Pyidaungsu"/>
      <family val="2"/>
    </font>
    <font>
      <sz val="10"/>
      <color rgb="FFFF0000"/>
      <name val="Pyidaungsu"/>
      <family val="2"/>
    </font>
    <font>
      <sz val="10"/>
      <color theme="1"/>
      <name val="Pyidaungsu"/>
      <family val="2"/>
    </font>
    <font>
      <sz val="10"/>
      <color rgb="FFFF0000"/>
      <name val="Pyidaungsu"/>
      <family val="2"/>
    </font>
    <font>
      <sz val="10"/>
      <color theme="1"/>
      <name val="Pyidaungsu"/>
      <family val="2"/>
    </font>
    <font>
      <sz val="10"/>
      <color rgb="FFFF0000"/>
      <name val="Pyidaungsu"/>
      <family val="2"/>
    </font>
    <font>
      <sz val="11"/>
      <color rgb="FF9C57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/>
      <bottom style="thin">
        <color theme="7" tint="0.39997558519241921"/>
      </bottom>
      <diagonal/>
    </border>
    <border>
      <left/>
      <right/>
      <top style="thin">
        <color theme="7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0" fillId="0" borderId="0"/>
    <xf numFmtId="43" fontId="9" fillId="0" borderId="0" applyFont="0" applyFill="0" applyBorder="0" applyAlignment="0" applyProtection="0"/>
    <xf numFmtId="0" fontId="9" fillId="0" borderId="0"/>
    <xf numFmtId="0" fontId="1" fillId="4" borderId="0" applyNumberFormat="0" applyBorder="0" applyAlignment="0" applyProtection="0"/>
    <xf numFmtId="0" fontId="11" fillId="3" borderId="0" applyNumberFormat="0" applyBorder="0" applyAlignment="0" applyProtection="0"/>
    <xf numFmtId="0" fontId="30" fillId="11" borderId="0" applyNumberFormat="0" applyBorder="0" applyAlignment="0" applyProtection="0"/>
    <xf numFmtId="0" fontId="11" fillId="3" borderId="0" applyNumberFormat="0" applyBorder="0" applyAlignment="0" applyProtection="0"/>
  </cellStyleXfs>
  <cellXfs count="132">
    <xf numFmtId="0" fontId="0" fillId="0" borderId="0" xfId="0"/>
    <xf numFmtId="0" fontId="3" fillId="0" borderId="0" xfId="0" applyFont="1" applyAlignment="1">
      <alignment horizontal="center" vertical="center"/>
    </xf>
    <xf numFmtId="164" fontId="2" fillId="0" borderId="0" xfId="1" applyNumberFormat="1" applyFont="1" applyFill="1" applyBorder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2" borderId="0" xfId="0" applyFont="1" applyFill="1"/>
    <xf numFmtId="0" fontId="3" fillId="0" borderId="0" xfId="0" applyFont="1"/>
    <xf numFmtId="0" fontId="2" fillId="0" borderId="0" xfId="0" applyFont="1" applyAlignment="1">
      <alignment horizontal="left" indent="1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2" fillId="0" borderId="2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164" fontId="2" fillId="0" borderId="0" xfId="1" applyNumberFormat="1" applyFont="1" applyFill="1" applyAlignment="1">
      <alignment vertical="center"/>
    </xf>
    <xf numFmtId="14" fontId="16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164" fontId="16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15" fillId="6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164" fontId="3" fillId="0" borderId="7" xfId="1" applyNumberFormat="1" applyFont="1" applyFill="1" applyBorder="1" applyAlignment="1">
      <alignment vertical="center"/>
    </xf>
    <xf numFmtId="164" fontId="4" fillId="7" borderId="7" xfId="1" applyNumberFormat="1" applyFont="1" applyFill="1" applyBorder="1"/>
    <xf numFmtId="164" fontId="3" fillId="0" borderId="7" xfId="1" applyNumberFormat="1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 vertical="center"/>
    </xf>
    <xf numFmtId="164" fontId="7" fillId="7" borderId="7" xfId="1" applyNumberFormat="1" applyFont="1" applyFill="1" applyBorder="1" applyAlignment="1">
      <alignment horizontal="center" vertical="center"/>
    </xf>
    <xf numFmtId="164" fontId="18" fillId="7" borderId="7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17" fontId="2" fillId="0" borderId="7" xfId="0" applyNumberFormat="1" applyFont="1" applyBorder="1" applyAlignment="1">
      <alignment horizontal="center" vertical="center"/>
    </xf>
    <xf numFmtId="164" fontId="2" fillId="0" borderId="7" xfId="1" applyNumberFormat="1" applyFont="1" applyBorder="1" applyAlignment="1">
      <alignment vertical="center"/>
    </xf>
    <xf numFmtId="164" fontId="2" fillId="0" borderId="0" xfId="1" applyNumberFormat="1" applyFont="1" applyAlignment="1">
      <alignment vertical="center"/>
    </xf>
    <xf numFmtId="164" fontId="18" fillId="0" borderId="7" xfId="1" applyNumberFormat="1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164" fontId="7" fillId="0" borderId="7" xfId="1" applyNumberFormat="1" applyFont="1" applyBorder="1" applyAlignment="1">
      <alignment vertic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1" fillId="0" borderId="1" xfId="0" applyFont="1" applyBorder="1" applyAlignment="1">
      <alignment vertical="center"/>
    </xf>
    <xf numFmtId="14" fontId="22" fillId="0" borderId="1" xfId="0" applyNumberFormat="1" applyFont="1" applyBorder="1" applyAlignment="1">
      <alignment horizontal="center" vertical="center"/>
    </xf>
    <xf numFmtId="14" fontId="22" fillId="0" borderId="0" xfId="0" applyNumberFormat="1" applyFont="1" applyAlignment="1">
      <alignment horizontal="center" vertical="center"/>
    </xf>
    <xf numFmtId="164" fontId="21" fillId="0" borderId="0" xfId="1" applyNumberFormat="1" applyFont="1" applyFill="1" applyAlignment="1">
      <alignment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14" fontId="5" fillId="0" borderId="3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64" fontId="5" fillId="8" borderId="0" xfId="0" applyNumberFormat="1" applyFont="1" applyFill="1" applyAlignment="1">
      <alignment vertical="center"/>
    </xf>
    <xf numFmtId="0" fontId="2" fillId="7" borderId="0" xfId="0" applyFont="1" applyFill="1" applyAlignment="1">
      <alignment horizontal="center"/>
    </xf>
    <xf numFmtId="0" fontId="2" fillId="7" borderId="0" xfId="0" applyFont="1" applyFill="1"/>
    <xf numFmtId="0" fontId="2" fillId="9" borderId="0" xfId="0" applyFont="1" applyFill="1"/>
    <xf numFmtId="0" fontId="21" fillId="9" borderId="0" xfId="0" applyFont="1" applyFill="1"/>
    <xf numFmtId="0" fontId="21" fillId="7" borderId="0" xfId="0" applyFont="1" applyFill="1"/>
    <xf numFmtId="0" fontId="15" fillId="6" borderId="7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vertical="center"/>
    </xf>
    <xf numFmtId="14" fontId="25" fillId="0" borderId="1" xfId="0" applyNumberFormat="1" applyFont="1" applyBorder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164" fontId="24" fillId="0" borderId="0" xfId="1" applyNumberFormat="1" applyFont="1" applyFill="1" applyAlignment="1">
      <alignment vertical="center"/>
    </xf>
    <xf numFmtId="164" fontId="2" fillId="10" borderId="0" xfId="1" applyNumberFormat="1" applyFont="1" applyFill="1" applyAlignment="1">
      <alignment vertical="center"/>
    </xf>
    <xf numFmtId="0" fontId="26" fillId="0" borderId="1" xfId="0" applyFont="1" applyBorder="1" applyAlignment="1">
      <alignment vertical="center"/>
    </xf>
    <xf numFmtId="14" fontId="27" fillId="0" borderId="1" xfId="0" applyNumberFormat="1" applyFont="1" applyBorder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164" fontId="26" fillId="0" borderId="0" xfId="1" applyNumberFormat="1" applyFont="1" applyFill="1" applyAlignment="1">
      <alignment vertical="center"/>
    </xf>
    <xf numFmtId="0" fontId="28" fillId="0" borderId="1" xfId="0" applyFont="1" applyBorder="1" applyAlignment="1">
      <alignment vertical="center"/>
    </xf>
    <xf numFmtId="14" fontId="29" fillId="0" borderId="0" xfId="0" applyNumberFormat="1" applyFont="1" applyAlignment="1">
      <alignment horizontal="center" vertical="center"/>
    </xf>
    <xf numFmtId="164" fontId="28" fillId="0" borderId="0" xfId="1" applyNumberFormat="1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43" fontId="13" fillId="8" borderId="0" xfId="0" applyNumberFormat="1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64" fontId="3" fillId="10" borderId="7" xfId="1" applyNumberFormat="1" applyFont="1" applyFill="1" applyBorder="1" applyAlignment="1">
      <alignment vertical="center"/>
    </xf>
    <xf numFmtId="0" fontId="0" fillId="2" borderId="0" xfId="0" applyFill="1"/>
    <xf numFmtId="0" fontId="30" fillId="2" borderId="0" xfId="8" applyFill="1"/>
    <xf numFmtId="14" fontId="7" fillId="0" borderId="2" xfId="0" applyNumberFormat="1" applyFont="1" applyBorder="1" applyAlignment="1">
      <alignment horizontal="center" vertical="center"/>
    </xf>
    <xf numFmtId="14" fontId="29" fillId="0" borderId="1" xfId="0" applyNumberFormat="1" applyFont="1" applyBorder="1" applyAlignment="1">
      <alignment horizontal="center" vertical="center"/>
    </xf>
    <xf numFmtId="14" fontId="13" fillId="0" borderId="0" xfId="0" applyNumberFormat="1" applyFont="1" applyAlignment="1">
      <alignment vertical="center"/>
    </xf>
    <xf numFmtId="165" fontId="3" fillId="0" borderId="0" xfId="0" applyNumberFormat="1" applyFont="1" applyAlignment="1">
      <alignment horizontal="left" vertical="center"/>
    </xf>
    <xf numFmtId="0" fontId="11" fillId="3" borderId="0" xfId="9"/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43" fontId="7" fillId="0" borderId="2" xfId="1" applyFont="1" applyFill="1" applyBorder="1" applyAlignment="1">
      <alignment horizontal="center" vertical="center"/>
    </xf>
    <xf numFmtId="43" fontId="13" fillId="0" borderId="0" xfId="1" applyFont="1" applyFill="1" applyAlignment="1">
      <alignment vertical="center"/>
    </xf>
    <xf numFmtId="17" fontId="7" fillId="0" borderId="7" xfId="0" applyNumberFormat="1" applyFont="1" applyBorder="1" applyAlignment="1">
      <alignment horizontal="center" vertical="center"/>
    </xf>
    <xf numFmtId="0" fontId="20" fillId="7" borderId="7" xfId="0" applyFont="1" applyFill="1" applyBorder="1" applyAlignment="1">
      <alignment horizontal="center" vertical="center"/>
    </xf>
    <xf numFmtId="0" fontId="20" fillId="1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0" borderId="9" xfId="0" quotePrefix="1" applyFont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/>
    </xf>
    <xf numFmtId="0" fontId="19" fillId="5" borderId="5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13" borderId="8" xfId="0" applyFont="1" applyFill="1" applyBorder="1" applyAlignment="1">
      <alignment horizontal="center" vertical="center"/>
    </xf>
    <xf numFmtId="0" fontId="20" fillId="13" borderId="9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20" fillId="7" borderId="8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19" fillId="13" borderId="7" xfId="0" applyFont="1" applyFill="1" applyBorder="1" applyAlignment="1">
      <alignment horizontal="center" vertical="center"/>
    </xf>
    <xf numFmtId="0" fontId="20" fillId="12" borderId="7" xfId="0" applyFont="1" applyFill="1" applyBorder="1" applyAlignment="1">
      <alignment horizontal="center" vertical="center"/>
    </xf>
    <xf numFmtId="0" fontId="20" fillId="12" borderId="4" xfId="0" applyFont="1" applyFill="1" applyBorder="1" applyAlignment="1">
      <alignment horizontal="center" vertical="center" wrapText="1"/>
    </xf>
    <xf numFmtId="0" fontId="20" fillId="12" borderId="6" xfId="0" applyFont="1" applyFill="1" applyBorder="1" applyAlignment="1">
      <alignment horizontal="center" vertical="center" wrapText="1"/>
    </xf>
  </cellXfs>
  <cellStyles count="10">
    <cellStyle name="40% - Accent4 2" xfId="6" xr:uid="{00000000-0005-0000-0000-000000000000}"/>
    <cellStyle name="Bad" xfId="9" builtinId="27"/>
    <cellStyle name="Bad 2" xfId="7" xr:uid="{00000000-0005-0000-0000-000002000000}"/>
    <cellStyle name="Comma" xfId="1" builtinId="3"/>
    <cellStyle name="Comma 2" xfId="4" xr:uid="{00000000-0005-0000-0000-000004000000}"/>
    <cellStyle name="Neutral" xfId="8" builtinId="28"/>
    <cellStyle name="Normal" xfId="0" builtinId="0"/>
    <cellStyle name="Normal 2" xfId="5" xr:uid="{00000000-0005-0000-0000-000007000000}"/>
    <cellStyle name="Normal 2 2" xfId="3" xr:uid="{00000000-0005-0000-0000-000008000000}"/>
    <cellStyle name="Normal 4" xfId="2" xr:uid="{00000000-0005-0000-0000-000009000000}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scheme val="none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scheme val="none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scheme val="none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scheme val="none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scheme val="none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scheme val="none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scheme val="none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scheme val="none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scheme val="none"/>
      </font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scheme val="none"/>
      </font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scheme val="none"/>
      </font>
      <numFmt numFmtId="30" formatCode="@"/>
      <fill>
        <patternFill patternType="none">
          <fgColor theme="4" tint="0.79998168889431442"/>
          <bgColor auto="1"/>
        </patternFill>
      </fill>
      <alignment horizontal="general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scheme val="none"/>
      </font>
      <numFmt numFmtId="30" formatCode="@"/>
      <fill>
        <patternFill patternType="none">
          <fgColor theme="4" tint="0.79998168889431442"/>
          <bgColor auto="1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scheme val="none"/>
      </font>
      <numFmt numFmtId="30" formatCode="@"/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Pyidaungsu"/>
        <scheme val="none"/>
      </font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Pyidaungsu"/>
        <family val="2"/>
        <scheme val="none"/>
      </font>
      <numFmt numFmtId="164" formatCode="_(* #,##0_);_(* \(#,##0\);_(* &quot;-&quot;??_);_(@_)"/>
      <fill>
        <patternFill patternType="solid">
          <fgColor indexed="64"/>
          <bgColor rgb="FF92D05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Pyidaungsu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family val="2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Pyidaungsu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ptos Narrow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92D05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0000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0000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0000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Pyidaungsu"/>
        <family val="2"/>
        <scheme val="none"/>
      </font>
      <numFmt numFmtId="19" formatCode="dd/mm/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Pyidaungsu"/>
        <scheme val="none"/>
      </font>
      <numFmt numFmtId="19" formatCode="dd/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Pyidaungsu"/>
        <family val="2"/>
        <scheme val="none"/>
      </font>
      <numFmt numFmtId="19" formatCode="dd/mm/yy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Pyidaungsu"/>
        <scheme val="none"/>
      </font>
      <numFmt numFmtId="166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strike val="0"/>
        <outline val="0"/>
        <shadow val="0"/>
        <u val="none"/>
        <vertAlign val="baseline"/>
        <sz val="10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border outline="0">
        <left style="thin">
          <color theme="7" tint="0.39997558519241921"/>
        </left>
        <top style="thin">
          <color theme="7" tint="0.39997558519241921"/>
        </top>
      </border>
    </dxf>
    <dxf>
      <font>
        <strike val="0"/>
        <outline val="0"/>
        <shadow val="0"/>
        <u val="none"/>
        <vertAlign val="baseline"/>
        <sz val="10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border outline="0">
        <bottom style="thin">
          <color theme="7" tint="0.39997558519241921"/>
        </bottom>
      </border>
    </dxf>
    <dxf>
      <font>
        <strike val="0"/>
        <outline val="0"/>
        <shadow val="0"/>
        <u val="none"/>
        <vertAlign val="baseline"/>
        <sz val="10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660066"/>
      <color rgb="FFFFFF66"/>
      <color rgb="FFCC0066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o%20Sai%20&#4123;&#4116;&#4154;&#4096;&#4143;&#4116;&#4154;&#4129;&#4121;&#4155;&#4141;&#4143;&#4152;&#4129;&#4101;&#4140;&#4152;&#4129;&#4124;&#4141;&#4143;&#4096;&#4154;&#4129;&#4123;&#4145;&#4140;&#4100;&#4154;&#4152;\Ko%20Sai\2024%20%20%20%20(BE)%20%20&#4129;&#4123;&#4145;&#4140;&#4100;&#4154;&#4152;\Ko%20Sai%20-%20%20%20Mar%20-%202024%20-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dmin/Downloads/SLP%20Daily_1.xlsx" TargetMode="External"/><Relationship Id="rId1" Type="http://schemas.openxmlformats.org/officeDocument/2006/relationships/externalLinkPath" Target="/Users/Admin/Downloads/SLP%20Daily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 +Col (Total)  "/>
      <sheetName val="Sheet5"/>
      <sheetName val="BE Mar"/>
      <sheetName val="Market ( Mar) "/>
      <sheetName val="BE Mar (2)"/>
      <sheetName val="Market ( Mar)  (2)"/>
      <sheetName val="Kosai( Mar)  (3)"/>
      <sheetName val="Table"/>
      <sheetName val="Ko Sai -   Mar - 2024 - - Cop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5.1.22"/>
      <sheetName val="6.1.22"/>
      <sheetName val="7.1.22"/>
      <sheetName val="8.1.22"/>
      <sheetName val="9.1.22"/>
      <sheetName val="10.1.22"/>
      <sheetName val="11.1.22"/>
      <sheetName val="12.1.22"/>
      <sheetName val="13.1.22"/>
      <sheetName val="14.1.22"/>
      <sheetName val="24.1.22"/>
      <sheetName val="25.1.22"/>
      <sheetName val="26.1.22"/>
      <sheetName val="27.1.22"/>
      <sheetName val="28.1.22"/>
      <sheetName val="29.1.22"/>
      <sheetName val="30.1.22"/>
      <sheetName val="31.1.22"/>
      <sheetName val="1.2.22"/>
      <sheetName val="2.2.22"/>
      <sheetName val="3.2.22"/>
      <sheetName val="4.2.22"/>
      <sheetName val="5.2.22"/>
      <sheetName val="6.2.22"/>
      <sheetName val="7.2.22"/>
      <sheetName val="8.2.22"/>
      <sheetName val="9.2.22"/>
      <sheetName val="10.2.22"/>
      <sheetName val="11.2.22"/>
      <sheetName val="12.2.22"/>
      <sheetName val="13.2.22"/>
      <sheetName val="14.2.22"/>
      <sheetName val="15.2.22"/>
      <sheetName val="16.2.22"/>
      <sheetName val="17.2.22"/>
      <sheetName val="18.2.22"/>
      <sheetName val="19.2.22"/>
      <sheetName val="20.2.22"/>
      <sheetName val="21.2.22"/>
      <sheetName val="22.2.22"/>
      <sheetName val="23.2.22"/>
      <sheetName val="24.2.22"/>
      <sheetName val="25.2.22"/>
      <sheetName val="26.2.22"/>
      <sheetName val="27.2.22"/>
      <sheetName val="28.2.22"/>
      <sheetName val="1.3.22"/>
      <sheetName val="2.3.22"/>
      <sheetName val="3.3.22"/>
      <sheetName val="4.3.22"/>
      <sheetName val="5.3.22"/>
      <sheetName val="6.3.22"/>
      <sheetName val="7.3.22"/>
      <sheetName val="8.3.22"/>
      <sheetName val="9.3.22"/>
      <sheetName val="10.3.22"/>
      <sheetName val="11.3.22"/>
      <sheetName val="12.3.22"/>
      <sheetName val="13.3.22"/>
      <sheetName val="14.3.22"/>
      <sheetName val="15.3.22"/>
      <sheetName val="17.3.22"/>
      <sheetName val="18.3.22"/>
      <sheetName val="19.3.22"/>
      <sheetName val="20.3.22"/>
      <sheetName val="21.3.22"/>
      <sheetName val="22.3.22"/>
      <sheetName val="23.3.22"/>
      <sheetName val="24.3.22"/>
      <sheetName val="25.3.22"/>
      <sheetName val="26.3.22"/>
      <sheetName val="27.3.22"/>
      <sheetName val="28.3.22"/>
      <sheetName val="29.3.22"/>
      <sheetName val="30.3.22"/>
      <sheetName val="31.3.22"/>
      <sheetName val="1.4.22"/>
      <sheetName val="2.4.22"/>
      <sheetName val="3.4.22"/>
      <sheetName val="4.4.22"/>
      <sheetName val="5.4.22"/>
      <sheetName val="6.4.22"/>
      <sheetName val="7.4.22"/>
      <sheetName val="8.4.22"/>
      <sheetName val="9.4.22"/>
      <sheetName val="10.4.22"/>
      <sheetName val="11.4.22"/>
      <sheetName val="12.4.22"/>
      <sheetName val="18.4.22"/>
      <sheetName val="19.4.22"/>
      <sheetName val="20.4.22"/>
      <sheetName val="21.4.22"/>
      <sheetName val="22.4.22"/>
      <sheetName val="23.4.22"/>
      <sheetName val="24.4.22"/>
      <sheetName val="25.4.22"/>
      <sheetName val="26.4.22"/>
      <sheetName val="27.4.22"/>
      <sheetName val="28.4.22"/>
      <sheetName val="29.4.22"/>
      <sheetName val="30.4.22"/>
      <sheetName val="1.5.22"/>
      <sheetName val="2.5.22"/>
      <sheetName val="3.5.22"/>
      <sheetName val="4.5.22"/>
      <sheetName val="5.5.22"/>
      <sheetName val="6.5.22"/>
      <sheetName val="7.5.22"/>
      <sheetName val="8.5.22"/>
      <sheetName val="9.5.22"/>
      <sheetName val="10.5.22"/>
      <sheetName val="11.5.22"/>
      <sheetName val="12.5.22"/>
      <sheetName val="13.5.22"/>
      <sheetName val="14.5.22"/>
      <sheetName val="15.5.22"/>
      <sheetName val="16.5.22"/>
      <sheetName val="17.5.22"/>
      <sheetName val="18.5.22"/>
      <sheetName val="19.5.22"/>
      <sheetName val="20.5.22"/>
      <sheetName val="21.5.22"/>
      <sheetName val="22.5.22"/>
      <sheetName val="23.5.22"/>
      <sheetName val="24.5.22"/>
      <sheetName val="25.5.22"/>
      <sheetName val="26.5.22"/>
      <sheetName val="27.5.22"/>
      <sheetName val="28.5.22"/>
      <sheetName val="29.5.22"/>
      <sheetName val="30.5.22"/>
      <sheetName val="31.5.22"/>
      <sheetName val="1.6.22"/>
      <sheetName val="2.6.22"/>
      <sheetName val="3.6.22"/>
      <sheetName val="4.6.22"/>
      <sheetName val="6.6.22"/>
      <sheetName val="7.6.22"/>
      <sheetName val="8.6.22"/>
      <sheetName val="9.6.22"/>
      <sheetName val="10.6.22"/>
      <sheetName val="11.6.22"/>
      <sheetName val="13.6.22"/>
      <sheetName val="14.6.22"/>
      <sheetName val="15.6.22"/>
      <sheetName val="16.6.22"/>
      <sheetName val="17.6.22"/>
      <sheetName val="18.6.22"/>
      <sheetName val="20.6.22"/>
      <sheetName val="21.6.22"/>
      <sheetName val="22.6.22"/>
      <sheetName val="23.6.22"/>
      <sheetName val="24.6.22"/>
      <sheetName val="25.6.22"/>
      <sheetName val="27.6.22"/>
      <sheetName val="28.6.22"/>
      <sheetName val="29.6.22"/>
      <sheetName val="30.6.22"/>
      <sheetName val="1.7.22"/>
      <sheetName val="2.7.22"/>
      <sheetName val="3.7.22"/>
      <sheetName val="4.7.22"/>
      <sheetName val="5.7.22"/>
      <sheetName val="6.7.22"/>
      <sheetName val="7.7.22"/>
      <sheetName val="8.7.22"/>
      <sheetName val="9.7.22"/>
      <sheetName val="10.7.22"/>
      <sheetName val="11.7.22"/>
      <sheetName val="13.7.22"/>
      <sheetName val="14.7.22"/>
      <sheetName val="15.7.22"/>
      <sheetName val="16.7.22"/>
      <sheetName val="17.7.22"/>
      <sheetName val="18.7.22"/>
      <sheetName val="19.7.22"/>
      <sheetName val="20.7.22"/>
      <sheetName val="21.7.22"/>
      <sheetName val="22.7.22"/>
      <sheetName val="23.7.22"/>
      <sheetName val="24.7.22"/>
      <sheetName val="25.7.22"/>
      <sheetName val="26.7.22"/>
      <sheetName val="27.7.22"/>
      <sheetName val="28.7.22"/>
      <sheetName val="29.7.22"/>
      <sheetName val="30.7.22"/>
      <sheetName val="31.7.22"/>
      <sheetName val="1.8.22"/>
      <sheetName val="2.8.22"/>
      <sheetName val="3.8.22"/>
      <sheetName val="4.8.22"/>
      <sheetName val="5.8.22"/>
      <sheetName val="6.8.22"/>
      <sheetName val="7.8.22"/>
      <sheetName val="8.8.22"/>
      <sheetName val="9.8.22"/>
      <sheetName val="10.8.22"/>
      <sheetName val="11.8.22"/>
      <sheetName val="12.8.22"/>
      <sheetName val="13.8.22"/>
      <sheetName val="14.8.22"/>
      <sheetName val="15.8.22"/>
      <sheetName val="16.8.22"/>
      <sheetName val="17.8.22"/>
      <sheetName val="18.8.22"/>
      <sheetName val="19.8.22"/>
      <sheetName val="20.8.22"/>
      <sheetName val="21.8.22"/>
      <sheetName val="22.8.22"/>
      <sheetName val="23.8.22"/>
      <sheetName val="24.8.22"/>
      <sheetName val="25.8.22"/>
      <sheetName val="26.8.22"/>
      <sheetName val="27.8.22"/>
      <sheetName val="28.8.22"/>
      <sheetName val="29.8.22"/>
      <sheetName val="30.8.22"/>
      <sheetName val="31.8.22"/>
      <sheetName val="1.9.22"/>
      <sheetName val="2.9.22"/>
      <sheetName val="3.9.22"/>
      <sheetName val="5.9.22"/>
      <sheetName val="6.9.22"/>
      <sheetName val="7.9.22"/>
      <sheetName val="8.9.22"/>
      <sheetName val="9.9.22"/>
      <sheetName val="10.9.22"/>
      <sheetName val="12.9.22"/>
      <sheetName val="13.9.22"/>
      <sheetName val="14.9.22"/>
      <sheetName val="15.9.22"/>
      <sheetName val="16.9.22"/>
      <sheetName val="17.9.22"/>
      <sheetName val="19.9.22"/>
      <sheetName val="20.9.22"/>
      <sheetName val="21.9.22"/>
      <sheetName val="22.9.22"/>
      <sheetName val="23.9.22"/>
      <sheetName val="24.9.22"/>
      <sheetName val="26.9.22"/>
      <sheetName val="27.9.22"/>
      <sheetName val="28.9.22"/>
      <sheetName val="29.9.22"/>
      <sheetName val="30.9.22"/>
      <sheetName val="1.10.22"/>
      <sheetName val="3.10.22"/>
      <sheetName val="4.10.22"/>
      <sheetName val="5.10.22"/>
      <sheetName val="6.10.22"/>
      <sheetName val="7.10.22"/>
      <sheetName val="8.10.22"/>
      <sheetName val="10.10.22"/>
      <sheetName val="11.10.22"/>
      <sheetName val="12.10.22"/>
      <sheetName val="13.10.22"/>
      <sheetName val="14.10.22"/>
      <sheetName val="15.10.22"/>
      <sheetName val="17.1022"/>
      <sheetName val="18.10.22"/>
      <sheetName val="19.10.22"/>
      <sheetName val="20.10.22"/>
      <sheetName val="21.10.22"/>
      <sheetName val="22.10.22"/>
      <sheetName val="24.10.22"/>
      <sheetName val="25.10.22"/>
      <sheetName val="26.10.22"/>
      <sheetName val="27.10.22"/>
      <sheetName val="28.10.22"/>
      <sheetName val="29.10.22"/>
      <sheetName val="31.10.22"/>
      <sheetName val="1.11.22"/>
      <sheetName val="2.11.22"/>
      <sheetName val="3.11.22"/>
      <sheetName val="4.11.22"/>
      <sheetName val="5.11.22"/>
      <sheetName val="8.11.22"/>
      <sheetName val="9.11.22"/>
      <sheetName val="10.11.22"/>
      <sheetName val="11.11.22"/>
      <sheetName val="12.11.22"/>
      <sheetName val="14.11.22"/>
      <sheetName val="15.11.22"/>
      <sheetName val="16.11.22"/>
      <sheetName val="17.11.22"/>
      <sheetName val="18.11.22"/>
      <sheetName val="19.11.22"/>
      <sheetName val="21.11.22"/>
      <sheetName val="22.11.22"/>
      <sheetName val="23.11.22"/>
      <sheetName val="24.11.22"/>
      <sheetName val="25.11.22"/>
      <sheetName val="26.11.22"/>
      <sheetName val="28.11.22"/>
      <sheetName val="29.11.22"/>
      <sheetName val="30.11.22"/>
      <sheetName val="1.12.22"/>
      <sheetName val="2.12.22"/>
      <sheetName val="3.12.22"/>
      <sheetName val="5.12.22"/>
      <sheetName val="6.12.22"/>
      <sheetName val="7.12.22"/>
      <sheetName val="8.12.22"/>
      <sheetName val="9.12.22"/>
      <sheetName val="10.12.22"/>
      <sheetName val="12.12.22"/>
      <sheetName val="13.12.22"/>
      <sheetName val="14.12.22"/>
      <sheetName val="15.12.22"/>
      <sheetName val="16.12.22"/>
      <sheetName val="17.12.22"/>
      <sheetName val="19.12.22"/>
      <sheetName val="20.12.22"/>
      <sheetName val="21.12.22"/>
      <sheetName val="22.12.22"/>
      <sheetName val="23.12.22"/>
      <sheetName val="24.12.22"/>
      <sheetName val="26.12.22"/>
      <sheetName val="27.12.22"/>
      <sheetName val="28.12.22"/>
      <sheetName val="29.12.22"/>
      <sheetName val="30.12.22"/>
      <sheetName val="31.12.22"/>
      <sheetName val="2.1.23"/>
      <sheetName val="3.1.23"/>
      <sheetName val="5.1.23"/>
      <sheetName val="6.1.23"/>
      <sheetName val="7.1.23"/>
      <sheetName val="9.1.23"/>
      <sheetName val="10.1.23"/>
      <sheetName val="11.1.23"/>
      <sheetName val="12.1.23"/>
      <sheetName val="13.1.23"/>
      <sheetName val="14.1.23"/>
      <sheetName val="16.1.23"/>
      <sheetName val="17.1.23"/>
      <sheetName val="18.1.23"/>
      <sheetName val="19.1.23"/>
      <sheetName val="20.1.23"/>
      <sheetName val="21.1.23"/>
      <sheetName val="23.1.23"/>
      <sheetName val="24.1.23"/>
      <sheetName val="25.1.23"/>
      <sheetName val="26.1.23"/>
      <sheetName val="27.1.23"/>
      <sheetName val="28.1.23"/>
      <sheetName val="30.1.23"/>
      <sheetName val="31.1.23"/>
      <sheetName val="1.2.23"/>
      <sheetName val="2.2.23"/>
      <sheetName val="3.2.23"/>
      <sheetName val="4.2.23"/>
      <sheetName val="6.2.23"/>
      <sheetName val="7.2.23"/>
      <sheetName val="8.2.23"/>
      <sheetName val="9.2.23"/>
      <sheetName val="10.2.23"/>
      <sheetName val="11.2.23"/>
      <sheetName val="13.2.23"/>
      <sheetName val="14.2.23"/>
      <sheetName val="15.2.23"/>
      <sheetName val="16.2.23"/>
      <sheetName val="17.2.23"/>
      <sheetName val="18.2.23"/>
      <sheetName val="20.2.23"/>
      <sheetName val="21.2.23"/>
      <sheetName val="22.2.23"/>
      <sheetName val="23.2.23"/>
      <sheetName val="24.2.23"/>
      <sheetName val="25.2.23"/>
      <sheetName val="27.2.23"/>
      <sheetName val="28.2.23"/>
      <sheetName val=" 1.3.23"/>
      <sheetName val="2.3.23"/>
      <sheetName val="3.3.23"/>
      <sheetName val="4.3.23"/>
      <sheetName val="6.3.23"/>
      <sheetName val="7.3.23"/>
      <sheetName val="8.3.23"/>
      <sheetName val="9.3.23"/>
      <sheetName val="10.3.23"/>
      <sheetName val="11.3.23"/>
      <sheetName val="13.3.23"/>
      <sheetName val="14.3.23"/>
      <sheetName val="15.3.23"/>
      <sheetName val="16.3.23"/>
      <sheetName val="17.3.23"/>
      <sheetName val="18.3.23"/>
      <sheetName val="20.3.23"/>
      <sheetName val="21.3.23"/>
      <sheetName val="22.3.23"/>
      <sheetName val="23.3.23"/>
      <sheetName val="24.3.23"/>
      <sheetName val="25.3.23"/>
      <sheetName val="27.3.23"/>
      <sheetName val="28.3.23"/>
      <sheetName val="29.3.23"/>
      <sheetName val="30.3.23"/>
      <sheetName val="31.3.23"/>
      <sheetName val="1.4.23"/>
      <sheetName val="3.4.23"/>
      <sheetName val="4.4.23"/>
      <sheetName val="5.4.23"/>
      <sheetName val="6.4.23"/>
      <sheetName val="7.4.23"/>
      <sheetName val="8.4.23"/>
      <sheetName val="9.4.23"/>
      <sheetName val="10.4.23"/>
      <sheetName val="11.4.23"/>
      <sheetName val="12.4.23"/>
      <sheetName val="18.4.23"/>
      <sheetName val="19.4.23"/>
      <sheetName val="20.4.23"/>
      <sheetName val="21.4.23"/>
      <sheetName val="22.4.23"/>
      <sheetName val="24.4.23"/>
      <sheetName val="25.4.23"/>
      <sheetName val="26.4.23"/>
      <sheetName val="27.4.23"/>
      <sheetName val="28.4.23"/>
      <sheetName val="29.4.23"/>
      <sheetName val="1.5.23"/>
      <sheetName val="2.5.23"/>
      <sheetName val="3.5.23"/>
      <sheetName val="4.5.23"/>
      <sheetName val="5.5.23"/>
      <sheetName val="6.5.23"/>
      <sheetName val="8.5.23"/>
      <sheetName val="9.5.23"/>
      <sheetName val="10.5.23"/>
      <sheetName val="11.5.23"/>
      <sheetName val="12.5.23"/>
      <sheetName val="13.5.23"/>
      <sheetName val="15.5.23"/>
      <sheetName val="16.5.23"/>
      <sheetName val="17.5.23"/>
      <sheetName val="18.5.23"/>
      <sheetName val="19.5.23"/>
      <sheetName val="20.5.23"/>
      <sheetName val="22.5.23"/>
      <sheetName val="23.5.23"/>
      <sheetName val="24.5.23"/>
      <sheetName val="25.5.23"/>
      <sheetName val="26.5.23"/>
      <sheetName val="27.5.23"/>
      <sheetName val="29.5.23"/>
      <sheetName val="30.5.23"/>
      <sheetName val="31.5.23"/>
      <sheetName val="1.6.23"/>
      <sheetName val="2.6.23"/>
      <sheetName val="3.6.23"/>
      <sheetName val="5.6.23"/>
      <sheetName val="6.6.23"/>
      <sheetName val="7.6.23"/>
      <sheetName val="8.6.23"/>
      <sheetName val="9.6.23"/>
      <sheetName val="10.6.23"/>
      <sheetName val="12.6.23"/>
      <sheetName val="13.6.23"/>
      <sheetName val="14.6.23"/>
      <sheetName val=" 15.6.23"/>
      <sheetName val="16.6.23"/>
      <sheetName val="17.6.23"/>
      <sheetName val="19.6.23"/>
      <sheetName val="20.6.23"/>
      <sheetName val="21.6.23"/>
      <sheetName val="22.6.23"/>
      <sheetName val="23.6.23"/>
      <sheetName val="24.6.23"/>
      <sheetName val="26.6.23"/>
      <sheetName val="27.6.233"/>
      <sheetName val="28.6.23"/>
      <sheetName val="29.6.23"/>
      <sheetName val="30.6.23"/>
      <sheetName val="1.7.23"/>
      <sheetName val="3.7.23"/>
      <sheetName val="4.7.23"/>
      <sheetName val="5.7.23"/>
      <sheetName val="6.7.23"/>
      <sheetName val="7.7.23"/>
      <sheetName val="8.7.23"/>
      <sheetName val="10.7.23"/>
      <sheetName val="12.7.23"/>
      <sheetName val="13.7.23"/>
      <sheetName val="14.7.23"/>
      <sheetName val="15.7.23"/>
      <sheetName val="17.7.23"/>
      <sheetName val="18.7.23"/>
      <sheetName val="19.7.23"/>
      <sheetName val="20.7.23"/>
      <sheetName val="21.7.23"/>
      <sheetName val="22.7.23"/>
      <sheetName val="24.7.23"/>
      <sheetName val="25.7.23"/>
      <sheetName val="26.7.23"/>
      <sheetName val="27.7.23"/>
      <sheetName val="28.7.23"/>
      <sheetName val="29.7.23"/>
      <sheetName val="30.7.23"/>
      <sheetName val="31.7.23"/>
      <sheetName val="1.8.23"/>
      <sheetName val="2.8.23"/>
      <sheetName val="3.8.23"/>
      <sheetName val="4.8.23"/>
      <sheetName val="5.8.23"/>
      <sheetName val="7.8.23"/>
      <sheetName val="8.8.23"/>
      <sheetName val="9.8.23"/>
      <sheetName val="10.8.23"/>
      <sheetName val="11.8.23"/>
      <sheetName val="12.8.23"/>
      <sheetName val="14.8.23"/>
      <sheetName val="13.8.23"/>
      <sheetName val="15.8.23"/>
      <sheetName val="16.8.23"/>
      <sheetName val="17.8.23"/>
      <sheetName val="18.8.23"/>
      <sheetName val="19.8.23"/>
      <sheetName val="21.8.23"/>
      <sheetName val="22.8.23"/>
      <sheetName val="23.8.23"/>
      <sheetName val="24.8.23"/>
      <sheetName val="25.8.23"/>
      <sheetName val="26.8.23"/>
      <sheetName val="28.8.23"/>
      <sheetName val="29.8.23"/>
      <sheetName val="30.8.23"/>
      <sheetName val="31.8.23"/>
      <sheetName val="1.9.23"/>
      <sheetName val="2.9.23"/>
      <sheetName val="4.9.23"/>
      <sheetName val="5.9.23"/>
      <sheetName val="6.9.23"/>
      <sheetName val="7.9.23"/>
      <sheetName val="8.9.23"/>
      <sheetName val="9.9.23"/>
      <sheetName val="11.9.23"/>
      <sheetName val="12.9.23"/>
      <sheetName val="13.9.23"/>
      <sheetName val="14.9.23"/>
      <sheetName val="15.9.23"/>
      <sheetName val="16.9.23"/>
      <sheetName val="18.9.23"/>
      <sheetName val="19.9.23"/>
      <sheetName val="20.9.23"/>
      <sheetName val="21.9.23"/>
      <sheetName val="22.9.23"/>
      <sheetName val="23.9.23"/>
      <sheetName val="25.9.23"/>
      <sheetName val="26.9.23"/>
      <sheetName val="27.9.23"/>
      <sheetName val="28.9.23"/>
      <sheetName val="29.9.23"/>
      <sheetName val="30.9.23"/>
      <sheetName val="2.10.23"/>
      <sheetName val="3.10.23"/>
      <sheetName val="4.10.23"/>
      <sheetName val="5.10.23"/>
      <sheetName val="6.10.23"/>
      <sheetName val="7.10.23"/>
      <sheetName val="9.10.23"/>
      <sheetName val="10.10.23"/>
      <sheetName val="11.10.23"/>
      <sheetName val="12.10.23"/>
      <sheetName val="13.10.23"/>
      <sheetName val="14.10.23"/>
      <sheetName val="16.10.23"/>
      <sheetName val="17.10.23"/>
      <sheetName val="Sheet1 (2)"/>
      <sheetName val="Sheet1"/>
      <sheetName val="July"/>
      <sheetName val="Aug"/>
      <sheetName val="Sept"/>
      <sheetName val="17.10.23 (5)"/>
      <sheetName val="17.10.23 (6)"/>
      <sheetName val="True1"/>
      <sheetName val="Sept (3)"/>
      <sheetName val="Sept (4)"/>
      <sheetName val="Sheet6"/>
      <sheetName val="True 2"/>
      <sheetName val="Sept (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AV7" t="str">
            <v>လက္ငင္း</v>
          </cell>
        </row>
        <row r="8">
          <cell r="AV8" t="str">
            <v>ကုန္ေႂကြး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7">
          <cell r="AV7" t="str">
            <v>ကုန္ေၾကြး</v>
          </cell>
        </row>
        <row r="8">
          <cell r="AV8" t="str">
            <v>လက္ငင္း</v>
          </cell>
        </row>
        <row r="9">
          <cell r="AV9" t="str">
            <v>ေငြႀကိဳ</v>
          </cell>
        </row>
      </sheetData>
      <sheetData sheetId="37">
        <row r="7">
          <cell r="AV7" t="str">
            <v>လက္ငင္း</v>
          </cell>
        </row>
        <row r="8">
          <cell r="AV8" t="str">
            <v>ကုန္ေႂကြး</v>
          </cell>
        </row>
        <row r="9">
          <cell r="AV9" t="str">
            <v>ေငြႀကိဳမွ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ustomers" displayName="Customers" ref="B1:F62" totalsRowShown="0" headerRowDxfId="29" dataDxfId="27" headerRowBorderDxfId="28" tableBorderDxfId="26" totalsRowBorderDxfId="25">
  <autoFilter ref="B1:F62" xr:uid="{00000000-0009-0000-0100-000002000000}"/>
  <tableColumns count="5">
    <tableColumn id="1" xr3:uid="{00000000-0010-0000-0000-000001000000}" name="No" dataDxfId="24"/>
    <tableColumn id="2" xr3:uid="{00000000-0010-0000-0000-000002000000}" name="ကုန်သည်" dataDxfId="23"/>
    <tableColumn id="5" xr3:uid="{00000000-0010-0000-0000-000005000000}" name="လိပ်စာ" dataDxfId="22"/>
    <tableColumn id="3" xr3:uid="{00000000-0010-0000-0000-000003000000}" name="Township" dataDxfId="21"/>
    <tableColumn id="4" xr3:uid="{00000000-0010-0000-0000-000004000000}" name="Sales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9" displayName="Table9" ref="H1:H10" totalsRowShown="0" headerRowDxfId="19" dataDxfId="17" headerRowBorderDxfId="18" tableBorderDxfId="16" totalsRowBorderDxfId="15">
  <autoFilter ref="H1:H10" xr:uid="{00000000-0009-0000-0100-000003000000}"/>
  <tableColumns count="1">
    <tableColumn id="1" xr3:uid="{00000000-0010-0000-0100-000001000000}" name="Particular" dataDxfId="14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J1:J7" totalsRowShown="0" headerRowDxfId="13" dataDxfId="12">
  <autoFilter ref="J1:J7" xr:uid="{00000000-0009-0000-0100-000005000000}"/>
  <tableColumns count="1">
    <tableColumn id="1" xr3:uid="{00000000-0010-0000-0200-000001000000}" name="Car No." dataDxfId="11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L1:L27" totalsRowShown="0" headerRowDxfId="10" dataDxfId="9">
  <autoFilter ref="L1:L27" xr:uid="{00000000-0009-0000-0100-000006000000}"/>
  <tableColumns count="1">
    <tableColumn id="1" xr3:uid="{00000000-0010-0000-0300-000001000000}" name="PG Name" dataDxfId="8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PGStock" displayName="PGStock" ref="N1:S27" totalsRowShown="0" headerRowDxfId="7" dataDxfId="6">
  <autoFilter ref="N1:S27" xr:uid="{00000000-0009-0000-0100-000007000000}"/>
  <tableColumns count="6">
    <tableColumn id="1" xr3:uid="{00000000-0010-0000-0400-000001000000}" name="Stock ID" dataDxfId="5"/>
    <tableColumn id="2" xr3:uid="{00000000-0010-0000-0400-000002000000}" name="Particular" dataDxfId="4"/>
    <tableColumn id="3" xr3:uid="{00000000-0010-0000-0400-000003000000}" name="ml" dataDxfId="3"/>
    <tableColumn id="4" xr3:uid="{00000000-0010-0000-0400-000004000000}" name="Qty" dataDxfId="2"/>
    <tableColumn id="5" xr3:uid="{00000000-0010-0000-0400-000005000000}" name="Column1" dataDxfId="1"/>
    <tableColumn id="6" xr3:uid="{00000000-0010-0000-0400-000006000000}" name="Bonus" dataDxfId="0"/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le8" displayName="Table8" ref="A1:N2598" totalsRowCount="1" headerRowDxfId="62" dataDxfId="60" totalsRowDxfId="58" headerRowBorderDxfId="61" tableBorderDxfId="59">
  <autoFilter ref="A1:N2597" xr:uid="{00000000-0009-0000-0100-000008000000}"/>
  <tableColumns count="14">
    <tableColumn id="1" xr3:uid="{00000000-0010-0000-0500-000001000000}" name="Year" dataDxfId="57" totalsRowDxfId="56">
      <calculatedColumnFormula>YEAR(C2)</calculatedColumnFormula>
    </tableColumn>
    <tableColumn id="2" xr3:uid="{00000000-0010-0000-0500-000002000000}" name="Month" dataDxfId="55" totalsRowDxfId="54">
      <calculatedColumnFormula>MONTH(C2)</calculatedColumnFormula>
    </tableColumn>
    <tableColumn id="3" xr3:uid="{00000000-0010-0000-0500-000003000000}" name="Date" dataDxfId="53" totalsRowDxfId="52"/>
    <tableColumn id="4" xr3:uid="{00000000-0010-0000-0500-000004000000}" name="PG Name" dataDxfId="51" totalsRowDxfId="50"/>
    <tableColumn id="5" xr3:uid="{00000000-0010-0000-0500-000005000000}" name="ID" dataDxfId="49" totalsRowDxfId="48"/>
    <tableColumn id="6" xr3:uid="{00000000-0010-0000-0500-000006000000}" name="ကုန်သည်အမည်" dataDxfId="47" totalsRowDxfId="46"/>
    <tableColumn id="7" xr3:uid="{00000000-0010-0000-0500-000007000000}" name="လိပ်စာ" dataDxfId="45" totalsRowDxfId="44"/>
    <tableColumn id="8" xr3:uid="{00000000-0010-0000-0500-000008000000}" name="Sales" dataDxfId="43" totalsRowDxfId="42"/>
    <tableColumn id="9" xr3:uid="{00000000-0010-0000-0500-000009000000}" name="Column2" dataDxfId="41" totalsRowDxfId="40"/>
    <tableColumn id="10" xr3:uid="{00000000-0010-0000-0500-00000A000000}" name="StockName" dataDxfId="39" totalsRowDxfId="38">
      <calculatedColumnFormula>VLOOKUP(I2,PGStock[],2,FALSE)</calculatedColumnFormula>
    </tableColumn>
    <tableColumn id="11" xr3:uid="{00000000-0010-0000-0500-00000B000000}" name="ML" dataDxfId="37" totalsRowDxfId="36">
      <calculatedColumnFormula>VLOOKUP(I2,PGStock[],3,FALSE)</calculatedColumnFormula>
    </tableColumn>
    <tableColumn id="12" xr3:uid="{00000000-0010-0000-0500-00000C000000}" name="SalesBot" totalsRowFunction="custom" dataDxfId="35" totalsRowDxfId="34" dataCellStyle="Comma">
      <totalsRowFormula>SUBTOTAL(9,Table8[SalesBot])</totalsRowFormula>
    </tableColumn>
    <tableColumn id="13" xr3:uid="{00000000-0010-0000-0500-00000D000000}" name="Bonus" dataDxfId="33" totalsRowDxfId="32" dataCellStyle="Comma">
      <calculatedColumnFormula>VLOOKUP(I2,PGStock[],6,FALSE)</calculatedColumnFormula>
    </tableColumn>
    <tableColumn id="14" xr3:uid="{00000000-0010-0000-0500-00000E000000}" name="MMK" totalsRowFunction="sum" dataDxfId="31" totalsRowDxfId="30" dataCellStyle="Comma">
      <calculatedColumnFormula>+Table8[[#This Row],[SalesBot]]*Table8[[#This Row],[Bonus]]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S6135"/>
  <sheetViews>
    <sheetView zoomScaleNormal="100" workbookViewId="0">
      <pane ySplit="1" topLeftCell="A2" activePane="bottomLeft" state="frozen"/>
      <selection pane="bottomLeft" activeCell="B14" sqref="B14"/>
    </sheetView>
  </sheetViews>
  <sheetFormatPr defaultColWidth="9.140625" defaultRowHeight="17.25" x14ac:dyDescent="0.45"/>
  <cols>
    <col min="1" max="1" width="2" style="2" customWidth="1"/>
    <col min="2" max="2" width="14.85546875" style="4" bestFit="1" customWidth="1"/>
    <col min="3" max="3" width="16.5703125" style="4" bestFit="1" customWidth="1"/>
    <col min="4" max="5" width="16.5703125" style="4" customWidth="1"/>
    <col min="6" max="6" width="17.42578125" style="4" customWidth="1"/>
    <col min="7" max="7" width="1.5703125" style="3" customWidth="1"/>
    <col min="8" max="8" width="17.42578125" style="3" bestFit="1" customWidth="1"/>
    <col min="9" max="9" width="1.5703125" style="3" customWidth="1"/>
    <col min="10" max="10" width="8" style="3" bestFit="1" customWidth="1"/>
    <col min="11" max="11" width="2" style="3" customWidth="1"/>
    <col min="12" max="12" width="10.42578125" style="3" customWidth="1"/>
    <col min="13" max="13" width="2.42578125" style="3" customWidth="1"/>
    <col min="14" max="14" width="9.42578125" style="3" customWidth="1"/>
    <col min="15" max="15" width="30.42578125" style="3" bestFit="1" customWidth="1"/>
    <col min="16" max="16" width="5.42578125" style="3" bestFit="1" customWidth="1"/>
    <col min="17" max="17" width="5.85546875" style="3" customWidth="1"/>
    <col min="18" max="18" width="10" style="3" customWidth="1"/>
    <col min="19" max="19" width="9.140625" style="3" bestFit="1" customWidth="1"/>
    <col min="20" max="16384" width="9.140625" style="3"/>
  </cols>
  <sheetData>
    <row r="1" spans="2:19" x14ac:dyDescent="0.45">
      <c r="B1" s="6" t="s">
        <v>1</v>
      </c>
      <c r="C1" s="6" t="s">
        <v>6</v>
      </c>
      <c r="D1" s="6" t="s">
        <v>7</v>
      </c>
      <c r="E1" s="6" t="s">
        <v>2</v>
      </c>
      <c r="F1" s="6" t="s">
        <v>38</v>
      </c>
      <c r="H1" s="7" t="s">
        <v>4</v>
      </c>
      <c r="J1" s="8" t="s">
        <v>43</v>
      </c>
      <c r="L1" s="3" t="s">
        <v>44</v>
      </c>
      <c r="N1" s="71" t="s">
        <v>3</v>
      </c>
      <c r="O1" s="71" t="s">
        <v>4</v>
      </c>
      <c r="P1" s="71" t="s">
        <v>5</v>
      </c>
      <c r="Q1" s="71" t="s">
        <v>39</v>
      </c>
      <c r="R1" s="71" t="s">
        <v>42</v>
      </c>
      <c r="S1" s="71" t="s">
        <v>45</v>
      </c>
    </row>
    <row r="2" spans="2:19" x14ac:dyDescent="0.45">
      <c r="B2" s="1" t="s">
        <v>79</v>
      </c>
      <c r="C2" s="13" t="s">
        <v>79</v>
      </c>
      <c r="D2" s="3" t="s">
        <v>80</v>
      </c>
      <c r="E2" s="3" t="s">
        <v>63</v>
      </c>
      <c r="F2" s="1" t="s">
        <v>73</v>
      </c>
      <c r="H2" s="8" t="s">
        <v>8</v>
      </c>
      <c r="J2" s="11" t="s">
        <v>98</v>
      </c>
      <c r="L2" s="73" t="s">
        <v>77</v>
      </c>
      <c r="N2" s="72" t="s">
        <v>17</v>
      </c>
      <c r="O2" s="72" t="s">
        <v>18</v>
      </c>
      <c r="P2" s="72">
        <v>0.7</v>
      </c>
      <c r="Q2" s="72">
        <v>12</v>
      </c>
      <c r="R2" s="72" t="s">
        <v>40</v>
      </c>
      <c r="S2" s="72">
        <v>150</v>
      </c>
    </row>
    <row r="3" spans="2:19" x14ac:dyDescent="0.45">
      <c r="B3" s="1" t="s">
        <v>64</v>
      </c>
      <c r="C3" s="13" t="s">
        <v>65</v>
      </c>
      <c r="D3" s="3" t="s">
        <v>66</v>
      </c>
      <c r="E3" s="3" t="s">
        <v>63</v>
      </c>
      <c r="F3" s="1" t="s">
        <v>73</v>
      </c>
      <c r="H3" s="8" t="s">
        <v>9</v>
      </c>
      <c r="J3" s="11"/>
      <c r="L3" s="73" t="s">
        <v>78</v>
      </c>
      <c r="N3" s="72" t="s">
        <v>19</v>
      </c>
      <c r="O3" s="72" t="s">
        <v>20</v>
      </c>
      <c r="P3" s="72">
        <v>0.35</v>
      </c>
      <c r="Q3" s="72">
        <v>24</v>
      </c>
      <c r="R3" s="72" t="s">
        <v>40</v>
      </c>
      <c r="S3" s="72">
        <v>100</v>
      </c>
    </row>
    <row r="4" spans="2:19" x14ac:dyDescent="0.45">
      <c r="B4" s="1" t="s">
        <v>74</v>
      </c>
      <c r="C4" s="13" t="s">
        <v>67</v>
      </c>
      <c r="D4" s="3" t="s">
        <v>68</v>
      </c>
      <c r="E4" s="3" t="s">
        <v>63</v>
      </c>
      <c r="F4" s="1" t="s">
        <v>73</v>
      </c>
      <c r="H4" s="8" t="s">
        <v>10</v>
      </c>
      <c r="J4" s="11"/>
      <c r="L4" s="73" t="s">
        <v>165</v>
      </c>
      <c r="N4" s="72" t="s">
        <v>21</v>
      </c>
      <c r="O4" s="72" t="s">
        <v>22</v>
      </c>
      <c r="P4" s="72">
        <v>0.17499999999999999</v>
      </c>
      <c r="Q4" s="72">
        <v>48</v>
      </c>
      <c r="R4" s="72" t="s">
        <v>40</v>
      </c>
      <c r="S4" s="72">
        <v>50</v>
      </c>
    </row>
    <row r="5" spans="2:19" x14ac:dyDescent="0.45">
      <c r="B5" s="1" t="s">
        <v>75</v>
      </c>
      <c r="C5" s="13" t="s">
        <v>69</v>
      </c>
      <c r="D5" s="3" t="s">
        <v>70</v>
      </c>
      <c r="E5" s="3" t="s">
        <v>63</v>
      </c>
      <c r="F5" s="1" t="s">
        <v>73</v>
      </c>
      <c r="H5" s="8" t="s">
        <v>16</v>
      </c>
      <c r="J5" s="11"/>
      <c r="L5" s="73" t="s">
        <v>166</v>
      </c>
      <c r="N5" s="72" t="s">
        <v>23</v>
      </c>
      <c r="O5" s="72" t="s">
        <v>24</v>
      </c>
      <c r="P5" s="72">
        <v>0.7</v>
      </c>
      <c r="Q5" s="72">
        <v>12</v>
      </c>
      <c r="R5" s="72" t="s">
        <v>40</v>
      </c>
      <c r="S5" s="72">
        <v>150</v>
      </c>
    </row>
    <row r="6" spans="2:19" x14ac:dyDescent="0.45">
      <c r="B6" s="1" t="s">
        <v>76</v>
      </c>
      <c r="C6" s="13" t="s">
        <v>71</v>
      </c>
      <c r="D6" s="3" t="s">
        <v>72</v>
      </c>
      <c r="E6" s="3" t="s">
        <v>63</v>
      </c>
      <c r="F6" s="1" t="s">
        <v>73</v>
      </c>
      <c r="H6" s="8" t="s">
        <v>14</v>
      </c>
      <c r="J6" s="11"/>
      <c r="L6" s="73" t="s">
        <v>187</v>
      </c>
      <c r="N6" s="72" t="s">
        <v>25</v>
      </c>
      <c r="O6" s="72" t="s">
        <v>26</v>
      </c>
      <c r="P6" s="72">
        <v>0.35</v>
      </c>
      <c r="Q6" s="72">
        <v>24</v>
      </c>
      <c r="R6" s="72" t="s">
        <v>40</v>
      </c>
      <c r="S6" s="72">
        <v>100</v>
      </c>
    </row>
    <row r="7" spans="2:19" x14ac:dyDescent="0.45">
      <c r="B7" s="1" t="s">
        <v>81</v>
      </c>
      <c r="C7" s="13" t="s">
        <v>82</v>
      </c>
      <c r="D7" s="3" t="s">
        <v>83</v>
      </c>
      <c r="E7" s="3" t="s">
        <v>63</v>
      </c>
      <c r="F7" s="1" t="s">
        <v>73</v>
      </c>
      <c r="H7" s="8" t="s">
        <v>15</v>
      </c>
      <c r="J7" s="11"/>
      <c r="L7" s="73" t="s">
        <v>192</v>
      </c>
      <c r="N7" s="72" t="s">
        <v>27</v>
      </c>
      <c r="O7" s="72" t="s">
        <v>28</v>
      </c>
      <c r="P7" s="72">
        <v>0.17499999999999999</v>
      </c>
      <c r="Q7" s="72">
        <v>48</v>
      </c>
      <c r="R7" s="72" t="s">
        <v>40</v>
      </c>
      <c r="S7" s="72">
        <v>50</v>
      </c>
    </row>
    <row r="8" spans="2:19" x14ac:dyDescent="0.45">
      <c r="B8" s="1" t="s">
        <v>194</v>
      </c>
      <c r="C8" s="13" t="s">
        <v>193</v>
      </c>
      <c r="D8" s="3" t="s">
        <v>83</v>
      </c>
      <c r="E8" s="3" t="s">
        <v>63</v>
      </c>
      <c r="F8" s="89" t="s">
        <v>73</v>
      </c>
      <c r="H8" s="8" t="s">
        <v>11</v>
      </c>
      <c r="L8" s="73" t="s">
        <v>213</v>
      </c>
      <c r="N8" s="72" t="s">
        <v>30</v>
      </c>
      <c r="O8" s="72" t="s">
        <v>29</v>
      </c>
      <c r="P8" s="72">
        <v>0.7</v>
      </c>
      <c r="Q8" s="72">
        <v>12</v>
      </c>
      <c r="R8" s="72" t="s">
        <v>41</v>
      </c>
      <c r="S8" s="72">
        <v>150</v>
      </c>
    </row>
    <row r="9" spans="2:19" x14ac:dyDescent="0.45">
      <c r="B9" s="1" t="s">
        <v>88</v>
      </c>
      <c r="C9" s="13" t="s">
        <v>84</v>
      </c>
      <c r="D9" s="3" t="s">
        <v>83</v>
      </c>
      <c r="E9" s="3" t="s">
        <v>63</v>
      </c>
      <c r="F9" s="1" t="s">
        <v>73</v>
      </c>
      <c r="H9" s="8" t="s">
        <v>12</v>
      </c>
      <c r="L9" s="73" t="s">
        <v>258</v>
      </c>
      <c r="N9" s="72" t="s">
        <v>32</v>
      </c>
      <c r="O9" s="72" t="s">
        <v>31</v>
      </c>
      <c r="P9" s="72">
        <v>0.35</v>
      </c>
      <c r="Q9" s="72">
        <v>24</v>
      </c>
      <c r="R9" s="72" t="s">
        <v>41</v>
      </c>
      <c r="S9" s="72">
        <v>100</v>
      </c>
    </row>
    <row r="10" spans="2:19" x14ac:dyDescent="0.45">
      <c r="B10" s="1" t="s">
        <v>89</v>
      </c>
      <c r="C10" s="13" t="s">
        <v>85</v>
      </c>
      <c r="D10" s="3" t="s">
        <v>83</v>
      </c>
      <c r="E10" s="3" t="s">
        <v>63</v>
      </c>
      <c r="F10" s="1" t="s">
        <v>73</v>
      </c>
      <c r="H10" s="8" t="s">
        <v>13</v>
      </c>
      <c r="L10" s="73" t="s">
        <v>261</v>
      </c>
      <c r="N10" s="75" t="s">
        <v>151</v>
      </c>
      <c r="O10" s="75" t="s">
        <v>152</v>
      </c>
      <c r="P10" s="75">
        <v>0.7</v>
      </c>
      <c r="Q10" s="75">
        <v>12</v>
      </c>
      <c r="R10" s="75" t="s">
        <v>40</v>
      </c>
      <c r="S10" s="75">
        <v>150</v>
      </c>
    </row>
    <row r="11" spans="2:19" x14ac:dyDescent="0.45">
      <c r="B11" s="1" t="s">
        <v>86</v>
      </c>
      <c r="C11" s="13" t="s">
        <v>86</v>
      </c>
      <c r="D11" s="3" t="s">
        <v>83</v>
      </c>
      <c r="E11" s="3" t="s">
        <v>63</v>
      </c>
      <c r="F11" s="1" t="s">
        <v>73</v>
      </c>
      <c r="H11" s="8"/>
      <c r="L11" s="73" t="s">
        <v>263</v>
      </c>
      <c r="N11" s="72" t="s">
        <v>222</v>
      </c>
      <c r="O11" s="72" t="s">
        <v>224</v>
      </c>
      <c r="P11" s="72">
        <v>0.7</v>
      </c>
      <c r="Q11" s="72">
        <v>12</v>
      </c>
      <c r="R11" s="72" t="s">
        <v>40</v>
      </c>
      <c r="S11" s="72">
        <v>150</v>
      </c>
    </row>
    <row r="12" spans="2:19" x14ac:dyDescent="0.45">
      <c r="B12" s="1" t="s">
        <v>87</v>
      </c>
      <c r="C12" s="13" t="s">
        <v>87</v>
      </c>
      <c r="D12" s="3" t="s">
        <v>83</v>
      </c>
      <c r="E12" s="3" t="s">
        <v>63</v>
      </c>
      <c r="F12" s="1" t="s">
        <v>73</v>
      </c>
      <c r="L12" s="73" t="s">
        <v>265</v>
      </c>
      <c r="N12" s="72" t="s">
        <v>223</v>
      </c>
      <c r="O12" s="72" t="s">
        <v>225</v>
      </c>
      <c r="P12" s="72">
        <v>0.35</v>
      </c>
      <c r="Q12" s="72">
        <v>24</v>
      </c>
      <c r="R12" s="72" t="s">
        <v>40</v>
      </c>
      <c r="S12" s="72">
        <v>100</v>
      </c>
    </row>
    <row r="13" spans="2:19" x14ac:dyDescent="0.45">
      <c r="B13" s="1" t="s">
        <v>90</v>
      </c>
      <c r="C13" s="13" t="s">
        <v>91</v>
      </c>
      <c r="D13" s="3" t="s">
        <v>92</v>
      </c>
      <c r="E13" s="3" t="s">
        <v>63</v>
      </c>
      <c r="F13" s="1" t="s">
        <v>73</v>
      </c>
      <c r="L13" s="73"/>
      <c r="N13" s="72"/>
      <c r="O13" s="72"/>
      <c r="P13" s="72"/>
      <c r="Q13" s="72"/>
      <c r="R13" s="72"/>
      <c r="S13" s="72"/>
    </row>
    <row r="14" spans="2:19" x14ac:dyDescent="0.45">
      <c r="B14" s="1" t="s">
        <v>95</v>
      </c>
      <c r="C14" s="13" t="s">
        <v>93</v>
      </c>
      <c r="D14" s="10" t="s">
        <v>94</v>
      </c>
      <c r="E14" s="3" t="s">
        <v>63</v>
      </c>
      <c r="F14" s="1" t="s">
        <v>73</v>
      </c>
      <c r="L14" s="73"/>
      <c r="N14" s="72"/>
      <c r="O14" s="72"/>
      <c r="P14" s="72"/>
      <c r="Q14" s="72"/>
      <c r="R14" s="72"/>
      <c r="S14" s="72"/>
    </row>
    <row r="15" spans="2:19" x14ac:dyDescent="0.45">
      <c r="B15" s="1" t="s">
        <v>99</v>
      </c>
      <c r="C15" s="13" t="s">
        <v>100</v>
      </c>
      <c r="D15" s="10" t="s">
        <v>94</v>
      </c>
      <c r="E15" s="3" t="s">
        <v>63</v>
      </c>
      <c r="F15" s="1" t="s">
        <v>73</v>
      </c>
      <c r="L15" s="73"/>
      <c r="N15" s="72"/>
      <c r="O15" s="72"/>
      <c r="P15" s="72"/>
      <c r="Q15" s="72"/>
      <c r="R15" s="72"/>
      <c r="S15" s="72"/>
    </row>
    <row r="16" spans="2:19" x14ac:dyDescent="0.45">
      <c r="B16" s="1" t="s">
        <v>109</v>
      </c>
      <c r="C16" s="13" t="s">
        <v>101</v>
      </c>
      <c r="D16" s="3" t="s">
        <v>123</v>
      </c>
      <c r="E16" s="3" t="s">
        <v>102</v>
      </c>
      <c r="F16" s="1" t="s">
        <v>73</v>
      </c>
      <c r="L16" s="73"/>
      <c r="N16" s="72"/>
      <c r="O16" s="72"/>
      <c r="P16" s="72"/>
      <c r="Q16" s="72"/>
      <c r="R16" s="72"/>
      <c r="S16" s="72"/>
    </row>
    <row r="17" spans="2:19" x14ac:dyDescent="0.45">
      <c r="B17" s="1" t="s">
        <v>110</v>
      </c>
      <c r="C17" s="13" t="s">
        <v>103</v>
      </c>
      <c r="D17" s="3" t="s">
        <v>118</v>
      </c>
      <c r="E17" s="3" t="s">
        <v>102</v>
      </c>
      <c r="F17" s="1" t="s">
        <v>73</v>
      </c>
      <c r="L17" s="73"/>
      <c r="N17" s="72"/>
      <c r="O17" s="72"/>
      <c r="P17" s="72"/>
      <c r="Q17" s="72"/>
      <c r="R17" s="72"/>
      <c r="S17" s="72"/>
    </row>
    <row r="18" spans="2:19" x14ac:dyDescent="0.45">
      <c r="B18" s="1" t="s">
        <v>111</v>
      </c>
      <c r="C18" s="13" t="s">
        <v>104</v>
      </c>
      <c r="D18" s="3" t="s">
        <v>119</v>
      </c>
      <c r="E18" s="3" t="s">
        <v>102</v>
      </c>
      <c r="F18" s="1" t="s">
        <v>73</v>
      </c>
      <c r="L18" s="73"/>
      <c r="N18" s="72"/>
      <c r="O18" s="72"/>
      <c r="P18" s="72"/>
      <c r="Q18" s="72"/>
      <c r="R18" s="72"/>
      <c r="S18" s="72"/>
    </row>
    <row r="19" spans="2:19" x14ac:dyDescent="0.45">
      <c r="B19" s="1" t="s">
        <v>112</v>
      </c>
      <c r="C19" s="13" t="s">
        <v>105</v>
      </c>
      <c r="D19" s="3" t="s">
        <v>120</v>
      </c>
      <c r="E19" s="3" t="s">
        <v>102</v>
      </c>
      <c r="F19" s="1" t="s">
        <v>73</v>
      </c>
      <c r="L19" s="73"/>
      <c r="N19" s="72"/>
      <c r="O19" s="72"/>
      <c r="P19" s="72"/>
      <c r="Q19" s="72"/>
      <c r="R19" s="72"/>
      <c r="S19" s="72"/>
    </row>
    <row r="20" spans="2:19" x14ac:dyDescent="0.45">
      <c r="B20" s="1" t="s">
        <v>113</v>
      </c>
      <c r="C20" s="13" t="s">
        <v>106</v>
      </c>
      <c r="D20" s="3" t="s">
        <v>121</v>
      </c>
      <c r="E20" s="3" t="s">
        <v>102</v>
      </c>
      <c r="F20" s="1" t="s">
        <v>73</v>
      </c>
      <c r="L20" s="73"/>
      <c r="N20" s="72"/>
      <c r="O20" s="72"/>
      <c r="P20" s="72"/>
      <c r="Q20" s="72"/>
      <c r="R20" s="72"/>
      <c r="S20" s="72"/>
    </row>
    <row r="21" spans="2:19" x14ac:dyDescent="0.45">
      <c r="B21" s="1" t="s">
        <v>114</v>
      </c>
      <c r="C21" s="13" t="s">
        <v>107</v>
      </c>
      <c r="D21" s="3" t="s">
        <v>122</v>
      </c>
      <c r="E21" s="3" t="s">
        <v>102</v>
      </c>
      <c r="F21" s="1" t="s">
        <v>73</v>
      </c>
      <c r="L21" s="73"/>
      <c r="N21" s="72"/>
      <c r="O21" s="72"/>
      <c r="P21" s="72"/>
      <c r="Q21" s="72"/>
      <c r="R21" s="72"/>
      <c r="S21" s="72"/>
    </row>
    <row r="22" spans="2:19" x14ac:dyDescent="0.45">
      <c r="B22" s="1" t="s">
        <v>115</v>
      </c>
      <c r="C22" s="13" t="s">
        <v>108</v>
      </c>
      <c r="D22" s="3" t="s">
        <v>118</v>
      </c>
      <c r="E22" s="3" t="s">
        <v>102</v>
      </c>
      <c r="F22" s="1" t="s">
        <v>73</v>
      </c>
      <c r="J22" s="12"/>
      <c r="L22" s="73"/>
      <c r="N22" s="72"/>
      <c r="O22" s="72"/>
      <c r="P22" s="72"/>
      <c r="Q22" s="72"/>
      <c r="R22" s="72"/>
      <c r="S22" s="72"/>
    </row>
    <row r="23" spans="2:19" x14ac:dyDescent="0.45">
      <c r="B23" s="1" t="s">
        <v>116</v>
      </c>
      <c r="C23" s="13" t="s">
        <v>117</v>
      </c>
      <c r="D23" s="3" t="s">
        <v>120</v>
      </c>
      <c r="E23" s="3" t="s">
        <v>102</v>
      </c>
      <c r="F23" s="1" t="s">
        <v>73</v>
      </c>
      <c r="J23" s="12"/>
      <c r="L23" s="74"/>
      <c r="N23" s="72"/>
      <c r="O23" s="72"/>
      <c r="P23" s="72"/>
      <c r="Q23" s="72"/>
      <c r="R23" s="72"/>
      <c r="S23" s="72"/>
    </row>
    <row r="24" spans="2:19" x14ac:dyDescent="0.45">
      <c r="B24" s="1" t="s">
        <v>124</v>
      </c>
      <c r="C24" s="13" t="s">
        <v>125</v>
      </c>
      <c r="D24" s="3" t="s">
        <v>83</v>
      </c>
      <c r="E24" s="3" t="s">
        <v>63</v>
      </c>
      <c r="F24" s="1" t="s">
        <v>73</v>
      </c>
      <c r="J24" s="12"/>
      <c r="L24" s="74"/>
      <c r="N24" s="72"/>
      <c r="O24" s="72"/>
      <c r="P24" s="72"/>
      <c r="Q24" s="72"/>
      <c r="R24" s="72"/>
      <c r="S24" s="72"/>
    </row>
    <row r="25" spans="2:19" x14ac:dyDescent="0.45">
      <c r="B25" s="1" t="s">
        <v>126</v>
      </c>
      <c r="C25" s="13" t="s">
        <v>127</v>
      </c>
      <c r="D25" s="3" t="s">
        <v>128</v>
      </c>
      <c r="E25" s="3" t="s">
        <v>63</v>
      </c>
      <c r="F25" s="1" t="s">
        <v>73</v>
      </c>
      <c r="J25" s="12"/>
      <c r="L25" s="74"/>
      <c r="N25" s="72"/>
      <c r="O25" s="72"/>
      <c r="P25" s="72"/>
      <c r="Q25" s="72"/>
      <c r="R25" s="72"/>
      <c r="S25" s="72"/>
    </row>
    <row r="26" spans="2:19" x14ac:dyDescent="0.45">
      <c r="B26" s="1" t="s">
        <v>129</v>
      </c>
      <c r="C26" s="5" t="s">
        <v>130</v>
      </c>
      <c r="D26" s="12" t="s">
        <v>131</v>
      </c>
      <c r="E26" s="3" t="s">
        <v>63</v>
      </c>
      <c r="F26" s="1" t="s">
        <v>73</v>
      </c>
      <c r="J26" s="12"/>
      <c r="L26" s="74"/>
      <c r="N26" s="72"/>
      <c r="O26" s="72"/>
      <c r="P26" s="72"/>
      <c r="Q26" s="72"/>
      <c r="R26" s="72"/>
      <c r="S26" s="72"/>
    </row>
    <row r="27" spans="2:19" x14ac:dyDescent="0.45">
      <c r="B27" s="63" t="s">
        <v>133</v>
      </c>
      <c r="C27" s="64" t="s">
        <v>132</v>
      </c>
      <c r="D27" s="12" t="s">
        <v>131</v>
      </c>
      <c r="E27" s="3" t="s">
        <v>63</v>
      </c>
      <c r="F27" s="1" t="s">
        <v>73</v>
      </c>
      <c r="J27" s="12"/>
      <c r="L27" s="74"/>
      <c r="N27" s="72"/>
      <c r="O27" s="72"/>
      <c r="P27" s="72"/>
      <c r="Q27" s="72"/>
      <c r="R27" s="72"/>
      <c r="S27" s="72"/>
    </row>
    <row r="28" spans="2:19" x14ac:dyDescent="0.45">
      <c r="B28" s="63" t="s">
        <v>134</v>
      </c>
      <c r="C28" s="64" t="s">
        <v>135</v>
      </c>
      <c r="D28" s="12" t="s">
        <v>131</v>
      </c>
      <c r="E28" s="3" t="s">
        <v>63</v>
      </c>
      <c r="F28" s="1" t="s">
        <v>73</v>
      </c>
      <c r="J28" s="12"/>
    </row>
    <row r="29" spans="2:19" x14ac:dyDescent="0.45">
      <c r="B29" s="63" t="s">
        <v>136</v>
      </c>
      <c r="C29" s="64" t="s">
        <v>137</v>
      </c>
      <c r="D29" s="65" t="s">
        <v>131</v>
      </c>
      <c r="E29" s="3" t="s">
        <v>63</v>
      </c>
      <c r="F29" s="1" t="s">
        <v>73</v>
      </c>
      <c r="J29" s="12"/>
    </row>
    <row r="30" spans="2:19" x14ac:dyDescent="0.45">
      <c r="B30" s="63" t="s">
        <v>138</v>
      </c>
      <c r="C30" s="64" t="s">
        <v>139</v>
      </c>
      <c r="D30" s="65" t="s">
        <v>140</v>
      </c>
      <c r="E30" s="3" t="s">
        <v>63</v>
      </c>
      <c r="F30" s="1" t="s">
        <v>73</v>
      </c>
      <c r="J30" s="12"/>
    </row>
    <row r="31" spans="2:19" x14ac:dyDescent="0.45">
      <c r="B31" s="63" t="s">
        <v>146</v>
      </c>
      <c r="C31" s="64" t="s">
        <v>141</v>
      </c>
      <c r="D31" s="65" t="s">
        <v>140</v>
      </c>
      <c r="E31" s="3" t="s">
        <v>63</v>
      </c>
      <c r="F31" s="1" t="s">
        <v>73</v>
      </c>
      <c r="J31" s="12"/>
    </row>
    <row r="32" spans="2:19" x14ac:dyDescent="0.45">
      <c r="B32" s="63" t="s">
        <v>147</v>
      </c>
      <c r="C32" s="64" t="s">
        <v>142</v>
      </c>
      <c r="D32" s="65" t="s">
        <v>140</v>
      </c>
      <c r="E32" s="3" t="s">
        <v>63</v>
      </c>
      <c r="F32" s="1" t="s">
        <v>73</v>
      </c>
      <c r="J32" s="12"/>
    </row>
    <row r="33" spans="2:10" x14ac:dyDescent="0.45">
      <c r="B33" s="63" t="s">
        <v>148</v>
      </c>
      <c r="C33" s="64" t="s">
        <v>145</v>
      </c>
      <c r="D33" s="65" t="s">
        <v>140</v>
      </c>
      <c r="E33" s="3" t="s">
        <v>63</v>
      </c>
      <c r="F33" s="1" t="s">
        <v>73</v>
      </c>
      <c r="J33" s="12"/>
    </row>
    <row r="34" spans="2:10" x14ac:dyDescent="0.45">
      <c r="B34" s="63" t="s">
        <v>149</v>
      </c>
      <c r="C34" s="64" t="s">
        <v>143</v>
      </c>
      <c r="D34" s="65" t="s">
        <v>140</v>
      </c>
      <c r="E34" s="3" t="s">
        <v>63</v>
      </c>
      <c r="F34" s="1" t="s">
        <v>73</v>
      </c>
      <c r="J34" s="12"/>
    </row>
    <row r="35" spans="2:10" x14ac:dyDescent="0.45">
      <c r="B35" s="63" t="s">
        <v>150</v>
      </c>
      <c r="C35" s="64" t="s">
        <v>144</v>
      </c>
      <c r="D35" s="65" t="s">
        <v>140</v>
      </c>
      <c r="E35" s="3" t="s">
        <v>63</v>
      </c>
      <c r="F35" s="1" t="s">
        <v>73</v>
      </c>
      <c r="J35" s="12"/>
    </row>
    <row r="36" spans="2:10" x14ac:dyDescent="0.45">
      <c r="B36" s="1" t="s">
        <v>154</v>
      </c>
      <c r="C36" s="64" t="s">
        <v>157</v>
      </c>
      <c r="D36" s="65" t="s">
        <v>80</v>
      </c>
      <c r="E36" s="3" t="s">
        <v>63</v>
      </c>
      <c r="F36" s="1" t="s">
        <v>73</v>
      </c>
      <c r="J36" s="12"/>
    </row>
    <row r="37" spans="2:10" x14ac:dyDescent="0.45">
      <c r="B37" s="63" t="s">
        <v>155</v>
      </c>
      <c r="C37" s="64" t="s">
        <v>158</v>
      </c>
      <c r="D37" s="65" t="s">
        <v>160</v>
      </c>
      <c r="E37" s="3" t="s">
        <v>63</v>
      </c>
      <c r="F37" s="1" t="s">
        <v>73</v>
      </c>
      <c r="J37" s="12"/>
    </row>
    <row r="38" spans="2:10" x14ac:dyDescent="0.45">
      <c r="B38" s="63" t="s">
        <v>156</v>
      </c>
      <c r="C38" s="64" t="s">
        <v>159</v>
      </c>
      <c r="D38" s="65" t="s">
        <v>80</v>
      </c>
      <c r="E38" s="3" t="s">
        <v>63</v>
      </c>
      <c r="F38" s="1" t="s">
        <v>73</v>
      </c>
      <c r="J38" s="12"/>
    </row>
    <row r="39" spans="2:10" x14ac:dyDescent="0.45">
      <c r="B39" s="1" t="s">
        <v>161</v>
      </c>
      <c r="C39" s="5" t="s">
        <v>162</v>
      </c>
      <c r="D39" s="10" t="s">
        <v>163</v>
      </c>
      <c r="E39" s="3" t="s">
        <v>63</v>
      </c>
      <c r="F39" s="1" t="s">
        <v>73</v>
      </c>
      <c r="J39" s="12"/>
    </row>
    <row r="40" spans="2:10" x14ac:dyDescent="0.45">
      <c r="B40" s="1" t="s">
        <v>164</v>
      </c>
      <c r="C40" s="5" t="s">
        <v>164</v>
      </c>
      <c r="D40" s="10" t="s">
        <v>70</v>
      </c>
      <c r="E40" s="3" t="s">
        <v>63</v>
      </c>
      <c r="F40" s="1" t="s">
        <v>73</v>
      </c>
      <c r="J40" s="12"/>
    </row>
    <row r="41" spans="2:10" x14ac:dyDescent="0.45">
      <c r="B41" s="1" t="s">
        <v>167</v>
      </c>
      <c r="C41" s="5" t="s">
        <v>168</v>
      </c>
      <c r="D41" s="10" t="s">
        <v>169</v>
      </c>
      <c r="E41" s="3" t="s">
        <v>63</v>
      </c>
      <c r="F41" s="1" t="s">
        <v>73</v>
      </c>
      <c r="J41" s="12"/>
    </row>
    <row r="42" spans="2:10" x14ac:dyDescent="0.45">
      <c r="B42" s="1" t="s">
        <v>170</v>
      </c>
      <c r="C42" s="5" t="s">
        <v>171</v>
      </c>
      <c r="D42" s="10" t="s">
        <v>140</v>
      </c>
      <c r="E42" s="3" t="s">
        <v>63</v>
      </c>
      <c r="F42" s="1" t="s">
        <v>73</v>
      </c>
    </row>
    <row r="43" spans="2:10" x14ac:dyDescent="0.45">
      <c r="B43" s="1" t="s">
        <v>172</v>
      </c>
      <c r="C43" s="5" t="s">
        <v>173</v>
      </c>
      <c r="D43" s="10" t="s">
        <v>140</v>
      </c>
      <c r="E43" s="3" t="s">
        <v>63</v>
      </c>
      <c r="F43" s="1" t="s">
        <v>73</v>
      </c>
    </row>
    <row r="44" spans="2:10" x14ac:dyDescent="0.45">
      <c r="B44" s="1" t="s">
        <v>174</v>
      </c>
      <c r="C44" s="5" t="s">
        <v>175</v>
      </c>
      <c r="D44" s="10" t="s">
        <v>140</v>
      </c>
      <c r="E44" s="3" t="s">
        <v>63</v>
      </c>
      <c r="F44" s="1" t="s">
        <v>73</v>
      </c>
    </row>
    <row r="45" spans="2:10" x14ac:dyDescent="0.45">
      <c r="B45" s="1" t="s">
        <v>176</v>
      </c>
      <c r="C45" s="5" t="s">
        <v>177</v>
      </c>
      <c r="D45" s="10" t="s">
        <v>128</v>
      </c>
      <c r="E45" s="3" t="s">
        <v>63</v>
      </c>
      <c r="F45" s="1" t="s">
        <v>73</v>
      </c>
    </row>
    <row r="46" spans="2:10" x14ac:dyDescent="0.45">
      <c r="B46" s="1" t="s">
        <v>178</v>
      </c>
      <c r="C46" s="5" t="s">
        <v>178</v>
      </c>
      <c r="D46" s="3" t="s">
        <v>70</v>
      </c>
      <c r="E46" s="3" t="s">
        <v>63</v>
      </c>
      <c r="F46" s="1" t="s">
        <v>73</v>
      </c>
    </row>
    <row r="47" spans="2:10" x14ac:dyDescent="0.45">
      <c r="B47" s="1" t="s">
        <v>179</v>
      </c>
      <c r="C47" s="5" t="s">
        <v>180</v>
      </c>
      <c r="D47" s="3" t="s">
        <v>80</v>
      </c>
      <c r="E47" s="3" t="s">
        <v>63</v>
      </c>
      <c r="F47" s="1" t="s">
        <v>73</v>
      </c>
    </row>
    <row r="48" spans="2:10" x14ac:dyDescent="0.45">
      <c r="B48" s="1" t="s">
        <v>181</v>
      </c>
      <c r="C48" s="5" t="s">
        <v>182</v>
      </c>
      <c r="D48" s="10" t="s">
        <v>184</v>
      </c>
      <c r="E48" s="3" t="s">
        <v>63</v>
      </c>
      <c r="F48" s="1" t="s">
        <v>73</v>
      </c>
    </row>
    <row r="49" spans="2:6" x14ac:dyDescent="0.45">
      <c r="B49" s="1" t="s">
        <v>183</v>
      </c>
      <c r="C49" s="5" t="s">
        <v>185</v>
      </c>
      <c r="D49" s="10" t="s">
        <v>186</v>
      </c>
      <c r="E49" s="3" t="s">
        <v>63</v>
      </c>
      <c r="F49" s="1" t="s">
        <v>73</v>
      </c>
    </row>
    <row r="50" spans="2:6" x14ac:dyDescent="0.45">
      <c r="B50" s="1" t="s">
        <v>208</v>
      </c>
      <c r="C50" s="99" t="s">
        <v>209</v>
      </c>
      <c r="D50" s="10" t="s">
        <v>83</v>
      </c>
      <c r="E50" s="3" t="s">
        <v>63</v>
      </c>
      <c r="F50" s="1" t="s">
        <v>73</v>
      </c>
    </row>
    <row r="51" spans="2:6" x14ac:dyDescent="0.45">
      <c r="B51" s="1" t="s">
        <v>220</v>
      </c>
      <c r="C51" s="99" t="s">
        <v>219</v>
      </c>
      <c r="D51" s="10" t="s">
        <v>218</v>
      </c>
      <c r="E51" s="3" t="s">
        <v>63</v>
      </c>
      <c r="F51" s="89" t="s">
        <v>73</v>
      </c>
    </row>
    <row r="52" spans="2:6" x14ac:dyDescent="0.45">
      <c r="B52" s="1" t="s">
        <v>231</v>
      </c>
      <c r="C52" s="99" t="s">
        <v>231</v>
      </c>
      <c r="D52" s="10" t="s">
        <v>83</v>
      </c>
      <c r="E52" s="3" t="s">
        <v>63</v>
      </c>
      <c r="F52" s="89" t="s">
        <v>73</v>
      </c>
    </row>
    <row r="53" spans="2:6" x14ac:dyDescent="0.45">
      <c r="B53" s="1" t="s">
        <v>240</v>
      </c>
      <c r="C53" s="99" t="s">
        <v>238</v>
      </c>
      <c r="D53" s="10" t="s">
        <v>131</v>
      </c>
      <c r="E53" s="3" t="s">
        <v>63</v>
      </c>
      <c r="F53" s="89" t="s">
        <v>73</v>
      </c>
    </row>
    <row r="54" spans="2:6" x14ac:dyDescent="0.45">
      <c r="B54" s="1" t="s">
        <v>241</v>
      </c>
      <c r="C54" s="5" t="s">
        <v>239</v>
      </c>
      <c r="D54" s="10" t="s">
        <v>131</v>
      </c>
      <c r="E54" s="3" t="s">
        <v>63</v>
      </c>
      <c r="F54" s="89" t="s">
        <v>73</v>
      </c>
    </row>
    <row r="55" spans="2:6" x14ac:dyDescent="0.45">
      <c r="B55" s="1" t="s">
        <v>248</v>
      </c>
      <c r="C55" s="5" t="s">
        <v>247</v>
      </c>
      <c r="D55" s="3" t="s">
        <v>80</v>
      </c>
      <c r="E55" s="3" t="s">
        <v>63</v>
      </c>
      <c r="F55" s="89" t="s">
        <v>73</v>
      </c>
    </row>
    <row r="56" spans="2:6" x14ac:dyDescent="0.45">
      <c r="B56" s="1" t="s">
        <v>253</v>
      </c>
      <c r="C56" s="5" t="s">
        <v>254</v>
      </c>
      <c r="D56" s="10" t="s">
        <v>255</v>
      </c>
      <c r="E56" s="3" t="s">
        <v>63</v>
      </c>
      <c r="F56" s="89" t="s">
        <v>73</v>
      </c>
    </row>
    <row r="57" spans="2:6" x14ac:dyDescent="0.45">
      <c r="B57" s="1" t="s">
        <v>256</v>
      </c>
      <c r="C57" s="5" t="s">
        <v>257</v>
      </c>
      <c r="D57" s="10" t="s">
        <v>140</v>
      </c>
      <c r="E57" s="3" t="s">
        <v>63</v>
      </c>
      <c r="F57" s="89" t="s">
        <v>73</v>
      </c>
    </row>
    <row r="58" spans="2:6" x14ac:dyDescent="0.45">
      <c r="B58" s="1" t="s">
        <v>259</v>
      </c>
      <c r="C58" s="5" t="s">
        <v>259</v>
      </c>
      <c r="D58" s="10" t="s">
        <v>140</v>
      </c>
      <c r="E58" s="3" t="s">
        <v>63</v>
      </c>
      <c r="F58" s="89" t="s">
        <v>73</v>
      </c>
    </row>
    <row r="59" spans="2:6" x14ac:dyDescent="0.45">
      <c r="B59" s="1"/>
      <c r="C59" s="5"/>
      <c r="D59" s="10"/>
      <c r="E59" s="3"/>
      <c r="F59" s="89"/>
    </row>
    <row r="60" spans="2:6" x14ac:dyDescent="0.45">
      <c r="B60" s="1"/>
      <c r="C60" s="5"/>
      <c r="D60" s="10"/>
      <c r="E60" s="3"/>
      <c r="F60" s="89"/>
    </row>
    <row r="61" spans="2:6" x14ac:dyDescent="0.45">
      <c r="B61" s="1"/>
      <c r="C61" s="5"/>
      <c r="D61" s="10"/>
      <c r="E61" s="3"/>
      <c r="F61" s="89"/>
    </row>
    <row r="62" spans="2:6" x14ac:dyDescent="0.45">
      <c r="B62" s="63"/>
      <c r="C62" s="64"/>
      <c r="D62" s="65"/>
      <c r="E62" s="65"/>
      <c r="F62" s="63"/>
    </row>
    <row r="63" spans="2:6" x14ac:dyDescent="0.45">
      <c r="B63" s="1"/>
      <c r="C63" s="1"/>
      <c r="F63" s="1"/>
    </row>
    <row r="64" spans="2:6" x14ac:dyDescent="0.45">
      <c r="B64" s="1"/>
      <c r="C64" s="1"/>
      <c r="F64" s="1"/>
    </row>
    <row r="65" spans="2:6" x14ac:dyDescent="0.45">
      <c r="B65" s="1"/>
      <c r="C65" s="1"/>
      <c r="F65" s="1"/>
    </row>
    <row r="66" spans="2:6" x14ac:dyDescent="0.45">
      <c r="B66" s="1"/>
      <c r="C66" s="1"/>
      <c r="F66" s="1"/>
    </row>
    <row r="67" spans="2:6" x14ac:dyDescent="0.45">
      <c r="B67" s="1"/>
      <c r="C67" s="1"/>
      <c r="F67" s="1"/>
    </row>
    <row r="68" spans="2:6" x14ac:dyDescent="0.45">
      <c r="B68" s="1"/>
      <c r="C68" s="1"/>
      <c r="F68" s="1"/>
    </row>
    <row r="69" spans="2:6" x14ac:dyDescent="0.45">
      <c r="B69" s="1"/>
      <c r="C69" s="1"/>
      <c r="F69" s="1"/>
    </row>
    <row r="70" spans="2:6" x14ac:dyDescent="0.45">
      <c r="B70" s="1"/>
      <c r="C70" s="1"/>
      <c r="F70" s="1"/>
    </row>
    <row r="71" spans="2:6" x14ac:dyDescent="0.45">
      <c r="B71" s="1"/>
      <c r="C71" s="1"/>
      <c r="F71" s="1"/>
    </row>
    <row r="72" spans="2:6" x14ac:dyDescent="0.45">
      <c r="B72" s="1"/>
      <c r="C72" s="1"/>
      <c r="F72" s="1"/>
    </row>
    <row r="73" spans="2:6" x14ac:dyDescent="0.45">
      <c r="B73" s="1"/>
      <c r="C73" s="1"/>
      <c r="F73" s="1"/>
    </row>
    <row r="74" spans="2:6" x14ac:dyDescent="0.45">
      <c r="B74" s="1"/>
      <c r="C74" s="1"/>
      <c r="F74" s="1"/>
    </row>
    <row r="75" spans="2:6" x14ac:dyDescent="0.45">
      <c r="B75" s="1"/>
      <c r="C75" s="1"/>
      <c r="F75" s="1"/>
    </row>
    <row r="76" spans="2:6" x14ac:dyDescent="0.45">
      <c r="B76" s="1"/>
      <c r="C76" s="1"/>
      <c r="F76" s="1"/>
    </row>
    <row r="77" spans="2:6" x14ac:dyDescent="0.45">
      <c r="B77" s="1"/>
      <c r="C77" s="1"/>
      <c r="F77" s="1"/>
    </row>
    <row r="78" spans="2:6" x14ac:dyDescent="0.45">
      <c r="B78" s="1"/>
      <c r="C78" s="1"/>
      <c r="F78" s="1"/>
    </row>
    <row r="79" spans="2:6" x14ac:dyDescent="0.45">
      <c r="B79" s="1"/>
      <c r="C79" s="1"/>
      <c r="F79" s="1"/>
    </row>
    <row r="80" spans="2:6" x14ac:dyDescent="0.45">
      <c r="B80" s="1"/>
      <c r="C80" s="1"/>
      <c r="F80" s="1"/>
    </row>
    <row r="81" spans="2:6" x14ac:dyDescent="0.45">
      <c r="B81" s="1"/>
      <c r="C81" s="1"/>
      <c r="F81" s="1"/>
    </row>
    <row r="82" spans="2:6" x14ac:dyDescent="0.45">
      <c r="B82" s="1"/>
      <c r="C82" s="1"/>
      <c r="F82" s="1"/>
    </row>
    <row r="83" spans="2:6" x14ac:dyDescent="0.45">
      <c r="B83" s="1"/>
      <c r="C83" s="1"/>
      <c r="F83" s="1"/>
    </row>
    <row r="84" spans="2:6" x14ac:dyDescent="0.45">
      <c r="B84" s="1"/>
      <c r="C84" s="1"/>
      <c r="F84" s="1"/>
    </row>
    <row r="85" spans="2:6" x14ac:dyDescent="0.45">
      <c r="B85" s="1"/>
      <c r="C85" s="1"/>
      <c r="F85" s="1"/>
    </row>
    <row r="86" spans="2:6" x14ac:dyDescent="0.45">
      <c r="B86" s="1"/>
      <c r="C86" s="1"/>
      <c r="F86" s="1"/>
    </row>
    <row r="87" spans="2:6" x14ac:dyDescent="0.45">
      <c r="B87" s="1"/>
      <c r="C87" s="1"/>
      <c r="F87" s="1"/>
    </row>
    <row r="88" spans="2:6" x14ac:dyDescent="0.45">
      <c r="B88" s="1"/>
      <c r="C88" s="1"/>
      <c r="F88" s="1"/>
    </row>
    <row r="89" spans="2:6" x14ac:dyDescent="0.45">
      <c r="B89" s="1"/>
      <c r="C89" s="1"/>
      <c r="F89" s="1"/>
    </row>
    <row r="90" spans="2:6" x14ac:dyDescent="0.45">
      <c r="B90" s="1"/>
      <c r="C90" s="1"/>
      <c r="F90" s="1"/>
    </row>
    <row r="91" spans="2:6" x14ac:dyDescent="0.45">
      <c r="B91" s="1"/>
      <c r="C91" s="1"/>
      <c r="F91" s="1"/>
    </row>
    <row r="92" spans="2:6" x14ac:dyDescent="0.45">
      <c r="B92" s="1"/>
      <c r="C92" s="1"/>
      <c r="F92" s="1"/>
    </row>
    <row r="93" spans="2:6" x14ac:dyDescent="0.45">
      <c r="B93" s="1"/>
      <c r="C93" s="1"/>
      <c r="F93" s="1"/>
    </row>
    <row r="94" spans="2:6" x14ac:dyDescent="0.45">
      <c r="B94" s="1"/>
      <c r="C94" s="1"/>
      <c r="F94" s="1"/>
    </row>
    <row r="95" spans="2:6" x14ac:dyDescent="0.45">
      <c r="B95" s="1"/>
      <c r="C95" s="1"/>
      <c r="F95" s="1"/>
    </row>
    <row r="96" spans="2:6" x14ac:dyDescent="0.45">
      <c r="B96" s="1"/>
      <c r="C96" s="1"/>
      <c r="F96" s="1"/>
    </row>
    <row r="97" spans="2:6" x14ac:dyDescent="0.45">
      <c r="B97" s="1"/>
      <c r="C97" s="1"/>
      <c r="F97" s="1"/>
    </row>
    <row r="98" spans="2:6" x14ac:dyDescent="0.45">
      <c r="B98" s="1"/>
      <c r="C98" s="1"/>
      <c r="F98" s="1"/>
    </row>
    <row r="99" spans="2:6" x14ac:dyDescent="0.45">
      <c r="B99" s="1"/>
      <c r="C99" s="1"/>
      <c r="F99" s="1"/>
    </row>
    <row r="100" spans="2:6" x14ac:dyDescent="0.45">
      <c r="B100" s="1"/>
      <c r="C100" s="1"/>
      <c r="F100" s="1"/>
    </row>
    <row r="101" spans="2:6" x14ac:dyDescent="0.45">
      <c r="B101" s="1"/>
      <c r="C101" s="1"/>
      <c r="F101" s="1"/>
    </row>
    <row r="102" spans="2:6" x14ac:dyDescent="0.45">
      <c r="B102" s="1"/>
      <c r="C102" s="1"/>
      <c r="F102" s="1"/>
    </row>
    <row r="103" spans="2:6" x14ac:dyDescent="0.45">
      <c r="B103" s="1"/>
      <c r="C103" s="1"/>
      <c r="F103" s="1"/>
    </row>
    <row r="104" spans="2:6" x14ac:dyDescent="0.45">
      <c r="B104" s="1"/>
      <c r="C104" s="1"/>
      <c r="F104" s="1"/>
    </row>
    <row r="105" spans="2:6" x14ac:dyDescent="0.45">
      <c r="B105" s="1"/>
      <c r="C105" s="1"/>
      <c r="F105" s="1"/>
    </row>
    <row r="106" spans="2:6" x14ac:dyDescent="0.45">
      <c r="B106" s="1"/>
      <c r="C106" s="1"/>
      <c r="F106" s="1"/>
    </row>
    <row r="107" spans="2:6" x14ac:dyDescent="0.45">
      <c r="B107" s="1"/>
      <c r="C107" s="1"/>
      <c r="F107" s="1"/>
    </row>
    <row r="108" spans="2:6" x14ac:dyDescent="0.45">
      <c r="B108" s="1"/>
      <c r="C108" s="1"/>
      <c r="F108" s="1"/>
    </row>
    <row r="109" spans="2:6" x14ac:dyDescent="0.45">
      <c r="B109" s="1"/>
      <c r="C109" s="1"/>
      <c r="F109" s="1"/>
    </row>
    <row r="110" spans="2:6" x14ac:dyDescent="0.45">
      <c r="B110" s="1"/>
      <c r="C110" s="1"/>
      <c r="F110" s="1"/>
    </row>
    <row r="111" spans="2:6" x14ac:dyDescent="0.45">
      <c r="B111" s="1"/>
      <c r="C111" s="1"/>
      <c r="F111" s="1"/>
    </row>
    <row r="112" spans="2:6" x14ac:dyDescent="0.45">
      <c r="B112" s="1"/>
      <c r="C112" s="1"/>
      <c r="F112" s="1"/>
    </row>
    <row r="113" spans="2:6" x14ac:dyDescent="0.45">
      <c r="B113" s="1"/>
      <c r="C113" s="1"/>
      <c r="F113" s="1"/>
    </row>
    <row r="114" spans="2:6" x14ac:dyDescent="0.45">
      <c r="B114" s="1"/>
      <c r="C114" s="1"/>
      <c r="F114" s="1"/>
    </row>
    <row r="115" spans="2:6" x14ac:dyDescent="0.45">
      <c r="B115" s="1"/>
      <c r="C115" s="1"/>
      <c r="F115" s="1"/>
    </row>
    <row r="116" spans="2:6" x14ac:dyDescent="0.45">
      <c r="B116" s="1"/>
      <c r="C116" s="1"/>
      <c r="F116" s="1"/>
    </row>
    <row r="117" spans="2:6" x14ac:dyDescent="0.45">
      <c r="B117" s="1"/>
      <c r="C117" s="1"/>
      <c r="F117" s="1"/>
    </row>
    <row r="118" spans="2:6" x14ac:dyDescent="0.45">
      <c r="B118" s="1"/>
      <c r="C118" s="1"/>
      <c r="F118" s="1"/>
    </row>
    <row r="119" spans="2:6" x14ac:dyDescent="0.45">
      <c r="B119" s="1"/>
      <c r="C119" s="1"/>
      <c r="F119" s="1"/>
    </row>
    <row r="120" spans="2:6" x14ac:dyDescent="0.45">
      <c r="B120" s="1"/>
      <c r="C120" s="1"/>
      <c r="F120" s="1"/>
    </row>
    <row r="121" spans="2:6" x14ac:dyDescent="0.45">
      <c r="B121" s="1"/>
      <c r="C121" s="1"/>
      <c r="F121" s="1"/>
    </row>
    <row r="122" spans="2:6" x14ac:dyDescent="0.45">
      <c r="B122" s="1"/>
      <c r="C122" s="1"/>
      <c r="F122" s="1"/>
    </row>
    <row r="123" spans="2:6" x14ac:dyDescent="0.45">
      <c r="B123" s="1"/>
      <c r="C123" s="1"/>
      <c r="F123" s="1"/>
    </row>
    <row r="124" spans="2:6" x14ac:dyDescent="0.45">
      <c r="B124" s="1"/>
      <c r="C124" s="1"/>
      <c r="F124" s="1"/>
    </row>
    <row r="125" spans="2:6" x14ac:dyDescent="0.45">
      <c r="B125" s="1"/>
      <c r="C125" s="1"/>
      <c r="F125" s="1"/>
    </row>
    <row r="126" spans="2:6" x14ac:dyDescent="0.45">
      <c r="B126" s="1"/>
      <c r="C126" s="1"/>
      <c r="F126" s="1"/>
    </row>
    <row r="127" spans="2:6" x14ac:dyDescent="0.45">
      <c r="B127" s="1"/>
      <c r="C127" s="1"/>
      <c r="F127" s="1"/>
    </row>
    <row r="128" spans="2:6" x14ac:dyDescent="0.45">
      <c r="B128" s="1"/>
      <c r="C128" s="1"/>
      <c r="F128" s="1"/>
    </row>
    <row r="129" spans="2:6" x14ac:dyDescent="0.45">
      <c r="B129" s="1"/>
      <c r="C129" s="1"/>
      <c r="F129" s="1"/>
    </row>
    <row r="130" spans="2:6" x14ac:dyDescent="0.45">
      <c r="B130" s="1"/>
      <c r="C130" s="1"/>
      <c r="F130" s="1"/>
    </row>
    <row r="131" spans="2:6" x14ac:dyDescent="0.45">
      <c r="B131" s="1"/>
      <c r="C131" s="1"/>
      <c r="F131" s="1"/>
    </row>
    <row r="132" spans="2:6" x14ac:dyDescent="0.45">
      <c r="B132" s="1"/>
      <c r="C132" s="1"/>
      <c r="F132" s="1"/>
    </row>
    <row r="133" spans="2:6" x14ac:dyDescent="0.45">
      <c r="B133" s="1"/>
      <c r="C133" s="1"/>
      <c r="F133" s="1"/>
    </row>
    <row r="134" spans="2:6" x14ac:dyDescent="0.45">
      <c r="B134" s="1"/>
      <c r="C134" s="1"/>
      <c r="F134" s="1"/>
    </row>
    <row r="135" spans="2:6" x14ac:dyDescent="0.45">
      <c r="B135" s="1"/>
      <c r="C135" s="1"/>
      <c r="F135" s="1"/>
    </row>
    <row r="136" spans="2:6" x14ac:dyDescent="0.45">
      <c r="B136" s="1"/>
      <c r="C136" s="1"/>
      <c r="F136" s="1"/>
    </row>
    <row r="137" spans="2:6" x14ac:dyDescent="0.45">
      <c r="B137" s="1"/>
      <c r="C137" s="1"/>
      <c r="F137" s="1"/>
    </row>
    <row r="138" spans="2:6" x14ac:dyDescent="0.45">
      <c r="B138" s="1"/>
      <c r="C138" s="1"/>
      <c r="F138" s="1"/>
    </row>
    <row r="139" spans="2:6" x14ac:dyDescent="0.45">
      <c r="B139" s="1"/>
      <c r="C139" s="1"/>
      <c r="F139" s="1"/>
    </row>
    <row r="140" spans="2:6" x14ac:dyDescent="0.45">
      <c r="B140" s="1"/>
      <c r="C140" s="1"/>
      <c r="F140" s="1"/>
    </row>
    <row r="141" spans="2:6" x14ac:dyDescent="0.45">
      <c r="B141" s="1"/>
      <c r="C141" s="1"/>
      <c r="F141" s="1"/>
    </row>
    <row r="142" spans="2:6" x14ac:dyDescent="0.45">
      <c r="B142" s="1"/>
      <c r="C142" s="1"/>
      <c r="F142" s="1"/>
    </row>
    <row r="143" spans="2:6" x14ac:dyDescent="0.45">
      <c r="B143" s="1"/>
      <c r="C143" s="1"/>
      <c r="F143" s="1"/>
    </row>
    <row r="144" spans="2:6" x14ac:dyDescent="0.45">
      <c r="B144" s="1"/>
      <c r="C144" s="1"/>
      <c r="F144" s="1"/>
    </row>
    <row r="145" spans="2:6" x14ac:dyDescent="0.45">
      <c r="B145" s="1"/>
      <c r="C145" s="1"/>
      <c r="F145" s="1"/>
    </row>
    <row r="146" spans="2:6" x14ac:dyDescent="0.45">
      <c r="B146" s="1"/>
      <c r="C146" s="1"/>
      <c r="F146" s="1"/>
    </row>
    <row r="147" spans="2:6" x14ac:dyDescent="0.45">
      <c r="B147" s="1"/>
      <c r="C147" s="1"/>
      <c r="F147" s="1"/>
    </row>
    <row r="148" spans="2:6" x14ac:dyDescent="0.45">
      <c r="B148" s="1"/>
      <c r="C148" s="1"/>
      <c r="F148" s="1"/>
    </row>
    <row r="149" spans="2:6" x14ac:dyDescent="0.45">
      <c r="B149" s="1"/>
      <c r="C149" s="1"/>
      <c r="F149" s="1"/>
    </row>
    <row r="150" spans="2:6" x14ac:dyDescent="0.45">
      <c r="B150" s="1"/>
      <c r="C150" s="1"/>
      <c r="F150" s="1"/>
    </row>
    <row r="151" spans="2:6" x14ac:dyDescent="0.45">
      <c r="B151" s="1"/>
      <c r="C151" s="1"/>
      <c r="F151" s="1"/>
    </row>
    <row r="152" spans="2:6" x14ac:dyDescent="0.45">
      <c r="B152" s="1"/>
      <c r="C152" s="1"/>
      <c r="F152" s="1"/>
    </row>
    <row r="153" spans="2:6" x14ac:dyDescent="0.45">
      <c r="B153" s="1"/>
      <c r="C153" s="1"/>
      <c r="F153" s="1"/>
    </row>
    <row r="154" spans="2:6" x14ac:dyDescent="0.45">
      <c r="B154" s="1"/>
      <c r="C154" s="1"/>
      <c r="F154" s="1"/>
    </row>
    <row r="155" spans="2:6" x14ac:dyDescent="0.45">
      <c r="B155" s="1"/>
      <c r="C155" s="1"/>
      <c r="F155" s="1"/>
    </row>
    <row r="156" spans="2:6" x14ac:dyDescent="0.45">
      <c r="B156" s="1"/>
      <c r="C156" s="1"/>
      <c r="F156" s="1"/>
    </row>
    <row r="157" spans="2:6" x14ac:dyDescent="0.45">
      <c r="B157" s="1"/>
      <c r="C157" s="1"/>
      <c r="F157" s="1"/>
    </row>
    <row r="158" spans="2:6" x14ac:dyDescent="0.45">
      <c r="B158" s="1"/>
      <c r="C158" s="1"/>
      <c r="F158" s="1"/>
    </row>
    <row r="159" spans="2:6" x14ac:dyDescent="0.45">
      <c r="B159" s="1"/>
      <c r="C159" s="1"/>
      <c r="F159" s="1"/>
    </row>
    <row r="160" spans="2:6" x14ac:dyDescent="0.45">
      <c r="B160" s="1"/>
      <c r="C160" s="1"/>
      <c r="F160" s="1"/>
    </row>
    <row r="161" spans="2:6" x14ac:dyDescent="0.45">
      <c r="B161" s="1"/>
      <c r="C161" s="1"/>
      <c r="F161" s="1"/>
    </row>
    <row r="162" spans="2:6" x14ac:dyDescent="0.45">
      <c r="B162" s="1"/>
      <c r="C162" s="1"/>
      <c r="F162" s="1"/>
    </row>
    <row r="163" spans="2:6" x14ac:dyDescent="0.45">
      <c r="B163" s="1"/>
      <c r="C163" s="1"/>
      <c r="F163" s="1"/>
    </row>
    <row r="164" spans="2:6" x14ac:dyDescent="0.45">
      <c r="B164" s="1"/>
      <c r="C164" s="1"/>
      <c r="F164" s="1"/>
    </row>
    <row r="165" spans="2:6" x14ac:dyDescent="0.45">
      <c r="B165" s="1"/>
      <c r="C165" s="1"/>
      <c r="F165" s="1"/>
    </row>
    <row r="166" spans="2:6" x14ac:dyDescent="0.45">
      <c r="B166" s="1"/>
      <c r="C166" s="1"/>
      <c r="F166" s="1"/>
    </row>
    <row r="167" spans="2:6" x14ac:dyDescent="0.45">
      <c r="B167" s="1"/>
      <c r="C167" s="1"/>
      <c r="F167" s="1"/>
    </row>
    <row r="168" spans="2:6" x14ac:dyDescent="0.45">
      <c r="B168" s="1"/>
      <c r="C168" s="1"/>
      <c r="F168" s="1"/>
    </row>
    <row r="169" spans="2:6" x14ac:dyDescent="0.45">
      <c r="B169" s="1"/>
      <c r="C169" s="1"/>
      <c r="F169" s="1"/>
    </row>
    <row r="170" spans="2:6" x14ac:dyDescent="0.45">
      <c r="B170" s="1"/>
      <c r="C170" s="1"/>
      <c r="F170" s="1"/>
    </row>
    <row r="171" spans="2:6" x14ac:dyDescent="0.45">
      <c r="B171" s="1"/>
      <c r="C171" s="1"/>
      <c r="F171" s="1"/>
    </row>
    <row r="172" spans="2:6" x14ac:dyDescent="0.45">
      <c r="B172" s="1"/>
      <c r="C172" s="1"/>
      <c r="F172" s="1"/>
    </row>
    <row r="173" spans="2:6" x14ac:dyDescent="0.45">
      <c r="B173" s="1"/>
      <c r="C173" s="1"/>
      <c r="F173" s="1"/>
    </row>
    <row r="174" spans="2:6" x14ac:dyDescent="0.45">
      <c r="B174" s="1"/>
      <c r="C174" s="1"/>
      <c r="F174" s="1"/>
    </row>
    <row r="175" spans="2:6" x14ac:dyDescent="0.45">
      <c r="B175" s="1"/>
      <c r="C175" s="1"/>
      <c r="F175" s="1"/>
    </row>
    <row r="176" spans="2:6" x14ac:dyDescent="0.45">
      <c r="B176" s="1"/>
      <c r="C176" s="1"/>
      <c r="F176" s="1"/>
    </row>
    <row r="177" spans="2:6" x14ac:dyDescent="0.45">
      <c r="B177" s="1"/>
      <c r="C177" s="1"/>
      <c r="F177" s="1"/>
    </row>
    <row r="178" spans="2:6" x14ac:dyDescent="0.45">
      <c r="B178" s="1"/>
      <c r="C178" s="1"/>
      <c r="F178" s="1"/>
    </row>
    <row r="179" spans="2:6" x14ac:dyDescent="0.45">
      <c r="B179" s="1"/>
      <c r="C179" s="1"/>
      <c r="F179" s="1"/>
    </row>
    <row r="180" spans="2:6" x14ac:dyDescent="0.45">
      <c r="B180" s="1"/>
      <c r="C180" s="1"/>
      <c r="F180" s="1"/>
    </row>
    <row r="181" spans="2:6" x14ac:dyDescent="0.45">
      <c r="B181" s="1"/>
      <c r="C181" s="1"/>
      <c r="F181" s="1"/>
    </row>
    <row r="182" spans="2:6" x14ac:dyDescent="0.45">
      <c r="B182" s="1"/>
      <c r="C182" s="1"/>
      <c r="F182" s="1"/>
    </row>
    <row r="183" spans="2:6" x14ac:dyDescent="0.45">
      <c r="B183" s="1"/>
      <c r="C183" s="1"/>
      <c r="F183" s="1"/>
    </row>
    <row r="184" spans="2:6" x14ac:dyDescent="0.45">
      <c r="B184" s="1"/>
      <c r="C184" s="1"/>
      <c r="F184" s="1"/>
    </row>
    <row r="185" spans="2:6" x14ac:dyDescent="0.45">
      <c r="B185" s="1"/>
      <c r="C185" s="1"/>
      <c r="F185" s="1"/>
    </row>
    <row r="186" spans="2:6" x14ac:dyDescent="0.45">
      <c r="B186" s="1"/>
      <c r="C186" s="1"/>
      <c r="F186" s="1"/>
    </row>
    <row r="187" spans="2:6" x14ac:dyDescent="0.45">
      <c r="B187" s="1"/>
      <c r="C187" s="1"/>
      <c r="F187" s="1"/>
    </row>
    <row r="188" spans="2:6" x14ac:dyDescent="0.45">
      <c r="B188" s="1"/>
      <c r="C188" s="1"/>
      <c r="F188" s="1"/>
    </row>
    <row r="189" spans="2:6" x14ac:dyDescent="0.45">
      <c r="B189" s="1"/>
      <c r="C189" s="1"/>
      <c r="F189" s="1"/>
    </row>
    <row r="190" spans="2:6" x14ac:dyDescent="0.45">
      <c r="B190" s="1"/>
      <c r="C190" s="1"/>
      <c r="F190" s="1"/>
    </row>
    <row r="191" spans="2:6" x14ac:dyDescent="0.45">
      <c r="B191" s="1"/>
      <c r="C191" s="1"/>
      <c r="F191" s="1"/>
    </row>
    <row r="192" spans="2:6" x14ac:dyDescent="0.45">
      <c r="B192" s="1"/>
      <c r="C192" s="1"/>
      <c r="F192" s="1"/>
    </row>
    <row r="193" spans="2:6" x14ac:dyDescent="0.45">
      <c r="B193" s="1"/>
      <c r="C193" s="1"/>
      <c r="F193" s="1"/>
    </row>
    <row r="194" spans="2:6" x14ac:dyDescent="0.45">
      <c r="B194" s="1"/>
      <c r="C194" s="1"/>
      <c r="F194" s="1"/>
    </row>
    <row r="195" spans="2:6" x14ac:dyDescent="0.45">
      <c r="B195" s="1"/>
      <c r="C195" s="1"/>
      <c r="F195" s="1"/>
    </row>
    <row r="196" spans="2:6" x14ac:dyDescent="0.45">
      <c r="B196" s="1"/>
      <c r="C196" s="1"/>
      <c r="F196" s="1"/>
    </row>
    <row r="197" spans="2:6" x14ac:dyDescent="0.45">
      <c r="B197" s="1"/>
      <c r="C197" s="1"/>
      <c r="F197" s="1"/>
    </row>
    <row r="198" spans="2:6" x14ac:dyDescent="0.45">
      <c r="B198" s="1"/>
      <c r="C198" s="1"/>
      <c r="F198" s="1"/>
    </row>
    <row r="199" spans="2:6" x14ac:dyDescent="0.45">
      <c r="B199" s="1"/>
      <c r="C199" s="1"/>
      <c r="F199" s="1"/>
    </row>
    <row r="200" spans="2:6" x14ac:dyDescent="0.45">
      <c r="B200" s="1"/>
      <c r="C200" s="1"/>
      <c r="F200" s="1"/>
    </row>
    <row r="201" spans="2:6" x14ac:dyDescent="0.45">
      <c r="B201" s="1"/>
      <c r="C201" s="1"/>
      <c r="F201" s="1"/>
    </row>
    <row r="202" spans="2:6" x14ac:dyDescent="0.45">
      <c r="B202" s="1"/>
      <c r="C202" s="1"/>
      <c r="F202" s="1"/>
    </row>
    <row r="203" spans="2:6" x14ac:dyDescent="0.45">
      <c r="B203" s="1"/>
      <c r="C203" s="1"/>
      <c r="F203" s="1"/>
    </row>
    <row r="204" spans="2:6" x14ac:dyDescent="0.45">
      <c r="B204" s="1"/>
      <c r="C204" s="1"/>
      <c r="F204" s="1"/>
    </row>
    <row r="205" spans="2:6" x14ac:dyDescent="0.45">
      <c r="B205" s="1"/>
      <c r="C205" s="1"/>
      <c r="F205" s="1"/>
    </row>
    <row r="206" spans="2:6" x14ac:dyDescent="0.45">
      <c r="B206" s="1"/>
      <c r="C206" s="1"/>
      <c r="F206" s="1"/>
    </row>
    <row r="207" spans="2:6" x14ac:dyDescent="0.45">
      <c r="B207" s="1"/>
      <c r="C207" s="1"/>
      <c r="F207" s="1"/>
    </row>
    <row r="208" spans="2:6" x14ac:dyDescent="0.45">
      <c r="B208" s="1"/>
      <c r="C208" s="1"/>
      <c r="F208" s="1"/>
    </row>
    <row r="209" spans="2:6" x14ac:dyDescent="0.45">
      <c r="B209" s="1"/>
      <c r="C209" s="1"/>
      <c r="F209" s="1"/>
    </row>
    <row r="210" spans="2:6" x14ac:dyDescent="0.45">
      <c r="B210" s="1"/>
      <c r="C210" s="1"/>
      <c r="F210" s="1"/>
    </row>
    <row r="211" spans="2:6" x14ac:dyDescent="0.45">
      <c r="B211" s="1"/>
      <c r="C211" s="1"/>
      <c r="F211" s="1"/>
    </row>
    <row r="212" spans="2:6" x14ac:dyDescent="0.45">
      <c r="B212" s="1"/>
      <c r="C212" s="1"/>
      <c r="F212" s="1"/>
    </row>
    <row r="213" spans="2:6" x14ac:dyDescent="0.45">
      <c r="B213" s="1"/>
      <c r="C213" s="1"/>
      <c r="F213" s="1"/>
    </row>
    <row r="214" spans="2:6" x14ac:dyDescent="0.45">
      <c r="B214" s="1"/>
      <c r="C214" s="1"/>
      <c r="F214" s="1"/>
    </row>
    <row r="215" spans="2:6" x14ac:dyDescent="0.45">
      <c r="B215" s="1"/>
      <c r="C215" s="1"/>
      <c r="F215" s="1"/>
    </row>
    <row r="216" spans="2:6" x14ac:dyDescent="0.45">
      <c r="B216" s="1"/>
      <c r="C216" s="1"/>
      <c r="F216" s="1"/>
    </row>
    <row r="217" spans="2:6" x14ac:dyDescent="0.45">
      <c r="B217" s="1"/>
      <c r="C217" s="1"/>
      <c r="F217" s="1"/>
    </row>
    <row r="218" spans="2:6" x14ac:dyDescent="0.45">
      <c r="B218" s="1"/>
      <c r="C218" s="1"/>
      <c r="F218" s="1"/>
    </row>
    <row r="219" spans="2:6" x14ac:dyDescent="0.45">
      <c r="B219" s="1"/>
      <c r="C219" s="1"/>
      <c r="F219" s="1"/>
    </row>
    <row r="220" spans="2:6" x14ac:dyDescent="0.45">
      <c r="B220" s="1"/>
      <c r="C220" s="1"/>
      <c r="F220" s="1"/>
    </row>
    <row r="221" spans="2:6" x14ac:dyDescent="0.45">
      <c r="B221" s="1"/>
      <c r="C221" s="1"/>
      <c r="F221" s="1"/>
    </row>
    <row r="222" spans="2:6" x14ac:dyDescent="0.45">
      <c r="B222" s="1"/>
      <c r="C222" s="1"/>
      <c r="F222" s="1"/>
    </row>
    <row r="223" spans="2:6" x14ac:dyDescent="0.45">
      <c r="B223" s="1"/>
      <c r="C223" s="1"/>
      <c r="F223" s="1"/>
    </row>
    <row r="224" spans="2:6" x14ac:dyDescent="0.45">
      <c r="B224" s="1"/>
      <c r="C224" s="1"/>
      <c r="F224" s="1"/>
    </row>
    <row r="225" spans="2:6" x14ac:dyDescent="0.45">
      <c r="B225" s="1"/>
      <c r="C225" s="1"/>
      <c r="F225" s="1"/>
    </row>
    <row r="226" spans="2:6" x14ac:dyDescent="0.45">
      <c r="B226" s="1"/>
      <c r="C226" s="1"/>
      <c r="F226" s="1"/>
    </row>
    <row r="227" spans="2:6" x14ac:dyDescent="0.45">
      <c r="B227" s="1"/>
      <c r="C227" s="1"/>
      <c r="F227" s="1"/>
    </row>
    <row r="228" spans="2:6" x14ac:dyDescent="0.45">
      <c r="B228" s="1"/>
      <c r="C228" s="1"/>
      <c r="F228" s="1"/>
    </row>
    <row r="229" spans="2:6" x14ac:dyDescent="0.45">
      <c r="B229" s="1"/>
      <c r="C229" s="1"/>
      <c r="F229" s="1"/>
    </row>
    <row r="230" spans="2:6" x14ac:dyDescent="0.45">
      <c r="B230" s="1"/>
      <c r="C230" s="1"/>
      <c r="F230" s="1"/>
    </row>
    <row r="231" spans="2:6" x14ac:dyDescent="0.45">
      <c r="B231" s="1"/>
      <c r="C231" s="1"/>
      <c r="F231" s="1"/>
    </row>
    <row r="232" spans="2:6" x14ac:dyDescent="0.45">
      <c r="B232" s="1"/>
      <c r="C232" s="1"/>
      <c r="F232" s="1"/>
    </row>
    <row r="233" spans="2:6" x14ac:dyDescent="0.45">
      <c r="B233" s="1"/>
      <c r="C233" s="1"/>
      <c r="F233" s="1"/>
    </row>
    <row r="234" spans="2:6" x14ac:dyDescent="0.45">
      <c r="B234" s="1"/>
      <c r="C234" s="1"/>
      <c r="F234" s="1"/>
    </row>
    <row r="235" spans="2:6" x14ac:dyDescent="0.45">
      <c r="B235" s="1"/>
      <c r="C235" s="1"/>
      <c r="F235" s="1"/>
    </row>
    <row r="236" spans="2:6" x14ac:dyDescent="0.45">
      <c r="B236" s="1"/>
      <c r="C236" s="1"/>
      <c r="F236" s="1"/>
    </row>
    <row r="237" spans="2:6" x14ac:dyDescent="0.45">
      <c r="B237" s="1"/>
      <c r="C237" s="1"/>
      <c r="F237" s="1"/>
    </row>
    <row r="238" spans="2:6" x14ac:dyDescent="0.45">
      <c r="B238" s="1"/>
      <c r="C238" s="1"/>
      <c r="F238" s="1"/>
    </row>
    <row r="239" spans="2:6" x14ac:dyDescent="0.45">
      <c r="B239" s="1"/>
      <c r="C239" s="1"/>
      <c r="F239" s="1"/>
    </row>
    <row r="240" spans="2:6" x14ac:dyDescent="0.45">
      <c r="B240" s="1"/>
      <c r="C240" s="1"/>
      <c r="F240" s="1"/>
    </row>
    <row r="241" spans="2:6" x14ac:dyDescent="0.45">
      <c r="B241" s="1"/>
      <c r="C241" s="1"/>
      <c r="F241" s="1"/>
    </row>
    <row r="242" spans="2:6" x14ac:dyDescent="0.45">
      <c r="B242" s="1"/>
      <c r="C242" s="1"/>
      <c r="F242" s="1"/>
    </row>
    <row r="243" spans="2:6" x14ac:dyDescent="0.45">
      <c r="B243" s="1"/>
      <c r="C243" s="1"/>
      <c r="F243" s="1"/>
    </row>
    <row r="244" spans="2:6" x14ac:dyDescent="0.45">
      <c r="B244" s="1"/>
      <c r="C244" s="1"/>
      <c r="F244" s="1"/>
    </row>
    <row r="245" spans="2:6" x14ac:dyDescent="0.45">
      <c r="B245" s="1"/>
      <c r="C245" s="1"/>
      <c r="F245" s="1"/>
    </row>
    <row r="246" spans="2:6" x14ac:dyDescent="0.45">
      <c r="B246" s="1"/>
      <c r="C246" s="1"/>
      <c r="F246" s="1"/>
    </row>
    <row r="247" spans="2:6" x14ac:dyDescent="0.45">
      <c r="B247" s="1"/>
      <c r="C247" s="1"/>
      <c r="F247" s="1"/>
    </row>
    <row r="248" spans="2:6" x14ac:dyDescent="0.45">
      <c r="B248" s="1"/>
      <c r="C248" s="1"/>
      <c r="F248" s="1"/>
    </row>
    <row r="249" spans="2:6" x14ac:dyDescent="0.45">
      <c r="B249" s="1"/>
      <c r="C249" s="1"/>
      <c r="F249" s="1"/>
    </row>
    <row r="250" spans="2:6" x14ac:dyDescent="0.45">
      <c r="B250" s="1"/>
      <c r="C250" s="1"/>
      <c r="F250" s="1"/>
    </row>
    <row r="251" spans="2:6" x14ac:dyDescent="0.45">
      <c r="B251" s="1"/>
      <c r="C251" s="1"/>
      <c r="F251" s="1"/>
    </row>
    <row r="252" spans="2:6" x14ac:dyDescent="0.45">
      <c r="B252" s="1"/>
      <c r="C252" s="1"/>
      <c r="F252" s="1"/>
    </row>
    <row r="253" spans="2:6" x14ac:dyDescent="0.45">
      <c r="B253" s="1"/>
      <c r="C253" s="1"/>
      <c r="F253" s="1"/>
    </row>
    <row r="254" spans="2:6" x14ac:dyDescent="0.45">
      <c r="B254" s="1"/>
      <c r="C254" s="1"/>
      <c r="F254" s="1"/>
    </row>
    <row r="255" spans="2:6" x14ac:dyDescent="0.45">
      <c r="B255" s="1"/>
      <c r="C255" s="1"/>
      <c r="F255" s="1"/>
    </row>
    <row r="256" spans="2:6" x14ac:dyDescent="0.45">
      <c r="B256" s="1"/>
      <c r="C256" s="1"/>
      <c r="F256" s="1"/>
    </row>
    <row r="257" spans="2:6" x14ac:dyDescent="0.45">
      <c r="B257" s="1"/>
      <c r="C257" s="1"/>
      <c r="F257" s="1"/>
    </row>
    <row r="258" spans="2:6" x14ac:dyDescent="0.45">
      <c r="B258" s="1"/>
      <c r="C258" s="1"/>
      <c r="F258" s="1"/>
    </row>
    <row r="259" spans="2:6" x14ac:dyDescent="0.45">
      <c r="B259" s="1"/>
      <c r="C259" s="1"/>
      <c r="F259" s="1"/>
    </row>
    <row r="260" spans="2:6" x14ac:dyDescent="0.45">
      <c r="B260" s="1"/>
      <c r="C260" s="1"/>
      <c r="F260" s="1"/>
    </row>
    <row r="261" spans="2:6" x14ac:dyDescent="0.45">
      <c r="B261" s="1"/>
      <c r="C261" s="1"/>
      <c r="F261" s="1"/>
    </row>
    <row r="262" spans="2:6" x14ac:dyDescent="0.45">
      <c r="B262" s="1"/>
      <c r="C262" s="1"/>
      <c r="F262" s="1"/>
    </row>
    <row r="263" spans="2:6" x14ac:dyDescent="0.45">
      <c r="B263" s="1"/>
      <c r="C263" s="1"/>
      <c r="F263" s="1"/>
    </row>
    <row r="264" spans="2:6" x14ac:dyDescent="0.45">
      <c r="B264" s="1"/>
      <c r="C264" s="1"/>
      <c r="F264" s="1"/>
    </row>
    <row r="265" spans="2:6" x14ac:dyDescent="0.45">
      <c r="B265" s="1"/>
      <c r="C265" s="1"/>
      <c r="F265" s="1"/>
    </row>
    <row r="266" spans="2:6" x14ac:dyDescent="0.45">
      <c r="B266" s="1"/>
      <c r="C266" s="1"/>
      <c r="F266" s="1"/>
    </row>
    <row r="267" spans="2:6" x14ac:dyDescent="0.45">
      <c r="B267" s="1"/>
      <c r="C267" s="1"/>
      <c r="F267" s="1"/>
    </row>
    <row r="268" spans="2:6" x14ac:dyDescent="0.45">
      <c r="B268" s="1"/>
      <c r="C268" s="1"/>
      <c r="F268" s="1"/>
    </row>
    <row r="269" spans="2:6" x14ac:dyDescent="0.45">
      <c r="B269" s="1"/>
      <c r="C269" s="1"/>
      <c r="F269" s="1"/>
    </row>
    <row r="270" spans="2:6" x14ac:dyDescent="0.45">
      <c r="B270" s="1"/>
      <c r="C270" s="1"/>
      <c r="F270" s="1"/>
    </row>
    <row r="271" spans="2:6" x14ac:dyDescent="0.45">
      <c r="B271" s="1"/>
      <c r="C271" s="1"/>
      <c r="F271" s="1"/>
    </row>
    <row r="272" spans="2:6" x14ac:dyDescent="0.45">
      <c r="B272" s="1"/>
      <c r="C272" s="1"/>
      <c r="F272" s="1"/>
    </row>
    <row r="273" spans="2:6" x14ac:dyDescent="0.45">
      <c r="B273" s="1"/>
      <c r="C273" s="1"/>
      <c r="F273" s="1"/>
    </row>
    <row r="274" spans="2:6" x14ac:dyDescent="0.45">
      <c r="B274" s="1"/>
      <c r="C274" s="1"/>
      <c r="F274" s="1"/>
    </row>
    <row r="275" spans="2:6" x14ac:dyDescent="0.45">
      <c r="B275" s="1"/>
      <c r="C275" s="1"/>
      <c r="F275" s="1"/>
    </row>
    <row r="276" spans="2:6" x14ac:dyDescent="0.45">
      <c r="B276" s="1"/>
      <c r="C276" s="1"/>
      <c r="F276" s="1"/>
    </row>
    <row r="277" spans="2:6" x14ac:dyDescent="0.45">
      <c r="B277" s="1"/>
      <c r="C277" s="1"/>
      <c r="F277" s="1"/>
    </row>
    <row r="278" spans="2:6" x14ac:dyDescent="0.45">
      <c r="B278" s="1"/>
      <c r="C278" s="1"/>
      <c r="F278" s="1"/>
    </row>
    <row r="279" spans="2:6" x14ac:dyDescent="0.45">
      <c r="B279" s="1"/>
      <c r="C279" s="1"/>
      <c r="F279" s="1"/>
    </row>
    <row r="280" spans="2:6" x14ac:dyDescent="0.45">
      <c r="B280" s="1"/>
      <c r="C280" s="1"/>
      <c r="F280" s="1"/>
    </row>
    <row r="281" spans="2:6" x14ac:dyDescent="0.45">
      <c r="B281" s="1"/>
      <c r="C281" s="1"/>
      <c r="F281" s="1"/>
    </row>
    <row r="282" spans="2:6" x14ac:dyDescent="0.45">
      <c r="B282" s="1"/>
      <c r="C282" s="1"/>
      <c r="F282" s="1"/>
    </row>
    <row r="283" spans="2:6" x14ac:dyDescent="0.45">
      <c r="B283" s="1"/>
      <c r="C283" s="1"/>
      <c r="F283" s="1"/>
    </row>
    <row r="284" spans="2:6" x14ac:dyDescent="0.45">
      <c r="B284" s="1"/>
      <c r="C284" s="1"/>
      <c r="F284" s="1"/>
    </row>
    <row r="285" spans="2:6" x14ac:dyDescent="0.45">
      <c r="B285" s="1"/>
      <c r="C285" s="1"/>
      <c r="F285" s="1"/>
    </row>
    <row r="286" spans="2:6" x14ac:dyDescent="0.45">
      <c r="B286" s="1"/>
      <c r="C286" s="1"/>
      <c r="F286" s="1"/>
    </row>
    <row r="287" spans="2:6" x14ac:dyDescent="0.45">
      <c r="B287" s="1"/>
      <c r="C287" s="1"/>
      <c r="F287" s="1"/>
    </row>
    <row r="288" spans="2:6" x14ac:dyDescent="0.45">
      <c r="B288" s="1"/>
      <c r="C288" s="1"/>
      <c r="F288" s="1"/>
    </row>
    <row r="289" spans="2:6" x14ac:dyDescent="0.45">
      <c r="B289" s="1"/>
      <c r="C289" s="1"/>
      <c r="F289" s="1"/>
    </row>
    <row r="290" spans="2:6" x14ac:dyDescent="0.45">
      <c r="B290" s="1"/>
      <c r="C290" s="1"/>
      <c r="F290" s="1"/>
    </row>
    <row r="291" spans="2:6" x14ac:dyDescent="0.45">
      <c r="B291" s="1"/>
      <c r="C291" s="1"/>
      <c r="F291" s="1"/>
    </row>
    <row r="292" spans="2:6" x14ac:dyDescent="0.45">
      <c r="B292" s="1"/>
      <c r="C292" s="1"/>
      <c r="F292" s="1"/>
    </row>
    <row r="293" spans="2:6" x14ac:dyDescent="0.45">
      <c r="B293" s="1"/>
      <c r="C293" s="1"/>
      <c r="F293" s="1"/>
    </row>
    <row r="294" spans="2:6" x14ac:dyDescent="0.45">
      <c r="B294" s="1"/>
      <c r="C294" s="1"/>
      <c r="F294" s="1"/>
    </row>
    <row r="295" spans="2:6" x14ac:dyDescent="0.45">
      <c r="B295" s="1"/>
      <c r="C295" s="1"/>
      <c r="F295" s="1"/>
    </row>
    <row r="296" spans="2:6" x14ac:dyDescent="0.45">
      <c r="B296" s="1"/>
      <c r="C296" s="1"/>
      <c r="F296" s="1"/>
    </row>
    <row r="297" spans="2:6" x14ac:dyDescent="0.45">
      <c r="B297" s="1"/>
      <c r="C297" s="1"/>
      <c r="F297" s="1"/>
    </row>
    <row r="298" spans="2:6" x14ac:dyDescent="0.45">
      <c r="B298" s="1"/>
      <c r="C298" s="1"/>
      <c r="F298" s="1"/>
    </row>
    <row r="299" spans="2:6" x14ac:dyDescent="0.45">
      <c r="B299" s="1"/>
      <c r="C299" s="1"/>
      <c r="F299" s="1"/>
    </row>
    <row r="300" spans="2:6" x14ac:dyDescent="0.45">
      <c r="B300" s="1"/>
      <c r="C300" s="1"/>
      <c r="F300" s="1"/>
    </row>
    <row r="301" spans="2:6" x14ac:dyDescent="0.45">
      <c r="B301" s="1"/>
      <c r="C301" s="1"/>
      <c r="F301" s="1"/>
    </row>
    <row r="302" spans="2:6" x14ac:dyDescent="0.45">
      <c r="B302" s="1"/>
      <c r="C302" s="1"/>
      <c r="F302" s="1"/>
    </row>
    <row r="303" spans="2:6" x14ac:dyDescent="0.45">
      <c r="B303" s="1"/>
      <c r="C303" s="1"/>
      <c r="F303" s="1"/>
    </row>
    <row r="304" spans="2:6" x14ac:dyDescent="0.45">
      <c r="B304" s="1"/>
      <c r="C304" s="1"/>
      <c r="F304" s="1"/>
    </row>
    <row r="305" spans="2:6" x14ac:dyDescent="0.45">
      <c r="B305" s="1"/>
      <c r="C305" s="1"/>
      <c r="F305" s="1"/>
    </row>
    <row r="306" spans="2:6" x14ac:dyDescent="0.45">
      <c r="B306" s="1"/>
      <c r="C306" s="1"/>
      <c r="F306" s="1"/>
    </row>
    <row r="307" spans="2:6" x14ac:dyDescent="0.45">
      <c r="B307" s="1"/>
      <c r="C307" s="1"/>
      <c r="F307" s="1"/>
    </row>
    <row r="308" spans="2:6" x14ac:dyDescent="0.45">
      <c r="B308" s="1"/>
      <c r="C308" s="1"/>
      <c r="F308" s="1"/>
    </row>
    <row r="309" spans="2:6" x14ac:dyDescent="0.45">
      <c r="B309" s="1"/>
      <c r="C309" s="1"/>
      <c r="F309" s="1"/>
    </row>
    <row r="310" spans="2:6" x14ac:dyDescent="0.45">
      <c r="B310" s="1"/>
      <c r="C310" s="1"/>
      <c r="F310" s="1"/>
    </row>
    <row r="311" spans="2:6" x14ac:dyDescent="0.45">
      <c r="B311" s="1"/>
      <c r="C311" s="1"/>
      <c r="F311" s="1"/>
    </row>
    <row r="312" spans="2:6" x14ac:dyDescent="0.45">
      <c r="B312" s="1"/>
      <c r="C312" s="1"/>
      <c r="F312" s="1"/>
    </row>
    <row r="313" spans="2:6" x14ac:dyDescent="0.45">
      <c r="B313" s="1"/>
      <c r="C313" s="1"/>
      <c r="F313" s="1"/>
    </row>
    <row r="314" spans="2:6" x14ac:dyDescent="0.45">
      <c r="B314" s="1"/>
      <c r="C314" s="1"/>
      <c r="F314" s="1"/>
    </row>
    <row r="315" spans="2:6" x14ac:dyDescent="0.45">
      <c r="B315" s="1"/>
      <c r="C315" s="1"/>
      <c r="F315" s="1"/>
    </row>
    <row r="316" spans="2:6" x14ac:dyDescent="0.45">
      <c r="B316" s="1"/>
      <c r="C316" s="1"/>
      <c r="F316" s="1"/>
    </row>
    <row r="317" spans="2:6" x14ac:dyDescent="0.45">
      <c r="B317" s="1"/>
      <c r="C317" s="1"/>
      <c r="F317" s="1"/>
    </row>
    <row r="318" spans="2:6" x14ac:dyDescent="0.45">
      <c r="B318" s="1"/>
      <c r="C318" s="1"/>
      <c r="F318" s="1"/>
    </row>
    <row r="319" spans="2:6" x14ac:dyDescent="0.45">
      <c r="B319" s="1"/>
      <c r="C319" s="1"/>
      <c r="F319" s="1"/>
    </row>
    <row r="320" spans="2:6" x14ac:dyDescent="0.45">
      <c r="B320" s="1"/>
      <c r="C320" s="1"/>
      <c r="F320" s="1"/>
    </row>
    <row r="321" spans="2:6" x14ac:dyDescent="0.45">
      <c r="B321" s="1"/>
      <c r="C321" s="1"/>
      <c r="F321" s="1"/>
    </row>
    <row r="322" spans="2:6" x14ac:dyDescent="0.45">
      <c r="B322" s="1"/>
      <c r="C322" s="1"/>
      <c r="F322" s="1"/>
    </row>
    <row r="323" spans="2:6" x14ac:dyDescent="0.45">
      <c r="B323" s="1"/>
      <c r="C323" s="1"/>
      <c r="F323" s="1"/>
    </row>
    <row r="324" spans="2:6" x14ac:dyDescent="0.45">
      <c r="B324" s="1"/>
      <c r="C324" s="1"/>
      <c r="F324" s="1"/>
    </row>
    <row r="325" spans="2:6" x14ac:dyDescent="0.45">
      <c r="B325" s="1"/>
      <c r="C325" s="1"/>
      <c r="F325" s="1"/>
    </row>
    <row r="326" spans="2:6" x14ac:dyDescent="0.45">
      <c r="B326" s="1"/>
      <c r="C326" s="1"/>
      <c r="F326" s="1"/>
    </row>
    <row r="327" spans="2:6" x14ac:dyDescent="0.45">
      <c r="B327" s="1"/>
      <c r="C327" s="1"/>
      <c r="F327" s="1"/>
    </row>
    <row r="328" spans="2:6" x14ac:dyDescent="0.45">
      <c r="B328" s="1"/>
      <c r="C328" s="1"/>
      <c r="F328" s="1"/>
    </row>
    <row r="329" spans="2:6" x14ac:dyDescent="0.45">
      <c r="B329" s="1"/>
      <c r="C329" s="1"/>
      <c r="F329" s="1"/>
    </row>
    <row r="330" spans="2:6" x14ac:dyDescent="0.45">
      <c r="B330" s="1"/>
      <c r="C330" s="1"/>
      <c r="F330" s="1"/>
    </row>
    <row r="331" spans="2:6" x14ac:dyDescent="0.45">
      <c r="B331" s="1"/>
      <c r="C331" s="1"/>
      <c r="F331" s="1"/>
    </row>
    <row r="332" spans="2:6" x14ac:dyDescent="0.45">
      <c r="B332" s="1"/>
      <c r="C332" s="1"/>
      <c r="F332" s="1"/>
    </row>
    <row r="333" spans="2:6" x14ac:dyDescent="0.45">
      <c r="B333" s="1"/>
      <c r="C333" s="1"/>
      <c r="F333" s="1"/>
    </row>
    <row r="334" spans="2:6" x14ac:dyDescent="0.45">
      <c r="B334" s="1"/>
      <c r="C334" s="1"/>
      <c r="F334" s="1"/>
    </row>
    <row r="335" spans="2:6" x14ac:dyDescent="0.45">
      <c r="B335" s="1"/>
      <c r="C335" s="1"/>
      <c r="F335" s="1"/>
    </row>
    <row r="336" spans="2:6" x14ac:dyDescent="0.45">
      <c r="B336" s="1"/>
      <c r="C336" s="1"/>
      <c r="F336" s="1"/>
    </row>
    <row r="337" spans="2:6" x14ac:dyDescent="0.45">
      <c r="B337" s="1"/>
      <c r="C337" s="1"/>
      <c r="F337" s="1"/>
    </row>
    <row r="338" spans="2:6" x14ac:dyDescent="0.45">
      <c r="B338" s="1"/>
      <c r="C338" s="1"/>
      <c r="F338" s="1"/>
    </row>
    <row r="339" spans="2:6" x14ac:dyDescent="0.45">
      <c r="B339" s="1"/>
      <c r="C339" s="1"/>
      <c r="F339" s="1"/>
    </row>
    <row r="340" spans="2:6" x14ac:dyDescent="0.45">
      <c r="B340" s="1"/>
      <c r="C340" s="1"/>
      <c r="F340" s="1"/>
    </row>
    <row r="341" spans="2:6" x14ac:dyDescent="0.45">
      <c r="B341" s="1"/>
      <c r="C341" s="1"/>
      <c r="F341" s="1"/>
    </row>
    <row r="342" spans="2:6" x14ac:dyDescent="0.45">
      <c r="B342" s="1"/>
      <c r="C342" s="1"/>
      <c r="F342" s="1"/>
    </row>
    <row r="343" spans="2:6" x14ac:dyDescent="0.45">
      <c r="B343" s="1"/>
      <c r="C343" s="1"/>
      <c r="F343" s="1"/>
    </row>
    <row r="344" spans="2:6" x14ac:dyDescent="0.45">
      <c r="B344" s="1"/>
      <c r="C344" s="1"/>
      <c r="F344" s="1"/>
    </row>
    <row r="345" spans="2:6" x14ac:dyDescent="0.45">
      <c r="B345" s="1"/>
      <c r="C345" s="1"/>
      <c r="F345" s="1"/>
    </row>
    <row r="346" spans="2:6" x14ac:dyDescent="0.45">
      <c r="B346" s="1"/>
      <c r="C346" s="1"/>
      <c r="F346" s="1"/>
    </row>
    <row r="347" spans="2:6" x14ac:dyDescent="0.45">
      <c r="B347" s="1"/>
      <c r="C347" s="1"/>
      <c r="F347" s="1"/>
    </row>
    <row r="348" spans="2:6" x14ac:dyDescent="0.45">
      <c r="B348" s="1"/>
      <c r="C348" s="1"/>
      <c r="F348" s="1"/>
    </row>
    <row r="349" spans="2:6" x14ac:dyDescent="0.45">
      <c r="B349" s="1"/>
      <c r="C349" s="1"/>
      <c r="F349" s="1"/>
    </row>
    <row r="350" spans="2:6" x14ac:dyDescent="0.45">
      <c r="B350" s="1"/>
      <c r="C350" s="1"/>
      <c r="F350" s="1"/>
    </row>
    <row r="351" spans="2:6" x14ac:dyDescent="0.45">
      <c r="B351" s="1"/>
      <c r="C351" s="1"/>
      <c r="F351" s="1"/>
    </row>
    <row r="352" spans="2:6" x14ac:dyDescent="0.45">
      <c r="B352" s="1"/>
      <c r="C352" s="1"/>
      <c r="F352" s="1"/>
    </row>
    <row r="353" spans="2:6" x14ac:dyDescent="0.45">
      <c r="B353" s="1"/>
      <c r="C353" s="1"/>
      <c r="F353" s="1"/>
    </row>
    <row r="354" spans="2:6" x14ac:dyDescent="0.45">
      <c r="B354" s="1"/>
      <c r="C354" s="1"/>
      <c r="F354" s="1"/>
    </row>
    <row r="355" spans="2:6" x14ac:dyDescent="0.45">
      <c r="B355" s="1"/>
      <c r="C355" s="1"/>
      <c r="F355" s="1"/>
    </row>
    <row r="356" spans="2:6" x14ac:dyDescent="0.45">
      <c r="B356" s="1"/>
      <c r="C356" s="1"/>
      <c r="F356" s="1"/>
    </row>
    <row r="357" spans="2:6" x14ac:dyDescent="0.45">
      <c r="B357" s="1"/>
      <c r="C357" s="1"/>
      <c r="F357" s="1"/>
    </row>
    <row r="358" spans="2:6" x14ac:dyDescent="0.45">
      <c r="B358" s="1"/>
      <c r="C358" s="1"/>
      <c r="F358" s="1"/>
    </row>
    <row r="359" spans="2:6" x14ac:dyDescent="0.45">
      <c r="B359" s="1"/>
      <c r="C359" s="1"/>
      <c r="F359" s="1"/>
    </row>
    <row r="360" spans="2:6" x14ac:dyDescent="0.45">
      <c r="B360" s="1"/>
      <c r="C360" s="1"/>
      <c r="F360" s="1"/>
    </row>
    <row r="361" spans="2:6" x14ac:dyDescent="0.45">
      <c r="B361" s="1"/>
      <c r="C361" s="1"/>
      <c r="F361" s="1"/>
    </row>
    <row r="362" spans="2:6" x14ac:dyDescent="0.45">
      <c r="B362" s="1"/>
      <c r="C362" s="1"/>
      <c r="F362" s="1"/>
    </row>
    <row r="363" spans="2:6" x14ac:dyDescent="0.45">
      <c r="B363" s="1"/>
      <c r="C363" s="1"/>
      <c r="F363" s="1"/>
    </row>
    <row r="364" spans="2:6" x14ac:dyDescent="0.45">
      <c r="B364" s="1"/>
      <c r="C364" s="1"/>
      <c r="F364" s="1"/>
    </row>
    <row r="365" spans="2:6" x14ac:dyDescent="0.45">
      <c r="B365" s="1"/>
      <c r="C365" s="1"/>
      <c r="F365" s="1"/>
    </row>
    <row r="366" spans="2:6" x14ac:dyDescent="0.45">
      <c r="B366" s="1"/>
      <c r="C366" s="1"/>
      <c r="F366" s="1"/>
    </row>
    <row r="367" spans="2:6" x14ac:dyDescent="0.45">
      <c r="B367" s="1"/>
      <c r="C367" s="1"/>
      <c r="F367" s="1"/>
    </row>
    <row r="368" spans="2:6" x14ac:dyDescent="0.45">
      <c r="B368" s="1"/>
      <c r="C368" s="1"/>
      <c r="F368" s="1"/>
    </row>
    <row r="369" spans="2:6" x14ac:dyDescent="0.45">
      <c r="B369" s="1"/>
      <c r="C369" s="1"/>
      <c r="F369" s="1"/>
    </row>
    <row r="370" spans="2:6" x14ac:dyDescent="0.45">
      <c r="B370" s="1"/>
      <c r="C370" s="1"/>
      <c r="F370" s="1"/>
    </row>
    <row r="371" spans="2:6" x14ac:dyDescent="0.45">
      <c r="B371" s="1"/>
      <c r="C371" s="1"/>
      <c r="F371" s="1"/>
    </row>
    <row r="372" spans="2:6" x14ac:dyDescent="0.45">
      <c r="B372" s="1"/>
      <c r="C372" s="1"/>
      <c r="F372" s="1"/>
    </row>
    <row r="373" spans="2:6" x14ac:dyDescent="0.45">
      <c r="B373" s="1"/>
      <c r="C373" s="1"/>
      <c r="F373" s="1"/>
    </row>
    <row r="374" spans="2:6" x14ac:dyDescent="0.45">
      <c r="B374" s="1"/>
      <c r="C374" s="1"/>
      <c r="F374" s="1"/>
    </row>
    <row r="375" spans="2:6" x14ac:dyDescent="0.45">
      <c r="B375" s="1"/>
      <c r="C375" s="1"/>
      <c r="F375" s="1"/>
    </row>
    <row r="376" spans="2:6" x14ac:dyDescent="0.45">
      <c r="B376" s="1"/>
      <c r="C376" s="1"/>
      <c r="F376" s="1"/>
    </row>
    <row r="377" spans="2:6" x14ac:dyDescent="0.45">
      <c r="B377" s="1"/>
      <c r="C377" s="1"/>
      <c r="F377" s="1"/>
    </row>
    <row r="378" spans="2:6" x14ac:dyDescent="0.45">
      <c r="B378" s="1"/>
      <c r="C378" s="1"/>
      <c r="F378" s="1"/>
    </row>
    <row r="379" spans="2:6" x14ac:dyDescent="0.45">
      <c r="B379" s="1"/>
      <c r="C379" s="1"/>
      <c r="F379" s="1"/>
    </row>
    <row r="380" spans="2:6" x14ac:dyDescent="0.45">
      <c r="B380" s="1"/>
      <c r="C380" s="1"/>
      <c r="F380" s="1"/>
    </row>
    <row r="381" spans="2:6" x14ac:dyDescent="0.45">
      <c r="B381" s="1"/>
      <c r="C381" s="1"/>
      <c r="F381" s="1"/>
    </row>
    <row r="382" spans="2:6" x14ac:dyDescent="0.45">
      <c r="B382" s="1"/>
      <c r="C382" s="1"/>
      <c r="F382" s="1"/>
    </row>
    <row r="383" spans="2:6" x14ac:dyDescent="0.45">
      <c r="B383" s="1"/>
      <c r="C383" s="1"/>
      <c r="F383" s="1"/>
    </row>
    <row r="384" spans="2:6" x14ac:dyDescent="0.45">
      <c r="B384" s="1"/>
      <c r="C384" s="1"/>
      <c r="F384" s="1"/>
    </row>
    <row r="385" spans="2:6" x14ac:dyDescent="0.45">
      <c r="B385" s="1"/>
      <c r="C385" s="1"/>
      <c r="F385" s="1"/>
    </row>
    <row r="386" spans="2:6" x14ac:dyDescent="0.45">
      <c r="B386" s="1"/>
    </row>
    <row r="387" spans="2:6" x14ac:dyDescent="0.45">
      <c r="B387" s="1"/>
      <c r="C387" s="1"/>
      <c r="F387" s="1"/>
    </row>
    <row r="388" spans="2:6" x14ac:dyDescent="0.45">
      <c r="B388" s="1"/>
      <c r="C388" s="1"/>
      <c r="F388" s="1"/>
    </row>
    <row r="389" spans="2:6" x14ac:dyDescent="0.45">
      <c r="B389" s="1"/>
      <c r="C389" s="1"/>
      <c r="F389" s="1"/>
    </row>
    <row r="390" spans="2:6" x14ac:dyDescent="0.45">
      <c r="B390" s="1"/>
      <c r="C390" s="1"/>
      <c r="F390" s="1"/>
    </row>
    <row r="391" spans="2:6" x14ac:dyDescent="0.45">
      <c r="B391" s="1"/>
      <c r="C391" s="1"/>
      <c r="F391" s="1"/>
    </row>
    <row r="392" spans="2:6" x14ac:dyDescent="0.45">
      <c r="B392" s="1"/>
      <c r="C392" s="1"/>
      <c r="F392" s="1"/>
    </row>
    <row r="393" spans="2:6" x14ac:dyDescent="0.45">
      <c r="B393" s="1"/>
      <c r="C393" s="1"/>
      <c r="F393" s="1"/>
    </row>
    <row r="394" spans="2:6" x14ac:dyDescent="0.45">
      <c r="B394" s="1"/>
      <c r="C394" s="1"/>
      <c r="F394" s="1"/>
    </row>
    <row r="395" spans="2:6" x14ac:dyDescent="0.45">
      <c r="B395" s="1"/>
      <c r="C395" s="1"/>
      <c r="F395" s="1"/>
    </row>
    <row r="396" spans="2:6" x14ac:dyDescent="0.45">
      <c r="B396" s="1"/>
      <c r="C396" s="1"/>
      <c r="F396" s="1"/>
    </row>
    <row r="397" spans="2:6" x14ac:dyDescent="0.45">
      <c r="B397" s="1"/>
      <c r="C397" s="1"/>
      <c r="F397" s="1"/>
    </row>
    <row r="398" spans="2:6" x14ac:dyDescent="0.45">
      <c r="B398" s="1"/>
      <c r="C398" s="1"/>
      <c r="F398" s="1"/>
    </row>
    <row r="399" spans="2:6" x14ac:dyDescent="0.45">
      <c r="B399" s="1"/>
      <c r="C399" s="1"/>
      <c r="F399" s="1"/>
    </row>
    <row r="400" spans="2:6" x14ac:dyDescent="0.45">
      <c r="B400" s="1"/>
      <c r="C400" s="1"/>
      <c r="F400" s="1"/>
    </row>
    <row r="401" spans="2:6" x14ac:dyDescent="0.45">
      <c r="B401" s="1"/>
      <c r="C401" s="1"/>
      <c r="F401" s="1"/>
    </row>
    <row r="402" spans="2:6" x14ac:dyDescent="0.45">
      <c r="B402" s="1"/>
      <c r="C402" s="1"/>
      <c r="F402" s="1"/>
    </row>
    <row r="403" spans="2:6" x14ac:dyDescent="0.45">
      <c r="B403" s="1"/>
      <c r="C403" s="1"/>
      <c r="F403" s="1"/>
    </row>
    <row r="404" spans="2:6" x14ac:dyDescent="0.45">
      <c r="B404" s="1"/>
      <c r="C404" s="1"/>
      <c r="F404" s="1"/>
    </row>
    <row r="405" spans="2:6" x14ac:dyDescent="0.45">
      <c r="B405" s="1"/>
      <c r="C405" s="1"/>
      <c r="F405" s="1"/>
    </row>
    <row r="406" spans="2:6" x14ac:dyDescent="0.45">
      <c r="B406" s="1"/>
      <c r="C406" s="1"/>
      <c r="F406" s="1"/>
    </row>
    <row r="407" spans="2:6" x14ac:dyDescent="0.45">
      <c r="B407" s="1"/>
      <c r="C407" s="1"/>
      <c r="F407" s="1"/>
    </row>
    <row r="408" spans="2:6" x14ac:dyDescent="0.45">
      <c r="B408" s="1"/>
      <c r="C408" s="1"/>
      <c r="F408" s="1"/>
    </row>
    <row r="409" spans="2:6" x14ac:dyDescent="0.45">
      <c r="B409" s="1"/>
      <c r="C409" s="1"/>
      <c r="F409" s="1"/>
    </row>
    <row r="410" spans="2:6" x14ac:dyDescent="0.45">
      <c r="B410" s="1"/>
      <c r="C410" s="1"/>
      <c r="F410" s="1"/>
    </row>
    <row r="411" spans="2:6" x14ac:dyDescent="0.45">
      <c r="B411" s="1"/>
      <c r="C411" s="1"/>
      <c r="F411" s="1"/>
    </row>
    <row r="412" spans="2:6" x14ac:dyDescent="0.45">
      <c r="B412" s="1"/>
      <c r="C412" s="1"/>
      <c r="F412" s="1"/>
    </row>
    <row r="413" spans="2:6" x14ac:dyDescent="0.45">
      <c r="B413" s="1"/>
      <c r="C413" s="1"/>
      <c r="F413" s="1"/>
    </row>
    <row r="414" spans="2:6" x14ac:dyDescent="0.45">
      <c r="B414" s="1"/>
      <c r="C414" s="1"/>
      <c r="F414" s="1"/>
    </row>
    <row r="415" spans="2:6" x14ac:dyDescent="0.45">
      <c r="B415" s="1"/>
      <c r="C415" s="1"/>
      <c r="F415" s="1"/>
    </row>
    <row r="416" spans="2:6" x14ac:dyDescent="0.45">
      <c r="B416" s="1"/>
      <c r="C416" s="1"/>
      <c r="F416" s="1"/>
    </row>
    <row r="417" spans="2:6" x14ac:dyDescent="0.45">
      <c r="B417" s="1"/>
      <c r="C417" s="1"/>
      <c r="F417" s="1"/>
    </row>
    <row r="418" spans="2:6" x14ac:dyDescent="0.45">
      <c r="B418" s="1"/>
      <c r="C418" s="1"/>
      <c r="F418" s="1"/>
    </row>
    <row r="419" spans="2:6" x14ac:dyDescent="0.45">
      <c r="B419" s="1"/>
      <c r="C419" s="1"/>
      <c r="F419" s="1"/>
    </row>
    <row r="420" spans="2:6" x14ac:dyDescent="0.45">
      <c r="B420" s="1"/>
      <c r="C420" s="1"/>
      <c r="F420" s="1"/>
    </row>
    <row r="421" spans="2:6" x14ac:dyDescent="0.45">
      <c r="B421" s="1"/>
      <c r="C421" s="1"/>
      <c r="F421" s="1"/>
    </row>
    <row r="422" spans="2:6" x14ac:dyDescent="0.45">
      <c r="B422" s="1"/>
      <c r="C422" s="1"/>
      <c r="F422" s="1"/>
    </row>
    <row r="423" spans="2:6" x14ac:dyDescent="0.45">
      <c r="B423" s="1"/>
      <c r="C423" s="1"/>
      <c r="F423" s="1"/>
    </row>
    <row r="424" spans="2:6" x14ac:dyDescent="0.45">
      <c r="B424" s="1"/>
      <c r="C424" s="1"/>
      <c r="F424" s="1"/>
    </row>
    <row r="425" spans="2:6" x14ac:dyDescent="0.45">
      <c r="B425" s="1"/>
      <c r="C425" s="1"/>
      <c r="F425" s="1"/>
    </row>
    <row r="426" spans="2:6" x14ac:dyDescent="0.45">
      <c r="B426" s="1"/>
      <c r="C426" s="1"/>
      <c r="F426" s="1"/>
    </row>
    <row r="427" spans="2:6" x14ac:dyDescent="0.45">
      <c r="B427" s="1"/>
      <c r="C427" s="1"/>
      <c r="F427" s="1"/>
    </row>
    <row r="428" spans="2:6" x14ac:dyDescent="0.45">
      <c r="B428" s="1"/>
      <c r="C428" s="1"/>
      <c r="F428" s="1"/>
    </row>
    <row r="429" spans="2:6" x14ac:dyDescent="0.45">
      <c r="B429" s="1"/>
      <c r="C429" s="1"/>
      <c r="F429" s="1"/>
    </row>
    <row r="430" spans="2:6" x14ac:dyDescent="0.45">
      <c r="B430" s="1"/>
      <c r="C430" s="1"/>
      <c r="F430" s="1"/>
    </row>
    <row r="431" spans="2:6" x14ac:dyDescent="0.45">
      <c r="B431" s="1"/>
      <c r="C431" s="1"/>
      <c r="F431" s="1"/>
    </row>
    <row r="432" spans="2:6" x14ac:dyDescent="0.45">
      <c r="B432" s="1"/>
      <c r="C432" s="1"/>
      <c r="F432" s="1"/>
    </row>
    <row r="433" spans="2:6" x14ac:dyDescent="0.45">
      <c r="B433" s="1"/>
      <c r="C433" s="1"/>
      <c r="F433" s="1"/>
    </row>
    <row r="434" spans="2:6" x14ac:dyDescent="0.45">
      <c r="B434" s="1"/>
      <c r="C434" s="1"/>
      <c r="F434" s="1"/>
    </row>
    <row r="435" spans="2:6" x14ac:dyDescent="0.45">
      <c r="B435" s="1"/>
      <c r="C435" s="1"/>
      <c r="F435" s="1"/>
    </row>
    <row r="436" spans="2:6" x14ac:dyDescent="0.45">
      <c r="B436" s="1"/>
      <c r="C436" s="1"/>
      <c r="F436" s="1"/>
    </row>
    <row r="437" spans="2:6" x14ac:dyDescent="0.45">
      <c r="B437" s="1"/>
      <c r="C437" s="1"/>
      <c r="F437" s="1"/>
    </row>
    <row r="438" spans="2:6" x14ac:dyDescent="0.45">
      <c r="B438" s="1"/>
      <c r="C438" s="1"/>
      <c r="F438" s="1"/>
    </row>
    <row r="439" spans="2:6" x14ac:dyDescent="0.45">
      <c r="B439" s="1"/>
      <c r="C439" s="1"/>
      <c r="F439" s="1"/>
    </row>
    <row r="440" spans="2:6" x14ac:dyDescent="0.45">
      <c r="B440" s="1"/>
      <c r="C440" s="1"/>
      <c r="F440" s="1"/>
    </row>
    <row r="441" spans="2:6" x14ac:dyDescent="0.45">
      <c r="B441" s="1"/>
      <c r="C441" s="1"/>
      <c r="F441" s="1"/>
    </row>
    <row r="442" spans="2:6" x14ac:dyDescent="0.45">
      <c r="B442" s="1"/>
      <c r="C442" s="1"/>
      <c r="F442" s="1"/>
    </row>
    <row r="443" spans="2:6" x14ac:dyDescent="0.45">
      <c r="B443" s="1"/>
      <c r="C443" s="1"/>
      <c r="F443" s="1"/>
    </row>
    <row r="444" spans="2:6" x14ac:dyDescent="0.45">
      <c r="B444" s="1"/>
      <c r="C444" s="1"/>
      <c r="F444" s="1"/>
    </row>
    <row r="445" spans="2:6" x14ac:dyDescent="0.45">
      <c r="B445" s="1"/>
      <c r="C445" s="1"/>
      <c r="F445" s="1"/>
    </row>
    <row r="446" spans="2:6" x14ac:dyDescent="0.45">
      <c r="B446" s="1"/>
      <c r="C446" s="1"/>
      <c r="F446" s="1"/>
    </row>
    <row r="447" spans="2:6" x14ac:dyDescent="0.45">
      <c r="B447" s="1"/>
      <c r="C447" s="1"/>
      <c r="F447" s="1"/>
    </row>
    <row r="448" spans="2:6" x14ac:dyDescent="0.45">
      <c r="B448" s="1"/>
      <c r="C448" s="1"/>
      <c r="F448" s="1"/>
    </row>
    <row r="449" spans="2:6" x14ac:dyDescent="0.45">
      <c r="B449" s="1"/>
      <c r="C449" s="1"/>
      <c r="F449" s="1"/>
    </row>
    <row r="450" spans="2:6" x14ac:dyDescent="0.45">
      <c r="B450" s="1"/>
      <c r="C450" s="1"/>
      <c r="F450" s="1"/>
    </row>
    <row r="451" spans="2:6" x14ac:dyDescent="0.45">
      <c r="B451" s="1"/>
      <c r="C451" s="1"/>
      <c r="F451" s="1"/>
    </row>
    <row r="452" spans="2:6" x14ac:dyDescent="0.45">
      <c r="B452" s="1"/>
      <c r="C452" s="1"/>
      <c r="F452" s="1"/>
    </row>
    <row r="453" spans="2:6" x14ac:dyDescent="0.45">
      <c r="B453" s="1"/>
      <c r="C453" s="1"/>
      <c r="F453" s="1"/>
    </row>
    <row r="454" spans="2:6" x14ac:dyDescent="0.45">
      <c r="B454" s="1"/>
      <c r="C454" s="1"/>
      <c r="F454" s="1"/>
    </row>
    <row r="455" spans="2:6" x14ac:dyDescent="0.45">
      <c r="B455" s="1"/>
      <c r="C455" s="1"/>
      <c r="F455" s="1"/>
    </row>
    <row r="456" spans="2:6" x14ac:dyDescent="0.45">
      <c r="B456" s="1"/>
      <c r="C456" s="1"/>
      <c r="F456" s="1"/>
    </row>
    <row r="457" spans="2:6" x14ac:dyDescent="0.45">
      <c r="B457" s="1"/>
      <c r="C457" s="1"/>
      <c r="F457" s="1"/>
    </row>
    <row r="458" spans="2:6" x14ac:dyDescent="0.45">
      <c r="B458" s="1"/>
      <c r="C458" s="1"/>
      <c r="F458" s="1"/>
    </row>
    <row r="459" spans="2:6" x14ac:dyDescent="0.45">
      <c r="B459" s="1"/>
      <c r="C459" s="1"/>
      <c r="F459" s="1"/>
    </row>
    <row r="460" spans="2:6" x14ac:dyDescent="0.45">
      <c r="B460" s="1"/>
      <c r="C460" s="1"/>
      <c r="F460" s="1"/>
    </row>
    <row r="461" spans="2:6" x14ac:dyDescent="0.45">
      <c r="B461" s="1"/>
      <c r="C461" s="1"/>
      <c r="F461" s="1"/>
    </row>
    <row r="462" spans="2:6" x14ac:dyDescent="0.45">
      <c r="B462" s="1"/>
      <c r="C462" s="1"/>
      <c r="F462" s="1"/>
    </row>
    <row r="463" spans="2:6" x14ac:dyDescent="0.45">
      <c r="B463" s="1"/>
      <c r="C463" s="1"/>
      <c r="F463" s="1"/>
    </row>
    <row r="464" spans="2:6" x14ac:dyDescent="0.45">
      <c r="B464" s="1"/>
      <c r="C464" s="1"/>
      <c r="F464" s="1"/>
    </row>
    <row r="465" spans="2:6" x14ac:dyDescent="0.45">
      <c r="B465" s="1"/>
      <c r="C465" s="1"/>
      <c r="F465" s="1"/>
    </row>
    <row r="466" spans="2:6" x14ac:dyDescent="0.45">
      <c r="B466" s="1"/>
      <c r="C466" s="1"/>
      <c r="F466" s="1"/>
    </row>
    <row r="467" spans="2:6" x14ac:dyDescent="0.45">
      <c r="B467" s="1"/>
      <c r="C467" s="1"/>
      <c r="F467" s="1"/>
    </row>
    <row r="468" spans="2:6" x14ac:dyDescent="0.45">
      <c r="B468" s="1"/>
      <c r="C468" s="1"/>
      <c r="F468" s="1"/>
    </row>
    <row r="469" spans="2:6" x14ac:dyDescent="0.45">
      <c r="B469" s="1"/>
      <c r="C469" s="1"/>
      <c r="F469" s="1"/>
    </row>
    <row r="470" spans="2:6" x14ac:dyDescent="0.45">
      <c r="B470" s="1"/>
      <c r="C470" s="1"/>
      <c r="F470" s="1"/>
    </row>
    <row r="471" spans="2:6" x14ac:dyDescent="0.45">
      <c r="B471" s="1"/>
      <c r="C471" s="1"/>
      <c r="F471" s="1"/>
    </row>
    <row r="472" spans="2:6" x14ac:dyDescent="0.45">
      <c r="B472" s="1"/>
      <c r="C472" s="1"/>
      <c r="F472" s="1"/>
    </row>
    <row r="473" spans="2:6" x14ac:dyDescent="0.45">
      <c r="B473" s="1"/>
      <c r="C473" s="1"/>
      <c r="F473" s="1"/>
    </row>
    <row r="474" spans="2:6" x14ac:dyDescent="0.45">
      <c r="B474" s="1"/>
      <c r="C474" s="1"/>
      <c r="F474" s="1"/>
    </row>
    <row r="475" spans="2:6" x14ac:dyDescent="0.45">
      <c r="B475" s="1"/>
      <c r="C475" s="1"/>
      <c r="F475" s="1"/>
    </row>
    <row r="476" spans="2:6" x14ac:dyDescent="0.45">
      <c r="B476" s="1"/>
      <c r="C476" s="1"/>
      <c r="F476" s="1"/>
    </row>
    <row r="477" spans="2:6" x14ac:dyDescent="0.45">
      <c r="B477" s="1"/>
      <c r="C477" s="1"/>
      <c r="F477" s="1"/>
    </row>
    <row r="478" spans="2:6" x14ac:dyDescent="0.45">
      <c r="B478" s="1"/>
      <c r="C478" s="1"/>
      <c r="F478" s="1"/>
    </row>
    <row r="479" spans="2:6" x14ac:dyDescent="0.45">
      <c r="B479" s="1"/>
      <c r="C479" s="1"/>
      <c r="F479" s="1"/>
    </row>
    <row r="480" spans="2:6" x14ac:dyDescent="0.45">
      <c r="B480" s="1"/>
      <c r="C480" s="1"/>
      <c r="F480" s="1"/>
    </row>
    <row r="481" spans="2:6" x14ac:dyDescent="0.45">
      <c r="B481" s="1"/>
      <c r="C481" s="1"/>
      <c r="F481" s="1"/>
    </row>
    <row r="482" spans="2:6" x14ac:dyDescent="0.45">
      <c r="B482" s="1"/>
      <c r="C482" s="1"/>
      <c r="F482" s="1"/>
    </row>
    <row r="483" spans="2:6" x14ac:dyDescent="0.45">
      <c r="B483" s="1"/>
      <c r="C483" s="1"/>
      <c r="F483" s="1"/>
    </row>
    <row r="484" spans="2:6" x14ac:dyDescent="0.45">
      <c r="B484" s="1"/>
      <c r="C484" s="1"/>
      <c r="F484" s="1"/>
    </row>
    <row r="485" spans="2:6" x14ac:dyDescent="0.45">
      <c r="B485" s="1"/>
      <c r="C485" s="1"/>
      <c r="F485" s="1"/>
    </row>
    <row r="486" spans="2:6" x14ac:dyDescent="0.45">
      <c r="B486" s="1"/>
      <c r="C486" s="1"/>
      <c r="F486" s="1"/>
    </row>
    <row r="487" spans="2:6" x14ac:dyDescent="0.45">
      <c r="B487" s="1"/>
      <c r="C487" s="1"/>
      <c r="F487" s="1"/>
    </row>
    <row r="488" spans="2:6" x14ac:dyDescent="0.45">
      <c r="B488" s="1"/>
      <c r="C488" s="1"/>
      <c r="F488" s="1"/>
    </row>
    <row r="489" spans="2:6" x14ac:dyDescent="0.45">
      <c r="B489" s="1"/>
      <c r="C489" s="1"/>
      <c r="F489" s="1"/>
    </row>
    <row r="490" spans="2:6" x14ac:dyDescent="0.45">
      <c r="B490" s="1"/>
      <c r="C490" s="1"/>
      <c r="F490" s="1"/>
    </row>
    <row r="491" spans="2:6" x14ac:dyDescent="0.45">
      <c r="B491" s="1"/>
      <c r="C491" s="1"/>
      <c r="F491" s="1"/>
    </row>
    <row r="492" spans="2:6" x14ac:dyDescent="0.45">
      <c r="B492" s="1"/>
      <c r="C492" s="1"/>
      <c r="F492" s="1"/>
    </row>
    <row r="493" spans="2:6" x14ac:dyDescent="0.45">
      <c r="B493" s="1"/>
      <c r="C493" s="1"/>
      <c r="F493" s="1"/>
    </row>
    <row r="494" spans="2:6" x14ac:dyDescent="0.45">
      <c r="B494" s="1"/>
      <c r="C494" s="1"/>
      <c r="F494" s="1"/>
    </row>
    <row r="495" spans="2:6" x14ac:dyDescent="0.45">
      <c r="B495" s="1"/>
      <c r="C495" s="1"/>
      <c r="F495" s="1"/>
    </row>
    <row r="496" spans="2:6" x14ac:dyDescent="0.45">
      <c r="B496" s="1"/>
      <c r="C496" s="1"/>
      <c r="F496" s="1"/>
    </row>
    <row r="497" spans="2:6" x14ac:dyDescent="0.45">
      <c r="B497" s="1"/>
      <c r="C497" s="1"/>
      <c r="F497" s="1"/>
    </row>
    <row r="498" spans="2:6" x14ac:dyDescent="0.45">
      <c r="B498" s="1"/>
      <c r="C498" s="1"/>
      <c r="F498" s="1"/>
    </row>
    <row r="499" spans="2:6" x14ac:dyDescent="0.45">
      <c r="B499" s="1"/>
      <c r="C499" s="1"/>
      <c r="F499" s="1"/>
    </row>
    <row r="500" spans="2:6" x14ac:dyDescent="0.45">
      <c r="B500" s="1"/>
      <c r="C500" s="1"/>
      <c r="F500" s="1"/>
    </row>
    <row r="501" spans="2:6" x14ac:dyDescent="0.45">
      <c r="B501" s="1"/>
      <c r="C501" s="1"/>
      <c r="F501" s="1"/>
    </row>
    <row r="502" spans="2:6" x14ac:dyDescent="0.45">
      <c r="B502" s="1"/>
      <c r="C502" s="1"/>
      <c r="F502" s="1"/>
    </row>
    <row r="503" spans="2:6" x14ac:dyDescent="0.45">
      <c r="B503" s="1"/>
      <c r="C503" s="1"/>
      <c r="F503" s="1"/>
    </row>
    <row r="504" spans="2:6" x14ac:dyDescent="0.45">
      <c r="B504" s="1"/>
      <c r="C504" s="1"/>
      <c r="F504" s="1"/>
    </row>
    <row r="505" spans="2:6" x14ac:dyDescent="0.45">
      <c r="B505" s="1"/>
      <c r="C505" s="1"/>
      <c r="F505" s="1"/>
    </row>
    <row r="506" spans="2:6" x14ac:dyDescent="0.45">
      <c r="B506" s="1"/>
      <c r="C506" s="1"/>
      <c r="F506" s="1"/>
    </row>
    <row r="507" spans="2:6" x14ac:dyDescent="0.45">
      <c r="B507" s="1"/>
      <c r="C507" s="1"/>
      <c r="F507" s="1"/>
    </row>
    <row r="508" spans="2:6" x14ac:dyDescent="0.45">
      <c r="B508" s="1"/>
      <c r="C508" s="1"/>
      <c r="F508" s="1"/>
    </row>
    <row r="509" spans="2:6" x14ac:dyDescent="0.45">
      <c r="B509" s="1"/>
      <c r="C509" s="1"/>
      <c r="F509" s="1"/>
    </row>
    <row r="510" spans="2:6" x14ac:dyDescent="0.45">
      <c r="B510" s="1"/>
      <c r="C510" s="1"/>
      <c r="F510" s="1"/>
    </row>
    <row r="511" spans="2:6" x14ac:dyDescent="0.45">
      <c r="B511" s="1"/>
      <c r="C511" s="1"/>
      <c r="F511" s="1"/>
    </row>
    <row r="512" spans="2:6" x14ac:dyDescent="0.45">
      <c r="B512" s="1"/>
      <c r="C512" s="1"/>
      <c r="F512" s="1"/>
    </row>
    <row r="513" spans="2:6" x14ac:dyDescent="0.45">
      <c r="B513" s="1"/>
      <c r="C513" s="1"/>
      <c r="F513" s="1"/>
    </row>
    <row r="514" spans="2:6" x14ac:dyDescent="0.45">
      <c r="B514" s="1"/>
      <c r="C514" s="1"/>
      <c r="F514" s="1"/>
    </row>
    <row r="515" spans="2:6" x14ac:dyDescent="0.45">
      <c r="B515" s="1"/>
      <c r="C515" s="1"/>
      <c r="F515" s="1"/>
    </row>
    <row r="516" spans="2:6" x14ac:dyDescent="0.45">
      <c r="B516" s="1"/>
      <c r="C516" s="1"/>
      <c r="F516" s="1"/>
    </row>
    <row r="517" spans="2:6" x14ac:dyDescent="0.45">
      <c r="B517" s="1"/>
      <c r="C517" s="1"/>
      <c r="F517" s="1"/>
    </row>
    <row r="518" spans="2:6" x14ac:dyDescent="0.45">
      <c r="B518" s="1"/>
      <c r="C518" s="1"/>
      <c r="F518" s="1"/>
    </row>
    <row r="519" spans="2:6" x14ac:dyDescent="0.45">
      <c r="B519" s="1"/>
      <c r="C519" s="1"/>
      <c r="F519" s="1"/>
    </row>
    <row r="520" spans="2:6" x14ac:dyDescent="0.45">
      <c r="B520" s="1"/>
      <c r="C520" s="1"/>
      <c r="F520" s="1"/>
    </row>
    <row r="521" spans="2:6" x14ac:dyDescent="0.45">
      <c r="B521" s="1"/>
      <c r="C521" s="1"/>
      <c r="F521" s="1"/>
    </row>
    <row r="522" spans="2:6" x14ac:dyDescent="0.45">
      <c r="B522" s="1"/>
      <c r="C522" s="1"/>
      <c r="F522" s="1"/>
    </row>
    <row r="523" spans="2:6" x14ac:dyDescent="0.45">
      <c r="B523" s="1"/>
      <c r="C523" s="1"/>
      <c r="F523" s="1"/>
    </row>
    <row r="524" spans="2:6" x14ac:dyDescent="0.45">
      <c r="B524" s="1"/>
      <c r="C524" s="1"/>
      <c r="F524" s="1"/>
    </row>
    <row r="525" spans="2:6" x14ac:dyDescent="0.45">
      <c r="B525" s="1"/>
      <c r="C525" s="1"/>
      <c r="F525" s="1"/>
    </row>
    <row r="526" spans="2:6" x14ac:dyDescent="0.45">
      <c r="B526" s="1"/>
      <c r="C526" s="1"/>
      <c r="F526" s="1"/>
    </row>
    <row r="527" spans="2:6" x14ac:dyDescent="0.45">
      <c r="B527" s="1"/>
      <c r="C527" s="1"/>
      <c r="F527" s="1"/>
    </row>
    <row r="528" spans="2:6" x14ac:dyDescent="0.45">
      <c r="B528" s="1"/>
      <c r="C528" s="1"/>
      <c r="F528" s="1"/>
    </row>
    <row r="529" spans="2:6" x14ac:dyDescent="0.45">
      <c r="B529" s="1"/>
      <c r="C529" s="1"/>
      <c r="F529" s="1"/>
    </row>
    <row r="530" spans="2:6" x14ac:dyDescent="0.45">
      <c r="B530" s="1"/>
      <c r="C530" s="1"/>
      <c r="F530" s="1"/>
    </row>
    <row r="531" spans="2:6" x14ac:dyDescent="0.45">
      <c r="B531" s="1"/>
      <c r="C531" s="1"/>
      <c r="F531" s="1"/>
    </row>
    <row r="532" spans="2:6" x14ac:dyDescent="0.45">
      <c r="B532" s="1"/>
      <c r="C532" s="1"/>
      <c r="F532" s="1"/>
    </row>
    <row r="533" spans="2:6" x14ac:dyDescent="0.45">
      <c r="B533" s="1"/>
      <c r="C533" s="1"/>
      <c r="F533" s="1"/>
    </row>
    <row r="534" spans="2:6" x14ac:dyDescent="0.45">
      <c r="B534" s="1"/>
      <c r="C534" s="1"/>
      <c r="F534" s="1"/>
    </row>
    <row r="535" spans="2:6" x14ac:dyDescent="0.45">
      <c r="B535" s="1"/>
      <c r="C535" s="1"/>
      <c r="F535" s="1"/>
    </row>
    <row r="536" spans="2:6" x14ac:dyDescent="0.45">
      <c r="B536" s="1"/>
      <c r="C536" s="1"/>
      <c r="F536" s="1"/>
    </row>
    <row r="537" spans="2:6" x14ac:dyDescent="0.45">
      <c r="B537" s="1"/>
      <c r="C537" s="1"/>
      <c r="F537" s="1"/>
    </row>
    <row r="538" spans="2:6" x14ac:dyDescent="0.45">
      <c r="B538" s="1"/>
      <c r="C538" s="1"/>
      <c r="F538" s="1"/>
    </row>
    <row r="539" spans="2:6" x14ac:dyDescent="0.45">
      <c r="B539" s="1"/>
      <c r="C539" s="1"/>
      <c r="F539" s="1"/>
    </row>
    <row r="540" spans="2:6" x14ac:dyDescent="0.45">
      <c r="B540" s="1"/>
      <c r="C540" s="1"/>
      <c r="F540" s="1"/>
    </row>
    <row r="541" spans="2:6" x14ac:dyDescent="0.45">
      <c r="B541" s="1"/>
      <c r="C541" s="1"/>
      <c r="F541" s="1"/>
    </row>
    <row r="542" spans="2:6" x14ac:dyDescent="0.45">
      <c r="B542" s="1"/>
      <c r="C542" s="1"/>
      <c r="F542" s="1"/>
    </row>
    <row r="543" spans="2:6" x14ac:dyDescent="0.45">
      <c r="B543" s="1"/>
      <c r="C543" s="1"/>
      <c r="F543" s="1"/>
    </row>
    <row r="544" spans="2:6" x14ac:dyDescent="0.45">
      <c r="B544" s="1"/>
      <c r="C544" s="1"/>
      <c r="F544" s="1"/>
    </row>
    <row r="545" spans="2:6" x14ac:dyDescent="0.45">
      <c r="B545" s="1"/>
      <c r="C545" s="1"/>
      <c r="F545" s="1"/>
    </row>
    <row r="546" spans="2:6" x14ac:dyDescent="0.45">
      <c r="B546" s="1"/>
      <c r="C546" s="1"/>
      <c r="F546" s="1"/>
    </row>
    <row r="547" spans="2:6" x14ac:dyDescent="0.45">
      <c r="B547" s="1"/>
      <c r="C547" s="1"/>
      <c r="F547" s="1"/>
    </row>
    <row r="548" spans="2:6" x14ac:dyDescent="0.45">
      <c r="B548" s="1"/>
      <c r="C548" s="1"/>
      <c r="F548" s="1"/>
    </row>
    <row r="549" spans="2:6" x14ac:dyDescent="0.45">
      <c r="B549" s="1"/>
      <c r="C549" s="1"/>
      <c r="F549" s="1"/>
    </row>
    <row r="550" spans="2:6" x14ac:dyDescent="0.45">
      <c r="B550" s="1"/>
      <c r="C550" s="1"/>
      <c r="F550" s="1"/>
    </row>
    <row r="551" spans="2:6" x14ac:dyDescent="0.45">
      <c r="B551" s="1"/>
      <c r="C551" s="1"/>
      <c r="F551" s="1"/>
    </row>
    <row r="552" spans="2:6" x14ac:dyDescent="0.45">
      <c r="B552" s="1"/>
      <c r="C552" s="1"/>
      <c r="F552" s="1"/>
    </row>
    <row r="553" spans="2:6" x14ac:dyDescent="0.45">
      <c r="B553" s="1"/>
      <c r="C553" s="1"/>
      <c r="F553" s="1"/>
    </row>
    <row r="554" spans="2:6" x14ac:dyDescent="0.45">
      <c r="B554" s="1"/>
      <c r="C554" s="1"/>
      <c r="F554" s="1"/>
    </row>
    <row r="555" spans="2:6" x14ac:dyDescent="0.45">
      <c r="B555" s="1"/>
      <c r="C555" s="1"/>
      <c r="F555" s="1"/>
    </row>
    <row r="556" spans="2:6" x14ac:dyDescent="0.45">
      <c r="B556" s="1"/>
      <c r="C556" s="1"/>
      <c r="F556" s="1"/>
    </row>
    <row r="557" spans="2:6" x14ac:dyDescent="0.45">
      <c r="B557" s="1"/>
      <c r="C557" s="1"/>
      <c r="F557" s="1"/>
    </row>
    <row r="558" spans="2:6" x14ac:dyDescent="0.45">
      <c r="B558" s="1"/>
      <c r="C558" s="1"/>
      <c r="F558" s="1"/>
    </row>
    <row r="559" spans="2:6" x14ac:dyDescent="0.45">
      <c r="B559" s="1"/>
      <c r="C559" s="1"/>
      <c r="F559" s="1"/>
    </row>
    <row r="560" spans="2:6" x14ac:dyDescent="0.45">
      <c r="B560" s="1"/>
      <c r="C560" s="1"/>
      <c r="F560" s="1"/>
    </row>
    <row r="561" spans="2:6" x14ac:dyDescent="0.45">
      <c r="B561" s="1"/>
      <c r="C561" s="1"/>
      <c r="F561" s="1"/>
    </row>
    <row r="562" spans="2:6" x14ac:dyDescent="0.45">
      <c r="B562" s="1"/>
      <c r="C562" s="1"/>
      <c r="F562" s="1"/>
    </row>
    <row r="563" spans="2:6" x14ac:dyDescent="0.45">
      <c r="B563" s="1"/>
      <c r="C563" s="1"/>
      <c r="F563" s="1"/>
    </row>
    <row r="564" spans="2:6" x14ac:dyDescent="0.45">
      <c r="B564" s="1"/>
      <c r="C564" s="1"/>
      <c r="F564" s="1"/>
    </row>
    <row r="565" spans="2:6" x14ac:dyDescent="0.45">
      <c r="B565" s="1"/>
      <c r="C565" s="1"/>
      <c r="F565" s="1"/>
    </row>
    <row r="566" spans="2:6" x14ac:dyDescent="0.45">
      <c r="B566" s="1"/>
      <c r="C566" s="1"/>
      <c r="F566" s="1"/>
    </row>
    <row r="567" spans="2:6" x14ac:dyDescent="0.45">
      <c r="B567" s="1"/>
      <c r="C567" s="1"/>
      <c r="F567" s="1"/>
    </row>
    <row r="568" spans="2:6" x14ac:dyDescent="0.45">
      <c r="B568" s="1"/>
      <c r="C568" s="1"/>
      <c r="F568" s="1"/>
    </row>
    <row r="569" spans="2:6" x14ac:dyDescent="0.45">
      <c r="B569" s="1"/>
      <c r="C569" s="1"/>
      <c r="F569" s="1"/>
    </row>
    <row r="570" spans="2:6" x14ac:dyDescent="0.45">
      <c r="B570" s="1"/>
      <c r="C570" s="1"/>
      <c r="F570" s="1"/>
    </row>
    <row r="571" spans="2:6" x14ac:dyDescent="0.45">
      <c r="B571" s="1"/>
      <c r="C571" s="1"/>
      <c r="F571" s="1"/>
    </row>
    <row r="572" spans="2:6" x14ac:dyDescent="0.45">
      <c r="B572" s="1"/>
      <c r="C572" s="1"/>
      <c r="F572" s="1"/>
    </row>
    <row r="573" spans="2:6" x14ac:dyDescent="0.45">
      <c r="B573" s="1"/>
      <c r="C573" s="1"/>
      <c r="F573" s="1"/>
    </row>
    <row r="574" spans="2:6" x14ac:dyDescent="0.45">
      <c r="B574" s="1"/>
      <c r="C574" s="1"/>
      <c r="F574" s="1"/>
    </row>
    <row r="575" spans="2:6" x14ac:dyDescent="0.45">
      <c r="B575" s="1"/>
      <c r="C575" s="1"/>
      <c r="F575" s="1"/>
    </row>
    <row r="576" spans="2:6" x14ac:dyDescent="0.45">
      <c r="B576" s="1"/>
      <c r="C576" s="1"/>
      <c r="F576" s="1"/>
    </row>
    <row r="577" spans="2:6" x14ac:dyDescent="0.45">
      <c r="B577" s="1"/>
      <c r="C577" s="1"/>
      <c r="F577" s="1"/>
    </row>
    <row r="578" spans="2:6" x14ac:dyDescent="0.45">
      <c r="B578" s="1"/>
      <c r="C578" s="1"/>
      <c r="F578" s="1"/>
    </row>
    <row r="579" spans="2:6" x14ac:dyDescent="0.45">
      <c r="B579" s="1"/>
      <c r="C579" s="1"/>
      <c r="F579" s="1"/>
    </row>
    <row r="580" spans="2:6" x14ac:dyDescent="0.45">
      <c r="B580" s="1"/>
      <c r="C580" s="1"/>
      <c r="F580" s="1"/>
    </row>
    <row r="581" spans="2:6" x14ac:dyDescent="0.45">
      <c r="B581" s="1"/>
      <c r="C581" s="1"/>
      <c r="F581" s="1"/>
    </row>
    <row r="582" spans="2:6" x14ac:dyDescent="0.45">
      <c r="B582" s="1"/>
      <c r="C582" s="1"/>
      <c r="F582" s="1"/>
    </row>
    <row r="583" spans="2:6" x14ac:dyDescent="0.45">
      <c r="B583" s="1"/>
      <c r="C583" s="1"/>
      <c r="F583" s="1"/>
    </row>
    <row r="584" spans="2:6" x14ac:dyDescent="0.45">
      <c r="B584" s="1"/>
      <c r="C584" s="1"/>
      <c r="F584" s="1"/>
    </row>
    <row r="585" spans="2:6" x14ac:dyDescent="0.45">
      <c r="B585" s="1"/>
      <c r="C585" s="1"/>
      <c r="F585" s="1"/>
    </row>
    <row r="586" spans="2:6" x14ac:dyDescent="0.45">
      <c r="B586" s="1"/>
      <c r="C586" s="1"/>
      <c r="F586" s="1"/>
    </row>
    <row r="587" spans="2:6" x14ac:dyDescent="0.45">
      <c r="B587" s="1"/>
      <c r="C587" s="1"/>
      <c r="F587" s="1"/>
    </row>
    <row r="588" spans="2:6" x14ac:dyDescent="0.45">
      <c r="B588" s="1"/>
      <c r="C588" s="1"/>
      <c r="F588" s="1"/>
    </row>
    <row r="589" spans="2:6" x14ac:dyDescent="0.45">
      <c r="B589" s="1"/>
      <c r="C589" s="1"/>
      <c r="F589" s="1"/>
    </row>
    <row r="590" spans="2:6" x14ac:dyDescent="0.45">
      <c r="B590" s="1"/>
      <c r="C590" s="1"/>
      <c r="F590" s="1"/>
    </row>
    <row r="591" spans="2:6" x14ac:dyDescent="0.45">
      <c r="B591" s="1"/>
      <c r="C591" s="1"/>
      <c r="F591" s="1"/>
    </row>
    <row r="592" spans="2:6" x14ac:dyDescent="0.45">
      <c r="B592" s="1"/>
      <c r="C592" s="1"/>
      <c r="F592" s="1"/>
    </row>
    <row r="593" spans="2:6" x14ac:dyDescent="0.45">
      <c r="B593" s="1"/>
      <c r="C593" s="1"/>
      <c r="F593" s="1"/>
    </row>
    <row r="594" spans="2:6" x14ac:dyDescent="0.45">
      <c r="B594" s="1"/>
      <c r="C594" s="1"/>
      <c r="F594" s="1"/>
    </row>
    <row r="595" spans="2:6" x14ac:dyDescent="0.45">
      <c r="B595" s="1"/>
      <c r="C595" s="1"/>
      <c r="F595" s="1"/>
    </row>
    <row r="596" spans="2:6" x14ac:dyDescent="0.45">
      <c r="B596" s="1"/>
      <c r="C596" s="1"/>
      <c r="F596" s="1"/>
    </row>
    <row r="597" spans="2:6" x14ac:dyDescent="0.45">
      <c r="B597" s="1"/>
      <c r="C597" s="1"/>
      <c r="F597" s="1"/>
    </row>
    <row r="598" spans="2:6" x14ac:dyDescent="0.45">
      <c r="B598" s="1"/>
      <c r="C598" s="1"/>
      <c r="F598" s="1"/>
    </row>
    <row r="599" spans="2:6" x14ac:dyDescent="0.45">
      <c r="B599" s="1"/>
      <c r="C599" s="1"/>
      <c r="F599" s="1"/>
    </row>
    <row r="600" spans="2:6" x14ac:dyDescent="0.45">
      <c r="B600" s="1"/>
      <c r="C600" s="1"/>
      <c r="F600" s="1"/>
    </row>
    <row r="601" spans="2:6" x14ac:dyDescent="0.45">
      <c r="B601" s="1"/>
      <c r="C601" s="1"/>
      <c r="F601" s="1"/>
    </row>
    <row r="602" spans="2:6" x14ac:dyDescent="0.45">
      <c r="B602" s="1"/>
      <c r="C602" s="1"/>
      <c r="F602" s="1"/>
    </row>
    <row r="603" spans="2:6" x14ac:dyDescent="0.45">
      <c r="B603" s="1"/>
      <c r="C603" s="1"/>
      <c r="F603" s="1"/>
    </row>
    <row r="604" spans="2:6" x14ac:dyDescent="0.45">
      <c r="B604" s="1"/>
      <c r="C604" s="1"/>
      <c r="F604" s="1"/>
    </row>
    <row r="605" spans="2:6" x14ac:dyDescent="0.45">
      <c r="B605" s="1"/>
      <c r="C605" s="1"/>
      <c r="F605" s="1"/>
    </row>
    <row r="606" spans="2:6" x14ac:dyDescent="0.45">
      <c r="B606" s="1"/>
      <c r="C606" s="1"/>
      <c r="F606" s="1"/>
    </row>
    <row r="607" spans="2:6" x14ac:dyDescent="0.45">
      <c r="B607" s="1"/>
      <c r="C607" s="1"/>
      <c r="F607" s="1"/>
    </row>
    <row r="608" spans="2:6" x14ac:dyDescent="0.45">
      <c r="B608" s="1"/>
      <c r="C608" s="1"/>
      <c r="F608" s="1"/>
    </row>
    <row r="609" spans="2:6" x14ac:dyDescent="0.45">
      <c r="B609" s="1"/>
      <c r="C609" s="1"/>
      <c r="F609" s="1"/>
    </row>
    <row r="610" spans="2:6" x14ac:dyDescent="0.45">
      <c r="B610" s="1"/>
      <c r="C610" s="1"/>
      <c r="F610" s="1"/>
    </row>
    <row r="611" spans="2:6" x14ac:dyDescent="0.45">
      <c r="B611" s="1"/>
      <c r="C611" s="1"/>
      <c r="F611" s="1"/>
    </row>
    <row r="612" spans="2:6" x14ac:dyDescent="0.45">
      <c r="B612" s="1"/>
      <c r="C612" s="1"/>
      <c r="F612" s="1"/>
    </row>
    <row r="613" spans="2:6" x14ac:dyDescent="0.45">
      <c r="B613" s="1"/>
      <c r="C613" s="1"/>
      <c r="F613" s="1"/>
    </row>
    <row r="614" spans="2:6" x14ac:dyDescent="0.45">
      <c r="B614" s="1"/>
      <c r="C614" s="1"/>
      <c r="F614" s="1"/>
    </row>
    <row r="615" spans="2:6" x14ac:dyDescent="0.45">
      <c r="B615" s="1"/>
      <c r="C615" s="1"/>
      <c r="F615" s="1"/>
    </row>
    <row r="616" spans="2:6" x14ac:dyDescent="0.45">
      <c r="B616" s="1"/>
      <c r="C616" s="1"/>
      <c r="F616" s="1"/>
    </row>
    <row r="617" spans="2:6" x14ac:dyDescent="0.45">
      <c r="B617" s="1"/>
      <c r="C617" s="1"/>
      <c r="F617" s="1"/>
    </row>
    <row r="618" spans="2:6" x14ac:dyDescent="0.45">
      <c r="B618" s="1"/>
      <c r="C618" s="1"/>
      <c r="F618" s="1"/>
    </row>
    <row r="619" spans="2:6" x14ac:dyDescent="0.45">
      <c r="B619" s="1"/>
      <c r="C619" s="1"/>
      <c r="F619" s="1"/>
    </row>
    <row r="620" spans="2:6" x14ac:dyDescent="0.45">
      <c r="B620" s="1"/>
      <c r="C620" s="1"/>
      <c r="F620" s="1"/>
    </row>
    <row r="621" spans="2:6" x14ac:dyDescent="0.45">
      <c r="B621" s="1"/>
      <c r="C621" s="1"/>
      <c r="F621" s="1"/>
    </row>
    <row r="622" spans="2:6" x14ac:dyDescent="0.45">
      <c r="B622" s="1"/>
      <c r="C622" s="1"/>
      <c r="F622" s="1"/>
    </row>
    <row r="623" spans="2:6" x14ac:dyDescent="0.45">
      <c r="B623" s="1"/>
      <c r="C623" s="1"/>
      <c r="F623" s="1"/>
    </row>
    <row r="624" spans="2:6" x14ac:dyDescent="0.45">
      <c r="B624" s="1"/>
      <c r="C624" s="1"/>
      <c r="F624" s="1"/>
    </row>
    <row r="625" spans="2:6" x14ac:dyDescent="0.45">
      <c r="B625" s="1"/>
      <c r="C625" s="1"/>
      <c r="F625" s="1"/>
    </row>
    <row r="626" spans="2:6" x14ac:dyDescent="0.45">
      <c r="B626" s="1"/>
      <c r="C626" s="1"/>
      <c r="F626" s="1"/>
    </row>
    <row r="627" spans="2:6" x14ac:dyDescent="0.45">
      <c r="B627" s="1"/>
      <c r="C627" s="1"/>
      <c r="F627" s="1"/>
    </row>
    <row r="628" spans="2:6" x14ac:dyDescent="0.45">
      <c r="B628" s="1"/>
      <c r="C628" s="1"/>
      <c r="F628" s="1"/>
    </row>
    <row r="629" spans="2:6" x14ac:dyDescent="0.45">
      <c r="B629" s="1"/>
      <c r="C629" s="1"/>
      <c r="F629" s="1"/>
    </row>
    <row r="630" spans="2:6" x14ac:dyDescent="0.45">
      <c r="B630" s="1"/>
      <c r="C630" s="1"/>
      <c r="F630" s="1"/>
    </row>
    <row r="631" spans="2:6" x14ac:dyDescent="0.45">
      <c r="B631" s="1"/>
      <c r="C631" s="1"/>
      <c r="F631" s="1"/>
    </row>
    <row r="632" spans="2:6" x14ac:dyDescent="0.45">
      <c r="B632" s="1"/>
      <c r="C632" s="1"/>
      <c r="F632" s="1"/>
    </row>
    <row r="633" spans="2:6" x14ac:dyDescent="0.45">
      <c r="B633" s="1"/>
      <c r="C633" s="1"/>
      <c r="F633" s="1"/>
    </row>
    <row r="634" spans="2:6" x14ac:dyDescent="0.45">
      <c r="B634" s="1"/>
      <c r="C634" s="1"/>
      <c r="F634" s="1"/>
    </row>
    <row r="635" spans="2:6" x14ac:dyDescent="0.45">
      <c r="B635" s="1"/>
      <c r="C635" s="1"/>
      <c r="F635" s="1"/>
    </row>
    <row r="636" spans="2:6" x14ac:dyDescent="0.45">
      <c r="B636" s="1"/>
      <c r="C636" s="1"/>
      <c r="F636" s="1"/>
    </row>
    <row r="637" spans="2:6" x14ac:dyDescent="0.45">
      <c r="B637" s="1"/>
      <c r="C637" s="1"/>
      <c r="F637" s="1"/>
    </row>
    <row r="638" spans="2:6" x14ac:dyDescent="0.45">
      <c r="B638" s="1"/>
      <c r="C638" s="1"/>
      <c r="F638" s="1"/>
    </row>
    <row r="639" spans="2:6" x14ac:dyDescent="0.45">
      <c r="B639" s="1"/>
      <c r="C639" s="1"/>
      <c r="F639" s="1"/>
    </row>
    <row r="640" spans="2:6" x14ac:dyDescent="0.45">
      <c r="B640" s="1"/>
      <c r="C640" s="1"/>
      <c r="F640" s="1"/>
    </row>
    <row r="641" spans="2:6" x14ac:dyDescent="0.45">
      <c r="B641" s="1"/>
      <c r="C641" s="1"/>
      <c r="F641" s="1"/>
    </row>
    <row r="642" spans="2:6" x14ac:dyDescent="0.45">
      <c r="B642" s="1"/>
      <c r="C642" s="1"/>
      <c r="F642" s="1"/>
    </row>
    <row r="643" spans="2:6" x14ac:dyDescent="0.45">
      <c r="B643" s="1"/>
      <c r="C643" s="1"/>
      <c r="F643" s="1"/>
    </row>
    <row r="644" spans="2:6" x14ac:dyDescent="0.45">
      <c r="B644" s="1"/>
      <c r="C644" s="1"/>
      <c r="F644" s="1"/>
    </row>
    <row r="645" spans="2:6" x14ac:dyDescent="0.45">
      <c r="B645" s="1"/>
      <c r="C645" s="1"/>
      <c r="F645" s="1"/>
    </row>
    <row r="646" spans="2:6" x14ac:dyDescent="0.45">
      <c r="B646" s="1"/>
      <c r="C646" s="1"/>
      <c r="F646" s="1"/>
    </row>
    <row r="647" spans="2:6" x14ac:dyDescent="0.45">
      <c r="B647" s="1"/>
      <c r="C647" s="1"/>
      <c r="F647" s="1"/>
    </row>
    <row r="648" spans="2:6" x14ac:dyDescent="0.45">
      <c r="B648" s="1"/>
      <c r="C648" s="1"/>
      <c r="F648" s="1"/>
    </row>
    <row r="649" spans="2:6" x14ac:dyDescent="0.45">
      <c r="B649" s="1"/>
      <c r="C649" s="1"/>
      <c r="F649" s="1"/>
    </row>
    <row r="650" spans="2:6" x14ac:dyDescent="0.45">
      <c r="B650" s="1"/>
      <c r="C650" s="1"/>
      <c r="F650" s="1"/>
    </row>
    <row r="651" spans="2:6" x14ac:dyDescent="0.45">
      <c r="B651" s="1"/>
      <c r="C651" s="1"/>
      <c r="F651" s="1"/>
    </row>
    <row r="652" spans="2:6" x14ac:dyDescent="0.45">
      <c r="B652" s="1"/>
      <c r="C652" s="1"/>
      <c r="F652" s="1"/>
    </row>
    <row r="653" spans="2:6" x14ac:dyDescent="0.45">
      <c r="B653" s="1"/>
      <c r="C653" s="1"/>
      <c r="F653" s="1"/>
    </row>
    <row r="654" spans="2:6" x14ac:dyDescent="0.45">
      <c r="B654" s="1"/>
      <c r="C654" s="1"/>
      <c r="F654" s="1"/>
    </row>
    <row r="655" spans="2:6" x14ac:dyDescent="0.45">
      <c r="B655" s="1"/>
      <c r="C655" s="1"/>
      <c r="F655" s="1"/>
    </row>
    <row r="656" spans="2:6" x14ac:dyDescent="0.45">
      <c r="B656" s="1"/>
      <c r="C656" s="1"/>
      <c r="F656" s="1"/>
    </row>
    <row r="657" spans="2:6" x14ac:dyDescent="0.45">
      <c r="B657" s="1"/>
      <c r="C657" s="1"/>
      <c r="F657" s="1"/>
    </row>
    <row r="658" spans="2:6" x14ac:dyDescent="0.45">
      <c r="B658" s="1"/>
      <c r="C658" s="1"/>
      <c r="F658" s="1"/>
    </row>
    <row r="659" spans="2:6" x14ac:dyDescent="0.45">
      <c r="B659" s="1"/>
      <c r="C659" s="1"/>
      <c r="F659" s="1"/>
    </row>
    <row r="660" spans="2:6" x14ac:dyDescent="0.45">
      <c r="B660" s="1"/>
      <c r="C660" s="1"/>
      <c r="F660" s="1"/>
    </row>
    <row r="661" spans="2:6" x14ac:dyDescent="0.45">
      <c r="B661" s="1"/>
      <c r="C661" s="1"/>
      <c r="F661" s="1"/>
    </row>
    <row r="662" spans="2:6" x14ac:dyDescent="0.45">
      <c r="B662" s="1"/>
      <c r="C662" s="1"/>
      <c r="F662" s="1"/>
    </row>
    <row r="663" spans="2:6" x14ac:dyDescent="0.45">
      <c r="B663" s="1"/>
      <c r="C663" s="1"/>
      <c r="F663" s="1"/>
    </row>
    <row r="664" spans="2:6" x14ac:dyDescent="0.45">
      <c r="B664" s="1"/>
      <c r="C664" s="1"/>
      <c r="F664" s="1"/>
    </row>
    <row r="665" spans="2:6" x14ac:dyDescent="0.45">
      <c r="B665" s="1"/>
      <c r="C665" s="1"/>
      <c r="F665" s="1"/>
    </row>
    <row r="666" spans="2:6" x14ac:dyDescent="0.45">
      <c r="B666" s="1"/>
      <c r="C666" s="1"/>
      <c r="F666" s="1"/>
    </row>
    <row r="667" spans="2:6" x14ac:dyDescent="0.45">
      <c r="B667" s="1"/>
      <c r="C667" s="1"/>
      <c r="F667" s="1"/>
    </row>
    <row r="668" spans="2:6" x14ac:dyDescent="0.45">
      <c r="B668" s="1"/>
      <c r="C668" s="1"/>
      <c r="F668" s="1"/>
    </row>
    <row r="669" spans="2:6" x14ac:dyDescent="0.45">
      <c r="B669" s="1"/>
      <c r="C669" s="1"/>
      <c r="F669" s="1"/>
    </row>
    <row r="670" spans="2:6" x14ac:dyDescent="0.45">
      <c r="B670" s="1"/>
      <c r="C670" s="1"/>
      <c r="F670" s="1"/>
    </row>
    <row r="671" spans="2:6" x14ac:dyDescent="0.45">
      <c r="B671" s="1"/>
      <c r="C671" s="1"/>
      <c r="F671" s="1"/>
    </row>
    <row r="672" spans="2:6" x14ac:dyDescent="0.45">
      <c r="B672" s="1"/>
      <c r="C672" s="1"/>
      <c r="F672" s="1"/>
    </row>
    <row r="673" spans="2:6" x14ac:dyDescent="0.45">
      <c r="B673" s="1"/>
      <c r="C673" s="1"/>
      <c r="F673" s="1"/>
    </row>
    <row r="674" spans="2:6" x14ac:dyDescent="0.45">
      <c r="B674" s="1"/>
      <c r="C674" s="1"/>
      <c r="F674" s="1"/>
    </row>
    <row r="675" spans="2:6" x14ac:dyDescent="0.45">
      <c r="B675" s="1"/>
      <c r="C675" s="1"/>
      <c r="F675" s="1"/>
    </row>
    <row r="676" spans="2:6" x14ac:dyDescent="0.45">
      <c r="B676" s="1"/>
      <c r="C676" s="1"/>
      <c r="F676" s="1"/>
    </row>
    <row r="677" spans="2:6" x14ac:dyDescent="0.45">
      <c r="B677" s="1"/>
      <c r="C677" s="1"/>
      <c r="F677" s="1"/>
    </row>
    <row r="678" spans="2:6" x14ac:dyDescent="0.45">
      <c r="B678" s="1"/>
      <c r="C678" s="1"/>
      <c r="F678" s="1"/>
    </row>
    <row r="679" spans="2:6" x14ac:dyDescent="0.45">
      <c r="B679" s="1"/>
      <c r="C679" s="1"/>
      <c r="F679" s="1"/>
    </row>
    <row r="680" spans="2:6" x14ac:dyDescent="0.45">
      <c r="B680" s="1"/>
      <c r="C680" s="1"/>
      <c r="F680" s="1"/>
    </row>
    <row r="681" spans="2:6" x14ac:dyDescent="0.45">
      <c r="B681" s="1"/>
      <c r="C681" s="1"/>
      <c r="F681" s="1"/>
    </row>
    <row r="682" spans="2:6" x14ac:dyDescent="0.45">
      <c r="B682" s="1"/>
      <c r="C682" s="1"/>
      <c r="F682" s="1"/>
    </row>
    <row r="683" spans="2:6" x14ac:dyDescent="0.45">
      <c r="B683" s="1"/>
      <c r="C683" s="1"/>
      <c r="F683" s="1"/>
    </row>
    <row r="684" spans="2:6" x14ac:dyDescent="0.45">
      <c r="B684" s="1"/>
      <c r="C684" s="1"/>
      <c r="F684" s="1"/>
    </row>
    <row r="685" spans="2:6" x14ac:dyDescent="0.45">
      <c r="B685" s="1"/>
      <c r="C685" s="1"/>
      <c r="F685" s="1"/>
    </row>
    <row r="686" spans="2:6" x14ac:dyDescent="0.45">
      <c r="B686" s="1"/>
      <c r="C686" s="1"/>
      <c r="F686" s="1"/>
    </row>
    <row r="687" spans="2:6" x14ac:dyDescent="0.45">
      <c r="B687" s="1"/>
      <c r="C687" s="1"/>
      <c r="F687" s="1"/>
    </row>
    <row r="688" spans="2:6" x14ac:dyDescent="0.45">
      <c r="B688" s="1"/>
      <c r="C688" s="1"/>
      <c r="F688" s="1"/>
    </row>
    <row r="689" spans="2:6" x14ac:dyDescent="0.45">
      <c r="B689" s="1"/>
      <c r="C689" s="1"/>
      <c r="F689" s="1"/>
    </row>
    <row r="690" spans="2:6" x14ac:dyDescent="0.45">
      <c r="B690" s="1"/>
      <c r="C690" s="1"/>
      <c r="F690" s="1"/>
    </row>
    <row r="691" spans="2:6" x14ac:dyDescent="0.45">
      <c r="B691" s="1"/>
      <c r="C691" s="1"/>
      <c r="F691" s="1"/>
    </row>
    <row r="692" spans="2:6" x14ac:dyDescent="0.45">
      <c r="B692" s="1"/>
      <c r="C692" s="1"/>
      <c r="F692" s="1"/>
    </row>
    <row r="693" spans="2:6" x14ac:dyDescent="0.45">
      <c r="B693" s="1"/>
      <c r="C693" s="1"/>
      <c r="F693" s="1"/>
    </row>
    <row r="694" spans="2:6" x14ac:dyDescent="0.45">
      <c r="B694" s="1"/>
      <c r="C694" s="1"/>
      <c r="F694" s="1"/>
    </row>
    <row r="695" spans="2:6" x14ac:dyDescent="0.45">
      <c r="B695" s="1"/>
      <c r="C695" s="1"/>
      <c r="F695" s="1"/>
    </row>
    <row r="696" spans="2:6" x14ac:dyDescent="0.45">
      <c r="B696" s="1"/>
      <c r="C696" s="1"/>
      <c r="F696" s="1"/>
    </row>
    <row r="697" spans="2:6" x14ac:dyDescent="0.45">
      <c r="B697" s="1"/>
      <c r="C697" s="1"/>
      <c r="F697" s="1"/>
    </row>
    <row r="698" spans="2:6" x14ac:dyDescent="0.45">
      <c r="B698" s="1"/>
      <c r="C698" s="1"/>
      <c r="F698" s="1"/>
    </row>
    <row r="699" spans="2:6" x14ac:dyDescent="0.45">
      <c r="B699" s="1"/>
      <c r="C699" s="1"/>
      <c r="F699" s="1"/>
    </row>
    <row r="700" spans="2:6" x14ac:dyDescent="0.45">
      <c r="B700" s="1"/>
      <c r="C700" s="1"/>
      <c r="F700" s="1"/>
    </row>
    <row r="701" spans="2:6" x14ac:dyDescent="0.45">
      <c r="B701" s="1"/>
      <c r="C701" s="1"/>
      <c r="F701" s="1"/>
    </row>
    <row r="702" spans="2:6" x14ac:dyDescent="0.45">
      <c r="B702" s="1"/>
      <c r="C702" s="1"/>
      <c r="F702" s="1"/>
    </row>
    <row r="703" spans="2:6" x14ac:dyDescent="0.45">
      <c r="B703" s="1"/>
      <c r="C703" s="1"/>
      <c r="F703" s="1"/>
    </row>
    <row r="704" spans="2:6" x14ac:dyDescent="0.45">
      <c r="B704" s="1"/>
      <c r="C704" s="1"/>
      <c r="F704" s="1"/>
    </row>
    <row r="705" spans="2:6" x14ac:dyDescent="0.45">
      <c r="B705" s="1"/>
      <c r="C705" s="1"/>
      <c r="F705" s="1"/>
    </row>
    <row r="706" spans="2:6" x14ac:dyDescent="0.45">
      <c r="B706" s="1"/>
      <c r="C706" s="1"/>
      <c r="F706" s="1"/>
    </row>
    <row r="707" spans="2:6" x14ac:dyDescent="0.45">
      <c r="B707" s="1"/>
      <c r="C707" s="1"/>
      <c r="F707" s="1"/>
    </row>
    <row r="708" spans="2:6" x14ac:dyDescent="0.45">
      <c r="B708" s="1"/>
      <c r="C708" s="1"/>
      <c r="F708" s="1"/>
    </row>
    <row r="709" spans="2:6" x14ac:dyDescent="0.45">
      <c r="B709" s="1"/>
      <c r="C709" s="1"/>
      <c r="F709" s="1"/>
    </row>
    <row r="710" spans="2:6" x14ac:dyDescent="0.45">
      <c r="B710" s="1"/>
      <c r="C710" s="1"/>
      <c r="F710" s="1"/>
    </row>
    <row r="711" spans="2:6" x14ac:dyDescent="0.45">
      <c r="B711" s="1"/>
      <c r="C711" s="1"/>
      <c r="F711" s="1"/>
    </row>
    <row r="712" spans="2:6" x14ac:dyDescent="0.45">
      <c r="B712" s="1"/>
      <c r="C712" s="1"/>
      <c r="F712" s="1"/>
    </row>
    <row r="713" spans="2:6" x14ac:dyDescent="0.45">
      <c r="B713" s="1"/>
      <c r="C713" s="1"/>
      <c r="F713" s="1"/>
    </row>
    <row r="714" spans="2:6" x14ac:dyDescent="0.45">
      <c r="B714" s="1"/>
      <c r="C714" s="1"/>
      <c r="F714" s="1"/>
    </row>
    <row r="715" spans="2:6" x14ac:dyDescent="0.45">
      <c r="B715" s="1"/>
      <c r="C715" s="1"/>
      <c r="F715" s="1"/>
    </row>
    <row r="716" spans="2:6" x14ac:dyDescent="0.45">
      <c r="B716" s="1"/>
      <c r="C716" s="1"/>
      <c r="F716" s="1"/>
    </row>
    <row r="717" spans="2:6" x14ac:dyDescent="0.45">
      <c r="B717" s="1"/>
      <c r="C717" s="1"/>
      <c r="F717" s="1"/>
    </row>
    <row r="718" spans="2:6" x14ac:dyDescent="0.45">
      <c r="B718" s="1"/>
      <c r="C718" s="1"/>
      <c r="F718" s="1"/>
    </row>
    <row r="719" spans="2:6" x14ac:dyDescent="0.45">
      <c r="B719" s="1"/>
      <c r="C719" s="1"/>
      <c r="F719" s="1"/>
    </row>
    <row r="720" spans="2:6" x14ac:dyDescent="0.45">
      <c r="B720" s="1"/>
      <c r="C720" s="1"/>
      <c r="F720" s="1"/>
    </row>
    <row r="721" spans="2:6" x14ac:dyDescent="0.45">
      <c r="B721" s="1"/>
      <c r="C721" s="1"/>
      <c r="F721" s="1"/>
    </row>
    <row r="722" spans="2:6" x14ac:dyDescent="0.45">
      <c r="B722" s="1"/>
      <c r="C722" s="1"/>
      <c r="F722" s="1"/>
    </row>
    <row r="723" spans="2:6" x14ac:dyDescent="0.45">
      <c r="B723" s="1"/>
      <c r="C723" s="1"/>
      <c r="F723" s="1"/>
    </row>
    <row r="724" spans="2:6" x14ac:dyDescent="0.45">
      <c r="B724" s="1"/>
      <c r="C724" s="1"/>
      <c r="F724" s="1"/>
    </row>
    <row r="725" spans="2:6" x14ac:dyDescent="0.45">
      <c r="B725" s="1"/>
      <c r="C725" s="1"/>
      <c r="F725" s="1"/>
    </row>
    <row r="726" spans="2:6" x14ac:dyDescent="0.45">
      <c r="B726" s="1"/>
      <c r="C726" s="1"/>
      <c r="F726" s="1"/>
    </row>
    <row r="727" spans="2:6" x14ac:dyDescent="0.45">
      <c r="B727" s="1"/>
      <c r="C727" s="1"/>
      <c r="F727" s="1"/>
    </row>
    <row r="728" spans="2:6" x14ac:dyDescent="0.45">
      <c r="B728" s="1"/>
      <c r="C728" s="1"/>
      <c r="F728" s="1"/>
    </row>
    <row r="729" spans="2:6" x14ac:dyDescent="0.45">
      <c r="B729" s="1"/>
      <c r="C729" s="1"/>
      <c r="F729" s="1"/>
    </row>
    <row r="730" spans="2:6" x14ac:dyDescent="0.45">
      <c r="B730" s="1"/>
      <c r="C730" s="1"/>
      <c r="F730" s="1"/>
    </row>
    <row r="731" spans="2:6" x14ac:dyDescent="0.45">
      <c r="B731" s="1"/>
      <c r="C731" s="1"/>
      <c r="F731" s="1"/>
    </row>
    <row r="732" spans="2:6" x14ac:dyDescent="0.45">
      <c r="B732" s="1"/>
      <c r="C732" s="1"/>
      <c r="F732" s="1"/>
    </row>
    <row r="733" spans="2:6" x14ac:dyDescent="0.45">
      <c r="B733" s="1"/>
      <c r="C733" s="1"/>
      <c r="F733" s="1"/>
    </row>
    <row r="734" spans="2:6" x14ac:dyDescent="0.45">
      <c r="B734" s="1"/>
      <c r="C734" s="1"/>
      <c r="F734" s="1"/>
    </row>
    <row r="735" spans="2:6" x14ac:dyDescent="0.45">
      <c r="B735" s="1"/>
      <c r="C735" s="1"/>
      <c r="F735" s="1"/>
    </row>
    <row r="736" spans="2:6" x14ac:dyDescent="0.45">
      <c r="B736" s="1"/>
      <c r="C736" s="1"/>
      <c r="F736" s="1"/>
    </row>
    <row r="737" spans="2:6" x14ac:dyDescent="0.45">
      <c r="B737" s="1"/>
      <c r="C737" s="1"/>
      <c r="F737" s="1"/>
    </row>
    <row r="738" spans="2:6" x14ac:dyDescent="0.45">
      <c r="B738" s="1"/>
      <c r="C738" s="1"/>
      <c r="F738" s="1"/>
    </row>
    <row r="739" spans="2:6" x14ac:dyDescent="0.45">
      <c r="B739" s="1"/>
      <c r="C739" s="1"/>
      <c r="F739" s="1"/>
    </row>
    <row r="740" spans="2:6" x14ac:dyDescent="0.45">
      <c r="B740" s="1"/>
      <c r="C740" s="1"/>
      <c r="F740" s="1"/>
    </row>
    <row r="741" spans="2:6" x14ac:dyDescent="0.45">
      <c r="B741" s="1"/>
      <c r="C741" s="1"/>
      <c r="F741" s="1"/>
    </row>
    <row r="742" spans="2:6" x14ac:dyDescent="0.45">
      <c r="B742" s="1"/>
      <c r="C742" s="1"/>
      <c r="F742" s="1"/>
    </row>
    <row r="743" spans="2:6" x14ac:dyDescent="0.45">
      <c r="B743" s="1"/>
      <c r="C743" s="1"/>
      <c r="F743" s="1"/>
    </row>
    <row r="744" spans="2:6" x14ac:dyDescent="0.45">
      <c r="B744" s="1"/>
      <c r="C744" s="1"/>
      <c r="F744" s="1"/>
    </row>
    <row r="745" spans="2:6" x14ac:dyDescent="0.45">
      <c r="B745" s="1"/>
      <c r="C745" s="1"/>
      <c r="F745" s="1"/>
    </row>
    <row r="746" spans="2:6" x14ac:dyDescent="0.45">
      <c r="B746" s="1"/>
      <c r="C746" s="1"/>
      <c r="F746" s="1"/>
    </row>
    <row r="747" spans="2:6" x14ac:dyDescent="0.45">
      <c r="B747" s="1"/>
      <c r="C747" s="1"/>
      <c r="F747" s="1"/>
    </row>
    <row r="748" spans="2:6" x14ac:dyDescent="0.45">
      <c r="B748" s="1"/>
      <c r="C748" s="1"/>
      <c r="F748" s="1"/>
    </row>
    <row r="749" spans="2:6" x14ac:dyDescent="0.45">
      <c r="B749" s="1"/>
      <c r="C749" s="1"/>
      <c r="F749" s="1"/>
    </row>
    <row r="750" spans="2:6" x14ac:dyDescent="0.45">
      <c r="B750" s="1"/>
      <c r="C750" s="1"/>
      <c r="F750" s="1"/>
    </row>
    <row r="751" spans="2:6" x14ac:dyDescent="0.45">
      <c r="B751" s="1"/>
      <c r="C751" s="1"/>
      <c r="F751" s="1"/>
    </row>
    <row r="752" spans="2:6" x14ac:dyDescent="0.45">
      <c r="B752" s="1"/>
      <c r="C752" s="1"/>
      <c r="F752" s="1"/>
    </row>
    <row r="753" spans="2:6" x14ac:dyDescent="0.45">
      <c r="B753" s="1"/>
      <c r="C753" s="1"/>
      <c r="F753" s="1"/>
    </row>
    <row r="754" spans="2:6" x14ac:dyDescent="0.45">
      <c r="B754" s="1"/>
      <c r="C754" s="1"/>
      <c r="F754" s="1"/>
    </row>
    <row r="755" spans="2:6" x14ac:dyDescent="0.45">
      <c r="B755" s="1"/>
      <c r="C755" s="1"/>
      <c r="F755" s="1"/>
    </row>
    <row r="756" spans="2:6" x14ac:dyDescent="0.45">
      <c r="B756" s="1"/>
      <c r="C756" s="1"/>
      <c r="F756" s="1"/>
    </row>
    <row r="757" spans="2:6" x14ac:dyDescent="0.45">
      <c r="B757" s="1"/>
      <c r="C757" s="1"/>
      <c r="F757" s="1"/>
    </row>
    <row r="758" spans="2:6" x14ac:dyDescent="0.45">
      <c r="B758" s="1"/>
      <c r="C758" s="1"/>
      <c r="F758" s="1"/>
    </row>
    <row r="759" spans="2:6" x14ac:dyDescent="0.45">
      <c r="B759" s="1"/>
      <c r="C759" s="1"/>
      <c r="F759" s="1"/>
    </row>
    <row r="760" spans="2:6" x14ac:dyDescent="0.45">
      <c r="B760" s="1"/>
      <c r="C760" s="1"/>
      <c r="F760" s="1"/>
    </row>
    <row r="761" spans="2:6" x14ac:dyDescent="0.45">
      <c r="B761" s="1"/>
      <c r="C761" s="1"/>
      <c r="F761" s="1"/>
    </row>
    <row r="762" spans="2:6" x14ac:dyDescent="0.45">
      <c r="B762" s="1"/>
      <c r="C762" s="1"/>
      <c r="F762" s="1"/>
    </row>
    <row r="763" spans="2:6" x14ac:dyDescent="0.45">
      <c r="B763" s="1"/>
      <c r="C763" s="1"/>
      <c r="F763" s="1"/>
    </row>
    <row r="764" spans="2:6" x14ac:dyDescent="0.45">
      <c r="B764" s="1"/>
      <c r="C764" s="1"/>
      <c r="F764" s="1"/>
    </row>
    <row r="765" spans="2:6" x14ac:dyDescent="0.45">
      <c r="B765" s="1"/>
      <c r="C765" s="1"/>
      <c r="F765" s="1"/>
    </row>
    <row r="766" spans="2:6" x14ac:dyDescent="0.45">
      <c r="B766" s="1"/>
      <c r="C766" s="1"/>
      <c r="F766" s="1"/>
    </row>
    <row r="767" spans="2:6" x14ac:dyDescent="0.45">
      <c r="B767" s="1"/>
      <c r="C767" s="1"/>
      <c r="F767" s="1"/>
    </row>
    <row r="768" spans="2:6" x14ac:dyDescent="0.45">
      <c r="B768" s="1"/>
      <c r="C768" s="1"/>
      <c r="F768" s="1"/>
    </row>
    <row r="769" spans="2:6" x14ac:dyDescent="0.45">
      <c r="B769" s="1"/>
      <c r="C769" s="1"/>
      <c r="F769" s="1"/>
    </row>
    <row r="770" spans="2:6" x14ac:dyDescent="0.45">
      <c r="B770" s="1"/>
      <c r="C770" s="1"/>
      <c r="F770" s="1"/>
    </row>
    <row r="771" spans="2:6" x14ac:dyDescent="0.45">
      <c r="B771" s="1"/>
      <c r="C771" s="1"/>
      <c r="F771" s="1"/>
    </row>
    <row r="772" spans="2:6" x14ac:dyDescent="0.45">
      <c r="B772" s="1"/>
      <c r="C772" s="1"/>
      <c r="F772" s="1"/>
    </row>
    <row r="773" spans="2:6" x14ac:dyDescent="0.45">
      <c r="B773" s="1"/>
      <c r="C773" s="1"/>
      <c r="F773" s="1"/>
    </row>
    <row r="774" spans="2:6" x14ac:dyDescent="0.45">
      <c r="B774" s="1"/>
      <c r="C774" s="1"/>
      <c r="F774" s="1"/>
    </row>
    <row r="775" spans="2:6" x14ac:dyDescent="0.45">
      <c r="B775" s="1"/>
      <c r="C775" s="1"/>
      <c r="F775" s="1"/>
    </row>
    <row r="776" spans="2:6" x14ac:dyDescent="0.45">
      <c r="B776" s="1"/>
      <c r="C776" s="1"/>
      <c r="F776" s="1"/>
    </row>
    <row r="777" spans="2:6" x14ac:dyDescent="0.45">
      <c r="B777" s="1"/>
      <c r="C777" s="1"/>
      <c r="F777" s="1"/>
    </row>
    <row r="778" spans="2:6" x14ac:dyDescent="0.45">
      <c r="B778" s="1"/>
      <c r="C778" s="1"/>
      <c r="F778" s="1"/>
    </row>
    <row r="779" spans="2:6" x14ac:dyDescent="0.45">
      <c r="B779" s="1"/>
      <c r="C779" s="1"/>
      <c r="F779" s="1"/>
    </row>
    <row r="780" spans="2:6" x14ac:dyDescent="0.45">
      <c r="B780" s="1"/>
      <c r="C780" s="1"/>
      <c r="F780" s="1"/>
    </row>
    <row r="781" spans="2:6" x14ac:dyDescent="0.45">
      <c r="B781" s="1"/>
      <c r="C781" s="1"/>
      <c r="F781" s="1"/>
    </row>
    <row r="782" spans="2:6" x14ac:dyDescent="0.45">
      <c r="B782" s="1"/>
      <c r="C782" s="1"/>
      <c r="F782" s="1"/>
    </row>
    <row r="783" spans="2:6" x14ac:dyDescent="0.45">
      <c r="B783" s="1"/>
      <c r="C783" s="1"/>
      <c r="F783" s="1"/>
    </row>
    <row r="784" spans="2:6" x14ac:dyDescent="0.45">
      <c r="B784" s="1"/>
      <c r="C784" s="1"/>
      <c r="F784" s="1"/>
    </row>
    <row r="785" spans="2:6" x14ac:dyDescent="0.45">
      <c r="B785" s="1"/>
      <c r="C785" s="1"/>
      <c r="F785" s="1"/>
    </row>
    <row r="786" spans="2:6" x14ac:dyDescent="0.45">
      <c r="B786" s="1"/>
      <c r="C786" s="1"/>
      <c r="F786" s="1"/>
    </row>
    <row r="787" spans="2:6" x14ac:dyDescent="0.45">
      <c r="B787" s="1"/>
      <c r="C787" s="1"/>
      <c r="F787" s="1"/>
    </row>
    <row r="788" spans="2:6" x14ac:dyDescent="0.45">
      <c r="B788" s="1"/>
      <c r="C788" s="1"/>
      <c r="F788" s="1"/>
    </row>
    <row r="789" spans="2:6" x14ac:dyDescent="0.45">
      <c r="B789" s="1"/>
      <c r="C789" s="1"/>
      <c r="F789" s="1"/>
    </row>
    <row r="790" spans="2:6" x14ac:dyDescent="0.45">
      <c r="B790" s="1"/>
      <c r="C790" s="1"/>
      <c r="F790" s="1"/>
    </row>
    <row r="791" spans="2:6" x14ac:dyDescent="0.45">
      <c r="B791" s="1"/>
      <c r="C791" s="1"/>
      <c r="F791" s="1"/>
    </row>
    <row r="792" spans="2:6" x14ac:dyDescent="0.45">
      <c r="B792" s="1"/>
      <c r="C792" s="1"/>
      <c r="F792" s="1"/>
    </row>
    <row r="793" spans="2:6" x14ac:dyDescent="0.45">
      <c r="B793" s="1"/>
      <c r="C793" s="1"/>
      <c r="F793" s="1"/>
    </row>
    <row r="794" spans="2:6" x14ac:dyDescent="0.45">
      <c r="B794" s="1"/>
      <c r="C794" s="1"/>
      <c r="F794" s="1"/>
    </row>
    <row r="795" spans="2:6" x14ac:dyDescent="0.45">
      <c r="B795" s="1"/>
      <c r="C795" s="1"/>
      <c r="F795" s="1"/>
    </row>
    <row r="796" spans="2:6" x14ac:dyDescent="0.45">
      <c r="B796" s="1"/>
      <c r="C796" s="1"/>
      <c r="F796" s="1"/>
    </row>
    <row r="797" spans="2:6" x14ac:dyDescent="0.45">
      <c r="B797" s="1"/>
      <c r="C797" s="1"/>
      <c r="F797" s="1"/>
    </row>
    <row r="798" spans="2:6" x14ac:dyDescent="0.45">
      <c r="B798" s="1"/>
      <c r="C798" s="1"/>
      <c r="F798" s="1"/>
    </row>
    <row r="799" spans="2:6" x14ac:dyDescent="0.45">
      <c r="B799" s="1"/>
      <c r="C799" s="1"/>
      <c r="F799" s="1"/>
    </row>
    <row r="800" spans="2:6" x14ac:dyDescent="0.45">
      <c r="B800" s="1"/>
      <c r="C800" s="1"/>
      <c r="F800" s="1"/>
    </row>
    <row r="801" spans="2:6" x14ac:dyDescent="0.45">
      <c r="B801" s="1"/>
      <c r="C801" s="1"/>
      <c r="F801" s="1"/>
    </row>
    <row r="802" spans="2:6" x14ac:dyDescent="0.45">
      <c r="B802" s="1"/>
      <c r="C802" s="1"/>
      <c r="F802" s="1"/>
    </row>
    <row r="803" spans="2:6" x14ac:dyDescent="0.45">
      <c r="B803" s="1"/>
      <c r="C803" s="1"/>
      <c r="F803" s="1"/>
    </row>
    <row r="804" spans="2:6" x14ac:dyDescent="0.45">
      <c r="B804" s="1"/>
      <c r="C804" s="1"/>
      <c r="F804" s="1"/>
    </row>
    <row r="805" spans="2:6" x14ac:dyDescent="0.45">
      <c r="B805" s="1"/>
      <c r="C805" s="1"/>
      <c r="F805" s="1"/>
    </row>
    <row r="806" spans="2:6" x14ac:dyDescent="0.45">
      <c r="B806" s="1"/>
      <c r="C806" s="1"/>
      <c r="F806" s="1"/>
    </row>
    <row r="807" spans="2:6" x14ac:dyDescent="0.45">
      <c r="B807" s="1"/>
      <c r="C807" s="1"/>
      <c r="F807" s="1"/>
    </row>
    <row r="808" spans="2:6" x14ac:dyDescent="0.45">
      <c r="B808" s="1"/>
      <c r="C808" s="1"/>
      <c r="F808" s="1"/>
    </row>
    <row r="809" spans="2:6" x14ac:dyDescent="0.45">
      <c r="B809" s="1"/>
      <c r="C809" s="1"/>
      <c r="F809" s="1"/>
    </row>
    <row r="810" spans="2:6" x14ac:dyDescent="0.45">
      <c r="B810" s="1"/>
      <c r="C810" s="1"/>
      <c r="F810" s="1"/>
    </row>
    <row r="811" spans="2:6" x14ac:dyDescent="0.45">
      <c r="B811" s="1"/>
      <c r="C811" s="1"/>
      <c r="F811" s="1"/>
    </row>
    <row r="812" spans="2:6" x14ac:dyDescent="0.45">
      <c r="B812" s="1"/>
      <c r="C812" s="1"/>
      <c r="F812" s="1"/>
    </row>
    <row r="813" spans="2:6" x14ac:dyDescent="0.45">
      <c r="B813" s="1"/>
      <c r="C813" s="1"/>
      <c r="F813" s="1"/>
    </row>
    <row r="814" spans="2:6" x14ac:dyDescent="0.45">
      <c r="B814" s="1"/>
      <c r="C814" s="1"/>
      <c r="F814" s="1"/>
    </row>
    <row r="815" spans="2:6" x14ac:dyDescent="0.45">
      <c r="B815" s="1"/>
      <c r="C815" s="1"/>
      <c r="F815" s="1"/>
    </row>
    <row r="816" spans="2:6" x14ac:dyDescent="0.45">
      <c r="B816" s="1"/>
      <c r="C816" s="1"/>
      <c r="F816" s="1"/>
    </row>
    <row r="817" spans="2:6" x14ac:dyDescent="0.45">
      <c r="B817" s="1"/>
      <c r="C817" s="1"/>
      <c r="F817" s="1"/>
    </row>
    <row r="818" spans="2:6" x14ac:dyDescent="0.45">
      <c r="B818" s="1"/>
      <c r="C818" s="1"/>
      <c r="F818" s="1"/>
    </row>
    <row r="819" spans="2:6" x14ac:dyDescent="0.45">
      <c r="B819" s="1"/>
      <c r="C819" s="1"/>
      <c r="F819" s="1"/>
    </row>
    <row r="820" spans="2:6" x14ac:dyDescent="0.45">
      <c r="B820" s="1"/>
      <c r="C820" s="1"/>
      <c r="F820" s="1"/>
    </row>
    <row r="821" spans="2:6" x14ac:dyDescent="0.45">
      <c r="B821" s="1"/>
      <c r="C821" s="1"/>
      <c r="F821" s="1"/>
    </row>
    <row r="822" spans="2:6" x14ac:dyDescent="0.45">
      <c r="B822" s="1"/>
      <c r="C822" s="1"/>
      <c r="F822" s="1"/>
    </row>
    <row r="823" spans="2:6" x14ac:dyDescent="0.45">
      <c r="B823" s="1"/>
      <c r="C823" s="1"/>
      <c r="F823" s="1"/>
    </row>
    <row r="824" spans="2:6" x14ac:dyDescent="0.45">
      <c r="B824" s="1"/>
      <c r="C824" s="1"/>
      <c r="F824" s="1"/>
    </row>
    <row r="825" spans="2:6" x14ac:dyDescent="0.45">
      <c r="B825" s="1"/>
      <c r="C825" s="1"/>
      <c r="F825" s="1"/>
    </row>
    <row r="826" spans="2:6" x14ac:dyDescent="0.45">
      <c r="B826" s="1"/>
      <c r="C826" s="1"/>
      <c r="F826" s="1"/>
    </row>
    <row r="827" spans="2:6" x14ac:dyDescent="0.45">
      <c r="B827" s="1"/>
      <c r="C827" s="1"/>
      <c r="F827" s="1"/>
    </row>
    <row r="828" spans="2:6" x14ac:dyDescent="0.45">
      <c r="B828" s="1"/>
      <c r="C828" s="1"/>
      <c r="F828" s="1"/>
    </row>
    <row r="829" spans="2:6" x14ac:dyDescent="0.45">
      <c r="B829" s="1"/>
      <c r="C829" s="1"/>
      <c r="F829" s="1"/>
    </row>
    <row r="830" spans="2:6" x14ac:dyDescent="0.45">
      <c r="B830" s="1"/>
      <c r="C830" s="1"/>
      <c r="F830" s="1"/>
    </row>
    <row r="831" spans="2:6" x14ac:dyDescent="0.45">
      <c r="B831" s="1"/>
      <c r="C831" s="1"/>
      <c r="F831" s="1"/>
    </row>
    <row r="832" spans="2:6" x14ac:dyDescent="0.45">
      <c r="B832" s="1"/>
      <c r="C832" s="1"/>
      <c r="F832" s="1"/>
    </row>
    <row r="833" spans="2:6" x14ac:dyDescent="0.45">
      <c r="B833" s="1"/>
      <c r="C833" s="1"/>
      <c r="F833" s="1"/>
    </row>
    <row r="834" spans="2:6" x14ac:dyDescent="0.45">
      <c r="B834" s="1"/>
      <c r="C834" s="1"/>
      <c r="F834" s="1"/>
    </row>
    <row r="835" spans="2:6" x14ac:dyDescent="0.45">
      <c r="B835" s="1"/>
      <c r="C835" s="1"/>
      <c r="F835" s="1"/>
    </row>
    <row r="836" spans="2:6" x14ac:dyDescent="0.45">
      <c r="B836" s="1"/>
      <c r="C836" s="1"/>
      <c r="F836" s="1"/>
    </row>
    <row r="837" spans="2:6" x14ac:dyDescent="0.45">
      <c r="B837" s="1"/>
      <c r="C837" s="1"/>
      <c r="F837" s="1"/>
    </row>
    <row r="838" spans="2:6" x14ac:dyDescent="0.45">
      <c r="B838" s="1"/>
      <c r="C838" s="1"/>
      <c r="F838" s="1"/>
    </row>
    <row r="839" spans="2:6" x14ac:dyDescent="0.45">
      <c r="B839" s="1"/>
      <c r="C839" s="1"/>
      <c r="F839" s="1"/>
    </row>
    <row r="840" spans="2:6" x14ac:dyDescent="0.45">
      <c r="B840" s="1"/>
      <c r="C840" s="1"/>
      <c r="F840" s="1"/>
    </row>
    <row r="841" spans="2:6" x14ac:dyDescent="0.45">
      <c r="B841" s="1"/>
      <c r="C841" s="1"/>
      <c r="F841" s="1"/>
    </row>
    <row r="842" spans="2:6" x14ac:dyDescent="0.45">
      <c r="B842" s="1"/>
      <c r="C842" s="1"/>
      <c r="F842" s="1"/>
    </row>
    <row r="843" spans="2:6" x14ac:dyDescent="0.45">
      <c r="B843" s="1"/>
      <c r="C843" s="1"/>
      <c r="F843" s="1"/>
    </row>
    <row r="844" spans="2:6" x14ac:dyDescent="0.45">
      <c r="B844" s="1"/>
      <c r="C844" s="1"/>
      <c r="F844" s="1"/>
    </row>
    <row r="845" spans="2:6" x14ac:dyDescent="0.45">
      <c r="B845" s="1"/>
      <c r="C845" s="1"/>
      <c r="F845" s="1"/>
    </row>
    <row r="846" spans="2:6" x14ac:dyDescent="0.45">
      <c r="B846" s="1"/>
      <c r="C846" s="1"/>
      <c r="F846" s="1"/>
    </row>
    <row r="847" spans="2:6" x14ac:dyDescent="0.45">
      <c r="B847" s="1"/>
      <c r="C847" s="1"/>
      <c r="F847" s="1"/>
    </row>
    <row r="848" spans="2:6" x14ac:dyDescent="0.45">
      <c r="B848" s="1"/>
      <c r="C848" s="1"/>
      <c r="F848" s="1"/>
    </row>
    <row r="849" spans="2:6" x14ac:dyDescent="0.45">
      <c r="B849" s="1"/>
      <c r="C849" s="1"/>
      <c r="F849" s="1"/>
    </row>
    <row r="850" spans="2:6" x14ac:dyDescent="0.45">
      <c r="B850" s="1"/>
      <c r="C850" s="1"/>
      <c r="F850" s="1"/>
    </row>
    <row r="851" spans="2:6" x14ac:dyDescent="0.45">
      <c r="B851" s="1"/>
      <c r="C851" s="1"/>
      <c r="F851" s="1"/>
    </row>
    <row r="852" spans="2:6" x14ac:dyDescent="0.45">
      <c r="B852" s="1"/>
      <c r="C852" s="1"/>
      <c r="F852" s="1"/>
    </row>
    <row r="853" spans="2:6" x14ac:dyDescent="0.45">
      <c r="B853" s="1"/>
      <c r="C853" s="1"/>
      <c r="F853" s="1"/>
    </row>
    <row r="854" spans="2:6" x14ac:dyDescent="0.45">
      <c r="B854" s="1"/>
      <c r="C854" s="1"/>
      <c r="F854" s="1"/>
    </row>
    <row r="855" spans="2:6" x14ac:dyDescent="0.45">
      <c r="B855" s="1"/>
      <c r="C855" s="1"/>
      <c r="F855" s="1"/>
    </row>
    <row r="856" spans="2:6" x14ac:dyDescent="0.45">
      <c r="B856" s="1"/>
      <c r="C856" s="1"/>
      <c r="F856" s="1"/>
    </row>
    <row r="857" spans="2:6" x14ac:dyDescent="0.45">
      <c r="B857" s="1"/>
      <c r="C857" s="1"/>
      <c r="F857" s="1"/>
    </row>
    <row r="858" spans="2:6" x14ac:dyDescent="0.45">
      <c r="B858" s="1"/>
      <c r="C858" s="1"/>
      <c r="F858" s="1"/>
    </row>
    <row r="859" spans="2:6" x14ac:dyDescent="0.45">
      <c r="B859" s="1"/>
      <c r="C859" s="1"/>
      <c r="F859" s="1"/>
    </row>
    <row r="860" spans="2:6" x14ac:dyDescent="0.45">
      <c r="B860" s="1"/>
      <c r="C860" s="1"/>
      <c r="F860" s="1"/>
    </row>
    <row r="861" spans="2:6" x14ac:dyDescent="0.45">
      <c r="B861" s="1"/>
      <c r="C861" s="1"/>
      <c r="F861" s="1"/>
    </row>
    <row r="862" spans="2:6" x14ac:dyDescent="0.45">
      <c r="B862" s="1"/>
      <c r="C862" s="1"/>
      <c r="F862" s="1"/>
    </row>
    <row r="863" spans="2:6" x14ac:dyDescent="0.45">
      <c r="B863" s="1"/>
      <c r="C863" s="1"/>
      <c r="F863" s="1"/>
    </row>
    <row r="864" spans="2:6" x14ac:dyDescent="0.45">
      <c r="B864" s="1"/>
      <c r="C864" s="1"/>
      <c r="F864" s="1"/>
    </row>
    <row r="865" spans="2:6" x14ac:dyDescent="0.45">
      <c r="B865" s="1"/>
      <c r="C865" s="1"/>
      <c r="F865" s="1"/>
    </row>
    <row r="866" spans="2:6" x14ac:dyDescent="0.45">
      <c r="B866" s="1"/>
      <c r="C866" s="1"/>
      <c r="F866" s="1"/>
    </row>
    <row r="867" spans="2:6" x14ac:dyDescent="0.45">
      <c r="B867" s="1"/>
      <c r="C867" s="1"/>
      <c r="F867" s="1"/>
    </row>
    <row r="868" spans="2:6" x14ac:dyDescent="0.45">
      <c r="B868" s="1"/>
      <c r="C868" s="1"/>
      <c r="F868" s="1"/>
    </row>
    <row r="869" spans="2:6" x14ac:dyDescent="0.45">
      <c r="B869" s="1"/>
      <c r="C869" s="1"/>
      <c r="F869" s="1"/>
    </row>
    <row r="870" spans="2:6" x14ac:dyDescent="0.45">
      <c r="B870" s="1"/>
      <c r="C870" s="1"/>
      <c r="F870" s="1"/>
    </row>
    <row r="871" spans="2:6" x14ac:dyDescent="0.45">
      <c r="B871" s="1"/>
      <c r="C871" s="1"/>
      <c r="F871" s="1"/>
    </row>
    <row r="872" spans="2:6" x14ac:dyDescent="0.45">
      <c r="B872" s="1"/>
      <c r="C872" s="1"/>
      <c r="F872" s="1"/>
    </row>
    <row r="873" spans="2:6" x14ac:dyDescent="0.45">
      <c r="B873" s="1"/>
      <c r="C873" s="1"/>
      <c r="F873" s="1"/>
    </row>
    <row r="874" spans="2:6" x14ac:dyDescent="0.45">
      <c r="B874" s="1"/>
      <c r="C874" s="1"/>
      <c r="F874" s="1"/>
    </row>
    <row r="875" spans="2:6" x14ac:dyDescent="0.45">
      <c r="B875" s="1"/>
      <c r="C875" s="1"/>
      <c r="F875" s="1"/>
    </row>
    <row r="876" spans="2:6" x14ac:dyDescent="0.45">
      <c r="B876" s="1"/>
      <c r="C876" s="1"/>
      <c r="F876" s="1"/>
    </row>
    <row r="877" spans="2:6" x14ac:dyDescent="0.45">
      <c r="B877" s="1"/>
      <c r="C877" s="1"/>
      <c r="F877" s="1"/>
    </row>
    <row r="878" spans="2:6" x14ac:dyDescent="0.45">
      <c r="B878" s="1"/>
      <c r="C878" s="1"/>
      <c r="F878" s="1"/>
    </row>
    <row r="879" spans="2:6" x14ac:dyDescent="0.45">
      <c r="B879" s="1"/>
      <c r="C879" s="1"/>
      <c r="F879" s="1"/>
    </row>
    <row r="880" spans="2:6" x14ac:dyDescent="0.45">
      <c r="B880" s="1"/>
      <c r="C880" s="1"/>
      <c r="F880" s="1"/>
    </row>
    <row r="881" spans="2:6" x14ac:dyDescent="0.45">
      <c r="B881" s="1"/>
      <c r="C881" s="1"/>
      <c r="F881" s="1"/>
    </row>
    <row r="882" spans="2:6" x14ac:dyDescent="0.45">
      <c r="B882" s="1"/>
      <c r="C882" s="1"/>
      <c r="F882" s="1"/>
    </row>
    <row r="883" spans="2:6" x14ac:dyDescent="0.45">
      <c r="B883" s="1"/>
      <c r="C883" s="1"/>
      <c r="F883" s="1"/>
    </row>
    <row r="884" spans="2:6" x14ac:dyDescent="0.45">
      <c r="B884" s="1"/>
      <c r="C884" s="1"/>
      <c r="F884" s="1"/>
    </row>
    <row r="885" spans="2:6" x14ac:dyDescent="0.45">
      <c r="B885" s="1"/>
      <c r="C885" s="1"/>
      <c r="F885" s="1"/>
    </row>
    <row r="886" spans="2:6" x14ac:dyDescent="0.45">
      <c r="B886" s="1"/>
      <c r="C886" s="1"/>
      <c r="F886" s="1"/>
    </row>
    <row r="887" spans="2:6" x14ac:dyDescent="0.45">
      <c r="B887" s="1"/>
      <c r="C887" s="1"/>
      <c r="F887" s="1"/>
    </row>
    <row r="888" spans="2:6" x14ac:dyDescent="0.45">
      <c r="B888" s="1"/>
      <c r="C888" s="1"/>
      <c r="F888" s="1"/>
    </row>
    <row r="889" spans="2:6" x14ac:dyDescent="0.45">
      <c r="B889" s="1"/>
      <c r="C889" s="1"/>
      <c r="F889" s="1"/>
    </row>
    <row r="890" spans="2:6" x14ac:dyDescent="0.45">
      <c r="B890" s="1"/>
      <c r="C890" s="1"/>
      <c r="F890" s="1"/>
    </row>
    <row r="891" spans="2:6" x14ac:dyDescent="0.45">
      <c r="B891" s="1"/>
      <c r="C891" s="1"/>
      <c r="F891" s="1"/>
    </row>
    <row r="892" spans="2:6" x14ac:dyDescent="0.45">
      <c r="B892" s="1"/>
      <c r="C892" s="1"/>
      <c r="F892" s="1"/>
    </row>
    <row r="893" spans="2:6" x14ac:dyDescent="0.45">
      <c r="B893" s="1"/>
      <c r="C893" s="1"/>
      <c r="F893" s="1"/>
    </row>
    <row r="894" spans="2:6" x14ac:dyDescent="0.45">
      <c r="B894" s="1"/>
      <c r="C894" s="1"/>
      <c r="F894" s="1"/>
    </row>
    <row r="895" spans="2:6" x14ac:dyDescent="0.45">
      <c r="B895" s="1"/>
      <c r="C895" s="1"/>
      <c r="F895" s="1"/>
    </row>
    <row r="896" spans="2:6" x14ac:dyDescent="0.45">
      <c r="B896" s="1"/>
      <c r="C896" s="1"/>
      <c r="F896" s="1"/>
    </row>
    <row r="897" spans="2:6" x14ac:dyDescent="0.45">
      <c r="B897" s="1"/>
      <c r="C897" s="1"/>
      <c r="F897" s="1"/>
    </row>
    <row r="898" spans="2:6" x14ac:dyDescent="0.45">
      <c r="B898" s="1"/>
      <c r="C898" s="1"/>
      <c r="F898" s="1"/>
    </row>
    <row r="899" spans="2:6" x14ac:dyDescent="0.45">
      <c r="B899" s="1"/>
      <c r="C899" s="1"/>
      <c r="F899" s="1"/>
    </row>
    <row r="900" spans="2:6" ht="17.100000000000001" customHeight="1" x14ac:dyDescent="0.45">
      <c r="B900" s="1"/>
      <c r="C900" s="1"/>
      <c r="F900" s="1"/>
    </row>
    <row r="901" spans="2:6" x14ac:dyDescent="0.45">
      <c r="B901" s="1"/>
      <c r="C901" s="1"/>
      <c r="F901" s="1"/>
    </row>
    <row r="902" spans="2:6" x14ac:dyDescent="0.45">
      <c r="B902" s="1"/>
      <c r="C902" s="1"/>
      <c r="F902" s="1"/>
    </row>
    <row r="903" spans="2:6" x14ac:dyDescent="0.45">
      <c r="B903" s="1"/>
      <c r="C903" s="1"/>
      <c r="F903" s="1"/>
    </row>
    <row r="904" spans="2:6" x14ac:dyDescent="0.45">
      <c r="B904" s="1"/>
      <c r="C904" s="1"/>
      <c r="F904" s="1"/>
    </row>
    <row r="905" spans="2:6" x14ac:dyDescent="0.45">
      <c r="B905" s="1"/>
      <c r="C905" s="1"/>
      <c r="F905" s="1"/>
    </row>
    <row r="906" spans="2:6" x14ac:dyDescent="0.45">
      <c r="B906" s="1"/>
      <c r="C906" s="1"/>
      <c r="F906" s="1"/>
    </row>
    <row r="907" spans="2:6" x14ac:dyDescent="0.45">
      <c r="B907" s="1"/>
      <c r="C907" s="1"/>
      <c r="F907" s="1"/>
    </row>
    <row r="908" spans="2:6" x14ac:dyDescent="0.45">
      <c r="B908" s="1"/>
      <c r="C908" s="1"/>
      <c r="F908" s="1"/>
    </row>
    <row r="909" spans="2:6" x14ac:dyDescent="0.45">
      <c r="B909" s="1"/>
      <c r="C909" s="1"/>
      <c r="F909" s="1"/>
    </row>
    <row r="910" spans="2:6" x14ac:dyDescent="0.45">
      <c r="B910" s="1"/>
      <c r="C910" s="1"/>
      <c r="F910" s="1"/>
    </row>
    <row r="911" spans="2:6" x14ac:dyDescent="0.45">
      <c r="B911" s="1"/>
      <c r="C911" s="1"/>
      <c r="F911" s="1"/>
    </row>
    <row r="912" spans="2:6" x14ac:dyDescent="0.45">
      <c r="B912" s="1"/>
      <c r="C912" s="1"/>
      <c r="F912" s="1"/>
    </row>
    <row r="913" spans="2:6" x14ac:dyDescent="0.45">
      <c r="B913" s="1"/>
      <c r="C913" s="1"/>
      <c r="F913" s="1"/>
    </row>
    <row r="914" spans="2:6" x14ac:dyDescent="0.45">
      <c r="B914" s="1"/>
      <c r="C914" s="1"/>
      <c r="F914" s="1"/>
    </row>
    <row r="915" spans="2:6" x14ac:dyDescent="0.45">
      <c r="B915" s="1"/>
      <c r="C915" s="1"/>
      <c r="F915" s="1"/>
    </row>
    <row r="916" spans="2:6" x14ac:dyDescent="0.45">
      <c r="B916" s="1"/>
      <c r="C916" s="1"/>
      <c r="F916" s="1"/>
    </row>
    <row r="917" spans="2:6" x14ac:dyDescent="0.45">
      <c r="B917" s="1"/>
      <c r="C917" s="1"/>
      <c r="F917" s="1"/>
    </row>
    <row r="918" spans="2:6" x14ac:dyDescent="0.45">
      <c r="B918" s="1"/>
      <c r="C918" s="1"/>
      <c r="F918" s="1"/>
    </row>
    <row r="919" spans="2:6" x14ac:dyDescent="0.45">
      <c r="B919" s="1"/>
      <c r="C919" s="1"/>
      <c r="F919" s="1"/>
    </row>
    <row r="920" spans="2:6" x14ac:dyDescent="0.45">
      <c r="B920" s="1"/>
      <c r="C920" s="1"/>
      <c r="F920" s="1"/>
    </row>
    <row r="921" spans="2:6" x14ac:dyDescent="0.45">
      <c r="B921" s="1"/>
      <c r="C921" s="1"/>
      <c r="F921" s="1"/>
    </row>
    <row r="922" spans="2:6" x14ac:dyDescent="0.45">
      <c r="B922" s="1"/>
      <c r="C922" s="1"/>
      <c r="F922" s="1"/>
    </row>
    <row r="923" spans="2:6" x14ac:dyDescent="0.45">
      <c r="B923" s="1"/>
      <c r="C923" s="1"/>
      <c r="F923" s="1"/>
    </row>
    <row r="924" spans="2:6" x14ac:dyDescent="0.45">
      <c r="B924" s="1"/>
      <c r="C924" s="1"/>
      <c r="F924" s="1"/>
    </row>
    <row r="925" spans="2:6" x14ac:dyDescent="0.45">
      <c r="B925" s="1"/>
      <c r="C925" s="1"/>
      <c r="F925" s="1"/>
    </row>
    <row r="926" spans="2:6" x14ac:dyDescent="0.45">
      <c r="B926" s="1"/>
      <c r="C926" s="1"/>
      <c r="F926" s="1"/>
    </row>
    <row r="927" spans="2:6" x14ac:dyDescent="0.45">
      <c r="B927" s="1"/>
      <c r="C927" s="1"/>
      <c r="F927" s="1"/>
    </row>
    <row r="928" spans="2:6" x14ac:dyDescent="0.45">
      <c r="B928" s="1"/>
      <c r="C928" s="1"/>
      <c r="F928" s="1"/>
    </row>
    <row r="929" spans="2:6" x14ac:dyDescent="0.45">
      <c r="B929" s="1"/>
      <c r="C929" s="1"/>
      <c r="F929" s="1"/>
    </row>
    <row r="930" spans="2:6" x14ac:dyDescent="0.45">
      <c r="B930" s="1"/>
      <c r="C930" s="1"/>
      <c r="F930" s="1"/>
    </row>
    <row r="931" spans="2:6" x14ac:dyDescent="0.45">
      <c r="B931" s="1"/>
      <c r="C931" s="1"/>
      <c r="F931" s="1"/>
    </row>
    <row r="932" spans="2:6" x14ac:dyDescent="0.45">
      <c r="B932" s="1"/>
      <c r="C932" s="1"/>
      <c r="F932" s="1"/>
    </row>
    <row r="933" spans="2:6" x14ac:dyDescent="0.45">
      <c r="B933" s="1"/>
      <c r="C933" s="1"/>
      <c r="F933" s="1"/>
    </row>
    <row r="934" spans="2:6" x14ac:dyDescent="0.45">
      <c r="B934" s="1"/>
      <c r="C934" s="1"/>
      <c r="F934" s="1"/>
    </row>
    <row r="935" spans="2:6" x14ac:dyDescent="0.45">
      <c r="B935" s="1"/>
      <c r="C935" s="1"/>
      <c r="F935" s="1"/>
    </row>
    <row r="936" spans="2:6" x14ac:dyDescent="0.45">
      <c r="B936" s="1"/>
      <c r="C936" s="1"/>
      <c r="F936" s="1"/>
    </row>
    <row r="937" spans="2:6" x14ac:dyDescent="0.45">
      <c r="B937" s="1"/>
      <c r="C937" s="1"/>
      <c r="F937" s="1"/>
    </row>
    <row r="938" spans="2:6" x14ac:dyDescent="0.45">
      <c r="B938" s="1"/>
      <c r="C938" s="1"/>
      <c r="F938" s="1"/>
    </row>
    <row r="939" spans="2:6" x14ac:dyDescent="0.45">
      <c r="B939" s="1"/>
      <c r="C939" s="1"/>
      <c r="F939" s="1"/>
    </row>
    <row r="940" spans="2:6" x14ac:dyDescent="0.45">
      <c r="B940" s="1"/>
      <c r="C940" s="1"/>
      <c r="F940" s="1"/>
    </row>
    <row r="941" spans="2:6" x14ac:dyDescent="0.45">
      <c r="B941" s="1"/>
      <c r="C941" s="1"/>
      <c r="F941" s="1"/>
    </row>
    <row r="942" spans="2:6" x14ac:dyDescent="0.45">
      <c r="B942" s="1"/>
      <c r="C942" s="1"/>
      <c r="F942" s="1"/>
    </row>
    <row r="943" spans="2:6" x14ac:dyDescent="0.45">
      <c r="B943" s="1"/>
      <c r="C943" s="1"/>
      <c r="F943" s="1"/>
    </row>
    <row r="944" spans="2:6" x14ac:dyDescent="0.45">
      <c r="B944" s="1"/>
      <c r="C944" s="1"/>
      <c r="F944" s="1"/>
    </row>
    <row r="945" spans="2:6" x14ac:dyDescent="0.45">
      <c r="B945" s="1"/>
      <c r="C945" s="1"/>
      <c r="F945" s="1"/>
    </row>
    <row r="946" spans="2:6" x14ac:dyDescent="0.45">
      <c r="B946" s="1"/>
      <c r="C946" s="1"/>
      <c r="F946" s="1"/>
    </row>
    <row r="947" spans="2:6" x14ac:dyDescent="0.45">
      <c r="B947" s="1"/>
      <c r="C947" s="1"/>
      <c r="F947" s="1"/>
    </row>
    <row r="948" spans="2:6" x14ac:dyDescent="0.45">
      <c r="B948" s="1"/>
      <c r="C948" s="1"/>
      <c r="F948" s="1"/>
    </row>
    <row r="949" spans="2:6" x14ac:dyDescent="0.45">
      <c r="B949" s="1"/>
      <c r="C949" s="1"/>
      <c r="F949" s="1"/>
    </row>
    <row r="950" spans="2:6" x14ac:dyDescent="0.45">
      <c r="B950" s="1"/>
      <c r="C950" s="1"/>
      <c r="F950" s="1"/>
    </row>
    <row r="951" spans="2:6" x14ac:dyDescent="0.45">
      <c r="B951" s="1"/>
      <c r="C951" s="1"/>
      <c r="F951" s="1"/>
    </row>
    <row r="952" spans="2:6" x14ac:dyDescent="0.45">
      <c r="B952" s="1"/>
      <c r="C952" s="1"/>
      <c r="F952" s="1"/>
    </row>
    <row r="953" spans="2:6" x14ac:dyDescent="0.45">
      <c r="B953" s="1"/>
      <c r="C953" s="1"/>
      <c r="F953" s="1"/>
    </row>
    <row r="954" spans="2:6" x14ac:dyDescent="0.45">
      <c r="B954" s="1"/>
      <c r="C954" s="1"/>
      <c r="F954" s="1"/>
    </row>
    <row r="955" spans="2:6" x14ac:dyDescent="0.45">
      <c r="B955" s="1"/>
      <c r="C955" s="1"/>
      <c r="F955" s="1"/>
    </row>
    <row r="956" spans="2:6" x14ac:dyDescent="0.45">
      <c r="B956" s="1"/>
      <c r="C956" s="1"/>
      <c r="F956" s="1"/>
    </row>
    <row r="957" spans="2:6" x14ac:dyDescent="0.45">
      <c r="B957" s="1"/>
      <c r="C957" s="1"/>
      <c r="F957" s="1"/>
    </row>
    <row r="958" spans="2:6" x14ac:dyDescent="0.45">
      <c r="B958" s="1"/>
      <c r="C958" s="1"/>
      <c r="F958" s="1"/>
    </row>
    <row r="959" spans="2:6" x14ac:dyDescent="0.45">
      <c r="B959" s="1"/>
      <c r="C959" s="1"/>
      <c r="F959" s="1"/>
    </row>
    <row r="960" spans="2:6" x14ac:dyDescent="0.45">
      <c r="B960" s="1"/>
      <c r="C960" s="1"/>
      <c r="F960" s="1"/>
    </row>
    <row r="961" spans="2:6" x14ac:dyDescent="0.45">
      <c r="B961" s="1"/>
      <c r="C961" s="1"/>
      <c r="F961" s="1"/>
    </row>
    <row r="962" spans="2:6" x14ac:dyDescent="0.45">
      <c r="B962" s="1"/>
      <c r="C962" s="1"/>
      <c r="F962" s="1"/>
    </row>
    <row r="963" spans="2:6" x14ac:dyDescent="0.45">
      <c r="B963" s="1"/>
      <c r="C963" s="1"/>
      <c r="F963" s="1"/>
    </row>
    <row r="964" spans="2:6" x14ac:dyDescent="0.45">
      <c r="B964" s="1"/>
      <c r="C964" s="1"/>
      <c r="F964" s="1"/>
    </row>
    <row r="965" spans="2:6" x14ac:dyDescent="0.45">
      <c r="B965" s="1"/>
      <c r="C965" s="1"/>
      <c r="F965" s="1"/>
    </row>
    <row r="966" spans="2:6" x14ac:dyDescent="0.45">
      <c r="B966" s="1"/>
      <c r="C966" s="1"/>
      <c r="F966" s="1"/>
    </row>
    <row r="967" spans="2:6" x14ac:dyDescent="0.45">
      <c r="B967" s="1"/>
      <c r="C967" s="1"/>
      <c r="F967" s="1"/>
    </row>
    <row r="968" spans="2:6" x14ac:dyDescent="0.45">
      <c r="B968" s="1"/>
      <c r="C968" s="1"/>
      <c r="F968" s="1"/>
    </row>
    <row r="969" spans="2:6" x14ac:dyDescent="0.45">
      <c r="B969" s="1"/>
      <c r="C969" s="1"/>
      <c r="F969" s="1"/>
    </row>
    <row r="970" spans="2:6" x14ac:dyDescent="0.45">
      <c r="B970" s="1"/>
      <c r="C970" s="1"/>
      <c r="F970" s="1"/>
    </row>
    <row r="971" spans="2:6" x14ac:dyDescent="0.45">
      <c r="B971" s="1"/>
      <c r="C971" s="1"/>
      <c r="F971" s="1"/>
    </row>
    <row r="972" spans="2:6" x14ac:dyDescent="0.45">
      <c r="B972" s="1"/>
      <c r="C972" s="1"/>
      <c r="F972" s="1"/>
    </row>
    <row r="973" spans="2:6" x14ac:dyDescent="0.45">
      <c r="B973" s="1"/>
      <c r="C973" s="1"/>
      <c r="F973" s="1"/>
    </row>
    <row r="974" spans="2:6" x14ac:dyDescent="0.45">
      <c r="B974" s="1"/>
      <c r="C974" s="1"/>
      <c r="F974" s="1"/>
    </row>
    <row r="975" spans="2:6" x14ac:dyDescent="0.45">
      <c r="B975" s="1"/>
      <c r="C975" s="1"/>
      <c r="F975" s="1"/>
    </row>
    <row r="976" spans="2:6" x14ac:dyDescent="0.45">
      <c r="B976" s="1"/>
      <c r="C976" s="1"/>
      <c r="F976" s="1"/>
    </row>
    <row r="977" spans="2:6" x14ac:dyDescent="0.45">
      <c r="B977" s="1"/>
      <c r="C977" s="1"/>
      <c r="F977" s="1"/>
    </row>
    <row r="978" spans="2:6" x14ac:dyDescent="0.45">
      <c r="B978" s="1"/>
      <c r="C978" s="1"/>
      <c r="F978" s="1"/>
    </row>
    <row r="979" spans="2:6" x14ac:dyDescent="0.45">
      <c r="B979" s="1"/>
      <c r="C979" s="1"/>
      <c r="F979" s="1"/>
    </row>
    <row r="980" spans="2:6" x14ac:dyDescent="0.45">
      <c r="B980" s="1"/>
      <c r="C980" s="1"/>
      <c r="F980" s="1"/>
    </row>
    <row r="981" spans="2:6" x14ac:dyDescent="0.45">
      <c r="B981" s="1"/>
      <c r="C981" s="1"/>
      <c r="F981" s="1"/>
    </row>
    <row r="982" spans="2:6" x14ac:dyDescent="0.45">
      <c r="B982" s="1"/>
      <c r="C982" s="1"/>
      <c r="F982" s="1"/>
    </row>
    <row r="983" spans="2:6" x14ac:dyDescent="0.45">
      <c r="B983" s="1"/>
      <c r="C983" s="1"/>
      <c r="F983" s="1"/>
    </row>
    <row r="984" spans="2:6" x14ac:dyDescent="0.45">
      <c r="B984" s="1"/>
      <c r="C984" s="1"/>
      <c r="F984" s="1"/>
    </row>
    <row r="985" spans="2:6" x14ac:dyDescent="0.45">
      <c r="B985" s="1"/>
      <c r="C985" s="1"/>
      <c r="F985" s="1"/>
    </row>
    <row r="986" spans="2:6" x14ac:dyDescent="0.45">
      <c r="B986" s="1"/>
      <c r="C986" s="1"/>
      <c r="F986" s="1"/>
    </row>
    <row r="987" spans="2:6" x14ac:dyDescent="0.45">
      <c r="B987" s="1"/>
      <c r="C987" s="1"/>
      <c r="F987" s="1"/>
    </row>
    <row r="988" spans="2:6" x14ac:dyDescent="0.45">
      <c r="B988" s="1"/>
      <c r="C988" s="1"/>
      <c r="F988" s="1"/>
    </row>
    <row r="989" spans="2:6" x14ac:dyDescent="0.45">
      <c r="B989" s="1"/>
      <c r="C989" s="1"/>
      <c r="F989" s="1"/>
    </row>
    <row r="990" spans="2:6" x14ac:dyDescent="0.45">
      <c r="B990" s="1"/>
      <c r="C990" s="1"/>
      <c r="F990" s="1"/>
    </row>
    <row r="991" spans="2:6" x14ac:dyDescent="0.45">
      <c r="B991" s="1"/>
      <c r="C991" s="1"/>
      <c r="F991" s="1"/>
    </row>
    <row r="992" spans="2:6" x14ac:dyDescent="0.45">
      <c r="B992" s="1"/>
      <c r="C992" s="1"/>
      <c r="F992" s="1"/>
    </row>
    <row r="993" spans="2:6" x14ac:dyDescent="0.45">
      <c r="B993" s="1"/>
      <c r="C993" s="1"/>
      <c r="F993" s="1"/>
    </row>
    <row r="994" spans="2:6" x14ac:dyDescent="0.45">
      <c r="B994" s="1"/>
      <c r="C994" s="1"/>
      <c r="F994" s="1"/>
    </row>
    <row r="995" spans="2:6" x14ac:dyDescent="0.45">
      <c r="B995" s="1"/>
      <c r="C995" s="1"/>
      <c r="F995" s="1"/>
    </row>
    <row r="996" spans="2:6" x14ac:dyDescent="0.45">
      <c r="B996" s="1"/>
      <c r="C996" s="1"/>
      <c r="F996" s="1"/>
    </row>
    <row r="997" spans="2:6" x14ac:dyDescent="0.45">
      <c r="B997" s="1"/>
      <c r="C997" s="1"/>
      <c r="F997" s="1"/>
    </row>
    <row r="998" spans="2:6" x14ac:dyDescent="0.45">
      <c r="B998" s="1"/>
      <c r="C998" s="1"/>
      <c r="F998" s="1"/>
    </row>
    <row r="999" spans="2:6" x14ac:dyDescent="0.45">
      <c r="B999" s="1"/>
      <c r="C999" s="1"/>
      <c r="F999" s="1"/>
    </row>
    <row r="1000" spans="2:6" x14ac:dyDescent="0.45">
      <c r="B1000" s="1"/>
      <c r="C1000" s="1"/>
      <c r="F1000" s="1"/>
    </row>
    <row r="1001" spans="2:6" x14ac:dyDescent="0.45">
      <c r="B1001" s="1"/>
      <c r="C1001" s="1"/>
      <c r="F1001" s="1"/>
    </row>
    <row r="1002" spans="2:6" x14ac:dyDescent="0.45">
      <c r="B1002" s="1"/>
      <c r="C1002" s="1"/>
      <c r="F1002" s="1"/>
    </row>
    <row r="1003" spans="2:6" x14ac:dyDescent="0.45">
      <c r="B1003" s="1"/>
      <c r="C1003" s="1"/>
      <c r="F1003" s="1"/>
    </row>
    <row r="1004" spans="2:6" x14ac:dyDescent="0.45">
      <c r="B1004" s="1"/>
      <c r="C1004" s="1"/>
      <c r="F1004" s="1"/>
    </row>
    <row r="1005" spans="2:6" x14ac:dyDescent="0.45">
      <c r="B1005" s="1"/>
      <c r="C1005" s="1"/>
      <c r="F1005" s="1"/>
    </row>
    <row r="1006" spans="2:6" x14ac:dyDescent="0.45">
      <c r="B1006" s="1"/>
      <c r="C1006" s="1"/>
      <c r="F1006" s="1"/>
    </row>
    <row r="1007" spans="2:6" x14ac:dyDescent="0.45">
      <c r="B1007" s="1"/>
      <c r="C1007" s="1"/>
      <c r="F1007" s="1"/>
    </row>
    <row r="1008" spans="2:6" x14ac:dyDescent="0.45">
      <c r="B1008" s="1"/>
      <c r="C1008" s="1"/>
      <c r="F1008" s="1"/>
    </row>
    <row r="1009" spans="2:6" x14ac:dyDescent="0.45">
      <c r="B1009" s="1"/>
      <c r="C1009" s="1"/>
      <c r="F1009" s="1"/>
    </row>
    <row r="1010" spans="2:6" x14ac:dyDescent="0.45">
      <c r="B1010" s="1"/>
      <c r="C1010" s="1"/>
      <c r="F1010" s="1"/>
    </row>
    <row r="1011" spans="2:6" x14ac:dyDescent="0.45">
      <c r="B1011" s="1"/>
      <c r="C1011" s="1"/>
      <c r="F1011" s="1"/>
    </row>
    <row r="1012" spans="2:6" x14ac:dyDescent="0.45">
      <c r="B1012" s="1"/>
      <c r="C1012" s="1"/>
      <c r="F1012" s="1"/>
    </row>
    <row r="1013" spans="2:6" x14ac:dyDescent="0.45">
      <c r="B1013" s="1"/>
      <c r="C1013" s="1"/>
      <c r="F1013" s="1"/>
    </row>
    <row r="1014" spans="2:6" x14ac:dyDescent="0.45">
      <c r="B1014" s="1"/>
      <c r="C1014" s="1"/>
      <c r="F1014" s="1"/>
    </row>
    <row r="1015" spans="2:6" x14ac:dyDescent="0.45">
      <c r="B1015" s="1"/>
      <c r="C1015" s="1"/>
      <c r="F1015" s="1"/>
    </row>
    <row r="1016" spans="2:6" x14ac:dyDescent="0.45">
      <c r="B1016" s="1"/>
      <c r="C1016" s="1"/>
      <c r="F1016" s="1"/>
    </row>
    <row r="1017" spans="2:6" x14ac:dyDescent="0.45">
      <c r="B1017" s="1"/>
      <c r="C1017" s="1"/>
      <c r="F1017" s="1"/>
    </row>
    <row r="1018" spans="2:6" x14ac:dyDescent="0.45">
      <c r="B1018" s="1"/>
      <c r="C1018" s="1"/>
      <c r="F1018" s="1"/>
    </row>
    <row r="1019" spans="2:6" x14ac:dyDescent="0.45">
      <c r="B1019" s="1"/>
      <c r="C1019" s="1"/>
      <c r="F1019" s="1"/>
    </row>
    <row r="1020" spans="2:6" x14ac:dyDescent="0.45">
      <c r="B1020" s="1"/>
      <c r="C1020" s="1"/>
      <c r="F1020" s="1"/>
    </row>
    <row r="1021" spans="2:6" x14ac:dyDescent="0.45">
      <c r="B1021" s="1"/>
      <c r="C1021" s="1"/>
      <c r="F1021" s="1"/>
    </row>
    <row r="1022" spans="2:6" x14ac:dyDescent="0.45">
      <c r="B1022" s="1"/>
      <c r="C1022" s="1"/>
      <c r="F1022" s="1"/>
    </row>
    <row r="1023" spans="2:6" x14ac:dyDescent="0.45">
      <c r="B1023" s="1"/>
      <c r="C1023" s="1"/>
      <c r="F1023" s="1"/>
    </row>
    <row r="1024" spans="2:6" x14ac:dyDescent="0.45">
      <c r="B1024" s="1"/>
      <c r="C1024" s="1"/>
      <c r="F1024" s="1"/>
    </row>
    <row r="1025" spans="2:6" x14ac:dyDescent="0.45">
      <c r="B1025" s="1"/>
      <c r="C1025" s="1"/>
      <c r="F1025" s="1"/>
    </row>
    <row r="1026" spans="2:6" x14ac:dyDescent="0.45">
      <c r="B1026" s="1"/>
      <c r="C1026" s="1"/>
      <c r="F1026" s="1"/>
    </row>
    <row r="1027" spans="2:6" x14ac:dyDescent="0.45">
      <c r="B1027" s="1"/>
      <c r="C1027" s="1"/>
      <c r="F1027" s="1"/>
    </row>
    <row r="1028" spans="2:6" x14ac:dyDescent="0.45">
      <c r="B1028" s="1"/>
      <c r="C1028" s="1"/>
      <c r="F1028" s="1"/>
    </row>
    <row r="1029" spans="2:6" x14ac:dyDescent="0.45">
      <c r="B1029" s="1"/>
      <c r="C1029" s="1"/>
      <c r="F1029" s="1"/>
    </row>
    <row r="1030" spans="2:6" x14ac:dyDescent="0.45">
      <c r="B1030" s="1"/>
      <c r="C1030" s="1"/>
      <c r="F1030" s="1"/>
    </row>
    <row r="1031" spans="2:6" x14ac:dyDescent="0.45">
      <c r="B1031" s="1"/>
      <c r="C1031" s="1"/>
      <c r="F1031" s="1"/>
    </row>
    <row r="1032" spans="2:6" x14ac:dyDescent="0.45">
      <c r="B1032" s="1"/>
      <c r="C1032" s="1"/>
      <c r="F1032" s="1"/>
    </row>
    <row r="1033" spans="2:6" x14ac:dyDescent="0.45">
      <c r="B1033" s="1"/>
      <c r="C1033" s="1"/>
      <c r="F1033" s="1"/>
    </row>
    <row r="1034" spans="2:6" x14ac:dyDescent="0.45">
      <c r="B1034" s="1"/>
      <c r="C1034" s="1"/>
      <c r="F1034" s="1"/>
    </row>
    <row r="1035" spans="2:6" x14ac:dyDescent="0.45">
      <c r="B1035" s="1"/>
      <c r="C1035" s="1"/>
      <c r="F1035" s="1"/>
    </row>
    <row r="1036" spans="2:6" x14ac:dyDescent="0.45">
      <c r="B1036" s="1"/>
      <c r="C1036" s="1"/>
      <c r="F1036" s="1"/>
    </row>
    <row r="1037" spans="2:6" x14ac:dyDescent="0.45">
      <c r="B1037" s="1"/>
      <c r="C1037" s="1"/>
      <c r="F1037" s="1"/>
    </row>
    <row r="1038" spans="2:6" x14ac:dyDescent="0.45">
      <c r="B1038" s="1"/>
      <c r="C1038" s="1"/>
      <c r="F1038" s="1"/>
    </row>
    <row r="1039" spans="2:6" x14ac:dyDescent="0.45">
      <c r="B1039" s="1"/>
      <c r="C1039" s="1"/>
      <c r="F1039" s="1"/>
    </row>
    <row r="1040" spans="2:6" x14ac:dyDescent="0.45">
      <c r="B1040" s="1"/>
      <c r="C1040" s="1"/>
      <c r="F1040" s="1"/>
    </row>
    <row r="1041" spans="2:6" x14ac:dyDescent="0.45">
      <c r="B1041" s="1"/>
      <c r="C1041" s="1"/>
      <c r="F1041" s="1"/>
    </row>
    <row r="1042" spans="2:6" x14ac:dyDescent="0.45">
      <c r="B1042" s="1"/>
      <c r="C1042" s="1"/>
      <c r="F1042" s="1"/>
    </row>
    <row r="1043" spans="2:6" x14ac:dyDescent="0.45">
      <c r="B1043" s="1"/>
      <c r="C1043" s="1"/>
      <c r="F1043" s="1"/>
    </row>
    <row r="1044" spans="2:6" x14ac:dyDescent="0.45">
      <c r="B1044" s="1"/>
      <c r="C1044" s="1"/>
      <c r="F1044" s="1"/>
    </row>
    <row r="1045" spans="2:6" x14ac:dyDescent="0.45">
      <c r="B1045" s="1"/>
      <c r="C1045" s="1"/>
      <c r="F1045" s="1"/>
    </row>
    <row r="1046" spans="2:6" x14ac:dyDescent="0.45">
      <c r="B1046" s="1"/>
      <c r="C1046" s="1"/>
      <c r="F1046" s="1"/>
    </row>
    <row r="1047" spans="2:6" x14ac:dyDescent="0.45">
      <c r="B1047" s="1"/>
      <c r="C1047" s="1"/>
      <c r="F1047" s="1"/>
    </row>
    <row r="1048" spans="2:6" x14ac:dyDescent="0.45">
      <c r="B1048" s="1"/>
      <c r="C1048" s="1"/>
      <c r="F1048" s="1"/>
    </row>
    <row r="1049" spans="2:6" x14ac:dyDescent="0.45">
      <c r="B1049" s="1"/>
      <c r="C1049" s="1"/>
      <c r="F1049" s="1"/>
    </row>
    <row r="1050" spans="2:6" x14ac:dyDescent="0.45">
      <c r="B1050" s="1"/>
      <c r="C1050" s="1"/>
      <c r="F1050" s="1"/>
    </row>
    <row r="1051" spans="2:6" x14ac:dyDescent="0.45">
      <c r="B1051" s="1"/>
      <c r="C1051" s="1"/>
      <c r="F1051" s="1"/>
    </row>
    <row r="1052" spans="2:6" x14ac:dyDescent="0.45">
      <c r="B1052" s="1"/>
      <c r="C1052" s="1"/>
      <c r="F1052" s="1"/>
    </row>
    <row r="1053" spans="2:6" x14ac:dyDescent="0.45">
      <c r="B1053" s="1"/>
      <c r="C1053" s="1"/>
      <c r="F1053" s="1"/>
    </row>
    <row r="1054" spans="2:6" x14ac:dyDescent="0.45">
      <c r="B1054" s="1"/>
      <c r="C1054" s="1"/>
      <c r="F1054" s="1"/>
    </row>
    <row r="1055" spans="2:6" x14ac:dyDescent="0.45">
      <c r="B1055" s="1"/>
      <c r="C1055" s="1"/>
      <c r="F1055" s="1"/>
    </row>
    <row r="1056" spans="2:6" x14ac:dyDescent="0.45">
      <c r="B1056" s="1"/>
      <c r="C1056" s="1"/>
      <c r="F1056" s="1"/>
    </row>
    <row r="1057" spans="2:6" x14ac:dyDescent="0.45">
      <c r="B1057" s="1"/>
      <c r="C1057" s="1"/>
      <c r="F1057" s="1"/>
    </row>
    <row r="1058" spans="2:6" x14ac:dyDescent="0.45">
      <c r="B1058" s="1"/>
      <c r="C1058" s="1"/>
      <c r="F1058" s="1"/>
    </row>
    <row r="1059" spans="2:6" x14ac:dyDescent="0.45">
      <c r="B1059" s="1"/>
      <c r="C1059" s="1"/>
      <c r="F1059" s="1"/>
    </row>
    <row r="1060" spans="2:6" x14ac:dyDescent="0.45">
      <c r="B1060" s="1"/>
      <c r="C1060" s="1"/>
      <c r="F1060" s="1"/>
    </row>
    <row r="1061" spans="2:6" x14ac:dyDescent="0.45">
      <c r="B1061" s="1"/>
      <c r="C1061" s="1"/>
      <c r="F1061" s="1"/>
    </row>
    <row r="1062" spans="2:6" x14ac:dyDescent="0.45">
      <c r="B1062" s="1"/>
      <c r="C1062" s="1"/>
      <c r="F1062" s="1"/>
    </row>
    <row r="1063" spans="2:6" x14ac:dyDescent="0.45">
      <c r="B1063" s="1"/>
      <c r="C1063" s="1"/>
      <c r="F1063" s="1"/>
    </row>
    <row r="1064" spans="2:6" x14ac:dyDescent="0.45">
      <c r="B1064" s="1"/>
      <c r="C1064" s="1"/>
      <c r="F1064" s="1"/>
    </row>
    <row r="1065" spans="2:6" x14ac:dyDescent="0.45">
      <c r="B1065" s="1"/>
      <c r="C1065" s="1"/>
      <c r="F1065" s="1"/>
    </row>
    <row r="1066" spans="2:6" x14ac:dyDescent="0.45">
      <c r="B1066" s="1"/>
      <c r="C1066" s="1"/>
      <c r="F1066" s="1"/>
    </row>
    <row r="1067" spans="2:6" x14ac:dyDescent="0.45">
      <c r="B1067" s="1"/>
      <c r="C1067" s="1"/>
      <c r="F1067" s="1"/>
    </row>
    <row r="1068" spans="2:6" x14ac:dyDescent="0.45">
      <c r="B1068" s="1"/>
      <c r="C1068" s="1"/>
      <c r="F1068" s="1"/>
    </row>
    <row r="1069" spans="2:6" x14ac:dyDescent="0.45">
      <c r="B1069" s="1"/>
      <c r="C1069" s="1"/>
      <c r="F1069" s="1"/>
    </row>
    <row r="1070" spans="2:6" x14ac:dyDescent="0.45">
      <c r="B1070" s="1"/>
      <c r="C1070" s="1"/>
      <c r="F1070" s="1"/>
    </row>
    <row r="1071" spans="2:6" x14ac:dyDescent="0.45">
      <c r="B1071" s="1"/>
      <c r="C1071" s="1"/>
      <c r="F1071" s="1"/>
    </row>
    <row r="1072" spans="2:6" x14ac:dyDescent="0.45">
      <c r="B1072" s="1"/>
      <c r="C1072" s="1"/>
      <c r="F1072" s="1"/>
    </row>
    <row r="1073" spans="2:6" x14ac:dyDescent="0.45">
      <c r="B1073" s="1"/>
      <c r="C1073" s="1"/>
      <c r="F1073" s="1"/>
    </row>
    <row r="1074" spans="2:6" x14ac:dyDescent="0.45">
      <c r="B1074" s="1"/>
      <c r="C1074" s="1"/>
      <c r="F1074" s="1"/>
    </row>
    <row r="1075" spans="2:6" x14ac:dyDescent="0.45">
      <c r="B1075" s="1"/>
      <c r="C1075" s="1"/>
      <c r="F1075" s="1"/>
    </row>
    <row r="1076" spans="2:6" x14ac:dyDescent="0.45">
      <c r="B1076" s="1"/>
      <c r="C1076" s="1"/>
      <c r="F1076" s="1"/>
    </row>
    <row r="1077" spans="2:6" x14ac:dyDescent="0.45">
      <c r="B1077" s="1"/>
      <c r="C1077" s="1"/>
      <c r="F1077" s="1"/>
    </row>
    <row r="1078" spans="2:6" x14ac:dyDescent="0.45">
      <c r="B1078" s="1"/>
      <c r="C1078" s="1"/>
      <c r="F1078" s="1"/>
    </row>
    <row r="1079" spans="2:6" x14ac:dyDescent="0.45">
      <c r="B1079" s="1"/>
      <c r="C1079" s="1"/>
      <c r="F1079" s="1"/>
    </row>
    <row r="1080" spans="2:6" x14ac:dyDescent="0.45">
      <c r="B1080" s="1"/>
      <c r="C1080" s="1"/>
      <c r="F1080" s="1"/>
    </row>
    <row r="1081" spans="2:6" x14ac:dyDescent="0.45">
      <c r="B1081" s="1"/>
      <c r="C1081" s="1"/>
      <c r="F1081" s="1"/>
    </row>
    <row r="1082" spans="2:6" x14ac:dyDescent="0.45">
      <c r="B1082" s="1"/>
      <c r="C1082" s="1"/>
      <c r="F1082" s="1"/>
    </row>
    <row r="1083" spans="2:6" x14ac:dyDescent="0.45">
      <c r="B1083" s="1"/>
      <c r="C1083" s="1"/>
      <c r="F1083" s="1"/>
    </row>
    <row r="1084" spans="2:6" x14ac:dyDescent="0.45">
      <c r="B1084" s="1"/>
      <c r="C1084" s="1"/>
      <c r="F1084" s="1"/>
    </row>
    <row r="1085" spans="2:6" x14ac:dyDescent="0.45">
      <c r="B1085" s="1"/>
      <c r="C1085" s="1"/>
      <c r="F1085" s="1"/>
    </row>
    <row r="1086" spans="2:6" x14ac:dyDescent="0.45">
      <c r="B1086" s="1"/>
      <c r="C1086" s="1"/>
      <c r="F1086" s="1"/>
    </row>
    <row r="1087" spans="2:6" x14ac:dyDescent="0.45">
      <c r="B1087" s="1"/>
      <c r="C1087" s="1"/>
      <c r="F1087" s="1"/>
    </row>
    <row r="1088" spans="2:6" x14ac:dyDescent="0.45">
      <c r="B1088" s="1"/>
      <c r="C1088" s="1"/>
      <c r="F1088" s="1"/>
    </row>
    <row r="1089" spans="2:6" x14ac:dyDescent="0.45">
      <c r="B1089" s="1"/>
      <c r="C1089" s="1"/>
      <c r="F1089" s="1"/>
    </row>
    <row r="1090" spans="2:6" x14ac:dyDescent="0.45">
      <c r="B1090" s="1"/>
      <c r="C1090" s="1"/>
      <c r="F1090" s="1"/>
    </row>
    <row r="1091" spans="2:6" x14ac:dyDescent="0.45">
      <c r="B1091" s="1"/>
      <c r="C1091" s="1"/>
      <c r="F1091" s="1"/>
    </row>
    <row r="1092" spans="2:6" x14ac:dyDescent="0.45">
      <c r="B1092" s="1"/>
      <c r="C1092" s="1"/>
      <c r="F1092" s="1"/>
    </row>
    <row r="1093" spans="2:6" x14ac:dyDescent="0.45">
      <c r="B1093" s="1"/>
      <c r="C1093" s="1"/>
      <c r="F1093" s="1"/>
    </row>
    <row r="1094" spans="2:6" x14ac:dyDescent="0.45">
      <c r="B1094" s="1"/>
      <c r="C1094" s="1"/>
      <c r="F1094" s="1"/>
    </row>
    <row r="1095" spans="2:6" x14ac:dyDescent="0.45">
      <c r="B1095" s="1"/>
      <c r="C1095" s="1"/>
      <c r="F1095" s="1"/>
    </row>
    <row r="1096" spans="2:6" x14ac:dyDescent="0.45">
      <c r="B1096" s="1"/>
      <c r="C1096" s="1"/>
      <c r="F1096" s="1"/>
    </row>
    <row r="1097" spans="2:6" x14ac:dyDescent="0.45">
      <c r="B1097" s="1"/>
      <c r="C1097" s="1"/>
      <c r="F1097" s="1"/>
    </row>
    <row r="1098" spans="2:6" x14ac:dyDescent="0.45">
      <c r="B1098" s="1"/>
      <c r="C1098" s="1"/>
      <c r="F1098" s="1"/>
    </row>
    <row r="1099" spans="2:6" x14ac:dyDescent="0.45">
      <c r="B1099" s="1"/>
      <c r="C1099" s="1"/>
      <c r="F1099" s="1"/>
    </row>
    <row r="1100" spans="2:6" x14ac:dyDescent="0.45">
      <c r="B1100" s="1"/>
      <c r="C1100" s="1"/>
      <c r="F1100" s="1"/>
    </row>
    <row r="1101" spans="2:6" x14ac:dyDescent="0.45">
      <c r="B1101" s="1"/>
      <c r="C1101" s="1"/>
      <c r="F1101" s="1"/>
    </row>
    <row r="1102" spans="2:6" x14ac:dyDescent="0.45">
      <c r="B1102" s="1"/>
      <c r="C1102" s="1"/>
      <c r="F1102" s="1"/>
    </row>
    <row r="1103" spans="2:6" x14ac:dyDescent="0.45">
      <c r="B1103" s="1"/>
      <c r="C1103" s="1"/>
      <c r="F1103" s="1"/>
    </row>
    <row r="1104" spans="2:6" x14ac:dyDescent="0.45">
      <c r="B1104" s="1"/>
      <c r="C1104" s="1"/>
      <c r="F1104" s="1"/>
    </row>
    <row r="1105" spans="2:6" x14ac:dyDescent="0.45">
      <c r="B1105" s="1"/>
      <c r="C1105" s="1"/>
      <c r="F1105" s="1"/>
    </row>
    <row r="1106" spans="2:6" x14ac:dyDescent="0.45">
      <c r="B1106" s="1"/>
      <c r="C1106" s="1"/>
      <c r="F1106" s="1"/>
    </row>
    <row r="1107" spans="2:6" x14ac:dyDescent="0.45">
      <c r="B1107" s="1"/>
      <c r="C1107" s="1"/>
      <c r="F1107" s="1"/>
    </row>
    <row r="1108" spans="2:6" x14ac:dyDescent="0.45">
      <c r="B1108" s="1"/>
      <c r="C1108" s="1"/>
      <c r="F1108" s="1"/>
    </row>
    <row r="1109" spans="2:6" x14ac:dyDescent="0.45">
      <c r="B1109" s="1"/>
      <c r="C1109" s="1"/>
      <c r="F1109" s="1"/>
    </row>
    <row r="1110" spans="2:6" x14ac:dyDescent="0.45">
      <c r="B1110" s="1"/>
      <c r="C1110" s="1"/>
      <c r="F1110" s="1"/>
    </row>
    <row r="1111" spans="2:6" x14ac:dyDescent="0.45">
      <c r="B1111" s="1"/>
      <c r="C1111" s="1"/>
      <c r="F1111" s="1"/>
    </row>
    <row r="1112" spans="2:6" x14ac:dyDescent="0.45">
      <c r="B1112" s="1"/>
      <c r="C1112" s="1"/>
      <c r="F1112" s="1"/>
    </row>
    <row r="1113" spans="2:6" x14ac:dyDescent="0.45">
      <c r="B1113" s="1"/>
      <c r="C1113" s="1"/>
      <c r="F1113" s="1"/>
    </row>
    <row r="1114" spans="2:6" x14ac:dyDescent="0.45">
      <c r="B1114" s="1"/>
      <c r="C1114" s="1"/>
      <c r="F1114" s="1"/>
    </row>
    <row r="1115" spans="2:6" x14ac:dyDescent="0.45">
      <c r="B1115" s="1"/>
      <c r="C1115" s="1"/>
      <c r="F1115" s="1"/>
    </row>
    <row r="1116" spans="2:6" x14ac:dyDescent="0.45">
      <c r="B1116" s="1"/>
      <c r="C1116" s="1"/>
      <c r="F1116" s="1"/>
    </row>
    <row r="1117" spans="2:6" x14ac:dyDescent="0.45">
      <c r="B1117" s="1"/>
      <c r="C1117" s="1"/>
      <c r="F1117" s="1"/>
    </row>
    <row r="1118" spans="2:6" x14ac:dyDescent="0.45">
      <c r="B1118" s="1"/>
      <c r="C1118" s="1"/>
      <c r="F1118" s="1"/>
    </row>
    <row r="1119" spans="2:6" x14ac:dyDescent="0.45">
      <c r="B1119" s="1"/>
      <c r="C1119" s="1"/>
      <c r="F1119" s="1"/>
    </row>
    <row r="1120" spans="2:6" x14ac:dyDescent="0.45">
      <c r="B1120" s="1"/>
      <c r="C1120" s="1"/>
      <c r="F1120" s="1"/>
    </row>
    <row r="1121" spans="2:6" x14ac:dyDescent="0.45">
      <c r="B1121" s="1"/>
      <c r="C1121" s="1"/>
      <c r="F1121" s="1"/>
    </row>
    <row r="1122" spans="2:6" x14ac:dyDescent="0.45">
      <c r="B1122" s="1"/>
      <c r="C1122" s="1"/>
      <c r="F1122" s="1"/>
    </row>
    <row r="1123" spans="2:6" x14ac:dyDescent="0.45">
      <c r="B1123" s="1"/>
      <c r="C1123" s="1"/>
      <c r="F1123" s="1"/>
    </row>
    <row r="1124" spans="2:6" x14ac:dyDescent="0.45">
      <c r="B1124" s="1"/>
      <c r="C1124" s="1"/>
      <c r="F1124" s="1"/>
    </row>
    <row r="1125" spans="2:6" x14ac:dyDescent="0.45">
      <c r="B1125" s="1"/>
      <c r="C1125" s="1"/>
      <c r="F1125" s="1"/>
    </row>
    <row r="1126" spans="2:6" x14ac:dyDescent="0.45">
      <c r="B1126" s="1"/>
      <c r="C1126" s="1"/>
      <c r="F1126" s="1"/>
    </row>
    <row r="1127" spans="2:6" x14ac:dyDescent="0.45">
      <c r="B1127" s="1"/>
      <c r="C1127" s="1"/>
      <c r="F1127" s="1"/>
    </row>
    <row r="1128" spans="2:6" x14ac:dyDescent="0.45">
      <c r="B1128" s="1"/>
      <c r="C1128" s="1"/>
      <c r="F1128" s="1"/>
    </row>
    <row r="1129" spans="2:6" x14ac:dyDescent="0.45">
      <c r="B1129" s="1"/>
      <c r="C1129" s="1"/>
      <c r="F1129" s="1"/>
    </row>
    <row r="1130" spans="2:6" x14ac:dyDescent="0.45">
      <c r="B1130" s="1"/>
      <c r="C1130" s="1"/>
      <c r="F1130" s="1"/>
    </row>
    <row r="1131" spans="2:6" x14ac:dyDescent="0.45">
      <c r="B1131" s="1"/>
      <c r="C1131" s="1"/>
      <c r="F1131" s="1"/>
    </row>
    <row r="1132" spans="2:6" x14ac:dyDescent="0.45">
      <c r="B1132" s="1"/>
      <c r="C1132" s="1"/>
      <c r="F1132" s="1"/>
    </row>
    <row r="1133" spans="2:6" x14ac:dyDescent="0.45">
      <c r="B1133" s="1"/>
      <c r="C1133" s="1"/>
      <c r="F1133" s="1"/>
    </row>
    <row r="1134" spans="2:6" x14ac:dyDescent="0.45">
      <c r="B1134" s="1"/>
      <c r="C1134" s="1"/>
      <c r="F1134" s="1"/>
    </row>
    <row r="1135" spans="2:6" x14ac:dyDescent="0.45">
      <c r="B1135" s="1"/>
      <c r="C1135" s="1"/>
      <c r="F1135" s="1"/>
    </row>
    <row r="1136" spans="2:6" x14ac:dyDescent="0.45">
      <c r="B1136" s="1"/>
      <c r="C1136" s="1"/>
      <c r="F1136" s="1"/>
    </row>
    <row r="1137" spans="2:6" x14ac:dyDescent="0.45">
      <c r="B1137" s="1"/>
      <c r="C1137" s="1"/>
      <c r="F1137" s="1"/>
    </row>
    <row r="1138" spans="2:6" x14ac:dyDescent="0.45">
      <c r="B1138" s="1"/>
      <c r="C1138" s="1"/>
      <c r="F1138" s="1"/>
    </row>
    <row r="1139" spans="2:6" x14ac:dyDescent="0.45">
      <c r="B1139" s="1"/>
      <c r="C1139" s="1"/>
      <c r="F1139" s="1"/>
    </row>
    <row r="1140" spans="2:6" x14ac:dyDescent="0.45">
      <c r="B1140" s="1"/>
      <c r="C1140" s="1"/>
      <c r="F1140" s="1"/>
    </row>
    <row r="1141" spans="2:6" x14ac:dyDescent="0.45">
      <c r="B1141" s="1"/>
      <c r="C1141" s="1"/>
      <c r="F1141" s="1"/>
    </row>
    <row r="1142" spans="2:6" x14ac:dyDescent="0.45">
      <c r="B1142" s="1"/>
      <c r="C1142" s="1"/>
      <c r="F1142" s="1"/>
    </row>
    <row r="1143" spans="2:6" x14ac:dyDescent="0.45">
      <c r="B1143" s="1"/>
      <c r="C1143" s="1"/>
      <c r="F1143" s="1"/>
    </row>
    <row r="1144" spans="2:6" x14ac:dyDescent="0.45">
      <c r="B1144" s="1"/>
      <c r="C1144" s="1"/>
      <c r="F1144" s="1"/>
    </row>
    <row r="1145" spans="2:6" x14ac:dyDescent="0.45">
      <c r="B1145" s="1"/>
      <c r="C1145" s="1"/>
      <c r="F1145" s="1"/>
    </row>
    <row r="1146" spans="2:6" x14ac:dyDescent="0.45">
      <c r="B1146" s="1"/>
      <c r="C1146" s="1"/>
      <c r="F1146" s="1"/>
    </row>
    <row r="1147" spans="2:6" x14ac:dyDescent="0.45">
      <c r="B1147" s="1"/>
      <c r="C1147" s="1"/>
      <c r="F1147" s="1"/>
    </row>
    <row r="1148" spans="2:6" x14ac:dyDescent="0.45">
      <c r="B1148" s="1"/>
      <c r="C1148" s="1"/>
      <c r="F1148" s="1"/>
    </row>
    <row r="1149" spans="2:6" x14ac:dyDescent="0.45">
      <c r="B1149" s="1"/>
      <c r="C1149" s="1"/>
      <c r="F1149" s="1"/>
    </row>
    <row r="1150" spans="2:6" x14ac:dyDescent="0.45">
      <c r="B1150" s="1"/>
      <c r="C1150" s="1"/>
      <c r="F1150" s="1"/>
    </row>
    <row r="1151" spans="2:6" x14ac:dyDescent="0.45">
      <c r="B1151" s="1"/>
      <c r="C1151" s="1"/>
      <c r="F1151" s="1"/>
    </row>
    <row r="1152" spans="2:6" x14ac:dyDescent="0.45">
      <c r="B1152" s="1"/>
      <c r="C1152" s="1"/>
      <c r="F1152" s="1"/>
    </row>
    <row r="1153" spans="2:6" x14ac:dyDescent="0.45">
      <c r="B1153" s="1"/>
      <c r="C1153" s="1"/>
      <c r="F1153" s="1"/>
    </row>
    <row r="1154" spans="2:6" x14ac:dyDescent="0.45">
      <c r="B1154" s="1"/>
      <c r="C1154" s="1"/>
      <c r="F1154" s="1"/>
    </row>
    <row r="1155" spans="2:6" x14ac:dyDescent="0.45">
      <c r="B1155" s="1"/>
      <c r="C1155" s="1"/>
      <c r="F1155" s="1"/>
    </row>
    <row r="1156" spans="2:6" x14ac:dyDescent="0.45">
      <c r="B1156" s="1"/>
      <c r="C1156" s="1"/>
      <c r="F1156" s="1"/>
    </row>
    <row r="1157" spans="2:6" x14ac:dyDescent="0.45">
      <c r="B1157" s="1"/>
      <c r="C1157" s="1"/>
      <c r="F1157" s="1"/>
    </row>
    <row r="1158" spans="2:6" x14ac:dyDescent="0.45">
      <c r="B1158" s="1"/>
      <c r="C1158" s="1"/>
      <c r="F1158" s="1"/>
    </row>
    <row r="1159" spans="2:6" x14ac:dyDescent="0.45">
      <c r="B1159" s="1"/>
      <c r="C1159" s="1"/>
      <c r="F1159" s="1"/>
    </row>
    <row r="1160" spans="2:6" x14ac:dyDescent="0.45">
      <c r="B1160" s="1"/>
      <c r="C1160" s="1"/>
      <c r="F1160" s="1"/>
    </row>
    <row r="1161" spans="2:6" x14ac:dyDescent="0.45">
      <c r="B1161" s="1"/>
      <c r="C1161" s="1"/>
      <c r="F1161" s="1"/>
    </row>
    <row r="1162" spans="2:6" x14ac:dyDescent="0.45">
      <c r="B1162" s="1"/>
      <c r="C1162" s="1"/>
      <c r="F1162" s="1"/>
    </row>
    <row r="1163" spans="2:6" x14ac:dyDescent="0.45">
      <c r="B1163" s="1"/>
      <c r="C1163" s="1"/>
      <c r="F1163" s="1"/>
    </row>
    <row r="1164" spans="2:6" x14ac:dyDescent="0.45">
      <c r="B1164" s="1"/>
      <c r="C1164" s="1"/>
      <c r="F1164" s="1"/>
    </row>
    <row r="1165" spans="2:6" x14ac:dyDescent="0.45">
      <c r="B1165" s="1"/>
      <c r="C1165" s="1"/>
      <c r="F1165" s="1"/>
    </row>
    <row r="1166" spans="2:6" x14ac:dyDescent="0.45">
      <c r="B1166" s="1"/>
      <c r="C1166" s="1"/>
      <c r="D1166" s="1"/>
      <c r="E1166" s="1"/>
      <c r="F1166" s="1"/>
    </row>
    <row r="1167" spans="2:6" x14ac:dyDescent="0.45">
      <c r="B1167" s="1"/>
      <c r="C1167" s="1"/>
      <c r="F1167" s="1"/>
    </row>
    <row r="1168" spans="2:6" x14ac:dyDescent="0.45">
      <c r="B1168" s="1"/>
      <c r="C1168" s="1"/>
      <c r="F1168" s="1"/>
    </row>
    <row r="1169" spans="2:6" x14ac:dyDescent="0.45">
      <c r="B1169" s="1"/>
      <c r="C1169" s="1"/>
      <c r="F1169" s="1"/>
    </row>
    <row r="1170" spans="2:6" x14ac:dyDescent="0.45">
      <c r="B1170" s="1"/>
      <c r="C1170" s="1"/>
      <c r="F1170" s="1"/>
    </row>
    <row r="1171" spans="2:6" x14ac:dyDescent="0.45">
      <c r="B1171" s="1"/>
      <c r="C1171" s="1"/>
      <c r="F1171" s="1"/>
    </row>
    <row r="1172" spans="2:6" x14ac:dyDescent="0.45">
      <c r="B1172" s="1"/>
      <c r="C1172" s="1"/>
      <c r="F1172" s="1"/>
    </row>
    <row r="1173" spans="2:6" x14ac:dyDescent="0.45">
      <c r="B1173" s="1"/>
      <c r="C1173" s="1"/>
      <c r="F1173" s="1"/>
    </row>
    <row r="1174" spans="2:6" x14ac:dyDescent="0.45">
      <c r="B1174" s="1"/>
      <c r="C1174" s="1"/>
      <c r="F1174" s="1"/>
    </row>
    <row r="1175" spans="2:6" x14ac:dyDescent="0.45">
      <c r="B1175" s="1"/>
      <c r="C1175" s="1"/>
      <c r="F1175" s="1"/>
    </row>
    <row r="1176" spans="2:6" x14ac:dyDescent="0.45">
      <c r="B1176" s="1"/>
      <c r="C1176" s="1"/>
      <c r="F1176" s="1"/>
    </row>
    <row r="1177" spans="2:6" x14ac:dyDescent="0.45">
      <c r="B1177" s="1"/>
      <c r="C1177" s="1"/>
      <c r="F1177" s="1"/>
    </row>
    <row r="1178" spans="2:6" x14ac:dyDescent="0.45">
      <c r="B1178" s="1"/>
      <c r="C1178" s="1"/>
      <c r="F1178" s="1"/>
    </row>
    <row r="1179" spans="2:6" x14ac:dyDescent="0.45">
      <c r="B1179" s="1"/>
      <c r="C1179" s="1"/>
      <c r="F1179" s="1"/>
    </row>
    <row r="1180" spans="2:6" x14ac:dyDescent="0.45">
      <c r="B1180" s="1"/>
      <c r="C1180" s="1"/>
      <c r="F1180" s="1"/>
    </row>
    <row r="1181" spans="2:6" x14ac:dyDescent="0.45">
      <c r="B1181" s="1"/>
      <c r="C1181" s="1"/>
      <c r="F1181" s="1"/>
    </row>
    <row r="1182" spans="2:6" x14ac:dyDescent="0.45">
      <c r="B1182" s="1"/>
      <c r="C1182" s="1"/>
      <c r="F1182" s="1"/>
    </row>
    <row r="1183" spans="2:6" x14ac:dyDescent="0.45">
      <c r="B1183" s="1"/>
      <c r="C1183" s="1"/>
      <c r="F1183" s="1"/>
    </row>
    <row r="1184" spans="2:6" x14ac:dyDescent="0.45">
      <c r="B1184" s="1"/>
      <c r="C1184" s="1"/>
      <c r="F1184" s="1"/>
    </row>
    <row r="1185" spans="2:6" x14ac:dyDescent="0.45">
      <c r="B1185" s="1"/>
      <c r="C1185" s="1"/>
      <c r="F1185" s="1"/>
    </row>
    <row r="1186" spans="2:6" x14ac:dyDescent="0.45">
      <c r="B1186" s="1"/>
      <c r="C1186" s="1"/>
      <c r="F1186" s="1"/>
    </row>
    <row r="1187" spans="2:6" x14ac:dyDescent="0.45">
      <c r="B1187" s="1"/>
      <c r="C1187" s="1"/>
      <c r="F1187" s="1"/>
    </row>
    <row r="1188" spans="2:6" x14ac:dyDescent="0.45">
      <c r="B1188" s="1"/>
      <c r="C1188" s="1"/>
      <c r="F1188" s="1"/>
    </row>
    <row r="1189" spans="2:6" x14ac:dyDescent="0.45">
      <c r="B1189" s="1"/>
      <c r="C1189" s="1"/>
      <c r="F1189" s="1"/>
    </row>
    <row r="1190" spans="2:6" x14ac:dyDescent="0.45">
      <c r="B1190" s="1"/>
      <c r="C1190" s="1"/>
      <c r="F1190" s="1"/>
    </row>
    <row r="1191" spans="2:6" x14ac:dyDescent="0.45">
      <c r="B1191" s="1"/>
      <c r="C1191" s="1"/>
      <c r="F1191" s="1"/>
    </row>
    <row r="1192" spans="2:6" x14ac:dyDescent="0.45">
      <c r="B1192" s="1"/>
      <c r="C1192" s="1"/>
      <c r="F1192" s="1"/>
    </row>
    <row r="1193" spans="2:6" x14ac:dyDescent="0.45">
      <c r="B1193" s="1"/>
      <c r="C1193" s="1"/>
      <c r="F1193" s="1"/>
    </row>
    <row r="1194" spans="2:6" x14ac:dyDescent="0.45">
      <c r="B1194" s="1"/>
      <c r="C1194" s="1"/>
      <c r="F1194" s="1"/>
    </row>
    <row r="1195" spans="2:6" x14ac:dyDescent="0.45">
      <c r="B1195" s="1"/>
      <c r="C1195" s="1"/>
      <c r="F1195" s="1"/>
    </row>
    <row r="1196" spans="2:6" x14ac:dyDescent="0.45">
      <c r="B1196" s="1"/>
      <c r="C1196" s="1"/>
      <c r="F1196" s="1"/>
    </row>
    <row r="1197" spans="2:6" x14ac:dyDescent="0.45">
      <c r="B1197" s="1"/>
      <c r="C1197" s="1"/>
      <c r="F1197" s="1"/>
    </row>
    <row r="1198" spans="2:6" x14ac:dyDescent="0.45">
      <c r="B1198" s="1"/>
      <c r="C1198" s="1"/>
      <c r="F1198" s="1"/>
    </row>
    <row r="1199" spans="2:6" x14ac:dyDescent="0.45">
      <c r="B1199" s="1"/>
      <c r="C1199" s="1"/>
      <c r="F1199" s="1"/>
    </row>
    <row r="1200" spans="2:6" x14ac:dyDescent="0.45">
      <c r="B1200" s="1"/>
      <c r="C1200" s="1"/>
      <c r="F1200" s="1"/>
    </row>
    <row r="1201" spans="2:6" x14ac:dyDescent="0.45">
      <c r="B1201" s="1"/>
      <c r="C1201" s="1"/>
      <c r="F1201" s="1"/>
    </row>
    <row r="1202" spans="2:6" x14ac:dyDescent="0.45">
      <c r="B1202" s="1"/>
      <c r="C1202" s="1"/>
      <c r="F1202" s="1"/>
    </row>
    <row r="1203" spans="2:6" x14ac:dyDescent="0.45">
      <c r="B1203" s="1"/>
      <c r="C1203" s="1"/>
      <c r="F1203" s="1"/>
    </row>
    <row r="1204" spans="2:6" x14ac:dyDescent="0.45">
      <c r="B1204" s="1"/>
      <c r="C1204" s="1"/>
      <c r="F1204" s="1"/>
    </row>
    <row r="1205" spans="2:6" x14ac:dyDescent="0.45">
      <c r="B1205" s="1"/>
      <c r="C1205" s="1"/>
      <c r="F1205" s="1"/>
    </row>
    <row r="1206" spans="2:6" x14ac:dyDescent="0.45">
      <c r="B1206" s="1"/>
      <c r="C1206" s="1"/>
      <c r="F1206" s="1"/>
    </row>
    <row r="1207" spans="2:6" x14ac:dyDescent="0.45">
      <c r="B1207" s="1"/>
      <c r="C1207" s="1"/>
      <c r="F1207" s="1"/>
    </row>
    <row r="1208" spans="2:6" x14ac:dyDescent="0.45">
      <c r="B1208" s="1"/>
      <c r="C1208" s="1"/>
      <c r="F1208" s="1"/>
    </row>
    <row r="1209" spans="2:6" x14ac:dyDescent="0.45">
      <c r="B1209" s="1"/>
      <c r="C1209" s="1"/>
      <c r="F1209" s="1"/>
    </row>
    <row r="1210" spans="2:6" x14ac:dyDescent="0.45">
      <c r="B1210" s="1"/>
      <c r="C1210" s="1"/>
      <c r="F1210" s="1"/>
    </row>
    <row r="1211" spans="2:6" x14ac:dyDescent="0.45">
      <c r="B1211" s="1"/>
      <c r="C1211" s="1"/>
      <c r="F1211" s="1"/>
    </row>
    <row r="1212" spans="2:6" x14ac:dyDescent="0.45">
      <c r="B1212" s="1"/>
      <c r="C1212" s="1"/>
      <c r="F1212" s="1"/>
    </row>
    <row r="1213" spans="2:6" x14ac:dyDescent="0.45">
      <c r="B1213" s="1"/>
      <c r="C1213" s="1"/>
      <c r="F1213" s="1"/>
    </row>
    <row r="1214" spans="2:6" x14ac:dyDescent="0.45">
      <c r="B1214" s="1"/>
      <c r="C1214" s="1"/>
      <c r="F1214" s="1"/>
    </row>
    <row r="1215" spans="2:6" x14ac:dyDescent="0.45">
      <c r="B1215" s="1"/>
      <c r="C1215" s="1"/>
      <c r="F1215" s="1"/>
    </row>
    <row r="1216" spans="2:6" x14ac:dyDescent="0.45">
      <c r="B1216" s="1"/>
      <c r="C1216" s="1"/>
      <c r="F1216" s="1"/>
    </row>
    <row r="1217" spans="2:6" x14ac:dyDescent="0.45">
      <c r="B1217" s="1"/>
      <c r="C1217" s="1"/>
      <c r="F1217" s="1"/>
    </row>
    <row r="1218" spans="2:6" x14ac:dyDescent="0.45">
      <c r="B1218" s="1"/>
      <c r="C1218" s="1"/>
      <c r="F1218" s="1"/>
    </row>
    <row r="1219" spans="2:6" x14ac:dyDescent="0.45">
      <c r="B1219" s="1"/>
      <c r="C1219" s="1"/>
      <c r="F1219" s="1"/>
    </row>
    <row r="1220" spans="2:6" x14ac:dyDescent="0.45">
      <c r="B1220" s="1"/>
      <c r="C1220" s="1"/>
      <c r="F1220" s="1"/>
    </row>
    <row r="1221" spans="2:6" x14ac:dyDescent="0.45">
      <c r="B1221" s="1"/>
      <c r="C1221" s="1"/>
      <c r="F1221" s="1"/>
    </row>
    <row r="1222" spans="2:6" x14ac:dyDescent="0.45">
      <c r="B1222" s="1"/>
      <c r="C1222" s="1"/>
      <c r="F1222" s="1"/>
    </row>
    <row r="1223" spans="2:6" x14ac:dyDescent="0.45">
      <c r="B1223" s="1"/>
      <c r="C1223" s="1"/>
      <c r="F1223" s="1"/>
    </row>
    <row r="1224" spans="2:6" x14ac:dyDescent="0.45">
      <c r="B1224" s="1"/>
      <c r="C1224" s="1"/>
      <c r="F1224" s="1"/>
    </row>
    <row r="1225" spans="2:6" x14ac:dyDescent="0.45">
      <c r="B1225" s="1"/>
      <c r="C1225" s="1"/>
      <c r="F1225" s="1"/>
    </row>
    <row r="1226" spans="2:6" x14ac:dyDescent="0.45">
      <c r="B1226" s="1"/>
      <c r="C1226" s="1"/>
      <c r="F1226" s="1"/>
    </row>
    <row r="1227" spans="2:6" x14ac:dyDescent="0.45">
      <c r="B1227" s="1"/>
      <c r="C1227" s="1"/>
      <c r="F1227" s="1"/>
    </row>
    <row r="1228" spans="2:6" x14ac:dyDescent="0.45">
      <c r="B1228" s="1"/>
      <c r="C1228" s="1"/>
      <c r="F1228" s="1"/>
    </row>
    <row r="1229" spans="2:6" x14ac:dyDescent="0.45">
      <c r="B1229" s="1"/>
      <c r="C1229" s="1"/>
      <c r="F1229" s="1"/>
    </row>
    <row r="1230" spans="2:6" x14ac:dyDescent="0.45">
      <c r="B1230" s="1"/>
      <c r="C1230" s="1"/>
      <c r="F1230" s="1"/>
    </row>
    <row r="1231" spans="2:6" x14ac:dyDescent="0.45">
      <c r="B1231" s="1"/>
      <c r="C1231" s="1"/>
      <c r="F1231" s="1"/>
    </row>
    <row r="1232" spans="2:6" x14ac:dyDescent="0.45">
      <c r="B1232" s="1"/>
      <c r="C1232" s="1"/>
      <c r="F1232" s="1"/>
    </row>
    <row r="1233" spans="2:6" x14ac:dyDescent="0.45">
      <c r="B1233" s="1"/>
      <c r="C1233" s="1"/>
      <c r="F1233" s="1"/>
    </row>
    <row r="1234" spans="2:6" x14ac:dyDescent="0.45">
      <c r="B1234" s="1"/>
      <c r="C1234" s="1"/>
      <c r="F1234" s="1"/>
    </row>
    <row r="1235" spans="2:6" x14ac:dyDescent="0.45">
      <c r="B1235" s="1"/>
      <c r="C1235" s="1"/>
      <c r="F1235" s="1"/>
    </row>
    <row r="1236" spans="2:6" x14ac:dyDescent="0.45">
      <c r="B1236" s="1"/>
      <c r="C1236" s="1"/>
      <c r="F1236" s="1"/>
    </row>
    <row r="1237" spans="2:6" x14ac:dyDescent="0.45">
      <c r="B1237" s="1"/>
      <c r="C1237" s="1"/>
      <c r="F1237" s="1"/>
    </row>
    <row r="1238" spans="2:6" x14ac:dyDescent="0.45">
      <c r="B1238" s="1"/>
      <c r="C1238" s="1"/>
      <c r="F1238" s="1"/>
    </row>
    <row r="1239" spans="2:6" x14ac:dyDescent="0.45">
      <c r="B1239" s="1"/>
      <c r="C1239" s="1"/>
      <c r="F1239" s="1"/>
    </row>
    <row r="1240" spans="2:6" x14ac:dyDescent="0.45">
      <c r="B1240" s="1"/>
      <c r="C1240" s="1"/>
      <c r="F1240" s="1"/>
    </row>
    <row r="1241" spans="2:6" x14ac:dyDescent="0.45">
      <c r="B1241" s="1"/>
      <c r="C1241" s="1"/>
      <c r="F1241" s="1"/>
    </row>
    <row r="1242" spans="2:6" x14ac:dyDescent="0.45">
      <c r="B1242" s="1"/>
      <c r="C1242" s="1"/>
      <c r="F1242" s="1"/>
    </row>
    <row r="1243" spans="2:6" x14ac:dyDescent="0.45">
      <c r="B1243" s="1"/>
      <c r="C1243" s="1"/>
      <c r="F1243" s="1"/>
    </row>
    <row r="1244" spans="2:6" x14ac:dyDescent="0.45">
      <c r="B1244" s="1"/>
      <c r="C1244" s="1"/>
      <c r="F1244" s="1"/>
    </row>
    <row r="1245" spans="2:6" x14ac:dyDescent="0.45">
      <c r="B1245" s="1"/>
      <c r="C1245" s="1"/>
      <c r="F1245" s="1"/>
    </row>
    <row r="1246" spans="2:6" x14ac:dyDescent="0.45">
      <c r="B1246" s="1"/>
      <c r="C1246" s="1"/>
      <c r="F1246" s="1"/>
    </row>
    <row r="1247" spans="2:6" x14ac:dyDescent="0.45">
      <c r="B1247" s="1"/>
      <c r="C1247" s="1"/>
      <c r="F1247" s="1"/>
    </row>
    <row r="1248" spans="2:6" x14ac:dyDescent="0.45">
      <c r="B1248" s="1"/>
      <c r="C1248" s="1"/>
      <c r="F1248" s="1"/>
    </row>
    <row r="1249" spans="2:6" x14ac:dyDescent="0.45">
      <c r="B1249" s="1"/>
      <c r="C1249" s="1"/>
      <c r="F1249" s="1"/>
    </row>
    <row r="1250" spans="2:6" x14ac:dyDescent="0.45">
      <c r="B1250" s="1"/>
      <c r="C1250" s="1"/>
      <c r="F1250" s="1"/>
    </row>
    <row r="1251" spans="2:6" x14ac:dyDescent="0.45">
      <c r="B1251" s="1"/>
      <c r="C1251" s="1"/>
      <c r="F1251" s="1"/>
    </row>
    <row r="1252" spans="2:6" x14ac:dyDescent="0.45">
      <c r="B1252" s="1"/>
      <c r="C1252" s="1"/>
      <c r="F1252" s="1"/>
    </row>
    <row r="1253" spans="2:6" x14ac:dyDescent="0.45">
      <c r="B1253" s="1"/>
      <c r="C1253" s="1"/>
      <c r="F1253" s="1"/>
    </row>
    <row r="1254" spans="2:6" x14ac:dyDescent="0.45">
      <c r="B1254" s="1"/>
      <c r="C1254" s="1"/>
      <c r="F1254" s="1"/>
    </row>
    <row r="1255" spans="2:6" x14ac:dyDescent="0.45">
      <c r="B1255" s="1"/>
      <c r="C1255" s="1"/>
      <c r="F1255" s="1"/>
    </row>
    <row r="1256" spans="2:6" x14ac:dyDescent="0.45">
      <c r="B1256" s="1"/>
      <c r="C1256" s="1"/>
      <c r="F1256" s="1"/>
    </row>
    <row r="1257" spans="2:6" x14ac:dyDescent="0.45">
      <c r="B1257" s="1"/>
      <c r="C1257" s="1"/>
      <c r="F1257" s="1"/>
    </row>
    <row r="1258" spans="2:6" x14ac:dyDescent="0.45">
      <c r="B1258" s="1"/>
      <c r="C1258" s="1"/>
      <c r="F1258" s="1"/>
    </row>
    <row r="1259" spans="2:6" x14ac:dyDescent="0.45">
      <c r="B1259" s="1"/>
      <c r="C1259" s="1"/>
      <c r="F1259" s="1"/>
    </row>
    <row r="1260" spans="2:6" x14ac:dyDescent="0.45">
      <c r="B1260" s="1"/>
      <c r="C1260" s="1"/>
      <c r="F1260" s="1"/>
    </row>
    <row r="1261" spans="2:6" x14ac:dyDescent="0.45">
      <c r="B1261" s="1"/>
      <c r="C1261" s="1"/>
      <c r="F1261" s="1"/>
    </row>
    <row r="1262" spans="2:6" x14ac:dyDescent="0.45">
      <c r="B1262" s="1"/>
      <c r="C1262" s="1"/>
      <c r="F1262" s="1"/>
    </row>
    <row r="1263" spans="2:6" x14ac:dyDescent="0.45">
      <c r="B1263" s="1"/>
      <c r="C1263" s="1"/>
      <c r="F1263" s="1"/>
    </row>
    <row r="1264" spans="2:6" x14ac:dyDescent="0.45">
      <c r="B1264" s="1"/>
      <c r="C1264" s="1"/>
      <c r="F1264" s="1"/>
    </row>
    <row r="1265" spans="2:6" x14ac:dyDescent="0.45">
      <c r="B1265" s="1"/>
      <c r="C1265" s="1"/>
      <c r="F1265" s="1"/>
    </row>
    <row r="1266" spans="2:6" x14ac:dyDescent="0.45">
      <c r="B1266" s="1"/>
      <c r="C1266" s="1"/>
      <c r="F1266" s="1"/>
    </row>
    <row r="1267" spans="2:6" x14ac:dyDescent="0.45">
      <c r="B1267" s="1"/>
      <c r="C1267" s="1"/>
      <c r="F1267" s="1"/>
    </row>
    <row r="1268" spans="2:6" x14ac:dyDescent="0.45">
      <c r="B1268" s="1"/>
      <c r="C1268" s="1"/>
      <c r="F1268" s="1"/>
    </row>
    <row r="1269" spans="2:6" x14ac:dyDescent="0.45">
      <c r="B1269" s="1"/>
      <c r="C1269" s="1"/>
      <c r="F1269" s="1"/>
    </row>
    <row r="1270" spans="2:6" x14ac:dyDescent="0.45">
      <c r="B1270" s="1"/>
      <c r="C1270" s="1"/>
      <c r="F1270" s="1"/>
    </row>
    <row r="1271" spans="2:6" x14ac:dyDescent="0.45">
      <c r="B1271" s="1"/>
      <c r="C1271" s="1"/>
      <c r="F1271" s="1"/>
    </row>
    <row r="1272" spans="2:6" x14ac:dyDescent="0.45">
      <c r="B1272" s="1"/>
      <c r="C1272" s="1"/>
      <c r="F1272" s="1"/>
    </row>
    <row r="1273" spans="2:6" x14ac:dyDescent="0.45">
      <c r="B1273" s="1"/>
      <c r="C1273" s="1"/>
      <c r="F1273" s="1"/>
    </row>
    <row r="1274" spans="2:6" x14ac:dyDescent="0.45">
      <c r="B1274" s="1"/>
      <c r="C1274" s="1"/>
      <c r="F1274" s="1"/>
    </row>
    <row r="1275" spans="2:6" x14ac:dyDescent="0.45">
      <c r="B1275" s="1"/>
      <c r="C1275" s="1"/>
      <c r="F1275" s="1"/>
    </row>
    <row r="1276" spans="2:6" x14ac:dyDescent="0.45">
      <c r="B1276" s="1"/>
      <c r="C1276" s="1"/>
      <c r="F1276" s="1"/>
    </row>
    <row r="1277" spans="2:6" x14ac:dyDescent="0.45">
      <c r="B1277" s="1"/>
      <c r="C1277" s="1"/>
      <c r="F1277" s="1"/>
    </row>
    <row r="1278" spans="2:6" x14ac:dyDescent="0.45">
      <c r="B1278" s="1"/>
      <c r="C1278" s="1"/>
      <c r="F1278" s="1"/>
    </row>
    <row r="1279" spans="2:6" x14ac:dyDescent="0.45">
      <c r="B1279" s="1"/>
      <c r="C1279" s="1"/>
      <c r="F1279" s="1"/>
    </row>
    <row r="1280" spans="2:6" x14ac:dyDescent="0.45">
      <c r="B1280" s="1"/>
      <c r="C1280" s="1"/>
      <c r="F1280" s="1"/>
    </row>
    <row r="1281" spans="2:6" x14ac:dyDescent="0.45">
      <c r="B1281" s="1"/>
      <c r="C1281" s="1"/>
      <c r="F1281" s="1"/>
    </row>
    <row r="1282" spans="2:6" x14ac:dyDescent="0.45">
      <c r="B1282" s="1"/>
      <c r="C1282" s="1"/>
      <c r="F1282" s="1"/>
    </row>
    <row r="1283" spans="2:6" x14ac:dyDescent="0.45">
      <c r="B1283" s="1"/>
      <c r="C1283" s="1"/>
      <c r="F1283" s="1"/>
    </row>
    <row r="1284" spans="2:6" x14ac:dyDescent="0.45">
      <c r="B1284" s="1"/>
      <c r="C1284" s="1"/>
      <c r="F1284" s="1"/>
    </row>
    <row r="1285" spans="2:6" x14ac:dyDescent="0.45">
      <c r="B1285" s="1"/>
      <c r="C1285" s="1"/>
      <c r="F1285" s="1"/>
    </row>
    <row r="1286" spans="2:6" x14ac:dyDescent="0.45">
      <c r="B1286" s="1"/>
      <c r="C1286" s="1"/>
      <c r="F1286" s="1"/>
    </row>
    <row r="1287" spans="2:6" x14ac:dyDescent="0.45">
      <c r="B1287" s="1"/>
      <c r="C1287" s="1"/>
      <c r="F1287" s="1"/>
    </row>
    <row r="1288" spans="2:6" x14ac:dyDescent="0.45">
      <c r="B1288" s="1"/>
      <c r="C1288" s="1"/>
      <c r="F1288" s="1"/>
    </row>
    <row r="1289" spans="2:6" x14ac:dyDescent="0.45">
      <c r="B1289" s="1"/>
      <c r="C1289" s="1"/>
      <c r="F1289" s="1"/>
    </row>
    <row r="1290" spans="2:6" x14ac:dyDescent="0.45">
      <c r="B1290" s="1"/>
      <c r="C1290" s="1"/>
      <c r="F1290" s="1"/>
    </row>
    <row r="1291" spans="2:6" x14ac:dyDescent="0.45">
      <c r="B1291" s="1"/>
      <c r="C1291" s="1"/>
      <c r="F1291" s="1"/>
    </row>
    <row r="1292" spans="2:6" x14ac:dyDescent="0.45">
      <c r="B1292" s="1"/>
      <c r="C1292" s="1"/>
      <c r="F1292" s="1"/>
    </row>
    <row r="1293" spans="2:6" x14ac:dyDescent="0.45">
      <c r="B1293" s="1"/>
      <c r="C1293" s="1"/>
      <c r="F1293" s="1"/>
    </row>
    <row r="1294" spans="2:6" x14ac:dyDescent="0.45">
      <c r="B1294" s="1"/>
      <c r="C1294" s="1"/>
      <c r="F1294" s="1"/>
    </row>
    <row r="1295" spans="2:6" x14ac:dyDescent="0.45">
      <c r="B1295" s="1"/>
      <c r="C1295" s="1"/>
      <c r="F1295" s="1"/>
    </row>
    <row r="1296" spans="2:6" x14ac:dyDescent="0.45">
      <c r="B1296" s="1"/>
      <c r="C1296" s="1"/>
      <c r="F1296" s="1"/>
    </row>
    <row r="1297" spans="2:6" x14ac:dyDescent="0.45">
      <c r="B1297" s="1"/>
      <c r="C1297" s="1"/>
      <c r="F1297" s="1"/>
    </row>
    <row r="1298" spans="2:6" x14ac:dyDescent="0.45">
      <c r="B1298" s="1"/>
      <c r="C1298" s="1"/>
      <c r="F1298" s="1"/>
    </row>
    <row r="1299" spans="2:6" x14ac:dyDescent="0.45">
      <c r="B1299" s="1"/>
      <c r="C1299" s="1"/>
      <c r="F1299" s="1"/>
    </row>
    <row r="1300" spans="2:6" x14ac:dyDescent="0.45">
      <c r="B1300" s="1"/>
      <c r="C1300" s="1"/>
      <c r="F1300" s="1"/>
    </row>
    <row r="1301" spans="2:6" x14ac:dyDescent="0.45">
      <c r="B1301" s="1"/>
      <c r="C1301" s="1"/>
      <c r="F1301" s="1"/>
    </row>
    <row r="1302" spans="2:6" x14ac:dyDescent="0.45">
      <c r="B1302" s="1"/>
      <c r="C1302" s="1"/>
      <c r="F1302" s="1"/>
    </row>
    <row r="1303" spans="2:6" x14ac:dyDescent="0.45">
      <c r="B1303" s="1"/>
      <c r="C1303" s="1"/>
      <c r="F1303" s="1"/>
    </row>
    <row r="1304" spans="2:6" x14ac:dyDescent="0.45">
      <c r="B1304" s="1"/>
      <c r="C1304" s="1"/>
      <c r="F1304" s="1"/>
    </row>
    <row r="1305" spans="2:6" x14ac:dyDescent="0.45">
      <c r="B1305" s="1"/>
      <c r="C1305" s="1"/>
      <c r="F1305" s="1"/>
    </row>
    <row r="1306" spans="2:6" x14ac:dyDescent="0.45">
      <c r="B1306" s="1"/>
      <c r="C1306" s="1"/>
      <c r="F1306" s="1"/>
    </row>
    <row r="1307" spans="2:6" x14ac:dyDescent="0.45">
      <c r="B1307" s="1"/>
      <c r="C1307" s="1"/>
      <c r="F1307" s="1"/>
    </row>
    <row r="1308" spans="2:6" x14ac:dyDescent="0.45">
      <c r="B1308" s="1"/>
      <c r="C1308" s="1"/>
      <c r="F1308" s="1"/>
    </row>
    <row r="1309" spans="2:6" x14ac:dyDescent="0.45">
      <c r="B1309" s="1"/>
      <c r="C1309" s="1"/>
      <c r="F1309" s="1"/>
    </row>
    <row r="1310" spans="2:6" x14ac:dyDescent="0.45">
      <c r="B1310" s="1"/>
      <c r="C1310" s="1"/>
      <c r="F1310" s="1"/>
    </row>
    <row r="1311" spans="2:6" x14ac:dyDescent="0.45">
      <c r="B1311" s="1"/>
      <c r="C1311" s="1"/>
      <c r="F1311" s="1"/>
    </row>
    <row r="1312" spans="2:6" x14ac:dyDescent="0.45">
      <c r="B1312" s="1"/>
      <c r="C1312" s="1"/>
      <c r="F1312" s="1"/>
    </row>
    <row r="1313" spans="2:6" x14ac:dyDescent="0.45">
      <c r="B1313" s="1"/>
      <c r="C1313" s="1"/>
      <c r="F1313" s="1"/>
    </row>
    <row r="1314" spans="2:6" x14ac:dyDescent="0.45">
      <c r="B1314" s="1"/>
      <c r="C1314" s="1"/>
      <c r="F1314" s="1"/>
    </row>
    <row r="1315" spans="2:6" x14ac:dyDescent="0.45">
      <c r="B1315" s="1"/>
      <c r="C1315" s="1"/>
      <c r="F1315" s="1"/>
    </row>
    <row r="1316" spans="2:6" x14ac:dyDescent="0.45">
      <c r="B1316" s="1"/>
      <c r="C1316" s="1"/>
      <c r="F1316" s="1"/>
    </row>
    <row r="1317" spans="2:6" x14ac:dyDescent="0.45">
      <c r="B1317" s="1"/>
      <c r="C1317" s="1"/>
      <c r="F1317" s="1"/>
    </row>
    <row r="1318" spans="2:6" x14ac:dyDescent="0.45">
      <c r="B1318" s="1"/>
      <c r="C1318" s="1"/>
      <c r="F1318" s="1"/>
    </row>
    <row r="1319" spans="2:6" x14ac:dyDescent="0.45">
      <c r="B1319" s="1"/>
      <c r="C1319" s="1"/>
      <c r="F1319" s="1"/>
    </row>
    <row r="1320" spans="2:6" x14ac:dyDescent="0.45">
      <c r="B1320" s="1"/>
      <c r="C1320" s="1"/>
      <c r="F1320" s="1"/>
    </row>
    <row r="1321" spans="2:6" x14ac:dyDescent="0.45">
      <c r="B1321" s="1"/>
      <c r="C1321" s="1"/>
      <c r="F1321" s="1"/>
    </row>
    <row r="1322" spans="2:6" x14ac:dyDescent="0.45">
      <c r="B1322" s="1"/>
      <c r="C1322" s="1"/>
      <c r="F1322" s="1"/>
    </row>
    <row r="1323" spans="2:6" x14ac:dyDescent="0.45">
      <c r="B1323" s="1"/>
      <c r="C1323" s="1"/>
      <c r="F1323" s="1"/>
    </row>
    <row r="1324" spans="2:6" x14ac:dyDescent="0.45">
      <c r="B1324" s="1"/>
      <c r="C1324" s="1"/>
      <c r="F1324" s="1"/>
    </row>
    <row r="1325" spans="2:6" x14ac:dyDescent="0.45">
      <c r="B1325" s="1"/>
      <c r="C1325" s="1"/>
      <c r="F1325" s="1"/>
    </row>
    <row r="1326" spans="2:6" x14ac:dyDescent="0.45">
      <c r="B1326" s="1"/>
      <c r="C1326" s="1"/>
      <c r="F1326" s="1"/>
    </row>
    <row r="1327" spans="2:6" x14ac:dyDescent="0.45">
      <c r="B1327" s="1"/>
      <c r="C1327" s="1"/>
      <c r="F1327" s="1"/>
    </row>
    <row r="1328" spans="2:6" x14ac:dyDescent="0.45">
      <c r="B1328" s="1"/>
      <c r="C1328" s="1"/>
      <c r="F1328" s="1"/>
    </row>
    <row r="1329" spans="2:6" x14ac:dyDescent="0.45">
      <c r="B1329" s="1"/>
      <c r="C1329" s="1"/>
      <c r="F1329" s="1"/>
    </row>
    <row r="1330" spans="2:6" x14ac:dyDescent="0.45">
      <c r="B1330" s="1"/>
      <c r="C1330" s="1"/>
      <c r="F1330" s="1"/>
    </row>
    <row r="1331" spans="2:6" x14ac:dyDescent="0.45">
      <c r="B1331" s="1"/>
      <c r="C1331" s="1"/>
      <c r="F1331" s="1"/>
    </row>
    <row r="1332" spans="2:6" x14ac:dyDescent="0.45">
      <c r="B1332" s="1"/>
      <c r="C1332" s="1"/>
      <c r="F1332" s="1"/>
    </row>
    <row r="1333" spans="2:6" x14ac:dyDescent="0.45">
      <c r="B1333" s="1"/>
      <c r="C1333" s="1"/>
      <c r="F1333" s="1"/>
    </row>
    <row r="1334" spans="2:6" x14ac:dyDescent="0.45">
      <c r="B1334" s="1"/>
      <c r="C1334" s="1"/>
      <c r="F1334" s="1"/>
    </row>
    <row r="1335" spans="2:6" x14ac:dyDescent="0.45">
      <c r="B1335" s="1"/>
      <c r="C1335" s="1"/>
      <c r="F1335" s="1"/>
    </row>
    <row r="1336" spans="2:6" x14ac:dyDescent="0.45">
      <c r="B1336" s="1"/>
      <c r="C1336" s="1"/>
      <c r="F1336" s="1"/>
    </row>
    <row r="1337" spans="2:6" x14ac:dyDescent="0.45">
      <c r="B1337" s="1"/>
      <c r="C1337" s="1"/>
      <c r="F1337" s="1"/>
    </row>
    <row r="1338" spans="2:6" x14ac:dyDescent="0.45">
      <c r="B1338" s="1"/>
      <c r="C1338" s="1"/>
      <c r="F1338" s="1"/>
    </row>
    <row r="1339" spans="2:6" x14ac:dyDescent="0.45">
      <c r="B1339" s="1"/>
      <c r="C1339" s="1"/>
      <c r="F1339" s="1"/>
    </row>
    <row r="1340" spans="2:6" x14ac:dyDescent="0.45">
      <c r="B1340" s="1"/>
      <c r="C1340" s="1"/>
      <c r="F1340" s="1"/>
    </row>
    <row r="1341" spans="2:6" x14ac:dyDescent="0.45">
      <c r="B1341" s="1"/>
      <c r="C1341" s="1"/>
      <c r="F1341" s="1"/>
    </row>
    <row r="1342" spans="2:6" x14ac:dyDescent="0.45">
      <c r="B1342" s="1"/>
      <c r="C1342" s="1"/>
      <c r="F1342" s="1"/>
    </row>
    <row r="1343" spans="2:6" x14ac:dyDescent="0.45">
      <c r="B1343" s="1"/>
      <c r="C1343" s="1"/>
      <c r="F1343" s="1"/>
    </row>
    <row r="1344" spans="2:6" x14ac:dyDescent="0.45">
      <c r="B1344" s="1"/>
      <c r="C1344" s="1"/>
      <c r="F1344" s="1"/>
    </row>
    <row r="1345" spans="2:6" x14ac:dyDescent="0.45">
      <c r="B1345" s="1"/>
      <c r="C1345" s="1"/>
      <c r="F1345" s="1"/>
    </row>
    <row r="1346" spans="2:6" x14ac:dyDescent="0.45">
      <c r="B1346" s="1"/>
      <c r="C1346" s="1"/>
      <c r="F1346" s="1"/>
    </row>
    <row r="1347" spans="2:6" x14ac:dyDescent="0.45">
      <c r="B1347" s="1"/>
      <c r="C1347" s="1"/>
      <c r="F1347" s="1"/>
    </row>
    <row r="1348" spans="2:6" x14ac:dyDescent="0.45">
      <c r="B1348" s="1"/>
      <c r="C1348" s="1"/>
      <c r="F1348" s="1"/>
    </row>
    <row r="1349" spans="2:6" x14ac:dyDescent="0.45">
      <c r="B1349" s="1"/>
      <c r="C1349" s="1"/>
      <c r="F1349" s="1"/>
    </row>
    <row r="1350" spans="2:6" x14ac:dyDescent="0.45">
      <c r="B1350" s="1"/>
      <c r="C1350" s="1"/>
      <c r="F1350" s="1"/>
    </row>
    <row r="1351" spans="2:6" x14ac:dyDescent="0.45">
      <c r="B1351" s="1"/>
      <c r="C1351" s="1"/>
      <c r="F1351" s="1"/>
    </row>
    <row r="1352" spans="2:6" x14ac:dyDescent="0.45">
      <c r="B1352" s="1"/>
      <c r="C1352" s="1"/>
      <c r="F1352" s="1"/>
    </row>
    <row r="1353" spans="2:6" x14ac:dyDescent="0.45">
      <c r="B1353" s="1"/>
      <c r="C1353" s="1"/>
      <c r="F1353" s="1"/>
    </row>
    <row r="1354" spans="2:6" x14ac:dyDescent="0.45">
      <c r="B1354" s="1"/>
      <c r="C1354" s="1"/>
      <c r="F1354" s="1"/>
    </row>
    <row r="1355" spans="2:6" x14ac:dyDescent="0.45">
      <c r="B1355" s="1"/>
      <c r="C1355" s="1"/>
      <c r="F1355" s="1"/>
    </row>
    <row r="1356" spans="2:6" x14ac:dyDescent="0.45">
      <c r="B1356" s="1"/>
      <c r="C1356" s="1"/>
      <c r="F1356" s="1"/>
    </row>
    <row r="1357" spans="2:6" x14ac:dyDescent="0.45">
      <c r="B1357" s="1"/>
      <c r="C1357" s="1"/>
      <c r="F1357" s="1"/>
    </row>
    <row r="1358" spans="2:6" x14ac:dyDescent="0.45">
      <c r="B1358" s="1"/>
      <c r="C1358" s="1"/>
      <c r="F1358" s="1"/>
    </row>
    <row r="1359" spans="2:6" x14ac:dyDescent="0.45">
      <c r="B1359" s="1"/>
      <c r="C1359" s="1"/>
      <c r="F1359" s="1"/>
    </row>
    <row r="1360" spans="2:6" x14ac:dyDescent="0.45">
      <c r="B1360" s="1"/>
      <c r="C1360" s="1"/>
      <c r="F1360" s="1"/>
    </row>
    <row r="1361" spans="2:6" x14ac:dyDescent="0.45">
      <c r="B1361" s="1"/>
      <c r="C1361" s="1"/>
      <c r="F1361" s="1"/>
    </row>
    <row r="1362" spans="2:6" x14ac:dyDescent="0.45">
      <c r="B1362" s="1"/>
      <c r="C1362" s="1"/>
      <c r="F1362" s="1"/>
    </row>
    <row r="1363" spans="2:6" x14ac:dyDescent="0.45">
      <c r="B1363" s="1"/>
      <c r="C1363" s="1"/>
      <c r="F1363" s="1"/>
    </row>
    <row r="1364" spans="2:6" x14ac:dyDescent="0.45">
      <c r="B1364" s="1"/>
      <c r="C1364" s="1"/>
      <c r="F1364" s="1"/>
    </row>
    <row r="1365" spans="2:6" x14ac:dyDescent="0.45">
      <c r="B1365" s="1"/>
      <c r="C1365" s="1"/>
      <c r="F1365" s="1"/>
    </row>
    <row r="1366" spans="2:6" x14ac:dyDescent="0.45">
      <c r="B1366" s="1"/>
      <c r="C1366" s="1"/>
      <c r="F1366" s="1"/>
    </row>
    <row r="1367" spans="2:6" x14ac:dyDescent="0.45">
      <c r="B1367" s="1"/>
      <c r="C1367" s="1"/>
      <c r="F1367" s="1"/>
    </row>
    <row r="1368" spans="2:6" x14ac:dyDescent="0.45">
      <c r="B1368" s="1"/>
      <c r="C1368" s="1"/>
      <c r="F1368" s="1"/>
    </row>
    <row r="1369" spans="2:6" x14ac:dyDescent="0.45">
      <c r="B1369" s="1"/>
      <c r="C1369" s="1"/>
      <c r="F1369" s="1"/>
    </row>
    <row r="1370" spans="2:6" x14ac:dyDescent="0.45">
      <c r="B1370" s="1"/>
      <c r="C1370" s="1"/>
      <c r="F1370" s="1"/>
    </row>
    <row r="1371" spans="2:6" x14ac:dyDescent="0.45">
      <c r="B1371" s="1"/>
      <c r="C1371" s="1"/>
      <c r="F1371" s="1"/>
    </row>
    <row r="1372" spans="2:6" x14ac:dyDescent="0.45">
      <c r="B1372" s="1"/>
      <c r="C1372" s="1"/>
      <c r="F1372" s="1"/>
    </row>
    <row r="1373" spans="2:6" x14ac:dyDescent="0.45">
      <c r="B1373" s="1"/>
      <c r="C1373" s="1"/>
      <c r="F1373" s="1"/>
    </row>
    <row r="1374" spans="2:6" x14ac:dyDescent="0.45">
      <c r="B1374" s="1"/>
      <c r="C1374" s="1"/>
      <c r="F1374" s="1"/>
    </row>
    <row r="1375" spans="2:6" x14ac:dyDescent="0.45">
      <c r="B1375" s="1"/>
      <c r="C1375" s="1"/>
      <c r="F1375" s="1"/>
    </row>
    <row r="1376" spans="2:6" x14ac:dyDescent="0.45">
      <c r="B1376" s="1"/>
      <c r="C1376" s="1"/>
      <c r="F1376" s="1"/>
    </row>
    <row r="1377" spans="2:6" x14ac:dyDescent="0.45">
      <c r="B1377" s="1"/>
      <c r="C1377" s="1"/>
      <c r="F1377" s="1"/>
    </row>
    <row r="1378" spans="2:6" x14ac:dyDescent="0.45">
      <c r="B1378" s="1"/>
      <c r="C1378" s="1"/>
      <c r="F1378" s="1"/>
    </row>
    <row r="1379" spans="2:6" x14ac:dyDescent="0.45">
      <c r="B1379" s="1"/>
      <c r="C1379" s="1"/>
      <c r="F1379" s="1"/>
    </row>
    <row r="1380" spans="2:6" x14ac:dyDescent="0.45">
      <c r="B1380" s="1"/>
      <c r="C1380" s="1"/>
      <c r="F1380" s="1"/>
    </row>
    <row r="1381" spans="2:6" x14ac:dyDescent="0.45">
      <c r="B1381" s="1"/>
      <c r="C1381" s="1"/>
      <c r="F1381" s="1"/>
    </row>
    <row r="1382" spans="2:6" x14ac:dyDescent="0.45">
      <c r="B1382" s="1"/>
      <c r="C1382" s="1"/>
      <c r="F1382" s="1"/>
    </row>
    <row r="1383" spans="2:6" x14ac:dyDescent="0.45">
      <c r="B1383" s="1"/>
      <c r="C1383" s="1"/>
      <c r="F1383" s="1"/>
    </row>
    <row r="1384" spans="2:6" x14ac:dyDescent="0.45">
      <c r="B1384" s="1"/>
      <c r="C1384" s="1"/>
      <c r="F1384" s="1"/>
    </row>
    <row r="1385" spans="2:6" x14ac:dyDescent="0.45">
      <c r="B1385" s="1"/>
      <c r="C1385" s="1"/>
      <c r="F1385" s="1"/>
    </row>
    <row r="1386" spans="2:6" x14ac:dyDescent="0.45">
      <c r="B1386" s="1"/>
      <c r="C1386" s="1"/>
      <c r="F1386" s="1"/>
    </row>
    <row r="1387" spans="2:6" x14ac:dyDescent="0.45">
      <c r="B1387" s="1"/>
      <c r="C1387" s="1"/>
      <c r="F1387" s="1"/>
    </row>
    <row r="1388" spans="2:6" x14ac:dyDescent="0.45">
      <c r="B1388" s="1"/>
      <c r="C1388" s="1"/>
      <c r="F1388" s="1"/>
    </row>
    <row r="1389" spans="2:6" x14ac:dyDescent="0.45">
      <c r="B1389" s="1"/>
      <c r="C1389" s="1"/>
      <c r="F1389" s="1"/>
    </row>
    <row r="1390" spans="2:6" x14ac:dyDescent="0.45">
      <c r="B1390" s="1"/>
      <c r="C1390" s="1"/>
      <c r="F1390" s="1"/>
    </row>
    <row r="1391" spans="2:6" x14ac:dyDescent="0.45">
      <c r="B1391" s="1"/>
      <c r="C1391" s="1"/>
      <c r="F1391" s="1"/>
    </row>
    <row r="1392" spans="2:6" x14ac:dyDescent="0.45">
      <c r="B1392" s="1"/>
      <c r="C1392" s="1"/>
      <c r="F1392" s="1"/>
    </row>
    <row r="1393" spans="2:6" x14ac:dyDescent="0.45">
      <c r="B1393" s="1"/>
      <c r="C1393" s="1"/>
      <c r="F1393" s="1"/>
    </row>
    <row r="1394" spans="2:6" x14ac:dyDescent="0.45">
      <c r="B1394" s="1"/>
      <c r="C1394" s="1"/>
      <c r="F1394" s="1"/>
    </row>
    <row r="1395" spans="2:6" x14ac:dyDescent="0.45">
      <c r="B1395" s="1"/>
      <c r="C1395" s="1"/>
      <c r="F1395" s="1"/>
    </row>
    <row r="1396" spans="2:6" x14ac:dyDescent="0.45">
      <c r="B1396" s="1"/>
      <c r="C1396" s="1"/>
      <c r="F1396" s="1"/>
    </row>
    <row r="1397" spans="2:6" x14ac:dyDescent="0.45">
      <c r="B1397" s="1"/>
      <c r="C1397" s="1"/>
      <c r="F1397" s="1"/>
    </row>
    <row r="1398" spans="2:6" x14ac:dyDescent="0.45">
      <c r="B1398" s="1"/>
      <c r="C1398" s="1"/>
      <c r="F1398" s="1"/>
    </row>
    <row r="1399" spans="2:6" x14ac:dyDescent="0.45">
      <c r="B1399" s="1"/>
      <c r="C1399" s="1"/>
      <c r="F1399" s="1"/>
    </row>
    <row r="1400" spans="2:6" x14ac:dyDescent="0.45">
      <c r="B1400" s="1"/>
      <c r="C1400" s="1"/>
      <c r="F1400" s="1"/>
    </row>
    <row r="1401" spans="2:6" x14ac:dyDescent="0.45">
      <c r="B1401" s="1"/>
      <c r="C1401" s="1"/>
      <c r="F1401" s="1"/>
    </row>
    <row r="1402" spans="2:6" x14ac:dyDescent="0.45">
      <c r="B1402" s="1"/>
      <c r="C1402" s="1"/>
      <c r="F1402" s="1"/>
    </row>
    <row r="1403" spans="2:6" x14ac:dyDescent="0.45">
      <c r="B1403" s="1"/>
      <c r="C1403" s="1"/>
      <c r="F1403" s="1"/>
    </row>
    <row r="1404" spans="2:6" x14ac:dyDescent="0.45">
      <c r="B1404" s="1"/>
      <c r="C1404" s="1"/>
      <c r="F1404" s="1"/>
    </row>
    <row r="1405" spans="2:6" x14ac:dyDescent="0.45">
      <c r="B1405" s="1"/>
      <c r="C1405" s="1"/>
      <c r="F1405" s="1"/>
    </row>
    <row r="1406" spans="2:6" x14ac:dyDescent="0.45">
      <c r="B1406" s="1"/>
      <c r="C1406" s="1"/>
      <c r="F1406" s="1"/>
    </row>
    <row r="1407" spans="2:6" x14ac:dyDescent="0.45">
      <c r="B1407" s="1"/>
      <c r="C1407" s="1"/>
      <c r="F1407" s="1"/>
    </row>
    <row r="1408" spans="2:6" x14ac:dyDescent="0.45">
      <c r="B1408" s="1"/>
      <c r="C1408" s="1"/>
      <c r="F1408" s="1"/>
    </row>
    <row r="1409" spans="2:6" x14ac:dyDescent="0.45">
      <c r="B1409" s="1"/>
      <c r="C1409" s="1"/>
      <c r="F1409" s="1"/>
    </row>
    <row r="1410" spans="2:6" x14ac:dyDescent="0.45">
      <c r="B1410" s="1"/>
      <c r="C1410" s="1"/>
      <c r="F1410" s="1"/>
    </row>
    <row r="1411" spans="2:6" x14ac:dyDescent="0.45">
      <c r="B1411" s="1"/>
      <c r="C1411" s="1"/>
      <c r="F1411" s="1"/>
    </row>
    <row r="1412" spans="2:6" x14ac:dyDescent="0.45">
      <c r="B1412" s="1"/>
      <c r="C1412" s="1"/>
      <c r="F1412" s="1"/>
    </row>
    <row r="1413" spans="2:6" x14ac:dyDescent="0.45">
      <c r="B1413" s="1"/>
      <c r="C1413" s="1"/>
      <c r="F1413" s="1"/>
    </row>
    <row r="1414" spans="2:6" x14ac:dyDescent="0.45">
      <c r="B1414" s="1"/>
      <c r="C1414" s="1"/>
      <c r="F1414" s="1"/>
    </row>
    <row r="1415" spans="2:6" x14ac:dyDescent="0.45">
      <c r="B1415" s="1"/>
      <c r="C1415" s="1"/>
      <c r="F1415" s="1"/>
    </row>
    <row r="1416" spans="2:6" x14ac:dyDescent="0.45">
      <c r="B1416" s="1"/>
      <c r="C1416" s="1"/>
      <c r="F1416" s="1"/>
    </row>
    <row r="1417" spans="2:6" x14ac:dyDescent="0.45">
      <c r="B1417" s="1"/>
      <c r="C1417" s="1"/>
      <c r="F1417" s="1"/>
    </row>
    <row r="1418" spans="2:6" x14ac:dyDescent="0.45">
      <c r="B1418" s="1"/>
      <c r="C1418" s="1"/>
      <c r="F1418" s="1"/>
    </row>
    <row r="1419" spans="2:6" x14ac:dyDescent="0.45">
      <c r="B1419" s="1"/>
      <c r="C1419" s="1"/>
      <c r="F1419" s="1"/>
    </row>
    <row r="1420" spans="2:6" x14ac:dyDescent="0.45">
      <c r="B1420" s="1"/>
      <c r="C1420" s="1"/>
      <c r="F1420" s="1"/>
    </row>
    <row r="1421" spans="2:6" x14ac:dyDescent="0.45">
      <c r="B1421" s="1"/>
      <c r="C1421" s="1"/>
      <c r="F1421" s="1"/>
    </row>
    <row r="1422" spans="2:6" x14ac:dyDescent="0.45">
      <c r="B1422" s="1"/>
      <c r="C1422" s="1"/>
      <c r="F1422" s="1"/>
    </row>
    <row r="1423" spans="2:6" x14ac:dyDescent="0.45">
      <c r="B1423" s="1"/>
      <c r="C1423" s="1"/>
      <c r="F1423" s="1"/>
    </row>
    <row r="1424" spans="2:6" x14ac:dyDescent="0.45">
      <c r="B1424" s="1"/>
      <c r="C1424" s="1"/>
      <c r="F1424" s="1"/>
    </row>
    <row r="1425" spans="2:6" x14ac:dyDescent="0.45">
      <c r="B1425" s="1"/>
      <c r="C1425" s="1"/>
      <c r="F1425" s="1"/>
    </row>
    <row r="1426" spans="2:6" x14ac:dyDescent="0.45">
      <c r="B1426" s="1"/>
      <c r="C1426" s="1"/>
      <c r="F1426" s="1"/>
    </row>
    <row r="1427" spans="2:6" x14ac:dyDescent="0.45">
      <c r="B1427" s="1"/>
      <c r="C1427" s="1"/>
      <c r="F1427" s="1"/>
    </row>
    <row r="1428" spans="2:6" x14ac:dyDescent="0.45">
      <c r="B1428" s="1"/>
      <c r="C1428" s="1"/>
      <c r="F1428" s="1"/>
    </row>
    <row r="1429" spans="2:6" x14ac:dyDescent="0.45">
      <c r="B1429" s="1"/>
      <c r="C1429" s="1"/>
      <c r="F1429" s="1"/>
    </row>
    <row r="1430" spans="2:6" x14ac:dyDescent="0.45">
      <c r="B1430" s="1"/>
      <c r="C1430" s="1"/>
      <c r="F1430" s="1"/>
    </row>
    <row r="1431" spans="2:6" x14ac:dyDescent="0.45">
      <c r="B1431" s="1"/>
      <c r="C1431" s="1"/>
      <c r="F1431" s="1"/>
    </row>
    <row r="1432" spans="2:6" x14ac:dyDescent="0.45">
      <c r="B1432" s="1"/>
      <c r="C1432" s="1"/>
      <c r="F1432" s="1"/>
    </row>
    <row r="1433" spans="2:6" x14ac:dyDescent="0.45">
      <c r="B1433" s="1"/>
      <c r="C1433" s="1"/>
      <c r="F1433" s="1"/>
    </row>
    <row r="1434" spans="2:6" x14ac:dyDescent="0.45">
      <c r="B1434" s="1"/>
      <c r="C1434" s="1"/>
      <c r="F1434" s="1"/>
    </row>
    <row r="6109" spans="2:2" x14ac:dyDescent="0.45">
      <c r="B6109" s="9"/>
    </row>
    <row r="6110" spans="2:2" x14ac:dyDescent="0.45">
      <c r="B6110" s="9"/>
    </row>
    <row r="6111" spans="2:2" x14ac:dyDescent="0.45">
      <c r="B6111" s="9"/>
    </row>
    <row r="6112" spans="2:2" x14ac:dyDescent="0.45">
      <c r="B6112" s="9"/>
    </row>
    <row r="6113" spans="2:2" x14ac:dyDescent="0.45">
      <c r="B6113" s="9"/>
    </row>
    <row r="6114" spans="2:2" x14ac:dyDescent="0.45">
      <c r="B6114" s="9"/>
    </row>
    <row r="6115" spans="2:2" x14ac:dyDescent="0.45">
      <c r="B6115" s="9"/>
    </row>
    <row r="6116" spans="2:2" x14ac:dyDescent="0.45">
      <c r="B6116" s="9"/>
    </row>
    <row r="6117" spans="2:2" x14ac:dyDescent="0.45">
      <c r="B6117" s="9"/>
    </row>
    <row r="6118" spans="2:2" x14ac:dyDescent="0.45">
      <c r="B6118" s="9"/>
    </row>
    <row r="6119" spans="2:2" x14ac:dyDescent="0.45">
      <c r="B6119" s="9"/>
    </row>
    <row r="6120" spans="2:2" x14ac:dyDescent="0.45">
      <c r="B6120" s="9"/>
    </row>
    <row r="6121" spans="2:2" x14ac:dyDescent="0.45">
      <c r="B6121" s="9"/>
    </row>
    <row r="6122" spans="2:2" x14ac:dyDescent="0.45">
      <c r="B6122" s="9"/>
    </row>
    <row r="6123" spans="2:2" x14ac:dyDescent="0.45">
      <c r="B6123" s="9"/>
    </row>
    <row r="6124" spans="2:2" x14ac:dyDescent="0.45">
      <c r="B6124" s="9"/>
    </row>
    <row r="6125" spans="2:2" x14ac:dyDescent="0.45">
      <c r="B6125" s="9"/>
    </row>
    <row r="6126" spans="2:2" x14ac:dyDescent="0.45">
      <c r="B6126" s="9"/>
    </row>
    <row r="6127" spans="2:2" x14ac:dyDescent="0.45">
      <c r="B6127" s="9"/>
    </row>
    <row r="6128" spans="2:2" x14ac:dyDescent="0.45">
      <c r="B6128" s="9"/>
    </row>
    <row r="6129" spans="2:2" x14ac:dyDescent="0.45">
      <c r="B6129" s="9"/>
    </row>
    <row r="6130" spans="2:2" x14ac:dyDescent="0.45">
      <c r="B6130" s="9"/>
    </row>
    <row r="6131" spans="2:2" x14ac:dyDescent="0.45">
      <c r="B6131" s="9"/>
    </row>
    <row r="6132" spans="2:2" x14ac:dyDescent="0.45">
      <c r="B6132" s="9"/>
    </row>
    <row r="6133" spans="2:2" x14ac:dyDescent="0.45">
      <c r="B6133" s="9"/>
    </row>
    <row r="6134" spans="2:2" x14ac:dyDescent="0.45">
      <c r="B6134" s="9"/>
    </row>
    <row r="6135" spans="2:2" x14ac:dyDescent="0.45">
      <c r="B6135" s="9"/>
    </row>
  </sheetData>
  <phoneticPr fontId="8" type="noConversion"/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60066"/>
  </sheetPr>
  <dimension ref="A1:AD2609"/>
  <sheetViews>
    <sheetView tabSelected="1" zoomScale="110" zoomScaleNormal="110" workbookViewId="0">
      <pane xSplit="4" ySplit="1" topLeftCell="E239" activePane="bottomRight" state="frozen"/>
      <selection pane="topRight" activeCell="E1" sqref="E1"/>
      <selection pane="bottomLeft" activeCell="A2" sqref="A2"/>
      <selection pane="bottomRight" activeCell="W267" sqref="W267"/>
    </sheetView>
  </sheetViews>
  <sheetFormatPr defaultColWidth="8.85546875" defaultRowHeight="20.100000000000001" customHeight="1" x14ac:dyDescent="0.25"/>
  <cols>
    <col min="1" max="2" width="11.85546875" style="30" customWidth="1"/>
    <col min="3" max="3" width="11.85546875" style="98" customWidth="1"/>
    <col min="4" max="4" width="23.85546875" style="27" customWidth="1"/>
    <col min="5" max="5" width="14.140625" style="27" customWidth="1"/>
    <col min="6" max="6" width="17.42578125" style="30" customWidth="1"/>
    <col min="7" max="7" width="18" style="30" customWidth="1"/>
    <col min="8" max="8" width="16" style="30" customWidth="1"/>
    <col min="9" max="9" width="11.42578125" style="28" bestFit="1" customWidth="1"/>
    <col min="10" max="10" width="29.42578125" style="35" customWidth="1"/>
    <col min="11" max="11" width="8.140625" style="30" bestFit="1" customWidth="1"/>
    <col min="12" max="12" width="13.42578125" style="104" bestFit="1" customWidth="1"/>
    <col min="13" max="13" width="12.42578125" style="31" bestFit="1" customWidth="1"/>
    <col min="14" max="14" width="11.140625" style="31" bestFit="1" customWidth="1"/>
    <col min="15" max="16" width="8.85546875" style="30"/>
    <col min="17" max="18" width="8.85546875" style="33" hidden="1" customWidth="1"/>
    <col min="19" max="19" width="9.42578125" style="33" hidden="1" customWidth="1"/>
    <col min="20" max="20" width="11.5703125" style="33" hidden="1" customWidth="1"/>
    <col min="21" max="21" width="11.140625" style="33" hidden="1" customWidth="1"/>
    <col min="22" max="22" width="8.85546875" style="33" hidden="1" customWidth="1"/>
    <col min="23" max="30" width="8.85546875" style="33"/>
    <col min="31" max="16384" width="8.85546875" style="30"/>
  </cols>
  <sheetData>
    <row r="1" spans="1:30" s="25" customFormat="1" ht="20.100000000000001" customHeight="1" x14ac:dyDescent="0.25">
      <c r="A1" s="18" t="s">
        <v>33</v>
      </c>
      <c r="B1" s="18" t="s">
        <v>34</v>
      </c>
      <c r="C1" s="96" t="s">
        <v>0</v>
      </c>
      <c r="D1" s="17" t="s">
        <v>44</v>
      </c>
      <c r="E1" s="17" t="s">
        <v>251</v>
      </c>
      <c r="F1" s="22" t="s">
        <v>35</v>
      </c>
      <c r="G1" s="22" t="s">
        <v>7</v>
      </c>
      <c r="H1" s="22" t="s">
        <v>38</v>
      </c>
      <c r="I1" s="17" t="s">
        <v>61</v>
      </c>
      <c r="J1" s="18" t="s">
        <v>36</v>
      </c>
      <c r="K1" s="18" t="s">
        <v>37</v>
      </c>
      <c r="L1" s="103" t="s">
        <v>252</v>
      </c>
      <c r="M1" s="24" t="s">
        <v>45</v>
      </c>
      <c r="N1" s="24" t="s">
        <v>46</v>
      </c>
      <c r="Q1" s="19" t="s">
        <v>0</v>
      </c>
      <c r="R1" s="19" t="s">
        <v>34</v>
      </c>
      <c r="S1" s="19" t="s">
        <v>44</v>
      </c>
      <c r="T1" s="19" t="s">
        <v>58</v>
      </c>
      <c r="U1" s="19" t="s">
        <v>59</v>
      </c>
      <c r="V1" s="19" t="s">
        <v>60</v>
      </c>
      <c r="W1" s="19"/>
      <c r="X1" s="19"/>
      <c r="Y1" s="19"/>
      <c r="Z1" s="19"/>
      <c r="AA1" s="19"/>
      <c r="AB1" s="19"/>
      <c r="AC1" s="19"/>
      <c r="AD1" s="19"/>
    </row>
    <row r="2" spans="1:30" ht="20.100000000000001" customHeight="1" x14ac:dyDescent="0.25">
      <c r="A2" s="26">
        <f>YEAR(C2)</f>
        <v>2026</v>
      </c>
      <c r="B2" s="26">
        <f>MONTH(C2)</f>
        <v>1</v>
      </c>
      <c r="C2" s="20">
        <v>46024</v>
      </c>
      <c r="D2" s="21" t="s">
        <v>78</v>
      </c>
      <c r="E2" s="27" t="s">
        <v>147</v>
      </c>
      <c r="F2" s="23" t="str">
        <f>VLOOKUP(E2,Customers[],2,FALSE)</f>
        <v>အန်တီရှမ်း</v>
      </c>
      <c r="G2" s="23" t="str">
        <f>VLOOKUP(E2,Customers[],3,FALSE)</f>
        <v>မြို့သစ်</v>
      </c>
      <c r="H2" s="23" t="str">
        <f>VLOOKUP(E2,Customers[],4,FALSE)</f>
        <v>မိတ္ထီလာ</v>
      </c>
      <c r="I2" s="28" t="s">
        <v>151</v>
      </c>
      <c r="J2" s="29" t="str">
        <f>VLOOKUP(I2,PGStock[],2,FALSE)</f>
        <v>Ngwe Taung  700ml</v>
      </c>
      <c r="K2" s="30">
        <f>VLOOKUP(I2,PGStock[],3,FALSE)</f>
        <v>0.7</v>
      </c>
      <c r="L2" s="104">
        <v>4</v>
      </c>
      <c r="M2" s="31">
        <f>VLOOKUP(I2,PGStock[],6,FALSE)</f>
        <v>150</v>
      </c>
      <c r="N2" s="31">
        <f>+Table8[[#This Row],[SalesBot]]*Table8[[#This Row],[Bonus]]</f>
        <v>600</v>
      </c>
      <c r="Q2" s="32">
        <f>Table8[[#This Row],[Date]]</f>
        <v>46024</v>
      </c>
      <c r="R2" s="33" t="str">
        <f>TEXT(Q2,"mmm'yy")</f>
        <v>Jan'26</v>
      </c>
      <c r="S2" s="32" t="str">
        <f>Table8[[#This Row],[PG Name]]</f>
        <v>ဖြိုးစန္ဒာကျော်</v>
      </c>
      <c r="T2" s="33" t="str">
        <f>Table8[[#This Row],[ကုန်သည်အမည်]]</f>
        <v>အန်တီရှမ်း</v>
      </c>
      <c r="U2" s="33" t="str">
        <f>Table8[[#This Row],[Column2]]</f>
        <v>700-NT</v>
      </c>
      <c r="V2" s="34">
        <f>Table8[[#This Row],[SalesBot]]</f>
        <v>4</v>
      </c>
    </row>
    <row r="3" spans="1:30" ht="20.100000000000001" customHeight="1" x14ac:dyDescent="0.25">
      <c r="A3" s="26">
        <f>YEAR(C3)</f>
        <v>2026</v>
      </c>
      <c r="B3" s="26">
        <f>MONTH(C3)</f>
        <v>1</v>
      </c>
      <c r="C3" s="20">
        <v>46024</v>
      </c>
      <c r="D3" s="21" t="s">
        <v>166</v>
      </c>
      <c r="E3" s="27" t="s">
        <v>167</v>
      </c>
      <c r="F3" s="23" t="str">
        <f>VLOOKUP(E3,Customers[],2,FALSE)</f>
        <v>အရှေ့တိုင်း</v>
      </c>
      <c r="G3" s="23" t="str">
        <f>VLOOKUP(E3,Customers[],3,FALSE)</f>
        <v>စည်သူရပ်</v>
      </c>
      <c r="H3" s="23" t="str">
        <f>VLOOKUP(E3,Customers[],4,FALSE)</f>
        <v>မိတ္ထီလာ</v>
      </c>
      <c r="I3" s="28" t="s">
        <v>151</v>
      </c>
      <c r="J3" s="29" t="str">
        <f>VLOOKUP(I3,PGStock[],2,FALSE)</f>
        <v>Ngwe Taung  700ml</v>
      </c>
      <c r="K3" s="30">
        <f>VLOOKUP(I3,PGStock[],3,FALSE)</f>
        <v>0.7</v>
      </c>
      <c r="L3" s="104">
        <v>9</v>
      </c>
      <c r="M3" s="31">
        <f>VLOOKUP(I3,PGStock[],6,FALSE)</f>
        <v>150</v>
      </c>
      <c r="N3" s="31">
        <f>+Table8[[#This Row],[SalesBot]]*Table8[[#This Row],[Bonus]]</f>
        <v>1350</v>
      </c>
      <c r="Q3" s="32">
        <f>Table8[[#This Row],[Date]]</f>
        <v>46024</v>
      </c>
      <c r="R3" s="33" t="str">
        <f t="shared" ref="R3:R5" si="0">TEXT(Q3,"mmm'yy")</f>
        <v>Jan'26</v>
      </c>
      <c r="S3" s="32" t="str">
        <f>Table8[[#This Row],[PG Name]]</f>
        <v>ဇွန်ပန်းခိုင်</v>
      </c>
      <c r="T3" s="33" t="str">
        <f>Table8[[#This Row],[ကုန်သည်အမည်]]</f>
        <v>အရှေ့တိုင်း</v>
      </c>
      <c r="U3" s="33" t="str">
        <f>Table8[[#This Row],[Column2]]</f>
        <v>700-NT</v>
      </c>
      <c r="V3" s="34">
        <f>Table8[[#This Row],[SalesBot]]</f>
        <v>9</v>
      </c>
    </row>
    <row r="4" spans="1:30" ht="20.100000000000001" customHeight="1" x14ac:dyDescent="0.25">
      <c r="A4" s="26">
        <f>YEAR(C4)</f>
        <v>2026</v>
      </c>
      <c r="B4" s="26">
        <f>MONTH(C4)</f>
        <v>1</v>
      </c>
      <c r="C4" s="20">
        <v>46024</v>
      </c>
      <c r="D4" s="21" t="s">
        <v>165</v>
      </c>
      <c r="E4" s="27" t="s">
        <v>256</v>
      </c>
      <c r="F4" s="23" t="str">
        <f>VLOOKUP(E4,Customers[],2,FALSE)</f>
        <v>ကမ္ဘာသစ်</v>
      </c>
      <c r="G4" s="23" t="str">
        <f>VLOOKUP(E4,Customers[],3,FALSE)</f>
        <v>မြို့သစ်</v>
      </c>
      <c r="H4" s="23" t="str">
        <f>VLOOKUP(E4,Customers[],4,FALSE)</f>
        <v>မိတ္ထီလာ</v>
      </c>
      <c r="I4" s="28" t="s">
        <v>151</v>
      </c>
      <c r="J4" s="29" t="str">
        <f>VLOOKUP(I4,PGStock[],2,FALSE)</f>
        <v>Ngwe Taung  700ml</v>
      </c>
      <c r="K4" s="30">
        <f>VLOOKUP(I4,PGStock[],3,FALSE)</f>
        <v>0.7</v>
      </c>
      <c r="L4" s="104">
        <v>10</v>
      </c>
      <c r="M4" s="31">
        <f>VLOOKUP(I4,PGStock[],6,FALSE)</f>
        <v>150</v>
      </c>
      <c r="N4" s="31">
        <f>+Table8[[#This Row],[SalesBot]]*Table8[[#This Row],[Bonus]]</f>
        <v>1500</v>
      </c>
      <c r="Q4" s="32">
        <f>Table8[[#This Row],[Date]]</f>
        <v>46024</v>
      </c>
      <c r="R4" s="33" t="str">
        <f t="shared" si="0"/>
        <v>Jan'26</v>
      </c>
      <c r="S4" s="32" t="str">
        <f>Table8[[#This Row],[PG Name]]</f>
        <v>သင်းသင်းစိုး</v>
      </c>
      <c r="T4" s="33" t="str">
        <f>Table8[[#This Row],[ကုန်သည်အမည်]]</f>
        <v>ကမ္ဘာသစ်</v>
      </c>
      <c r="U4" s="33" t="str">
        <f>Table8[[#This Row],[Column2]]</f>
        <v>700-NT</v>
      </c>
      <c r="V4" s="34">
        <f>Table8[[#This Row],[SalesBot]]</f>
        <v>10</v>
      </c>
    </row>
    <row r="5" spans="1:30" ht="20.100000000000001" customHeight="1" x14ac:dyDescent="0.25">
      <c r="A5" s="26">
        <f>YEAR(C5)</f>
        <v>2026</v>
      </c>
      <c r="B5" s="26">
        <f>MONTH(C5)</f>
        <v>1</v>
      </c>
      <c r="C5" s="20">
        <v>46024</v>
      </c>
      <c r="D5" s="21" t="s">
        <v>187</v>
      </c>
      <c r="E5" s="27" t="s">
        <v>170</v>
      </c>
      <c r="F5" s="23" t="str">
        <f>VLOOKUP(E5,Customers[],2,FALSE)</f>
        <v>စိန်ရွှေ</v>
      </c>
      <c r="G5" s="23" t="str">
        <f>VLOOKUP(E5,Customers[],3,FALSE)</f>
        <v>မြို့သစ်</v>
      </c>
      <c r="H5" s="23" t="str">
        <f>VLOOKUP(E5,Customers[],4,FALSE)</f>
        <v>မိတ္ထီလာ</v>
      </c>
      <c r="I5" s="28" t="s">
        <v>151</v>
      </c>
      <c r="J5" s="29" t="str">
        <f>VLOOKUP(I5,PGStock[],2,FALSE)</f>
        <v>Ngwe Taung  700ml</v>
      </c>
      <c r="K5" s="30">
        <f>VLOOKUP(I5,PGStock[],3,FALSE)</f>
        <v>0.7</v>
      </c>
      <c r="L5" s="104">
        <v>2</v>
      </c>
      <c r="M5" s="31">
        <f>VLOOKUP(I5,PGStock[],6,FALSE)</f>
        <v>150</v>
      </c>
      <c r="N5" s="31">
        <f>+Table8[[#This Row],[SalesBot]]*Table8[[#This Row],[Bonus]]</f>
        <v>300</v>
      </c>
      <c r="Q5" s="32">
        <f>Table8[[#This Row],[Date]]</f>
        <v>46024</v>
      </c>
      <c r="R5" s="33" t="str">
        <f t="shared" si="0"/>
        <v>Jan'26</v>
      </c>
      <c r="S5" s="32" t="str">
        <f>Table8[[#This Row],[PG Name]]</f>
        <v>မေမိုးသူ</v>
      </c>
      <c r="T5" s="33" t="str">
        <f>Table8[[#This Row],[ကုန်သည်အမည်]]</f>
        <v>စိန်ရွှေ</v>
      </c>
      <c r="U5" s="33" t="str">
        <f>Table8[[#This Row],[Column2]]</f>
        <v>700-NT</v>
      </c>
      <c r="V5" s="34">
        <f>Table8[[#This Row],[SalesBot]]</f>
        <v>2</v>
      </c>
    </row>
    <row r="6" spans="1:30" ht="20.100000000000001" customHeight="1" x14ac:dyDescent="0.25">
      <c r="A6" s="26">
        <f t="shared" ref="A6:A8" si="1">YEAR(C6)</f>
        <v>2026</v>
      </c>
      <c r="B6" s="26">
        <f t="shared" ref="B6:B8" si="2">MONTH(C6)</f>
        <v>1</v>
      </c>
      <c r="C6" s="20">
        <v>46024</v>
      </c>
      <c r="D6" s="21" t="s">
        <v>192</v>
      </c>
      <c r="E6" s="27" t="s">
        <v>149</v>
      </c>
      <c r="F6" s="23" t="str">
        <f>VLOOKUP(E6,Customers[],2,FALSE)</f>
        <v>သဇင်ဖြူ</v>
      </c>
      <c r="G6" s="23" t="str">
        <f>VLOOKUP(E6,Customers[],3,FALSE)</f>
        <v>မြို့သစ်</v>
      </c>
      <c r="H6" s="23" t="str">
        <f>VLOOKUP(E6,Customers[],4,FALSE)</f>
        <v>မိတ္ထီလာ</v>
      </c>
      <c r="I6" s="28" t="s">
        <v>151</v>
      </c>
      <c r="J6" s="35" t="str">
        <f>VLOOKUP(I6,PGStock[],2,FALSE)</f>
        <v>Ngwe Taung  700ml</v>
      </c>
      <c r="K6" s="30">
        <f>VLOOKUP(I6,PGStock[],3,FALSE)</f>
        <v>0.7</v>
      </c>
      <c r="L6" s="104">
        <v>7</v>
      </c>
      <c r="M6" s="31">
        <f>VLOOKUP(I6,PGStock[],6,FALSE)</f>
        <v>150</v>
      </c>
      <c r="N6" s="31">
        <f>+Table8[[#This Row],[SalesBot]]*Table8[[#This Row],[Bonus]]</f>
        <v>1050</v>
      </c>
    </row>
    <row r="7" spans="1:30" ht="20.100000000000001" customHeight="1" x14ac:dyDescent="0.25">
      <c r="A7" s="26">
        <f t="shared" si="1"/>
        <v>2026</v>
      </c>
      <c r="B7" s="26">
        <f t="shared" si="2"/>
        <v>1</v>
      </c>
      <c r="C7" s="20">
        <v>46024</v>
      </c>
      <c r="D7" s="21" t="s">
        <v>213</v>
      </c>
      <c r="E7" s="27" t="s">
        <v>148</v>
      </c>
      <c r="F7" s="23" t="str">
        <f>VLOOKUP(E7,Customers[],2,FALSE)</f>
        <v>7-Colour</v>
      </c>
      <c r="G7" s="23" t="str">
        <f>VLOOKUP(E7,Customers[],3,FALSE)</f>
        <v>မြို့သစ်</v>
      </c>
      <c r="H7" s="23" t="str">
        <f>VLOOKUP(E7,Customers[],4,FALSE)</f>
        <v>မိတ္ထီလာ</v>
      </c>
      <c r="I7" s="28" t="s">
        <v>151</v>
      </c>
      <c r="J7" s="35" t="str">
        <f>VLOOKUP(I7,PGStock[],2,FALSE)</f>
        <v>Ngwe Taung  700ml</v>
      </c>
      <c r="K7" s="30">
        <f>VLOOKUP(I7,PGStock[],3,FALSE)</f>
        <v>0.7</v>
      </c>
      <c r="L7" s="104">
        <v>2</v>
      </c>
      <c r="M7" s="31">
        <f>VLOOKUP(I7,PGStock[],6,FALSE)</f>
        <v>150</v>
      </c>
      <c r="N7" s="31">
        <f>+Table8[[#This Row],[SalesBot]]*Table8[[#This Row],[Bonus]]</f>
        <v>300</v>
      </c>
    </row>
    <row r="8" spans="1:30" ht="20.100000000000001" customHeight="1" x14ac:dyDescent="0.25">
      <c r="A8" s="26">
        <f t="shared" si="1"/>
        <v>2026</v>
      </c>
      <c r="B8" s="26">
        <f t="shared" si="2"/>
        <v>1</v>
      </c>
      <c r="C8" s="20">
        <v>46024</v>
      </c>
      <c r="D8" s="21" t="s">
        <v>258</v>
      </c>
      <c r="E8" s="27" t="s">
        <v>146</v>
      </c>
      <c r="F8" s="23" t="str">
        <f>VLOOKUP(E8,Customers[],2,FALSE)</f>
        <v>ရွှေမြင့်မိုရ်</v>
      </c>
      <c r="G8" s="23" t="str">
        <f>VLOOKUP(E8,Customers[],3,FALSE)</f>
        <v>မြို့သစ်</v>
      </c>
      <c r="H8" s="23" t="str">
        <f>VLOOKUP(E8,Customers[],4,FALSE)</f>
        <v>မိတ္ထီလာ</v>
      </c>
      <c r="I8" s="28" t="s">
        <v>151</v>
      </c>
      <c r="J8" s="35" t="str">
        <f>VLOOKUP(I8,PGStock[],2,FALSE)</f>
        <v>Ngwe Taung  700ml</v>
      </c>
      <c r="K8" s="30">
        <f>VLOOKUP(I8,PGStock[],3,FALSE)</f>
        <v>0.7</v>
      </c>
      <c r="L8" s="104">
        <v>5</v>
      </c>
      <c r="M8" s="31">
        <f>VLOOKUP(I8,PGStock[],6,FALSE)</f>
        <v>150</v>
      </c>
      <c r="N8" s="31">
        <f>+Table8[[#This Row],[SalesBot]]*Table8[[#This Row],[Bonus]]</f>
        <v>750</v>
      </c>
    </row>
    <row r="9" spans="1:30" ht="20.100000000000001" customHeight="1" x14ac:dyDescent="0.25">
      <c r="A9" s="26">
        <f t="shared" ref="A9:A2597" si="3">YEAR(C9)</f>
        <v>2026</v>
      </c>
      <c r="B9" s="26">
        <f t="shared" ref="B9:B2597" si="4">MONTH(C9)</f>
        <v>1</v>
      </c>
      <c r="C9" s="20">
        <v>46025</v>
      </c>
      <c r="D9" s="21" t="s">
        <v>78</v>
      </c>
      <c r="E9" s="27" t="s">
        <v>146</v>
      </c>
      <c r="F9" s="23" t="str">
        <f>VLOOKUP(E9,Customers[],2,FALSE)</f>
        <v>ရွှေမြင့်မိုရ်</v>
      </c>
      <c r="G9" s="23" t="str">
        <f>VLOOKUP(E9,Customers[],3,FALSE)</f>
        <v>မြို့သစ်</v>
      </c>
      <c r="H9" s="23" t="str">
        <f>VLOOKUP(E9,Customers[],4,FALSE)</f>
        <v>မိတ္ထီလာ</v>
      </c>
      <c r="I9" s="28" t="s">
        <v>151</v>
      </c>
      <c r="J9" s="29" t="str">
        <f>VLOOKUP(I9,PGStock[],2,FALSE)</f>
        <v>Ngwe Taung  700ml</v>
      </c>
      <c r="K9" s="30">
        <f>VLOOKUP(I9,PGStock[],3,FALSE)</f>
        <v>0.7</v>
      </c>
      <c r="L9" s="104">
        <v>13</v>
      </c>
      <c r="M9" s="31">
        <f>VLOOKUP(I9,PGStock[],6,FALSE)</f>
        <v>150</v>
      </c>
      <c r="N9" s="31">
        <f>+Table8[[#This Row],[SalesBot]]*Table8[[#This Row],[Bonus]]</f>
        <v>1950</v>
      </c>
    </row>
    <row r="10" spans="1:30" ht="20.100000000000001" customHeight="1" x14ac:dyDescent="0.25">
      <c r="A10" s="26">
        <f t="shared" ref="A10:A73" si="5">YEAR(C10)</f>
        <v>2026</v>
      </c>
      <c r="B10" s="26">
        <f t="shared" ref="B10:B73" si="6">MONTH(C10)</f>
        <v>1</v>
      </c>
      <c r="C10" s="20">
        <v>46025</v>
      </c>
      <c r="D10" s="21" t="s">
        <v>166</v>
      </c>
      <c r="E10" s="27" t="s">
        <v>167</v>
      </c>
      <c r="F10" s="23" t="str">
        <f>VLOOKUP(E10,Customers[],2,FALSE)</f>
        <v>အရှေ့တိုင်း</v>
      </c>
      <c r="G10" s="23" t="str">
        <f>VLOOKUP(E10,Customers[],3,FALSE)</f>
        <v>စည်သူရပ်</v>
      </c>
      <c r="H10" s="23" t="str">
        <f>VLOOKUP(E10,Customers[],4,FALSE)</f>
        <v>မိတ္ထီလာ</v>
      </c>
      <c r="I10" s="28" t="s">
        <v>151</v>
      </c>
      <c r="J10" s="29" t="str">
        <f>VLOOKUP(I10,PGStock[],2,FALSE)</f>
        <v>Ngwe Taung  700ml</v>
      </c>
      <c r="K10" s="30">
        <f>VLOOKUP(I10,PGStock[],3,FALSE)</f>
        <v>0.7</v>
      </c>
      <c r="L10" s="104">
        <v>8</v>
      </c>
      <c r="M10" s="31">
        <f>VLOOKUP(I10,PGStock[],6,FALSE)</f>
        <v>150</v>
      </c>
      <c r="N10" s="31">
        <f>+Table8[[#This Row],[SalesBot]]*Table8[[#This Row],[Bonus]]</f>
        <v>1200</v>
      </c>
    </row>
    <row r="11" spans="1:30" ht="20.100000000000001" customHeight="1" x14ac:dyDescent="0.25">
      <c r="A11" s="26">
        <f t="shared" si="5"/>
        <v>2026</v>
      </c>
      <c r="B11" s="26">
        <f t="shared" si="6"/>
        <v>1</v>
      </c>
      <c r="C11" s="20">
        <v>46025</v>
      </c>
      <c r="D11" s="21" t="s">
        <v>165</v>
      </c>
      <c r="E11" s="27" t="s">
        <v>256</v>
      </c>
      <c r="F11" s="23" t="str">
        <f>VLOOKUP(E11,Customers[],2,FALSE)</f>
        <v>ကမ္ဘာသစ်</v>
      </c>
      <c r="G11" s="23" t="str">
        <f>VLOOKUP(E11,Customers[],3,FALSE)</f>
        <v>မြို့သစ်</v>
      </c>
      <c r="H11" s="23" t="str">
        <f>VLOOKUP(E11,Customers[],4,FALSE)</f>
        <v>မိတ္ထီလာ</v>
      </c>
      <c r="I11" s="28" t="s">
        <v>151</v>
      </c>
      <c r="J11" s="29" t="str">
        <f>VLOOKUP(I11,PGStock[],2,FALSE)</f>
        <v>Ngwe Taung  700ml</v>
      </c>
      <c r="K11" s="30">
        <f>VLOOKUP(I11,PGStock[],3,FALSE)</f>
        <v>0.7</v>
      </c>
      <c r="L11" s="104">
        <v>4</v>
      </c>
      <c r="M11" s="31">
        <f>VLOOKUP(I11,PGStock[],6,FALSE)</f>
        <v>150</v>
      </c>
      <c r="N11" s="31">
        <f>+Table8[[#This Row],[SalesBot]]*Table8[[#This Row],[Bonus]]</f>
        <v>600</v>
      </c>
    </row>
    <row r="12" spans="1:30" ht="20.100000000000001" customHeight="1" x14ac:dyDescent="0.25">
      <c r="A12" s="26">
        <f t="shared" si="5"/>
        <v>2026</v>
      </c>
      <c r="B12" s="26">
        <f t="shared" si="6"/>
        <v>1</v>
      </c>
      <c r="C12" s="20">
        <v>46025</v>
      </c>
      <c r="D12" s="21" t="s">
        <v>187</v>
      </c>
      <c r="E12" s="27" t="s">
        <v>147</v>
      </c>
      <c r="F12" s="23" t="str">
        <f>VLOOKUP(E12,Customers[],2,FALSE)</f>
        <v>အန်တီရှမ်း</v>
      </c>
      <c r="G12" s="23" t="str">
        <f>VLOOKUP(E12,Customers[],3,FALSE)</f>
        <v>မြို့သစ်</v>
      </c>
      <c r="H12" s="23" t="str">
        <f>VLOOKUP(E12,Customers[],4,FALSE)</f>
        <v>မိတ္ထီလာ</v>
      </c>
      <c r="I12" s="28" t="s">
        <v>151</v>
      </c>
      <c r="J12" s="29" t="str">
        <f>VLOOKUP(I12,PGStock[],2,FALSE)</f>
        <v>Ngwe Taung  700ml</v>
      </c>
      <c r="K12" s="30">
        <f>VLOOKUP(I12,PGStock[],3,FALSE)</f>
        <v>0.7</v>
      </c>
      <c r="L12" s="104">
        <v>2</v>
      </c>
      <c r="M12" s="31">
        <f>VLOOKUP(I12,PGStock[],6,FALSE)</f>
        <v>150</v>
      </c>
      <c r="N12" s="31">
        <f>+Table8[[#This Row],[SalesBot]]*Table8[[#This Row],[Bonus]]</f>
        <v>300</v>
      </c>
    </row>
    <row r="13" spans="1:30" ht="20.100000000000001" customHeight="1" x14ac:dyDescent="0.25">
      <c r="A13" s="26">
        <f t="shared" si="5"/>
        <v>2026</v>
      </c>
      <c r="B13" s="26">
        <f t="shared" si="6"/>
        <v>1</v>
      </c>
      <c r="C13" s="20">
        <v>46025</v>
      </c>
      <c r="D13" s="21" t="s">
        <v>192</v>
      </c>
      <c r="E13" s="27" t="s">
        <v>170</v>
      </c>
      <c r="F13" s="23" t="str">
        <f>VLOOKUP(E13,Customers[],2,FALSE)</f>
        <v>စိန်ရွှေ</v>
      </c>
      <c r="G13" s="23" t="str">
        <f>VLOOKUP(E13,Customers[],3,FALSE)</f>
        <v>မြို့သစ်</v>
      </c>
      <c r="H13" s="23" t="str">
        <f>VLOOKUP(E13,Customers[],4,FALSE)</f>
        <v>မိတ္ထီလာ</v>
      </c>
      <c r="I13" s="28" t="s">
        <v>151</v>
      </c>
      <c r="J13" s="29" t="str">
        <f>VLOOKUP(I13,PGStock[],2,FALSE)</f>
        <v>Ngwe Taung  700ml</v>
      </c>
      <c r="K13" s="30">
        <f>VLOOKUP(I13,PGStock[],3,FALSE)</f>
        <v>0.7</v>
      </c>
      <c r="L13" s="104">
        <v>6</v>
      </c>
      <c r="M13" s="31">
        <f>VLOOKUP(I13,PGStock[],6,FALSE)</f>
        <v>150</v>
      </c>
      <c r="N13" s="31">
        <f>+Table8[[#This Row],[SalesBot]]*Table8[[#This Row],[Bonus]]</f>
        <v>900</v>
      </c>
    </row>
    <row r="14" spans="1:30" ht="20.100000000000001" customHeight="1" x14ac:dyDescent="0.25">
      <c r="A14" s="26">
        <f t="shared" si="5"/>
        <v>2026</v>
      </c>
      <c r="B14" s="26">
        <f t="shared" si="6"/>
        <v>1</v>
      </c>
      <c r="C14" s="20">
        <v>46025</v>
      </c>
      <c r="D14" s="21" t="s">
        <v>213</v>
      </c>
      <c r="E14" s="27" t="s">
        <v>149</v>
      </c>
      <c r="F14" s="23" t="str">
        <f>VLOOKUP(E14,Customers[],2,FALSE)</f>
        <v>သဇင်ဖြူ</v>
      </c>
      <c r="G14" s="23" t="str">
        <f>VLOOKUP(E14,Customers[],3,FALSE)</f>
        <v>မြို့သစ်</v>
      </c>
      <c r="H14" s="23" t="str">
        <f>VLOOKUP(E14,Customers[],4,FALSE)</f>
        <v>မိတ္ထီလာ</v>
      </c>
      <c r="I14" s="28" t="s">
        <v>151</v>
      </c>
      <c r="J14" s="29" t="str">
        <f>VLOOKUP(I14,PGStock[],2,FALSE)</f>
        <v>Ngwe Taung  700ml</v>
      </c>
      <c r="K14" s="30">
        <f>VLOOKUP(I14,PGStock[],3,FALSE)</f>
        <v>0.7</v>
      </c>
      <c r="L14" s="104">
        <v>5</v>
      </c>
      <c r="M14" s="31">
        <f>VLOOKUP(I14,PGStock[],6,FALSE)</f>
        <v>150</v>
      </c>
      <c r="N14" s="31">
        <f>+Table8[[#This Row],[SalesBot]]*Table8[[#This Row],[Bonus]]</f>
        <v>750</v>
      </c>
    </row>
    <row r="15" spans="1:30" ht="20.100000000000001" customHeight="1" x14ac:dyDescent="0.25">
      <c r="A15" s="26">
        <f t="shared" si="5"/>
        <v>2026</v>
      </c>
      <c r="B15" s="26">
        <f t="shared" si="6"/>
        <v>1</v>
      </c>
      <c r="C15" s="20">
        <v>46025</v>
      </c>
      <c r="D15" s="21" t="s">
        <v>258</v>
      </c>
      <c r="E15" s="27" t="s">
        <v>148</v>
      </c>
      <c r="F15" s="23" t="str">
        <f>VLOOKUP(E15,Customers[],2,FALSE)</f>
        <v>7-Colour</v>
      </c>
      <c r="G15" s="23" t="str">
        <f>VLOOKUP(E15,Customers[],3,FALSE)</f>
        <v>မြို့သစ်</v>
      </c>
      <c r="H15" s="23" t="str">
        <f>VLOOKUP(E15,Customers[],4,FALSE)</f>
        <v>မိတ္ထီလာ</v>
      </c>
      <c r="I15" s="28" t="s">
        <v>151</v>
      </c>
      <c r="J15" s="29" t="str">
        <f>VLOOKUP(I15,PGStock[],2,FALSE)</f>
        <v>Ngwe Taung  700ml</v>
      </c>
      <c r="K15" s="30">
        <f>VLOOKUP(I15,PGStock[],3,FALSE)</f>
        <v>0.7</v>
      </c>
      <c r="L15" s="104">
        <v>2</v>
      </c>
      <c r="M15" s="31">
        <f>VLOOKUP(I15,PGStock[],6,FALSE)</f>
        <v>150</v>
      </c>
      <c r="N15" s="31">
        <f>+Table8[[#This Row],[SalesBot]]*Table8[[#This Row],[Bonus]]</f>
        <v>300</v>
      </c>
    </row>
    <row r="16" spans="1:30" ht="20.100000000000001" customHeight="1" x14ac:dyDescent="0.25">
      <c r="A16" s="26">
        <f t="shared" si="5"/>
        <v>2026</v>
      </c>
      <c r="B16" s="26">
        <f t="shared" si="6"/>
        <v>1</v>
      </c>
      <c r="C16" s="20">
        <v>46027</v>
      </c>
      <c r="D16" s="21" t="s">
        <v>78</v>
      </c>
      <c r="E16" s="27" t="s">
        <v>259</v>
      </c>
      <c r="F16" s="23" t="str">
        <f>VLOOKUP(E16,Customers[],2,FALSE)</f>
        <v>AK</v>
      </c>
      <c r="G16" s="23" t="str">
        <f>VLOOKUP(E16,Customers[],3,FALSE)</f>
        <v>မြို့သစ်</v>
      </c>
      <c r="H16" s="23" t="str">
        <f>VLOOKUP(E16,Customers[],4,FALSE)</f>
        <v>မိတ္ထီလာ</v>
      </c>
      <c r="I16" s="28" t="s">
        <v>151</v>
      </c>
      <c r="J16" s="29" t="str">
        <f>VLOOKUP(I16,PGStock[],2,FALSE)</f>
        <v>Ngwe Taung  700ml</v>
      </c>
      <c r="K16" s="30">
        <f>VLOOKUP(I16,PGStock[],3,FALSE)</f>
        <v>0.7</v>
      </c>
      <c r="L16" s="104">
        <v>8</v>
      </c>
      <c r="M16" s="31">
        <f>VLOOKUP(I16,PGStock[],6,FALSE)</f>
        <v>150</v>
      </c>
      <c r="N16" s="31">
        <f>+Table8[[#This Row],[SalesBot]]*Table8[[#This Row],[Bonus]]</f>
        <v>1200</v>
      </c>
    </row>
    <row r="17" spans="1:14" ht="20.100000000000001" customHeight="1" x14ac:dyDescent="0.25">
      <c r="A17" s="26">
        <f t="shared" si="5"/>
        <v>2026</v>
      </c>
      <c r="B17" s="26">
        <f t="shared" si="6"/>
        <v>1</v>
      </c>
      <c r="C17" s="20">
        <v>46027</v>
      </c>
      <c r="D17" s="21" t="s">
        <v>166</v>
      </c>
      <c r="E17" s="27" t="s">
        <v>167</v>
      </c>
      <c r="F17" s="23" t="str">
        <f>VLOOKUP(E17,Customers[],2,FALSE)</f>
        <v>အရှေ့တိုင်း</v>
      </c>
      <c r="G17" s="23" t="str">
        <f>VLOOKUP(E17,Customers[],3,FALSE)</f>
        <v>စည်သူရပ်</v>
      </c>
      <c r="H17" s="23" t="str">
        <f>VLOOKUP(E17,Customers[],4,FALSE)</f>
        <v>မိတ္ထီလာ</v>
      </c>
      <c r="I17" s="28" t="s">
        <v>151</v>
      </c>
      <c r="J17" s="29" t="str">
        <f>VLOOKUP(I17,PGStock[],2,FALSE)</f>
        <v>Ngwe Taung  700ml</v>
      </c>
      <c r="K17" s="30">
        <f>VLOOKUP(I17,PGStock[],3,FALSE)</f>
        <v>0.7</v>
      </c>
      <c r="L17" s="104">
        <v>5</v>
      </c>
      <c r="M17" s="31">
        <f>VLOOKUP(I17,PGStock[],6,FALSE)</f>
        <v>150</v>
      </c>
      <c r="N17" s="31">
        <f>+Table8[[#This Row],[SalesBot]]*Table8[[#This Row],[Bonus]]</f>
        <v>750</v>
      </c>
    </row>
    <row r="18" spans="1:14" ht="20.100000000000001" customHeight="1" x14ac:dyDescent="0.25">
      <c r="A18" s="26">
        <f t="shared" si="5"/>
        <v>2026</v>
      </c>
      <c r="B18" s="26">
        <f t="shared" si="6"/>
        <v>1</v>
      </c>
      <c r="C18" s="20">
        <v>46027</v>
      </c>
      <c r="D18" s="21" t="s">
        <v>165</v>
      </c>
      <c r="E18" s="27" t="s">
        <v>256</v>
      </c>
      <c r="F18" s="23" t="str">
        <f>VLOOKUP(E18,Customers[],2,FALSE)</f>
        <v>ကမ္ဘာသစ်</v>
      </c>
      <c r="G18" s="23" t="str">
        <f>VLOOKUP(E18,Customers[],3,FALSE)</f>
        <v>မြို့သစ်</v>
      </c>
      <c r="H18" s="23" t="str">
        <f>VLOOKUP(E18,Customers[],4,FALSE)</f>
        <v>မိတ္ထီလာ</v>
      </c>
      <c r="I18" s="28" t="s">
        <v>151</v>
      </c>
      <c r="J18" s="29" t="str">
        <f>VLOOKUP(I18,PGStock[],2,FALSE)</f>
        <v>Ngwe Taung  700ml</v>
      </c>
      <c r="K18" s="30">
        <f>VLOOKUP(I18,PGStock[],3,FALSE)</f>
        <v>0.7</v>
      </c>
      <c r="L18" s="104">
        <v>10</v>
      </c>
      <c r="M18" s="31">
        <f>VLOOKUP(I18,PGStock[],6,FALSE)</f>
        <v>150</v>
      </c>
      <c r="N18" s="31">
        <f>+Table8[[#This Row],[SalesBot]]*Table8[[#This Row],[Bonus]]</f>
        <v>1500</v>
      </c>
    </row>
    <row r="19" spans="1:14" ht="20.100000000000001" customHeight="1" x14ac:dyDescent="0.25">
      <c r="A19" s="26">
        <f t="shared" si="5"/>
        <v>2026</v>
      </c>
      <c r="B19" s="26">
        <f t="shared" si="6"/>
        <v>1</v>
      </c>
      <c r="C19" s="20">
        <v>46027</v>
      </c>
      <c r="D19" s="21" t="s">
        <v>187</v>
      </c>
      <c r="E19" s="27" t="s">
        <v>148</v>
      </c>
      <c r="F19" s="23" t="str">
        <f>VLOOKUP(E19,Customers[],2,FALSE)</f>
        <v>7-Colour</v>
      </c>
      <c r="G19" s="23" t="str">
        <f>VLOOKUP(E19,Customers[],3,FALSE)</f>
        <v>မြို့သစ်</v>
      </c>
      <c r="H19" s="23" t="str">
        <f>VLOOKUP(E19,Customers[],4,FALSE)</f>
        <v>မိတ္ထီလာ</v>
      </c>
      <c r="I19" s="28" t="s">
        <v>151</v>
      </c>
      <c r="J19" s="29" t="str">
        <f>VLOOKUP(I19,PGStock[],2,FALSE)</f>
        <v>Ngwe Taung  700ml</v>
      </c>
      <c r="K19" s="30">
        <f>VLOOKUP(I19,PGStock[],3,FALSE)</f>
        <v>0.7</v>
      </c>
      <c r="L19" s="104">
        <v>5</v>
      </c>
      <c r="M19" s="31">
        <f>VLOOKUP(I19,PGStock[],6,FALSE)</f>
        <v>150</v>
      </c>
      <c r="N19" s="31">
        <f>+Table8[[#This Row],[SalesBot]]*Table8[[#This Row],[Bonus]]</f>
        <v>750</v>
      </c>
    </row>
    <row r="20" spans="1:14" ht="20.100000000000001" customHeight="1" x14ac:dyDescent="0.25">
      <c r="A20" s="26">
        <f t="shared" si="5"/>
        <v>2026</v>
      </c>
      <c r="B20" s="26">
        <f t="shared" si="6"/>
        <v>1</v>
      </c>
      <c r="C20" s="20">
        <v>46027</v>
      </c>
      <c r="D20" s="21" t="s">
        <v>192</v>
      </c>
      <c r="E20" s="27" t="s">
        <v>170</v>
      </c>
      <c r="F20" s="23" t="str">
        <f>VLOOKUP(E20,Customers[],2,FALSE)</f>
        <v>စိန်ရွှေ</v>
      </c>
      <c r="G20" s="23" t="str">
        <f>VLOOKUP(E20,Customers[],3,FALSE)</f>
        <v>မြို့သစ်</v>
      </c>
      <c r="H20" s="23" t="str">
        <f>VLOOKUP(E20,Customers[],4,FALSE)</f>
        <v>မိတ္ထီလာ</v>
      </c>
      <c r="I20" s="28" t="s">
        <v>151</v>
      </c>
      <c r="J20" s="29" t="str">
        <f>VLOOKUP(I20,PGStock[],2,FALSE)</f>
        <v>Ngwe Taung  700ml</v>
      </c>
      <c r="K20" s="30">
        <f>VLOOKUP(I20,PGStock[],3,FALSE)</f>
        <v>0.7</v>
      </c>
      <c r="L20" s="104">
        <v>10</v>
      </c>
      <c r="M20" s="31">
        <f>VLOOKUP(I20,PGStock[],6,FALSE)</f>
        <v>150</v>
      </c>
      <c r="N20" s="31">
        <f>+Table8[[#This Row],[SalesBot]]*Table8[[#This Row],[Bonus]]</f>
        <v>1500</v>
      </c>
    </row>
    <row r="21" spans="1:14" ht="20.100000000000001" customHeight="1" x14ac:dyDescent="0.25">
      <c r="A21" s="26">
        <f t="shared" si="5"/>
        <v>2026</v>
      </c>
      <c r="B21" s="26">
        <f t="shared" si="6"/>
        <v>1</v>
      </c>
      <c r="C21" s="20">
        <v>46027</v>
      </c>
      <c r="D21" s="21" t="s">
        <v>213</v>
      </c>
      <c r="E21" s="27" t="s">
        <v>146</v>
      </c>
      <c r="F21" s="23" t="str">
        <f>VLOOKUP(E21,Customers[],2,FALSE)</f>
        <v>ရွှေမြင့်မိုရ်</v>
      </c>
      <c r="G21" s="23" t="str">
        <f>VLOOKUP(E21,Customers[],3,FALSE)</f>
        <v>မြို့သစ်</v>
      </c>
      <c r="H21" s="23" t="str">
        <f>VLOOKUP(E21,Customers[],4,FALSE)</f>
        <v>မိတ္ထီလာ</v>
      </c>
      <c r="I21" s="28" t="s">
        <v>151</v>
      </c>
      <c r="J21" s="29" t="str">
        <f>VLOOKUP(I21,PGStock[],2,FALSE)</f>
        <v>Ngwe Taung  700ml</v>
      </c>
      <c r="K21" s="30">
        <f>VLOOKUP(I21,PGStock[],3,FALSE)</f>
        <v>0.7</v>
      </c>
      <c r="L21" s="104">
        <v>8</v>
      </c>
      <c r="M21" s="31">
        <f>VLOOKUP(I21,PGStock[],6,FALSE)</f>
        <v>150</v>
      </c>
      <c r="N21" s="31">
        <f>+Table8[[#This Row],[SalesBot]]*Table8[[#This Row],[Bonus]]</f>
        <v>1200</v>
      </c>
    </row>
    <row r="22" spans="1:14" ht="20.100000000000001" customHeight="1" x14ac:dyDescent="0.25">
      <c r="A22" s="26">
        <f t="shared" si="5"/>
        <v>2026</v>
      </c>
      <c r="B22" s="26">
        <f t="shared" si="6"/>
        <v>1</v>
      </c>
      <c r="C22" s="20">
        <v>46027</v>
      </c>
      <c r="D22" s="21" t="s">
        <v>258</v>
      </c>
      <c r="E22" s="27" t="s">
        <v>149</v>
      </c>
      <c r="F22" s="23" t="str">
        <f>VLOOKUP(E22,Customers[],2,FALSE)</f>
        <v>သဇင်ဖြူ</v>
      </c>
      <c r="G22" s="23" t="str">
        <f>VLOOKUP(E22,Customers[],3,FALSE)</f>
        <v>မြို့သစ်</v>
      </c>
      <c r="H22" s="23" t="str">
        <f>VLOOKUP(E22,Customers[],4,FALSE)</f>
        <v>မိတ္ထီလာ</v>
      </c>
      <c r="I22" s="28" t="s">
        <v>151</v>
      </c>
      <c r="J22" s="29" t="str">
        <f>VLOOKUP(I22,PGStock[],2,FALSE)</f>
        <v>Ngwe Taung  700ml</v>
      </c>
      <c r="K22" s="30">
        <f>VLOOKUP(I22,PGStock[],3,FALSE)</f>
        <v>0.7</v>
      </c>
      <c r="L22" s="104">
        <v>4</v>
      </c>
      <c r="M22" s="31">
        <f>VLOOKUP(I22,PGStock[],6,FALSE)</f>
        <v>150</v>
      </c>
      <c r="N22" s="31">
        <f>+Table8[[#This Row],[SalesBot]]*Table8[[#This Row],[Bonus]]</f>
        <v>600</v>
      </c>
    </row>
    <row r="23" spans="1:14" ht="20.100000000000001" customHeight="1" x14ac:dyDescent="0.25">
      <c r="A23" s="26">
        <f t="shared" si="5"/>
        <v>2026</v>
      </c>
      <c r="B23" s="26">
        <f t="shared" si="6"/>
        <v>1</v>
      </c>
      <c r="C23" s="20">
        <v>46028</v>
      </c>
      <c r="D23" s="21" t="s">
        <v>78</v>
      </c>
      <c r="E23" s="27" t="s">
        <v>259</v>
      </c>
      <c r="F23" s="23" t="str">
        <f>VLOOKUP(E23,Customers[],2,FALSE)</f>
        <v>AK</v>
      </c>
      <c r="G23" s="23" t="str">
        <f>VLOOKUP(E23,Customers[],3,FALSE)</f>
        <v>မြို့သစ်</v>
      </c>
      <c r="H23" s="23" t="str">
        <f>VLOOKUP(E23,Customers[],4,FALSE)</f>
        <v>မိတ္ထီလာ</v>
      </c>
      <c r="I23" s="28" t="s">
        <v>151</v>
      </c>
      <c r="J23" s="29" t="str">
        <f>VLOOKUP(I23,PGStock[],2,FALSE)</f>
        <v>Ngwe Taung  700ml</v>
      </c>
      <c r="K23" s="30">
        <f>VLOOKUP(I23,PGStock[],3,FALSE)</f>
        <v>0.7</v>
      </c>
      <c r="L23" s="104">
        <v>8</v>
      </c>
      <c r="M23" s="31">
        <f>VLOOKUP(I23,PGStock[],6,FALSE)</f>
        <v>150</v>
      </c>
      <c r="N23" s="31">
        <f>+Table8[[#This Row],[SalesBot]]*Table8[[#This Row],[Bonus]]</f>
        <v>1200</v>
      </c>
    </row>
    <row r="24" spans="1:14" ht="20.100000000000001" customHeight="1" x14ac:dyDescent="0.25">
      <c r="A24" s="26">
        <f t="shared" si="5"/>
        <v>2026</v>
      </c>
      <c r="B24" s="26">
        <f t="shared" si="6"/>
        <v>1</v>
      </c>
      <c r="C24" s="20">
        <v>46028</v>
      </c>
      <c r="D24" s="21" t="s">
        <v>166</v>
      </c>
      <c r="E24" s="27" t="s">
        <v>167</v>
      </c>
      <c r="F24" s="23" t="str">
        <f>VLOOKUP(E24,Customers[],2,FALSE)</f>
        <v>အရှေ့တိုင်း</v>
      </c>
      <c r="G24" s="23" t="str">
        <f>VLOOKUP(E24,Customers[],3,FALSE)</f>
        <v>စည်သူရပ်</v>
      </c>
      <c r="H24" s="23" t="str">
        <f>VLOOKUP(E24,Customers[],4,FALSE)</f>
        <v>မိတ္ထီလာ</v>
      </c>
      <c r="I24" s="28" t="s">
        <v>151</v>
      </c>
      <c r="J24" s="29" t="str">
        <f>VLOOKUP(I24,PGStock[],2,FALSE)</f>
        <v>Ngwe Taung  700ml</v>
      </c>
      <c r="K24" s="30">
        <f>VLOOKUP(I24,PGStock[],3,FALSE)</f>
        <v>0.7</v>
      </c>
      <c r="L24" s="104">
        <v>8</v>
      </c>
      <c r="M24" s="31">
        <f>VLOOKUP(I24,PGStock[],6,FALSE)</f>
        <v>150</v>
      </c>
      <c r="N24" s="31">
        <f>+Table8[[#This Row],[SalesBot]]*Table8[[#This Row],[Bonus]]</f>
        <v>1200</v>
      </c>
    </row>
    <row r="25" spans="1:14" ht="20.100000000000001" customHeight="1" x14ac:dyDescent="0.25">
      <c r="A25" s="26">
        <f t="shared" si="5"/>
        <v>2026</v>
      </c>
      <c r="B25" s="26">
        <f t="shared" si="6"/>
        <v>1</v>
      </c>
      <c r="C25" s="20">
        <v>46028</v>
      </c>
      <c r="D25" s="21" t="s">
        <v>165</v>
      </c>
      <c r="E25" s="27" t="s">
        <v>256</v>
      </c>
      <c r="F25" s="23" t="str">
        <f>VLOOKUP(E25,Customers[],2,FALSE)</f>
        <v>ကမ္ဘာသစ်</v>
      </c>
      <c r="G25" s="23" t="str">
        <f>VLOOKUP(E25,Customers[],3,FALSE)</f>
        <v>မြို့သစ်</v>
      </c>
      <c r="H25" s="23" t="str">
        <f>VLOOKUP(E25,Customers[],4,FALSE)</f>
        <v>မိတ္ထီလာ</v>
      </c>
      <c r="I25" s="28" t="s">
        <v>151</v>
      </c>
      <c r="J25" s="29" t="str">
        <f>VLOOKUP(I25,PGStock[],2,FALSE)</f>
        <v>Ngwe Taung  700ml</v>
      </c>
      <c r="K25" s="30">
        <f>VLOOKUP(I25,PGStock[],3,FALSE)</f>
        <v>0.7</v>
      </c>
      <c r="L25" s="104">
        <v>4</v>
      </c>
      <c r="M25" s="31">
        <f>VLOOKUP(I25,PGStock[],6,FALSE)</f>
        <v>150</v>
      </c>
      <c r="N25" s="31">
        <f>+Table8[[#This Row],[SalesBot]]*Table8[[#This Row],[Bonus]]</f>
        <v>600</v>
      </c>
    </row>
    <row r="26" spans="1:14" ht="20.100000000000001" customHeight="1" x14ac:dyDescent="0.25">
      <c r="A26" s="26">
        <f t="shared" si="5"/>
        <v>2026</v>
      </c>
      <c r="B26" s="26">
        <f t="shared" si="6"/>
        <v>1</v>
      </c>
      <c r="C26" s="20">
        <v>46028</v>
      </c>
      <c r="D26" s="21" t="s">
        <v>187</v>
      </c>
      <c r="E26" s="27" t="s">
        <v>148</v>
      </c>
      <c r="F26" s="23" t="str">
        <f>VLOOKUP(E26,Customers[],2,FALSE)</f>
        <v>7-Colour</v>
      </c>
      <c r="G26" s="23" t="str">
        <f>VLOOKUP(E26,Customers[],3,FALSE)</f>
        <v>မြို့သစ်</v>
      </c>
      <c r="H26" s="23" t="str">
        <f>VLOOKUP(E26,Customers[],4,FALSE)</f>
        <v>မိတ္ထီလာ</v>
      </c>
      <c r="I26" s="28" t="s">
        <v>151</v>
      </c>
      <c r="J26" s="29" t="str">
        <f>VLOOKUP(I26,PGStock[],2,FALSE)</f>
        <v>Ngwe Taung  700ml</v>
      </c>
      <c r="K26" s="30">
        <f>VLOOKUP(I26,PGStock[],3,FALSE)</f>
        <v>0.7</v>
      </c>
      <c r="L26" s="104">
        <v>1</v>
      </c>
      <c r="M26" s="31">
        <f>VLOOKUP(I26,PGStock[],6,FALSE)</f>
        <v>150</v>
      </c>
      <c r="N26" s="31">
        <f>+Table8[[#This Row],[SalesBot]]*Table8[[#This Row],[Bonus]]</f>
        <v>150</v>
      </c>
    </row>
    <row r="27" spans="1:14" ht="20.100000000000001" customHeight="1" x14ac:dyDescent="0.25">
      <c r="A27" s="26">
        <f t="shared" si="5"/>
        <v>2026</v>
      </c>
      <c r="B27" s="26">
        <f t="shared" si="6"/>
        <v>1</v>
      </c>
      <c r="C27" s="20">
        <v>46028</v>
      </c>
      <c r="D27" s="21" t="s">
        <v>192</v>
      </c>
      <c r="E27" s="27" t="s">
        <v>170</v>
      </c>
      <c r="F27" s="23" t="str">
        <f>VLOOKUP(E27,Customers[],2,FALSE)</f>
        <v>စိန်ရွှေ</v>
      </c>
      <c r="G27" s="23" t="str">
        <f>VLOOKUP(E27,Customers[],3,FALSE)</f>
        <v>မြို့သစ်</v>
      </c>
      <c r="H27" s="23" t="str">
        <f>VLOOKUP(E27,Customers[],4,FALSE)</f>
        <v>မိတ္ထီလာ</v>
      </c>
      <c r="I27" s="28" t="s">
        <v>151</v>
      </c>
      <c r="J27" s="29" t="str">
        <f>VLOOKUP(I27,PGStock[],2,FALSE)</f>
        <v>Ngwe Taung  700ml</v>
      </c>
      <c r="K27" s="30">
        <f>VLOOKUP(I27,PGStock[],3,FALSE)</f>
        <v>0.7</v>
      </c>
      <c r="L27" s="104">
        <v>3</v>
      </c>
      <c r="M27" s="31">
        <f>VLOOKUP(I27,PGStock[],6,FALSE)</f>
        <v>150</v>
      </c>
      <c r="N27" s="31">
        <f>+Table8[[#This Row],[SalesBot]]*Table8[[#This Row],[Bonus]]</f>
        <v>450</v>
      </c>
    </row>
    <row r="28" spans="1:14" ht="20.100000000000001" customHeight="1" x14ac:dyDescent="0.25">
      <c r="A28" s="26">
        <f t="shared" si="5"/>
        <v>2026</v>
      </c>
      <c r="B28" s="26">
        <f t="shared" si="6"/>
        <v>1</v>
      </c>
      <c r="C28" s="20">
        <v>46028</v>
      </c>
      <c r="D28" s="21" t="s">
        <v>213</v>
      </c>
      <c r="E28" s="27" t="s">
        <v>146</v>
      </c>
      <c r="F28" s="23" t="str">
        <f>VLOOKUP(E28,Customers[],2,FALSE)</f>
        <v>ရွှေမြင့်မိုရ်</v>
      </c>
      <c r="G28" s="23" t="str">
        <f>VLOOKUP(E28,Customers[],3,FALSE)</f>
        <v>မြို့သစ်</v>
      </c>
      <c r="H28" s="23" t="str">
        <f>VLOOKUP(E28,Customers[],4,FALSE)</f>
        <v>မိတ္ထီလာ</v>
      </c>
      <c r="I28" s="28" t="s">
        <v>151</v>
      </c>
      <c r="J28" s="29" t="str">
        <f>VLOOKUP(I28,PGStock[],2,FALSE)</f>
        <v>Ngwe Taung  700ml</v>
      </c>
      <c r="K28" s="30">
        <f>VLOOKUP(I28,PGStock[],3,FALSE)</f>
        <v>0.7</v>
      </c>
      <c r="L28" s="104">
        <v>5</v>
      </c>
      <c r="M28" s="31">
        <f>VLOOKUP(I28,PGStock[],6,FALSE)</f>
        <v>150</v>
      </c>
      <c r="N28" s="31">
        <f>+Table8[[#This Row],[SalesBot]]*Table8[[#This Row],[Bonus]]</f>
        <v>750</v>
      </c>
    </row>
    <row r="29" spans="1:14" ht="20.100000000000001" customHeight="1" x14ac:dyDescent="0.25">
      <c r="A29" s="26">
        <f t="shared" si="5"/>
        <v>2026</v>
      </c>
      <c r="B29" s="26">
        <f t="shared" si="6"/>
        <v>1</v>
      </c>
      <c r="C29" s="20">
        <v>46028</v>
      </c>
      <c r="D29" s="21" t="s">
        <v>258</v>
      </c>
      <c r="E29" s="27" t="s">
        <v>149</v>
      </c>
      <c r="F29" s="23" t="str">
        <f>VLOOKUP(E29,Customers[],2,FALSE)</f>
        <v>သဇင်ဖြူ</v>
      </c>
      <c r="G29" s="23" t="str">
        <f>VLOOKUP(E29,Customers[],3,FALSE)</f>
        <v>မြို့သစ်</v>
      </c>
      <c r="H29" s="23" t="str">
        <f>VLOOKUP(E29,Customers[],4,FALSE)</f>
        <v>မိတ္ထီလာ</v>
      </c>
      <c r="I29" s="28" t="s">
        <v>151</v>
      </c>
      <c r="J29" s="29" t="str">
        <f>VLOOKUP(I29,PGStock[],2,FALSE)</f>
        <v>Ngwe Taung  700ml</v>
      </c>
      <c r="K29" s="30">
        <f>VLOOKUP(I29,PGStock[],3,FALSE)</f>
        <v>0.7</v>
      </c>
      <c r="L29" s="104">
        <v>5</v>
      </c>
      <c r="M29" s="31">
        <f>VLOOKUP(I29,PGStock[],6,FALSE)</f>
        <v>150</v>
      </c>
      <c r="N29" s="31">
        <f>+Table8[[#This Row],[SalesBot]]*Table8[[#This Row],[Bonus]]</f>
        <v>750</v>
      </c>
    </row>
    <row r="30" spans="1:14" ht="20.100000000000001" customHeight="1" x14ac:dyDescent="0.25">
      <c r="A30" s="26">
        <f t="shared" si="5"/>
        <v>2026</v>
      </c>
      <c r="B30" s="26">
        <f t="shared" si="6"/>
        <v>1</v>
      </c>
      <c r="C30" s="20">
        <v>46029</v>
      </c>
      <c r="D30" s="20" t="s">
        <v>78</v>
      </c>
      <c r="E30" s="27" t="s">
        <v>259</v>
      </c>
      <c r="F30" s="23" t="str">
        <f>VLOOKUP(E30,Customers[],2,FALSE)</f>
        <v>AK</v>
      </c>
      <c r="G30" s="23" t="str">
        <f>VLOOKUP(E30,Customers[],3,FALSE)</f>
        <v>မြို့သစ်</v>
      </c>
      <c r="H30" s="23" t="str">
        <f>VLOOKUP(E30,Customers[],4,FALSE)</f>
        <v>မိတ္ထီလာ</v>
      </c>
      <c r="I30" s="28" t="s">
        <v>151</v>
      </c>
      <c r="J30" s="29" t="str">
        <f>VLOOKUP(I30,PGStock[],2,FALSE)</f>
        <v>Ngwe Taung  700ml</v>
      </c>
      <c r="K30" s="30">
        <f>VLOOKUP(I30,PGStock[],3,FALSE)</f>
        <v>0.7</v>
      </c>
      <c r="L30" s="104">
        <v>7</v>
      </c>
      <c r="M30" s="31">
        <f>VLOOKUP(I30,PGStock[],6,FALSE)</f>
        <v>150</v>
      </c>
      <c r="N30" s="31">
        <f>+Table8[[#This Row],[SalesBot]]*Table8[[#This Row],[Bonus]]</f>
        <v>1050</v>
      </c>
    </row>
    <row r="31" spans="1:14" ht="20.100000000000001" customHeight="1" x14ac:dyDescent="0.25">
      <c r="A31" s="26">
        <f t="shared" si="5"/>
        <v>2026</v>
      </c>
      <c r="B31" s="26">
        <f t="shared" si="6"/>
        <v>1</v>
      </c>
      <c r="C31" s="20">
        <v>46029</v>
      </c>
      <c r="D31" s="21" t="s">
        <v>166</v>
      </c>
      <c r="E31" s="27" t="s">
        <v>167</v>
      </c>
      <c r="F31" s="23" t="str">
        <f>VLOOKUP(E31,Customers[],2,FALSE)</f>
        <v>အရှေ့တိုင်း</v>
      </c>
      <c r="G31" s="23" t="str">
        <f>VLOOKUP(E31,Customers[],3,FALSE)</f>
        <v>စည်သူရပ်</v>
      </c>
      <c r="H31" s="23" t="str">
        <f>VLOOKUP(E31,Customers[],4,FALSE)</f>
        <v>မိတ္ထီလာ</v>
      </c>
      <c r="I31" s="28" t="s">
        <v>151</v>
      </c>
      <c r="J31" s="29" t="str">
        <f>VLOOKUP(I31,PGStock[],2,FALSE)</f>
        <v>Ngwe Taung  700ml</v>
      </c>
      <c r="K31" s="30">
        <f>VLOOKUP(I31,PGStock[],3,FALSE)</f>
        <v>0.7</v>
      </c>
      <c r="L31" s="104">
        <v>11</v>
      </c>
      <c r="M31" s="31">
        <f>VLOOKUP(I31,PGStock[],6,FALSE)</f>
        <v>150</v>
      </c>
      <c r="N31" s="31">
        <f>+Table8[[#This Row],[SalesBot]]*Table8[[#This Row],[Bonus]]</f>
        <v>1650</v>
      </c>
    </row>
    <row r="32" spans="1:14" ht="20.100000000000001" customHeight="1" x14ac:dyDescent="0.25">
      <c r="A32" s="26">
        <f t="shared" si="5"/>
        <v>2026</v>
      </c>
      <c r="B32" s="26">
        <f t="shared" si="6"/>
        <v>1</v>
      </c>
      <c r="C32" s="20">
        <v>46029</v>
      </c>
      <c r="D32" s="21" t="s">
        <v>165</v>
      </c>
      <c r="E32" s="27" t="s">
        <v>256</v>
      </c>
      <c r="F32" s="23" t="str">
        <f>VLOOKUP(E32,Customers[],2,FALSE)</f>
        <v>ကမ္ဘာသစ်</v>
      </c>
      <c r="G32" s="23" t="str">
        <f>VLOOKUP(E32,Customers[],3,FALSE)</f>
        <v>မြို့သစ်</v>
      </c>
      <c r="H32" s="23" t="str">
        <f>VLOOKUP(E32,Customers[],4,FALSE)</f>
        <v>မိတ္ထီလာ</v>
      </c>
      <c r="I32" s="28" t="s">
        <v>151</v>
      </c>
      <c r="J32" s="29" t="str">
        <f>VLOOKUP(I32,PGStock[],2,FALSE)</f>
        <v>Ngwe Taung  700ml</v>
      </c>
      <c r="K32" s="30">
        <f>VLOOKUP(I32,PGStock[],3,FALSE)</f>
        <v>0.7</v>
      </c>
      <c r="L32" s="104">
        <v>3</v>
      </c>
      <c r="M32" s="31">
        <f>VLOOKUP(I32,PGStock[],6,FALSE)</f>
        <v>150</v>
      </c>
      <c r="N32" s="31">
        <f>+Table8[[#This Row],[SalesBot]]*Table8[[#This Row],[Bonus]]</f>
        <v>450</v>
      </c>
    </row>
    <row r="33" spans="1:14" ht="20.100000000000001" customHeight="1" x14ac:dyDescent="0.25">
      <c r="A33" s="26">
        <f t="shared" si="5"/>
        <v>2026</v>
      </c>
      <c r="B33" s="26">
        <f t="shared" si="6"/>
        <v>1</v>
      </c>
      <c r="C33" s="20">
        <v>46029</v>
      </c>
      <c r="D33" s="21" t="s">
        <v>187</v>
      </c>
      <c r="E33" s="27" t="s">
        <v>148</v>
      </c>
      <c r="F33" s="23" t="str">
        <f>VLOOKUP(E33,Customers[],2,FALSE)</f>
        <v>7-Colour</v>
      </c>
      <c r="G33" s="23" t="str">
        <f>VLOOKUP(E33,Customers[],3,FALSE)</f>
        <v>မြို့သစ်</v>
      </c>
      <c r="H33" s="23" t="str">
        <f>VLOOKUP(E33,Customers[],4,FALSE)</f>
        <v>မိတ္ထီလာ</v>
      </c>
      <c r="I33" s="28" t="s">
        <v>151</v>
      </c>
      <c r="J33" s="29" t="str">
        <f>VLOOKUP(I33,PGStock[],2,FALSE)</f>
        <v>Ngwe Taung  700ml</v>
      </c>
      <c r="K33" s="30">
        <f>VLOOKUP(I33,PGStock[],3,FALSE)</f>
        <v>0.7</v>
      </c>
      <c r="L33" s="104">
        <v>4</v>
      </c>
      <c r="M33" s="31">
        <f>VLOOKUP(I33,PGStock[],6,FALSE)</f>
        <v>150</v>
      </c>
      <c r="N33" s="31">
        <f>+Table8[[#This Row],[SalesBot]]*Table8[[#This Row],[Bonus]]</f>
        <v>600</v>
      </c>
    </row>
    <row r="34" spans="1:14" ht="20.100000000000001" customHeight="1" x14ac:dyDescent="0.25">
      <c r="A34" s="26">
        <f t="shared" si="5"/>
        <v>2026</v>
      </c>
      <c r="B34" s="26">
        <f t="shared" si="6"/>
        <v>1</v>
      </c>
      <c r="C34" s="20">
        <v>46029</v>
      </c>
      <c r="D34" s="21" t="s">
        <v>192</v>
      </c>
      <c r="E34" s="27" t="s">
        <v>170</v>
      </c>
      <c r="F34" s="23" t="str">
        <f>VLOOKUP(E34,Customers[],2,FALSE)</f>
        <v>စိန်ရွှေ</v>
      </c>
      <c r="G34" s="23" t="str">
        <f>VLOOKUP(E34,Customers[],3,FALSE)</f>
        <v>မြို့သစ်</v>
      </c>
      <c r="H34" s="23" t="str">
        <f>VLOOKUP(E34,Customers[],4,FALSE)</f>
        <v>မိတ္ထီလာ</v>
      </c>
      <c r="I34" s="28" t="s">
        <v>151</v>
      </c>
      <c r="J34" s="29" t="str">
        <f>VLOOKUP(I34,PGStock[],2,FALSE)</f>
        <v>Ngwe Taung  700ml</v>
      </c>
      <c r="K34" s="30">
        <f>VLOOKUP(I34,PGStock[],3,FALSE)</f>
        <v>0.7</v>
      </c>
      <c r="L34" s="104">
        <v>5</v>
      </c>
      <c r="M34" s="31">
        <f>VLOOKUP(I34,PGStock[],6,FALSE)</f>
        <v>150</v>
      </c>
      <c r="N34" s="31">
        <f>+Table8[[#This Row],[SalesBot]]*Table8[[#This Row],[Bonus]]</f>
        <v>750</v>
      </c>
    </row>
    <row r="35" spans="1:14" ht="20.100000000000001" customHeight="1" x14ac:dyDescent="0.25">
      <c r="A35" s="26">
        <f t="shared" si="5"/>
        <v>2026</v>
      </c>
      <c r="B35" s="26">
        <f t="shared" si="6"/>
        <v>1</v>
      </c>
      <c r="C35" s="20">
        <v>46029</v>
      </c>
      <c r="D35" s="21" t="s">
        <v>213</v>
      </c>
      <c r="E35" s="27" t="s">
        <v>146</v>
      </c>
      <c r="F35" s="23" t="str">
        <f>VLOOKUP(E35,Customers[],2,FALSE)</f>
        <v>ရွှေမြင့်မိုရ်</v>
      </c>
      <c r="G35" s="23" t="str">
        <f>VLOOKUP(E35,Customers[],3,FALSE)</f>
        <v>မြို့သစ်</v>
      </c>
      <c r="H35" s="23" t="str">
        <f>VLOOKUP(E35,Customers[],4,FALSE)</f>
        <v>မိတ္ထီလာ</v>
      </c>
      <c r="I35" s="28" t="s">
        <v>151</v>
      </c>
      <c r="J35" s="29" t="str">
        <f>VLOOKUP(I35,PGStock[],2,FALSE)</f>
        <v>Ngwe Taung  700ml</v>
      </c>
      <c r="K35" s="30">
        <f>VLOOKUP(I35,PGStock[],3,FALSE)</f>
        <v>0.7</v>
      </c>
      <c r="L35" s="104">
        <v>9</v>
      </c>
      <c r="M35" s="31">
        <f>VLOOKUP(I35,PGStock[],6,FALSE)</f>
        <v>150</v>
      </c>
      <c r="N35" s="31">
        <f>+Table8[[#This Row],[SalesBot]]*Table8[[#This Row],[Bonus]]</f>
        <v>1350</v>
      </c>
    </row>
    <row r="36" spans="1:14" ht="20.100000000000001" customHeight="1" x14ac:dyDescent="0.25">
      <c r="A36" s="26">
        <f t="shared" si="5"/>
        <v>2026</v>
      </c>
      <c r="B36" s="26">
        <f t="shared" si="6"/>
        <v>1</v>
      </c>
      <c r="C36" s="20">
        <v>46029</v>
      </c>
      <c r="D36" s="21" t="s">
        <v>258</v>
      </c>
      <c r="E36" s="27" t="s">
        <v>149</v>
      </c>
      <c r="F36" s="23" t="str">
        <f>VLOOKUP(E36,Customers[],2,FALSE)</f>
        <v>သဇင်ဖြူ</v>
      </c>
      <c r="G36" s="23" t="str">
        <f>VLOOKUP(E36,Customers[],3,FALSE)</f>
        <v>မြို့သစ်</v>
      </c>
      <c r="H36" s="23" t="str">
        <f>VLOOKUP(E36,Customers[],4,FALSE)</f>
        <v>မိတ္ထီလာ</v>
      </c>
      <c r="I36" s="28" t="s">
        <v>151</v>
      </c>
      <c r="J36" s="29" t="str">
        <f>VLOOKUP(I36,PGStock[],2,FALSE)</f>
        <v>Ngwe Taung  700ml</v>
      </c>
      <c r="K36" s="30">
        <f>VLOOKUP(I36,PGStock[],3,FALSE)</f>
        <v>0.7</v>
      </c>
      <c r="L36" s="104">
        <v>4</v>
      </c>
      <c r="M36" s="31">
        <f>VLOOKUP(I36,PGStock[],6,FALSE)</f>
        <v>150</v>
      </c>
      <c r="N36" s="31">
        <f>+Table8[[#This Row],[SalesBot]]*Table8[[#This Row],[Bonus]]</f>
        <v>600</v>
      </c>
    </row>
    <row r="37" spans="1:14" ht="20.100000000000001" customHeight="1" x14ac:dyDescent="0.25">
      <c r="A37" s="26">
        <f t="shared" si="5"/>
        <v>2026</v>
      </c>
      <c r="B37" s="26">
        <f t="shared" si="6"/>
        <v>1</v>
      </c>
      <c r="C37" s="20">
        <v>46030</v>
      </c>
      <c r="D37" s="21" t="s">
        <v>78</v>
      </c>
      <c r="E37" s="27" t="s">
        <v>259</v>
      </c>
      <c r="F37" s="23" t="str">
        <f>VLOOKUP(E37,Customers[],2,FALSE)</f>
        <v>AK</v>
      </c>
      <c r="G37" s="23" t="str">
        <f>VLOOKUP(E37,Customers[],3,FALSE)</f>
        <v>မြို့သစ်</v>
      </c>
      <c r="H37" s="23" t="str">
        <f>VLOOKUP(E37,Customers[],4,FALSE)</f>
        <v>မိတ္ထီလာ</v>
      </c>
      <c r="I37" s="28" t="s">
        <v>151</v>
      </c>
      <c r="J37" s="29" t="str">
        <f>VLOOKUP(I37,PGStock[],2,FALSE)</f>
        <v>Ngwe Taung  700ml</v>
      </c>
      <c r="K37" s="30">
        <f>VLOOKUP(I37,PGStock[],3,FALSE)</f>
        <v>0.7</v>
      </c>
      <c r="L37" s="104">
        <v>6</v>
      </c>
      <c r="M37" s="31">
        <f>VLOOKUP(I37,PGStock[],6,FALSE)</f>
        <v>150</v>
      </c>
      <c r="N37" s="31">
        <f>+Table8[[#This Row],[SalesBot]]*Table8[[#This Row],[Bonus]]</f>
        <v>900</v>
      </c>
    </row>
    <row r="38" spans="1:14" ht="20.100000000000001" customHeight="1" x14ac:dyDescent="0.25">
      <c r="A38" s="26">
        <f t="shared" ref="A38:A62" si="7">YEAR(C38)</f>
        <v>2026</v>
      </c>
      <c r="B38" s="26">
        <f t="shared" ref="B38:B62" si="8">MONTH(C38)</f>
        <v>1</v>
      </c>
      <c r="C38" s="20">
        <v>46030</v>
      </c>
      <c r="D38" s="21" t="s">
        <v>166</v>
      </c>
      <c r="E38" s="27" t="s">
        <v>167</v>
      </c>
      <c r="F38" s="23" t="str">
        <f>VLOOKUP(E38,Customers[],2,FALSE)</f>
        <v>အရှေ့တိုင်း</v>
      </c>
      <c r="G38" s="23" t="str">
        <f>VLOOKUP(E38,Customers[],3,FALSE)</f>
        <v>စည်သူရပ်</v>
      </c>
      <c r="H38" s="23" t="str">
        <f>VLOOKUP(E38,Customers[],4,FALSE)</f>
        <v>မိတ္ထီလာ</v>
      </c>
      <c r="I38" s="28" t="s">
        <v>151</v>
      </c>
      <c r="J38" s="29" t="str">
        <f>VLOOKUP(I38,PGStock[],2,FALSE)</f>
        <v>Ngwe Taung  700ml</v>
      </c>
      <c r="K38" s="30">
        <f>VLOOKUP(I38,PGStock[],3,FALSE)</f>
        <v>0.7</v>
      </c>
      <c r="L38" s="104">
        <v>9</v>
      </c>
      <c r="M38" s="31">
        <f>VLOOKUP(I38,PGStock[],6,FALSE)</f>
        <v>150</v>
      </c>
      <c r="N38" s="31">
        <f>+Table8[[#This Row],[SalesBot]]*Table8[[#This Row],[Bonus]]</f>
        <v>1350</v>
      </c>
    </row>
    <row r="39" spans="1:14" ht="20.100000000000001" customHeight="1" x14ac:dyDescent="0.25">
      <c r="A39" s="26">
        <f t="shared" si="7"/>
        <v>2026</v>
      </c>
      <c r="B39" s="26">
        <f t="shared" si="8"/>
        <v>1</v>
      </c>
      <c r="C39" s="20">
        <v>46030</v>
      </c>
      <c r="D39" s="21" t="s">
        <v>165</v>
      </c>
      <c r="E39" s="27" t="s">
        <v>256</v>
      </c>
      <c r="F39" s="23" t="str">
        <f>VLOOKUP(E39,Customers[],2,FALSE)</f>
        <v>ကမ္ဘာသစ်</v>
      </c>
      <c r="G39" s="23" t="str">
        <f>VLOOKUP(E39,Customers[],3,FALSE)</f>
        <v>မြို့သစ်</v>
      </c>
      <c r="H39" s="23" t="str">
        <f>VLOOKUP(E39,Customers[],4,FALSE)</f>
        <v>မိတ္ထီလာ</v>
      </c>
      <c r="I39" s="28" t="s">
        <v>151</v>
      </c>
      <c r="J39" s="29" t="str">
        <f>VLOOKUP(I39,PGStock[],2,FALSE)</f>
        <v>Ngwe Taung  700ml</v>
      </c>
      <c r="K39" s="30">
        <f>VLOOKUP(I39,PGStock[],3,FALSE)</f>
        <v>0.7</v>
      </c>
      <c r="L39" s="104">
        <v>4</v>
      </c>
      <c r="M39" s="31">
        <f>VLOOKUP(I39,PGStock[],6,FALSE)</f>
        <v>150</v>
      </c>
      <c r="N39" s="31">
        <f>+Table8[[#This Row],[SalesBot]]*Table8[[#This Row],[Bonus]]</f>
        <v>600</v>
      </c>
    </row>
    <row r="40" spans="1:14" ht="20.100000000000001" customHeight="1" x14ac:dyDescent="0.25">
      <c r="A40" s="26">
        <f t="shared" si="7"/>
        <v>2026</v>
      </c>
      <c r="B40" s="26">
        <f t="shared" si="8"/>
        <v>1</v>
      </c>
      <c r="C40" s="20">
        <v>46030</v>
      </c>
      <c r="D40" s="21" t="s">
        <v>192</v>
      </c>
      <c r="E40" s="27" t="s">
        <v>148</v>
      </c>
      <c r="F40" s="23" t="str">
        <f>VLOOKUP(E40,Customers[],2,FALSE)</f>
        <v>7-Colour</v>
      </c>
      <c r="G40" s="23" t="str">
        <f>VLOOKUP(E40,Customers[],3,FALSE)</f>
        <v>မြို့သစ်</v>
      </c>
      <c r="H40" s="23" t="str">
        <f>VLOOKUP(E40,Customers[],4,FALSE)</f>
        <v>မိတ္ထီလာ</v>
      </c>
      <c r="I40" s="28" t="s">
        <v>151</v>
      </c>
      <c r="J40" s="29" t="str">
        <f>VLOOKUP(I40,PGStock[],2,FALSE)</f>
        <v>Ngwe Taung  700ml</v>
      </c>
      <c r="K40" s="30">
        <f>VLOOKUP(I40,PGStock[],3,FALSE)</f>
        <v>0.7</v>
      </c>
      <c r="L40" s="104">
        <v>4</v>
      </c>
      <c r="M40" s="31">
        <f>VLOOKUP(I40,PGStock[],6,FALSE)</f>
        <v>150</v>
      </c>
      <c r="N40" s="31">
        <f>+Table8[[#This Row],[SalesBot]]*Table8[[#This Row],[Bonus]]</f>
        <v>600</v>
      </c>
    </row>
    <row r="41" spans="1:14" ht="20.100000000000001" customHeight="1" x14ac:dyDescent="0.25">
      <c r="A41" s="26">
        <f t="shared" si="7"/>
        <v>2026</v>
      </c>
      <c r="B41" s="26">
        <f t="shared" si="8"/>
        <v>1</v>
      </c>
      <c r="C41" s="20">
        <v>46030</v>
      </c>
      <c r="D41" s="21" t="s">
        <v>213</v>
      </c>
      <c r="E41" s="27" t="s">
        <v>146</v>
      </c>
      <c r="F41" s="23" t="str">
        <f>VLOOKUP(E41,Customers[],2,FALSE)</f>
        <v>ရွှေမြင့်မိုရ်</v>
      </c>
      <c r="G41" s="23" t="str">
        <f>VLOOKUP(E41,Customers[],3,FALSE)</f>
        <v>မြို့သစ်</v>
      </c>
      <c r="H41" s="23" t="str">
        <f>VLOOKUP(E41,Customers[],4,FALSE)</f>
        <v>မိတ္ထီလာ</v>
      </c>
      <c r="I41" s="28" t="s">
        <v>151</v>
      </c>
      <c r="J41" s="29" t="str">
        <f>VLOOKUP(I41,PGStock[],2,FALSE)</f>
        <v>Ngwe Taung  700ml</v>
      </c>
      <c r="K41" s="30">
        <f>VLOOKUP(I41,PGStock[],3,FALSE)</f>
        <v>0.7</v>
      </c>
      <c r="L41" s="104">
        <v>7</v>
      </c>
      <c r="M41" s="31">
        <f>VLOOKUP(I41,PGStock[],6,FALSE)</f>
        <v>150</v>
      </c>
      <c r="N41" s="31">
        <f>+Table8[[#This Row],[SalesBot]]*Table8[[#This Row],[Bonus]]</f>
        <v>1050</v>
      </c>
    </row>
    <row r="42" spans="1:14" ht="20.100000000000001" customHeight="1" x14ac:dyDescent="0.25">
      <c r="A42" s="26">
        <f t="shared" si="7"/>
        <v>2026</v>
      </c>
      <c r="B42" s="26">
        <f t="shared" si="8"/>
        <v>1</v>
      </c>
      <c r="C42" s="20">
        <v>46030</v>
      </c>
      <c r="D42" s="21" t="s">
        <v>258</v>
      </c>
      <c r="E42" s="27" t="s">
        <v>149</v>
      </c>
      <c r="F42" s="23" t="str">
        <f>VLOOKUP(E42,Customers[],2,FALSE)</f>
        <v>သဇင်ဖြူ</v>
      </c>
      <c r="G42" s="23" t="str">
        <f>VLOOKUP(E42,Customers[],3,FALSE)</f>
        <v>မြို့သစ်</v>
      </c>
      <c r="H42" s="23" t="str">
        <f>VLOOKUP(E42,Customers[],4,FALSE)</f>
        <v>မိတ္ထီလာ</v>
      </c>
      <c r="I42" s="28" t="s">
        <v>151</v>
      </c>
      <c r="J42" s="29" t="str">
        <f>VLOOKUP(I42,PGStock[],2,FALSE)</f>
        <v>Ngwe Taung  700ml</v>
      </c>
      <c r="K42" s="30">
        <f>VLOOKUP(I42,PGStock[],3,FALSE)</f>
        <v>0.7</v>
      </c>
      <c r="L42" s="104">
        <v>7</v>
      </c>
      <c r="M42" s="31">
        <f>VLOOKUP(I42,PGStock[],6,FALSE)</f>
        <v>150</v>
      </c>
      <c r="N42" s="31">
        <f>+Table8[[#This Row],[SalesBot]]*Table8[[#This Row],[Bonus]]</f>
        <v>1050</v>
      </c>
    </row>
    <row r="43" spans="1:14" ht="20.100000000000001" customHeight="1" x14ac:dyDescent="0.25">
      <c r="A43" s="26">
        <f t="shared" si="7"/>
        <v>2026</v>
      </c>
      <c r="B43" s="26">
        <f t="shared" si="8"/>
        <v>1</v>
      </c>
      <c r="C43" s="20">
        <v>46031</v>
      </c>
      <c r="D43" s="21" t="s">
        <v>78</v>
      </c>
      <c r="E43" s="27" t="s">
        <v>259</v>
      </c>
      <c r="F43" s="23" t="str">
        <f>VLOOKUP(E43,Customers[],2,FALSE)</f>
        <v>AK</v>
      </c>
      <c r="G43" s="23" t="str">
        <f>VLOOKUP(E43,Customers[],3,FALSE)</f>
        <v>မြို့သစ်</v>
      </c>
      <c r="H43" s="23" t="str">
        <f>VLOOKUP(E43,Customers[],4,FALSE)</f>
        <v>မိတ္ထီလာ</v>
      </c>
      <c r="I43" s="28" t="s">
        <v>151</v>
      </c>
      <c r="J43" s="29" t="str">
        <f>VLOOKUP(I43,PGStock[],2,FALSE)</f>
        <v>Ngwe Taung  700ml</v>
      </c>
      <c r="K43" s="30">
        <f>VLOOKUP(I43,PGStock[],3,FALSE)</f>
        <v>0.7</v>
      </c>
      <c r="L43" s="104">
        <v>5</v>
      </c>
      <c r="M43" s="31">
        <f>VLOOKUP(I43,PGStock[],6,FALSE)</f>
        <v>150</v>
      </c>
      <c r="N43" s="31">
        <f>+Table8[[#This Row],[SalesBot]]*Table8[[#This Row],[Bonus]]</f>
        <v>750</v>
      </c>
    </row>
    <row r="44" spans="1:14" ht="20.100000000000001" customHeight="1" x14ac:dyDescent="0.25">
      <c r="A44" s="26">
        <f t="shared" si="7"/>
        <v>2026</v>
      </c>
      <c r="B44" s="26">
        <f t="shared" si="8"/>
        <v>1</v>
      </c>
      <c r="C44" s="20">
        <v>46031</v>
      </c>
      <c r="D44" s="21" t="s">
        <v>166</v>
      </c>
      <c r="E44" s="27" t="s">
        <v>167</v>
      </c>
      <c r="F44" s="23" t="str">
        <f>VLOOKUP(E44,Customers[],2,FALSE)</f>
        <v>အရှေ့တိုင်း</v>
      </c>
      <c r="G44" s="23" t="str">
        <f>VLOOKUP(E44,Customers[],3,FALSE)</f>
        <v>စည်သူရပ်</v>
      </c>
      <c r="H44" s="23" t="str">
        <f>VLOOKUP(E44,Customers[],4,FALSE)</f>
        <v>မိတ္ထီလာ</v>
      </c>
      <c r="I44" s="28" t="s">
        <v>151</v>
      </c>
      <c r="J44" s="29" t="str">
        <f>VLOOKUP(I44,PGStock[],2,FALSE)</f>
        <v>Ngwe Taung  700ml</v>
      </c>
      <c r="K44" s="30">
        <f>VLOOKUP(I44,PGStock[],3,FALSE)</f>
        <v>0.7</v>
      </c>
      <c r="L44" s="104">
        <v>11</v>
      </c>
      <c r="M44" s="31">
        <f>VLOOKUP(I44,PGStock[],6,FALSE)</f>
        <v>150</v>
      </c>
      <c r="N44" s="31">
        <f>+Table8[[#This Row],[SalesBot]]*Table8[[#This Row],[Bonus]]</f>
        <v>1650</v>
      </c>
    </row>
    <row r="45" spans="1:14" ht="20.100000000000001" customHeight="1" x14ac:dyDescent="0.25">
      <c r="A45" s="26">
        <f t="shared" si="7"/>
        <v>2026</v>
      </c>
      <c r="B45" s="26">
        <f t="shared" si="8"/>
        <v>1</v>
      </c>
      <c r="C45" s="20">
        <v>46031</v>
      </c>
      <c r="D45" s="21" t="s">
        <v>165</v>
      </c>
      <c r="E45" s="27" t="s">
        <v>256</v>
      </c>
      <c r="F45" s="23" t="str">
        <f>VLOOKUP(E45,Customers[],2,FALSE)</f>
        <v>ကမ္ဘာသစ်</v>
      </c>
      <c r="G45" s="23" t="str">
        <f>VLOOKUP(E45,Customers[],3,FALSE)</f>
        <v>မြို့သစ်</v>
      </c>
      <c r="H45" s="23" t="str">
        <f>VLOOKUP(E45,Customers[],4,FALSE)</f>
        <v>မိတ္ထီလာ</v>
      </c>
      <c r="I45" s="28" t="s">
        <v>151</v>
      </c>
      <c r="J45" s="29" t="str">
        <f>VLOOKUP(I45,PGStock[],2,FALSE)</f>
        <v>Ngwe Taung  700ml</v>
      </c>
      <c r="K45" s="30">
        <f>VLOOKUP(I45,PGStock[],3,FALSE)</f>
        <v>0.7</v>
      </c>
      <c r="L45" s="104">
        <v>4</v>
      </c>
      <c r="M45" s="31">
        <f>VLOOKUP(I45,PGStock[],6,FALSE)</f>
        <v>150</v>
      </c>
      <c r="N45" s="31">
        <f>+Table8[[#This Row],[SalesBot]]*Table8[[#This Row],[Bonus]]</f>
        <v>600</v>
      </c>
    </row>
    <row r="46" spans="1:14" ht="19.5" customHeight="1" x14ac:dyDescent="0.25">
      <c r="A46" s="26">
        <f t="shared" si="7"/>
        <v>2026</v>
      </c>
      <c r="B46" s="26">
        <f t="shared" si="8"/>
        <v>1</v>
      </c>
      <c r="C46" s="20">
        <v>46031</v>
      </c>
      <c r="D46" s="21" t="s">
        <v>192</v>
      </c>
      <c r="E46" s="27" t="s">
        <v>148</v>
      </c>
      <c r="F46" s="23" t="str">
        <f>VLOOKUP(E46,Customers[],2,FALSE)</f>
        <v>7-Colour</v>
      </c>
      <c r="G46" s="23" t="str">
        <f>VLOOKUP(E46,Customers[],3,FALSE)</f>
        <v>မြို့သစ်</v>
      </c>
      <c r="H46" s="23" t="str">
        <f>VLOOKUP(E46,Customers[],4,FALSE)</f>
        <v>မိတ္ထီလာ</v>
      </c>
      <c r="I46" s="28" t="s">
        <v>151</v>
      </c>
      <c r="J46" s="29" t="str">
        <f>VLOOKUP(I46,PGStock[],2,FALSE)</f>
        <v>Ngwe Taung  700ml</v>
      </c>
      <c r="K46" s="30">
        <f>VLOOKUP(I46,PGStock[],3,FALSE)</f>
        <v>0.7</v>
      </c>
      <c r="L46" s="104">
        <v>3</v>
      </c>
      <c r="M46" s="31">
        <f>VLOOKUP(I46,PGStock[],6,FALSE)</f>
        <v>150</v>
      </c>
      <c r="N46" s="31">
        <f>+Table8[[#This Row],[SalesBot]]*Table8[[#This Row],[Bonus]]</f>
        <v>450</v>
      </c>
    </row>
    <row r="47" spans="1:14" ht="21" customHeight="1" x14ac:dyDescent="0.25">
      <c r="A47" s="26">
        <f t="shared" si="7"/>
        <v>2026</v>
      </c>
      <c r="B47" s="26">
        <f t="shared" si="8"/>
        <v>1</v>
      </c>
      <c r="C47" s="20">
        <v>46031</v>
      </c>
      <c r="D47" s="21" t="s">
        <v>213</v>
      </c>
      <c r="E47" s="27" t="s">
        <v>146</v>
      </c>
      <c r="F47" s="23" t="str">
        <f>VLOOKUP(E47,Customers[],2,FALSE)</f>
        <v>ရွှေမြင့်မိုရ်</v>
      </c>
      <c r="G47" s="23" t="str">
        <f>VLOOKUP(E47,Customers[],3,FALSE)</f>
        <v>မြို့သစ်</v>
      </c>
      <c r="H47" s="23" t="str">
        <f>VLOOKUP(E47,Customers[],4,FALSE)</f>
        <v>မိတ္ထီလာ</v>
      </c>
      <c r="I47" s="28" t="s">
        <v>151</v>
      </c>
      <c r="J47" s="29" t="str">
        <f>VLOOKUP(I47,PGStock[],2,FALSE)</f>
        <v>Ngwe Taung  700ml</v>
      </c>
      <c r="K47" s="30">
        <f>VLOOKUP(I47,PGStock[],3,FALSE)</f>
        <v>0.7</v>
      </c>
      <c r="L47" s="104">
        <v>6</v>
      </c>
      <c r="M47" s="31">
        <f>VLOOKUP(I47,PGStock[],6,FALSE)</f>
        <v>150</v>
      </c>
      <c r="N47" s="31">
        <f>+Table8[[#This Row],[SalesBot]]*Table8[[#This Row],[Bonus]]</f>
        <v>900</v>
      </c>
    </row>
    <row r="48" spans="1:14" ht="24" customHeight="1" x14ac:dyDescent="0.25">
      <c r="A48" s="26">
        <f t="shared" si="7"/>
        <v>2026</v>
      </c>
      <c r="B48" s="26">
        <f t="shared" si="8"/>
        <v>1</v>
      </c>
      <c r="C48" s="20">
        <v>46031</v>
      </c>
      <c r="D48" s="21" t="s">
        <v>258</v>
      </c>
      <c r="E48" s="27" t="s">
        <v>149</v>
      </c>
      <c r="F48" s="23" t="str">
        <f>VLOOKUP(E48,Customers[],2,FALSE)</f>
        <v>သဇင်ဖြူ</v>
      </c>
      <c r="G48" s="23" t="str">
        <f>VLOOKUP(E48,Customers[],3,FALSE)</f>
        <v>မြို့သစ်</v>
      </c>
      <c r="H48" s="23" t="str">
        <f>VLOOKUP(E48,Customers[],4,FALSE)</f>
        <v>မိတ္ထီလာ</v>
      </c>
      <c r="I48" s="28" t="s">
        <v>151</v>
      </c>
      <c r="J48" s="29" t="str">
        <f>VLOOKUP(I48,PGStock[],2,FALSE)</f>
        <v>Ngwe Taung  700ml</v>
      </c>
      <c r="K48" s="30">
        <f>VLOOKUP(I48,PGStock[],3,FALSE)</f>
        <v>0.7</v>
      </c>
      <c r="L48" s="104">
        <v>4</v>
      </c>
      <c r="M48" s="31">
        <f>VLOOKUP(I48,PGStock[],6,FALSE)</f>
        <v>150</v>
      </c>
      <c r="N48" s="31">
        <f>+Table8[[#This Row],[SalesBot]]*Table8[[#This Row],[Bonus]]</f>
        <v>600</v>
      </c>
    </row>
    <row r="49" spans="1:14" ht="21.75" customHeight="1" x14ac:dyDescent="0.25">
      <c r="A49" s="26">
        <f t="shared" si="7"/>
        <v>2026</v>
      </c>
      <c r="B49" s="26">
        <f t="shared" si="8"/>
        <v>1</v>
      </c>
      <c r="C49" s="20">
        <v>46032</v>
      </c>
      <c r="D49" s="21" t="s">
        <v>78</v>
      </c>
      <c r="E49" s="27" t="s">
        <v>259</v>
      </c>
      <c r="F49" s="23" t="str">
        <f>VLOOKUP(E49,Customers[],2,FALSE)</f>
        <v>AK</v>
      </c>
      <c r="G49" s="23" t="str">
        <f>VLOOKUP(E49,Customers[],3,FALSE)</f>
        <v>မြို့သစ်</v>
      </c>
      <c r="H49" s="23" t="str">
        <f>VLOOKUP(E49,Customers[],4,FALSE)</f>
        <v>မိတ္ထီလာ</v>
      </c>
      <c r="I49" s="28" t="s">
        <v>151</v>
      </c>
      <c r="J49" s="29" t="str">
        <f>VLOOKUP(I49,PGStock[],2,FALSE)</f>
        <v>Ngwe Taung  700ml</v>
      </c>
      <c r="K49" s="30">
        <f>VLOOKUP(I49,PGStock[],3,FALSE)</f>
        <v>0.7</v>
      </c>
      <c r="L49" s="104">
        <v>6</v>
      </c>
      <c r="M49" s="31">
        <f>VLOOKUP(I49,PGStock[],6,FALSE)</f>
        <v>150</v>
      </c>
      <c r="N49" s="31">
        <f>+Table8[[#This Row],[SalesBot]]*Table8[[#This Row],[Bonus]]</f>
        <v>900</v>
      </c>
    </row>
    <row r="50" spans="1:14" ht="20.25" customHeight="1" x14ac:dyDescent="0.25">
      <c r="A50" s="26">
        <f t="shared" si="7"/>
        <v>2026</v>
      </c>
      <c r="B50" s="26">
        <f t="shared" si="8"/>
        <v>1</v>
      </c>
      <c r="C50" s="20">
        <v>46032</v>
      </c>
      <c r="D50" s="21" t="s">
        <v>166</v>
      </c>
      <c r="E50" s="27" t="s">
        <v>167</v>
      </c>
      <c r="F50" s="23" t="str">
        <f>VLOOKUP(E50,Customers[],2,FALSE)</f>
        <v>အရှေ့တိုင်း</v>
      </c>
      <c r="G50" s="23" t="str">
        <f>VLOOKUP(E50,Customers[],3,FALSE)</f>
        <v>စည်သူရပ်</v>
      </c>
      <c r="H50" s="23" t="str">
        <f>VLOOKUP(E50,Customers[],4,FALSE)</f>
        <v>မိတ္ထီလာ</v>
      </c>
      <c r="I50" s="28" t="s">
        <v>151</v>
      </c>
      <c r="J50" s="29" t="str">
        <f>VLOOKUP(I50,PGStock[],2,FALSE)</f>
        <v>Ngwe Taung  700ml</v>
      </c>
      <c r="K50" s="30">
        <f>VLOOKUP(I50,PGStock[],3,FALSE)</f>
        <v>0.7</v>
      </c>
      <c r="L50" s="104">
        <v>10</v>
      </c>
      <c r="M50" s="31">
        <f>VLOOKUP(I50,PGStock[],6,FALSE)</f>
        <v>150</v>
      </c>
      <c r="N50" s="31">
        <f>+Table8[[#This Row],[SalesBot]]*Table8[[#This Row],[Bonus]]</f>
        <v>1500</v>
      </c>
    </row>
    <row r="51" spans="1:14" ht="20.25" customHeight="1" x14ac:dyDescent="0.25">
      <c r="A51" s="26">
        <f t="shared" si="7"/>
        <v>2026</v>
      </c>
      <c r="B51" s="26">
        <f t="shared" si="8"/>
        <v>1</v>
      </c>
      <c r="C51" s="20">
        <v>46032</v>
      </c>
      <c r="D51" s="21" t="s">
        <v>165</v>
      </c>
      <c r="E51" s="27" t="s">
        <v>256</v>
      </c>
      <c r="F51" s="23" t="str">
        <f>VLOOKUP(E51,Customers[],2,FALSE)</f>
        <v>ကမ္ဘာသစ်</v>
      </c>
      <c r="G51" s="23" t="str">
        <f>VLOOKUP(E51,Customers[],3,FALSE)</f>
        <v>မြို့သစ်</v>
      </c>
      <c r="H51" s="23" t="str">
        <f>VLOOKUP(E51,Customers[],4,FALSE)</f>
        <v>မိတ္ထီလာ</v>
      </c>
      <c r="I51" s="28" t="s">
        <v>151</v>
      </c>
      <c r="J51" s="29" t="str">
        <f>VLOOKUP(I51,PGStock[],2,FALSE)</f>
        <v>Ngwe Taung  700ml</v>
      </c>
      <c r="K51" s="30">
        <f>VLOOKUP(I51,PGStock[],3,FALSE)</f>
        <v>0.7</v>
      </c>
      <c r="L51" s="104">
        <v>4</v>
      </c>
      <c r="M51" s="31">
        <f>VLOOKUP(I51,PGStock[],6,FALSE)</f>
        <v>150</v>
      </c>
      <c r="N51" s="31">
        <f>+Table8[[#This Row],[SalesBot]]*Table8[[#This Row],[Bonus]]</f>
        <v>600</v>
      </c>
    </row>
    <row r="52" spans="1:14" ht="24" customHeight="1" x14ac:dyDescent="0.25">
      <c r="A52" s="26">
        <f t="shared" si="7"/>
        <v>2026</v>
      </c>
      <c r="B52" s="26">
        <f t="shared" si="8"/>
        <v>1</v>
      </c>
      <c r="C52" s="20">
        <v>46032</v>
      </c>
      <c r="D52" s="21" t="s">
        <v>192</v>
      </c>
      <c r="E52" s="27" t="s">
        <v>148</v>
      </c>
      <c r="F52" s="23" t="str">
        <f>VLOOKUP(E52,Customers[],2,FALSE)</f>
        <v>7-Colour</v>
      </c>
      <c r="G52" s="23" t="str">
        <f>VLOOKUP(E52,Customers[],3,FALSE)</f>
        <v>မြို့သစ်</v>
      </c>
      <c r="H52" s="23" t="str">
        <f>VLOOKUP(E52,Customers[],4,FALSE)</f>
        <v>မိတ္ထီလာ</v>
      </c>
      <c r="I52" s="28" t="s">
        <v>151</v>
      </c>
      <c r="J52" s="29" t="str">
        <f>VLOOKUP(I52,PGStock[],2,FALSE)</f>
        <v>Ngwe Taung  700ml</v>
      </c>
      <c r="K52" s="30">
        <f>VLOOKUP(I52,PGStock[],3,FALSE)</f>
        <v>0.7</v>
      </c>
      <c r="L52" s="104">
        <v>3</v>
      </c>
      <c r="M52" s="31">
        <f>VLOOKUP(I52,PGStock[],6,FALSE)</f>
        <v>150</v>
      </c>
      <c r="N52" s="31">
        <f>+Table8[[#This Row],[SalesBot]]*Table8[[#This Row],[Bonus]]</f>
        <v>450</v>
      </c>
    </row>
    <row r="53" spans="1:14" ht="20.25" customHeight="1" x14ac:dyDescent="0.25">
      <c r="A53" s="26">
        <f t="shared" si="7"/>
        <v>2026</v>
      </c>
      <c r="B53" s="26">
        <f t="shared" si="8"/>
        <v>1</v>
      </c>
      <c r="C53" s="20">
        <v>46032</v>
      </c>
      <c r="D53" s="21" t="s">
        <v>213</v>
      </c>
      <c r="E53" s="27" t="s">
        <v>146</v>
      </c>
      <c r="F53" s="23" t="str">
        <f>VLOOKUP(E53,Customers[],2,FALSE)</f>
        <v>ရွှေမြင့်မိုရ်</v>
      </c>
      <c r="G53" s="23" t="str">
        <f>VLOOKUP(E53,Customers[],3,FALSE)</f>
        <v>မြို့သစ်</v>
      </c>
      <c r="H53" s="23" t="str">
        <f>VLOOKUP(E53,Customers[],4,FALSE)</f>
        <v>မိတ္ထီလာ</v>
      </c>
      <c r="I53" s="28" t="s">
        <v>151</v>
      </c>
      <c r="J53" s="29" t="str">
        <f>VLOOKUP(I53,PGStock[],2,FALSE)</f>
        <v>Ngwe Taung  700ml</v>
      </c>
      <c r="K53" s="30">
        <f>VLOOKUP(I53,PGStock[],3,FALSE)</f>
        <v>0.7</v>
      </c>
      <c r="L53" s="104">
        <v>6</v>
      </c>
      <c r="M53" s="31">
        <f>VLOOKUP(I53,PGStock[],6,FALSE)</f>
        <v>150</v>
      </c>
      <c r="N53" s="31">
        <f>+Table8[[#This Row],[SalesBot]]*Table8[[#This Row],[Bonus]]</f>
        <v>900</v>
      </c>
    </row>
    <row r="54" spans="1:14" ht="20.100000000000001" customHeight="1" x14ac:dyDescent="0.25">
      <c r="A54" s="26">
        <f t="shared" si="7"/>
        <v>2026</v>
      </c>
      <c r="B54" s="26">
        <f t="shared" si="8"/>
        <v>1</v>
      </c>
      <c r="C54" s="20">
        <v>46032</v>
      </c>
      <c r="D54" s="21" t="s">
        <v>258</v>
      </c>
      <c r="E54" s="27" t="s">
        <v>149</v>
      </c>
      <c r="F54" s="23" t="str">
        <f>VLOOKUP(E54,Customers[],2,FALSE)</f>
        <v>သဇင်ဖြူ</v>
      </c>
      <c r="G54" s="23" t="str">
        <f>VLOOKUP(E54,Customers[],3,FALSE)</f>
        <v>မြို့သစ်</v>
      </c>
      <c r="H54" s="23" t="str">
        <f>VLOOKUP(E54,Customers[],4,FALSE)</f>
        <v>မိတ္ထီလာ</v>
      </c>
      <c r="I54" s="28" t="s">
        <v>151</v>
      </c>
      <c r="J54" s="29" t="str">
        <f>VLOOKUP(I54,PGStock[],2,FALSE)</f>
        <v>Ngwe Taung  700ml</v>
      </c>
      <c r="K54" s="30">
        <f>VLOOKUP(I54,PGStock[],3,FALSE)</f>
        <v>0.7</v>
      </c>
      <c r="L54" s="104">
        <v>3</v>
      </c>
      <c r="M54" s="31">
        <f>VLOOKUP(I54,PGStock[],6,FALSE)</f>
        <v>150</v>
      </c>
      <c r="N54" s="31">
        <f>+Table8[[#This Row],[SalesBot]]*Table8[[#This Row],[Bonus]]</f>
        <v>450</v>
      </c>
    </row>
    <row r="55" spans="1:14" ht="20.100000000000001" customHeight="1" x14ac:dyDescent="0.25">
      <c r="A55" s="26">
        <f t="shared" si="7"/>
        <v>2026</v>
      </c>
      <c r="B55" s="26">
        <f t="shared" si="8"/>
        <v>1</v>
      </c>
      <c r="C55" s="20">
        <v>46034</v>
      </c>
      <c r="D55" s="21" t="s">
        <v>78</v>
      </c>
      <c r="E55" s="27" t="s">
        <v>231</v>
      </c>
      <c r="F55" s="23" t="str">
        <f>VLOOKUP(E55,Customers[],2,FALSE)</f>
        <v>BB</v>
      </c>
      <c r="G55" s="23" t="str">
        <f>VLOOKUP(E55,Customers[],3,FALSE)</f>
        <v>စက်မှု့ဇုန်</v>
      </c>
      <c r="H55" s="23" t="str">
        <f>VLOOKUP(E55,Customers[],4,FALSE)</f>
        <v>မိတ္ထီလာ</v>
      </c>
      <c r="I55" s="28" t="s">
        <v>151</v>
      </c>
      <c r="J55" s="29" t="str">
        <f>VLOOKUP(I55,PGStock[],2,FALSE)</f>
        <v>Ngwe Taung  700ml</v>
      </c>
      <c r="K55" s="30">
        <f>VLOOKUP(I55,PGStock[],3,FALSE)</f>
        <v>0.7</v>
      </c>
      <c r="L55" s="104">
        <v>7</v>
      </c>
      <c r="M55" s="31">
        <f>VLOOKUP(I55,PGStock[],6,FALSE)</f>
        <v>150</v>
      </c>
      <c r="N55" s="31">
        <f>+Table8[[#This Row],[SalesBot]]*Table8[[#This Row],[Bonus]]</f>
        <v>1050</v>
      </c>
    </row>
    <row r="56" spans="1:14" ht="20.100000000000001" customHeight="1" x14ac:dyDescent="0.25">
      <c r="A56" s="26">
        <f t="shared" si="7"/>
        <v>2026</v>
      </c>
      <c r="B56" s="26">
        <f t="shared" si="8"/>
        <v>1</v>
      </c>
      <c r="C56" s="20">
        <v>46034</v>
      </c>
      <c r="D56" s="21" t="s">
        <v>166</v>
      </c>
      <c r="E56" s="27" t="s">
        <v>86</v>
      </c>
      <c r="F56" s="23" t="str">
        <f>VLOOKUP(E56,Customers[],2,FALSE)</f>
        <v>Liquar House</v>
      </c>
      <c r="G56" s="23" t="str">
        <f>VLOOKUP(E56,Customers[],3,FALSE)</f>
        <v>စက်မှု့ဇုန်</v>
      </c>
      <c r="H56" s="23" t="str">
        <f>VLOOKUP(E56,Customers[],4,FALSE)</f>
        <v>မိတ္ထီလာ</v>
      </c>
      <c r="I56" s="28" t="s">
        <v>151</v>
      </c>
      <c r="J56" s="29" t="str">
        <f>VLOOKUP(I56,PGStock[],2,FALSE)</f>
        <v>Ngwe Taung  700ml</v>
      </c>
      <c r="K56" s="30">
        <f>VLOOKUP(I56,PGStock[],3,FALSE)</f>
        <v>0.7</v>
      </c>
      <c r="L56" s="104">
        <v>7</v>
      </c>
      <c r="M56" s="31">
        <f>VLOOKUP(I56,PGStock[],6,FALSE)</f>
        <v>150</v>
      </c>
      <c r="N56" s="31">
        <f>+Table8[[#This Row],[SalesBot]]*Table8[[#This Row],[Bonus]]</f>
        <v>1050</v>
      </c>
    </row>
    <row r="57" spans="1:14" ht="20.100000000000001" customHeight="1" x14ac:dyDescent="0.25">
      <c r="A57" s="26">
        <f t="shared" si="7"/>
        <v>2026</v>
      </c>
      <c r="B57" s="26">
        <f t="shared" si="8"/>
        <v>1</v>
      </c>
      <c r="C57" s="20">
        <v>46034</v>
      </c>
      <c r="D57" s="21" t="s">
        <v>165</v>
      </c>
      <c r="E57" s="27" t="s">
        <v>81</v>
      </c>
      <c r="F57" s="23" t="str">
        <f>VLOOKUP(E57,Customers[],2,FALSE)</f>
        <v>ဟိဏ်းထက်</v>
      </c>
      <c r="G57" s="23" t="str">
        <f>VLOOKUP(E57,Customers[],3,FALSE)</f>
        <v>စက်မှု့ဇုန်</v>
      </c>
      <c r="H57" s="23" t="str">
        <f>VLOOKUP(E57,Customers[],4,FALSE)</f>
        <v>မိတ္ထီလာ</v>
      </c>
      <c r="I57" s="28" t="s">
        <v>151</v>
      </c>
      <c r="J57" s="29" t="str">
        <f>VLOOKUP(I57,PGStock[],2,FALSE)</f>
        <v>Ngwe Taung  700ml</v>
      </c>
      <c r="K57" s="30">
        <f>VLOOKUP(I57,PGStock[],3,FALSE)</f>
        <v>0.7</v>
      </c>
      <c r="L57" s="104">
        <v>3</v>
      </c>
      <c r="M57" s="31">
        <f>VLOOKUP(I57,PGStock[],6,FALSE)</f>
        <v>150</v>
      </c>
      <c r="N57" s="31">
        <f>+Table8[[#This Row],[SalesBot]]*Table8[[#This Row],[Bonus]]</f>
        <v>450</v>
      </c>
    </row>
    <row r="58" spans="1:14" ht="20.100000000000001" customHeight="1" x14ac:dyDescent="0.25">
      <c r="A58" s="26">
        <f t="shared" si="7"/>
        <v>2026</v>
      </c>
      <c r="B58" s="26">
        <f t="shared" si="8"/>
        <v>1</v>
      </c>
      <c r="C58" s="20">
        <v>46034</v>
      </c>
      <c r="D58" s="21" t="s">
        <v>192</v>
      </c>
      <c r="E58" s="27" t="s">
        <v>87</v>
      </c>
      <c r="F58" s="23" t="str">
        <f>VLOOKUP(E58,Customers[],2,FALSE)</f>
        <v>PTK</v>
      </c>
      <c r="G58" s="23" t="str">
        <f>VLOOKUP(E58,Customers[],3,FALSE)</f>
        <v>စက်မှု့ဇုန်</v>
      </c>
      <c r="H58" s="23" t="str">
        <f>VLOOKUP(E58,Customers[],4,FALSE)</f>
        <v>မိတ္ထီလာ</v>
      </c>
      <c r="I58" s="28" t="s">
        <v>151</v>
      </c>
      <c r="J58" s="29" t="str">
        <f>VLOOKUP(I58,PGStock[],2,FALSE)</f>
        <v>Ngwe Taung  700ml</v>
      </c>
      <c r="K58" s="30">
        <f>VLOOKUP(I58,PGStock[],3,FALSE)</f>
        <v>0.7</v>
      </c>
      <c r="L58" s="104">
        <v>3</v>
      </c>
      <c r="M58" s="31">
        <f>VLOOKUP(I58,PGStock[],6,FALSE)</f>
        <v>150</v>
      </c>
      <c r="N58" s="31">
        <f>+Table8[[#This Row],[SalesBot]]*Table8[[#This Row],[Bonus]]</f>
        <v>450</v>
      </c>
    </row>
    <row r="59" spans="1:14" ht="20.100000000000001" customHeight="1" x14ac:dyDescent="0.25">
      <c r="A59" s="26">
        <f t="shared" si="7"/>
        <v>2026</v>
      </c>
      <c r="B59" s="26">
        <f t="shared" si="8"/>
        <v>1</v>
      </c>
      <c r="C59" s="20">
        <v>46034</v>
      </c>
      <c r="D59" s="21" t="s">
        <v>213</v>
      </c>
      <c r="E59" s="27" t="s">
        <v>95</v>
      </c>
      <c r="F59" s="23" t="str">
        <f>VLOOKUP(E59,Customers[],2,FALSE)</f>
        <v>စိန်ခြယ်</v>
      </c>
      <c r="G59" s="23" t="str">
        <f>VLOOKUP(E59,Customers[],3,FALSE)</f>
        <v>ညောင်အိုင့်</v>
      </c>
      <c r="H59" s="23" t="str">
        <f>VLOOKUP(E59,Customers[],4,FALSE)</f>
        <v>မိတ္ထီလာ</v>
      </c>
      <c r="I59" s="28" t="s">
        <v>151</v>
      </c>
      <c r="J59" s="29" t="str">
        <f>VLOOKUP(I59,PGStock[],2,FALSE)</f>
        <v>Ngwe Taung  700ml</v>
      </c>
      <c r="K59" s="30">
        <f>VLOOKUP(I59,PGStock[],3,FALSE)</f>
        <v>0.7</v>
      </c>
      <c r="L59" s="104">
        <v>3</v>
      </c>
      <c r="M59" s="31">
        <f>VLOOKUP(I59,PGStock[],6,FALSE)</f>
        <v>150</v>
      </c>
      <c r="N59" s="31">
        <f>+Table8[[#This Row],[SalesBot]]*Table8[[#This Row],[Bonus]]</f>
        <v>450</v>
      </c>
    </row>
    <row r="60" spans="1:14" ht="20.100000000000001" customHeight="1" x14ac:dyDescent="0.25">
      <c r="A60" s="26">
        <f t="shared" si="7"/>
        <v>2026</v>
      </c>
      <c r="B60" s="26">
        <f t="shared" si="8"/>
        <v>1</v>
      </c>
      <c r="C60" s="20">
        <v>46034</v>
      </c>
      <c r="D60" s="21" t="s">
        <v>258</v>
      </c>
      <c r="E60" s="27" t="s">
        <v>208</v>
      </c>
      <c r="F60" s="23" t="str">
        <f>VLOOKUP(E60,Customers[],2,FALSE)</f>
        <v>အောင်ချမ်းသာ</v>
      </c>
      <c r="G60" s="23" t="str">
        <f>VLOOKUP(E60,Customers[],3,FALSE)</f>
        <v>စက်မှု့ဇုန်</v>
      </c>
      <c r="H60" s="23" t="str">
        <f>VLOOKUP(E60,Customers[],4,FALSE)</f>
        <v>မိတ္ထီလာ</v>
      </c>
      <c r="I60" s="28" t="s">
        <v>151</v>
      </c>
      <c r="J60" s="29" t="str">
        <f>VLOOKUP(I60,PGStock[],2,FALSE)</f>
        <v>Ngwe Taung  700ml</v>
      </c>
      <c r="K60" s="30">
        <f>VLOOKUP(I60,PGStock[],3,FALSE)</f>
        <v>0.7</v>
      </c>
      <c r="L60" s="104">
        <v>3</v>
      </c>
      <c r="M60" s="31">
        <f>VLOOKUP(I60,PGStock[],6,FALSE)</f>
        <v>150</v>
      </c>
      <c r="N60" s="31">
        <f>+Table8[[#This Row],[SalesBot]]*Table8[[#This Row],[Bonus]]</f>
        <v>450</v>
      </c>
    </row>
    <row r="61" spans="1:14" ht="19.5" customHeight="1" x14ac:dyDescent="0.25">
      <c r="A61" s="26">
        <f t="shared" si="7"/>
        <v>2026</v>
      </c>
      <c r="B61" s="26">
        <f t="shared" si="8"/>
        <v>1</v>
      </c>
      <c r="C61" s="20">
        <v>46035</v>
      </c>
      <c r="D61" s="21" t="s">
        <v>78</v>
      </c>
      <c r="E61" s="27" t="s">
        <v>95</v>
      </c>
      <c r="F61" s="23" t="str">
        <f>VLOOKUP(E61,Customers[],2,FALSE)</f>
        <v>စိန်ခြယ်</v>
      </c>
      <c r="G61" s="23" t="str">
        <f>VLOOKUP(E61,Customers[],3,FALSE)</f>
        <v>ညောင်အိုင့်</v>
      </c>
      <c r="H61" s="23" t="str">
        <f>VLOOKUP(E61,Customers[],4,FALSE)</f>
        <v>မိတ္ထီလာ</v>
      </c>
      <c r="I61" s="28" t="s">
        <v>151</v>
      </c>
      <c r="J61" s="29" t="str">
        <f>VLOOKUP(I61,PGStock[],2,FALSE)</f>
        <v>Ngwe Taung  700ml</v>
      </c>
      <c r="K61" s="30">
        <f>VLOOKUP(I61,PGStock[],3,FALSE)</f>
        <v>0.7</v>
      </c>
      <c r="L61" s="104">
        <v>8</v>
      </c>
      <c r="M61" s="31">
        <f>VLOOKUP(I61,PGStock[],6,FALSE)</f>
        <v>150</v>
      </c>
      <c r="N61" s="31">
        <f>+Table8[[#This Row],[SalesBot]]*Table8[[#This Row],[Bonus]]</f>
        <v>1200</v>
      </c>
    </row>
    <row r="62" spans="1:14" ht="21" customHeight="1" x14ac:dyDescent="0.25">
      <c r="A62" s="26">
        <f t="shared" si="7"/>
        <v>2026</v>
      </c>
      <c r="B62" s="26">
        <f t="shared" si="8"/>
        <v>1</v>
      </c>
      <c r="C62" s="20">
        <v>46035</v>
      </c>
      <c r="D62" s="21" t="s">
        <v>166</v>
      </c>
      <c r="E62" s="27" t="s">
        <v>86</v>
      </c>
      <c r="F62" s="23" t="str">
        <f>VLOOKUP(E62,Customers[],2,FALSE)</f>
        <v>Liquar House</v>
      </c>
      <c r="G62" s="23" t="str">
        <f>VLOOKUP(E62,Customers[],3,FALSE)</f>
        <v>စက်မှု့ဇုန်</v>
      </c>
      <c r="H62" s="23" t="str">
        <f>VLOOKUP(E62,Customers[],4,FALSE)</f>
        <v>မိတ္ထီလာ</v>
      </c>
      <c r="I62" s="28" t="s">
        <v>151</v>
      </c>
      <c r="J62" s="29" t="str">
        <f>VLOOKUP(I62,PGStock[],2,FALSE)</f>
        <v>Ngwe Taung  700ml</v>
      </c>
      <c r="K62" s="30">
        <f>VLOOKUP(I62,PGStock[],3,FALSE)</f>
        <v>0.7</v>
      </c>
      <c r="L62" s="104">
        <v>3</v>
      </c>
      <c r="M62" s="31">
        <f>VLOOKUP(I62,PGStock[],6,FALSE)</f>
        <v>150</v>
      </c>
      <c r="N62" s="31">
        <f>+Table8[[#This Row],[SalesBot]]*Table8[[#This Row],[Bonus]]</f>
        <v>450</v>
      </c>
    </row>
    <row r="63" spans="1:14" ht="20.25" customHeight="1" x14ac:dyDescent="0.25">
      <c r="A63" s="26">
        <f t="shared" ref="A63:A72" si="9">YEAR(C63)</f>
        <v>2026</v>
      </c>
      <c r="B63" s="26">
        <f t="shared" ref="B63:B72" si="10">MONTH(C63)</f>
        <v>1</v>
      </c>
      <c r="C63" s="20">
        <v>46035</v>
      </c>
      <c r="D63" s="21" t="s">
        <v>192</v>
      </c>
      <c r="E63" s="27" t="s">
        <v>81</v>
      </c>
      <c r="F63" s="23" t="str">
        <f>VLOOKUP(E63,Customers[],2,FALSE)</f>
        <v>ဟိဏ်းထက်</v>
      </c>
      <c r="G63" s="23" t="str">
        <f>VLOOKUP(E63,Customers[],3,FALSE)</f>
        <v>စက်မှု့ဇုန်</v>
      </c>
      <c r="H63" s="23" t="str">
        <f>VLOOKUP(E63,Customers[],4,FALSE)</f>
        <v>မိတ္ထီလာ</v>
      </c>
      <c r="I63" s="28" t="s">
        <v>151</v>
      </c>
      <c r="J63" s="29" t="str">
        <f>VLOOKUP(I63,PGStock[],2,FALSE)</f>
        <v>Ngwe Taung  700ml</v>
      </c>
      <c r="K63" s="30">
        <f>VLOOKUP(I63,PGStock[],3,FALSE)</f>
        <v>0.7</v>
      </c>
      <c r="L63" s="104">
        <v>3</v>
      </c>
      <c r="M63" s="31">
        <f>VLOOKUP(I63,PGStock[],6,FALSE)</f>
        <v>150</v>
      </c>
      <c r="N63" s="31">
        <f>+Table8[[#This Row],[SalesBot]]*Table8[[#This Row],[Bonus]]</f>
        <v>450</v>
      </c>
    </row>
    <row r="64" spans="1:14" ht="20.100000000000001" customHeight="1" x14ac:dyDescent="0.25">
      <c r="A64" s="26">
        <f t="shared" si="9"/>
        <v>2026</v>
      </c>
      <c r="B64" s="26">
        <f t="shared" si="10"/>
        <v>1</v>
      </c>
      <c r="C64" s="20">
        <v>46035</v>
      </c>
      <c r="D64" s="21" t="s">
        <v>213</v>
      </c>
      <c r="E64" s="27" t="s">
        <v>231</v>
      </c>
      <c r="F64" s="23" t="str">
        <f>VLOOKUP(E64,Customers[],2,FALSE)</f>
        <v>BB</v>
      </c>
      <c r="G64" s="23" t="str">
        <f>VLOOKUP(E64,Customers[],3,FALSE)</f>
        <v>စက်မှု့ဇုန်</v>
      </c>
      <c r="H64" s="23" t="str">
        <f>VLOOKUP(E64,Customers[],4,FALSE)</f>
        <v>မိတ္ထီလာ</v>
      </c>
      <c r="I64" s="28" t="s">
        <v>151</v>
      </c>
      <c r="J64" s="29" t="str">
        <f>VLOOKUP(I64,PGStock[],2,FALSE)</f>
        <v>Ngwe Taung  700ml</v>
      </c>
      <c r="K64" s="30">
        <f>VLOOKUP(I64,PGStock[],3,FALSE)</f>
        <v>0.7</v>
      </c>
      <c r="L64" s="104">
        <v>2</v>
      </c>
      <c r="M64" s="31">
        <f>VLOOKUP(I64,PGStock[],6,FALSE)</f>
        <v>150</v>
      </c>
      <c r="N64" s="31">
        <f>+Table8[[#This Row],[SalesBot]]*Table8[[#This Row],[Bonus]]</f>
        <v>300</v>
      </c>
    </row>
    <row r="65" spans="1:14" ht="20.100000000000001" customHeight="1" x14ac:dyDescent="0.25">
      <c r="A65" s="26">
        <f t="shared" si="9"/>
        <v>2026</v>
      </c>
      <c r="B65" s="26">
        <f t="shared" si="10"/>
        <v>1</v>
      </c>
      <c r="C65" s="20">
        <v>46036</v>
      </c>
      <c r="D65" s="21" t="s">
        <v>78</v>
      </c>
      <c r="E65" s="27" t="s">
        <v>95</v>
      </c>
      <c r="F65" s="23" t="str">
        <f>VLOOKUP(E65,Customers[],2,FALSE)</f>
        <v>စိန်ခြယ်</v>
      </c>
      <c r="G65" s="23" t="str">
        <f>VLOOKUP(E65,Customers[],3,FALSE)</f>
        <v>ညောင်အိုင့်</v>
      </c>
      <c r="H65" s="23" t="str">
        <f>VLOOKUP(E65,Customers[],4,FALSE)</f>
        <v>မိတ္ထီလာ</v>
      </c>
      <c r="I65" s="28" t="s">
        <v>151</v>
      </c>
      <c r="J65" s="29" t="str">
        <f>VLOOKUP(I65,PGStock[],2,FALSE)</f>
        <v>Ngwe Taung  700ml</v>
      </c>
      <c r="K65" s="30">
        <f>VLOOKUP(I65,PGStock[],3,FALSE)</f>
        <v>0.7</v>
      </c>
      <c r="L65" s="104">
        <v>8</v>
      </c>
      <c r="M65" s="31">
        <f>VLOOKUP(I65,PGStock[],6,FALSE)</f>
        <v>150</v>
      </c>
      <c r="N65" s="31">
        <f>+Table8[[#This Row],[SalesBot]]*Table8[[#This Row],[Bonus]]</f>
        <v>1200</v>
      </c>
    </row>
    <row r="66" spans="1:14" ht="20.100000000000001" customHeight="1" x14ac:dyDescent="0.25">
      <c r="A66" s="26">
        <f t="shared" si="9"/>
        <v>2026</v>
      </c>
      <c r="B66" s="26">
        <f t="shared" si="10"/>
        <v>1</v>
      </c>
      <c r="C66" s="20">
        <v>46036</v>
      </c>
      <c r="D66" s="21" t="s">
        <v>166</v>
      </c>
      <c r="E66" s="27" t="s">
        <v>87</v>
      </c>
      <c r="F66" s="23" t="str">
        <f>VLOOKUP(E66,Customers[],2,FALSE)</f>
        <v>PTK</v>
      </c>
      <c r="G66" s="23" t="str">
        <f>VLOOKUP(E66,Customers[],3,FALSE)</f>
        <v>စက်မှု့ဇုန်</v>
      </c>
      <c r="H66" s="23" t="str">
        <f>VLOOKUP(E66,Customers[],4,FALSE)</f>
        <v>မိတ္ထီလာ</v>
      </c>
      <c r="I66" s="28" t="s">
        <v>151</v>
      </c>
      <c r="J66" s="29" t="str">
        <f>VLOOKUP(I66,PGStock[],2,FALSE)</f>
        <v>Ngwe Taung  700ml</v>
      </c>
      <c r="K66" s="30">
        <f>VLOOKUP(I66,PGStock[],3,FALSE)</f>
        <v>0.7</v>
      </c>
      <c r="L66" s="104">
        <v>6</v>
      </c>
      <c r="M66" s="31">
        <f>VLOOKUP(I66,PGStock[],6,FALSE)</f>
        <v>150</v>
      </c>
      <c r="N66" s="31">
        <f>+Table8[[#This Row],[SalesBot]]*Table8[[#This Row],[Bonus]]</f>
        <v>900</v>
      </c>
    </row>
    <row r="67" spans="1:14" ht="20.100000000000001" customHeight="1" x14ac:dyDescent="0.25">
      <c r="A67" s="26">
        <f t="shared" si="9"/>
        <v>2026</v>
      </c>
      <c r="B67" s="26">
        <f t="shared" si="10"/>
        <v>1</v>
      </c>
      <c r="C67" s="20">
        <v>46036</v>
      </c>
      <c r="D67" s="21" t="s">
        <v>165</v>
      </c>
      <c r="E67" s="27" t="s">
        <v>81</v>
      </c>
      <c r="F67" s="23" t="str">
        <f>VLOOKUP(E67,Customers[],2,FALSE)</f>
        <v>ဟိဏ်းထက်</v>
      </c>
      <c r="G67" s="23" t="str">
        <f>VLOOKUP(E67,Customers[],3,FALSE)</f>
        <v>စက်မှု့ဇုန်</v>
      </c>
      <c r="H67" s="23" t="str">
        <f>VLOOKUP(E67,Customers[],4,FALSE)</f>
        <v>မိတ္ထီလာ</v>
      </c>
      <c r="I67" s="28" t="s">
        <v>151</v>
      </c>
      <c r="J67" s="29" t="str">
        <f>VLOOKUP(I67,PGStock[],2,FALSE)</f>
        <v>Ngwe Taung  700ml</v>
      </c>
      <c r="K67" s="30">
        <f>VLOOKUP(I67,PGStock[],3,FALSE)</f>
        <v>0.7</v>
      </c>
      <c r="L67" s="104">
        <v>3</v>
      </c>
      <c r="M67" s="31">
        <f>VLOOKUP(I67,PGStock[],6,FALSE)</f>
        <v>150</v>
      </c>
      <c r="N67" s="31">
        <f>+Table8[[#This Row],[SalesBot]]*Table8[[#This Row],[Bonus]]</f>
        <v>450</v>
      </c>
    </row>
    <row r="68" spans="1:14" ht="20.100000000000001" customHeight="1" x14ac:dyDescent="0.25">
      <c r="A68" s="26">
        <f t="shared" si="9"/>
        <v>2026</v>
      </c>
      <c r="B68" s="26">
        <f t="shared" si="10"/>
        <v>1</v>
      </c>
      <c r="C68" s="20">
        <v>46036</v>
      </c>
      <c r="D68" s="21" t="s">
        <v>192</v>
      </c>
      <c r="E68" s="27" t="s">
        <v>86</v>
      </c>
      <c r="F68" s="23" t="str">
        <f>VLOOKUP(E68,Customers[],2,FALSE)</f>
        <v>Liquar House</v>
      </c>
      <c r="G68" s="23" t="str">
        <f>VLOOKUP(E68,Customers[],3,FALSE)</f>
        <v>စက်မှု့ဇုန်</v>
      </c>
      <c r="H68" s="23" t="str">
        <f>VLOOKUP(E68,Customers[],4,FALSE)</f>
        <v>မိတ္ထီလာ</v>
      </c>
      <c r="I68" s="28" t="s">
        <v>151</v>
      </c>
      <c r="J68" s="29" t="str">
        <f>VLOOKUP(I68,PGStock[],2,FALSE)</f>
        <v>Ngwe Taung  700ml</v>
      </c>
      <c r="K68" s="30">
        <f>VLOOKUP(I68,PGStock[],3,FALSE)</f>
        <v>0.7</v>
      </c>
      <c r="L68" s="104">
        <v>2</v>
      </c>
      <c r="M68" s="31">
        <f>VLOOKUP(I68,PGStock[],6,FALSE)</f>
        <v>150</v>
      </c>
      <c r="N68" s="31">
        <f>+Table8[[#This Row],[SalesBot]]*Table8[[#This Row],[Bonus]]</f>
        <v>300</v>
      </c>
    </row>
    <row r="69" spans="1:14" ht="20.100000000000001" customHeight="1" x14ac:dyDescent="0.25">
      <c r="A69" s="26">
        <f t="shared" si="9"/>
        <v>2026</v>
      </c>
      <c r="B69" s="26">
        <f t="shared" si="10"/>
        <v>1</v>
      </c>
      <c r="C69" s="20">
        <v>46036</v>
      </c>
      <c r="D69" s="21" t="s">
        <v>213</v>
      </c>
      <c r="E69" s="27" t="s">
        <v>231</v>
      </c>
      <c r="F69" s="23" t="str">
        <f>VLOOKUP(E69,Customers[],2,FALSE)</f>
        <v>BB</v>
      </c>
      <c r="G69" s="23" t="str">
        <f>VLOOKUP(E69,Customers[],3,FALSE)</f>
        <v>စက်မှု့ဇုန်</v>
      </c>
      <c r="H69" s="23" t="str">
        <f>VLOOKUP(E69,Customers[],4,FALSE)</f>
        <v>မိတ္ထီလာ</v>
      </c>
      <c r="I69" s="28" t="s">
        <v>151</v>
      </c>
      <c r="J69" s="29" t="str">
        <f>VLOOKUP(I69,PGStock[],2,FALSE)</f>
        <v>Ngwe Taung  700ml</v>
      </c>
      <c r="K69" s="30">
        <f>VLOOKUP(I69,PGStock[],3,FALSE)</f>
        <v>0.7</v>
      </c>
      <c r="L69" s="104">
        <v>5</v>
      </c>
      <c r="M69" s="31">
        <f>VLOOKUP(I69,PGStock[],6,FALSE)</f>
        <v>150</v>
      </c>
      <c r="N69" s="31">
        <f>+Table8[[#This Row],[SalesBot]]*Table8[[#This Row],[Bonus]]</f>
        <v>750</v>
      </c>
    </row>
    <row r="70" spans="1:14" ht="20.25" customHeight="1" x14ac:dyDescent="0.25">
      <c r="A70" s="26">
        <f t="shared" si="9"/>
        <v>2026</v>
      </c>
      <c r="B70" s="26">
        <f t="shared" si="10"/>
        <v>1</v>
      </c>
      <c r="C70" s="20">
        <v>46037</v>
      </c>
      <c r="D70" s="21" t="s">
        <v>78</v>
      </c>
      <c r="E70" s="27" t="s">
        <v>86</v>
      </c>
      <c r="F70" s="23" t="str">
        <f>VLOOKUP(E70,Customers[],2,FALSE)</f>
        <v>Liquar House</v>
      </c>
      <c r="G70" s="23" t="str">
        <f>VLOOKUP(E70,Customers[],3,FALSE)</f>
        <v>စက်မှု့ဇုန်</v>
      </c>
      <c r="H70" s="23" t="str">
        <f>VLOOKUP(E70,Customers[],4,FALSE)</f>
        <v>မိတ္ထီလာ</v>
      </c>
      <c r="I70" s="28" t="s">
        <v>151</v>
      </c>
      <c r="J70" s="29" t="str">
        <f>VLOOKUP(I70,PGStock[],2,FALSE)</f>
        <v>Ngwe Taung  700ml</v>
      </c>
      <c r="K70" s="30">
        <f>VLOOKUP(I70,PGStock[],3,FALSE)</f>
        <v>0.7</v>
      </c>
      <c r="L70" s="104">
        <v>3</v>
      </c>
      <c r="M70" s="31">
        <f>VLOOKUP(I70,PGStock[],6,FALSE)</f>
        <v>150</v>
      </c>
      <c r="N70" s="31">
        <f>+Table8[[#This Row],[SalesBot]]*Table8[[#This Row],[Bonus]]</f>
        <v>450</v>
      </c>
    </row>
    <row r="71" spans="1:14" ht="21.75" customHeight="1" x14ac:dyDescent="0.25">
      <c r="A71" s="26">
        <f t="shared" si="9"/>
        <v>2026</v>
      </c>
      <c r="B71" s="26">
        <f t="shared" si="10"/>
        <v>1</v>
      </c>
      <c r="C71" s="20">
        <v>46037</v>
      </c>
      <c r="D71" s="21" t="s">
        <v>166</v>
      </c>
      <c r="E71" s="27" t="s">
        <v>81</v>
      </c>
      <c r="F71" s="23" t="str">
        <f>VLOOKUP(E71,Customers[],2,FALSE)</f>
        <v>ဟိဏ်းထက်</v>
      </c>
      <c r="G71" s="23" t="str">
        <f>VLOOKUP(E71,Customers[],3,FALSE)</f>
        <v>စက်မှု့ဇုန်</v>
      </c>
      <c r="H71" s="23" t="str">
        <f>VLOOKUP(E71,Customers[],4,FALSE)</f>
        <v>မိတ္ထီလာ</v>
      </c>
      <c r="I71" s="28" t="s">
        <v>151</v>
      </c>
      <c r="J71" s="29" t="str">
        <f>VLOOKUP(I71,PGStock[],2,FALSE)</f>
        <v>Ngwe Taung  700ml</v>
      </c>
      <c r="K71" s="30">
        <f>VLOOKUP(I71,PGStock[],3,FALSE)</f>
        <v>0.7</v>
      </c>
      <c r="L71" s="104">
        <v>4</v>
      </c>
      <c r="M71" s="31">
        <f>VLOOKUP(I71,PGStock[],6,FALSE)</f>
        <v>150</v>
      </c>
      <c r="N71" s="31">
        <f>+Table8[[#This Row],[SalesBot]]*Table8[[#This Row],[Bonus]]</f>
        <v>600</v>
      </c>
    </row>
    <row r="72" spans="1:14" ht="22.5" customHeight="1" x14ac:dyDescent="0.25">
      <c r="A72" s="26">
        <f t="shared" si="9"/>
        <v>2026</v>
      </c>
      <c r="B72" s="26">
        <f t="shared" si="10"/>
        <v>1</v>
      </c>
      <c r="C72" s="20">
        <v>46037</v>
      </c>
      <c r="D72" s="21" t="s">
        <v>192</v>
      </c>
      <c r="E72" s="27" t="s">
        <v>95</v>
      </c>
      <c r="F72" s="23" t="str">
        <f>VLOOKUP(E72,Customers[],2,FALSE)</f>
        <v>စိန်ခြယ်</v>
      </c>
      <c r="G72" s="23" t="str">
        <f>VLOOKUP(E72,Customers[],3,FALSE)</f>
        <v>ညောင်အိုင့်</v>
      </c>
      <c r="H72" s="23" t="str">
        <f>VLOOKUP(E72,Customers[],4,FALSE)</f>
        <v>မိတ္ထီလာ</v>
      </c>
      <c r="I72" s="28" t="s">
        <v>151</v>
      </c>
      <c r="J72" s="29" t="str">
        <f>VLOOKUP(I72,PGStock[],2,FALSE)</f>
        <v>Ngwe Taung  700ml</v>
      </c>
      <c r="K72" s="30">
        <f>VLOOKUP(I72,PGStock[],3,FALSE)</f>
        <v>0.7</v>
      </c>
      <c r="L72" s="104">
        <v>7</v>
      </c>
      <c r="M72" s="31">
        <f>VLOOKUP(I72,PGStock[],6,FALSE)</f>
        <v>150</v>
      </c>
      <c r="N72" s="31">
        <f>+Table8[[#This Row],[SalesBot]]*Table8[[#This Row],[Bonus]]</f>
        <v>1050</v>
      </c>
    </row>
    <row r="73" spans="1:14" ht="23.25" customHeight="1" x14ac:dyDescent="0.25">
      <c r="A73" s="26">
        <f t="shared" si="5"/>
        <v>2026</v>
      </c>
      <c r="B73" s="26">
        <f t="shared" si="6"/>
        <v>1</v>
      </c>
      <c r="C73" s="20">
        <v>46037</v>
      </c>
      <c r="D73" s="21" t="s">
        <v>213</v>
      </c>
      <c r="E73" s="27" t="s">
        <v>231</v>
      </c>
      <c r="F73" s="23" t="str">
        <f>VLOOKUP(E73,Customers[],2,FALSE)</f>
        <v>BB</v>
      </c>
      <c r="G73" s="23" t="str">
        <f>VLOOKUP(E73,Customers[],3,FALSE)</f>
        <v>စက်မှု့ဇုန်</v>
      </c>
      <c r="H73" s="23" t="str">
        <f>VLOOKUP(E73,Customers[],4,FALSE)</f>
        <v>မိတ္ထီလာ</v>
      </c>
      <c r="I73" s="28" t="s">
        <v>151</v>
      </c>
      <c r="J73" s="29" t="str">
        <f>VLOOKUP(I73,PGStock[],2,FALSE)</f>
        <v>Ngwe Taung  700ml</v>
      </c>
      <c r="K73" s="30">
        <f>VLOOKUP(I73,PGStock[],3,FALSE)</f>
        <v>0.7</v>
      </c>
      <c r="L73" s="104">
        <v>3</v>
      </c>
      <c r="M73" s="31">
        <f>VLOOKUP(I73,PGStock[],6,FALSE)</f>
        <v>150</v>
      </c>
      <c r="N73" s="31">
        <f>+Table8[[#This Row],[SalesBot]]*Table8[[#This Row],[Bonus]]</f>
        <v>450</v>
      </c>
    </row>
    <row r="74" spans="1:14" ht="23.25" customHeight="1" x14ac:dyDescent="0.25">
      <c r="A74" s="26">
        <f t="shared" ref="A74:A81" si="11">YEAR(C74)</f>
        <v>2026</v>
      </c>
      <c r="B74" s="26">
        <f t="shared" ref="B74:B81" si="12">MONTH(C74)</f>
        <v>1</v>
      </c>
      <c r="C74" s="20">
        <v>46038</v>
      </c>
      <c r="D74" s="21" t="s">
        <v>78</v>
      </c>
      <c r="E74" s="27" t="s">
        <v>231</v>
      </c>
      <c r="F74" s="23" t="str">
        <f>VLOOKUP(E74,Customers[],2,FALSE)</f>
        <v>BB</v>
      </c>
      <c r="G74" s="23" t="str">
        <f>VLOOKUP(E74,Customers[],3,FALSE)</f>
        <v>စက်မှု့ဇုန်</v>
      </c>
      <c r="H74" s="23" t="str">
        <f>VLOOKUP(E74,Customers[],4,FALSE)</f>
        <v>မိတ္ထီလာ</v>
      </c>
      <c r="I74" s="28" t="s">
        <v>151</v>
      </c>
      <c r="J74" s="29" t="str">
        <f>VLOOKUP(I74,PGStock[],2,FALSE)</f>
        <v>Ngwe Taung  700ml</v>
      </c>
      <c r="K74" s="30">
        <f>VLOOKUP(I74,PGStock[],3,FALSE)</f>
        <v>0.7</v>
      </c>
      <c r="L74" s="104">
        <v>9</v>
      </c>
      <c r="M74" s="31">
        <f>VLOOKUP(I74,PGStock[],6,FALSE)</f>
        <v>150</v>
      </c>
      <c r="N74" s="31">
        <f>+Table8[[#This Row],[SalesBot]]*Table8[[#This Row],[Bonus]]</f>
        <v>1350</v>
      </c>
    </row>
    <row r="75" spans="1:14" ht="23.25" customHeight="1" x14ac:dyDescent="0.25">
      <c r="A75" s="26">
        <f t="shared" si="11"/>
        <v>2026</v>
      </c>
      <c r="B75" s="26">
        <f t="shared" si="12"/>
        <v>1</v>
      </c>
      <c r="C75" s="20">
        <v>46038</v>
      </c>
      <c r="D75" s="21" t="s">
        <v>166</v>
      </c>
      <c r="E75" s="27" t="s">
        <v>87</v>
      </c>
      <c r="F75" s="23" t="str">
        <f>VLOOKUP(E75,Customers[],2,FALSE)</f>
        <v>PTK</v>
      </c>
      <c r="G75" s="23" t="str">
        <f>VLOOKUP(E75,Customers[],3,FALSE)</f>
        <v>စက်မှု့ဇုန်</v>
      </c>
      <c r="H75" s="23" t="str">
        <f>VLOOKUP(E75,Customers[],4,FALSE)</f>
        <v>မိတ္ထီလာ</v>
      </c>
      <c r="I75" s="28" t="s">
        <v>151</v>
      </c>
      <c r="J75" s="29" t="str">
        <f>VLOOKUP(I75,PGStock[],2,FALSE)</f>
        <v>Ngwe Taung  700ml</v>
      </c>
      <c r="K75" s="30">
        <f>VLOOKUP(I75,PGStock[],3,FALSE)</f>
        <v>0.7</v>
      </c>
      <c r="L75" s="104">
        <v>2</v>
      </c>
      <c r="M75" s="31">
        <f>VLOOKUP(I75,PGStock[],6,FALSE)</f>
        <v>150</v>
      </c>
      <c r="N75" s="31">
        <f>+Table8[[#This Row],[SalesBot]]*Table8[[#This Row],[Bonus]]</f>
        <v>300</v>
      </c>
    </row>
    <row r="76" spans="1:14" ht="23.25" customHeight="1" x14ac:dyDescent="0.25">
      <c r="A76" s="26">
        <f t="shared" si="11"/>
        <v>2026</v>
      </c>
      <c r="B76" s="26">
        <f t="shared" si="12"/>
        <v>1</v>
      </c>
      <c r="C76" s="20">
        <v>46038</v>
      </c>
      <c r="D76" s="21" t="s">
        <v>192</v>
      </c>
      <c r="E76" s="27" t="s">
        <v>95</v>
      </c>
      <c r="F76" s="23" t="str">
        <f>VLOOKUP(E76,Customers[],2,FALSE)</f>
        <v>စိန်ခြယ်</v>
      </c>
      <c r="G76" s="23" t="str">
        <f>VLOOKUP(E76,Customers[],3,FALSE)</f>
        <v>ညောင်အိုင့်</v>
      </c>
      <c r="H76" s="23" t="str">
        <f>VLOOKUP(E76,Customers[],4,FALSE)</f>
        <v>မိတ္ထီလာ</v>
      </c>
      <c r="I76" s="28" t="s">
        <v>151</v>
      </c>
      <c r="J76" s="29" t="str">
        <f>VLOOKUP(I76,PGStock[],2,FALSE)</f>
        <v>Ngwe Taung  700ml</v>
      </c>
      <c r="K76" s="30">
        <f>VLOOKUP(I76,PGStock[],3,FALSE)</f>
        <v>0.7</v>
      </c>
      <c r="L76" s="104">
        <v>7</v>
      </c>
      <c r="M76" s="31">
        <f>VLOOKUP(I76,PGStock[],6,FALSE)</f>
        <v>150</v>
      </c>
      <c r="N76" s="31">
        <f>+Table8[[#This Row],[SalesBot]]*Table8[[#This Row],[Bonus]]</f>
        <v>1050</v>
      </c>
    </row>
    <row r="77" spans="1:14" ht="23.25" customHeight="1" x14ac:dyDescent="0.25">
      <c r="A77" s="26">
        <f t="shared" si="11"/>
        <v>2026</v>
      </c>
      <c r="B77" s="26">
        <f t="shared" si="12"/>
        <v>1</v>
      </c>
      <c r="C77" s="20">
        <v>46038</v>
      </c>
      <c r="D77" s="21" t="s">
        <v>213</v>
      </c>
      <c r="E77" s="27" t="s">
        <v>81</v>
      </c>
      <c r="F77" s="23" t="str">
        <f>VLOOKUP(E77,Customers[],2,FALSE)</f>
        <v>ဟိဏ်းထက်</v>
      </c>
      <c r="G77" s="23" t="str">
        <f>VLOOKUP(E77,Customers[],3,FALSE)</f>
        <v>စက်မှု့ဇုန်</v>
      </c>
      <c r="H77" s="23" t="str">
        <f>VLOOKUP(E77,Customers[],4,FALSE)</f>
        <v>မိတ္ထီလာ</v>
      </c>
      <c r="I77" s="28" t="s">
        <v>151</v>
      </c>
      <c r="J77" s="29" t="str">
        <f>VLOOKUP(I77,PGStock[],2,FALSE)</f>
        <v>Ngwe Taung  700ml</v>
      </c>
      <c r="K77" s="30">
        <f>VLOOKUP(I77,PGStock[],3,FALSE)</f>
        <v>0.7</v>
      </c>
      <c r="L77" s="104">
        <v>3</v>
      </c>
      <c r="M77" s="31">
        <f>VLOOKUP(I77,PGStock[],6,FALSE)</f>
        <v>150</v>
      </c>
      <c r="N77" s="31">
        <f>+Table8[[#This Row],[SalesBot]]*Table8[[#This Row],[Bonus]]</f>
        <v>450</v>
      </c>
    </row>
    <row r="78" spans="1:14" ht="23.25" customHeight="1" x14ac:dyDescent="0.25">
      <c r="A78" s="26">
        <f t="shared" si="11"/>
        <v>2026</v>
      </c>
      <c r="B78" s="26">
        <f t="shared" si="12"/>
        <v>1</v>
      </c>
      <c r="C78" s="20">
        <v>46039</v>
      </c>
      <c r="D78" s="21" t="s">
        <v>78</v>
      </c>
      <c r="E78" s="27" t="s">
        <v>81</v>
      </c>
      <c r="F78" s="23" t="str">
        <f>VLOOKUP(E78,Customers[],2,FALSE)</f>
        <v>ဟိဏ်းထက်</v>
      </c>
      <c r="G78" s="23" t="str">
        <f>VLOOKUP(E78,Customers[],3,FALSE)</f>
        <v>စက်မှု့ဇုန်</v>
      </c>
      <c r="H78" s="23" t="str">
        <f>VLOOKUP(E78,Customers[],4,FALSE)</f>
        <v>မိတ္ထီလာ</v>
      </c>
      <c r="I78" s="28" t="s">
        <v>151</v>
      </c>
      <c r="J78" s="29" t="str">
        <f>VLOOKUP(I78,PGStock[],2,FALSE)</f>
        <v>Ngwe Taung  700ml</v>
      </c>
      <c r="K78" s="30">
        <f>VLOOKUP(I78,PGStock[],3,FALSE)</f>
        <v>0.7</v>
      </c>
      <c r="L78" s="104">
        <v>7</v>
      </c>
      <c r="M78" s="31">
        <f>VLOOKUP(I78,PGStock[],6,FALSE)</f>
        <v>150</v>
      </c>
      <c r="N78" s="31">
        <f>+Table8[[#This Row],[SalesBot]]*Table8[[#This Row],[Bonus]]</f>
        <v>1050</v>
      </c>
    </row>
    <row r="79" spans="1:14" ht="23.25" customHeight="1" x14ac:dyDescent="0.25">
      <c r="A79" s="26">
        <f t="shared" si="11"/>
        <v>2026</v>
      </c>
      <c r="B79" s="26">
        <f t="shared" si="12"/>
        <v>1</v>
      </c>
      <c r="C79" s="20">
        <v>46039</v>
      </c>
      <c r="D79" s="21" t="s">
        <v>166</v>
      </c>
      <c r="E79" s="27" t="s">
        <v>231</v>
      </c>
      <c r="F79" s="23" t="str">
        <f>VLOOKUP(E79,Customers[],2,FALSE)</f>
        <v>BB</v>
      </c>
      <c r="G79" s="23" t="str">
        <f>VLOOKUP(E79,Customers[],3,FALSE)</f>
        <v>စက်မှု့ဇုန်</v>
      </c>
      <c r="H79" s="23" t="str">
        <f>VLOOKUP(E79,Customers[],4,FALSE)</f>
        <v>မိတ္ထီလာ</v>
      </c>
      <c r="I79" s="28" t="s">
        <v>151</v>
      </c>
      <c r="J79" s="29" t="str">
        <f>VLOOKUP(I79,PGStock[],2,FALSE)</f>
        <v>Ngwe Taung  700ml</v>
      </c>
      <c r="K79" s="30">
        <f>VLOOKUP(I79,PGStock[],3,FALSE)</f>
        <v>0.7</v>
      </c>
      <c r="L79" s="104">
        <v>12</v>
      </c>
      <c r="M79" s="31">
        <f>VLOOKUP(I79,PGStock[],6,FALSE)</f>
        <v>150</v>
      </c>
      <c r="N79" s="31">
        <f>+Table8[[#This Row],[SalesBot]]*Table8[[#This Row],[Bonus]]</f>
        <v>1800</v>
      </c>
    </row>
    <row r="80" spans="1:14" ht="23.25" customHeight="1" x14ac:dyDescent="0.25">
      <c r="A80" s="26">
        <f t="shared" si="11"/>
        <v>2026</v>
      </c>
      <c r="B80" s="26">
        <f t="shared" si="12"/>
        <v>1</v>
      </c>
      <c r="C80" s="20">
        <v>46039</v>
      </c>
      <c r="D80" s="21" t="s">
        <v>165</v>
      </c>
      <c r="E80" s="27" t="s">
        <v>86</v>
      </c>
      <c r="F80" s="23" t="str">
        <f>VLOOKUP(E80,Customers[],2,FALSE)</f>
        <v>Liquar House</v>
      </c>
      <c r="G80" s="23" t="str">
        <f>VLOOKUP(E80,Customers[],3,FALSE)</f>
        <v>စက်မှု့ဇုန်</v>
      </c>
      <c r="H80" s="23" t="str">
        <f>VLOOKUP(E80,Customers[],4,FALSE)</f>
        <v>မိတ္ထီလာ</v>
      </c>
      <c r="I80" s="28" t="s">
        <v>151</v>
      </c>
      <c r="J80" s="29" t="str">
        <f>VLOOKUP(I80,PGStock[],2,FALSE)</f>
        <v>Ngwe Taung  700ml</v>
      </c>
      <c r="K80" s="30">
        <f>VLOOKUP(I80,PGStock[],3,FALSE)</f>
        <v>0.7</v>
      </c>
      <c r="L80" s="104">
        <v>3</v>
      </c>
      <c r="M80" s="31">
        <f>VLOOKUP(I80,PGStock[],6,FALSE)</f>
        <v>150</v>
      </c>
      <c r="N80" s="31">
        <f>+Table8[[#This Row],[SalesBot]]*Table8[[#This Row],[Bonus]]</f>
        <v>450</v>
      </c>
    </row>
    <row r="81" spans="1:14" ht="23.25" customHeight="1" x14ac:dyDescent="0.25">
      <c r="A81" s="26">
        <f t="shared" si="11"/>
        <v>2026</v>
      </c>
      <c r="B81" s="26">
        <f t="shared" si="12"/>
        <v>1</v>
      </c>
      <c r="C81" s="20">
        <v>46039</v>
      </c>
      <c r="D81" s="21" t="s">
        <v>213</v>
      </c>
      <c r="E81" s="27" t="s">
        <v>95</v>
      </c>
      <c r="F81" s="23" t="str">
        <f>VLOOKUP(E81,Customers[],2,FALSE)</f>
        <v>စိန်ခြယ်</v>
      </c>
      <c r="G81" s="23" t="str">
        <f>VLOOKUP(E81,Customers[],3,FALSE)</f>
        <v>ညောင်အိုင့်</v>
      </c>
      <c r="H81" s="23" t="str">
        <f>VLOOKUP(E81,Customers[],4,FALSE)</f>
        <v>မိတ္ထီလာ</v>
      </c>
      <c r="I81" s="28" t="s">
        <v>151</v>
      </c>
      <c r="J81" s="29" t="str">
        <f>VLOOKUP(I81,PGStock[],2,FALSE)</f>
        <v>Ngwe Taung  700ml</v>
      </c>
      <c r="K81" s="30">
        <f>VLOOKUP(I81,PGStock[],3,FALSE)</f>
        <v>0.7</v>
      </c>
      <c r="L81" s="104">
        <v>8</v>
      </c>
      <c r="M81" s="31">
        <f>VLOOKUP(I81,PGStock[],6,FALSE)</f>
        <v>150</v>
      </c>
      <c r="N81" s="31">
        <f>+Table8[[#This Row],[SalesBot]]*Table8[[#This Row],[Bonus]]</f>
        <v>1200</v>
      </c>
    </row>
    <row r="82" spans="1:14" ht="26.25" customHeight="1" x14ac:dyDescent="0.25">
      <c r="A82" s="26">
        <f t="shared" ref="A82:A91" si="13">YEAR(C82)</f>
        <v>2026</v>
      </c>
      <c r="B82" s="26">
        <f t="shared" ref="B82:B91" si="14">MONTH(C82)</f>
        <v>1</v>
      </c>
      <c r="C82" s="20">
        <v>46041</v>
      </c>
      <c r="D82" s="21" t="s">
        <v>78</v>
      </c>
      <c r="E82" s="27" t="s">
        <v>81</v>
      </c>
      <c r="F82" s="23" t="str">
        <f>VLOOKUP(E82,Customers[],2,FALSE)</f>
        <v>ဟိဏ်းထက်</v>
      </c>
      <c r="G82" s="23" t="str">
        <f>VLOOKUP(E82,Customers[],3,FALSE)</f>
        <v>စက်မှု့ဇုန်</v>
      </c>
      <c r="H82" s="23" t="str">
        <f>VLOOKUP(E82,Customers[],4,FALSE)</f>
        <v>မိတ္ထီလာ</v>
      </c>
      <c r="I82" s="28" t="s">
        <v>151</v>
      </c>
      <c r="J82" s="29" t="str">
        <f>VLOOKUP(I82,PGStock[],2,FALSE)</f>
        <v>Ngwe Taung  700ml</v>
      </c>
      <c r="K82" s="30">
        <f>VLOOKUP(I82,PGStock[],3,FALSE)</f>
        <v>0.7</v>
      </c>
      <c r="L82" s="104">
        <v>8</v>
      </c>
      <c r="M82" s="31">
        <f>VLOOKUP(I82,PGStock[],6,FALSE)</f>
        <v>150</v>
      </c>
      <c r="N82" s="31">
        <f>+Table8[[#This Row],[SalesBot]]*Table8[[#This Row],[Bonus]]</f>
        <v>1200</v>
      </c>
    </row>
    <row r="83" spans="1:14" ht="23.25" customHeight="1" x14ac:dyDescent="0.25">
      <c r="A83" s="26">
        <f t="shared" si="13"/>
        <v>2026</v>
      </c>
      <c r="B83" s="26">
        <f t="shared" si="14"/>
        <v>1</v>
      </c>
      <c r="C83" s="20">
        <v>46041</v>
      </c>
      <c r="D83" s="21" t="s">
        <v>166</v>
      </c>
      <c r="E83" s="27" t="s">
        <v>86</v>
      </c>
      <c r="F83" s="23" t="str">
        <f>VLOOKUP(E83,Customers[],2,FALSE)</f>
        <v>Liquar House</v>
      </c>
      <c r="G83" s="23" t="str">
        <f>VLOOKUP(E83,Customers[],3,FALSE)</f>
        <v>စက်မှု့ဇုန်</v>
      </c>
      <c r="H83" s="23" t="str">
        <f>VLOOKUP(E83,Customers[],4,FALSE)</f>
        <v>မိတ္ထီလာ</v>
      </c>
      <c r="I83" s="28" t="s">
        <v>151</v>
      </c>
      <c r="J83" s="29" t="str">
        <f>VLOOKUP(I83,PGStock[],2,FALSE)</f>
        <v>Ngwe Taung  700ml</v>
      </c>
      <c r="K83" s="30">
        <f>VLOOKUP(I83,PGStock[],3,FALSE)</f>
        <v>0.7</v>
      </c>
      <c r="L83" s="104">
        <v>5</v>
      </c>
      <c r="M83" s="31">
        <f>VLOOKUP(I83,PGStock[],6,FALSE)</f>
        <v>150</v>
      </c>
      <c r="N83" s="31">
        <f>+Table8[[#This Row],[SalesBot]]*Table8[[#This Row],[Bonus]]</f>
        <v>750</v>
      </c>
    </row>
    <row r="84" spans="1:14" ht="23.25" customHeight="1" x14ac:dyDescent="0.25">
      <c r="A84" s="26">
        <f t="shared" si="13"/>
        <v>2026</v>
      </c>
      <c r="B84" s="26">
        <f t="shared" si="14"/>
        <v>1</v>
      </c>
      <c r="C84" s="20">
        <v>46041</v>
      </c>
      <c r="D84" s="21" t="s">
        <v>192</v>
      </c>
      <c r="E84" s="27" t="s">
        <v>95</v>
      </c>
      <c r="F84" s="23" t="str">
        <f>VLOOKUP(E84,Customers[],2,FALSE)</f>
        <v>စိန်ခြယ်</v>
      </c>
      <c r="G84" s="23" t="str">
        <f>VLOOKUP(E84,Customers[],3,FALSE)</f>
        <v>ညောင်အိုင့်</v>
      </c>
      <c r="H84" s="23" t="str">
        <f>VLOOKUP(E84,Customers[],4,FALSE)</f>
        <v>မိတ္ထီလာ</v>
      </c>
      <c r="I84" s="28" t="s">
        <v>151</v>
      </c>
      <c r="J84" s="29" t="str">
        <f>VLOOKUP(I84,PGStock[],2,FALSE)</f>
        <v>Ngwe Taung  700ml</v>
      </c>
      <c r="K84" s="30">
        <f>VLOOKUP(I84,PGStock[],3,FALSE)</f>
        <v>0.7</v>
      </c>
      <c r="L84" s="104">
        <v>9</v>
      </c>
      <c r="M84" s="31">
        <f>VLOOKUP(I84,PGStock[],6,FALSE)</f>
        <v>150</v>
      </c>
      <c r="N84" s="31">
        <f>+Table8[[#This Row],[SalesBot]]*Table8[[#This Row],[Bonus]]</f>
        <v>1350</v>
      </c>
    </row>
    <row r="85" spans="1:14" ht="23.25" customHeight="1" x14ac:dyDescent="0.25">
      <c r="A85" s="26">
        <f t="shared" si="13"/>
        <v>2026</v>
      </c>
      <c r="B85" s="26">
        <f t="shared" si="14"/>
        <v>1</v>
      </c>
      <c r="C85" s="20">
        <v>46042</v>
      </c>
      <c r="D85" s="21" t="s">
        <v>78</v>
      </c>
      <c r="E85" s="27" t="s">
        <v>81</v>
      </c>
      <c r="F85" s="23" t="str">
        <f>VLOOKUP(E85,Customers[],2,FALSE)</f>
        <v>ဟိဏ်းထက်</v>
      </c>
      <c r="G85" s="23" t="str">
        <f>VLOOKUP(E85,Customers[],3,FALSE)</f>
        <v>စက်မှု့ဇုန်</v>
      </c>
      <c r="H85" s="23" t="str">
        <f>VLOOKUP(E85,Customers[],4,FALSE)</f>
        <v>မိတ္ထီလာ</v>
      </c>
      <c r="I85" s="28" t="s">
        <v>151</v>
      </c>
      <c r="J85" s="29" t="str">
        <f>VLOOKUP(I85,PGStock[],2,FALSE)</f>
        <v>Ngwe Taung  700ml</v>
      </c>
      <c r="K85" s="30">
        <f>VLOOKUP(I85,PGStock[],3,FALSE)</f>
        <v>0.7</v>
      </c>
      <c r="L85" s="104">
        <v>17</v>
      </c>
      <c r="M85" s="31">
        <f>VLOOKUP(I85,PGStock[],6,FALSE)</f>
        <v>150</v>
      </c>
      <c r="N85" s="31">
        <f>+Table8[[#This Row],[SalesBot]]*Table8[[#This Row],[Bonus]]</f>
        <v>2550</v>
      </c>
    </row>
    <row r="86" spans="1:14" ht="23.25" customHeight="1" x14ac:dyDescent="0.25">
      <c r="A86" s="26">
        <f t="shared" si="13"/>
        <v>2026</v>
      </c>
      <c r="B86" s="26">
        <f t="shared" si="14"/>
        <v>1</v>
      </c>
      <c r="C86" s="20">
        <v>46042</v>
      </c>
      <c r="D86" s="21" t="s">
        <v>166</v>
      </c>
      <c r="E86" s="27" t="s">
        <v>86</v>
      </c>
      <c r="F86" s="23" t="str">
        <f>VLOOKUP(E86,Customers[],2,FALSE)</f>
        <v>Liquar House</v>
      </c>
      <c r="G86" s="23" t="str">
        <f>VLOOKUP(E86,Customers[],3,FALSE)</f>
        <v>စက်မှု့ဇုန်</v>
      </c>
      <c r="H86" s="23" t="str">
        <f>VLOOKUP(E86,Customers[],4,FALSE)</f>
        <v>မိတ္ထီလာ</v>
      </c>
      <c r="I86" s="28" t="s">
        <v>151</v>
      </c>
      <c r="J86" s="29" t="str">
        <f>VLOOKUP(I86,PGStock[],2,FALSE)</f>
        <v>Ngwe Taung  700ml</v>
      </c>
      <c r="K86" s="30">
        <f>VLOOKUP(I86,PGStock[],3,FALSE)</f>
        <v>0.7</v>
      </c>
      <c r="L86" s="104">
        <v>6</v>
      </c>
      <c r="M86" s="31">
        <f>VLOOKUP(I86,PGStock[],6,FALSE)</f>
        <v>150</v>
      </c>
      <c r="N86" s="31">
        <f>+Table8[[#This Row],[SalesBot]]*Table8[[#This Row],[Bonus]]</f>
        <v>900</v>
      </c>
    </row>
    <row r="87" spans="1:14" ht="23.25" customHeight="1" x14ac:dyDescent="0.25">
      <c r="A87" s="26">
        <f t="shared" si="13"/>
        <v>2026</v>
      </c>
      <c r="B87" s="26">
        <f t="shared" si="14"/>
        <v>1</v>
      </c>
      <c r="C87" s="20">
        <v>46042</v>
      </c>
      <c r="D87" s="21" t="s">
        <v>192</v>
      </c>
      <c r="E87" s="27" t="s">
        <v>95</v>
      </c>
      <c r="F87" s="23" t="str">
        <f>VLOOKUP(E87,Customers[],2,FALSE)</f>
        <v>စိန်ခြယ်</v>
      </c>
      <c r="G87" s="23" t="str">
        <f>VLOOKUP(E87,Customers[],3,FALSE)</f>
        <v>ညောင်အိုင့်</v>
      </c>
      <c r="H87" s="23" t="str">
        <f>VLOOKUP(E87,Customers[],4,FALSE)</f>
        <v>မိတ္ထီလာ</v>
      </c>
      <c r="I87" s="28" t="s">
        <v>151</v>
      </c>
      <c r="J87" s="29" t="str">
        <f>VLOOKUP(I87,PGStock[],2,FALSE)</f>
        <v>Ngwe Taung  700ml</v>
      </c>
      <c r="K87" s="30">
        <f>VLOOKUP(I87,PGStock[],3,FALSE)</f>
        <v>0.7</v>
      </c>
      <c r="L87" s="104">
        <v>7</v>
      </c>
      <c r="M87" s="31">
        <f>VLOOKUP(I87,PGStock[],6,FALSE)</f>
        <v>150</v>
      </c>
      <c r="N87" s="31">
        <f>+Table8[[#This Row],[SalesBot]]*Table8[[#This Row],[Bonus]]</f>
        <v>1050</v>
      </c>
    </row>
    <row r="88" spans="1:14" ht="23.25" customHeight="1" x14ac:dyDescent="0.25">
      <c r="A88" s="26">
        <f t="shared" si="13"/>
        <v>2026</v>
      </c>
      <c r="B88" s="26">
        <f t="shared" si="14"/>
        <v>1</v>
      </c>
      <c r="C88" s="20">
        <v>46043</v>
      </c>
      <c r="D88" s="21" t="s">
        <v>78</v>
      </c>
      <c r="E88" s="27" t="s">
        <v>81</v>
      </c>
      <c r="F88" s="23" t="str">
        <f>VLOOKUP(E88,Customers[],2,FALSE)</f>
        <v>ဟိဏ်းထက်</v>
      </c>
      <c r="G88" s="23" t="str">
        <f>VLOOKUP(E88,Customers[],3,FALSE)</f>
        <v>စက်မှု့ဇုန်</v>
      </c>
      <c r="H88" s="23" t="str">
        <f>VLOOKUP(E88,Customers[],4,FALSE)</f>
        <v>မိတ္ထီလာ</v>
      </c>
      <c r="I88" s="28" t="s">
        <v>151</v>
      </c>
      <c r="J88" s="29" t="str">
        <f>VLOOKUP(I88,PGStock[],2,FALSE)</f>
        <v>Ngwe Taung  700ml</v>
      </c>
      <c r="K88" s="30">
        <f>VLOOKUP(I88,PGStock[],3,FALSE)</f>
        <v>0.7</v>
      </c>
      <c r="L88" s="104">
        <v>12</v>
      </c>
      <c r="M88" s="31">
        <f>VLOOKUP(I88,PGStock[],6,FALSE)</f>
        <v>150</v>
      </c>
      <c r="N88" s="31">
        <f>+Table8[[#This Row],[SalesBot]]*Table8[[#This Row],[Bonus]]</f>
        <v>1800</v>
      </c>
    </row>
    <row r="89" spans="1:14" ht="23.25" customHeight="1" x14ac:dyDescent="0.25">
      <c r="A89" s="26">
        <f t="shared" si="13"/>
        <v>2026</v>
      </c>
      <c r="B89" s="26">
        <f t="shared" si="14"/>
        <v>1</v>
      </c>
      <c r="C89" s="20">
        <v>46043</v>
      </c>
      <c r="D89" s="21" t="s">
        <v>166</v>
      </c>
      <c r="E89" s="27" t="s">
        <v>86</v>
      </c>
      <c r="F89" s="23" t="str">
        <f>VLOOKUP(E89,Customers[],2,FALSE)</f>
        <v>Liquar House</v>
      </c>
      <c r="G89" s="23" t="str">
        <f>VLOOKUP(E89,Customers[],3,FALSE)</f>
        <v>စက်မှု့ဇုန်</v>
      </c>
      <c r="H89" s="23" t="str">
        <f>VLOOKUP(E89,Customers[],4,FALSE)</f>
        <v>မိတ္ထီလာ</v>
      </c>
      <c r="I89" s="28" t="s">
        <v>151</v>
      </c>
      <c r="J89" s="29" t="str">
        <f>VLOOKUP(I89,PGStock[],2,FALSE)</f>
        <v>Ngwe Taung  700ml</v>
      </c>
      <c r="K89" s="30">
        <f>VLOOKUP(I89,PGStock[],3,FALSE)</f>
        <v>0.7</v>
      </c>
      <c r="L89" s="104">
        <v>6</v>
      </c>
      <c r="M89" s="31">
        <f>VLOOKUP(I89,PGStock[],6,FALSE)</f>
        <v>150</v>
      </c>
      <c r="N89" s="31">
        <f>+Table8[[#This Row],[SalesBot]]*Table8[[#This Row],[Bonus]]</f>
        <v>900</v>
      </c>
    </row>
    <row r="90" spans="1:14" ht="23.25" customHeight="1" x14ac:dyDescent="0.25">
      <c r="A90" s="26">
        <f t="shared" si="13"/>
        <v>2026</v>
      </c>
      <c r="B90" s="26">
        <f t="shared" si="14"/>
        <v>1</v>
      </c>
      <c r="C90" s="20">
        <v>46043</v>
      </c>
      <c r="D90" s="21" t="s">
        <v>192</v>
      </c>
      <c r="E90" s="27" t="s">
        <v>95</v>
      </c>
      <c r="F90" s="23" t="str">
        <f>VLOOKUP(E90,Customers[],2,FALSE)</f>
        <v>စိန်ခြယ်</v>
      </c>
      <c r="G90" s="23" t="str">
        <f>VLOOKUP(E90,Customers[],3,FALSE)</f>
        <v>ညောင်အိုင့်</v>
      </c>
      <c r="H90" s="23" t="str">
        <f>VLOOKUP(E90,Customers[],4,FALSE)</f>
        <v>မိတ္ထီလာ</v>
      </c>
      <c r="I90" s="28" t="s">
        <v>151</v>
      </c>
      <c r="J90" s="29" t="str">
        <f>VLOOKUP(I90,PGStock[],2,FALSE)</f>
        <v>Ngwe Taung  700ml</v>
      </c>
      <c r="K90" s="30">
        <f>VLOOKUP(I90,PGStock[],3,FALSE)</f>
        <v>0.7</v>
      </c>
      <c r="L90" s="104">
        <v>16</v>
      </c>
      <c r="M90" s="31">
        <f>VLOOKUP(I90,PGStock[],6,FALSE)</f>
        <v>150</v>
      </c>
      <c r="N90" s="31">
        <f>+Table8[[#This Row],[SalesBot]]*Table8[[#This Row],[Bonus]]</f>
        <v>2400</v>
      </c>
    </row>
    <row r="91" spans="1:14" ht="23.25" customHeight="1" x14ac:dyDescent="0.25">
      <c r="A91" s="26">
        <f t="shared" si="13"/>
        <v>2026</v>
      </c>
      <c r="B91" s="26">
        <f t="shared" si="14"/>
        <v>1</v>
      </c>
      <c r="C91" s="20">
        <v>46044</v>
      </c>
      <c r="D91" s="21" t="s">
        <v>78</v>
      </c>
      <c r="E91" s="27" t="s">
        <v>81</v>
      </c>
      <c r="F91" s="23" t="str">
        <f>VLOOKUP(E91,Customers[],2,FALSE)</f>
        <v>ဟိဏ်းထက်</v>
      </c>
      <c r="G91" s="23" t="str">
        <f>VLOOKUP(E91,Customers[],3,FALSE)</f>
        <v>စက်မှု့ဇုန်</v>
      </c>
      <c r="H91" s="23" t="str">
        <f>VLOOKUP(E91,Customers[],4,FALSE)</f>
        <v>မိတ္ထီလာ</v>
      </c>
      <c r="I91" s="28" t="s">
        <v>151</v>
      </c>
      <c r="J91" s="29" t="str">
        <f>VLOOKUP(I91,PGStock[],2,FALSE)</f>
        <v>Ngwe Taung  700ml</v>
      </c>
      <c r="K91" s="30">
        <f>VLOOKUP(I91,PGStock[],3,FALSE)</f>
        <v>0.7</v>
      </c>
      <c r="L91" s="104">
        <v>8</v>
      </c>
      <c r="M91" s="31">
        <f>VLOOKUP(I91,PGStock[],6,FALSE)</f>
        <v>150</v>
      </c>
      <c r="N91" s="31">
        <f>+Table8[[#This Row],[SalesBot]]*Table8[[#This Row],[Bonus]]</f>
        <v>1200</v>
      </c>
    </row>
    <row r="92" spans="1:14" ht="23.25" customHeight="1" x14ac:dyDescent="0.25">
      <c r="A92" s="26">
        <f t="shared" ref="A92:A101" si="15">YEAR(C92)</f>
        <v>2026</v>
      </c>
      <c r="B92" s="26">
        <f t="shared" ref="B92:B101" si="16">MONTH(C92)</f>
        <v>1</v>
      </c>
      <c r="C92" s="20">
        <v>46044</v>
      </c>
      <c r="D92" s="21" t="s">
        <v>166</v>
      </c>
      <c r="E92" s="27" t="s">
        <v>86</v>
      </c>
      <c r="F92" s="23" t="str">
        <f>VLOOKUP(E92,Customers[],2,FALSE)</f>
        <v>Liquar House</v>
      </c>
      <c r="G92" s="23" t="str">
        <f>VLOOKUP(E92,Customers[],3,FALSE)</f>
        <v>စက်မှု့ဇုန်</v>
      </c>
      <c r="H92" s="23" t="str">
        <f>VLOOKUP(E92,Customers[],4,FALSE)</f>
        <v>မိတ္ထီလာ</v>
      </c>
      <c r="I92" s="28" t="s">
        <v>151</v>
      </c>
      <c r="J92" s="29" t="str">
        <f>VLOOKUP(I92,PGStock[],2,FALSE)</f>
        <v>Ngwe Taung  700ml</v>
      </c>
      <c r="K92" s="30">
        <f>VLOOKUP(I92,PGStock[],3,FALSE)</f>
        <v>0.7</v>
      </c>
      <c r="L92" s="104">
        <v>8</v>
      </c>
      <c r="M92" s="31">
        <f>VLOOKUP(I92,PGStock[],6,FALSE)</f>
        <v>150</v>
      </c>
      <c r="N92" s="31">
        <f>+Table8[[#This Row],[SalesBot]]*Table8[[#This Row],[Bonus]]</f>
        <v>1200</v>
      </c>
    </row>
    <row r="93" spans="1:14" ht="23.25" customHeight="1" x14ac:dyDescent="0.25">
      <c r="A93" s="26">
        <f t="shared" si="15"/>
        <v>2026</v>
      </c>
      <c r="B93" s="26">
        <f t="shared" si="16"/>
        <v>1</v>
      </c>
      <c r="C93" s="20">
        <v>46044</v>
      </c>
      <c r="D93" s="21" t="s">
        <v>192</v>
      </c>
      <c r="E93" s="27" t="s">
        <v>95</v>
      </c>
      <c r="F93" s="23" t="str">
        <f>VLOOKUP(E93,Customers[],2,FALSE)</f>
        <v>စိန်ခြယ်</v>
      </c>
      <c r="G93" s="23" t="str">
        <f>VLOOKUP(E93,Customers[],3,FALSE)</f>
        <v>ညောင်အိုင့်</v>
      </c>
      <c r="H93" s="23" t="str">
        <f>VLOOKUP(E93,Customers[],4,FALSE)</f>
        <v>မိတ္ထီလာ</v>
      </c>
      <c r="I93" s="28" t="s">
        <v>151</v>
      </c>
      <c r="J93" s="29" t="str">
        <f>VLOOKUP(I93,PGStock[],2,FALSE)</f>
        <v>Ngwe Taung  700ml</v>
      </c>
      <c r="K93" s="30">
        <f>VLOOKUP(I93,PGStock[],3,FALSE)</f>
        <v>0.7</v>
      </c>
      <c r="L93" s="104">
        <v>4</v>
      </c>
      <c r="M93" s="31">
        <f>VLOOKUP(I93,PGStock[],6,FALSE)</f>
        <v>150</v>
      </c>
      <c r="N93" s="31">
        <f>+Table8[[#This Row],[SalesBot]]*Table8[[#This Row],[Bonus]]</f>
        <v>600</v>
      </c>
    </row>
    <row r="94" spans="1:14" ht="23.25" customHeight="1" x14ac:dyDescent="0.25">
      <c r="A94" s="26">
        <f t="shared" si="15"/>
        <v>2026</v>
      </c>
      <c r="B94" s="26">
        <f t="shared" si="16"/>
        <v>1</v>
      </c>
      <c r="C94" s="20">
        <v>46045</v>
      </c>
      <c r="D94" s="21" t="s">
        <v>78</v>
      </c>
      <c r="E94" s="27" t="s">
        <v>86</v>
      </c>
      <c r="F94" s="23" t="str">
        <f>VLOOKUP(E94,Customers[],2,FALSE)</f>
        <v>Liquar House</v>
      </c>
      <c r="G94" s="23" t="str">
        <f>VLOOKUP(E94,Customers[],3,FALSE)</f>
        <v>စက်မှု့ဇုန်</v>
      </c>
      <c r="H94" s="23" t="str">
        <f>VLOOKUP(E94,Customers[],4,FALSE)</f>
        <v>မိတ္ထီလာ</v>
      </c>
      <c r="I94" s="28" t="s">
        <v>151</v>
      </c>
      <c r="J94" s="29" t="str">
        <f>VLOOKUP(I94,PGStock[],2,FALSE)</f>
        <v>Ngwe Taung  700ml</v>
      </c>
      <c r="K94" s="30">
        <f>VLOOKUP(I94,PGStock[],3,FALSE)</f>
        <v>0.7</v>
      </c>
      <c r="L94" s="104">
        <v>8</v>
      </c>
      <c r="M94" s="31">
        <f>VLOOKUP(I94,PGStock[],6,FALSE)</f>
        <v>150</v>
      </c>
      <c r="N94" s="31">
        <f>+Table8[[#This Row],[SalesBot]]*Table8[[#This Row],[Bonus]]</f>
        <v>1200</v>
      </c>
    </row>
    <row r="95" spans="1:14" ht="23.25" customHeight="1" x14ac:dyDescent="0.25">
      <c r="A95" s="26">
        <f t="shared" si="15"/>
        <v>2026</v>
      </c>
      <c r="B95" s="26">
        <f t="shared" si="16"/>
        <v>1</v>
      </c>
      <c r="C95" s="20">
        <v>46045</v>
      </c>
      <c r="D95" s="21" t="s">
        <v>166</v>
      </c>
      <c r="E95" s="27" t="s">
        <v>81</v>
      </c>
      <c r="F95" s="23" t="str">
        <f>VLOOKUP(E95,Customers[],2,FALSE)</f>
        <v>ဟိဏ်းထက်</v>
      </c>
      <c r="G95" s="23" t="str">
        <f>VLOOKUP(E95,Customers[],3,FALSE)</f>
        <v>စက်မှု့ဇုန်</v>
      </c>
      <c r="H95" s="23" t="str">
        <f>VLOOKUP(E95,Customers[],4,FALSE)</f>
        <v>မိတ္ထီလာ</v>
      </c>
      <c r="I95" s="28" t="s">
        <v>151</v>
      </c>
      <c r="J95" s="29" t="str">
        <f>VLOOKUP(I95,PGStock[],2,FALSE)</f>
        <v>Ngwe Taung  700ml</v>
      </c>
      <c r="K95" s="30">
        <f>VLOOKUP(I95,PGStock[],3,FALSE)</f>
        <v>0.7</v>
      </c>
      <c r="L95" s="104">
        <v>16</v>
      </c>
      <c r="M95" s="31">
        <f>VLOOKUP(I95,PGStock[],6,FALSE)</f>
        <v>150</v>
      </c>
      <c r="N95" s="31">
        <f>+Table8[[#This Row],[SalesBot]]*Table8[[#This Row],[Bonus]]</f>
        <v>2400</v>
      </c>
    </row>
    <row r="96" spans="1:14" ht="23.25" customHeight="1" x14ac:dyDescent="0.25">
      <c r="A96" s="26">
        <f t="shared" si="15"/>
        <v>2026</v>
      </c>
      <c r="B96" s="26">
        <f t="shared" si="16"/>
        <v>1</v>
      </c>
      <c r="C96" s="20">
        <v>46045</v>
      </c>
      <c r="D96" s="21" t="s">
        <v>192</v>
      </c>
      <c r="E96" s="27" t="s">
        <v>95</v>
      </c>
      <c r="F96" s="23" t="str">
        <f>VLOOKUP(E96,Customers[],2,FALSE)</f>
        <v>စိန်ခြယ်</v>
      </c>
      <c r="G96" s="23" t="str">
        <f>VLOOKUP(E96,Customers[],3,FALSE)</f>
        <v>ညောင်အိုင့်</v>
      </c>
      <c r="H96" s="23" t="str">
        <f>VLOOKUP(E96,Customers[],4,FALSE)</f>
        <v>မိတ္ထီလာ</v>
      </c>
      <c r="I96" s="28" t="s">
        <v>151</v>
      </c>
      <c r="J96" s="29" t="str">
        <f>VLOOKUP(I96,PGStock[],2,FALSE)</f>
        <v>Ngwe Taung  700ml</v>
      </c>
      <c r="K96" s="30">
        <f>VLOOKUP(I96,PGStock[],3,FALSE)</f>
        <v>0.7</v>
      </c>
      <c r="L96" s="104">
        <v>8</v>
      </c>
      <c r="M96" s="31">
        <f>VLOOKUP(I96,PGStock[],6,FALSE)</f>
        <v>150</v>
      </c>
      <c r="N96" s="31">
        <f>+Table8[[#This Row],[SalesBot]]*Table8[[#This Row],[Bonus]]</f>
        <v>1200</v>
      </c>
    </row>
    <row r="97" spans="1:14" ht="23.25" customHeight="1" x14ac:dyDescent="0.25">
      <c r="A97" s="26">
        <f t="shared" si="15"/>
        <v>2026</v>
      </c>
      <c r="B97" s="26">
        <f t="shared" si="16"/>
        <v>1</v>
      </c>
      <c r="C97" s="20">
        <v>46046</v>
      </c>
      <c r="D97" s="21" t="s">
        <v>78</v>
      </c>
      <c r="E97" s="27" t="s">
        <v>86</v>
      </c>
      <c r="F97" s="23" t="str">
        <f>VLOOKUP(E97,Customers[],2,FALSE)</f>
        <v>Liquar House</v>
      </c>
      <c r="G97" s="23" t="str">
        <f>VLOOKUP(E97,Customers[],3,FALSE)</f>
        <v>စက်မှု့ဇုန်</v>
      </c>
      <c r="H97" s="23" t="str">
        <f>VLOOKUP(E97,Customers[],4,FALSE)</f>
        <v>မိတ္ထီလာ</v>
      </c>
      <c r="I97" s="28" t="s">
        <v>151</v>
      </c>
      <c r="J97" s="29" t="str">
        <f>VLOOKUP(I97,PGStock[],2,FALSE)</f>
        <v>Ngwe Taung  700ml</v>
      </c>
      <c r="K97" s="30">
        <f>VLOOKUP(I97,PGStock[],3,FALSE)</f>
        <v>0.7</v>
      </c>
      <c r="L97" s="104">
        <v>4</v>
      </c>
      <c r="M97" s="31">
        <f>VLOOKUP(I97,PGStock[],6,FALSE)</f>
        <v>150</v>
      </c>
      <c r="N97" s="31">
        <f>+Table8[[#This Row],[SalesBot]]*Table8[[#This Row],[Bonus]]</f>
        <v>600</v>
      </c>
    </row>
    <row r="98" spans="1:14" ht="23.25" customHeight="1" x14ac:dyDescent="0.25">
      <c r="A98" s="26">
        <f t="shared" si="15"/>
        <v>2026</v>
      </c>
      <c r="B98" s="26">
        <f t="shared" si="16"/>
        <v>1</v>
      </c>
      <c r="C98" s="20">
        <v>46046</v>
      </c>
      <c r="D98" s="21" t="s">
        <v>166</v>
      </c>
      <c r="E98" s="27" t="s">
        <v>95</v>
      </c>
      <c r="F98" s="23" t="str">
        <f>VLOOKUP(E98,Customers[],2,FALSE)</f>
        <v>စိန်ခြယ်</v>
      </c>
      <c r="G98" s="23" t="str">
        <f>VLOOKUP(E98,Customers[],3,FALSE)</f>
        <v>ညောင်အိုင့်</v>
      </c>
      <c r="H98" s="23" t="str">
        <f>VLOOKUP(E98,Customers[],4,FALSE)</f>
        <v>မိတ္ထီလာ</v>
      </c>
      <c r="I98" s="28" t="s">
        <v>151</v>
      </c>
      <c r="J98" s="29" t="str">
        <f>VLOOKUP(I98,PGStock[],2,FALSE)</f>
        <v>Ngwe Taung  700ml</v>
      </c>
      <c r="K98" s="30">
        <f>VLOOKUP(I98,PGStock[],3,FALSE)</f>
        <v>0.7</v>
      </c>
      <c r="L98" s="104">
        <v>9</v>
      </c>
      <c r="M98" s="31">
        <f>VLOOKUP(I98,PGStock[],6,FALSE)</f>
        <v>150</v>
      </c>
      <c r="N98" s="31">
        <f>+Table8[[#This Row],[SalesBot]]*Table8[[#This Row],[Bonus]]</f>
        <v>1350</v>
      </c>
    </row>
    <row r="99" spans="1:14" ht="23.25" customHeight="1" x14ac:dyDescent="0.25">
      <c r="A99" s="26">
        <f t="shared" si="15"/>
        <v>2026</v>
      </c>
      <c r="B99" s="26">
        <f t="shared" si="16"/>
        <v>1</v>
      </c>
      <c r="C99" s="20">
        <v>46046</v>
      </c>
      <c r="D99" s="21" t="s">
        <v>192</v>
      </c>
      <c r="E99" s="27" t="s">
        <v>81</v>
      </c>
      <c r="F99" s="23" t="str">
        <f>VLOOKUP(E99,Customers[],2,FALSE)</f>
        <v>ဟိဏ်းထက်</v>
      </c>
      <c r="G99" s="23" t="str">
        <f>VLOOKUP(E99,Customers[],3,FALSE)</f>
        <v>စက်မှု့ဇုန်</v>
      </c>
      <c r="H99" s="23" t="str">
        <f>VLOOKUP(E99,Customers[],4,FALSE)</f>
        <v>မိတ္ထီလာ</v>
      </c>
      <c r="I99" s="28" t="s">
        <v>151</v>
      </c>
      <c r="J99" s="29" t="str">
        <f>VLOOKUP(I99,PGStock[],2,FALSE)</f>
        <v>Ngwe Taung  700ml</v>
      </c>
      <c r="K99" s="30">
        <f>VLOOKUP(I99,PGStock[],3,FALSE)</f>
        <v>0.7</v>
      </c>
      <c r="L99" s="104">
        <v>10</v>
      </c>
      <c r="M99" s="31">
        <f>VLOOKUP(I99,PGStock[],6,FALSE)</f>
        <v>150</v>
      </c>
      <c r="N99" s="31">
        <f>+Table8[[#This Row],[SalesBot]]*Table8[[#This Row],[Bonus]]</f>
        <v>1500</v>
      </c>
    </row>
    <row r="100" spans="1:14" ht="23.25" customHeight="1" x14ac:dyDescent="0.25">
      <c r="A100" s="26">
        <f t="shared" si="15"/>
        <v>2026</v>
      </c>
      <c r="B100" s="26">
        <f t="shared" si="16"/>
        <v>1</v>
      </c>
      <c r="C100" s="20">
        <v>46048</v>
      </c>
      <c r="D100" s="21" t="s">
        <v>78</v>
      </c>
      <c r="E100" s="27" t="s">
        <v>81</v>
      </c>
      <c r="F100" s="23" t="str">
        <f>VLOOKUP(E100,Customers[],2,FALSE)</f>
        <v>ဟိဏ်းထက်</v>
      </c>
      <c r="G100" s="23" t="str">
        <f>VLOOKUP(E100,Customers[],3,FALSE)</f>
        <v>စက်မှု့ဇုန်</v>
      </c>
      <c r="H100" s="23" t="str">
        <f>VLOOKUP(E100,Customers[],4,FALSE)</f>
        <v>မိတ္ထီလာ</v>
      </c>
      <c r="I100" s="28" t="s">
        <v>151</v>
      </c>
      <c r="J100" s="29" t="str">
        <f>VLOOKUP(I100,PGStock[],2,FALSE)</f>
        <v>Ngwe Taung  700ml</v>
      </c>
      <c r="K100" s="30">
        <f>VLOOKUP(I100,PGStock[],3,FALSE)</f>
        <v>0.7</v>
      </c>
      <c r="L100" s="104">
        <v>6</v>
      </c>
      <c r="M100" s="31">
        <f>VLOOKUP(I100,PGStock[],6,FALSE)</f>
        <v>150</v>
      </c>
      <c r="N100" s="31">
        <f>+Table8[[#This Row],[SalesBot]]*Table8[[#This Row],[Bonus]]</f>
        <v>900</v>
      </c>
    </row>
    <row r="101" spans="1:14" ht="23.25" customHeight="1" x14ac:dyDescent="0.25">
      <c r="A101" s="26">
        <f t="shared" si="15"/>
        <v>2026</v>
      </c>
      <c r="B101" s="26">
        <f t="shared" si="16"/>
        <v>1</v>
      </c>
      <c r="C101" s="20">
        <v>46048</v>
      </c>
      <c r="D101" s="21" t="s">
        <v>166</v>
      </c>
      <c r="E101" s="27" t="s">
        <v>95</v>
      </c>
      <c r="F101" s="23" t="str">
        <f>VLOOKUP(E101,Customers[],2,FALSE)</f>
        <v>စိန်ခြယ်</v>
      </c>
      <c r="G101" s="23" t="str">
        <f>VLOOKUP(E101,Customers[],3,FALSE)</f>
        <v>ညောင်အိုင့်</v>
      </c>
      <c r="H101" s="23" t="str">
        <f>VLOOKUP(E101,Customers[],4,FALSE)</f>
        <v>မိတ္ထီလာ</v>
      </c>
      <c r="I101" s="28" t="s">
        <v>151</v>
      </c>
      <c r="J101" s="29" t="str">
        <f>VLOOKUP(I101,PGStock[],2,FALSE)</f>
        <v>Ngwe Taung  700ml</v>
      </c>
      <c r="K101" s="30">
        <f>VLOOKUP(I101,PGStock[],3,FALSE)</f>
        <v>0.7</v>
      </c>
      <c r="L101" s="104">
        <v>13</v>
      </c>
      <c r="M101" s="31">
        <f>VLOOKUP(I101,PGStock[],6,FALSE)</f>
        <v>150</v>
      </c>
      <c r="N101" s="31">
        <f>+Table8[[#This Row],[SalesBot]]*Table8[[#This Row],[Bonus]]</f>
        <v>1950</v>
      </c>
    </row>
    <row r="102" spans="1:14" ht="23.25" customHeight="1" x14ac:dyDescent="0.25">
      <c r="A102" s="26">
        <f t="shared" ref="A102:A111" si="17">YEAR(C102)</f>
        <v>2026</v>
      </c>
      <c r="B102" s="26">
        <f t="shared" ref="B102:B111" si="18">MONTH(C102)</f>
        <v>1</v>
      </c>
      <c r="C102" s="20">
        <v>46048</v>
      </c>
      <c r="D102" s="21" t="s">
        <v>165</v>
      </c>
      <c r="E102" s="27" t="s">
        <v>86</v>
      </c>
      <c r="F102" s="23" t="str">
        <f>VLOOKUP(E102,Customers[],2,FALSE)</f>
        <v>Liquar House</v>
      </c>
      <c r="G102" s="23" t="str">
        <f>VLOOKUP(E102,Customers[],3,FALSE)</f>
        <v>စက်မှု့ဇုန်</v>
      </c>
      <c r="H102" s="23" t="str">
        <f>VLOOKUP(E102,Customers[],4,FALSE)</f>
        <v>မိတ္ထီလာ</v>
      </c>
      <c r="I102" s="28" t="s">
        <v>151</v>
      </c>
      <c r="J102" s="29" t="str">
        <f>VLOOKUP(I102,PGStock[],2,FALSE)</f>
        <v>Ngwe Taung  700ml</v>
      </c>
      <c r="K102" s="30">
        <f>VLOOKUP(I102,PGStock[],3,FALSE)</f>
        <v>0.7</v>
      </c>
      <c r="L102" s="104">
        <v>3</v>
      </c>
      <c r="M102" s="31">
        <f>VLOOKUP(I102,PGStock[],6,FALSE)</f>
        <v>150</v>
      </c>
      <c r="N102" s="31">
        <f>+Table8[[#This Row],[SalesBot]]*Table8[[#This Row],[Bonus]]</f>
        <v>450</v>
      </c>
    </row>
    <row r="103" spans="1:14" ht="23.25" customHeight="1" x14ac:dyDescent="0.25">
      <c r="A103" s="26">
        <f t="shared" si="17"/>
        <v>2026</v>
      </c>
      <c r="B103" s="26">
        <f t="shared" si="18"/>
        <v>1</v>
      </c>
      <c r="C103" s="20">
        <v>46049</v>
      </c>
      <c r="D103" s="21" t="s">
        <v>78</v>
      </c>
      <c r="E103" s="27" t="s">
        <v>231</v>
      </c>
      <c r="F103" s="23" t="str">
        <f>VLOOKUP(E103,Customers[],2,FALSE)</f>
        <v>BB</v>
      </c>
      <c r="G103" s="23" t="str">
        <f>VLOOKUP(E103,Customers[],3,FALSE)</f>
        <v>စက်မှု့ဇုန်</v>
      </c>
      <c r="H103" s="23" t="str">
        <f>VLOOKUP(E103,Customers[],4,FALSE)</f>
        <v>မိတ္ထီလာ</v>
      </c>
      <c r="I103" s="28" t="s">
        <v>151</v>
      </c>
      <c r="J103" s="29" t="str">
        <f>VLOOKUP(I103,PGStock[],2,FALSE)</f>
        <v>Ngwe Taung  700ml</v>
      </c>
      <c r="K103" s="30">
        <f>VLOOKUP(I103,PGStock[],3,FALSE)</f>
        <v>0.7</v>
      </c>
      <c r="L103" s="104">
        <v>6</v>
      </c>
      <c r="M103" s="31">
        <f>VLOOKUP(I103,PGStock[],6,FALSE)</f>
        <v>150</v>
      </c>
      <c r="N103" s="31">
        <f>+Table8[[#This Row],[SalesBot]]*Table8[[#This Row],[Bonus]]</f>
        <v>900</v>
      </c>
    </row>
    <row r="104" spans="1:14" ht="23.25" customHeight="1" x14ac:dyDescent="0.25">
      <c r="A104" s="26">
        <f t="shared" si="17"/>
        <v>2026</v>
      </c>
      <c r="B104" s="26">
        <f t="shared" si="18"/>
        <v>1</v>
      </c>
      <c r="C104" s="20">
        <v>46049</v>
      </c>
      <c r="D104" s="21" t="s">
        <v>166</v>
      </c>
      <c r="E104" s="27" t="s">
        <v>86</v>
      </c>
      <c r="F104" s="23" t="str">
        <f>VLOOKUP(E104,Customers[],2,FALSE)</f>
        <v>Liquar House</v>
      </c>
      <c r="G104" s="23" t="str">
        <f>VLOOKUP(E104,Customers[],3,FALSE)</f>
        <v>စက်မှု့ဇုန်</v>
      </c>
      <c r="H104" s="23" t="str">
        <f>VLOOKUP(E104,Customers[],4,FALSE)</f>
        <v>မိတ္ထီလာ</v>
      </c>
      <c r="I104" s="28" t="s">
        <v>151</v>
      </c>
      <c r="J104" s="29" t="str">
        <f>VLOOKUP(I104,PGStock[],2,FALSE)</f>
        <v>Ngwe Taung  700ml</v>
      </c>
      <c r="K104" s="30">
        <f>VLOOKUP(I104,PGStock[],3,FALSE)</f>
        <v>0.7</v>
      </c>
      <c r="L104" s="104">
        <v>5</v>
      </c>
      <c r="M104" s="31">
        <f>VLOOKUP(I104,PGStock[],6,FALSE)</f>
        <v>150</v>
      </c>
      <c r="N104" s="31">
        <f>+Table8[[#This Row],[SalesBot]]*Table8[[#This Row],[Bonus]]</f>
        <v>750</v>
      </c>
    </row>
    <row r="105" spans="1:14" ht="23.25" customHeight="1" x14ac:dyDescent="0.25">
      <c r="A105" s="26">
        <f t="shared" si="17"/>
        <v>2026</v>
      </c>
      <c r="B105" s="26">
        <f t="shared" si="18"/>
        <v>1</v>
      </c>
      <c r="C105" s="20">
        <v>46049</v>
      </c>
      <c r="D105" s="21" t="s">
        <v>165</v>
      </c>
      <c r="E105" s="27" t="s">
        <v>81</v>
      </c>
      <c r="F105" s="23" t="str">
        <f>VLOOKUP(E105,Customers[],2,FALSE)</f>
        <v>ဟိဏ်းထက်</v>
      </c>
      <c r="G105" s="23" t="str">
        <f>VLOOKUP(E105,Customers[],3,FALSE)</f>
        <v>စက်မှု့ဇုန်</v>
      </c>
      <c r="H105" s="23" t="str">
        <f>VLOOKUP(E105,Customers[],4,FALSE)</f>
        <v>မိတ္ထီလာ</v>
      </c>
      <c r="I105" s="28" t="s">
        <v>151</v>
      </c>
      <c r="J105" s="29" t="str">
        <f>VLOOKUP(I105,PGStock[],2,FALSE)</f>
        <v>Ngwe Taung  700ml</v>
      </c>
      <c r="K105" s="30">
        <f>VLOOKUP(I105,PGStock[],3,FALSE)</f>
        <v>0.7</v>
      </c>
      <c r="L105" s="104">
        <v>5</v>
      </c>
      <c r="M105" s="31">
        <f>VLOOKUP(I105,PGStock[],6,FALSE)</f>
        <v>150</v>
      </c>
      <c r="N105" s="31">
        <f>+Table8[[#This Row],[SalesBot]]*Table8[[#This Row],[Bonus]]</f>
        <v>750</v>
      </c>
    </row>
    <row r="106" spans="1:14" ht="23.25" customHeight="1" x14ac:dyDescent="0.25">
      <c r="A106" s="26">
        <f t="shared" si="17"/>
        <v>2026</v>
      </c>
      <c r="B106" s="26">
        <f t="shared" si="18"/>
        <v>1</v>
      </c>
      <c r="C106" s="20">
        <v>46049</v>
      </c>
      <c r="D106" s="21" t="s">
        <v>192</v>
      </c>
      <c r="E106" s="27" t="s">
        <v>95</v>
      </c>
      <c r="F106" s="23" t="str">
        <f>VLOOKUP(E106,Customers[],2,FALSE)</f>
        <v>စိန်ခြယ်</v>
      </c>
      <c r="G106" s="23" t="str">
        <f>VLOOKUP(E106,Customers[],3,FALSE)</f>
        <v>ညောင်အိုင့်</v>
      </c>
      <c r="H106" s="23" t="str">
        <f>VLOOKUP(E106,Customers[],4,FALSE)</f>
        <v>မိတ္ထီလာ</v>
      </c>
      <c r="I106" s="28" t="s">
        <v>151</v>
      </c>
      <c r="J106" s="29" t="str">
        <f>VLOOKUP(I106,PGStock[],2,FALSE)</f>
        <v>Ngwe Taung  700ml</v>
      </c>
      <c r="K106" s="30">
        <f>VLOOKUP(I106,PGStock[],3,FALSE)</f>
        <v>0.7</v>
      </c>
      <c r="L106" s="104">
        <v>5</v>
      </c>
      <c r="M106" s="31">
        <f>VLOOKUP(I106,PGStock[],6,FALSE)</f>
        <v>150</v>
      </c>
      <c r="N106" s="31">
        <f>+Table8[[#This Row],[SalesBot]]*Table8[[#This Row],[Bonus]]</f>
        <v>750</v>
      </c>
    </row>
    <row r="107" spans="1:14" ht="23.25" customHeight="1" x14ac:dyDescent="0.25">
      <c r="A107" s="26">
        <f t="shared" si="17"/>
        <v>2026</v>
      </c>
      <c r="B107" s="26">
        <f t="shared" si="18"/>
        <v>1</v>
      </c>
      <c r="C107" s="20">
        <v>46050</v>
      </c>
      <c r="D107" s="21" t="s">
        <v>78</v>
      </c>
      <c r="E107" s="27" t="s">
        <v>81</v>
      </c>
      <c r="F107" s="23" t="str">
        <f>VLOOKUP(E107,Customers[],2,FALSE)</f>
        <v>ဟိဏ်းထက်</v>
      </c>
      <c r="G107" s="23" t="str">
        <f>VLOOKUP(E107,Customers[],3,FALSE)</f>
        <v>စက်မှု့ဇုန်</v>
      </c>
      <c r="H107" s="23" t="str">
        <f>VLOOKUP(E107,Customers[],4,FALSE)</f>
        <v>မိတ္ထီလာ</v>
      </c>
      <c r="I107" s="28" t="s">
        <v>151</v>
      </c>
      <c r="J107" s="29" t="str">
        <f>VLOOKUP(I107,PGStock[],2,FALSE)</f>
        <v>Ngwe Taung  700ml</v>
      </c>
      <c r="K107" s="30">
        <f>VLOOKUP(I107,PGStock[],3,FALSE)</f>
        <v>0.7</v>
      </c>
      <c r="L107" s="104">
        <v>19</v>
      </c>
      <c r="M107" s="31">
        <f>VLOOKUP(I107,PGStock[],6,FALSE)</f>
        <v>150</v>
      </c>
      <c r="N107" s="31">
        <f>+Table8[[#This Row],[SalesBot]]*Table8[[#This Row],[Bonus]]</f>
        <v>2850</v>
      </c>
    </row>
    <row r="108" spans="1:14" ht="23.25" customHeight="1" x14ac:dyDescent="0.25">
      <c r="A108" s="26">
        <f t="shared" si="17"/>
        <v>2026</v>
      </c>
      <c r="B108" s="26">
        <f t="shared" si="18"/>
        <v>1</v>
      </c>
      <c r="C108" s="20">
        <v>46050</v>
      </c>
      <c r="D108" s="21" t="s">
        <v>166</v>
      </c>
      <c r="E108" s="27" t="s">
        <v>86</v>
      </c>
      <c r="F108" s="23" t="str">
        <f>VLOOKUP(E108,Customers[],2,FALSE)</f>
        <v>Liquar House</v>
      </c>
      <c r="G108" s="23" t="str">
        <f>VLOOKUP(E108,Customers[],3,FALSE)</f>
        <v>စက်မှု့ဇုန်</v>
      </c>
      <c r="H108" s="23" t="str">
        <f>VLOOKUP(E108,Customers[],4,FALSE)</f>
        <v>မိတ္ထီလာ</v>
      </c>
      <c r="I108" s="28" t="s">
        <v>151</v>
      </c>
      <c r="J108" s="29" t="str">
        <f>VLOOKUP(I108,PGStock[],2,FALSE)</f>
        <v>Ngwe Taung  700ml</v>
      </c>
      <c r="K108" s="30">
        <f>VLOOKUP(I108,PGStock[],3,FALSE)</f>
        <v>0.7</v>
      </c>
      <c r="L108" s="104">
        <v>7</v>
      </c>
      <c r="M108" s="31">
        <f>VLOOKUP(I108,PGStock[],6,FALSE)</f>
        <v>150</v>
      </c>
      <c r="N108" s="31">
        <f>+Table8[[#This Row],[SalesBot]]*Table8[[#This Row],[Bonus]]</f>
        <v>1050</v>
      </c>
    </row>
    <row r="109" spans="1:14" ht="23.25" customHeight="1" x14ac:dyDescent="0.25">
      <c r="A109" s="26">
        <f t="shared" si="17"/>
        <v>2026</v>
      </c>
      <c r="B109" s="26">
        <f t="shared" si="18"/>
        <v>1</v>
      </c>
      <c r="C109" s="20">
        <v>46050</v>
      </c>
      <c r="D109" s="21" t="s">
        <v>192</v>
      </c>
      <c r="E109" s="27" t="s">
        <v>95</v>
      </c>
      <c r="F109" s="23" t="str">
        <f>VLOOKUP(E109,Customers[],2,FALSE)</f>
        <v>စိန်ခြယ်</v>
      </c>
      <c r="G109" s="23" t="str">
        <f>VLOOKUP(E109,Customers[],3,FALSE)</f>
        <v>ညောင်အိုင့်</v>
      </c>
      <c r="H109" s="23" t="str">
        <f>VLOOKUP(E109,Customers[],4,FALSE)</f>
        <v>မိတ္ထီလာ</v>
      </c>
      <c r="I109" s="28" t="s">
        <v>151</v>
      </c>
      <c r="J109" s="29" t="str">
        <f>VLOOKUP(I109,PGStock[],2,FALSE)</f>
        <v>Ngwe Taung  700ml</v>
      </c>
      <c r="K109" s="30">
        <f>VLOOKUP(I109,PGStock[],3,FALSE)</f>
        <v>0.7</v>
      </c>
      <c r="L109" s="104">
        <v>4</v>
      </c>
      <c r="M109" s="31">
        <f>VLOOKUP(I109,PGStock[],6,FALSE)</f>
        <v>150</v>
      </c>
      <c r="N109" s="31">
        <f>+Table8[[#This Row],[SalesBot]]*Table8[[#This Row],[Bonus]]</f>
        <v>600</v>
      </c>
    </row>
    <row r="110" spans="1:14" ht="23.25" customHeight="1" x14ac:dyDescent="0.25">
      <c r="A110" s="26">
        <f t="shared" si="17"/>
        <v>2026</v>
      </c>
      <c r="B110" s="26">
        <f t="shared" si="18"/>
        <v>1</v>
      </c>
      <c r="C110" s="20">
        <v>46051</v>
      </c>
      <c r="D110" s="21" t="s">
        <v>78</v>
      </c>
      <c r="E110" s="27" t="s">
        <v>95</v>
      </c>
      <c r="F110" s="23" t="str">
        <f>VLOOKUP(E110,Customers[],2,FALSE)</f>
        <v>စိန်ခြယ်</v>
      </c>
      <c r="G110" s="23" t="str">
        <f>VLOOKUP(E110,Customers[],3,FALSE)</f>
        <v>ညောင်အိုင့်</v>
      </c>
      <c r="H110" s="23" t="str">
        <f>VLOOKUP(E110,Customers[],4,FALSE)</f>
        <v>မိတ္ထီလာ</v>
      </c>
      <c r="I110" s="28" t="s">
        <v>151</v>
      </c>
      <c r="J110" s="29" t="str">
        <f>VLOOKUP(I110,PGStock[],2,FALSE)</f>
        <v>Ngwe Taung  700ml</v>
      </c>
      <c r="K110" s="30">
        <f>VLOOKUP(I110,PGStock[],3,FALSE)</f>
        <v>0.7</v>
      </c>
      <c r="L110" s="104">
        <v>8</v>
      </c>
      <c r="M110" s="31">
        <f>VLOOKUP(I110,PGStock[],6,FALSE)</f>
        <v>150</v>
      </c>
      <c r="N110" s="31">
        <f>+Table8[[#This Row],[SalesBot]]*Table8[[#This Row],[Bonus]]</f>
        <v>1200</v>
      </c>
    </row>
    <row r="111" spans="1:14" ht="23.25" customHeight="1" x14ac:dyDescent="0.25">
      <c r="A111" s="26">
        <f t="shared" si="17"/>
        <v>2026</v>
      </c>
      <c r="B111" s="26">
        <f t="shared" si="18"/>
        <v>1</v>
      </c>
      <c r="C111" s="20">
        <v>46051</v>
      </c>
      <c r="D111" s="21" t="s">
        <v>166</v>
      </c>
      <c r="E111" s="27" t="s">
        <v>81</v>
      </c>
      <c r="F111" s="23" t="str">
        <f>VLOOKUP(E111,Customers[],2,FALSE)</f>
        <v>ဟိဏ်းထက်</v>
      </c>
      <c r="G111" s="23" t="str">
        <f>VLOOKUP(E111,Customers[],3,FALSE)</f>
        <v>စက်မှု့ဇုန်</v>
      </c>
      <c r="H111" s="23" t="str">
        <f>VLOOKUP(E111,Customers[],4,FALSE)</f>
        <v>မိတ္ထီလာ</v>
      </c>
      <c r="I111" s="28" t="s">
        <v>151</v>
      </c>
      <c r="J111" s="29" t="str">
        <f>VLOOKUP(I111,PGStock[],2,FALSE)</f>
        <v>Ngwe Taung  700ml</v>
      </c>
      <c r="K111" s="30">
        <f>VLOOKUP(I111,PGStock[],3,FALSE)</f>
        <v>0.7</v>
      </c>
      <c r="L111" s="104">
        <v>12</v>
      </c>
      <c r="M111" s="31">
        <f>VLOOKUP(I111,PGStock[],6,FALSE)</f>
        <v>150</v>
      </c>
      <c r="N111" s="31">
        <f>+Table8[[#This Row],[SalesBot]]*Table8[[#This Row],[Bonus]]</f>
        <v>1800</v>
      </c>
    </row>
    <row r="112" spans="1:14" ht="23.25" customHeight="1" x14ac:dyDescent="0.25">
      <c r="A112" s="26">
        <f t="shared" ref="A112:A143" si="19">YEAR(C112)</f>
        <v>2026</v>
      </c>
      <c r="B112" s="26">
        <f t="shared" ref="B112:B143" si="20">MONTH(C112)</f>
        <v>1</v>
      </c>
      <c r="C112" s="20">
        <v>46051</v>
      </c>
      <c r="D112" s="21" t="s">
        <v>165</v>
      </c>
      <c r="E112" s="27" t="s">
        <v>86</v>
      </c>
      <c r="F112" s="23" t="str">
        <f>VLOOKUP(E112,Customers[],2,FALSE)</f>
        <v>Liquar House</v>
      </c>
      <c r="G112" s="23" t="str">
        <f>VLOOKUP(E112,Customers[],3,FALSE)</f>
        <v>စက်မှု့ဇုန်</v>
      </c>
      <c r="H112" s="23" t="str">
        <f>VLOOKUP(E112,Customers[],4,FALSE)</f>
        <v>မိတ္ထီလာ</v>
      </c>
      <c r="I112" s="28" t="s">
        <v>151</v>
      </c>
      <c r="J112" s="29" t="str">
        <f>VLOOKUP(I112,PGStock[],2,FALSE)</f>
        <v>Ngwe Taung  700ml</v>
      </c>
      <c r="K112" s="30">
        <f>VLOOKUP(I112,PGStock[],3,FALSE)</f>
        <v>0.7</v>
      </c>
      <c r="L112" s="104">
        <v>5</v>
      </c>
      <c r="M112" s="31">
        <f>VLOOKUP(I112,PGStock[],6,FALSE)</f>
        <v>150</v>
      </c>
      <c r="N112" s="31">
        <f>+Table8[[#This Row],[SalesBot]]*Table8[[#This Row],[Bonus]]</f>
        <v>750</v>
      </c>
    </row>
    <row r="113" spans="1:14" ht="23.25" customHeight="1" x14ac:dyDescent="0.25">
      <c r="A113" s="26">
        <f t="shared" si="19"/>
        <v>2026</v>
      </c>
      <c r="B113" s="26">
        <f t="shared" si="20"/>
        <v>1</v>
      </c>
      <c r="C113" s="20">
        <v>46051</v>
      </c>
      <c r="D113" s="21" t="s">
        <v>192</v>
      </c>
      <c r="E113" s="27" t="s">
        <v>231</v>
      </c>
      <c r="F113" s="23" t="str">
        <f>VLOOKUP(E113,Customers[],2,FALSE)</f>
        <v>BB</v>
      </c>
      <c r="G113" s="23" t="str">
        <f>VLOOKUP(E113,Customers[],3,FALSE)</f>
        <v>စက်မှု့ဇုန်</v>
      </c>
      <c r="H113" s="23" t="str">
        <f>VLOOKUP(E113,Customers[],4,FALSE)</f>
        <v>မိတ္ထီလာ</v>
      </c>
      <c r="I113" s="28" t="s">
        <v>151</v>
      </c>
      <c r="J113" s="29" t="str">
        <f>VLOOKUP(I113,PGStock[],2,FALSE)</f>
        <v>Ngwe Taung  700ml</v>
      </c>
      <c r="K113" s="30">
        <f>VLOOKUP(I113,PGStock[],3,FALSE)</f>
        <v>0.7</v>
      </c>
      <c r="L113" s="104">
        <v>5</v>
      </c>
      <c r="M113" s="31">
        <f>VLOOKUP(I113,PGStock[],6,FALSE)</f>
        <v>150</v>
      </c>
      <c r="N113" s="31">
        <f>+Table8[[#This Row],[SalesBot]]*Table8[[#This Row],[Bonus]]</f>
        <v>750</v>
      </c>
    </row>
    <row r="114" spans="1:14" ht="23.25" customHeight="1" x14ac:dyDescent="0.25">
      <c r="A114" s="26">
        <f t="shared" si="19"/>
        <v>2026</v>
      </c>
      <c r="B114" s="26">
        <f t="shared" si="20"/>
        <v>1</v>
      </c>
      <c r="C114" s="20">
        <v>46052</v>
      </c>
      <c r="D114" s="21" t="s">
        <v>78</v>
      </c>
      <c r="E114" s="27" t="s">
        <v>86</v>
      </c>
      <c r="F114" s="23" t="str">
        <f>VLOOKUP(E114,Customers[],2,FALSE)</f>
        <v>Liquar House</v>
      </c>
      <c r="G114" s="23" t="str">
        <f>VLOOKUP(E114,Customers[],3,FALSE)</f>
        <v>စက်မှု့ဇုန်</v>
      </c>
      <c r="H114" s="23" t="str">
        <f>VLOOKUP(E114,Customers[],4,FALSE)</f>
        <v>မိတ္ထီလာ</v>
      </c>
      <c r="I114" s="28" t="s">
        <v>151</v>
      </c>
      <c r="J114" s="29" t="str">
        <f>VLOOKUP(I114,PGStock[],2,FALSE)</f>
        <v>Ngwe Taung  700ml</v>
      </c>
      <c r="K114" s="30">
        <f>VLOOKUP(I114,PGStock[],3,FALSE)</f>
        <v>0.7</v>
      </c>
      <c r="L114" s="104">
        <v>5</v>
      </c>
      <c r="M114" s="31">
        <f>VLOOKUP(I114,PGStock[],6,FALSE)</f>
        <v>150</v>
      </c>
      <c r="N114" s="31">
        <f>+Table8[[#This Row],[SalesBot]]*Table8[[#This Row],[Bonus]]</f>
        <v>750</v>
      </c>
    </row>
    <row r="115" spans="1:14" ht="23.25" customHeight="1" x14ac:dyDescent="0.25">
      <c r="A115" s="26">
        <f t="shared" si="19"/>
        <v>2026</v>
      </c>
      <c r="B115" s="26">
        <f t="shared" si="20"/>
        <v>1</v>
      </c>
      <c r="C115" s="20">
        <v>46052</v>
      </c>
      <c r="D115" s="21" t="s">
        <v>166</v>
      </c>
      <c r="E115" s="27" t="s">
        <v>81</v>
      </c>
      <c r="F115" s="23" t="str">
        <f>VLOOKUP(E115,Customers[],2,FALSE)</f>
        <v>ဟိဏ်းထက်</v>
      </c>
      <c r="G115" s="23" t="str">
        <f>VLOOKUP(E115,Customers[],3,FALSE)</f>
        <v>စက်မှု့ဇုန်</v>
      </c>
      <c r="H115" s="23" t="str">
        <f>VLOOKUP(E115,Customers[],4,FALSE)</f>
        <v>မိတ္ထီလာ</v>
      </c>
      <c r="I115" s="28" t="s">
        <v>151</v>
      </c>
      <c r="J115" s="29" t="str">
        <f>VLOOKUP(I115,PGStock[],2,FALSE)</f>
        <v>Ngwe Taung  700ml</v>
      </c>
      <c r="K115" s="30">
        <f>VLOOKUP(I115,PGStock[],3,FALSE)</f>
        <v>0.7</v>
      </c>
      <c r="L115" s="104">
        <v>8</v>
      </c>
      <c r="M115" s="31">
        <f>VLOOKUP(I115,PGStock[],6,FALSE)</f>
        <v>150</v>
      </c>
      <c r="N115" s="31">
        <f>+Table8[[#This Row],[SalesBot]]*Table8[[#This Row],[Bonus]]</f>
        <v>1200</v>
      </c>
    </row>
    <row r="116" spans="1:14" ht="23.25" customHeight="1" x14ac:dyDescent="0.25">
      <c r="A116" s="26">
        <f t="shared" si="19"/>
        <v>2026</v>
      </c>
      <c r="B116" s="26">
        <f t="shared" si="20"/>
        <v>1</v>
      </c>
      <c r="C116" s="20">
        <v>46052</v>
      </c>
      <c r="D116" s="21" t="s">
        <v>192</v>
      </c>
      <c r="E116" s="27" t="s">
        <v>95</v>
      </c>
      <c r="F116" s="23" t="str">
        <f>VLOOKUP(E116,Customers[],2,FALSE)</f>
        <v>စိန်ခြယ်</v>
      </c>
      <c r="G116" s="23" t="str">
        <f>VLOOKUP(E116,Customers[],3,FALSE)</f>
        <v>ညောင်အိုင့်</v>
      </c>
      <c r="H116" s="23" t="str">
        <f>VLOOKUP(E116,Customers[],4,FALSE)</f>
        <v>မိတ္ထီလာ</v>
      </c>
      <c r="I116" s="28" t="s">
        <v>151</v>
      </c>
      <c r="J116" s="29" t="str">
        <f>VLOOKUP(I116,PGStock[],2,FALSE)</f>
        <v>Ngwe Taung  700ml</v>
      </c>
      <c r="K116" s="30">
        <f>VLOOKUP(I116,PGStock[],3,FALSE)</f>
        <v>0.7</v>
      </c>
      <c r="L116" s="104">
        <v>4</v>
      </c>
      <c r="M116" s="31">
        <f>VLOOKUP(I116,PGStock[],6,FALSE)</f>
        <v>150</v>
      </c>
      <c r="N116" s="31">
        <f>+Table8[[#This Row],[SalesBot]]*Table8[[#This Row],[Bonus]]</f>
        <v>600</v>
      </c>
    </row>
    <row r="117" spans="1:14" ht="23.25" customHeight="1" x14ac:dyDescent="0.25">
      <c r="A117" s="26">
        <f t="shared" si="19"/>
        <v>2026</v>
      </c>
      <c r="B117" s="26">
        <f t="shared" si="20"/>
        <v>1</v>
      </c>
      <c r="C117" s="20">
        <v>46053</v>
      </c>
      <c r="D117" s="21" t="s">
        <v>78</v>
      </c>
      <c r="E117" s="27" t="s">
        <v>86</v>
      </c>
      <c r="F117" s="23" t="str">
        <f>VLOOKUP(E117,Customers[],2,FALSE)</f>
        <v>Liquar House</v>
      </c>
      <c r="G117" s="23" t="str">
        <f>VLOOKUP(E117,Customers[],3,FALSE)</f>
        <v>စက်မှု့ဇုန်</v>
      </c>
      <c r="H117" s="23" t="str">
        <f>VLOOKUP(E117,Customers[],4,FALSE)</f>
        <v>မိတ္ထီလာ</v>
      </c>
      <c r="I117" s="28" t="s">
        <v>151</v>
      </c>
      <c r="J117" s="29" t="str">
        <f>VLOOKUP(I117,PGStock[],2,FALSE)</f>
        <v>Ngwe Taung  700ml</v>
      </c>
      <c r="K117" s="30">
        <f>VLOOKUP(I117,PGStock[],3,FALSE)</f>
        <v>0.7</v>
      </c>
      <c r="L117" s="104">
        <v>7</v>
      </c>
      <c r="M117" s="31">
        <f>VLOOKUP(I117,PGStock[],6,FALSE)</f>
        <v>150</v>
      </c>
      <c r="N117" s="31">
        <f>+Table8[[#This Row],[SalesBot]]*Table8[[#This Row],[Bonus]]</f>
        <v>1050</v>
      </c>
    </row>
    <row r="118" spans="1:14" ht="23.25" customHeight="1" x14ac:dyDescent="0.25">
      <c r="A118" s="26">
        <f t="shared" si="19"/>
        <v>2026</v>
      </c>
      <c r="B118" s="26">
        <f t="shared" si="20"/>
        <v>1</v>
      </c>
      <c r="C118" s="20">
        <v>46053</v>
      </c>
      <c r="D118" s="21" t="s">
        <v>166</v>
      </c>
      <c r="E118" s="27" t="s">
        <v>95</v>
      </c>
      <c r="F118" s="23" t="str">
        <f>VLOOKUP(E118,Customers[],2,FALSE)</f>
        <v>စိန်ခြယ်</v>
      </c>
      <c r="G118" s="23" t="str">
        <f>VLOOKUP(E118,Customers[],3,FALSE)</f>
        <v>ညောင်အိုင့်</v>
      </c>
      <c r="H118" s="23" t="str">
        <f>VLOOKUP(E118,Customers[],4,FALSE)</f>
        <v>မိတ္ထီလာ</v>
      </c>
      <c r="I118" s="28" t="s">
        <v>151</v>
      </c>
      <c r="J118" s="29" t="str">
        <f>VLOOKUP(I118,PGStock[],2,FALSE)</f>
        <v>Ngwe Taung  700ml</v>
      </c>
      <c r="K118" s="30">
        <f>VLOOKUP(I118,PGStock[],3,FALSE)</f>
        <v>0.7</v>
      </c>
      <c r="L118" s="104">
        <v>3</v>
      </c>
      <c r="M118" s="31">
        <f>VLOOKUP(I118,PGStock[],6,FALSE)</f>
        <v>150</v>
      </c>
      <c r="N118" s="31">
        <f>+Table8[[#This Row],[SalesBot]]*Table8[[#This Row],[Bonus]]</f>
        <v>450</v>
      </c>
    </row>
    <row r="119" spans="1:14" ht="23.25" customHeight="1" x14ac:dyDescent="0.25">
      <c r="A119" s="26">
        <f t="shared" si="19"/>
        <v>2026</v>
      </c>
      <c r="B119" s="26">
        <f t="shared" si="20"/>
        <v>1</v>
      </c>
      <c r="C119" s="20">
        <v>46053</v>
      </c>
      <c r="D119" s="21" t="s">
        <v>77</v>
      </c>
      <c r="E119" s="27" t="s">
        <v>81</v>
      </c>
      <c r="F119" s="23" t="str">
        <f>VLOOKUP(E119,Customers[],2,FALSE)</f>
        <v>ဟိဏ်းထက်</v>
      </c>
      <c r="G119" s="23" t="str">
        <f>VLOOKUP(E119,Customers[],3,FALSE)</f>
        <v>စက်မှု့ဇုန်</v>
      </c>
      <c r="H119" s="23" t="str">
        <f>VLOOKUP(E119,Customers[],4,FALSE)</f>
        <v>မိတ္ထီလာ</v>
      </c>
      <c r="I119" s="28" t="s">
        <v>151</v>
      </c>
      <c r="J119" s="29" t="str">
        <f>VLOOKUP(I119,PGStock[],2,FALSE)</f>
        <v>Ngwe Taung  700ml</v>
      </c>
      <c r="K119" s="30">
        <f>VLOOKUP(I119,PGStock[],3,FALSE)</f>
        <v>0.7</v>
      </c>
      <c r="L119" s="104">
        <v>10</v>
      </c>
      <c r="M119" s="31">
        <f>VLOOKUP(I119,PGStock[],6,FALSE)</f>
        <v>150</v>
      </c>
      <c r="N119" s="31">
        <f>+Table8[[#This Row],[SalesBot]]*Table8[[#This Row],[Bonus]]</f>
        <v>1500</v>
      </c>
    </row>
    <row r="120" spans="1:14" ht="23.25" customHeight="1" x14ac:dyDescent="0.25">
      <c r="A120" s="26">
        <f t="shared" si="19"/>
        <v>2026</v>
      </c>
      <c r="B120" s="26">
        <f t="shared" si="20"/>
        <v>2</v>
      </c>
      <c r="C120" s="20">
        <v>46055</v>
      </c>
      <c r="D120" s="21" t="s">
        <v>78</v>
      </c>
      <c r="E120" s="27" t="s">
        <v>86</v>
      </c>
      <c r="F120" s="23" t="str">
        <f>VLOOKUP(E120,Customers[],2,FALSE)</f>
        <v>Liquar House</v>
      </c>
      <c r="G120" s="23" t="str">
        <f>VLOOKUP(E120,Customers[],3,FALSE)</f>
        <v>စက်မှု့ဇုန်</v>
      </c>
      <c r="H120" s="23" t="str">
        <f>VLOOKUP(E120,Customers[],4,FALSE)</f>
        <v>မိတ္ထီလာ</v>
      </c>
      <c r="I120" s="28" t="s">
        <v>151</v>
      </c>
      <c r="J120" s="29" t="str">
        <f>VLOOKUP(I120,PGStock[],2,FALSE)</f>
        <v>Ngwe Taung  700ml</v>
      </c>
      <c r="K120" s="30">
        <f>VLOOKUP(I120,PGStock[],3,FALSE)</f>
        <v>0.7</v>
      </c>
      <c r="L120" s="104">
        <v>5</v>
      </c>
      <c r="M120" s="31">
        <f>VLOOKUP(I120,PGStock[],6,FALSE)</f>
        <v>150</v>
      </c>
      <c r="N120" s="31">
        <f>+Table8[[#This Row],[SalesBot]]*Table8[[#This Row],[Bonus]]</f>
        <v>750</v>
      </c>
    </row>
    <row r="121" spans="1:14" ht="23.25" customHeight="1" x14ac:dyDescent="0.25">
      <c r="A121" s="26">
        <f t="shared" si="19"/>
        <v>2026</v>
      </c>
      <c r="B121" s="26">
        <f t="shared" si="20"/>
        <v>2</v>
      </c>
      <c r="C121" s="20">
        <v>46055</v>
      </c>
      <c r="D121" s="21" t="s">
        <v>166</v>
      </c>
      <c r="E121" s="27" t="s">
        <v>95</v>
      </c>
      <c r="F121" s="23" t="str">
        <f>VLOOKUP(E121,Customers[],2,FALSE)</f>
        <v>စိန်ခြယ်</v>
      </c>
      <c r="G121" s="23" t="str">
        <f>VLOOKUP(E121,Customers[],3,FALSE)</f>
        <v>ညောင်အိုင့်</v>
      </c>
      <c r="H121" s="23" t="str">
        <f>VLOOKUP(E121,Customers[],4,FALSE)</f>
        <v>မိတ္ထီလာ</v>
      </c>
      <c r="I121" s="28" t="s">
        <v>151</v>
      </c>
      <c r="J121" s="29" t="str">
        <f>VLOOKUP(I121,PGStock[],2,FALSE)</f>
        <v>Ngwe Taung  700ml</v>
      </c>
      <c r="K121" s="30">
        <f>VLOOKUP(I121,PGStock[],3,FALSE)</f>
        <v>0.7</v>
      </c>
      <c r="L121" s="104">
        <v>8</v>
      </c>
      <c r="M121" s="31">
        <f>VLOOKUP(I121,PGStock[],6,FALSE)</f>
        <v>150</v>
      </c>
      <c r="N121" s="31">
        <f>+Table8[[#This Row],[SalesBot]]*Table8[[#This Row],[Bonus]]</f>
        <v>1200</v>
      </c>
    </row>
    <row r="122" spans="1:14" ht="23.25" customHeight="1" x14ac:dyDescent="0.25">
      <c r="A122" s="26">
        <f t="shared" si="19"/>
        <v>2026</v>
      </c>
      <c r="B122" s="26">
        <f t="shared" si="20"/>
        <v>2</v>
      </c>
      <c r="C122" s="20">
        <v>46055</v>
      </c>
      <c r="D122" s="21" t="s">
        <v>165</v>
      </c>
      <c r="E122" s="27" t="s">
        <v>81</v>
      </c>
      <c r="F122" s="23" t="str">
        <f>VLOOKUP(E122,Customers[],2,FALSE)</f>
        <v>ဟိဏ်းထက်</v>
      </c>
      <c r="G122" s="23" t="str">
        <f>VLOOKUP(E122,Customers[],3,FALSE)</f>
        <v>စက်မှု့ဇုန်</v>
      </c>
      <c r="H122" s="23" t="str">
        <f>VLOOKUP(E122,Customers[],4,FALSE)</f>
        <v>မိတ္ထီလာ</v>
      </c>
      <c r="I122" s="28" t="s">
        <v>151</v>
      </c>
      <c r="J122" s="29" t="str">
        <f>VLOOKUP(I122,PGStock[],2,FALSE)</f>
        <v>Ngwe Taung  700ml</v>
      </c>
      <c r="K122" s="30">
        <f>VLOOKUP(I122,PGStock[],3,FALSE)</f>
        <v>0.7</v>
      </c>
      <c r="L122" s="104">
        <v>7</v>
      </c>
      <c r="M122" s="31">
        <f>VLOOKUP(I122,PGStock[],6,FALSE)</f>
        <v>150</v>
      </c>
      <c r="N122" s="31">
        <f>+Table8[[#This Row],[SalesBot]]*Table8[[#This Row],[Bonus]]</f>
        <v>1050</v>
      </c>
    </row>
    <row r="123" spans="1:14" ht="23.25" customHeight="1" x14ac:dyDescent="0.25">
      <c r="A123" s="26">
        <f t="shared" si="19"/>
        <v>2026</v>
      </c>
      <c r="B123" s="26">
        <f t="shared" si="20"/>
        <v>2</v>
      </c>
      <c r="C123" s="20">
        <v>46056</v>
      </c>
      <c r="D123" s="21" t="s">
        <v>78</v>
      </c>
      <c r="E123" s="27" t="s">
        <v>95</v>
      </c>
      <c r="F123" s="23" t="str">
        <f>VLOOKUP(E123,Customers[],2,FALSE)</f>
        <v>စိန်ခြယ်</v>
      </c>
      <c r="G123" s="23" t="str">
        <f>VLOOKUP(E123,Customers[],3,FALSE)</f>
        <v>ညောင်အိုင့်</v>
      </c>
      <c r="H123" s="23" t="str">
        <f>VLOOKUP(E123,Customers[],4,FALSE)</f>
        <v>မိတ္ထီလာ</v>
      </c>
      <c r="I123" s="28" t="s">
        <v>151</v>
      </c>
      <c r="J123" s="29" t="str">
        <f>VLOOKUP(I123,PGStock[],2,FALSE)</f>
        <v>Ngwe Taung  700ml</v>
      </c>
      <c r="K123" s="30">
        <f>VLOOKUP(I123,PGStock[],3,FALSE)</f>
        <v>0.7</v>
      </c>
      <c r="L123" s="104">
        <v>7</v>
      </c>
      <c r="M123" s="31">
        <f>VLOOKUP(I123,PGStock[],6,FALSE)</f>
        <v>150</v>
      </c>
      <c r="N123" s="31">
        <f>+Table8[[#This Row],[SalesBot]]*Table8[[#This Row],[Bonus]]</f>
        <v>1050</v>
      </c>
    </row>
    <row r="124" spans="1:14" ht="23.25" customHeight="1" x14ac:dyDescent="0.25">
      <c r="A124" s="26">
        <f t="shared" si="19"/>
        <v>2026</v>
      </c>
      <c r="B124" s="26">
        <f t="shared" si="20"/>
        <v>2</v>
      </c>
      <c r="C124" s="20">
        <v>46056</v>
      </c>
      <c r="D124" s="21" t="s">
        <v>166</v>
      </c>
      <c r="E124" s="27" t="s">
        <v>86</v>
      </c>
      <c r="F124" s="23" t="str">
        <f>VLOOKUP(E124,Customers[],2,FALSE)</f>
        <v>Liquar House</v>
      </c>
      <c r="G124" s="23" t="str">
        <f>VLOOKUP(E124,Customers[],3,FALSE)</f>
        <v>စက်မှု့ဇုန်</v>
      </c>
      <c r="H124" s="23" t="str">
        <f>VLOOKUP(E124,Customers[],4,FALSE)</f>
        <v>မိတ္ထီလာ</v>
      </c>
      <c r="I124" s="28" t="s">
        <v>151</v>
      </c>
      <c r="J124" s="29" t="str">
        <f>VLOOKUP(I124,PGStock[],2,FALSE)</f>
        <v>Ngwe Taung  700ml</v>
      </c>
      <c r="K124" s="30">
        <f>VLOOKUP(I124,PGStock[],3,FALSE)</f>
        <v>0.7</v>
      </c>
      <c r="L124" s="104">
        <v>8</v>
      </c>
      <c r="M124" s="31">
        <f>VLOOKUP(I124,PGStock[],6,FALSE)</f>
        <v>150</v>
      </c>
      <c r="N124" s="31">
        <f>+Table8[[#This Row],[SalesBot]]*Table8[[#This Row],[Bonus]]</f>
        <v>1200</v>
      </c>
    </row>
    <row r="125" spans="1:14" ht="23.25" customHeight="1" x14ac:dyDescent="0.25">
      <c r="A125" s="26">
        <f t="shared" si="19"/>
        <v>2026</v>
      </c>
      <c r="B125" s="26">
        <f t="shared" si="20"/>
        <v>2</v>
      </c>
      <c r="C125" s="20">
        <v>46056</v>
      </c>
      <c r="D125" s="21" t="s">
        <v>165</v>
      </c>
      <c r="E125" s="27" t="s">
        <v>81</v>
      </c>
      <c r="F125" s="23" t="str">
        <f>VLOOKUP(E125,Customers[],2,FALSE)</f>
        <v>ဟိဏ်းထက်</v>
      </c>
      <c r="G125" s="23" t="str">
        <f>VLOOKUP(E125,Customers[],3,FALSE)</f>
        <v>စက်မှု့ဇုန်</v>
      </c>
      <c r="H125" s="23" t="str">
        <f>VLOOKUP(E125,Customers[],4,FALSE)</f>
        <v>မိတ္ထီလာ</v>
      </c>
      <c r="I125" s="28" t="s">
        <v>151</v>
      </c>
      <c r="J125" s="29" t="str">
        <f>VLOOKUP(I125,PGStock[],2,FALSE)</f>
        <v>Ngwe Taung  700ml</v>
      </c>
      <c r="K125" s="30">
        <f>VLOOKUP(I125,PGStock[],3,FALSE)</f>
        <v>0.7</v>
      </c>
      <c r="L125" s="104">
        <v>10</v>
      </c>
      <c r="M125" s="31">
        <f>VLOOKUP(I125,PGStock[],6,FALSE)</f>
        <v>150</v>
      </c>
      <c r="N125" s="31">
        <f>+Table8[[#This Row],[SalesBot]]*Table8[[#This Row],[Bonus]]</f>
        <v>1500</v>
      </c>
    </row>
    <row r="126" spans="1:14" ht="23.25" customHeight="1" x14ac:dyDescent="0.25">
      <c r="A126" s="26">
        <f t="shared" si="19"/>
        <v>2026</v>
      </c>
      <c r="B126" s="26">
        <f t="shared" si="20"/>
        <v>2</v>
      </c>
      <c r="C126" s="20">
        <v>46057</v>
      </c>
      <c r="D126" s="21" t="s">
        <v>78</v>
      </c>
      <c r="E126" s="27" t="s">
        <v>95</v>
      </c>
      <c r="F126" s="23" t="str">
        <f>VLOOKUP(E126,Customers[],2,FALSE)</f>
        <v>စိန်ခြယ်</v>
      </c>
      <c r="G126" s="23" t="str">
        <f>VLOOKUP(E126,Customers[],3,FALSE)</f>
        <v>ညောင်အိုင့်</v>
      </c>
      <c r="H126" s="23" t="str">
        <f>VLOOKUP(E126,Customers[],4,FALSE)</f>
        <v>မိတ္ထီလာ</v>
      </c>
      <c r="I126" s="28" t="s">
        <v>151</v>
      </c>
      <c r="J126" s="29" t="str">
        <f>VLOOKUP(I126,PGStock[],2,FALSE)</f>
        <v>Ngwe Taung  700ml</v>
      </c>
      <c r="K126" s="30">
        <f>VLOOKUP(I126,PGStock[],3,FALSE)</f>
        <v>0.7</v>
      </c>
      <c r="L126" s="104">
        <v>6</v>
      </c>
      <c r="M126" s="31">
        <f>VLOOKUP(I126,PGStock[],6,FALSE)</f>
        <v>150</v>
      </c>
      <c r="N126" s="31">
        <f>+Table8[[#This Row],[SalesBot]]*Table8[[#This Row],[Bonus]]</f>
        <v>900</v>
      </c>
    </row>
    <row r="127" spans="1:14" ht="23.25" customHeight="1" x14ac:dyDescent="0.25">
      <c r="A127" s="26">
        <f t="shared" si="19"/>
        <v>2026</v>
      </c>
      <c r="B127" s="26">
        <f t="shared" si="20"/>
        <v>2</v>
      </c>
      <c r="C127" s="20">
        <v>46057</v>
      </c>
      <c r="D127" s="21" t="s">
        <v>166</v>
      </c>
      <c r="E127" s="27" t="s">
        <v>86</v>
      </c>
      <c r="F127" s="23" t="str">
        <f>VLOOKUP(E127,Customers[],2,FALSE)</f>
        <v>Liquar House</v>
      </c>
      <c r="G127" s="23" t="str">
        <f>VLOOKUP(E127,Customers[],3,FALSE)</f>
        <v>စက်မှု့ဇုန်</v>
      </c>
      <c r="H127" s="23" t="str">
        <f>VLOOKUP(E127,Customers[],4,FALSE)</f>
        <v>မိတ္ထီလာ</v>
      </c>
      <c r="I127" s="28" t="s">
        <v>151</v>
      </c>
      <c r="J127" s="29" t="str">
        <f>VLOOKUP(I127,PGStock[],2,FALSE)</f>
        <v>Ngwe Taung  700ml</v>
      </c>
      <c r="K127" s="30">
        <f>VLOOKUP(I127,PGStock[],3,FALSE)</f>
        <v>0.7</v>
      </c>
      <c r="L127" s="104">
        <v>10</v>
      </c>
      <c r="M127" s="31">
        <f>VLOOKUP(I127,PGStock[],6,FALSE)</f>
        <v>150</v>
      </c>
      <c r="N127" s="31">
        <f>+Table8[[#This Row],[SalesBot]]*Table8[[#This Row],[Bonus]]</f>
        <v>1500</v>
      </c>
    </row>
    <row r="128" spans="1:14" ht="23.25" customHeight="1" x14ac:dyDescent="0.25">
      <c r="A128" s="26">
        <f t="shared" si="19"/>
        <v>2026</v>
      </c>
      <c r="B128" s="26">
        <f t="shared" si="20"/>
        <v>2</v>
      </c>
      <c r="C128" s="20">
        <v>46057</v>
      </c>
      <c r="D128" s="21" t="s">
        <v>165</v>
      </c>
      <c r="E128" s="27" t="s">
        <v>81</v>
      </c>
      <c r="F128" s="23" t="str">
        <f>VLOOKUP(E128,Customers[],2,FALSE)</f>
        <v>ဟိဏ်းထက်</v>
      </c>
      <c r="G128" s="23" t="str">
        <f>VLOOKUP(E128,Customers[],3,FALSE)</f>
        <v>စက်မှု့ဇုန်</v>
      </c>
      <c r="H128" s="23" t="str">
        <f>VLOOKUP(E128,Customers[],4,FALSE)</f>
        <v>မိတ္ထီလာ</v>
      </c>
      <c r="I128" s="28" t="s">
        <v>151</v>
      </c>
      <c r="J128" s="29" t="str">
        <f>VLOOKUP(I128,PGStock[],2,FALSE)</f>
        <v>Ngwe Taung  700ml</v>
      </c>
      <c r="K128" s="30">
        <f>VLOOKUP(I128,PGStock[],3,FALSE)</f>
        <v>0.7</v>
      </c>
      <c r="L128" s="104">
        <v>14</v>
      </c>
      <c r="M128" s="31">
        <f>VLOOKUP(I128,PGStock[],6,FALSE)</f>
        <v>150</v>
      </c>
      <c r="N128" s="31">
        <f>+Table8[[#This Row],[SalesBot]]*Table8[[#This Row],[Bonus]]</f>
        <v>2100</v>
      </c>
    </row>
    <row r="129" spans="1:14" ht="23.25" customHeight="1" x14ac:dyDescent="0.25">
      <c r="A129" s="26">
        <f t="shared" si="19"/>
        <v>2026</v>
      </c>
      <c r="B129" s="26">
        <f t="shared" si="20"/>
        <v>2</v>
      </c>
      <c r="C129" s="20">
        <v>46058</v>
      </c>
      <c r="D129" s="21" t="s">
        <v>78</v>
      </c>
      <c r="E129" s="27" t="s">
        <v>95</v>
      </c>
      <c r="F129" s="23" t="str">
        <f>VLOOKUP(E129,Customers[],2,FALSE)</f>
        <v>စိန်ခြယ်</v>
      </c>
      <c r="G129" s="23" t="str">
        <f>VLOOKUP(E129,Customers[],3,FALSE)</f>
        <v>ညောင်အိုင့်</v>
      </c>
      <c r="H129" s="23" t="str">
        <f>VLOOKUP(E129,Customers[],4,FALSE)</f>
        <v>မိတ္ထီလာ</v>
      </c>
      <c r="I129" s="28" t="s">
        <v>151</v>
      </c>
      <c r="J129" s="29" t="str">
        <f>VLOOKUP(I129,PGStock[],2,FALSE)</f>
        <v>Ngwe Taung  700ml</v>
      </c>
      <c r="K129" s="30">
        <f>VLOOKUP(I129,PGStock[],3,FALSE)</f>
        <v>0.7</v>
      </c>
      <c r="L129" s="104">
        <v>3</v>
      </c>
      <c r="M129" s="31">
        <f>VLOOKUP(I129,PGStock[],6,FALSE)</f>
        <v>150</v>
      </c>
      <c r="N129" s="31">
        <f>+Table8[[#This Row],[SalesBot]]*Table8[[#This Row],[Bonus]]</f>
        <v>450</v>
      </c>
    </row>
    <row r="130" spans="1:14" ht="23.25" customHeight="1" x14ac:dyDescent="0.25">
      <c r="A130" s="26">
        <f t="shared" si="19"/>
        <v>2026</v>
      </c>
      <c r="B130" s="26">
        <f t="shared" si="20"/>
        <v>2</v>
      </c>
      <c r="C130" s="20">
        <v>46058</v>
      </c>
      <c r="D130" s="21" t="s">
        <v>166</v>
      </c>
      <c r="E130" s="27" t="s">
        <v>86</v>
      </c>
      <c r="F130" s="23" t="str">
        <f>VLOOKUP(E130,Customers[],2,FALSE)</f>
        <v>Liquar House</v>
      </c>
      <c r="G130" s="23" t="str">
        <f>VLOOKUP(E130,Customers[],3,FALSE)</f>
        <v>စက်မှု့ဇုန်</v>
      </c>
      <c r="H130" s="23" t="str">
        <f>VLOOKUP(E130,Customers[],4,FALSE)</f>
        <v>မိတ္ထီလာ</v>
      </c>
      <c r="I130" s="28" t="s">
        <v>151</v>
      </c>
      <c r="J130" s="29" t="str">
        <f>VLOOKUP(I130,PGStock[],2,FALSE)</f>
        <v>Ngwe Taung  700ml</v>
      </c>
      <c r="K130" s="30">
        <f>VLOOKUP(I130,PGStock[],3,FALSE)</f>
        <v>0.7</v>
      </c>
      <c r="L130" s="104">
        <v>2</v>
      </c>
      <c r="M130" s="31">
        <f>VLOOKUP(I130,PGStock[],6,FALSE)</f>
        <v>150</v>
      </c>
      <c r="N130" s="31">
        <f>+Table8[[#This Row],[SalesBot]]*Table8[[#This Row],[Bonus]]</f>
        <v>300</v>
      </c>
    </row>
    <row r="131" spans="1:14" ht="23.25" customHeight="1" x14ac:dyDescent="0.25">
      <c r="A131" s="26">
        <f t="shared" si="19"/>
        <v>2026</v>
      </c>
      <c r="B131" s="26">
        <f t="shared" si="20"/>
        <v>2</v>
      </c>
      <c r="C131" s="20">
        <v>46058</v>
      </c>
      <c r="D131" s="21" t="s">
        <v>165</v>
      </c>
      <c r="E131" s="27" t="s">
        <v>231</v>
      </c>
      <c r="F131" s="23" t="str">
        <f>VLOOKUP(E131,Customers[],2,FALSE)</f>
        <v>BB</v>
      </c>
      <c r="G131" s="23" t="str">
        <f>VLOOKUP(E131,Customers[],3,FALSE)</f>
        <v>စက်မှု့ဇုန်</v>
      </c>
      <c r="H131" s="23" t="str">
        <f>VLOOKUP(E131,Customers[],4,FALSE)</f>
        <v>မိတ္ထီလာ</v>
      </c>
      <c r="I131" s="28" t="s">
        <v>151</v>
      </c>
      <c r="J131" s="29" t="str">
        <f>VLOOKUP(I131,PGStock[],2,FALSE)</f>
        <v>Ngwe Taung  700ml</v>
      </c>
      <c r="K131" s="30">
        <f>VLOOKUP(I131,PGStock[],3,FALSE)</f>
        <v>0.7</v>
      </c>
      <c r="L131" s="104">
        <v>2</v>
      </c>
      <c r="M131" s="31">
        <f>VLOOKUP(I131,PGStock[],6,FALSE)</f>
        <v>150</v>
      </c>
      <c r="N131" s="31">
        <f>+Table8[[#This Row],[SalesBot]]*Table8[[#This Row],[Bonus]]</f>
        <v>300</v>
      </c>
    </row>
    <row r="132" spans="1:14" ht="23.25" customHeight="1" x14ac:dyDescent="0.25">
      <c r="A132" s="26">
        <f t="shared" si="19"/>
        <v>2026</v>
      </c>
      <c r="B132" s="26">
        <f t="shared" si="20"/>
        <v>2</v>
      </c>
      <c r="C132" s="20">
        <v>46058</v>
      </c>
      <c r="D132" s="21" t="s">
        <v>261</v>
      </c>
      <c r="E132" s="27" t="s">
        <v>81</v>
      </c>
      <c r="F132" s="23" t="str">
        <f>VLOOKUP(E132,Customers[],2,FALSE)</f>
        <v>ဟိဏ်းထက်</v>
      </c>
      <c r="G132" s="23" t="str">
        <f>VLOOKUP(E132,Customers[],3,FALSE)</f>
        <v>စက်မှု့ဇုန်</v>
      </c>
      <c r="H132" s="23" t="str">
        <f>VLOOKUP(E132,Customers[],4,FALSE)</f>
        <v>မိတ္ထီလာ</v>
      </c>
      <c r="I132" s="28" t="s">
        <v>151</v>
      </c>
      <c r="J132" s="29" t="str">
        <f>VLOOKUP(I132,PGStock[],2,FALSE)</f>
        <v>Ngwe Taung  700ml</v>
      </c>
      <c r="K132" s="30">
        <f>VLOOKUP(I132,PGStock[],3,FALSE)</f>
        <v>0.7</v>
      </c>
      <c r="L132" s="104">
        <v>7</v>
      </c>
      <c r="M132" s="31">
        <f>VLOOKUP(I132,PGStock[],6,FALSE)</f>
        <v>150</v>
      </c>
      <c r="N132" s="31">
        <f>+Table8[[#This Row],[SalesBot]]*Table8[[#This Row],[Bonus]]</f>
        <v>1050</v>
      </c>
    </row>
    <row r="133" spans="1:14" ht="23.25" customHeight="1" x14ac:dyDescent="0.25">
      <c r="A133" s="26">
        <f t="shared" si="19"/>
        <v>2026</v>
      </c>
      <c r="B133" s="26">
        <f t="shared" si="20"/>
        <v>2</v>
      </c>
      <c r="C133" s="20">
        <v>46059</v>
      </c>
      <c r="D133" s="21" t="s">
        <v>78</v>
      </c>
      <c r="E133" s="27" t="s">
        <v>95</v>
      </c>
      <c r="F133" s="23" t="str">
        <f>VLOOKUP(E133,Customers[],2,FALSE)</f>
        <v>စိန်ခြယ်</v>
      </c>
      <c r="G133" s="23" t="str">
        <f>VLOOKUP(E133,Customers[],3,FALSE)</f>
        <v>ညောင်အိုင့်</v>
      </c>
      <c r="H133" s="23" t="str">
        <f>VLOOKUP(E133,Customers[],4,FALSE)</f>
        <v>မိတ္ထီလာ</v>
      </c>
      <c r="I133" s="28" t="s">
        <v>151</v>
      </c>
      <c r="J133" s="29" t="str">
        <f>VLOOKUP(I133,PGStock[],2,FALSE)</f>
        <v>Ngwe Taung  700ml</v>
      </c>
      <c r="K133" s="30">
        <f>VLOOKUP(I133,PGStock[],3,FALSE)</f>
        <v>0.7</v>
      </c>
      <c r="L133" s="104">
        <v>4</v>
      </c>
      <c r="M133" s="31">
        <f>VLOOKUP(I133,PGStock[],6,FALSE)</f>
        <v>150</v>
      </c>
      <c r="N133" s="31">
        <f>+Table8[[#This Row],[SalesBot]]*Table8[[#This Row],[Bonus]]</f>
        <v>600</v>
      </c>
    </row>
    <row r="134" spans="1:14" ht="23.25" customHeight="1" x14ac:dyDescent="0.25">
      <c r="A134" s="26">
        <f t="shared" si="19"/>
        <v>2026</v>
      </c>
      <c r="B134" s="26">
        <f t="shared" si="20"/>
        <v>2</v>
      </c>
      <c r="C134" s="20">
        <v>46059</v>
      </c>
      <c r="D134" s="21" t="s">
        <v>166</v>
      </c>
      <c r="E134" s="27" t="s">
        <v>86</v>
      </c>
      <c r="F134" s="23" t="str">
        <f>VLOOKUP(E134,Customers[],2,FALSE)</f>
        <v>Liquar House</v>
      </c>
      <c r="G134" s="23" t="str">
        <f>VLOOKUP(E134,Customers[],3,FALSE)</f>
        <v>စက်မှု့ဇုန်</v>
      </c>
      <c r="H134" s="23" t="str">
        <f>VLOOKUP(E134,Customers[],4,FALSE)</f>
        <v>မိတ္ထီလာ</v>
      </c>
      <c r="I134" s="28" t="s">
        <v>151</v>
      </c>
      <c r="J134" s="29" t="str">
        <f>VLOOKUP(I134,PGStock[],2,FALSE)</f>
        <v>Ngwe Taung  700ml</v>
      </c>
      <c r="K134" s="30">
        <f>VLOOKUP(I134,PGStock[],3,FALSE)</f>
        <v>0.7</v>
      </c>
      <c r="L134" s="104">
        <v>7</v>
      </c>
      <c r="M134" s="31">
        <f>VLOOKUP(I134,PGStock[],6,FALSE)</f>
        <v>150</v>
      </c>
      <c r="N134" s="31">
        <f>+Table8[[#This Row],[SalesBot]]*Table8[[#This Row],[Bonus]]</f>
        <v>1050</v>
      </c>
    </row>
    <row r="135" spans="1:14" ht="23.25" customHeight="1" x14ac:dyDescent="0.25">
      <c r="A135" s="26">
        <f t="shared" si="19"/>
        <v>2026</v>
      </c>
      <c r="B135" s="26">
        <f t="shared" si="20"/>
        <v>2</v>
      </c>
      <c r="C135" s="20">
        <v>46059</v>
      </c>
      <c r="D135" s="21" t="s">
        <v>165</v>
      </c>
      <c r="E135" s="27" t="s">
        <v>231</v>
      </c>
      <c r="F135" s="23" t="str">
        <f>VLOOKUP(E135,Customers[],2,FALSE)</f>
        <v>BB</v>
      </c>
      <c r="G135" s="23" t="str">
        <f>VLOOKUP(E135,Customers[],3,FALSE)</f>
        <v>စက်မှု့ဇုန်</v>
      </c>
      <c r="H135" s="23" t="str">
        <f>VLOOKUP(E135,Customers[],4,FALSE)</f>
        <v>မိတ္ထီလာ</v>
      </c>
      <c r="I135" s="28" t="s">
        <v>151</v>
      </c>
      <c r="J135" s="29" t="str">
        <f>VLOOKUP(I135,PGStock[],2,FALSE)</f>
        <v>Ngwe Taung  700ml</v>
      </c>
      <c r="K135" s="30">
        <f>VLOOKUP(I135,PGStock[],3,FALSE)</f>
        <v>0.7</v>
      </c>
      <c r="L135" s="104">
        <v>2</v>
      </c>
      <c r="M135" s="31">
        <f>VLOOKUP(I135,PGStock[],6,FALSE)</f>
        <v>150</v>
      </c>
      <c r="N135" s="31">
        <f>+Table8[[#This Row],[SalesBot]]*Table8[[#This Row],[Bonus]]</f>
        <v>300</v>
      </c>
    </row>
    <row r="136" spans="1:14" ht="23.25" customHeight="1" x14ac:dyDescent="0.25">
      <c r="A136" s="26">
        <f t="shared" si="19"/>
        <v>2026</v>
      </c>
      <c r="B136" s="26">
        <f t="shared" si="20"/>
        <v>2</v>
      </c>
      <c r="C136" s="20">
        <v>46059</v>
      </c>
      <c r="D136" s="21" t="s">
        <v>261</v>
      </c>
      <c r="E136" s="27" t="s">
        <v>81</v>
      </c>
      <c r="F136" s="23" t="str">
        <f>VLOOKUP(E136,Customers[],2,FALSE)</f>
        <v>ဟိဏ်းထက်</v>
      </c>
      <c r="G136" s="23" t="str">
        <f>VLOOKUP(E136,Customers[],3,FALSE)</f>
        <v>စက်မှု့ဇုန်</v>
      </c>
      <c r="H136" s="23" t="str">
        <f>VLOOKUP(E136,Customers[],4,FALSE)</f>
        <v>မိတ္ထီလာ</v>
      </c>
      <c r="I136" s="28" t="s">
        <v>151</v>
      </c>
      <c r="J136" s="29" t="str">
        <f>VLOOKUP(I136,PGStock[],2,FALSE)</f>
        <v>Ngwe Taung  700ml</v>
      </c>
      <c r="K136" s="30">
        <f>VLOOKUP(I136,PGStock[],3,FALSE)</f>
        <v>0.7</v>
      </c>
      <c r="L136" s="104">
        <v>8</v>
      </c>
      <c r="M136" s="31">
        <f>VLOOKUP(I136,PGStock[],6,FALSE)</f>
        <v>150</v>
      </c>
      <c r="N136" s="31">
        <f>+Table8[[#This Row],[SalesBot]]*Table8[[#This Row],[Bonus]]</f>
        <v>1200</v>
      </c>
    </row>
    <row r="137" spans="1:14" ht="23.25" customHeight="1" x14ac:dyDescent="0.25">
      <c r="A137" s="26">
        <f t="shared" si="19"/>
        <v>2026</v>
      </c>
      <c r="B137" s="26">
        <f t="shared" si="20"/>
        <v>2</v>
      </c>
      <c r="C137" s="20">
        <v>46060</v>
      </c>
      <c r="D137" s="21" t="s">
        <v>78</v>
      </c>
      <c r="E137" s="27" t="s">
        <v>95</v>
      </c>
      <c r="F137" s="23" t="str">
        <f>VLOOKUP(E137,Customers[],2,FALSE)</f>
        <v>စိန်ခြယ်</v>
      </c>
      <c r="G137" s="23" t="str">
        <f>VLOOKUP(E137,Customers[],3,FALSE)</f>
        <v>ညောင်အိုင့်</v>
      </c>
      <c r="H137" s="23" t="str">
        <f>VLOOKUP(E137,Customers[],4,FALSE)</f>
        <v>မိတ္ထီလာ</v>
      </c>
      <c r="I137" s="28" t="s">
        <v>151</v>
      </c>
      <c r="J137" s="29" t="str">
        <f>VLOOKUP(I137,PGStock[],2,FALSE)</f>
        <v>Ngwe Taung  700ml</v>
      </c>
      <c r="K137" s="30">
        <f>VLOOKUP(I137,PGStock[],3,FALSE)</f>
        <v>0.7</v>
      </c>
      <c r="L137" s="104">
        <v>6</v>
      </c>
      <c r="M137" s="31">
        <f>VLOOKUP(I137,PGStock[],6,FALSE)</f>
        <v>150</v>
      </c>
      <c r="N137" s="31">
        <f>+Table8[[#This Row],[SalesBot]]*Table8[[#This Row],[Bonus]]</f>
        <v>900</v>
      </c>
    </row>
    <row r="138" spans="1:14" ht="23.25" customHeight="1" x14ac:dyDescent="0.25">
      <c r="A138" s="26">
        <f t="shared" si="19"/>
        <v>2026</v>
      </c>
      <c r="B138" s="26">
        <f t="shared" si="20"/>
        <v>2</v>
      </c>
      <c r="C138" s="20">
        <v>46060</v>
      </c>
      <c r="D138" s="21" t="s">
        <v>166</v>
      </c>
      <c r="E138" s="27" t="s">
        <v>231</v>
      </c>
      <c r="F138" s="23" t="str">
        <f>VLOOKUP(E138,Customers[],2,FALSE)</f>
        <v>BB</v>
      </c>
      <c r="G138" s="23" t="str">
        <f>VLOOKUP(E138,Customers[],3,FALSE)</f>
        <v>စက်မှု့ဇုန်</v>
      </c>
      <c r="H138" s="23" t="str">
        <f>VLOOKUP(E138,Customers[],4,FALSE)</f>
        <v>မိတ္ထီလာ</v>
      </c>
      <c r="I138" s="28" t="s">
        <v>151</v>
      </c>
      <c r="J138" s="29" t="str">
        <f>VLOOKUP(I138,PGStock[],2,FALSE)</f>
        <v>Ngwe Taung  700ml</v>
      </c>
      <c r="K138" s="30">
        <f>VLOOKUP(I138,PGStock[],3,FALSE)</f>
        <v>0.7</v>
      </c>
      <c r="L138" s="104">
        <v>9</v>
      </c>
      <c r="M138" s="31">
        <f>VLOOKUP(I138,PGStock[],6,FALSE)</f>
        <v>150</v>
      </c>
      <c r="N138" s="31">
        <f>+Table8[[#This Row],[SalesBot]]*Table8[[#This Row],[Bonus]]</f>
        <v>1350</v>
      </c>
    </row>
    <row r="139" spans="1:14" ht="23.25" customHeight="1" x14ac:dyDescent="0.25">
      <c r="A139" s="26">
        <f t="shared" si="19"/>
        <v>2026</v>
      </c>
      <c r="B139" s="26">
        <f t="shared" si="20"/>
        <v>2</v>
      </c>
      <c r="C139" s="20">
        <v>46060</v>
      </c>
      <c r="D139" s="21" t="s">
        <v>165</v>
      </c>
      <c r="E139" s="27" t="s">
        <v>86</v>
      </c>
      <c r="F139" s="23" t="str">
        <f>VLOOKUP(E139,Customers[],2,FALSE)</f>
        <v>Liquar House</v>
      </c>
      <c r="G139" s="23" t="str">
        <f>VLOOKUP(E139,Customers[],3,FALSE)</f>
        <v>စက်မှု့ဇုန်</v>
      </c>
      <c r="H139" s="23" t="str">
        <f>VLOOKUP(E139,Customers[],4,FALSE)</f>
        <v>မိတ္ထီလာ</v>
      </c>
      <c r="I139" s="28" t="s">
        <v>151</v>
      </c>
      <c r="J139" s="29" t="str">
        <f>VLOOKUP(I139,PGStock[],2,FALSE)</f>
        <v>Ngwe Taung  700ml</v>
      </c>
      <c r="K139" s="30">
        <f>VLOOKUP(I139,PGStock[],3,FALSE)</f>
        <v>0.7</v>
      </c>
      <c r="L139" s="104">
        <v>7</v>
      </c>
      <c r="M139" s="31">
        <f>VLOOKUP(I139,PGStock[],6,FALSE)</f>
        <v>150</v>
      </c>
      <c r="N139" s="31">
        <f>+Table8[[#This Row],[SalesBot]]*Table8[[#This Row],[Bonus]]</f>
        <v>1050</v>
      </c>
    </row>
    <row r="140" spans="1:14" ht="23.25" customHeight="1" x14ac:dyDescent="0.25">
      <c r="A140" s="26">
        <f t="shared" si="19"/>
        <v>2026</v>
      </c>
      <c r="B140" s="26">
        <f t="shared" si="20"/>
        <v>2</v>
      </c>
      <c r="C140" s="20">
        <v>46060</v>
      </c>
      <c r="D140" s="21" t="s">
        <v>261</v>
      </c>
      <c r="E140" s="27" t="s">
        <v>81</v>
      </c>
      <c r="F140" s="23" t="str">
        <f>VLOOKUP(E140,Customers[],2,FALSE)</f>
        <v>ဟိဏ်းထက်</v>
      </c>
      <c r="G140" s="23" t="str">
        <f>VLOOKUP(E140,Customers[],3,FALSE)</f>
        <v>စက်မှု့ဇုန်</v>
      </c>
      <c r="H140" s="23" t="str">
        <f>VLOOKUP(E140,Customers[],4,FALSE)</f>
        <v>မိတ္ထီလာ</v>
      </c>
      <c r="I140" s="28" t="s">
        <v>151</v>
      </c>
      <c r="J140" s="29" t="str">
        <f>VLOOKUP(I140,PGStock[],2,FALSE)</f>
        <v>Ngwe Taung  700ml</v>
      </c>
      <c r="K140" s="30">
        <f>VLOOKUP(I140,PGStock[],3,FALSE)</f>
        <v>0.7</v>
      </c>
      <c r="L140" s="104">
        <v>9</v>
      </c>
      <c r="M140" s="31">
        <f>VLOOKUP(I140,PGStock[],6,FALSE)</f>
        <v>150</v>
      </c>
      <c r="N140" s="31">
        <f>+Table8[[#This Row],[SalesBot]]*Table8[[#This Row],[Bonus]]</f>
        <v>1350</v>
      </c>
    </row>
    <row r="141" spans="1:14" ht="23.25" customHeight="1" x14ac:dyDescent="0.25">
      <c r="A141" s="26">
        <f t="shared" si="19"/>
        <v>2026</v>
      </c>
      <c r="B141" s="26">
        <f t="shared" si="20"/>
        <v>2</v>
      </c>
      <c r="C141" s="20">
        <v>46062</v>
      </c>
      <c r="D141" s="21" t="s">
        <v>78</v>
      </c>
      <c r="E141" s="27" t="s">
        <v>136</v>
      </c>
      <c r="F141" s="23" t="str">
        <f>VLOOKUP(E141,Customers[],2,FALSE)</f>
        <v>ကောင်းစုစံ</v>
      </c>
      <c r="G141" s="23" t="str">
        <f>VLOOKUP(E141,Customers[],3,FALSE)</f>
        <v>တောမ</v>
      </c>
      <c r="H141" s="23" t="str">
        <f>VLOOKUP(E141,Customers[],4,FALSE)</f>
        <v>မိတ္ထီလာ</v>
      </c>
      <c r="I141" s="28" t="s">
        <v>151</v>
      </c>
      <c r="J141" s="29" t="str">
        <f>VLOOKUP(I141,PGStock[],2,FALSE)</f>
        <v>Ngwe Taung  700ml</v>
      </c>
      <c r="K141" s="30">
        <f>VLOOKUP(I141,PGStock[],3,FALSE)</f>
        <v>0.7</v>
      </c>
      <c r="L141" s="104">
        <v>3</v>
      </c>
      <c r="M141" s="31">
        <f>VLOOKUP(I141,PGStock[],6,FALSE)</f>
        <v>150</v>
      </c>
      <c r="N141" s="31">
        <f>+Table8[[#This Row],[SalesBot]]*Table8[[#This Row],[Bonus]]</f>
        <v>450</v>
      </c>
    </row>
    <row r="142" spans="1:14" ht="23.25" customHeight="1" x14ac:dyDescent="0.25">
      <c r="A142" s="26">
        <f t="shared" si="19"/>
        <v>2026</v>
      </c>
      <c r="B142" s="26">
        <f t="shared" si="20"/>
        <v>2</v>
      </c>
      <c r="C142" s="20">
        <v>46062</v>
      </c>
      <c r="D142" s="21" t="s">
        <v>166</v>
      </c>
      <c r="E142" s="27" t="s">
        <v>134</v>
      </c>
      <c r="F142" s="23" t="str">
        <f>VLOOKUP(E142,Customers[],2,FALSE)</f>
        <v>Super Top</v>
      </c>
      <c r="G142" s="23" t="str">
        <f>VLOOKUP(E142,Customers[],3,FALSE)</f>
        <v>တောမ</v>
      </c>
      <c r="H142" s="23" t="str">
        <f>VLOOKUP(E142,Customers[],4,FALSE)</f>
        <v>မိတ္ထီလာ</v>
      </c>
      <c r="I142" s="28" t="s">
        <v>151</v>
      </c>
      <c r="J142" s="29" t="str">
        <f>VLOOKUP(I142,PGStock[],2,FALSE)</f>
        <v>Ngwe Taung  700ml</v>
      </c>
      <c r="K142" s="30">
        <f>VLOOKUP(I142,PGStock[],3,FALSE)</f>
        <v>0.7</v>
      </c>
      <c r="L142" s="104">
        <v>7</v>
      </c>
      <c r="M142" s="31">
        <f>VLOOKUP(I142,PGStock[],6,FALSE)</f>
        <v>150</v>
      </c>
      <c r="N142" s="31">
        <f>+Table8[[#This Row],[SalesBot]]*Table8[[#This Row],[Bonus]]</f>
        <v>1050</v>
      </c>
    </row>
    <row r="143" spans="1:14" ht="23.25" customHeight="1" x14ac:dyDescent="0.25">
      <c r="A143" s="26">
        <f t="shared" si="19"/>
        <v>2026</v>
      </c>
      <c r="B143" s="26">
        <f t="shared" si="20"/>
        <v>2</v>
      </c>
      <c r="C143" s="20">
        <v>46062</v>
      </c>
      <c r="D143" s="21" t="s">
        <v>165</v>
      </c>
      <c r="E143" s="27" t="s">
        <v>126</v>
      </c>
      <c r="F143" s="23" t="str">
        <f>VLOOKUP(E143,Customers[],2,FALSE)</f>
        <v>Smart</v>
      </c>
      <c r="G143" s="23" t="str">
        <f>VLOOKUP(E143,Customers[],3,FALSE)</f>
        <v>ဘူတာဟောင်းလမ်း</v>
      </c>
      <c r="H143" s="23" t="str">
        <f>VLOOKUP(E143,Customers[],4,FALSE)</f>
        <v>မိတ္ထီလာ</v>
      </c>
      <c r="I143" s="28" t="s">
        <v>151</v>
      </c>
      <c r="J143" s="29" t="str">
        <f>VLOOKUP(I143,PGStock[],2,FALSE)</f>
        <v>Ngwe Taung  700ml</v>
      </c>
      <c r="K143" s="30">
        <f>VLOOKUP(I143,PGStock[],3,FALSE)</f>
        <v>0.7</v>
      </c>
      <c r="L143" s="104">
        <v>2</v>
      </c>
      <c r="M143" s="31">
        <f>VLOOKUP(I143,PGStock[],6,FALSE)</f>
        <v>150</v>
      </c>
      <c r="N143" s="31">
        <f>+Table8[[#This Row],[SalesBot]]*Table8[[#This Row],[Bonus]]</f>
        <v>300</v>
      </c>
    </row>
    <row r="144" spans="1:14" ht="23.25" customHeight="1" x14ac:dyDescent="0.25">
      <c r="A144" s="26">
        <f t="shared" ref="A144:A477" si="21">YEAR(C144)</f>
        <v>2026</v>
      </c>
      <c r="B144" s="26">
        <f t="shared" ref="B144:B477" si="22">MONTH(C144)</f>
        <v>2</v>
      </c>
      <c r="C144" s="20">
        <v>46062</v>
      </c>
      <c r="D144" s="21" t="s">
        <v>261</v>
      </c>
      <c r="E144" s="27" t="s">
        <v>129</v>
      </c>
      <c r="F144" s="23" t="str">
        <f>VLOOKUP(E144,Customers[],2,FALSE)</f>
        <v>ပစ်တိုင်းထောင်</v>
      </c>
      <c r="G144" s="23" t="str">
        <f>VLOOKUP(E144,Customers[],3,FALSE)</f>
        <v>တောမ</v>
      </c>
      <c r="H144" s="23" t="str">
        <f>VLOOKUP(E144,Customers[],4,FALSE)</f>
        <v>မိတ္ထီလာ</v>
      </c>
      <c r="I144" s="28" t="s">
        <v>151</v>
      </c>
      <c r="J144" s="29" t="str">
        <f>VLOOKUP(I144,PGStock[],2,FALSE)</f>
        <v>Ngwe Taung  700ml</v>
      </c>
      <c r="K144" s="30">
        <f>VLOOKUP(I144,PGStock[],3,FALSE)</f>
        <v>0.7</v>
      </c>
      <c r="L144" s="104">
        <v>2</v>
      </c>
      <c r="M144" s="31">
        <f>VLOOKUP(I144,PGStock[],6,FALSE)</f>
        <v>150</v>
      </c>
      <c r="N144" s="31">
        <f>+Table8[[#This Row],[SalesBot]]*Table8[[#This Row],[Bonus]]</f>
        <v>300</v>
      </c>
    </row>
    <row r="145" spans="1:14" ht="23.25" customHeight="1" x14ac:dyDescent="0.25">
      <c r="A145" s="26">
        <f t="shared" si="21"/>
        <v>2026</v>
      </c>
      <c r="B145" s="26">
        <f t="shared" si="22"/>
        <v>2</v>
      </c>
      <c r="C145" s="20">
        <v>46063</v>
      </c>
      <c r="D145" s="21" t="s">
        <v>78</v>
      </c>
      <c r="E145" s="27" t="s">
        <v>136</v>
      </c>
      <c r="F145" s="23" t="str">
        <f>VLOOKUP(E145,Customers[],2,FALSE)</f>
        <v>ကောင်းစုစံ</v>
      </c>
      <c r="G145" s="23" t="str">
        <f>VLOOKUP(E145,Customers[],3,FALSE)</f>
        <v>တောမ</v>
      </c>
      <c r="H145" s="23" t="str">
        <f>VLOOKUP(E145,Customers[],4,FALSE)</f>
        <v>မိတ္ထီလာ</v>
      </c>
      <c r="I145" s="28" t="s">
        <v>151</v>
      </c>
      <c r="J145" s="29" t="str">
        <f>VLOOKUP(I145,PGStock[],2,FALSE)</f>
        <v>Ngwe Taung  700ml</v>
      </c>
      <c r="K145" s="30">
        <f>VLOOKUP(I145,PGStock[],3,FALSE)</f>
        <v>0.7</v>
      </c>
      <c r="L145" s="104">
        <v>5</v>
      </c>
      <c r="M145" s="31">
        <f>VLOOKUP(I145,PGStock[],6,FALSE)</f>
        <v>150</v>
      </c>
      <c r="N145" s="31">
        <f>+Table8[[#This Row],[SalesBot]]*Table8[[#This Row],[Bonus]]</f>
        <v>750</v>
      </c>
    </row>
    <row r="146" spans="1:14" ht="23.25" customHeight="1" x14ac:dyDescent="0.25">
      <c r="A146" s="26">
        <f t="shared" si="21"/>
        <v>2026</v>
      </c>
      <c r="B146" s="26">
        <f t="shared" si="22"/>
        <v>2</v>
      </c>
      <c r="C146" s="20">
        <v>46063</v>
      </c>
      <c r="D146" s="21" t="s">
        <v>166</v>
      </c>
      <c r="E146" s="27" t="s">
        <v>129</v>
      </c>
      <c r="F146" s="23" t="str">
        <f>VLOOKUP(E146,Customers[],2,FALSE)</f>
        <v>ပစ်တိုင်းထောင်</v>
      </c>
      <c r="G146" s="23" t="str">
        <f>VLOOKUP(E146,Customers[],3,FALSE)</f>
        <v>တောမ</v>
      </c>
      <c r="H146" s="23" t="str">
        <f>VLOOKUP(E146,Customers[],4,FALSE)</f>
        <v>မိတ္ထီလာ</v>
      </c>
      <c r="I146" s="28" t="s">
        <v>151</v>
      </c>
      <c r="J146" s="29" t="str">
        <f>VLOOKUP(I146,PGStock[],2,FALSE)</f>
        <v>Ngwe Taung  700ml</v>
      </c>
      <c r="K146" s="30">
        <f>VLOOKUP(I146,PGStock[],3,FALSE)</f>
        <v>0.7</v>
      </c>
      <c r="L146" s="104">
        <v>9</v>
      </c>
      <c r="M146" s="31">
        <f>VLOOKUP(I146,PGStock[],6,FALSE)</f>
        <v>150</v>
      </c>
      <c r="N146" s="31">
        <f>+Table8[[#This Row],[SalesBot]]*Table8[[#This Row],[Bonus]]</f>
        <v>1350</v>
      </c>
    </row>
    <row r="147" spans="1:14" ht="23.25" customHeight="1" x14ac:dyDescent="0.25">
      <c r="A147" s="26">
        <f t="shared" si="21"/>
        <v>2026</v>
      </c>
      <c r="B147" s="26">
        <f t="shared" si="22"/>
        <v>2</v>
      </c>
      <c r="C147" s="20">
        <v>46063</v>
      </c>
      <c r="D147" s="21" t="s">
        <v>165</v>
      </c>
      <c r="E147" s="27" t="s">
        <v>126</v>
      </c>
      <c r="F147" s="23" t="str">
        <f>VLOOKUP(E147,Customers[],2,FALSE)</f>
        <v>Smart</v>
      </c>
      <c r="G147" s="23" t="str">
        <f>VLOOKUP(E147,Customers[],3,FALSE)</f>
        <v>ဘူတာဟောင်းလမ်း</v>
      </c>
      <c r="H147" s="23" t="str">
        <f>VLOOKUP(E147,Customers[],4,FALSE)</f>
        <v>မိတ္ထီလာ</v>
      </c>
      <c r="I147" s="28" t="s">
        <v>151</v>
      </c>
      <c r="J147" s="29" t="str">
        <f>VLOOKUP(I147,PGStock[],2,FALSE)</f>
        <v>Ngwe Taung  700ml</v>
      </c>
      <c r="K147" s="30">
        <f>VLOOKUP(I147,PGStock[],3,FALSE)</f>
        <v>0.7</v>
      </c>
      <c r="L147" s="104">
        <v>2</v>
      </c>
      <c r="M147" s="31">
        <f>VLOOKUP(I147,PGStock[],6,FALSE)</f>
        <v>150</v>
      </c>
      <c r="N147" s="31">
        <f>+Table8[[#This Row],[SalesBot]]*Table8[[#This Row],[Bonus]]</f>
        <v>300</v>
      </c>
    </row>
    <row r="148" spans="1:14" ht="23.25" customHeight="1" x14ac:dyDescent="0.25">
      <c r="A148" s="26">
        <f t="shared" si="21"/>
        <v>2026</v>
      </c>
      <c r="B148" s="26">
        <f t="shared" si="22"/>
        <v>2</v>
      </c>
      <c r="C148" s="20">
        <v>46063</v>
      </c>
      <c r="D148" s="21" t="s">
        <v>261</v>
      </c>
      <c r="E148" s="27" t="s">
        <v>134</v>
      </c>
      <c r="F148" s="23" t="str">
        <f>VLOOKUP(E148,Customers[],2,FALSE)</f>
        <v>Super Top</v>
      </c>
      <c r="G148" s="23" t="str">
        <f>VLOOKUP(E148,Customers[],3,FALSE)</f>
        <v>တောမ</v>
      </c>
      <c r="H148" s="23" t="str">
        <f>VLOOKUP(E148,Customers[],4,FALSE)</f>
        <v>မိတ္ထီလာ</v>
      </c>
      <c r="I148" s="28" t="s">
        <v>151</v>
      </c>
      <c r="J148" s="29" t="str">
        <f>VLOOKUP(I148,PGStock[],2,FALSE)</f>
        <v>Ngwe Taung  700ml</v>
      </c>
      <c r="K148" s="30">
        <f>VLOOKUP(I148,PGStock[],3,FALSE)</f>
        <v>0.7</v>
      </c>
      <c r="L148" s="104">
        <v>1</v>
      </c>
      <c r="M148" s="31">
        <f>VLOOKUP(I148,PGStock[],6,FALSE)</f>
        <v>150</v>
      </c>
      <c r="N148" s="31">
        <f>+Table8[[#This Row],[SalesBot]]*Table8[[#This Row],[Bonus]]</f>
        <v>150</v>
      </c>
    </row>
    <row r="149" spans="1:14" ht="23.25" customHeight="1" x14ac:dyDescent="0.25">
      <c r="A149" s="26">
        <f t="shared" si="21"/>
        <v>2026</v>
      </c>
      <c r="B149" s="26">
        <f t="shared" si="22"/>
        <v>2</v>
      </c>
      <c r="C149" s="20">
        <v>46064</v>
      </c>
      <c r="D149" s="21" t="s">
        <v>78</v>
      </c>
      <c r="E149" s="27" t="s">
        <v>129</v>
      </c>
      <c r="F149" s="23" t="str">
        <f>VLOOKUP(E149,Customers[],2,FALSE)</f>
        <v>ပစ်တိုင်းထောင်</v>
      </c>
      <c r="G149" s="23" t="str">
        <f>VLOOKUP(E149,Customers[],3,FALSE)</f>
        <v>တောမ</v>
      </c>
      <c r="H149" s="23" t="str">
        <f>VLOOKUP(E149,Customers[],4,FALSE)</f>
        <v>မိတ္ထီလာ</v>
      </c>
      <c r="I149" s="28" t="s">
        <v>151</v>
      </c>
      <c r="J149" s="29" t="str">
        <f>VLOOKUP(I149,PGStock[],2,FALSE)</f>
        <v>Ngwe Taung  700ml</v>
      </c>
      <c r="K149" s="30">
        <f>VLOOKUP(I149,PGStock[],3,FALSE)</f>
        <v>0.7</v>
      </c>
      <c r="L149" s="104">
        <v>8</v>
      </c>
      <c r="M149" s="31">
        <f>VLOOKUP(I149,PGStock[],6,FALSE)</f>
        <v>150</v>
      </c>
      <c r="N149" s="31">
        <f>+Table8[[#This Row],[SalesBot]]*Table8[[#This Row],[Bonus]]</f>
        <v>1200</v>
      </c>
    </row>
    <row r="150" spans="1:14" ht="23.25" customHeight="1" x14ac:dyDescent="0.25">
      <c r="A150" s="26">
        <f t="shared" si="21"/>
        <v>2026</v>
      </c>
      <c r="B150" s="26">
        <f t="shared" si="22"/>
        <v>2</v>
      </c>
      <c r="C150" s="20">
        <v>46064</v>
      </c>
      <c r="D150" s="21" t="s">
        <v>166</v>
      </c>
      <c r="E150" s="27" t="s">
        <v>136</v>
      </c>
      <c r="F150" s="23" t="str">
        <f>VLOOKUP(E150,Customers[],2,FALSE)</f>
        <v>ကောင်းစုစံ</v>
      </c>
      <c r="G150" s="23" t="str">
        <f>VLOOKUP(E150,Customers[],3,FALSE)</f>
        <v>တောမ</v>
      </c>
      <c r="H150" s="23" t="str">
        <f>VLOOKUP(E150,Customers[],4,FALSE)</f>
        <v>မိတ္ထီလာ</v>
      </c>
      <c r="I150" s="28" t="s">
        <v>151</v>
      </c>
      <c r="J150" s="29" t="str">
        <f>VLOOKUP(I150,PGStock[],2,FALSE)</f>
        <v>Ngwe Taung  700ml</v>
      </c>
      <c r="K150" s="30">
        <f>VLOOKUP(I150,PGStock[],3,FALSE)</f>
        <v>0.7</v>
      </c>
      <c r="L150" s="104">
        <v>4</v>
      </c>
      <c r="M150" s="31">
        <f>VLOOKUP(I150,PGStock[],6,FALSE)</f>
        <v>150</v>
      </c>
      <c r="N150" s="31">
        <f>+Table8[[#This Row],[SalesBot]]*Table8[[#This Row],[Bonus]]</f>
        <v>600</v>
      </c>
    </row>
    <row r="151" spans="1:14" ht="23.25" customHeight="1" x14ac:dyDescent="0.25">
      <c r="A151" s="26">
        <f t="shared" si="21"/>
        <v>2026</v>
      </c>
      <c r="B151" s="26">
        <f t="shared" si="22"/>
        <v>2</v>
      </c>
      <c r="C151" s="20">
        <v>46064</v>
      </c>
      <c r="D151" s="21" t="s">
        <v>165</v>
      </c>
      <c r="E151" s="27" t="s">
        <v>134</v>
      </c>
      <c r="F151" s="23" t="str">
        <f>VLOOKUP(E151,Customers[],2,FALSE)</f>
        <v>Super Top</v>
      </c>
      <c r="G151" s="23" t="str">
        <f>VLOOKUP(E151,Customers[],3,FALSE)</f>
        <v>တောမ</v>
      </c>
      <c r="H151" s="23" t="str">
        <f>VLOOKUP(E151,Customers[],4,FALSE)</f>
        <v>မိတ္ထီလာ</v>
      </c>
      <c r="I151" s="28" t="s">
        <v>151</v>
      </c>
      <c r="J151" s="29" t="str">
        <f>VLOOKUP(I151,PGStock[],2,FALSE)</f>
        <v>Ngwe Taung  700ml</v>
      </c>
      <c r="K151" s="30">
        <f>VLOOKUP(I151,PGStock[],3,FALSE)</f>
        <v>0.7</v>
      </c>
      <c r="L151" s="104">
        <v>2</v>
      </c>
      <c r="M151" s="31">
        <f>VLOOKUP(I151,PGStock[],6,FALSE)</f>
        <v>150</v>
      </c>
      <c r="N151" s="31">
        <f>+Table8[[#This Row],[SalesBot]]*Table8[[#This Row],[Bonus]]</f>
        <v>300</v>
      </c>
    </row>
    <row r="152" spans="1:14" ht="23.25" customHeight="1" x14ac:dyDescent="0.25">
      <c r="A152" s="26">
        <f t="shared" si="21"/>
        <v>2026</v>
      </c>
      <c r="B152" s="26">
        <f t="shared" si="22"/>
        <v>2</v>
      </c>
      <c r="C152" s="20">
        <v>46064</v>
      </c>
      <c r="D152" s="21" t="s">
        <v>261</v>
      </c>
      <c r="E152" s="27" t="s">
        <v>126</v>
      </c>
      <c r="F152" s="23" t="str">
        <f>VLOOKUP(E152,Customers[],2,FALSE)</f>
        <v>Smart</v>
      </c>
      <c r="G152" s="23" t="str">
        <f>VLOOKUP(E152,Customers[],3,FALSE)</f>
        <v>ဘူတာဟောင်းလမ်း</v>
      </c>
      <c r="H152" s="23" t="str">
        <f>VLOOKUP(E152,Customers[],4,FALSE)</f>
        <v>မိတ္ထီလာ</v>
      </c>
      <c r="I152" s="28" t="s">
        <v>151</v>
      </c>
      <c r="J152" s="29" t="str">
        <f>VLOOKUP(I152,PGStock[],2,FALSE)</f>
        <v>Ngwe Taung  700ml</v>
      </c>
      <c r="K152" s="30">
        <f>VLOOKUP(I152,PGStock[],3,FALSE)</f>
        <v>0.7</v>
      </c>
      <c r="L152" s="104">
        <v>6</v>
      </c>
      <c r="M152" s="31">
        <f>VLOOKUP(I152,PGStock[],6,FALSE)</f>
        <v>150</v>
      </c>
      <c r="N152" s="31">
        <f>+Table8[[#This Row],[SalesBot]]*Table8[[#This Row],[Bonus]]</f>
        <v>900</v>
      </c>
    </row>
    <row r="153" spans="1:14" ht="23.25" customHeight="1" x14ac:dyDescent="0.25">
      <c r="A153" s="26">
        <f t="shared" si="21"/>
        <v>2026</v>
      </c>
      <c r="B153" s="26">
        <f t="shared" si="22"/>
        <v>2</v>
      </c>
      <c r="C153" s="20">
        <v>46065</v>
      </c>
      <c r="D153" s="21" t="s">
        <v>78</v>
      </c>
      <c r="E153" s="27" t="s">
        <v>259</v>
      </c>
      <c r="F153" s="23" t="str">
        <f>VLOOKUP(E153,Customers[],2,FALSE)</f>
        <v>AK</v>
      </c>
      <c r="G153" s="23" t="str">
        <f>VLOOKUP(E153,Customers[],3,FALSE)</f>
        <v>မြို့သစ်</v>
      </c>
      <c r="H153" s="23" t="str">
        <f>VLOOKUP(E153,Customers[],4,FALSE)</f>
        <v>မိတ္ထီလာ</v>
      </c>
      <c r="I153" s="28" t="s">
        <v>151</v>
      </c>
      <c r="J153" s="29" t="str">
        <f>VLOOKUP(I153,PGStock[],2,FALSE)</f>
        <v>Ngwe Taung  700ml</v>
      </c>
      <c r="K153" s="30">
        <f>VLOOKUP(I153,PGStock[],3,FALSE)</f>
        <v>0.7</v>
      </c>
      <c r="L153" s="104">
        <v>6</v>
      </c>
      <c r="M153" s="31">
        <f>VLOOKUP(I153,PGStock[],6,FALSE)</f>
        <v>150</v>
      </c>
      <c r="N153" s="31">
        <f>+Table8[[#This Row],[SalesBot]]*Table8[[#This Row],[Bonus]]</f>
        <v>900</v>
      </c>
    </row>
    <row r="154" spans="1:14" ht="23.25" customHeight="1" x14ac:dyDescent="0.25">
      <c r="A154" s="26">
        <f t="shared" si="21"/>
        <v>2026</v>
      </c>
      <c r="B154" s="26">
        <f t="shared" si="22"/>
        <v>2</v>
      </c>
      <c r="C154" s="20">
        <v>46065</v>
      </c>
      <c r="D154" s="21" t="s">
        <v>166</v>
      </c>
      <c r="E154" s="27" t="s">
        <v>149</v>
      </c>
      <c r="F154" s="23" t="str">
        <f>VLOOKUP(E154,Customers[],2,FALSE)</f>
        <v>သဇင်ဖြူ</v>
      </c>
      <c r="G154" s="23" t="str">
        <f>VLOOKUP(E154,Customers[],3,FALSE)</f>
        <v>မြို့သစ်</v>
      </c>
      <c r="H154" s="23" t="str">
        <f>VLOOKUP(E154,Customers[],4,FALSE)</f>
        <v>မိတ္ထီလာ</v>
      </c>
      <c r="I154" s="28" t="s">
        <v>151</v>
      </c>
      <c r="J154" s="29" t="str">
        <f>VLOOKUP(I154,PGStock[],2,FALSE)</f>
        <v>Ngwe Taung  700ml</v>
      </c>
      <c r="K154" s="30">
        <f>VLOOKUP(I154,PGStock[],3,FALSE)</f>
        <v>0.7</v>
      </c>
      <c r="L154" s="104">
        <v>14</v>
      </c>
      <c r="M154" s="31">
        <f>VLOOKUP(I154,PGStock[],6,FALSE)</f>
        <v>150</v>
      </c>
      <c r="N154" s="31">
        <f>+Table8[[#This Row],[SalesBot]]*Table8[[#This Row],[Bonus]]</f>
        <v>2100</v>
      </c>
    </row>
    <row r="155" spans="1:14" ht="23.25" customHeight="1" x14ac:dyDescent="0.25">
      <c r="A155" s="26">
        <f t="shared" si="21"/>
        <v>2026</v>
      </c>
      <c r="B155" s="26">
        <f t="shared" si="22"/>
        <v>2</v>
      </c>
      <c r="C155" s="20">
        <v>46065</v>
      </c>
      <c r="D155" s="21" t="s">
        <v>165</v>
      </c>
      <c r="E155" s="27" t="s">
        <v>256</v>
      </c>
      <c r="F155" s="23" t="str">
        <f>VLOOKUP(E155,Customers[],2,FALSE)</f>
        <v>ကမ္ဘာသစ်</v>
      </c>
      <c r="G155" s="23" t="str">
        <f>VLOOKUP(E155,Customers[],3,FALSE)</f>
        <v>မြို့သစ်</v>
      </c>
      <c r="H155" s="23" t="str">
        <f>VLOOKUP(E155,Customers[],4,FALSE)</f>
        <v>မိတ္ထီလာ</v>
      </c>
      <c r="I155" s="28" t="s">
        <v>151</v>
      </c>
      <c r="J155" s="29" t="str">
        <f>VLOOKUP(I155,PGStock[],2,FALSE)</f>
        <v>Ngwe Taung  700ml</v>
      </c>
      <c r="K155" s="30">
        <f>VLOOKUP(I155,PGStock[],3,FALSE)</f>
        <v>0.7</v>
      </c>
      <c r="L155" s="104">
        <v>2</v>
      </c>
      <c r="M155" s="31">
        <f>VLOOKUP(I155,PGStock[],6,FALSE)</f>
        <v>150</v>
      </c>
      <c r="N155" s="31">
        <f>+Table8[[#This Row],[SalesBot]]*Table8[[#This Row],[Bonus]]</f>
        <v>300</v>
      </c>
    </row>
    <row r="156" spans="1:14" ht="23.25" customHeight="1" x14ac:dyDescent="0.25">
      <c r="A156" s="26">
        <f t="shared" si="21"/>
        <v>2026</v>
      </c>
      <c r="B156" s="26">
        <f t="shared" si="22"/>
        <v>2</v>
      </c>
      <c r="C156" s="20">
        <v>46065</v>
      </c>
      <c r="D156" s="21" t="s">
        <v>261</v>
      </c>
      <c r="E156" s="27" t="s">
        <v>146</v>
      </c>
      <c r="F156" s="23" t="str">
        <f>VLOOKUP(E156,Customers[],2,FALSE)</f>
        <v>ရွှေမြင့်မိုရ်</v>
      </c>
      <c r="G156" s="23" t="str">
        <f>VLOOKUP(E156,Customers[],3,FALSE)</f>
        <v>မြို့သစ်</v>
      </c>
      <c r="H156" s="23" t="str">
        <f>VLOOKUP(E156,Customers[],4,FALSE)</f>
        <v>မိတ္ထီလာ</v>
      </c>
      <c r="I156" s="28" t="s">
        <v>151</v>
      </c>
      <c r="J156" s="29" t="str">
        <f>VLOOKUP(I156,PGStock[],2,FALSE)</f>
        <v>Ngwe Taung  700ml</v>
      </c>
      <c r="K156" s="30">
        <f>VLOOKUP(I156,PGStock[],3,FALSE)</f>
        <v>0.7</v>
      </c>
      <c r="L156" s="104">
        <v>10</v>
      </c>
      <c r="M156" s="31">
        <f>VLOOKUP(I156,PGStock[],6,FALSE)</f>
        <v>150</v>
      </c>
      <c r="N156" s="31">
        <f>+Table8[[#This Row],[SalesBot]]*Table8[[#This Row],[Bonus]]</f>
        <v>1500</v>
      </c>
    </row>
    <row r="157" spans="1:14" ht="23.25" customHeight="1" x14ac:dyDescent="0.25">
      <c r="A157" s="26">
        <f t="shared" si="21"/>
        <v>2026</v>
      </c>
      <c r="B157" s="26">
        <f t="shared" si="22"/>
        <v>2</v>
      </c>
      <c r="C157" s="20">
        <v>46066</v>
      </c>
      <c r="D157" s="21" t="s">
        <v>78</v>
      </c>
      <c r="E157" s="27" t="s">
        <v>259</v>
      </c>
      <c r="F157" s="23" t="str">
        <f>VLOOKUP(E157,Customers[],2,FALSE)</f>
        <v>AK</v>
      </c>
      <c r="G157" s="23" t="str">
        <f>VLOOKUP(E157,Customers[],3,FALSE)</f>
        <v>မြို့သစ်</v>
      </c>
      <c r="H157" s="23" t="str">
        <f>VLOOKUP(E157,Customers[],4,FALSE)</f>
        <v>မိတ္ထီလာ</v>
      </c>
      <c r="I157" s="28" t="s">
        <v>151</v>
      </c>
      <c r="J157" s="29" t="str">
        <f>VLOOKUP(I157,PGStock[],2,FALSE)</f>
        <v>Ngwe Taung  700ml</v>
      </c>
      <c r="K157" s="30">
        <f>VLOOKUP(I157,PGStock[],3,FALSE)</f>
        <v>0.7</v>
      </c>
      <c r="L157" s="104">
        <v>6</v>
      </c>
      <c r="M157" s="31">
        <f>VLOOKUP(I157,PGStock[],6,FALSE)</f>
        <v>150</v>
      </c>
      <c r="N157" s="31">
        <f>+Table8[[#This Row],[SalesBot]]*Table8[[#This Row],[Bonus]]</f>
        <v>900</v>
      </c>
    </row>
    <row r="158" spans="1:14" ht="23.25" customHeight="1" x14ac:dyDescent="0.25">
      <c r="A158" s="26">
        <f t="shared" si="21"/>
        <v>2026</v>
      </c>
      <c r="B158" s="26">
        <f t="shared" si="22"/>
        <v>2</v>
      </c>
      <c r="C158" s="20">
        <v>46066</v>
      </c>
      <c r="D158" s="21" t="s">
        <v>166</v>
      </c>
      <c r="E158" s="27" t="s">
        <v>149</v>
      </c>
      <c r="F158" s="23" t="str">
        <f>VLOOKUP(E158,Customers[],2,FALSE)</f>
        <v>သဇင်ဖြူ</v>
      </c>
      <c r="G158" s="23" t="str">
        <f>VLOOKUP(E158,Customers[],3,FALSE)</f>
        <v>မြို့သစ်</v>
      </c>
      <c r="H158" s="23" t="str">
        <f>VLOOKUP(E158,Customers[],4,FALSE)</f>
        <v>မိတ္ထီလာ</v>
      </c>
      <c r="I158" s="28" t="s">
        <v>151</v>
      </c>
      <c r="J158" s="29" t="str">
        <f>VLOOKUP(I158,PGStock[],2,FALSE)</f>
        <v>Ngwe Taung  700ml</v>
      </c>
      <c r="K158" s="30">
        <f>VLOOKUP(I158,PGStock[],3,FALSE)</f>
        <v>0.7</v>
      </c>
      <c r="L158" s="104">
        <v>10</v>
      </c>
      <c r="M158" s="31">
        <f>VLOOKUP(I158,PGStock[],6,FALSE)</f>
        <v>150</v>
      </c>
      <c r="N158" s="31">
        <f>+Table8[[#This Row],[SalesBot]]*Table8[[#This Row],[Bonus]]</f>
        <v>1500</v>
      </c>
    </row>
    <row r="159" spans="1:14" ht="23.25" customHeight="1" x14ac:dyDescent="0.25">
      <c r="A159" s="26">
        <f t="shared" si="21"/>
        <v>2026</v>
      </c>
      <c r="B159" s="26">
        <f t="shared" si="22"/>
        <v>2</v>
      </c>
      <c r="C159" s="20">
        <v>46066</v>
      </c>
      <c r="D159" s="21" t="s">
        <v>165</v>
      </c>
      <c r="E159" s="27" t="s">
        <v>256</v>
      </c>
      <c r="F159" s="23" t="str">
        <f>VLOOKUP(E159,Customers[],2,FALSE)</f>
        <v>ကမ္ဘာသစ်</v>
      </c>
      <c r="G159" s="23" t="str">
        <f>VLOOKUP(E159,Customers[],3,FALSE)</f>
        <v>မြို့သစ်</v>
      </c>
      <c r="H159" s="23" t="str">
        <f>VLOOKUP(E159,Customers[],4,FALSE)</f>
        <v>မိတ္ထီလာ</v>
      </c>
      <c r="I159" s="28" t="s">
        <v>151</v>
      </c>
      <c r="J159" s="29" t="str">
        <f>VLOOKUP(I159,PGStock[],2,FALSE)</f>
        <v>Ngwe Taung  700ml</v>
      </c>
      <c r="K159" s="30">
        <f>VLOOKUP(I159,PGStock[],3,FALSE)</f>
        <v>0.7</v>
      </c>
      <c r="L159" s="104">
        <v>3</v>
      </c>
      <c r="M159" s="31">
        <f>VLOOKUP(I159,PGStock[],6,FALSE)</f>
        <v>150</v>
      </c>
      <c r="N159" s="31">
        <f>+Table8[[#This Row],[SalesBot]]*Table8[[#This Row],[Bonus]]</f>
        <v>450</v>
      </c>
    </row>
    <row r="160" spans="1:14" ht="23.25" customHeight="1" x14ac:dyDescent="0.25">
      <c r="A160" s="26">
        <f t="shared" si="21"/>
        <v>2026</v>
      </c>
      <c r="B160" s="26">
        <f t="shared" si="22"/>
        <v>2</v>
      </c>
      <c r="C160" s="20">
        <v>46066</v>
      </c>
      <c r="D160" s="21" t="s">
        <v>261</v>
      </c>
      <c r="E160" s="27" t="s">
        <v>146</v>
      </c>
      <c r="F160" s="23" t="str">
        <f>VLOOKUP(E160,Customers[],2,FALSE)</f>
        <v>ရွှေမြင့်မိုရ်</v>
      </c>
      <c r="G160" s="23" t="str">
        <f>VLOOKUP(E160,Customers[],3,FALSE)</f>
        <v>မြို့သစ်</v>
      </c>
      <c r="H160" s="23" t="str">
        <f>VLOOKUP(E160,Customers[],4,FALSE)</f>
        <v>မိတ္ထီလာ</v>
      </c>
      <c r="I160" s="28" t="s">
        <v>151</v>
      </c>
      <c r="J160" s="29" t="str">
        <f>VLOOKUP(I160,PGStock[],2,FALSE)</f>
        <v>Ngwe Taung  700ml</v>
      </c>
      <c r="K160" s="30">
        <f>VLOOKUP(I160,PGStock[],3,FALSE)</f>
        <v>0.7</v>
      </c>
      <c r="L160" s="104">
        <v>5</v>
      </c>
      <c r="M160" s="31">
        <f>VLOOKUP(I160,PGStock[],6,FALSE)</f>
        <v>150</v>
      </c>
      <c r="N160" s="31">
        <f>+Table8[[#This Row],[SalesBot]]*Table8[[#This Row],[Bonus]]</f>
        <v>750</v>
      </c>
    </row>
    <row r="161" spans="1:14" ht="23.25" customHeight="1" x14ac:dyDescent="0.25">
      <c r="A161" s="26">
        <f t="shared" si="21"/>
        <v>2026</v>
      </c>
      <c r="B161" s="26">
        <f t="shared" si="22"/>
        <v>2</v>
      </c>
      <c r="C161" s="20">
        <v>46067</v>
      </c>
      <c r="D161" s="21" t="s">
        <v>78</v>
      </c>
      <c r="E161" s="27" t="s">
        <v>259</v>
      </c>
      <c r="F161" s="23" t="str">
        <f>VLOOKUP(E161,Customers[],2,FALSE)</f>
        <v>AK</v>
      </c>
      <c r="G161" s="23" t="str">
        <f>VLOOKUP(E161,Customers[],3,FALSE)</f>
        <v>မြို့သစ်</v>
      </c>
      <c r="H161" s="23" t="str">
        <f>VLOOKUP(E161,Customers[],4,FALSE)</f>
        <v>မိတ္ထီလာ</v>
      </c>
      <c r="I161" s="28" t="s">
        <v>151</v>
      </c>
      <c r="J161" s="29" t="str">
        <f>VLOOKUP(I161,PGStock[],2,FALSE)</f>
        <v>Ngwe Taung  700ml</v>
      </c>
      <c r="K161" s="30">
        <f>VLOOKUP(I161,PGStock[],3,FALSE)</f>
        <v>0.7</v>
      </c>
      <c r="L161" s="104">
        <v>15</v>
      </c>
      <c r="M161" s="31">
        <f>VLOOKUP(I161,PGStock[],6,FALSE)</f>
        <v>150</v>
      </c>
      <c r="N161" s="31">
        <f>+Table8[[#This Row],[SalesBot]]*Table8[[#This Row],[Bonus]]</f>
        <v>2250</v>
      </c>
    </row>
    <row r="162" spans="1:14" ht="23.25" customHeight="1" x14ac:dyDescent="0.25">
      <c r="A162" s="26">
        <f t="shared" si="21"/>
        <v>2026</v>
      </c>
      <c r="B162" s="26">
        <f t="shared" si="22"/>
        <v>2</v>
      </c>
      <c r="C162" s="20">
        <v>46067</v>
      </c>
      <c r="D162" s="21" t="s">
        <v>166</v>
      </c>
      <c r="E162" s="27" t="s">
        <v>149</v>
      </c>
      <c r="F162" s="23" t="str">
        <f>VLOOKUP(E162,Customers[],2,FALSE)</f>
        <v>သဇင်ဖြူ</v>
      </c>
      <c r="G162" s="23" t="str">
        <f>VLOOKUP(E162,Customers[],3,FALSE)</f>
        <v>မြို့သစ်</v>
      </c>
      <c r="H162" s="23" t="str">
        <f>VLOOKUP(E162,Customers[],4,FALSE)</f>
        <v>မိတ္ထီလာ</v>
      </c>
      <c r="I162" s="28" t="s">
        <v>151</v>
      </c>
      <c r="J162" s="29" t="str">
        <f>VLOOKUP(I162,PGStock[],2,FALSE)</f>
        <v>Ngwe Taung  700ml</v>
      </c>
      <c r="K162" s="30">
        <f>VLOOKUP(I162,PGStock[],3,FALSE)</f>
        <v>0.7</v>
      </c>
      <c r="L162" s="104">
        <v>5</v>
      </c>
      <c r="M162" s="31">
        <f>VLOOKUP(I162,PGStock[],6,FALSE)</f>
        <v>150</v>
      </c>
      <c r="N162" s="31">
        <f>+Table8[[#This Row],[SalesBot]]*Table8[[#This Row],[Bonus]]</f>
        <v>750</v>
      </c>
    </row>
    <row r="163" spans="1:14" ht="23.25" customHeight="1" x14ac:dyDescent="0.25">
      <c r="A163" s="26">
        <f t="shared" si="21"/>
        <v>2026</v>
      </c>
      <c r="B163" s="26">
        <f t="shared" si="22"/>
        <v>2</v>
      </c>
      <c r="C163" s="20">
        <v>46067</v>
      </c>
      <c r="D163" s="21" t="s">
        <v>165</v>
      </c>
      <c r="E163" s="27" t="s">
        <v>256</v>
      </c>
      <c r="F163" s="23" t="str">
        <f>VLOOKUP(E163,Customers[],2,FALSE)</f>
        <v>ကမ္ဘာသစ်</v>
      </c>
      <c r="G163" s="23" t="str">
        <f>VLOOKUP(E163,Customers[],3,FALSE)</f>
        <v>မြို့သစ်</v>
      </c>
      <c r="H163" s="23" t="str">
        <f>VLOOKUP(E163,Customers[],4,FALSE)</f>
        <v>မိတ္ထီလာ</v>
      </c>
      <c r="I163" s="28" t="s">
        <v>151</v>
      </c>
      <c r="J163" s="29" t="str">
        <f>VLOOKUP(I163,PGStock[],2,FALSE)</f>
        <v>Ngwe Taung  700ml</v>
      </c>
      <c r="K163" s="30">
        <f>VLOOKUP(I163,PGStock[],3,FALSE)</f>
        <v>0.7</v>
      </c>
      <c r="L163" s="104">
        <v>6</v>
      </c>
      <c r="M163" s="31">
        <f>VLOOKUP(I163,PGStock[],6,FALSE)</f>
        <v>150</v>
      </c>
      <c r="N163" s="31">
        <f>+Table8[[#This Row],[SalesBot]]*Table8[[#This Row],[Bonus]]</f>
        <v>900</v>
      </c>
    </row>
    <row r="164" spans="1:14" ht="23.25" customHeight="1" x14ac:dyDescent="0.25">
      <c r="A164" s="26">
        <f t="shared" si="21"/>
        <v>2026</v>
      </c>
      <c r="B164" s="26">
        <f t="shared" si="22"/>
        <v>2</v>
      </c>
      <c r="C164" s="20">
        <v>46067</v>
      </c>
      <c r="D164" s="21" t="s">
        <v>261</v>
      </c>
      <c r="E164" s="27" t="s">
        <v>146</v>
      </c>
      <c r="F164" s="23" t="str">
        <f>VLOOKUP(E164,Customers[],2,FALSE)</f>
        <v>ရွှေမြင့်မိုရ်</v>
      </c>
      <c r="G164" s="23" t="str">
        <f>VLOOKUP(E164,Customers[],3,FALSE)</f>
        <v>မြို့သစ်</v>
      </c>
      <c r="H164" s="23" t="str">
        <f>VLOOKUP(E164,Customers[],4,FALSE)</f>
        <v>မိတ္ထီလာ</v>
      </c>
      <c r="I164" s="28" t="s">
        <v>151</v>
      </c>
      <c r="J164" s="29" t="str">
        <f>VLOOKUP(I164,PGStock[],2,FALSE)</f>
        <v>Ngwe Taung  700ml</v>
      </c>
      <c r="K164" s="30">
        <f>VLOOKUP(I164,PGStock[],3,FALSE)</f>
        <v>0.7</v>
      </c>
      <c r="L164" s="104">
        <v>7</v>
      </c>
      <c r="M164" s="31">
        <f>VLOOKUP(I164,PGStock[],6,FALSE)</f>
        <v>150</v>
      </c>
      <c r="N164" s="31">
        <f>+Table8[[#This Row],[SalesBot]]*Table8[[#This Row],[Bonus]]</f>
        <v>1050</v>
      </c>
    </row>
    <row r="165" spans="1:14" ht="23.25" customHeight="1" x14ac:dyDescent="0.25">
      <c r="A165" s="26">
        <f t="shared" si="21"/>
        <v>2026</v>
      </c>
      <c r="B165" s="26">
        <f t="shared" si="22"/>
        <v>2</v>
      </c>
      <c r="C165" s="20">
        <v>46069</v>
      </c>
      <c r="D165" s="21" t="s">
        <v>78</v>
      </c>
      <c r="E165" s="27" t="s">
        <v>149</v>
      </c>
      <c r="F165" s="23" t="str">
        <f>VLOOKUP(E165,Customers[],2,FALSE)</f>
        <v>သဇင်ဖြူ</v>
      </c>
      <c r="G165" s="23" t="str">
        <f>VLOOKUP(E165,Customers[],3,FALSE)</f>
        <v>မြို့သစ်</v>
      </c>
      <c r="H165" s="23" t="str">
        <f>VLOOKUP(E165,Customers[],4,FALSE)</f>
        <v>မိတ္ထီလာ</v>
      </c>
      <c r="I165" s="28" t="s">
        <v>151</v>
      </c>
      <c r="J165" s="29" t="str">
        <f>VLOOKUP(I165,PGStock[],2,FALSE)</f>
        <v>Ngwe Taung  700ml</v>
      </c>
      <c r="K165" s="30">
        <f>VLOOKUP(I165,PGStock[],3,FALSE)</f>
        <v>0.7</v>
      </c>
      <c r="L165" s="104">
        <v>10</v>
      </c>
      <c r="M165" s="31">
        <f>VLOOKUP(I165,PGStock[],6,FALSE)</f>
        <v>150</v>
      </c>
      <c r="N165" s="31">
        <f>+Table8[[#This Row],[SalesBot]]*Table8[[#This Row],[Bonus]]</f>
        <v>1500</v>
      </c>
    </row>
    <row r="166" spans="1:14" ht="23.25" customHeight="1" x14ac:dyDescent="0.25">
      <c r="A166" s="26">
        <f t="shared" si="21"/>
        <v>2026</v>
      </c>
      <c r="B166" s="26">
        <f t="shared" si="22"/>
        <v>2</v>
      </c>
      <c r="C166" s="20">
        <v>46069</v>
      </c>
      <c r="D166" s="21" t="s">
        <v>166</v>
      </c>
      <c r="E166" s="27" t="s">
        <v>259</v>
      </c>
      <c r="F166" s="23" t="str">
        <f>VLOOKUP(E166,Customers[],2,FALSE)</f>
        <v>AK</v>
      </c>
      <c r="G166" s="23" t="str">
        <f>VLOOKUP(E166,Customers[],3,FALSE)</f>
        <v>မြို့သစ်</v>
      </c>
      <c r="H166" s="23" t="str">
        <f>VLOOKUP(E166,Customers[],4,FALSE)</f>
        <v>မိတ္ထီလာ</v>
      </c>
      <c r="I166" s="28" t="s">
        <v>151</v>
      </c>
      <c r="J166" s="29" t="str">
        <f>VLOOKUP(I166,PGStock[],2,FALSE)</f>
        <v>Ngwe Taung  700ml</v>
      </c>
      <c r="K166" s="30">
        <f>VLOOKUP(I166,PGStock[],3,FALSE)</f>
        <v>0.7</v>
      </c>
      <c r="L166" s="104">
        <v>6</v>
      </c>
      <c r="M166" s="31">
        <f>VLOOKUP(I166,PGStock[],6,FALSE)</f>
        <v>150</v>
      </c>
      <c r="N166" s="31">
        <f>+Table8[[#This Row],[SalesBot]]*Table8[[#This Row],[Bonus]]</f>
        <v>900</v>
      </c>
    </row>
    <row r="167" spans="1:14" ht="23.25" customHeight="1" x14ac:dyDescent="0.25">
      <c r="A167" s="26">
        <f t="shared" si="21"/>
        <v>2026</v>
      </c>
      <c r="B167" s="26">
        <f t="shared" si="22"/>
        <v>2</v>
      </c>
      <c r="C167" s="20">
        <v>46069</v>
      </c>
      <c r="D167" s="21" t="s">
        <v>165</v>
      </c>
      <c r="E167" s="27" t="s">
        <v>256</v>
      </c>
      <c r="F167" s="23" t="str">
        <f>VLOOKUP(E167,Customers[],2,FALSE)</f>
        <v>ကမ္ဘာသစ်</v>
      </c>
      <c r="G167" s="23" t="str">
        <f>VLOOKUP(E167,Customers[],3,FALSE)</f>
        <v>မြို့သစ်</v>
      </c>
      <c r="H167" s="23" t="str">
        <f>VLOOKUP(E167,Customers[],4,FALSE)</f>
        <v>မိတ္ထီလာ</v>
      </c>
      <c r="I167" s="28" t="s">
        <v>151</v>
      </c>
      <c r="J167" s="29" t="str">
        <f>VLOOKUP(I167,PGStock[],2,FALSE)</f>
        <v>Ngwe Taung  700ml</v>
      </c>
      <c r="K167" s="30">
        <f>VLOOKUP(I167,PGStock[],3,FALSE)</f>
        <v>0.7</v>
      </c>
      <c r="L167" s="104">
        <v>6</v>
      </c>
      <c r="M167" s="31">
        <f>VLOOKUP(I167,PGStock[],6,FALSE)</f>
        <v>150</v>
      </c>
      <c r="N167" s="31">
        <f>+Table8[[#This Row],[SalesBot]]*Table8[[#This Row],[Bonus]]</f>
        <v>900</v>
      </c>
    </row>
    <row r="168" spans="1:14" ht="23.25" customHeight="1" x14ac:dyDescent="0.25">
      <c r="A168" s="26">
        <f t="shared" si="21"/>
        <v>2026</v>
      </c>
      <c r="B168" s="26">
        <f t="shared" si="22"/>
        <v>2</v>
      </c>
      <c r="C168" s="20">
        <v>46069</v>
      </c>
      <c r="D168" s="21" t="s">
        <v>261</v>
      </c>
      <c r="E168" s="27" t="s">
        <v>146</v>
      </c>
      <c r="F168" s="23" t="str">
        <f>VLOOKUP(E168,Customers[],2,FALSE)</f>
        <v>ရွှေမြင့်မိုရ်</v>
      </c>
      <c r="G168" s="23" t="str">
        <f>VLOOKUP(E168,Customers[],3,FALSE)</f>
        <v>မြို့သစ်</v>
      </c>
      <c r="H168" s="23" t="str">
        <f>VLOOKUP(E168,Customers[],4,FALSE)</f>
        <v>မိတ္ထီလာ</v>
      </c>
      <c r="I168" s="28" t="s">
        <v>151</v>
      </c>
      <c r="J168" s="29" t="str">
        <f>VLOOKUP(I168,PGStock[],2,FALSE)</f>
        <v>Ngwe Taung  700ml</v>
      </c>
      <c r="K168" s="30">
        <f>VLOOKUP(I168,PGStock[],3,FALSE)</f>
        <v>0.7</v>
      </c>
      <c r="L168" s="104">
        <v>10</v>
      </c>
      <c r="M168" s="31">
        <f>VLOOKUP(I168,PGStock[],6,FALSE)</f>
        <v>150</v>
      </c>
      <c r="N168" s="31">
        <f>+Table8[[#This Row],[SalesBot]]*Table8[[#This Row],[Bonus]]</f>
        <v>1500</v>
      </c>
    </row>
    <row r="169" spans="1:14" ht="23.25" customHeight="1" x14ac:dyDescent="0.25">
      <c r="A169" s="26">
        <f t="shared" si="21"/>
        <v>2026</v>
      </c>
      <c r="B169" s="26">
        <f t="shared" si="22"/>
        <v>2</v>
      </c>
      <c r="C169" s="20">
        <v>46070</v>
      </c>
      <c r="D169" s="21" t="s">
        <v>78</v>
      </c>
      <c r="E169" s="27" t="s">
        <v>149</v>
      </c>
      <c r="F169" s="23" t="str">
        <f>VLOOKUP(E169,Customers[],2,FALSE)</f>
        <v>သဇင်ဖြူ</v>
      </c>
      <c r="G169" s="23" t="str">
        <f>VLOOKUP(E169,Customers[],3,FALSE)</f>
        <v>မြို့သစ်</v>
      </c>
      <c r="H169" s="23" t="str">
        <f>VLOOKUP(E169,Customers[],4,FALSE)</f>
        <v>မိတ္ထီလာ</v>
      </c>
      <c r="I169" s="28" t="s">
        <v>151</v>
      </c>
      <c r="J169" s="29" t="str">
        <f>VLOOKUP(I169,PGStock[],2,FALSE)</f>
        <v>Ngwe Taung  700ml</v>
      </c>
      <c r="K169" s="30">
        <f>VLOOKUP(I169,PGStock[],3,FALSE)</f>
        <v>0.7</v>
      </c>
      <c r="L169" s="104">
        <v>14</v>
      </c>
      <c r="M169" s="31">
        <f>VLOOKUP(I169,PGStock[],6,FALSE)</f>
        <v>150</v>
      </c>
      <c r="N169" s="31">
        <f>+Table8[[#This Row],[SalesBot]]*Table8[[#This Row],[Bonus]]</f>
        <v>2100</v>
      </c>
    </row>
    <row r="170" spans="1:14" ht="23.25" customHeight="1" x14ac:dyDescent="0.25">
      <c r="A170" s="26">
        <f t="shared" si="21"/>
        <v>2026</v>
      </c>
      <c r="B170" s="26">
        <f t="shared" si="22"/>
        <v>2</v>
      </c>
      <c r="C170" s="20">
        <v>46070</v>
      </c>
      <c r="D170" s="21" t="s">
        <v>166</v>
      </c>
      <c r="E170" s="27" t="s">
        <v>259</v>
      </c>
      <c r="F170" s="23" t="str">
        <f>VLOOKUP(E170,Customers[],2,FALSE)</f>
        <v>AK</v>
      </c>
      <c r="G170" s="23" t="str">
        <f>VLOOKUP(E170,Customers[],3,FALSE)</f>
        <v>မြို့သစ်</v>
      </c>
      <c r="H170" s="23" t="str">
        <f>VLOOKUP(E170,Customers[],4,FALSE)</f>
        <v>မိတ္ထီလာ</v>
      </c>
      <c r="I170" s="28" t="s">
        <v>151</v>
      </c>
      <c r="J170" s="29" t="str">
        <f>VLOOKUP(I170,PGStock[],2,FALSE)</f>
        <v>Ngwe Taung  700ml</v>
      </c>
      <c r="K170" s="30">
        <f>VLOOKUP(I170,PGStock[],3,FALSE)</f>
        <v>0.7</v>
      </c>
      <c r="L170" s="104">
        <v>7</v>
      </c>
      <c r="M170" s="31">
        <f>VLOOKUP(I170,PGStock[],6,FALSE)</f>
        <v>150</v>
      </c>
      <c r="N170" s="31">
        <f>+Table8[[#This Row],[SalesBot]]*Table8[[#This Row],[Bonus]]</f>
        <v>1050</v>
      </c>
    </row>
    <row r="171" spans="1:14" ht="23.25" customHeight="1" x14ac:dyDescent="0.25">
      <c r="A171" s="26">
        <f t="shared" si="21"/>
        <v>2026</v>
      </c>
      <c r="B171" s="26">
        <f t="shared" si="22"/>
        <v>2</v>
      </c>
      <c r="C171" s="20">
        <v>46070</v>
      </c>
      <c r="D171" s="21" t="s">
        <v>165</v>
      </c>
      <c r="E171" s="27" t="s">
        <v>256</v>
      </c>
      <c r="F171" s="23" t="str">
        <f>VLOOKUP(E171,Customers[],2,FALSE)</f>
        <v>ကမ္ဘာသစ်</v>
      </c>
      <c r="G171" s="23" t="str">
        <f>VLOOKUP(E171,Customers[],3,FALSE)</f>
        <v>မြို့သစ်</v>
      </c>
      <c r="H171" s="23" t="str">
        <f>VLOOKUP(E171,Customers[],4,FALSE)</f>
        <v>မိတ္ထီလာ</v>
      </c>
      <c r="I171" s="28" t="s">
        <v>151</v>
      </c>
      <c r="J171" s="29" t="str">
        <f>VLOOKUP(I171,PGStock[],2,FALSE)</f>
        <v>Ngwe Taung  700ml</v>
      </c>
      <c r="K171" s="30">
        <f>VLOOKUP(I171,PGStock[],3,FALSE)</f>
        <v>0.7</v>
      </c>
      <c r="L171" s="104">
        <v>2</v>
      </c>
      <c r="M171" s="31">
        <f>VLOOKUP(I171,PGStock[],6,FALSE)</f>
        <v>150</v>
      </c>
      <c r="N171" s="31">
        <f>+Table8[[#This Row],[SalesBot]]*Table8[[#This Row],[Bonus]]</f>
        <v>300</v>
      </c>
    </row>
    <row r="172" spans="1:14" ht="23.25" customHeight="1" x14ac:dyDescent="0.25">
      <c r="A172" s="26">
        <f t="shared" si="21"/>
        <v>2026</v>
      </c>
      <c r="B172" s="26">
        <f t="shared" si="22"/>
        <v>2</v>
      </c>
      <c r="C172" s="20">
        <v>46070</v>
      </c>
      <c r="D172" s="21" t="s">
        <v>261</v>
      </c>
      <c r="E172" s="27" t="s">
        <v>146</v>
      </c>
      <c r="F172" s="23" t="str">
        <f>VLOOKUP(E172,Customers[],2,FALSE)</f>
        <v>ရွှေမြင့်မိုရ်</v>
      </c>
      <c r="G172" s="23" t="str">
        <f>VLOOKUP(E172,Customers[],3,FALSE)</f>
        <v>မြို့သစ်</v>
      </c>
      <c r="H172" s="23" t="str">
        <f>VLOOKUP(E172,Customers[],4,FALSE)</f>
        <v>မိတ္ထီလာ</v>
      </c>
      <c r="I172" s="28" t="s">
        <v>151</v>
      </c>
      <c r="J172" s="29" t="str">
        <f>VLOOKUP(I172,PGStock[],2,FALSE)</f>
        <v>Ngwe Taung  700ml</v>
      </c>
      <c r="K172" s="30">
        <f>VLOOKUP(I172,PGStock[],3,FALSE)</f>
        <v>0.7</v>
      </c>
      <c r="L172" s="104">
        <v>16</v>
      </c>
      <c r="M172" s="31">
        <f>VLOOKUP(I172,PGStock[],6,FALSE)</f>
        <v>150</v>
      </c>
      <c r="N172" s="31">
        <f>+Table8[[#This Row],[SalesBot]]*Table8[[#This Row],[Bonus]]</f>
        <v>2400</v>
      </c>
    </row>
    <row r="173" spans="1:14" ht="23.25" customHeight="1" x14ac:dyDescent="0.25">
      <c r="A173" s="26">
        <f t="shared" si="21"/>
        <v>2026</v>
      </c>
      <c r="B173" s="26">
        <f t="shared" si="22"/>
        <v>2</v>
      </c>
      <c r="C173" s="20">
        <v>46071</v>
      </c>
      <c r="D173" s="21" t="s">
        <v>78</v>
      </c>
      <c r="E173" s="27" t="s">
        <v>259</v>
      </c>
      <c r="F173" s="23" t="str">
        <f>VLOOKUP(E173,Customers[],2,FALSE)</f>
        <v>AK</v>
      </c>
      <c r="G173" s="23" t="str">
        <f>VLOOKUP(E173,Customers[],3,FALSE)</f>
        <v>မြို့သစ်</v>
      </c>
      <c r="H173" s="23" t="str">
        <f>VLOOKUP(E173,Customers[],4,FALSE)</f>
        <v>မိတ္ထီလာ</v>
      </c>
      <c r="I173" s="28" t="s">
        <v>151</v>
      </c>
      <c r="J173" s="29" t="str">
        <f>VLOOKUP(I173,PGStock[],2,FALSE)</f>
        <v>Ngwe Taung  700ml</v>
      </c>
      <c r="K173" s="30">
        <f>VLOOKUP(I173,PGStock[],3,FALSE)</f>
        <v>0.7</v>
      </c>
      <c r="L173" s="104">
        <v>4</v>
      </c>
      <c r="M173" s="31">
        <f>VLOOKUP(I173,PGStock[],6,FALSE)</f>
        <v>150</v>
      </c>
      <c r="N173" s="31">
        <f>+Table8[[#This Row],[SalesBot]]*Table8[[#This Row],[Bonus]]</f>
        <v>600</v>
      </c>
    </row>
    <row r="174" spans="1:14" ht="23.25" customHeight="1" x14ac:dyDescent="0.25">
      <c r="A174" s="26">
        <f t="shared" si="21"/>
        <v>2026</v>
      </c>
      <c r="B174" s="26">
        <f t="shared" si="22"/>
        <v>2</v>
      </c>
      <c r="C174" s="20">
        <v>46071</v>
      </c>
      <c r="D174" s="21" t="s">
        <v>166</v>
      </c>
      <c r="E174" s="27" t="s">
        <v>149</v>
      </c>
      <c r="F174" s="23" t="str">
        <f>VLOOKUP(E174,Customers[],2,FALSE)</f>
        <v>သဇင်ဖြူ</v>
      </c>
      <c r="G174" s="23" t="str">
        <f>VLOOKUP(E174,Customers[],3,FALSE)</f>
        <v>မြို့သစ်</v>
      </c>
      <c r="H174" s="23" t="str">
        <f>VLOOKUP(E174,Customers[],4,FALSE)</f>
        <v>မိတ္ထီလာ</v>
      </c>
      <c r="I174" s="28" t="s">
        <v>151</v>
      </c>
      <c r="J174" s="29" t="str">
        <f>VLOOKUP(I174,PGStock[],2,FALSE)</f>
        <v>Ngwe Taung  700ml</v>
      </c>
      <c r="K174" s="30">
        <f>VLOOKUP(I174,PGStock[],3,FALSE)</f>
        <v>0.7</v>
      </c>
      <c r="L174" s="104">
        <v>4</v>
      </c>
      <c r="M174" s="31">
        <f>VLOOKUP(I174,PGStock[],6,FALSE)</f>
        <v>150</v>
      </c>
      <c r="N174" s="31">
        <f>+Table8[[#This Row],[SalesBot]]*Table8[[#This Row],[Bonus]]</f>
        <v>600</v>
      </c>
    </row>
    <row r="175" spans="1:14" ht="23.25" customHeight="1" x14ac:dyDescent="0.25">
      <c r="A175" s="26">
        <f t="shared" si="21"/>
        <v>2026</v>
      </c>
      <c r="B175" s="26">
        <f t="shared" si="22"/>
        <v>2</v>
      </c>
      <c r="C175" s="20">
        <v>46071</v>
      </c>
      <c r="D175" s="21" t="s">
        <v>165</v>
      </c>
      <c r="E175" s="27" t="s">
        <v>256</v>
      </c>
      <c r="F175" s="23" t="str">
        <f>VLOOKUP(E175,Customers[],2,FALSE)</f>
        <v>ကမ္ဘာသစ်</v>
      </c>
      <c r="G175" s="23" t="str">
        <f>VLOOKUP(E175,Customers[],3,FALSE)</f>
        <v>မြို့သစ်</v>
      </c>
      <c r="H175" s="23" t="str">
        <f>VLOOKUP(E175,Customers[],4,FALSE)</f>
        <v>မိတ္ထီလာ</v>
      </c>
      <c r="I175" s="28" t="s">
        <v>151</v>
      </c>
      <c r="J175" s="29" t="str">
        <f>VLOOKUP(I175,PGStock[],2,FALSE)</f>
        <v>Ngwe Taung  700ml</v>
      </c>
      <c r="K175" s="30">
        <f>VLOOKUP(I175,PGStock[],3,FALSE)</f>
        <v>0.7</v>
      </c>
      <c r="L175" s="104">
        <v>5</v>
      </c>
      <c r="M175" s="31">
        <f>VLOOKUP(I175,PGStock[],6,FALSE)</f>
        <v>150</v>
      </c>
      <c r="N175" s="31">
        <f>+Table8[[#This Row],[SalesBot]]*Table8[[#This Row],[Bonus]]</f>
        <v>750</v>
      </c>
    </row>
    <row r="176" spans="1:14" ht="23.25" customHeight="1" x14ac:dyDescent="0.25">
      <c r="A176" s="26">
        <f t="shared" si="21"/>
        <v>2026</v>
      </c>
      <c r="B176" s="26">
        <f t="shared" si="22"/>
        <v>2</v>
      </c>
      <c r="C176" s="20">
        <v>46071</v>
      </c>
      <c r="D176" s="21" t="s">
        <v>261</v>
      </c>
      <c r="E176" s="27" t="s">
        <v>146</v>
      </c>
      <c r="F176" s="23" t="str">
        <f>VLOOKUP(E176,Customers[],2,FALSE)</f>
        <v>ရွှေမြင့်မိုရ်</v>
      </c>
      <c r="G176" s="23" t="str">
        <f>VLOOKUP(E176,Customers[],3,FALSE)</f>
        <v>မြို့သစ်</v>
      </c>
      <c r="H176" s="23" t="str">
        <f>VLOOKUP(E176,Customers[],4,FALSE)</f>
        <v>မိတ္ထီလာ</v>
      </c>
      <c r="I176" s="28" t="s">
        <v>151</v>
      </c>
      <c r="J176" s="29" t="str">
        <f>VLOOKUP(I176,PGStock[],2,FALSE)</f>
        <v>Ngwe Taung  700ml</v>
      </c>
      <c r="K176" s="30">
        <f>VLOOKUP(I176,PGStock[],3,FALSE)</f>
        <v>0.7</v>
      </c>
      <c r="L176" s="104">
        <v>7</v>
      </c>
      <c r="M176" s="31">
        <f>VLOOKUP(I176,PGStock[],6,FALSE)</f>
        <v>150</v>
      </c>
      <c r="N176" s="31">
        <f>+Table8[[#This Row],[SalesBot]]*Table8[[#This Row],[Bonus]]</f>
        <v>1050</v>
      </c>
    </row>
    <row r="177" spans="1:14" ht="23.25" customHeight="1" x14ac:dyDescent="0.25">
      <c r="A177" s="26">
        <f t="shared" si="21"/>
        <v>2026</v>
      </c>
      <c r="B177" s="26">
        <f t="shared" si="22"/>
        <v>2</v>
      </c>
      <c r="C177" s="20">
        <v>46072</v>
      </c>
      <c r="D177" s="21" t="s">
        <v>78</v>
      </c>
      <c r="E177" s="27" t="s">
        <v>259</v>
      </c>
      <c r="F177" s="23" t="str">
        <f>VLOOKUP(E177,Customers[],2,FALSE)</f>
        <v>AK</v>
      </c>
      <c r="G177" s="23" t="str">
        <f>VLOOKUP(E177,Customers[],3,FALSE)</f>
        <v>မြို့သစ်</v>
      </c>
      <c r="H177" s="23" t="str">
        <f>VLOOKUP(E177,Customers[],4,FALSE)</f>
        <v>မိတ္ထီလာ</v>
      </c>
      <c r="I177" s="28" t="s">
        <v>151</v>
      </c>
      <c r="J177" s="29" t="str">
        <f>VLOOKUP(I177,PGStock[],2,FALSE)</f>
        <v>Ngwe Taung  700ml</v>
      </c>
      <c r="K177" s="30">
        <f>VLOOKUP(I177,PGStock[],3,FALSE)</f>
        <v>0.7</v>
      </c>
      <c r="L177" s="104">
        <v>5</v>
      </c>
      <c r="M177" s="31">
        <f>VLOOKUP(I177,PGStock[],6,FALSE)</f>
        <v>150</v>
      </c>
      <c r="N177" s="31">
        <f>+Table8[[#This Row],[SalesBot]]*Table8[[#This Row],[Bonus]]</f>
        <v>750</v>
      </c>
    </row>
    <row r="178" spans="1:14" ht="23.25" customHeight="1" x14ac:dyDescent="0.25">
      <c r="A178" s="26">
        <f t="shared" si="21"/>
        <v>2026</v>
      </c>
      <c r="B178" s="26">
        <f t="shared" si="22"/>
        <v>2</v>
      </c>
      <c r="C178" s="20">
        <v>46072</v>
      </c>
      <c r="D178" s="21" t="s">
        <v>166</v>
      </c>
      <c r="E178" s="27" t="s">
        <v>149</v>
      </c>
      <c r="F178" s="23" t="str">
        <f>VLOOKUP(E178,Customers[],2,FALSE)</f>
        <v>သဇင်ဖြူ</v>
      </c>
      <c r="G178" s="23" t="str">
        <f>VLOOKUP(E178,Customers[],3,FALSE)</f>
        <v>မြို့သစ်</v>
      </c>
      <c r="H178" s="23" t="str">
        <f>VLOOKUP(E178,Customers[],4,FALSE)</f>
        <v>မိတ္ထီလာ</v>
      </c>
      <c r="I178" s="28" t="s">
        <v>151</v>
      </c>
      <c r="J178" s="29" t="str">
        <f>VLOOKUP(I178,PGStock[],2,FALSE)</f>
        <v>Ngwe Taung  700ml</v>
      </c>
      <c r="K178" s="30">
        <f>VLOOKUP(I178,PGStock[],3,FALSE)</f>
        <v>0.7</v>
      </c>
      <c r="L178" s="104">
        <v>5</v>
      </c>
      <c r="M178" s="31">
        <f>VLOOKUP(I178,PGStock[],6,FALSE)</f>
        <v>150</v>
      </c>
      <c r="N178" s="31">
        <f>+Table8[[#This Row],[SalesBot]]*Table8[[#This Row],[Bonus]]</f>
        <v>750</v>
      </c>
    </row>
    <row r="179" spans="1:14" ht="23.25" customHeight="1" x14ac:dyDescent="0.25">
      <c r="A179" s="26">
        <f t="shared" ref="A179:A187" si="23">YEAR(C179)</f>
        <v>2026</v>
      </c>
      <c r="B179" s="26">
        <f t="shared" ref="B179:B187" si="24">MONTH(C179)</f>
        <v>2</v>
      </c>
      <c r="C179" s="20">
        <v>46072</v>
      </c>
      <c r="D179" s="21" t="s">
        <v>165</v>
      </c>
      <c r="E179" s="27" t="s">
        <v>256</v>
      </c>
      <c r="F179" s="23" t="str">
        <f>VLOOKUP(E179,Customers[],2,FALSE)</f>
        <v>ကမ္ဘာသစ်</v>
      </c>
      <c r="G179" s="23" t="str">
        <f>VLOOKUP(E179,Customers[],3,FALSE)</f>
        <v>မြို့သစ်</v>
      </c>
      <c r="H179" s="23" t="str">
        <f>VLOOKUP(E179,Customers[],4,FALSE)</f>
        <v>မိတ္ထီလာ</v>
      </c>
      <c r="I179" s="28" t="s">
        <v>151</v>
      </c>
      <c r="J179" s="29" t="str">
        <f>VLOOKUP(I179,PGStock[],2,FALSE)</f>
        <v>Ngwe Taung  700ml</v>
      </c>
      <c r="K179" s="30">
        <f>VLOOKUP(I179,PGStock[],3,FALSE)</f>
        <v>0.7</v>
      </c>
      <c r="L179" s="104">
        <v>4</v>
      </c>
      <c r="M179" s="31">
        <f>VLOOKUP(I179,PGStock[],6,FALSE)</f>
        <v>150</v>
      </c>
      <c r="N179" s="31">
        <f>+Table8[[#This Row],[SalesBot]]*Table8[[#This Row],[Bonus]]</f>
        <v>600</v>
      </c>
    </row>
    <row r="180" spans="1:14" ht="23.25" customHeight="1" x14ac:dyDescent="0.25">
      <c r="A180" s="26">
        <f t="shared" si="23"/>
        <v>2026</v>
      </c>
      <c r="B180" s="26">
        <f t="shared" si="24"/>
        <v>2</v>
      </c>
      <c r="C180" s="20">
        <v>46072</v>
      </c>
      <c r="D180" s="21" t="s">
        <v>261</v>
      </c>
      <c r="E180" s="27" t="s">
        <v>146</v>
      </c>
      <c r="F180" s="23" t="str">
        <f>VLOOKUP(E180,Customers[],2,FALSE)</f>
        <v>ရွှေမြင့်မိုရ်</v>
      </c>
      <c r="G180" s="23" t="str">
        <f>VLOOKUP(E180,Customers[],3,FALSE)</f>
        <v>မြို့သစ်</v>
      </c>
      <c r="H180" s="23" t="str">
        <f>VLOOKUP(E180,Customers[],4,FALSE)</f>
        <v>မိတ္ထီလာ</v>
      </c>
      <c r="I180" s="28" t="s">
        <v>151</v>
      </c>
      <c r="J180" s="29" t="str">
        <f>VLOOKUP(I180,PGStock[],2,FALSE)</f>
        <v>Ngwe Taung  700ml</v>
      </c>
      <c r="K180" s="30">
        <f>VLOOKUP(I180,PGStock[],3,FALSE)</f>
        <v>0.7</v>
      </c>
      <c r="L180" s="104">
        <v>17</v>
      </c>
      <c r="M180" s="31">
        <f>VLOOKUP(I180,PGStock[],6,FALSE)</f>
        <v>150</v>
      </c>
      <c r="N180" s="31">
        <f>+Table8[[#This Row],[SalesBot]]*Table8[[#This Row],[Bonus]]</f>
        <v>2550</v>
      </c>
    </row>
    <row r="181" spans="1:14" ht="23.25" customHeight="1" x14ac:dyDescent="0.25">
      <c r="A181" s="26">
        <f t="shared" si="23"/>
        <v>2026</v>
      </c>
      <c r="B181" s="26">
        <f t="shared" si="24"/>
        <v>2</v>
      </c>
      <c r="C181" s="20">
        <v>46073</v>
      </c>
      <c r="D181" s="21" t="s">
        <v>78</v>
      </c>
      <c r="E181" s="27" t="s">
        <v>259</v>
      </c>
      <c r="F181" s="23" t="str">
        <f>VLOOKUP(E181,Customers[],2,FALSE)</f>
        <v>AK</v>
      </c>
      <c r="G181" s="23" t="str">
        <f>VLOOKUP(E181,Customers[],3,FALSE)</f>
        <v>မြို့သစ်</v>
      </c>
      <c r="H181" s="23" t="str">
        <f>VLOOKUP(E181,Customers[],4,FALSE)</f>
        <v>မိတ္ထီလာ</v>
      </c>
      <c r="I181" s="28" t="s">
        <v>151</v>
      </c>
      <c r="J181" s="29" t="str">
        <f>VLOOKUP(I181,PGStock[],2,FALSE)</f>
        <v>Ngwe Taung  700ml</v>
      </c>
      <c r="K181" s="30">
        <f>VLOOKUP(I181,PGStock[],3,FALSE)</f>
        <v>0.7</v>
      </c>
      <c r="L181" s="104">
        <v>6</v>
      </c>
      <c r="M181" s="31">
        <f>VLOOKUP(I181,PGStock[],6,FALSE)</f>
        <v>150</v>
      </c>
      <c r="N181" s="31">
        <f>+Table8[[#This Row],[SalesBot]]*Table8[[#This Row],[Bonus]]</f>
        <v>900</v>
      </c>
    </row>
    <row r="182" spans="1:14" ht="23.25" customHeight="1" x14ac:dyDescent="0.25">
      <c r="A182" s="26">
        <f t="shared" si="23"/>
        <v>2026</v>
      </c>
      <c r="B182" s="26">
        <f t="shared" si="24"/>
        <v>2</v>
      </c>
      <c r="C182" s="20">
        <v>46073</v>
      </c>
      <c r="D182" s="21" t="s">
        <v>166</v>
      </c>
      <c r="E182" s="27" t="s">
        <v>149</v>
      </c>
      <c r="F182" s="23" t="str">
        <f>VLOOKUP(E182,Customers[],2,FALSE)</f>
        <v>သဇင်ဖြူ</v>
      </c>
      <c r="G182" s="23" t="str">
        <f>VLOOKUP(E182,Customers[],3,FALSE)</f>
        <v>မြို့သစ်</v>
      </c>
      <c r="H182" s="23" t="str">
        <f>VLOOKUP(E182,Customers[],4,FALSE)</f>
        <v>မိတ္ထီလာ</v>
      </c>
      <c r="I182" s="28" t="s">
        <v>151</v>
      </c>
      <c r="J182" s="29" t="str">
        <f>VLOOKUP(I182,PGStock[],2,FALSE)</f>
        <v>Ngwe Taung  700ml</v>
      </c>
      <c r="K182" s="30">
        <f>VLOOKUP(I182,PGStock[],3,FALSE)</f>
        <v>0.7</v>
      </c>
      <c r="L182" s="104">
        <v>5</v>
      </c>
      <c r="M182" s="31">
        <f>VLOOKUP(I182,PGStock[],6,FALSE)</f>
        <v>150</v>
      </c>
      <c r="N182" s="31">
        <f>+Table8[[#This Row],[SalesBot]]*Table8[[#This Row],[Bonus]]</f>
        <v>750</v>
      </c>
    </row>
    <row r="183" spans="1:14" ht="23.25" customHeight="1" x14ac:dyDescent="0.25">
      <c r="A183" s="26">
        <f t="shared" si="23"/>
        <v>2026</v>
      </c>
      <c r="B183" s="26">
        <f t="shared" si="24"/>
        <v>2</v>
      </c>
      <c r="C183" s="20">
        <v>46073</v>
      </c>
      <c r="D183" s="21" t="s">
        <v>165</v>
      </c>
      <c r="E183" s="27" t="s">
        <v>256</v>
      </c>
      <c r="F183" s="23" t="str">
        <f>VLOOKUP(E183,Customers[],2,FALSE)</f>
        <v>ကမ္ဘာသစ်</v>
      </c>
      <c r="G183" s="23" t="str">
        <f>VLOOKUP(E183,Customers[],3,FALSE)</f>
        <v>မြို့သစ်</v>
      </c>
      <c r="H183" s="23" t="str">
        <f>VLOOKUP(E183,Customers[],4,FALSE)</f>
        <v>မိတ္ထီလာ</v>
      </c>
      <c r="I183" s="28" t="s">
        <v>151</v>
      </c>
      <c r="J183" s="29" t="str">
        <f>VLOOKUP(I183,PGStock[],2,FALSE)</f>
        <v>Ngwe Taung  700ml</v>
      </c>
      <c r="K183" s="30">
        <f>VLOOKUP(I183,PGStock[],3,FALSE)</f>
        <v>0.7</v>
      </c>
      <c r="L183" s="104">
        <v>4</v>
      </c>
      <c r="M183" s="31">
        <f>VLOOKUP(I183,PGStock[],6,FALSE)</f>
        <v>150</v>
      </c>
      <c r="N183" s="31">
        <f>+Table8[[#This Row],[SalesBot]]*Table8[[#This Row],[Bonus]]</f>
        <v>600</v>
      </c>
    </row>
    <row r="184" spans="1:14" ht="23.25" customHeight="1" x14ac:dyDescent="0.25">
      <c r="A184" s="26">
        <f t="shared" si="23"/>
        <v>2026</v>
      </c>
      <c r="B184" s="26">
        <f t="shared" si="24"/>
        <v>2</v>
      </c>
      <c r="C184" s="20">
        <v>46073</v>
      </c>
      <c r="D184" s="21" t="s">
        <v>261</v>
      </c>
      <c r="E184" s="27" t="s">
        <v>146</v>
      </c>
      <c r="F184" s="23" t="str">
        <f>VLOOKUP(E184,Customers[],2,FALSE)</f>
        <v>ရွှေမြင့်မိုရ်</v>
      </c>
      <c r="G184" s="23" t="str">
        <f>VLOOKUP(E184,Customers[],3,FALSE)</f>
        <v>မြို့သစ်</v>
      </c>
      <c r="H184" s="23" t="str">
        <f>VLOOKUP(E184,Customers[],4,FALSE)</f>
        <v>မိတ္ထီလာ</v>
      </c>
      <c r="I184" s="28" t="s">
        <v>151</v>
      </c>
      <c r="J184" s="29" t="str">
        <f>VLOOKUP(I184,PGStock[],2,FALSE)</f>
        <v>Ngwe Taung  700ml</v>
      </c>
      <c r="K184" s="30">
        <f>VLOOKUP(I184,PGStock[],3,FALSE)</f>
        <v>0.7</v>
      </c>
      <c r="L184" s="104">
        <v>9</v>
      </c>
      <c r="M184" s="31">
        <f>VLOOKUP(I184,PGStock[],6,FALSE)</f>
        <v>150</v>
      </c>
      <c r="N184" s="31">
        <f>+Table8[[#This Row],[SalesBot]]*Table8[[#This Row],[Bonus]]</f>
        <v>1350</v>
      </c>
    </row>
    <row r="185" spans="1:14" ht="23.25" customHeight="1" x14ac:dyDescent="0.25">
      <c r="A185" s="26">
        <f t="shared" si="23"/>
        <v>2026</v>
      </c>
      <c r="B185" s="26">
        <f t="shared" si="24"/>
        <v>2</v>
      </c>
      <c r="C185" s="20">
        <v>46074</v>
      </c>
      <c r="D185" s="21" t="s">
        <v>78</v>
      </c>
      <c r="E185" s="27" t="s">
        <v>148</v>
      </c>
      <c r="F185" s="23" t="str">
        <f>VLOOKUP(E185,Customers[],2,FALSE)</f>
        <v>7-Colour</v>
      </c>
      <c r="G185" s="23" t="str">
        <f>VLOOKUP(E185,Customers[],3,FALSE)</f>
        <v>မြို့သစ်</v>
      </c>
      <c r="H185" s="23" t="str">
        <f>VLOOKUP(E185,Customers[],4,FALSE)</f>
        <v>မိတ္ထီလာ</v>
      </c>
      <c r="I185" s="28" t="s">
        <v>151</v>
      </c>
      <c r="J185" s="29" t="str">
        <f>VLOOKUP(I185,PGStock[],2,FALSE)</f>
        <v>Ngwe Taung  700ml</v>
      </c>
      <c r="K185" s="30">
        <f>VLOOKUP(I185,PGStock[],3,FALSE)</f>
        <v>0.7</v>
      </c>
      <c r="L185" s="104">
        <v>5</v>
      </c>
      <c r="M185" s="31">
        <f>VLOOKUP(I185,PGStock[],6,FALSE)</f>
        <v>150</v>
      </c>
      <c r="N185" s="31">
        <f>+Table8[[#This Row],[SalesBot]]*Table8[[#This Row],[Bonus]]</f>
        <v>750</v>
      </c>
    </row>
    <row r="186" spans="1:14" ht="23.25" customHeight="1" x14ac:dyDescent="0.25">
      <c r="A186" s="26">
        <f t="shared" si="23"/>
        <v>2026</v>
      </c>
      <c r="B186" s="26">
        <f t="shared" si="24"/>
        <v>2</v>
      </c>
      <c r="C186" s="20">
        <v>46074</v>
      </c>
      <c r="D186" s="21" t="s">
        <v>166</v>
      </c>
      <c r="E186" s="27" t="s">
        <v>149</v>
      </c>
      <c r="F186" s="23" t="str">
        <f>VLOOKUP(E186,Customers[],2,FALSE)</f>
        <v>သဇင်ဖြူ</v>
      </c>
      <c r="G186" s="23" t="str">
        <f>VLOOKUP(E186,Customers[],3,FALSE)</f>
        <v>မြို့သစ်</v>
      </c>
      <c r="H186" s="23" t="str">
        <f>VLOOKUP(E186,Customers[],4,FALSE)</f>
        <v>မိတ္ထီလာ</v>
      </c>
      <c r="I186" s="28" t="s">
        <v>151</v>
      </c>
      <c r="J186" s="29" t="str">
        <f>VLOOKUP(I186,PGStock[],2,FALSE)</f>
        <v>Ngwe Taung  700ml</v>
      </c>
      <c r="K186" s="30">
        <f>VLOOKUP(I186,PGStock[],3,FALSE)</f>
        <v>0.7</v>
      </c>
      <c r="L186" s="104">
        <v>4</v>
      </c>
      <c r="M186" s="31">
        <f>VLOOKUP(I186,PGStock[],6,FALSE)</f>
        <v>150</v>
      </c>
      <c r="N186" s="31">
        <f>+Table8[[#This Row],[SalesBot]]*Table8[[#This Row],[Bonus]]</f>
        <v>600</v>
      </c>
    </row>
    <row r="187" spans="1:14" ht="23.25" customHeight="1" x14ac:dyDescent="0.25">
      <c r="A187" s="26">
        <f t="shared" si="23"/>
        <v>2026</v>
      </c>
      <c r="B187" s="26">
        <f t="shared" si="24"/>
        <v>2</v>
      </c>
      <c r="C187" s="20">
        <v>46074</v>
      </c>
      <c r="D187" s="21" t="s">
        <v>165</v>
      </c>
      <c r="E187" s="27" t="s">
        <v>256</v>
      </c>
      <c r="F187" s="23" t="str">
        <f>VLOOKUP(E187,Customers[],2,FALSE)</f>
        <v>ကမ္ဘာသစ်</v>
      </c>
      <c r="G187" s="23" t="str">
        <f>VLOOKUP(E187,Customers[],3,FALSE)</f>
        <v>မြို့သစ်</v>
      </c>
      <c r="H187" s="23" t="str">
        <f>VLOOKUP(E187,Customers[],4,FALSE)</f>
        <v>မိတ္ထီလာ</v>
      </c>
      <c r="I187" s="28" t="s">
        <v>151</v>
      </c>
      <c r="J187" s="29" t="str">
        <f>VLOOKUP(I187,PGStock[],2,FALSE)</f>
        <v>Ngwe Taung  700ml</v>
      </c>
      <c r="K187" s="30">
        <f>VLOOKUP(I187,PGStock[],3,FALSE)</f>
        <v>0.7</v>
      </c>
      <c r="L187" s="104">
        <v>4</v>
      </c>
      <c r="M187" s="31">
        <f>VLOOKUP(I187,PGStock[],6,FALSE)</f>
        <v>150</v>
      </c>
      <c r="N187" s="31">
        <f>+Table8[[#This Row],[SalesBot]]*Table8[[#This Row],[Bonus]]</f>
        <v>600</v>
      </c>
    </row>
    <row r="188" spans="1:14" ht="23.25" customHeight="1" x14ac:dyDescent="0.25">
      <c r="A188" s="26">
        <f t="shared" ref="A188:A205" si="25">YEAR(C188)</f>
        <v>2026</v>
      </c>
      <c r="B188" s="26">
        <f t="shared" ref="B188:B205" si="26">MONTH(C188)</f>
        <v>2</v>
      </c>
      <c r="C188" s="20">
        <v>46074</v>
      </c>
      <c r="D188" s="21" t="s">
        <v>261</v>
      </c>
      <c r="E188" s="27" t="s">
        <v>146</v>
      </c>
      <c r="F188" s="23" t="str">
        <f>VLOOKUP(E188,Customers[],2,FALSE)</f>
        <v>ရွှေမြင့်မိုရ်</v>
      </c>
      <c r="G188" s="23" t="str">
        <f>VLOOKUP(E188,Customers[],3,FALSE)</f>
        <v>မြို့သစ်</v>
      </c>
      <c r="H188" s="23" t="str">
        <f>VLOOKUP(E188,Customers[],4,FALSE)</f>
        <v>မိတ္ထီလာ</v>
      </c>
      <c r="I188" s="28" t="s">
        <v>151</v>
      </c>
      <c r="J188" s="29" t="str">
        <f>VLOOKUP(I188,PGStock[],2,FALSE)</f>
        <v>Ngwe Taung  700ml</v>
      </c>
      <c r="K188" s="30">
        <f>VLOOKUP(I188,PGStock[],3,FALSE)</f>
        <v>0.7</v>
      </c>
      <c r="L188" s="104">
        <v>6</v>
      </c>
      <c r="M188" s="31">
        <f>VLOOKUP(I188,PGStock[],6,FALSE)</f>
        <v>150</v>
      </c>
      <c r="N188" s="31">
        <f>+Table8[[#This Row],[SalesBot]]*Table8[[#This Row],[Bonus]]</f>
        <v>900</v>
      </c>
    </row>
    <row r="189" spans="1:14" ht="23.25" customHeight="1" x14ac:dyDescent="0.25">
      <c r="A189" s="26">
        <f t="shared" si="25"/>
        <v>2026</v>
      </c>
      <c r="B189" s="26">
        <f t="shared" si="26"/>
        <v>2</v>
      </c>
      <c r="C189" s="20">
        <v>46074</v>
      </c>
      <c r="D189" s="21" t="s">
        <v>263</v>
      </c>
      <c r="E189" s="27" t="s">
        <v>259</v>
      </c>
      <c r="F189" s="23" t="str">
        <f>VLOOKUP(E189,Customers[],2,FALSE)</f>
        <v>AK</v>
      </c>
      <c r="G189" s="23" t="str">
        <f>VLOOKUP(E189,Customers[],3,FALSE)</f>
        <v>မြို့သစ်</v>
      </c>
      <c r="H189" s="23" t="str">
        <f>VLOOKUP(E189,Customers[],4,FALSE)</f>
        <v>မိတ္ထီလာ</v>
      </c>
      <c r="I189" s="28" t="s">
        <v>151</v>
      </c>
      <c r="J189" s="29" t="str">
        <f>VLOOKUP(I189,PGStock[],2,FALSE)</f>
        <v>Ngwe Taung  700ml</v>
      </c>
      <c r="K189" s="30">
        <f>VLOOKUP(I189,PGStock[],3,FALSE)</f>
        <v>0.7</v>
      </c>
      <c r="L189" s="104">
        <v>1</v>
      </c>
      <c r="M189" s="31">
        <f>VLOOKUP(I189,PGStock[],6,FALSE)</f>
        <v>150</v>
      </c>
      <c r="N189" s="31">
        <f>+Table8[[#This Row],[SalesBot]]*Table8[[#This Row],[Bonus]]</f>
        <v>150</v>
      </c>
    </row>
    <row r="190" spans="1:14" ht="23.25" customHeight="1" x14ac:dyDescent="0.25">
      <c r="A190" s="26">
        <f t="shared" si="25"/>
        <v>2026</v>
      </c>
      <c r="B190" s="26">
        <f t="shared" si="26"/>
        <v>2</v>
      </c>
      <c r="C190" s="20">
        <v>46076</v>
      </c>
      <c r="D190" s="21" t="s">
        <v>78</v>
      </c>
      <c r="E190" s="27" t="s">
        <v>148</v>
      </c>
      <c r="F190" s="23" t="str">
        <f>VLOOKUP(E190,Customers[],2,FALSE)</f>
        <v>7-Colour</v>
      </c>
      <c r="G190" s="23" t="str">
        <f>VLOOKUP(E190,Customers[],3,FALSE)</f>
        <v>မြို့သစ်</v>
      </c>
      <c r="H190" s="23" t="str">
        <f>VLOOKUP(E190,Customers[],4,FALSE)</f>
        <v>မိတ္ထီလာ</v>
      </c>
      <c r="I190" s="28" t="s">
        <v>151</v>
      </c>
      <c r="J190" s="29" t="str">
        <f>VLOOKUP(I190,PGStock[],2,FALSE)</f>
        <v>Ngwe Taung  700ml</v>
      </c>
      <c r="K190" s="30">
        <f>VLOOKUP(I190,PGStock[],3,FALSE)</f>
        <v>0.7</v>
      </c>
      <c r="L190" s="104">
        <v>5</v>
      </c>
      <c r="M190" s="31">
        <f>VLOOKUP(I190,PGStock[],6,FALSE)</f>
        <v>150</v>
      </c>
      <c r="N190" s="31">
        <f>+Table8[[#This Row],[SalesBot]]*Table8[[#This Row],[Bonus]]</f>
        <v>750</v>
      </c>
    </row>
    <row r="191" spans="1:14" ht="23.25" customHeight="1" x14ac:dyDescent="0.25">
      <c r="A191" s="26">
        <f t="shared" si="25"/>
        <v>2026</v>
      </c>
      <c r="B191" s="26">
        <f t="shared" si="26"/>
        <v>2</v>
      </c>
      <c r="C191" s="20">
        <v>46076</v>
      </c>
      <c r="D191" s="21" t="s">
        <v>166</v>
      </c>
      <c r="E191" s="27" t="s">
        <v>149</v>
      </c>
      <c r="F191" s="23" t="str">
        <f>VLOOKUP(E191,Customers[],2,FALSE)</f>
        <v>သဇင်ဖြူ</v>
      </c>
      <c r="G191" s="23" t="str">
        <f>VLOOKUP(E191,Customers[],3,FALSE)</f>
        <v>မြို့သစ်</v>
      </c>
      <c r="H191" s="23" t="str">
        <f>VLOOKUP(E191,Customers[],4,FALSE)</f>
        <v>မိတ္ထီလာ</v>
      </c>
      <c r="I191" s="28" t="s">
        <v>151</v>
      </c>
      <c r="J191" s="29" t="str">
        <f>VLOOKUP(I191,PGStock[],2,FALSE)</f>
        <v>Ngwe Taung  700ml</v>
      </c>
      <c r="K191" s="30">
        <f>VLOOKUP(I191,PGStock[],3,FALSE)</f>
        <v>0.7</v>
      </c>
      <c r="L191" s="104">
        <v>7</v>
      </c>
      <c r="M191" s="31">
        <f>VLOOKUP(I191,PGStock[],6,FALSE)</f>
        <v>150</v>
      </c>
      <c r="N191" s="31">
        <f>+Table8[[#This Row],[SalesBot]]*Table8[[#This Row],[Bonus]]</f>
        <v>1050</v>
      </c>
    </row>
    <row r="192" spans="1:14" ht="23.25" customHeight="1" x14ac:dyDescent="0.25">
      <c r="A192" s="26">
        <f t="shared" si="25"/>
        <v>2026</v>
      </c>
      <c r="B192" s="26">
        <f t="shared" si="26"/>
        <v>2</v>
      </c>
      <c r="C192" s="20">
        <v>46076</v>
      </c>
      <c r="D192" s="21" t="s">
        <v>165</v>
      </c>
      <c r="E192" s="27" t="s">
        <v>256</v>
      </c>
      <c r="F192" s="23" t="str">
        <f>VLOOKUP(E192,Customers[],2,FALSE)</f>
        <v>ကမ္ဘာသစ်</v>
      </c>
      <c r="G192" s="23" t="str">
        <f>VLOOKUP(E192,Customers[],3,FALSE)</f>
        <v>မြို့သစ်</v>
      </c>
      <c r="H192" s="23" t="str">
        <f>VLOOKUP(E192,Customers[],4,FALSE)</f>
        <v>မိတ္ထီလာ</v>
      </c>
      <c r="I192" s="28" t="s">
        <v>151</v>
      </c>
      <c r="J192" s="29" t="str">
        <f>VLOOKUP(I192,PGStock[],2,FALSE)</f>
        <v>Ngwe Taung  700ml</v>
      </c>
      <c r="K192" s="30">
        <f>VLOOKUP(I192,PGStock[],3,FALSE)</f>
        <v>0.7</v>
      </c>
      <c r="L192" s="104">
        <v>3</v>
      </c>
      <c r="M192" s="31">
        <f>VLOOKUP(I192,PGStock[],6,FALSE)</f>
        <v>150</v>
      </c>
      <c r="N192" s="31">
        <f>+Table8[[#This Row],[SalesBot]]*Table8[[#This Row],[Bonus]]</f>
        <v>450</v>
      </c>
    </row>
    <row r="193" spans="1:14" ht="23.25" customHeight="1" x14ac:dyDescent="0.25">
      <c r="A193" s="26">
        <f t="shared" si="25"/>
        <v>2026</v>
      </c>
      <c r="B193" s="26">
        <f t="shared" si="26"/>
        <v>2</v>
      </c>
      <c r="C193" s="20">
        <v>46076</v>
      </c>
      <c r="D193" s="21" t="s">
        <v>261</v>
      </c>
      <c r="E193" s="27" t="s">
        <v>259</v>
      </c>
      <c r="F193" s="23" t="str">
        <f>VLOOKUP(E193,Customers[],2,FALSE)</f>
        <v>AK</v>
      </c>
      <c r="G193" s="23" t="str">
        <f>VLOOKUP(E193,Customers[],3,FALSE)</f>
        <v>မြို့သစ်</v>
      </c>
      <c r="H193" s="23" t="str">
        <f>VLOOKUP(E193,Customers[],4,FALSE)</f>
        <v>မိတ္ထီလာ</v>
      </c>
      <c r="I193" s="28" t="s">
        <v>151</v>
      </c>
      <c r="J193" s="29" t="str">
        <f>VLOOKUP(I193,PGStock[],2,FALSE)</f>
        <v>Ngwe Taung  700ml</v>
      </c>
      <c r="K193" s="30">
        <f>VLOOKUP(I193,PGStock[],3,FALSE)</f>
        <v>0.7</v>
      </c>
      <c r="L193" s="104">
        <v>7</v>
      </c>
      <c r="M193" s="31">
        <f>VLOOKUP(I193,PGStock[],6,FALSE)</f>
        <v>150</v>
      </c>
      <c r="N193" s="31">
        <f>+Table8[[#This Row],[SalesBot]]*Table8[[#This Row],[Bonus]]</f>
        <v>1050</v>
      </c>
    </row>
    <row r="194" spans="1:14" ht="23.25" customHeight="1" x14ac:dyDescent="0.25">
      <c r="A194" s="26">
        <f t="shared" si="25"/>
        <v>2026</v>
      </c>
      <c r="B194" s="26">
        <f t="shared" si="26"/>
        <v>2</v>
      </c>
      <c r="C194" s="20">
        <v>46076</v>
      </c>
      <c r="D194" s="21" t="s">
        <v>263</v>
      </c>
      <c r="E194" s="27" t="s">
        <v>146</v>
      </c>
      <c r="F194" s="23" t="str">
        <f>VLOOKUP(E194,Customers[],2,FALSE)</f>
        <v>ရွှေမြင့်မိုရ်</v>
      </c>
      <c r="G194" s="23" t="str">
        <f>VLOOKUP(E194,Customers[],3,FALSE)</f>
        <v>မြို့သစ်</v>
      </c>
      <c r="H194" s="23" t="str">
        <f>VLOOKUP(E194,Customers[],4,FALSE)</f>
        <v>မိတ္ထီလာ</v>
      </c>
      <c r="I194" s="28" t="s">
        <v>151</v>
      </c>
      <c r="J194" s="29" t="str">
        <f>VLOOKUP(I194,PGStock[],2,FALSE)</f>
        <v>Ngwe Taung  700ml</v>
      </c>
      <c r="K194" s="30">
        <f>VLOOKUP(I194,PGStock[],3,FALSE)</f>
        <v>0.7</v>
      </c>
      <c r="L194" s="104">
        <v>2</v>
      </c>
      <c r="M194" s="31">
        <f>VLOOKUP(I194,PGStock[],6,FALSE)</f>
        <v>150</v>
      </c>
      <c r="N194" s="31">
        <f>+Table8[[#This Row],[SalesBot]]*Table8[[#This Row],[Bonus]]</f>
        <v>300</v>
      </c>
    </row>
    <row r="195" spans="1:14" ht="23.25" customHeight="1" x14ac:dyDescent="0.25">
      <c r="A195" s="26">
        <f t="shared" si="25"/>
        <v>2026</v>
      </c>
      <c r="B195" s="26">
        <f t="shared" si="26"/>
        <v>2</v>
      </c>
      <c r="C195" s="20">
        <v>46077</v>
      </c>
      <c r="D195" s="21" t="s">
        <v>78</v>
      </c>
      <c r="E195" s="27" t="s">
        <v>149</v>
      </c>
      <c r="F195" s="23" t="str">
        <f>VLOOKUP(E195,Customers[],2,FALSE)</f>
        <v>သဇင်ဖြူ</v>
      </c>
      <c r="G195" s="23" t="str">
        <f>VLOOKUP(E195,Customers[],3,FALSE)</f>
        <v>မြို့သစ်</v>
      </c>
      <c r="H195" s="23" t="str">
        <f>VLOOKUP(E195,Customers[],4,FALSE)</f>
        <v>မိတ္ထီလာ</v>
      </c>
      <c r="I195" s="28" t="s">
        <v>151</v>
      </c>
      <c r="J195" s="29" t="str">
        <f>VLOOKUP(I195,PGStock[],2,FALSE)</f>
        <v>Ngwe Taung  700ml</v>
      </c>
      <c r="K195" s="30">
        <f>VLOOKUP(I195,PGStock[],3,FALSE)</f>
        <v>0.7</v>
      </c>
      <c r="L195" s="104">
        <v>17</v>
      </c>
      <c r="M195" s="31">
        <f>VLOOKUP(I195,PGStock[],6,FALSE)</f>
        <v>150</v>
      </c>
      <c r="N195" s="31">
        <f>+Table8[[#This Row],[SalesBot]]*Table8[[#This Row],[Bonus]]</f>
        <v>2550</v>
      </c>
    </row>
    <row r="196" spans="1:14" ht="23.25" customHeight="1" x14ac:dyDescent="0.25">
      <c r="A196" s="26">
        <f t="shared" si="25"/>
        <v>2026</v>
      </c>
      <c r="B196" s="26">
        <f t="shared" si="26"/>
        <v>2</v>
      </c>
      <c r="C196" s="20">
        <v>46077</v>
      </c>
      <c r="D196" s="21" t="s">
        <v>166</v>
      </c>
      <c r="E196" s="27" t="s">
        <v>148</v>
      </c>
      <c r="F196" s="23" t="str">
        <f>VLOOKUP(E196,Customers[],2,FALSE)</f>
        <v>7-Colour</v>
      </c>
      <c r="G196" s="23" t="str">
        <f>VLOOKUP(E196,Customers[],3,FALSE)</f>
        <v>မြို့သစ်</v>
      </c>
      <c r="H196" s="23" t="str">
        <f>VLOOKUP(E196,Customers[],4,FALSE)</f>
        <v>မိတ္ထီလာ</v>
      </c>
      <c r="I196" s="28" t="s">
        <v>151</v>
      </c>
      <c r="J196" s="29" t="str">
        <f>VLOOKUP(I196,PGStock[],2,FALSE)</f>
        <v>Ngwe Taung  700ml</v>
      </c>
      <c r="K196" s="30">
        <f>VLOOKUP(I196,PGStock[],3,FALSE)</f>
        <v>0.7</v>
      </c>
      <c r="L196" s="104">
        <v>4</v>
      </c>
      <c r="M196" s="31">
        <f>VLOOKUP(I196,PGStock[],6,FALSE)</f>
        <v>150</v>
      </c>
      <c r="N196" s="31">
        <f>+Table8[[#This Row],[SalesBot]]*Table8[[#This Row],[Bonus]]</f>
        <v>600</v>
      </c>
    </row>
    <row r="197" spans="1:14" ht="23.25" customHeight="1" x14ac:dyDescent="0.25">
      <c r="A197" s="26">
        <f t="shared" si="25"/>
        <v>2026</v>
      </c>
      <c r="B197" s="26">
        <f t="shared" si="26"/>
        <v>2</v>
      </c>
      <c r="C197" s="20">
        <v>46077</v>
      </c>
      <c r="D197" s="21" t="s">
        <v>165</v>
      </c>
      <c r="E197" s="27" t="s">
        <v>256</v>
      </c>
      <c r="F197" s="23" t="str">
        <f>VLOOKUP(E197,Customers[],2,FALSE)</f>
        <v>ကမ္ဘာသစ်</v>
      </c>
      <c r="G197" s="23" t="str">
        <f>VLOOKUP(E197,Customers[],3,FALSE)</f>
        <v>မြို့သစ်</v>
      </c>
      <c r="H197" s="23" t="str">
        <f>VLOOKUP(E197,Customers[],4,FALSE)</f>
        <v>မိတ္ထီလာ</v>
      </c>
      <c r="I197" s="28" t="s">
        <v>151</v>
      </c>
      <c r="J197" s="29" t="str">
        <f>VLOOKUP(I197,PGStock[],2,FALSE)</f>
        <v>Ngwe Taung  700ml</v>
      </c>
      <c r="K197" s="30">
        <f>VLOOKUP(I197,PGStock[],3,FALSE)</f>
        <v>0.7</v>
      </c>
      <c r="L197" s="104">
        <v>2</v>
      </c>
      <c r="M197" s="31">
        <f>VLOOKUP(I197,PGStock[],6,FALSE)</f>
        <v>150</v>
      </c>
      <c r="N197" s="31">
        <f>+Table8[[#This Row],[SalesBot]]*Table8[[#This Row],[Bonus]]</f>
        <v>300</v>
      </c>
    </row>
    <row r="198" spans="1:14" ht="23.25" customHeight="1" x14ac:dyDescent="0.25">
      <c r="A198" s="26">
        <f t="shared" si="25"/>
        <v>2026</v>
      </c>
      <c r="B198" s="26">
        <f t="shared" si="26"/>
        <v>2</v>
      </c>
      <c r="C198" s="20">
        <v>46077</v>
      </c>
      <c r="D198" s="21" t="s">
        <v>261</v>
      </c>
      <c r="E198" s="27" t="s">
        <v>259</v>
      </c>
      <c r="F198" s="23" t="str">
        <f>VLOOKUP(E198,Customers[],2,FALSE)</f>
        <v>AK</v>
      </c>
      <c r="G198" s="23" t="str">
        <f>VLOOKUP(E198,Customers[],3,FALSE)</f>
        <v>မြို့သစ်</v>
      </c>
      <c r="H198" s="23" t="str">
        <f>VLOOKUP(E198,Customers[],4,FALSE)</f>
        <v>မိတ္ထီလာ</v>
      </c>
      <c r="I198" s="28" t="s">
        <v>151</v>
      </c>
      <c r="J198" s="29" t="str">
        <f>VLOOKUP(I198,PGStock[],2,FALSE)</f>
        <v>Ngwe Taung  700ml</v>
      </c>
      <c r="K198" s="30">
        <f>VLOOKUP(I198,PGStock[],3,FALSE)</f>
        <v>0.7</v>
      </c>
      <c r="L198" s="104">
        <v>3</v>
      </c>
      <c r="M198" s="31">
        <f>VLOOKUP(I198,PGStock[],6,FALSE)</f>
        <v>150</v>
      </c>
      <c r="N198" s="31">
        <f>+Table8[[#This Row],[SalesBot]]*Table8[[#This Row],[Bonus]]</f>
        <v>450</v>
      </c>
    </row>
    <row r="199" spans="1:14" ht="23.25" customHeight="1" x14ac:dyDescent="0.25">
      <c r="A199" s="26">
        <f t="shared" si="25"/>
        <v>2026</v>
      </c>
      <c r="B199" s="26">
        <f t="shared" si="26"/>
        <v>2</v>
      </c>
      <c r="C199" s="20">
        <v>46077</v>
      </c>
      <c r="D199" s="21" t="s">
        <v>263</v>
      </c>
      <c r="E199" s="27" t="s">
        <v>146</v>
      </c>
      <c r="F199" s="23" t="str">
        <f>VLOOKUP(E199,Customers[],2,FALSE)</f>
        <v>ရွှေမြင့်မိုရ်</v>
      </c>
      <c r="G199" s="23" t="str">
        <f>VLOOKUP(E199,Customers[],3,FALSE)</f>
        <v>မြို့သစ်</v>
      </c>
      <c r="H199" s="23" t="str">
        <f>VLOOKUP(E199,Customers[],4,FALSE)</f>
        <v>မိတ္ထီလာ</v>
      </c>
      <c r="I199" s="28" t="s">
        <v>151</v>
      </c>
      <c r="J199" s="29" t="str">
        <f>VLOOKUP(I199,PGStock[],2,FALSE)</f>
        <v>Ngwe Taung  700ml</v>
      </c>
      <c r="K199" s="30">
        <f>VLOOKUP(I199,PGStock[],3,FALSE)</f>
        <v>0.7</v>
      </c>
      <c r="L199" s="104">
        <v>8</v>
      </c>
      <c r="M199" s="31">
        <f>VLOOKUP(I199,PGStock[],6,FALSE)</f>
        <v>150</v>
      </c>
      <c r="N199" s="31">
        <f>+Table8[[#This Row],[SalesBot]]*Table8[[#This Row],[Bonus]]</f>
        <v>1200</v>
      </c>
    </row>
    <row r="200" spans="1:14" ht="23.25" customHeight="1" x14ac:dyDescent="0.25">
      <c r="A200" s="26">
        <f t="shared" si="25"/>
        <v>2026</v>
      </c>
      <c r="B200" s="26">
        <f t="shared" si="26"/>
        <v>2</v>
      </c>
      <c r="C200" s="20">
        <v>46078</v>
      </c>
      <c r="D200" s="21" t="s">
        <v>78</v>
      </c>
      <c r="E200" s="27" t="s">
        <v>259</v>
      </c>
      <c r="F200" s="23" t="str">
        <f>VLOOKUP(E200,Customers[],2,FALSE)</f>
        <v>AK</v>
      </c>
      <c r="G200" s="23" t="str">
        <f>VLOOKUP(E200,Customers[],3,FALSE)</f>
        <v>မြို့သစ်</v>
      </c>
      <c r="H200" s="23" t="str">
        <f>VLOOKUP(E200,Customers[],4,FALSE)</f>
        <v>မိတ္ထီလာ</v>
      </c>
      <c r="I200" s="28" t="s">
        <v>151</v>
      </c>
      <c r="J200" s="29" t="str">
        <f>VLOOKUP(I200,PGStock[],2,FALSE)</f>
        <v>Ngwe Taung  700ml</v>
      </c>
      <c r="K200" s="30">
        <f>VLOOKUP(I200,PGStock[],3,FALSE)</f>
        <v>0.7</v>
      </c>
      <c r="L200" s="104">
        <v>4</v>
      </c>
      <c r="M200" s="31">
        <f>VLOOKUP(I200,PGStock[],6,FALSE)</f>
        <v>150</v>
      </c>
      <c r="N200" s="31">
        <f>+Table8[[#This Row],[SalesBot]]*Table8[[#This Row],[Bonus]]</f>
        <v>600</v>
      </c>
    </row>
    <row r="201" spans="1:14" ht="23.25" customHeight="1" x14ac:dyDescent="0.25">
      <c r="A201" s="26">
        <f t="shared" si="25"/>
        <v>2026</v>
      </c>
      <c r="B201" s="26">
        <f t="shared" si="26"/>
        <v>2</v>
      </c>
      <c r="C201" s="20">
        <v>46078</v>
      </c>
      <c r="D201" s="21" t="s">
        <v>166</v>
      </c>
      <c r="E201" s="27" t="s">
        <v>146</v>
      </c>
      <c r="F201" s="23" t="str">
        <f>VLOOKUP(E201,Customers[],2,FALSE)</f>
        <v>ရွှေမြင့်မိုရ်</v>
      </c>
      <c r="G201" s="23" t="str">
        <f>VLOOKUP(E201,Customers[],3,FALSE)</f>
        <v>မြို့သစ်</v>
      </c>
      <c r="H201" s="23" t="str">
        <f>VLOOKUP(E201,Customers[],4,FALSE)</f>
        <v>မိတ္ထီလာ</v>
      </c>
      <c r="I201" s="28" t="s">
        <v>151</v>
      </c>
      <c r="J201" s="29" t="str">
        <f>VLOOKUP(I201,PGStock[],2,FALSE)</f>
        <v>Ngwe Taung  700ml</v>
      </c>
      <c r="K201" s="30">
        <f>VLOOKUP(I201,PGStock[],3,FALSE)</f>
        <v>0.7</v>
      </c>
      <c r="L201" s="104">
        <v>10</v>
      </c>
      <c r="M201" s="31">
        <f>VLOOKUP(I201,PGStock[],6,FALSE)</f>
        <v>150</v>
      </c>
      <c r="N201" s="31">
        <f>+Table8[[#This Row],[SalesBot]]*Table8[[#This Row],[Bonus]]</f>
        <v>1500</v>
      </c>
    </row>
    <row r="202" spans="1:14" ht="23.25" customHeight="1" x14ac:dyDescent="0.25">
      <c r="A202" s="26">
        <f t="shared" si="25"/>
        <v>2026</v>
      </c>
      <c r="B202" s="26">
        <f t="shared" si="26"/>
        <v>2</v>
      </c>
      <c r="C202" s="20">
        <v>46078</v>
      </c>
      <c r="D202" s="21" t="s">
        <v>165</v>
      </c>
      <c r="E202" s="27" t="s">
        <v>256</v>
      </c>
      <c r="F202" s="23" t="str">
        <f>VLOOKUP(E202,Customers[],2,FALSE)</f>
        <v>ကမ္ဘာသစ်</v>
      </c>
      <c r="G202" s="23" t="str">
        <f>VLOOKUP(E202,Customers[],3,FALSE)</f>
        <v>မြို့သစ်</v>
      </c>
      <c r="H202" s="23" t="str">
        <f>VLOOKUP(E202,Customers[],4,FALSE)</f>
        <v>မိတ္ထီလာ</v>
      </c>
      <c r="I202" s="28" t="s">
        <v>151</v>
      </c>
      <c r="J202" s="29" t="str">
        <f>VLOOKUP(I202,PGStock[],2,FALSE)</f>
        <v>Ngwe Taung  700ml</v>
      </c>
      <c r="K202" s="30">
        <f>VLOOKUP(I202,PGStock[],3,FALSE)</f>
        <v>0.7</v>
      </c>
      <c r="L202" s="104">
        <v>4</v>
      </c>
      <c r="M202" s="31">
        <f>VLOOKUP(I202,PGStock[],6,FALSE)</f>
        <v>150</v>
      </c>
      <c r="N202" s="31">
        <f>+Table8[[#This Row],[SalesBot]]*Table8[[#This Row],[Bonus]]</f>
        <v>600</v>
      </c>
    </row>
    <row r="203" spans="1:14" ht="23.25" customHeight="1" x14ac:dyDescent="0.25">
      <c r="A203" s="26">
        <f t="shared" si="25"/>
        <v>2026</v>
      </c>
      <c r="B203" s="26">
        <f t="shared" si="26"/>
        <v>2</v>
      </c>
      <c r="C203" s="20">
        <v>46078</v>
      </c>
      <c r="D203" s="21" t="s">
        <v>261</v>
      </c>
      <c r="E203" s="27" t="s">
        <v>149</v>
      </c>
      <c r="F203" s="23" t="str">
        <f>VLOOKUP(E203,Customers[],2,FALSE)</f>
        <v>သဇင်ဖြူ</v>
      </c>
      <c r="G203" s="23" t="str">
        <f>VLOOKUP(E203,Customers[],3,FALSE)</f>
        <v>မြို့သစ်</v>
      </c>
      <c r="H203" s="23" t="str">
        <f>VLOOKUP(E203,Customers[],4,FALSE)</f>
        <v>မိတ္ထီလာ</v>
      </c>
      <c r="I203" s="28" t="s">
        <v>151</v>
      </c>
      <c r="J203" s="29" t="str">
        <f>VLOOKUP(I203,PGStock[],2,FALSE)</f>
        <v>Ngwe Taung  700ml</v>
      </c>
      <c r="K203" s="30">
        <f>VLOOKUP(I203,PGStock[],3,FALSE)</f>
        <v>0.7</v>
      </c>
      <c r="L203" s="104">
        <v>3</v>
      </c>
      <c r="M203" s="31">
        <f>VLOOKUP(I203,PGStock[],6,FALSE)</f>
        <v>150</v>
      </c>
      <c r="N203" s="31">
        <f>+Table8[[#This Row],[SalesBot]]*Table8[[#This Row],[Bonus]]</f>
        <v>450</v>
      </c>
    </row>
    <row r="204" spans="1:14" ht="23.25" customHeight="1" x14ac:dyDescent="0.25">
      <c r="A204" s="26">
        <f t="shared" si="25"/>
        <v>2026</v>
      </c>
      <c r="B204" s="26">
        <f t="shared" si="26"/>
        <v>2</v>
      </c>
      <c r="C204" s="20">
        <v>46078</v>
      </c>
      <c r="D204" s="21" t="s">
        <v>263</v>
      </c>
      <c r="E204" s="27" t="s">
        <v>148</v>
      </c>
      <c r="F204" s="23" t="str">
        <f>VLOOKUP(E204,Customers[],2,FALSE)</f>
        <v>7-Colour</v>
      </c>
      <c r="G204" s="23" t="str">
        <f>VLOOKUP(E204,Customers[],3,FALSE)</f>
        <v>မြို့သစ်</v>
      </c>
      <c r="H204" s="23" t="str">
        <f>VLOOKUP(E204,Customers[],4,FALSE)</f>
        <v>မိတ္ထီလာ</v>
      </c>
      <c r="I204" s="28" t="s">
        <v>151</v>
      </c>
      <c r="J204" s="29" t="str">
        <f>VLOOKUP(I204,PGStock[],2,FALSE)</f>
        <v>Ngwe Taung  700ml</v>
      </c>
      <c r="K204" s="30">
        <f>VLOOKUP(I204,PGStock[],3,FALSE)</f>
        <v>0.7</v>
      </c>
      <c r="L204" s="104">
        <v>1</v>
      </c>
      <c r="M204" s="31">
        <f>VLOOKUP(I204,PGStock[],6,FALSE)</f>
        <v>150</v>
      </c>
      <c r="N204" s="31">
        <f>+Table8[[#This Row],[SalesBot]]*Table8[[#This Row],[Bonus]]</f>
        <v>150</v>
      </c>
    </row>
    <row r="205" spans="1:14" ht="23.25" customHeight="1" x14ac:dyDescent="0.25">
      <c r="A205" s="26">
        <f t="shared" si="25"/>
        <v>2026</v>
      </c>
      <c r="B205" s="26">
        <f t="shared" si="26"/>
        <v>2</v>
      </c>
      <c r="C205" s="20">
        <v>46079</v>
      </c>
      <c r="D205" s="21" t="s">
        <v>78</v>
      </c>
      <c r="E205" s="27" t="s">
        <v>256</v>
      </c>
      <c r="F205" s="23" t="str">
        <f>VLOOKUP(E205,Customers[],2,FALSE)</f>
        <v>ကမ္ဘာသစ်</v>
      </c>
      <c r="G205" s="23" t="str">
        <f>VLOOKUP(E205,Customers[],3,FALSE)</f>
        <v>မြို့သစ်</v>
      </c>
      <c r="H205" s="23" t="str">
        <f>VLOOKUP(E205,Customers[],4,FALSE)</f>
        <v>မိတ္ထီလာ</v>
      </c>
      <c r="I205" s="28" t="s">
        <v>151</v>
      </c>
      <c r="J205" s="29" t="str">
        <f>VLOOKUP(I205,PGStock[],2,FALSE)</f>
        <v>Ngwe Taung  700ml</v>
      </c>
      <c r="K205" s="30">
        <f>VLOOKUP(I205,PGStock[],3,FALSE)</f>
        <v>0.7</v>
      </c>
      <c r="L205" s="104">
        <v>6</v>
      </c>
      <c r="M205" s="31">
        <f>VLOOKUP(I205,PGStock[],6,FALSE)</f>
        <v>150</v>
      </c>
      <c r="N205" s="31">
        <f>+Table8[[#This Row],[SalesBot]]*Table8[[#This Row],[Bonus]]</f>
        <v>900</v>
      </c>
    </row>
    <row r="206" spans="1:14" ht="23.25" customHeight="1" x14ac:dyDescent="0.25">
      <c r="A206" s="26">
        <f>YEAR(C206)</f>
        <v>2026</v>
      </c>
      <c r="B206" s="26">
        <f>MONTH(C206)</f>
        <v>2</v>
      </c>
      <c r="C206" s="20">
        <v>46079</v>
      </c>
      <c r="D206" s="21" t="s">
        <v>166</v>
      </c>
      <c r="E206" s="27" t="s">
        <v>146</v>
      </c>
      <c r="F206" s="23" t="str">
        <f>VLOOKUP(E206,Customers[],2,FALSE)</f>
        <v>ရွှေမြင့်မိုရ်</v>
      </c>
      <c r="G206" s="23" t="str">
        <f>VLOOKUP(E206,Customers[],3,FALSE)</f>
        <v>မြို့သစ်</v>
      </c>
      <c r="H206" s="23" t="str">
        <f>VLOOKUP(E206,Customers[],4,FALSE)</f>
        <v>မိတ္ထီလာ</v>
      </c>
      <c r="I206" s="28" t="s">
        <v>151</v>
      </c>
      <c r="J206" s="29" t="str">
        <f>VLOOKUP(I206,PGStock[],2,FALSE)</f>
        <v>Ngwe Taung  700ml</v>
      </c>
      <c r="K206" s="30">
        <f>VLOOKUP(I206,PGStock[],3,FALSE)</f>
        <v>0.7</v>
      </c>
      <c r="L206" s="104">
        <v>10</v>
      </c>
      <c r="M206" s="31">
        <f>VLOOKUP(I206,PGStock[],6,FALSE)</f>
        <v>150</v>
      </c>
      <c r="N206" s="31">
        <f>+Table8[[#This Row],[SalesBot]]*Table8[[#This Row],[Bonus]]</f>
        <v>1500</v>
      </c>
    </row>
    <row r="207" spans="1:14" ht="23.25" customHeight="1" x14ac:dyDescent="0.25">
      <c r="A207" s="26">
        <f>YEAR(C207)</f>
        <v>2026</v>
      </c>
      <c r="B207" s="26">
        <f>MONTH(C207)</f>
        <v>2</v>
      </c>
      <c r="C207" s="20">
        <v>46079</v>
      </c>
      <c r="D207" s="21" t="s">
        <v>261</v>
      </c>
      <c r="E207" s="27" t="s">
        <v>149</v>
      </c>
      <c r="F207" s="23" t="str">
        <f>VLOOKUP(E207,Customers[],2,FALSE)</f>
        <v>သဇင်ဖြူ</v>
      </c>
      <c r="G207" s="23" t="str">
        <f>VLOOKUP(E207,Customers[],3,FALSE)</f>
        <v>မြို့သစ်</v>
      </c>
      <c r="H207" s="23" t="str">
        <f>VLOOKUP(E207,Customers[],4,FALSE)</f>
        <v>မိတ္ထီလာ</v>
      </c>
      <c r="I207" s="28" t="s">
        <v>151</v>
      </c>
      <c r="J207" s="29" t="str">
        <f>VLOOKUP(I207,PGStock[],2,FALSE)</f>
        <v>Ngwe Taung  700ml</v>
      </c>
      <c r="K207" s="30">
        <f>VLOOKUP(I207,PGStock[],3,FALSE)</f>
        <v>0.7</v>
      </c>
      <c r="L207" s="104">
        <v>3</v>
      </c>
      <c r="M207" s="31">
        <f>VLOOKUP(I207,PGStock[],6,FALSE)</f>
        <v>150</v>
      </c>
      <c r="N207" s="31">
        <f>+Table8[[#This Row],[SalesBot]]*Table8[[#This Row],[Bonus]]</f>
        <v>450</v>
      </c>
    </row>
    <row r="208" spans="1:14" ht="23.25" customHeight="1" x14ac:dyDescent="0.25">
      <c r="A208" s="26">
        <f t="shared" ref="A208:A217" si="27">YEAR(C208)</f>
        <v>2026</v>
      </c>
      <c r="B208" s="26">
        <f t="shared" ref="B208:B217" si="28">MONTH(C208)</f>
        <v>2</v>
      </c>
      <c r="C208" s="20">
        <v>46079</v>
      </c>
      <c r="D208" s="21" t="s">
        <v>263</v>
      </c>
      <c r="E208" s="27" t="s">
        <v>259</v>
      </c>
      <c r="F208" s="23" t="str">
        <f>VLOOKUP(E208,Customers[],2,FALSE)</f>
        <v>AK</v>
      </c>
      <c r="G208" s="23" t="str">
        <f>VLOOKUP(E208,Customers[],3,FALSE)</f>
        <v>မြို့သစ်</v>
      </c>
      <c r="H208" s="23" t="str">
        <f>VLOOKUP(E208,Customers[],4,FALSE)</f>
        <v>မိတ္ထီလာ</v>
      </c>
      <c r="I208" s="28" t="s">
        <v>151</v>
      </c>
      <c r="J208" s="29" t="str">
        <f>VLOOKUP(I208,PGStock[],2,FALSE)</f>
        <v>Ngwe Taung  700ml</v>
      </c>
      <c r="K208" s="30">
        <f>VLOOKUP(I208,PGStock[],3,FALSE)</f>
        <v>0.7</v>
      </c>
      <c r="L208" s="104">
        <v>4</v>
      </c>
      <c r="M208" s="31">
        <f>VLOOKUP(I208,PGStock[],6,FALSE)</f>
        <v>150</v>
      </c>
      <c r="N208" s="31">
        <f>+Table8[[#This Row],[SalesBot]]*Table8[[#This Row],[Bonus]]</f>
        <v>600</v>
      </c>
    </row>
    <row r="209" spans="1:14" ht="23.25" customHeight="1" x14ac:dyDescent="0.25">
      <c r="A209" s="26">
        <f t="shared" si="27"/>
        <v>2026</v>
      </c>
      <c r="B209" s="26">
        <f t="shared" si="28"/>
        <v>2</v>
      </c>
      <c r="C209" s="20">
        <v>46080</v>
      </c>
      <c r="D209" s="21" t="s">
        <v>78</v>
      </c>
      <c r="E209" s="27" t="s">
        <v>256</v>
      </c>
      <c r="F209" s="23" t="str">
        <f>VLOOKUP(E209,Customers[],2,FALSE)</f>
        <v>ကမ္ဘာသစ်</v>
      </c>
      <c r="G209" s="23" t="str">
        <f>VLOOKUP(E209,Customers[],3,FALSE)</f>
        <v>မြို့သစ်</v>
      </c>
      <c r="H209" s="23" t="str">
        <f>VLOOKUP(E209,Customers[],4,FALSE)</f>
        <v>မိတ္ထီလာ</v>
      </c>
      <c r="I209" s="28" t="s">
        <v>151</v>
      </c>
      <c r="J209" s="29" t="str">
        <f>VLOOKUP(I209,PGStock[],2,FALSE)</f>
        <v>Ngwe Taung  700ml</v>
      </c>
      <c r="K209" s="30">
        <f>VLOOKUP(I209,PGStock[],3,FALSE)</f>
        <v>0.7</v>
      </c>
      <c r="L209" s="104">
        <v>19</v>
      </c>
      <c r="M209" s="31">
        <f>VLOOKUP(I209,PGStock[],6,FALSE)</f>
        <v>150</v>
      </c>
      <c r="N209" s="31">
        <f>+Table8[[#This Row],[SalesBot]]*Table8[[#This Row],[Bonus]]</f>
        <v>2850</v>
      </c>
    </row>
    <row r="210" spans="1:14" ht="23.25" customHeight="1" x14ac:dyDescent="0.25">
      <c r="A210" s="26">
        <f t="shared" si="27"/>
        <v>2026</v>
      </c>
      <c r="B210" s="26">
        <f t="shared" si="28"/>
        <v>2</v>
      </c>
      <c r="C210" s="20">
        <v>46080</v>
      </c>
      <c r="D210" s="21" t="s">
        <v>166</v>
      </c>
      <c r="E210" s="27" t="s">
        <v>259</v>
      </c>
      <c r="F210" s="23" t="str">
        <f>VLOOKUP(E210,Customers[],2,FALSE)</f>
        <v>AK</v>
      </c>
      <c r="G210" s="23" t="str">
        <f>VLOOKUP(E210,Customers[],3,FALSE)</f>
        <v>မြို့သစ်</v>
      </c>
      <c r="H210" s="23" t="str">
        <f>VLOOKUP(E210,Customers[],4,FALSE)</f>
        <v>မိတ္ထီလာ</v>
      </c>
      <c r="I210" s="28" t="s">
        <v>151</v>
      </c>
      <c r="J210" s="29" t="str">
        <f>VLOOKUP(I210,PGStock[],2,FALSE)</f>
        <v>Ngwe Taung  700ml</v>
      </c>
      <c r="K210" s="30">
        <f>VLOOKUP(I210,PGStock[],3,FALSE)</f>
        <v>0.7</v>
      </c>
      <c r="L210" s="104">
        <v>8</v>
      </c>
      <c r="M210" s="31">
        <f>VLOOKUP(I210,PGStock[],6,FALSE)</f>
        <v>150</v>
      </c>
      <c r="N210" s="31">
        <f>+Table8[[#This Row],[SalesBot]]*Table8[[#This Row],[Bonus]]</f>
        <v>1200</v>
      </c>
    </row>
    <row r="211" spans="1:14" ht="23.25" customHeight="1" x14ac:dyDescent="0.25">
      <c r="A211" s="26">
        <f t="shared" si="27"/>
        <v>2026</v>
      </c>
      <c r="B211" s="26">
        <f t="shared" si="28"/>
        <v>2</v>
      </c>
      <c r="C211" s="20">
        <v>46080</v>
      </c>
      <c r="D211" s="21" t="s">
        <v>261</v>
      </c>
      <c r="E211" s="27" t="s">
        <v>146</v>
      </c>
      <c r="F211" s="23" t="str">
        <f>VLOOKUP(E211,Customers[],2,FALSE)</f>
        <v>ရွှေမြင့်မိုရ်</v>
      </c>
      <c r="G211" s="23" t="str">
        <f>VLOOKUP(E211,Customers[],3,FALSE)</f>
        <v>မြို့သစ်</v>
      </c>
      <c r="H211" s="23" t="str">
        <f>VLOOKUP(E211,Customers[],4,FALSE)</f>
        <v>မိတ္ထီလာ</v>
      </c>
      <c r="I211" s="28" t="s">
        <v>151</v>
      </c>
      <c r="J211" s="29" t="str">
        <f>VLOOKUP(I211,PGStock[],2,FALSE)</f>
        <v>Ngwe Taung  700ml</v>
      </c>
      <c r="K211" s="30">
        <f>VLOOKUP(I211,PGStock[],3,FALSE)</f>
        <v>0.7</v>
      </c>
      <c r="L211" s="104">
        <v>7</v>
      </c>
      <c r="M211" s="31">
        <f>VLOOKUP(I211,PGStock[],6,FALSE)</f>
        <v>150</v>
      </c>
      <c r="N211" s="31">
        <f>+Table8[[#This Row],[SalesBot]]*Table8[[#This Row],[Bonus]]</f>
        <v>1050</v>
      </c>
    </row>
    <row r="212" spans="1:14" ht="23.25" customHeight="1" x14ac:dyDescent="0.25">
      <c r="A212" s="26">
        <f t="shared" si="27"/>
        <v>2026</v>
      </c>
      <c r="B212" s="26">
        <f t="shared" si="28"/>
        <v>2</v>
      </c>
      <c r="C212" s="20">
        <v>46080</v>
      </c>
      <c r="D212" s="21" t="s">
        <v>263</v>
      </c>
      <c r="E212" s="27" t="s">
        <v>149</v>
      </c>
      <c r="F212" s="23" t="str">
        <f>VLOOKUP(E212,Customers[],2,FALSE)</f>
        <v>သဇင်ဖြူ</v>
      </c>
      <c r="G212" s="23" t="str">
        <f>VLOOKUP(E212,Customers[],3,FALSE)</f>
        <v>မြို့သစ်</v>
      </c>
      <c r="H212" s="23" t="str">
        <f>VLOOKUP(E212,Customers[],4,FALSE)</f>
        <v>မိတ္ထီလာ</v>
      </c>
      <c r="I212" s="28" t="s">
        <v>151</v>
      </c>
      <c r="J212" s="29" t="str">
        <f>VLOOKUP(I212,PGStock[],2,FALSE)</f>
        <v>Ngwe Taung  700ml</v>
      </c>
      <c r="K212" s="30">
        <f>VLOOKUP(I212,PGStock[],3,FALSE)</f>
        <v>0.7</v>
      </c>
      <c r="L212" s="104">
        <v>1</v>
      </c>
      <c r="M212" s="31">
        <f>VLOOKUP(I212,PGStock[],6,FALSE)</f>
        <v>150</v>
      </c>
      <c r="N212" s="31">
        <f>+Table8[[#This Row],[SalesBot]]*Table8[[#This Row],[Bonus]]</f>
        <v>150</v>
      </c>
    </row>
    <row r="213" spans="1:14" ht="23.25" customHeight="1" x14ac:dyDescent="0.25">
      <c r="A213" s="26">
        <f t="shared" si="27"/>
        <v>2026</v>
      </c>
      <c r="B213" s="26">
        <f t="shared" si="28"/>
        <v>2</v>
      </c>
      <c r="C213" s="20">
        <v>46081</v>
      </c>
      <c r="D213" s="21" t="s">
        <v>78</v>
      </c>
      <c r="E213" s="27" t="s">
        <v>256</v>
      </c>
      <c r="F213" s="23" t="str">
        <f>VLOOKUP(E213,Customers[],2,FALSE)</f>
        <v>ကမ္ဘာသစ်</v>
      </c>
      <c r="G213" s="23" t="str">
        <f>VLOOKUP(E213,Customers[],3,FALSE)</f>
        <v>မြို့သစ်</v>
      </c>
      <c r="H213" s="23" t="str">
        <f>VLOOKUP(E213,Customers[],4,FALSE)</f>
        <v>မိတ္ထီလာ</v>
      </c>
      <c r="I213" s="28" t="s">
        <v>151</v>
      </c>
      <c r="J213" s="29" t="str">
        <f>VLOOKUP(I213,PGStock[],2,FALSE)</f>
        <v>Ngwe Taung  700ml</v>
      </c>
      <c r="K213" s="30">
        <f>VLOOKUP(I213,PGStock[],3,FALSE)</f>
        <v>0.7</v>
      </c>
      <c r="L213" s="104">
        <v>10</v>
      </c>
      <c r="M213" s="31">
        <f>VLOOKUP(I213,PGStock[],6,FALSE)</f>
        <v>150</v>
      </c>
      <c r="N213" s="31">
        <f>+Table8[[#This Row],[SalesBot]]*Table8[[#This Row],[Bonus]]</f>
        <v>1500</v>
      </c>
    </row>
    <row r="214" spans="1:14" ht="23.25" customHeight="1" x14ac:dyDescent="0.25">
      <c r="A214" s="26">
        <f t="shared" si="27"/>
        <v>2026</v>
      </c>
      <c r="B214" s="26">
        <f t="shared" si="28"/>
        <v>2</v>
      </c>
      <c r="C214" s="20">
        <v>46081</v>
      </c>
      <c r="D214" s="21" t="s">
        <v>166</v>
      </c>
      <c r="E214" s="27" t="s">
        <v>149</v>
      </c>
      <c r="F214" s="23" t="str">
        <f>VLOOKUP(E214,Customers[],2,FALSE)</f>
        <v>သဇင်ဖြူ</v>
      </c>
      <c r="G214" s="23" t="str">
        <f>VLOOKUP(E214,Customers[],3,FALSE)</f>
        <v>မြို့သစ်</v>
      </c>
      <c r="H214" s="23" t="str">
        <f>VLOOKUP(E214,Customers[],4,FALSE)</f>
        <v>မိတ္ထီလာ</v>
      </c>
      <c r="I214" s="28" t="s">
        <v>151</v>
      </c>
      <c r="J214" s="29" t="str">
        <f>VLOOKUP(I214,PGStock[],2,FALSE)</f>
        <v>Ngwe Taung  700ml</v>
      </c>
      <c r="K214" s="30">
        <f>VLOOKUP(I214,PGStock[],3,FALSE)</f>
        <v>0.7</v>
      </c>
      <c r="L214" s="104">
        <v>10</v>
      </c>
      <c r="M214" s="31">
        <f>VLOOKUP(I214,PGStock[],6,FALSE)</f>
        <v>150</v>
      </c>
      <c r="N214" s="31">
        <f>+Table8[[#This Row],[SalesBot]]*Table8[[#This Row],[Bonus]]</f>
        <v>1500</v>
      </c>
    </row>
    <row r="215" spans="1:14" ht="23.25" customHeight="1" x14ac:dyDescent="0.25">
      <c r="A215" s="26">
        <f t="shared" si="27"/>
        <v>2026</v>
      </c>
      <c r="B215" s="26">
        <f t="shared" si="28"/>
        <v>2</v>
      </c>
      <c r="C215" s="20">
        <v>46081</v>
      </c>
      <c r="D215" s="21" t="s">
        <v>165</v>
      </c>
      <c r="E215" s="27" t="s">
        <v>259</v>
      </c>
      <c r="F215" s="23" t="str">
        <f>VLOOKUP(E215,Customers[],2,FALSE)</f>
        <v>AK</v>
      </c>
      <c r="G215" s="23" t="str">
        <f>VLOOKUP(E215,Customers[],3,FALSE)</f>
        <v>မြို့သစ်</v>
      </c>
      <c r="H215" s="23" t="str">
        <f>VLOOKUP(E215,Customers[],4,FALSE)</f>
        <v>မိတ္ထီလာ</v>
      </c>
      <c r="I215" s="28" t="s">
        <v>151</v>
      </c>
      <c r="J215" s="29" t="str">
        <f>VLOOKUP(I215,PGStock[],2,FALSE)</f>
        <v>Ngwe Taung  700ml</v>
      </c>
      <c r="K215" s="30">
        <f>VLOOKUP(I215,PGStock[],3,FALSE)</f>
        <v>0.7</v>
      </c>
      <c r="L215" s="104">
        <v>5</v>
      </c>
      <c r="M215" s="31">
        <f>VLOOKUP(I215,PGStock[],6,FALSE)</f>
        <v>150</v>
      </c>
      <c r="N215" s="31">
        <f>+Table8[[#This Row],[SalesBot]]*Table8[[#This Row],[Bonus]]</f>
        <v>750</v>
      </c>
    </row>
    <row r="216" spans="1:14" ht="23.25" customHeight="1" x14ac:dyDescent="0.25">
      <c r="A216" s="26">
        <f t="shared" si="27"/>
        <v>2026</v>
      </c>
      <c r="B216" s="26">
        <f t="shared" si="28"/>
        <v>2</v>
      </c>
      <c r="C216" s="20">
        <v>46081</v>
      </c>
      <c r="D216" s="21" t="s">
        <v>261</v>
      </c>
      <c r="E216" s="27" t="s">
        <v>146</v>
      </c>
      <c r="F216" s="23" t="str">
        <f>VLOOKUP(E216,Customers[],2,FALSE)</f>
        <v>ရွှေမြင့်မိုရ်</v>
      </c>
      <c r="G216" s="23" t="str">
        <f>VLOOKUP(E216,Customers[],3,FALSE)</f>
        <v>မြို့သစ်</v>
      </c>
      <c r="H216" s="23" t="str">
        <f>VLOOKUP(E216,Customers[],4,FALSE)</f>
        <v>မိတ္ထီလာ</v>
      </c>
      <c r="I216" s="28" t="s">
        <v>151</v>
      </c>
      <c r="J216" s="29" t="str">
        <f>VLOOKUP(I216,PGStock[],2,FALSE)</f>
        <v>Ngwe Taung  700ml</v>
      </c>
      <c r="K216" s="30">
        <f>VLOOKUP(I216,PGStock[],3,FALSE)</f>
        <v>0.7</v>
      </c>
      <c r="L216" s="104">
        <v>9</v>
      </c>
      <c r="M216" s="31">
        <f>VLOOKUP(I216,PGStock[],6,FALSE)</f>
        <v>150</v>
      </c>
      <c r="N216" s="31">
        <f>+Table8[[#This Row],[SalesBot]]*Table8[[#This Row],[Bonus]]</f>
        <v>1350</v>
      </c>
    </row>
    <row r="217" spans="1:14" ht="23.25" customHeight="1" x14ac:dyDescent="0.25">
      <c r="A217" s="26">
        <f t="shared" si="27"/>
        <v>2026</v>
      </c>
      <c r="B217" s="26">
        <f t="shared" si="28"/>
        <v>2</v>
      </c>
      <c r="C217" s="20">
        <v>46081</v>
      </c>
      <c r="D217" s="21" t="s">
        <v>263</v>
      </c>
      <c r="E217" s="27" t="s">
        <v>148</v>
      </c>
      <c r="F217" s="23" t="str">
        <f>VLOOKUP(E217,Customers[],2,FALSE)</f>
        <v>7-Colour</v>
      </c>
      <c r="G217" s="23" t="str">
        <f>VLOOKUP(E217,Customers[],3,FALSE)</f>
        <v>မြို့သစ်</v>
      </c>
      <c r="H217" s="23" t="str">
        <f>VLOOKUP(E217,Customers[],4,FALSE)</f>
        <v>မိတ္ထီလာ</v>
      </c>
      <c r="I217" s="28" t="s">
        <v>151</v>
      </c>
      <c r="J217" s="29" t="str">
        <f>VLOOKUP(I217,PGStock[],2,FALSE)</f>
        <v>Ngwe Taung  700ml</v>
      </c>
      <c r="K217" s="30">
        <f>VLOOKUP(I217,PGStock[],3,FALSE)</f>
        <v>0.7</v>
      </c>
      <c r="L217" s="104">
        <v>3</v>
      </c>
      <c r="M217" s="31">
        <f>VLOOKUP(I217,PGStock[],6,FALSE)</f>
        <v>150</v>
      </c>
      <c r="N217" s="31">
        <f>+Table8[[#This Row],[SalesBot]]*Table8[[#This Row],[Bonus]]</f>
        <v>450</v>
      </c>
    </row>
    <row r="218" spans="1:14" ht="23.25" customHeight="1" x14ac:dyDescent="0.25">
      <c r="A218" s="26">
        <f t="shared" ref="A218:A227" si="29">YEAR(C218)</f>
        <v>2026</v>
      </c>
      <c r="B218" s="26">
        <f t="shared" ref="B218:B227" si="30">MONTH(C218)</f>
        <v>3</v>
      </c>
      <c r="C218" s="20">
        <v>46084</v>
      </c>
      <c r="D218" s="21" t="s">
        <v>78</v>
      </c>
      <c r="E218" s="27" t="s">
        <v>89</v>
      </c>
      <c r="F218" s="23" t="str">
        <f>VLOOKUP(E218,Customers[],2,FALSE)</f>
        <v>ရွှေလွန်းပျံ</v>
      </c>
      <c r="G218" s="23" t="str">
        <f>VLOOKUP(E218,Customers[],3,FALSE)</f>
        <v>စက်မှု့ဇုန်</v>
      </c>
      <c r="H218" s="23" t="str">
        <f>VLOOKUP(E218,Customers[],4,FALSE)</f>
        <v>မိတ္ထီလာ</v>
      </c>
      <c r="I218" s="28" t="s">
        <v>151</v>
      </c>
      <c r="J218" s="29" t="str">
        <f>VLOOKUP(I218,PGStock[],2,FALSE)</f>
        <v>Ngwe Taung  700ml</v>
      </c>
      <c r="K218" s="30">
        <f>VLOOKUP(I218,PGStock[],3,FALSE)</f>
        <v>0.7</v>
      </c>
      <c r="L218" s="104">
        <v>3</v>
      </c>
      <c r="M218" s="31">
        <f>VLOOKUP(I218,PGStock[],6,FALSE)</f>
        <v>150</v>
      </c>
      <c r="N218" s="31">
        <f>+Table8[[#This Row],[SalesBot]]*Table8[[#This Row],[Bonus]]</f>
        <v>450</v>
      </c>
    </row>
    <row r="219" spans="1:14" ht="23.25" customHeight="1" x14ac:dyDescent="0.25">
      <c r="A219" s="26">
        <f t="shared" si="29"/>
        <v>2026</v>
      </c>
      <c r="B219" s="26">
        <f t="shared" si="30"/>
        <v>3</v>
      </c>
      <c r="C219" s="20">
        <v>46084</v>
      </c>
      <c r="D219" s="21" t="s">
        <v>166</v>
      </c>
      <c r="E219" s="27" t="s">
        <v>87</v>
      </c>
      <c r="F219" s="23" t="str">
        <f>VLOOKUP(E219,Customers[],2,FALSE)</f>
        <v>PTK</v>
      </c>
      <c r="G219" s="23" t="str">
        <f>VLOOKUP(E219,Customers[],3,FALSE)</f>
        <v>စက်မှု့ဇုန်</v>
      </c>
      <c r="H219" s="23" t="str">
        <f>VLOOKUP(E219,Customers[],4,FALSE)</f>
        <v>မိတ္ထီလာ</v>
      </c>
      <c r="I219" s="28" t="s">
        <v>151</v>
      </c>
      <c r="J219" s="29" t="str">
        <f>VLOOKUP(I219,PGStock[],2,FALSE)</f>
        <v>Ngwe Taung  700ml</v>
      </c>
      <c r="K219" s="30">
        <f>VLOOKUP(I219,PGStock[],3,FALSE)</f>
        <v>0.7</v>
      </c>
      <c r="L219" s="104">
        <v>7</v>
      </c>
      <c r="M219" s="31">
        <f>VLOOKUP(I219,PGStock[],6,FALSE)</f>
        <v>150</v>
      </c>
      <c r="N219" s="31">
        <f>+Table8[[#This Row],[SalesBot]]*Table8[[#This Row],[Bonus]]</f>
        <v>1050</v>
      </c>
    </row>
    <row r="220" spans="1:14" ht="23.25" customHeight="1" x14ac:dyDescent="0.25">
      <c r="A220" s="26">
        <f t="shared" si="29"/>
        <v>2026</v>
      </c>
      <c r="B220" s="26">
        <f t="shared" si="30"/>
        <v>3</v>
      </c>
      <c r="C220" s="20">
        <v>46084</v>
      </c>
      <c r="D220" s="21" t="s">
        <v>165</v>
      </c>
      <c r="E220" s="27" t="s">
        <v>231</v>
      </c>
      <c r="F220" s="23" t="str">
        <f>VLOOKUP(E220,Customers[],2,FALSE)</f>
        <v>BB</v>
      </c>
      <c r="G220" s="23" t="str">
        <f>VLOOKUP(E220,Customers[],3,FALSE)</f>
        <v>စက်မှု့ဇုန်</v>
      </c>
      <c r="H220" s="23" t="str">
        <f>VLOOKUP(E220,Customers[],4,FALSE)</f>
        <v>မိတ္ထီလာ</v>
      </c>
      <c r="I220" s="28" t="s">
        <v>151</v>
      </c>
      <c r="J220" s="29" t="str">
        <f>VLOOKUP(I220,PGStock[],2,FALSE)</f>
        <v>Ngwe Taung  700ml</v>
      </c>
      <c r="K220" s="30">
        <f>VLOOKUP(I220,PGStock[],3,FALSE)</f>
        <v>0.7</v>
      </c>
      <c r="L220" s="104">
        <v>10</v>
      </c>
      <c r="M220" s="31">
        <f>VLOOKUP(I220,PGStock[],6,FALSE)</f>
        <v>150</v>
      </c>
      <c r="N220" s="31">
        <f>+Table8[[#This Row],[SalesBot]]*Table8[[#This Row],[Bonus]]</f>
        <v>1500</v>
      </c>
    </row>
    <row r="221" spans="1:14" ht="23.25" customHeight="1" x14ac:dyDescent="0.25">
      <c r="A221" s="26">
        <f t="shared" si="29"/>
        <v>2026</v>
      </c>
      <c r="B221" s="26">
        <f t="shared" si="30"/>
        <v>3</v>
      </c>
      <c r="C221" s="20">
        <v>46084</v>
      </c>
      <c r="D221" s="21" t="s">
        <v>261</v>
      </c>
      <c r="E221" s="1" t="s">
        <v>86</v>
      </c>
      <c r="F221" s="23" t="str">
        <f>VLOOKUP(E221,Customers[],2,FALSE)</f>
        <v>Liquar House</v>
      </c>
      <c r="G221" s="23" t="str">
        <f>VLOOKUP(E221,Customers[],3,FALSE)</f>
        <v>စက်မှု့ဇုန်</v>
      </c>
      <c r="H221" s="23" t="str">
        <f>VLOOKUP(E221,Customers[],4,FALSE)</f>
        <v>မိတ္ထီလာ</v>
      </c>
      <c r="I221" s="28" t="s">
        <v>151</v>
      </c>
      <c r="J221" s="29" t="str">
        <f>VLOOKUP(I221,PGStock[],2,FALSE)</f>
        <v>Ngwe Taung  700ml</v>
      </c>
      <c r="K221" s="30">
        <f>VLOOKUP(I221,PGStock[],3,FALSE)</f>
        <v>0.7</v>
      </c>
      <c r="L221" s="104">
        <v>5</v>
      </c>
      <c r="M221" s="31">
        <f>VLOOKUP(I221,PGStock[],6,FALSE)</f>
        <v>150</v>
      </c>
      <c r="N221" s="31">
        <f>+Table8[[#This Row],[SalesBot]]*Table8[[#This Row],[Bonus]]</f>
        <v>750</v>
      </c>
    </row>
    <row r="222" spans="1:14" ht="23.25" customHeight="1" x14ac:dyDescent="0.25">
      <c r="A222" s="26">
        <f t="shared" si="29"/>
        <v>2026</v>
      </c>
      <c r="B222" s="26">
        <f t="shared" si="30"/>
        <v>3</v>
      </c>
      <c r="C222" s="20">
        <v>46084</v>
      </c>
      <c r="D222" s="21" t="s">
        <v>263</v>
      </c>
      <c r="E222" s="27" t="s">
        <v>81</v>
      </c>
      <c r="F222" s="23" t="str">
        <f>VLOOKUP(E222,Customers[],2,FALSE)</f>
        <v>ဟိဏ်းထက်</v>
      </c>
      <c r="G222" s="23" t="str">
        <f>VLOOKUP(E222,Customers[],3,FALSE)</f>
        <v>စက်မှု့ဇုန်</v>
      </c>
      <c r="H222" s="23" t="str">
        <f>VLOOKUP(E222,Customers[],4,FALSE)</f>
        <v>မိတ္ထီလာ</v>
      </c>
      <c r="I222" s="28" t="s">
        <v>151</v>
      </c>
      <c r="J222" s="29" t="str">
        <f>VLOOKUP(I222,PGStock[],2,FALSE)</f>
        <v>Ngwe Taung  700ml</v>
      </c>
      <c r="K222" s="30">
        <f>VLOOKUP(I222,PGStock[],3,FALSE)</f>
        <v>0.7</v>
      </c>
      <c r="L222" s="104">
        <v>9</v>
      </c>
      <c r="M222" s="31">
        <f>VLOOKUP(I222,PGStock[],6,FALSE)</f>
        <v>150</v>
      </c>
      <c r="N222" s="31">
        <f>+Table8[[#This Row],[SalesBot]]*Table8[[#This Row],[Bonus]]</f>
        <v>1350</v>
      </c>
    </row>
    <row r="223" spans="1:14" ht="23.25" customHeight="1" x14ac:dyDescent="0.25">
      <c r="A223" s="26">
        <f t="shared" si="29"/>
        <v>2026</v>
      </c>
      <c r="B223" s="26">
        <f t="shared" si="30"/>
        <v>3</v>
      </c>
      <c r="C223" s="20">
        <v>46084</v>
      </c>
      <c r="D223" s="21" t="s">
        <v>265</v>
      </c>
      <c r="E223" s="27" t="s">
        <v>95</v>
      </c>
      <c r="F223" s="23" t="str">
        <f>VLOOKUP(E223,Customers[],2,FALSE)</f>
        <v>စိန်ခြယ်</v>
      </c>
      <c r="G223" s="23" t="str">
        <f>VLOOKUP(E223,Customers[],3,FALSE)</f>
        <v>ညောင်အိုင့်</v>
      </c>
      <c r="H223" s="23" t="str">
        <f>VLOOKUP(E223,Customers[],4,FALSE)</f>
        <v>မိတ္ထီလာ</v>
      </c>
      <c r="I223" s="28" t="s">
        <v>151</v>
      </c>
      <c r="J223" s="29" t="str">
        <f>VLOOKUP(I223,PGStock[],2,FALSE)</f>
        <v>Ngwe Taung  700ml</v>
      </c>
      <c r="K223" s="30">
        <f>VLOOKUP(I223,PGStock[],3,FALSE)</f>
        <v>0.7</v>
      </c>
      <c r="L223" s="104">
        <v>6</v>
      </c>
      <c r="M223" s="31">
        <f>VLOOKUP(I223,PGStock[],6,FALSE)</f>
        <v>150</v>
      </c>
      <c r="N223" s="31">
        <f>+Table8[[#This Row],[SalesBot]]*Table8[[#This Row],[Bonus]]</f>
        <v>900</v>
      </c>
    </row>
    <row r="224" spans="1:14" ht="23.25" customHeight="1" x14ac:dyDescent="0.25">
      <c r="A224" s="26">
        <f t="shared" si="29"/>
        <v>2026</v>
      </c>
      <c r="B224" s="26">
        <f t="shared" si="30"/>
        <v>3</v>
      </c>
      <c r="C224" s="20">
        <v>46085</v>
      </c>
      <c r="D224" s="21" t="s">
        <v>78</v>
      </c>
      <c r="E224" s="27" t="s">
        <v>89</v>
      </c>
      <c r="F224" s="23" t="str">
        <f>VLOOKUP(E224,Customers[],2,FALSE)</f>
        <v>ရွှေလွန်းပျံ</v>
      </c>
      <c r="G224" s="23" t="str">
        <f>VLOOKUP(E224,Customers[],3,FALSE)</f>
        <v>စက်မှု့ဇုန်</v>
      </c>
      <c r="H224" s="23" t="str">
        <f>VLOOKUP(E224,Customers[],4,FALSE)</f>
        <v>မိတ္ထီလာ</v>
      </c>
      <c r="I224" s="28" t="s">
        <v>151</v>
      </c>
      <c r="J224" s="29" t="str">
        <f>VLOOKUP(I224,PGStock[],2,FALSE)</f>
        <v>Ngwe Taung  700ml</v>
      </c>
      <c r="K224" s="30">
        <f>VLOOKUP(I224,PGStock[],3,FALSE)</f>
        <v>0.7</v>
      </c>
      <c r="L224" s="104">
        <v>15</v>
      </c>
      <c r="M224" s="31">
        <f>VLOOKUP(I224,PGStock[],6,FALSE)</f>
        <v>150</v>
      </c>
      <c r="N224" s="31">
        <f>+Table8[[#This Row],[SalesBot]]*Table8[[#This Row],[Bonus]]</f>
        <v>2250</v>
      </c>
    </row>
    <row r="225" spans="1:14" ht="23.25" customHeight="1" x14ac:dyDescent="0.25">
      <c r="A225" s="26">
        <f t="shared" si="29"/>
        <v>2026</v>
      </c>
      <c r="B225" s="26">
        <f t="shared" si="30"/>
        <v>3</v>
      </c>
      <c r="C225" s="20">
        <v>46085</v>
      </c>
      <c r="D225" s="21" t="s">
        <v>166</v>
      </c>
      <c r="E225" s="27" t="s">
        <v>87</v>
      </c>
      <c r="F225" s="23" t="str">
        <f>VLOOKUP(E225,Customers[],2,FALSE)</f>
        <v>PTK</v>
      </c>
      <c r="G225" s="23" t="str">
        <f>VLOOKUP(E225,Customers[],3,FALSE)</f>
        <v>စက်မှု့ဇုန်</v>
      </c>
      <c r="H225" s="23" t="str">
        <f>VLOOKUP(E225,Customers[],4,FALSE)</f>
        <v>မိတ္ထီလာ</v>
      </c>
      <c r="I225" s="28" t="s">
        <v>151</v>
      </c>
      <c r="J225" s="29" t="str">
        <f>VLOOKUP(I225,PGStock[],2,FALSE)</f>
        <v>Ngwe Taung  700ml</v>
      </c>
      <c r="K225" s="30">
        <f>VLOOKUP(I225,PGStock[],3,FALSE)</f>
        <v>0.7</v>
      </c>
      <c r="L225" s="104">
        <v>4</v>
      </c>
      <c r="M225" s="31">
        <f>VLOOKUP(I225,PGStock[],6,FALSE)</f>
        <v>150</v>
      </c>
      <c r="N225" s="31">
        <f>+Table8[[#This Row],[SalesBot]]*Table8[[#This Row],[Bonus]]</f>
        <v>600</v>
      </c>
    </row>
    <row r="226" spans="1:14" ht="23.25" customHeight="1" x14ac:dyDescent="0.25">
      <c r="A226" s="26">
        <f t="shared" si="29"/>
        <v>2026</v>
      </c>
      <c r="B226" s="26">
        <f t="shared" si="30"/>
        <v>3</v>
      </c>
      <c r="C226" s="20">
        <v>46085</v>
      </c>
      <c r="D226" s="21" t="s">
        <v>165</v>
      </c>
      <c r="E226" s="27" t="s">
        <v>231</v>
      </c>
      <c r="F226" s="23" t="str">
        <f>VLOOKUP(E226,Customers[],2,FALSE)</f>
        <v>BB</v>
      </c>
      <c r="G226" s="23" t="str">
        <f>VLOOKUP(E226,Customers[],3,FALSE)</f>
        <v>စက်မှု့ဇုန်</v>
      </c>
      <c r="H226" s="23" t="str">
        <f>VLOOKUP(E226,Customers[],4,FALSE)</f>
        <v>မိတ္ထီလာ</v>
      </c>
      <c r="I226" s="28" t="s">
        <v>151</v>
      </c>
      <c r="J226" s="29" t="str">
        <f>VLOOKUP(I226,PGStock[],2,FALSE)</f>
        <v>Ngwe Taung  700ml</v>
      </c>
      <c r="K226" s="30">
        <f>VLOOKUP(I226,PGStock[],3,FALSE)</f>
        <v>0.7</v>
      </c>
      <c r="L226" s="104">
        <v>5</v>
      </c>
      <c r="M226" s="31">
        <f>VLOOKUP(I226,PGStock[],6,FALSE)</f>
        <v>150</v>
      </c>
      <c r="N226" s="31">
        <f>+Table8[[#This Row],[SalesBot]]*Table8[[#This Row],[Bonus]]</f>
        <v>750</v>
      </c>
    </row>
    <row r="227" spans="1:14" ht="23.25" customHeight="1" x14ac:dyDescent="0.25">
      <c r="A227" s="26">
        <f t="shared" si="29"/>
        <v>2026</v>
      </c>
      <c r="B227" s="26">
        <f t="shared" si="30"/>
        <v>3</v>
      </c>
      <c r="C227" s="20">
        <v>46085</v>
      </c>
      <c r="D227" s="21" t="s">
        <v>261</v>
      </c>
      <c r="E227" s="27" t="s">
        <v>86</v>
      </c>
      <c r="F227" s="23" t="str">
        <f>VLOOKUP(E227,Customers[],2,FALSE)</f>
        <v>Liquar House</v>
      </c>
      <c r="G227" s="23" t="str">
        <f>VLOOKUP(E227,Customers[],3,FALSE)</f>
        <v>စက်မှု့ဇုန်</v>
      </c>
      <c r="H227" s="23" t="str">
        <f>VLOOKUP(E227,Customers[],4,FALSE)</f>
        <v>မိတ္ထီလာ</v>
      </c>
      <c r="I227" s="28" t="s">
        <v>151</v>
      </c>
      <c r="J227" s="29" t="str">
        <f>VLOOKUP(I227,PGStock[],2,FALSE)</f>
        <v>Ngwe Taung  700ml</v>
      </c>
      <c r="K227" s="30">
        <f>VLOOKUP(I227,PGStock[],3,FALSE)</f>
        <v>0.7</v>
      </c>
      <c r="L227" s="104">
        <v>3</v>
      </c>
      <c r="M227" s="31">
        <f>VLOOKUP(I227,PGStock[],6,FALSE)</f>
        <v>150</v>
      </c>
      <c r="N227" s="31">
        <f>+Table8[[#This Row],[SalesBot]]*Table8[[#This Row],[Bonus]]</f>
        <v>450</v>
      </c>
    </row>
    <row r="228" spans="1:14" ht="23.25" customHeight="1" x14ac:dyDescent="0.25">
      <c r="A228" s="26">
        <f t="shared" ref="A228:A242" si="31">YEAR(C228)</f>
        <v>2026</v>
      </c>
      <c r="B228" s="26">
        <f t="shared" ref="B228:B242" si="32">MONTH(C228)</f>
        <v>3</v>
      </c>
      <c r="C228" s="20">
        <v>46085</v>
      </c>
      <c r="D228" s="21" t="s">
        <v>263</v>
      </c>
      <c r="E228" s="27" t="s">
        <v>81</v>
      </c>
      <c r="F228" s="23" t="str">
        <f>VLOOKUP(E228,Customers[],2,FALSE)</f>
        <v>ဟိဏ်းထက်</v>
      </c>
      <c r="G228" s="23" t="str">
        <f>VLOOKUP(E228,Customers[],3,FALSE)</f>
        <v>စက်မှု့ဇုန်</v>
      </c>
      <c r="H228" s="23" t="str">
        <f>VLOOKUP(E228,Customers[],4,FALSE)</f>
        <v>မိတ္ထီလာ</v>
      </c>
      <c r="I228" s="28" t="s">
        <v>151</v>
      </c>
      <c r="J228" s="29" t="str">
        <f>VLOOKUP(I228,PGStock[],2,FALSE)</f>
        <v>Ngwe Taung  700ml</v>
      </c>
      <c r="K228" s="30">
        <f>VLOOKUP(I228,PGStock[],3,FALSE)</f>
        <v>0.7</v>
      </c>
      <c r="L228" s="104">
        <v>2</v>
      </c>
      <c r="M228" s="31">
        <f>VLOOKUP(I228,PGStock[],6,FALSE)</f>
        <v>150</v>
      </c>
      <c r="N228" s="31">
        <f>+Table8[[#This Row],[SalesBot]]*Table8[[#This Row],[Bonus]]</f>
        <v>300</v>
      </c>
    </row>
    <row r="229" spans="1:14" ht="23.25" customHeight="1" x14ac:dyDescent="0.25">
      <c r="A229" s="26">
        <f t="shared" si="31"/>
        <v>2026</v>
      </c>
      <c r="B229" s="26">
        <f t="shared" si="32"/>
        <v>3</v>
      </c>
      <c r="C229" s="20">
        <v>46085</v>
      </c>
      <c r="D229" s="21" t="s">
        <v>265</v>
      </c>
      <c r="E229" s="27" t="s">
        <v>95</v>
      </c>
      <c r="F229" s="23" t="str">
        <f>VLOOKUP(E229,Customers[],2,FALSE)</f>
        <v>စိန်ခြယ်</v>
      </c>
      <c r="G229" s="23" t="str">
        <f>VLOOKUP(E229,Customers[],3,FALSE)</f>
        <v>ညောင်အိုင့်</v>
      </c>
      <c r="H229" s="23" t="str">
        <f>VLOOKUP(E229,Customers[],4,FALSE)</f>
        <v>မိတ္ထီလာ</v>
      </c>
      <c r="I229" s="28" t="s">
        <v>151</v>
      </c>
      <c r="J229" s="29" t="str">
        <f>VLOOKUP(I229,PGStock[],2,FALSE)</f>
        <v>Ngwe Taung  700ml</v>
      </c>
      <c r="K229" s="30">
        <f>VLOOKUP(I229,PGStock[],3,FALSE)</f>
        <v>0.7</v>
      </c>
      <c r="L229" s="104">
        <v>2</v>
      </c>
      <c r="M229" s="31">
        <f>VLOOKUP(I229,PGStock[],6,FALSE)</f>
        <v>150</v>
      </c>
      <c r="N229" s="31">
        <f>+Table8[[#This Row],[SalesBot]]*Table8[[#This Row],[Bonus]]</f>
        <v>300</v>
      </c>
    </row>
    <row r="230" spans="1:14" ht="23.25" customHeight="1" x14ac:dyDescent="0.25">
      <c r="A230" s="26">
        <f t="shared" si="31"/>
        <v>2026</v>
      </c>
      <c r="B230" s="26">
        <f t="shared" si="32"/>
        <v>3</v>
      </c>
      <c r="C230" s="20">
        <v>46086</v>
      </c>
      <c r="D230" s="21" t="s">
        <v>78</v>
      </c>
      <c r="E230" s="27" t="s">
        <v>87</v>
      </c>
      <c r="F230" s="23" t="str">
        <f>VLOOKUP(E230,Customers[],2,FALSE)</f>
        <v>PTK</v>
      </c>
      <c r="G230" s="23" t="str">
        <f>VLOOKUP(E230,Customers[],3,FALSE)</f>
        <v>စက်မှု့ဇုန်</v>
      </c>
      <c r="H230" s="23" t="str">
        <f>VLOOKUP(E230,Customers[],4,FALSE)</f>
        <v>မိတ္ထီလာ</v>
      </c>
      <c r="I230" s="28" t="s">
        <v>151</v>
      </c>
      <c r="J230" s="29" t="str">
        <f>VLOOKUP(I230,PGStock[],2,FALSE)</f>
        <v>Ngwe Taung  700ml</v>
      </c>
      <c r="K230" s="30">
        <f>VLOOKUP(I230,PGStock[],3,FALSE)</f>
        <v>0.7</v>
      </c>
      <c r="L230" s="104">
        <v>4</v>
      </c>
      <c r="M230" s="31">
        <f>VLOOKUP(I230,PGStock[],6,FALSE)</f>
        <v>150</v>
      </c>
      <c r="N230" s="31">
        <f>+Table8[[#This Row],[SalesBot]]*Table8[[#This Row],[Bonus]]</f>
        <v>600</v>
      </c>
    </row>
    <row r="231" spans="1:14" ht="23.25" customHeight="1" x14ac:dyDescent="0.25">
      <c r="A231" s="26">
        <f t="shared" si="31"/>
        <v>2026</v>
      </c>
      <c r="B231" s="26">
        <f t="shared" si="32"/>
        <v>3</v>
      </c>
      <c r="C231" s="20">
        <v>46086</v>
      </c>
      <c r="D231" s="21" t="s">
        <v>165</v>
      </c>
      <c r="E231" s="27" t="s">
        <v>231</v>
      </c>
      <c r="F231" s="23" t="str">
        <f>VLOOKUP(E231,Customers[],2,FALSE)</f>
        <v>BB</v>
      </c>
      <c r="G231" s="23" t="str">
        <f>VLOOKUP(E231,Customers[],3,FALSE)</f>
        <v>စက်မှု့ဇုန်</v>
      </c>
      <c r="H231" s="23" t="str">
        <f>VLOOKUP(E231,Customers[],4,FALSE)</f>
        <v>မိတ္ထီလာ</v>
      </c>
      <c r="I231" s="28" t="s">
        <v>151</v>
      </c>
      <c r="J231" s="29" t="str">
        <f>VLOOKUP(I231,PGStock[],2,FALSE)</f>
        <v>Ngwe Taung  700ml</v>
      </c>
      <c r="K231" s="30">
        <f>VLOOKUP(I231,PGStock[],3,FALSE)</f>
        <v>0.7</v>
      </c>
      <c r="L231" s="104">
        <v>6</v>
      </c>
      <c r="M231" s="31">
        <f>VLOOKUP(I231,PGStock[],6,FALSE)</f>
        <v>150</v>
      </c>
      <c r="N231" s="31">
        <f>+Table8[[#This Row],[SalesBot]]*Table8[[#This Row],[Bonus]]</f>
        <v>900</v>
      </c>
    </row>
    <row r="232" spans="1:14" ht="23.25" customHeight="1" x14ac:dyDescent="0.25">
      <c r="A232" s="26">
        <f t="shared" si="31"/>
        <v>2026</v>
      </c>
      <c r="B232" s="26">
        <f t="shared" si="32"/>
        <v>3</v>
      </c>
      <c r="C232" s="20">
        <v>46086</v>
      </c>
      <c r="D232" s="21" t="s">
        <v>261</v>
      </c>
      <c r="E232" s="27" t="s">
        <v>86</v>
      </c>
      <c r="F232" s="23" t="str">
        <f>VLOOKUP(E232,Customers[],2,FALSE)</f>
        <v>Liquar House</v>
      </c>
      <c r="G232" s="23" t="str">
        <f>VLOOKUP(E232,Customers[],3,FALSE)</f>
        <v>စက်မှု့ဇုန်</v>
      </c>
      <c r="H232" s="23" t="str">
        <f>VLOOKUP(E232,Customers[],4,FALSE)</f>
        <v>မိတ္ထီလာ</v>
      </c>
      <c r="I232" s="28" t="s">
        <v>151</v>
      </c>
      <c r="J232" s="29" t="str">
        <f>VLOOKUP(I232,PGStock[],2,FALSE)</f>
        <v>Ngwe Taung  700ml</v>
      </c>
      <c r="K232" s="30">
        <f>VLOOKUP(I232,PGStock[],3,FALSE)</f>
        <v>0.7</v>
      </c>
      <c r="L232" s="104">
        <v>2</v>
      </c>
      <c r="M232" s="31">
        <f>VLOOKUP(I232,PGStock[],6,FALSE)</f>
        <v>150</v>
      </c>
      <c r="N232" s="31">
        <f>+Table8[[#This Row],[SalesBot]]*Table8[[#This Row],[Bonus]]</f>
        <v>300</v>
      </c>
    </row>
    <row r="233" spans="1:14" ht="23.25" customHeight="1" x14ac:dyDescent="0.25">
      <c r="A233" s="26">
        <f t="shared" si="31"/>
        <v>2026</v>
      </c>
      <c r="B233" s="26">
        <f t="shared" si="32"/>
        <v>3</v>
      </c>
      <c r="C233" s="20">
        <v>46086</v>
      </c>
      <c r="D233" s="21" t="s">
        <v>263</v>
      </c>
      <c r="E233" s="27" t="s">
        <v>81</v>
      </c>
      <c r="F233" s="23" t="str">
        <f>VLOOKUP(E233,Customers[],2,FALSE)</f>
        <v>ဟိဏ်းထက်</v>
      </c>
      <c r="G233" s="23" t="str">
        <f>VLOOKUP(E233,Customers[],3,FALSE)</f>
        <v>စက်မှု့ဇုန်</v>
      </c>
      <c r="H233" s="23" t="str">
        <f>VLOOKUP(E233,Customers[],4,FALSE)</f>
        <v>မိတ္ထီလာ</v>
      </c>
      <c r="I233" s="28" t="s">
        <v>151</v>
      </c>
      <c r="J233" s="29" t="str">
        <f>VLOOKUP(I233,PGStock[],2,FALSE)</f>
        <v>Ngwe Taung  700ml</v>
      </c>
      <c r="K233" s="30">
        <f>VLOOKUP(I233,PGStock[],3,FALSE)</f>
        <v>0.7</v>
      </c>
      <c r="L233" s="104">
        <v>2</v>
      </c>
      <c r="M233" s="31">
        <f>VLOOKUP(I233,PGStock[],6,FALSE)</f>
        <v>150</v>
      </c>
      <c r="N233" s="31">
        <f>+Table8[[#This Row],[SalesBot]]*Table8[[#This Row],[Bonus]]</f>
        <v>300</v>
      </c>
    </row>
    <row r="234" spans="1:14" ht="23.25" customHeight="1" x14ac:dyDescent="0.25">
      <c r="A234" s="26">
        <f t="shared" si="31"/>
        <v>2026</v>
      </c>
      <c r="B234" s="26">
        <f t="shared" si="32"/>
        <v>3</v>
      </c>
      <c r="C234" s="20">
        <v>46086</v>
      </c>
      <c r="D234" s="21" t="s">
        <v>265</v>
      </c>
      <c r="E234" s="27" t="s">
        <v>95</v>
      </c>
      <c r="F234" s="23" t="str">
        <f>VLOOKUP(E234,Customers[],2,FALSE)</f>
        <v>စိန်ခြယ်</v>
      </c>
      <c r="G234" s="23" t="str">
        <f>VLOOKUP(E234,Customers[],3,FALSE)</f>
        <v>ညောင်အိုင့်</v>
      </c>
      <c r="H234" s="23" t="str">
        <f>VLOOKUP(E234,Customers[],4,FALSE)</f>
        <v>မိတ္ထီလာ</v>
      </c>
      <c r="I234" s="28" t="s">
        <v>151</v>
      </c>
      <c r="J234" s="29" t="str">
        <f>VLOOKUP(I234,PGStock[],2,FALSE)</f>
        <v>Ngwe Taung  700ml</v>
      </c>
      <c r="K234" s="30">
        <f>VLOOKUP(I234,PGStock[],3,FALSE)</f>
        <v>0.7</v>
      </c>
      <c r="L234" s="104">
        <v>4</v>
      </c>
      <c r="M234" s="31">
        <f>VLOOKUP(I234,PGStock[],6,FALSE)</f>
        <v>150</v>
      </c>
      <c r="N234" s="31">
        <f>+Table8[[#This Row],[SalesBot]]*Table8[[#This Row],[Bonus]]</f>
        <v>600</v>
      </c>
    </row>
    <row r="235" spans="1:14" ht="23.25" customHeight="1" x14ac:dyDescent="0.25">
      <c r="A235" s="26">
        <f t="shared" si="31"/>
        <v>2026</v>
      </c>
      <c r="B235" s="26">
        <f t="shared" si="32"/>
        <v>3</v>
      </c>
      <c r="C235" s="20">
        <v>46086</v>
      </c>
      <c r="D235" s="21" t="s">
        <v>166</v>
      </c>
      <c r="E235" s="27" t="s">
        <v>89</v>
      </c>
      <c r="F235" s="23" t="str">
        <f>VLOOKUP(E235,Customers[],2,FALSE)</f>
        <v>ရွှေလွန်းပျံ</v>
      </c>
      <c r="G235" s="23" t="str">
        <f>VLOOKUP(E235,Customers[],3,FALSE)</f>
        <v>စက်မှု့ဇုန်</v>
      </c>
      <c r="H235" s="23" t="str">
        <f>VLOOKUP(E235,Customers[],4,FALSE)</f>
        <v>မိတ္ထီလာ</v>
      </c>
      <c r="I235" s="28" t="s">
        <v>151</v>
      </c>
      <c r="J235" s="29" t="str">
        <f>VLOOKUP(I235,PGStock[],2,FALSE)</f>
        <v>Ngwe Taung  700ml</v>
      </c>
      <c r="K235" s="30">
        <f>VLOOKUP(I235,PGStock[],3,FALSE)</f>
        <v>0.7</v>
      </c>
      <c r="L235" s="104">
        <v>4</v>
      </c>
      <c r="M235" s="31">
        <f>VLOOKUP(I235,PGStock[],6,FALSE)</f>
        <v>150</v>
      </c>
      <c r="N235" s="31">
        <f>+Table8[[#This Row],[SalesBot]]*Table8[[#This Row],[Bonus]]</f>
        <v>600</v>
      </c>
    </row>
    <row r="236" spans="1:14" ht="23.25" customHeight="1" x14ac:dyDescent="0.25">
      <c r="A236" s="26">
        <f t="shared" si="31"/>
        <v>2026</v>
      </c>
      <c r="B236" s="26">
        <f t="shared" si="32"/>
        <v>3</v>
      </c>
      <c r="C236" s="20">
        <v>46087</v>
      </c>
      <c r="D236" s="21" t="s">
        <v>78</v>
      </c>
      <c r="E236" s="27" t="s">
        <v>87</v>
      </c>
      <c r="F236" s="23" t="str">
        <f>VLOOKUP(E236,Customers[],2,FALSE)</f>
        <v>PTK</v>
      </c>
      <c r="G236" s="23" t="str">
        <f>VLOOKUP(E236,Customers[],3,FALSE)</f>
        <v>စက်မှု့ဇုန်</v>
      </c>
      <c r="H236" s="23" t="str">
        <f>VLOOKUP(E236,Customers[],4,FALSE)</f>
        <v>မိတ္ထီလာ</v>
      </c>
      <c r="I236" s="28" t="s">
        <v>151</v>
      </c>
      <c r="J236" s="29" t="str">
        <f>VLOOKUP(I236,PGStock[],2,FALSE)</f>
        <v>Ngwe Taung  700ml</v>
      </c>
      <c r="K236" s="30">
        <f>VLOOKUP(I236,PGStock[],3,FALSE)</f>
        <v>0.7</v>
      </c>
      <c r="L236" s="104">
        <v>4</v>
      </c>
      <c r="M236" s="31">
        <f>VLOOKUP(I236,PGStock[],6,FALSE)</f>
        <v>150</v>
      </c>
      <c r="N236" s="31">
        <f>+Table8[[#This Row],[SalesBot]]*Table8[[#This Row],[Bonus]]</f>
        <v>600</v>
      </c>
    </row>
    <row r="237" spans="1:14" ht="23.25" customHeight="1" x14ac:dyDescent="0.25">
      <c r="A237" s="26">
        <f t="shared" si="31"/>
        <v>2026</v>
      </c>
      <c r="B237" s="26">
        <f t="shared" si="32"/>
        <v>3</v>
      </c>
      <c r="C237" s="20">
        <v>46087</v>
      </c>
      <c r="D237" s="21" t="s">
        <v>166</v>
      </c>
      <c r="E237" s="27" t="s">
        <v>89</v>
      </c>
      <c r="F237" s="23" t="str">
        <f>VLOOKUP(E237,Customers[],2,FALSE)</f>
        <v>ရွှေလွန်းပျံ</v>
      </c>
      <c r="G237" s="23" t="str">
        <f>VLOOKUP(E237,Customers[],3,FALSE)</f>
        <v>စက်မှု့ဇုန်</v>
      </c>
      <c r="H237" s="23" t="str">
        <f>VLOOKUP(E237,Customers[],4,FALSE)</f>
        <v>မိတ္ထီလာ</v>
      </c>
      <c r="I237" s="28" t="s">
        <v>151</v>
      </c>
      <c r="J237" s="29" t="str">
        <f>VLOOKUP(I237,PGStock[],2,FALSE)</f>
        <v>Ngwe Taung  700ml</v>
      </c>
      <c r="K237" s="30">
        <f>VLOOKUP(I237,PGStock[],3,FALSE)</f>
        <v>0.7</v>
      </c>
      <c r="L237" s="104">
        <v>10</v>
      </c>
      <c r="M237" s="31">
        <f>VLOOKUP(I237,PGStock[],6,FALSE)</f>
        <v>150</v>
      </c>
      <c r="N237" s="31">
        <f>+Table8[[#This Row],[SalesBot]]*Table8[[#This Row],[Bonus]]</f>
        <v>1500</v>
      </c>
    </row>
    <row r="238" spans="1:14" ht="23.25" customHeight="1" x14ac:dyDescent="0.25">
      <c r="A238" s="26">
        <f t="shared" si="31"/>
        <v>2026</v>
      </c>
      <c r="B238" s="26">
        <f t="shared" si="32"/>
        <v>3</v>
      </c>
      <c r="C238" s="20">
        <v>46087</v>
      </c>
      <c r="D238" s="21" t="s">
        <v>165</v>
      </c>
      <c r="E238" s="27" t="s">
        <v>231</v>
      </c>
      <c r="F238" s="23" t="str">
        <f>VLOOKUP(E238,Customers[],2,FALSE)</f>
        <v>BB</v>
      </c>
      <c r="G238" s="23" t="str">
        <f>VLOOKUP(E238,Customers[],3,FALSE)</f>
        <v>စက်မှု့ဇုန်</v>
      </c>
      <c r="H238" s="23" t="str">
        <f>VLOOKUP(E238,Customers[],4,FALSE)</f>
        <v>မိတ္ထီလာ</v>
      </c>
      <c r="I238" s="28" t="s">
        <v>151</v>
      </c>
      <c r="J238" s="29" t="str">
        <f>VLOOKUP(I238,PGStock[],2,FALSE)</f>
        <v>Ngwe Taung  700ml</v>
      </c>
      <c r="K238" s="30">
        <f>VLOOKUP(I238,PGStock[],3,FALSE)</f>
        <v>0.7</v>
      </c>
      <c r="L238" s="104">
        <v>2</v>
      </c>
      <c r="M238" s="31">
        <f>VLOOKUP(I238,PGStock[],6,FALSE)</f>
        <v>150</v>
      </c>
      <c r="N238" s="31">
        <f>+Table8[[#This Row],[SalesBot]]*Table8[[#This Row],[Bonus]]</f>
        <v>300</v>
      </c>
    </row>
    <row r="239" spans="1:14" ht="23.25" customHeight="1" x14ac:dyDescent="0.25">
      <c r="A239" s="26">
        <f t="shared" si="31"/>
        <v>2026</v>
      </c>
      <c r="B239" s="26">
        <f t="shared" si="32"/>
        <v>3</v>
      </c>
      <c r="C239" s="20">
        <v>46087</v>
      </c>
      <c r="D239" s="21" t="s">
        <v>261</v>
      </c>
      <c r="E239" s="27" t="s">
        <v>86</v>
      </c>
      <c r="F239" s="23" t="str">
        <f>VLOOKUP(E239,Customers[],2,FALSE)</f>
        <v>Liquar House</v>
      </c>
      <c r="G239" s="23" t="str">
        <f>VLOOKUP(E239,Customers[],3,FALSE)</f>
        <v>စက်မှု့ဇုန်</v>
      </c>
      <c r="H239" s="23" t="str">
        <f>VLOOKUP(E239,Customers[],4,FALSE)</f>
        <v>မိတ္ထီလာ</v>
      </c>
      <c r="I239" s="28" t="s">
        <v>151</v>
      </c>
      <c r="J239" s="29" t="str">
        <f>VLOOKUP(I239,PGStock[],2,FALSE)</f>
        <v>Ngwe Taung  700ml</v>
      </c>
      <c r="K239" s="30">
        <f>VLOOKUP(I239,PGStock[],3,FALSE)</f>
        <v>0.7</v>
      </c>
      <c r="L239" s="104">
        <v>4</v>
      </c>
      <c r="M239" s="31">
        <f>VLOOKUP(I239,PGStock[],6,FALSE)</f>
        <v>150</v>
      </c>
      <c r="N239" s="31">
        <f>+Table8[[#This Row],[SalesBot]]*Table8[[#This Row],[Bonus]]</f>
        <v>600</v>
      </c>
    </row>
    <row r="240" spans="1:14" ht="23.25" customHeight="1" x14ac:dyDescent="0.25">
      <c r="A240" s="26">
        <f t="shared" si="31"/>
        <v>2026</v>
      </c>
      <c r="B240" s="26">
        <f t="shared" si="32"/>
        <v>3</v>
      </c>
      <c r="C240" s="20">
        <v>46087</v>
      </c>
      <c r="D240" s="21" t="s">
        <v>263</v>
      </c>
      <c r="E240" s="27" t="s">
        <v>81</v>
      </c>
      <c r="F240" s="23" t="str">
        <f>VLOOKUP(E240,Customers[],2,FALSE)</f>
        <v>ဟိဏ်းထက်</v>
      </c>
      <c r="G240" s="23" t="str">
        <f>VLOOKUP(E240,Customers[],3,FALSE)</f>
        <v>စက်မှု့ဇုန်</v>
      </c>
      <c r="H240" s="23" t="str">
        <f>VLOOKUP(E240,Customers[],4,FALSE)</f>
        <v>မိတ္ထီလာ</v>
      </c>
      <c r="I240" s="28" t="s">
        <v>151</v>
      </c>
      <c r="J240" s="29" t="str">
        <f>VLOOKUP(I240,PGStock[],2,FALSE)</f>
        <v>Ngwe Taung  700ml</v>
      </c>
      <c r="K240" s="30">
        <f>VLOOKUP(I240,PGStock[],3,FALSE)</f>
        <v>0.7</v>
      </c>
      <c r="L240" s="104">
        <v>3</v>
      </c>
      <c r="M240" s="31">
        <f>VLOOKUP(I240,PGStock[],6,FALSE)</f>
        <v>150</v>
      </c>
      <c r="N240" s="31">
        <f>+Table8[[#This Row],[SalesBot]]*Table8[[#This Row],[Bonus]]</f>
        <v>450</v>
      </c>
    </row>
    <row r="241" spans="1:14" ht="23.25" customHeight="1" x14ac:dyDescent="0.25">
      <c r="A241" s="26">
        <f t="shared" si="31"/>
        <v>2026</v>
      </c>
      <c r="B241" s="26">
        <f t="shared" si="32"/>
        <v>3</v>
      </c>
      <c r="C241" s="20">
        <v>46087</v>
      </c>
      <c r="D241" s="21" t="s">
        <v>265</v>
      </c>
      <c r="E241" s="27" t="s">
        <v>95</v>
      </c>
      <c r="F241" s="23" t="str">
        <f>VLOOKUP(E241,Customers[],2,FALSE)</f>
        <v>စိန်ခြယ်</v>
      </c>
      <c r="G241" s="23" t="str">
        <f>VLOOKUP(E241,Customers[],3,FALSE)</f>
        <v>ညောင်အိုင့်</v>
      </c>
      <c r="H241" s="23" t="str">
        <f>VLOOKUP(E241,Customers[],4,FALSE)</f>
        <v>မိတ္ထီလာ</v>
      </c>
      <c r="I241" s="28" t="s">
        <v>151</v>
      </c>
      <c r="J241" s="29" t="str">
        <f>VLOOKUP(I241,PGStock[],2,FALSE)</f>
        <v>Ngwe Taung  700ml</v>
      </c>
      <c r="K241" s="30">
        <f>VLOOKUP(I241,PGStock[],3,FALSE)</f>
        <v>0.7</v>
      </c>
      <c r="L241" s="104">
        <v>2</v>
      </c>
      <c r="M241" s="31">
        <f>VLOOKUP(I241,PGStock[],6,FALSE)</f>
        <v>150</v>
      </c>
      <c r="N241" s="31">
        <f>+Table8[[#This Row],[SalesBot]]*Table8[[#This Row],[Bonus]]</f>
        <v>300</v>
      </c>
    </row>
    <row r="242" spans="1:14" ht="23.25" customHeight="1" x14ac:dyDescent="0.25">
      <c r="A242" s="26">
        <f t="shared" si="31"/>
        <v>2026</v>
      </c>
      <c r="B242" s="26">
        <f t="shared" si="32"/>
        <v>3</v>
      </c>
      <c r="C242" s="20">
        <v>46088</v>
      </c>
      <c r="D242" s="21" t="s">
        <v>78</v>
      </c>
      <c r="E242" s="27" t="s">
        <v>87</v>
      </c>
      <c r="F242" s="23" t="str">
        <f>VLOOKUP(E242,Customers[],2,FALSE)</f>
        <v>PTK</v>
      </c>
      <c r="G242" s="23" t="str">
        <f>VLOOKUP(E242,Customers[],3,FALSE)</f>
        <v>စက်မှု့ဇုန်</v>
      </c>
      <c r="H242" s="23" t="str">
        <f>VLOOKUP(E242,Customers[],4,FALSE)</f>
        <v>မိတ္ထီလာ</v>
      </c>
      <c r="I242" s="28" t="s">
        <v>151</v>
      </c>
      <c r="J242" s="29" t="str">
        <f>VLOOKUP(I242,PGStock[],2,FALSE)</f>
        <v>Ngwe Taung  700ml</v>
      </c>
      <c r="K242" s="30">
        <f>VLOOKUP(I242,PGStock[],3,FALSE)</f>
        <v>0.7</v>
      </c>
      <c r="L242" s="104">
        <v>8</v>
      </c>
      <c r="M242" s="31">
        <f>VLOOKUP(I242,PGStock[],6,FALSE)</f>
        <v>150</v>
      </c>
      <c r="N242" s="31">
        <f>+Table8[[#This Row],[SalesBot]]*Table8[[#This Row],[Bonus]]</f>
        <v>1200</v>
      </c>
    </row>
    <row r="243" spans="1:14" ht="23.25" customHeight="1" x14ac:dyDescent="0.25">
      <c r="A243" s="26">
        <f t="shared" ref="A243:A252" si="33">YEAR(C243)</f>
        <v>2026</v>
      </c>
      <c r="B243" s="26">
        <f t="shared" ref="B243:B252" si="34">MONTH(C243)</f>
        <v>3</v>
      </c>
      <c r="C243" s="20">
        <v>46088</v>
      </c>
      <c r="D243" s="21" t="s">
        <v>166</v>
      </c>
      <c r="E243" s="27" t="s">
        <v>89</v>
      </c>
      <c r="F243" s="23" t="str">
        <f>VLOOKUP(E243,Customers[],2,FALSE)</f>
        <v>ရွှေလွန်းပျံ</v>
      </c>
      <c r="G243" s="23" t="str">
        <f>VLOOKUP(E243,Customers[],3,FALSE)</f>
        <v>စက်မှု့ဇုန်</v>
      </c>
      <c r="H243" s="23" t="str">
        <f>VLOOKUP(E243,Customers[],4,FALSE)</f>
        <v>မိတ္ထီလာ</v>
      </c>
      <c r="I243" s="28" t="s">
        <v>151</v>
      </c>
      <c r="J243" s="29" t="str">
        <f>VLOOKUP(I243,PGStock[],2,FALSE)</f>
        <v>Ngwe Taung  700ml</v>
      </c>
      <c r="K243" s="30">
        <f>VLOOKUP(I243,PGStock[],3,FALSE)</f>
        <v>0.7</v>
      </c>
      <c r="L243" s="104">
        <v>5</v>
      </c>
      <c r="M243" s="31">
        <f>VLOOKUP(I243,PGStock[],6,FALSE)</f>
        <v>150</v>
      </c>
      <c r="N243" s="31">
        <f>+Table8[[#This Row],[SalesBot]]*Table8[[#This Row],[Bonus]]</f>
        <v>750</v>
      </c>
    </row>
    <row r="244" spans="1:14" ht="23.25" customHeight="1" x14ac:dyDescent="0.25">
      <c r="A244" s="26">
        <f t="shared" si="33"/>
        <v>2026</v>
      </c>
      <c r="B244" s="26">
        <f t="shared" si="34"/>
        <v>3</v>
      </c>
      <c r="C244" s="20">
        <v>46088</v>
      </c>
      <c r="D244" s="21" t="s">
        <v>165</v>
      </c>
      <c r="E244" s="27" t="s">
        <v>81</v>
      </c>
      <c r="F244" s="23" t="str">
        <f>VLOOKUP(E244,Customers[],2,FALSE)</f>
        <v>ဟိဏ်းထက်</v>
      </c>
      <c r="G244" s="23" t="str">
        <f>VLOOKUP(E244,Customers[],3,FALSE)</f>
        <v>စက်မှု့ဇုန်</v>
      </c>
      <c r="H244" s="23" t="str">
        <f>VLOOKUP(E244,Customers[],4,FALSE)</f>
        <v>မိတ္ထီလာ</v>
      </c>
      <c r="I244" s="28" t="s">
        <v>151</v>
      </c>
      <c r="J244" s="29" t="str">
        <f>VLOOKUP(I244,PGStock[],2,FALSE)</f>
        <v>Ngwe Taung  700ml</v>
      </c>
      <c r="K244" s="30">
        <f>VLOOKUP(I244,PGStock[],3,FALSE)</f>
        <v>0.7</v>
      </c>
      <c r="L244" s="104" t="s">
        <v>266</v>
      </c>
      <c r="M244" s="31">
        <f>VLOOKUP(I244,PGStock[],6,FALSE)</f>
        <v>150</v>
      </c>
      <c r="N244" s="31" t="e">
        <f>+Table8[[#This Row],[SalesBot]]*Table8[[#This Row],[Bonus]]</f>
        <v>#VALUE!</v>
      </c>
    </row>
    <row r="245" spans="1:14" ht="23.25" customHeight="1" x14ac:dyDescent="0.25">
      <c r="A245" s="26">
        <f t="shared" si="33"/>
        <v>2026</v>
      </c>
      <c r="B245" s="26">
        <f t="shared" si="34"/>
        <v>3</v>
      </c>
      <c r="C245" s="20">
        <v>46088</v>
      </c>
      <c r="D245" s="21" t="s">
        <v>261</v>
      </c>
      <c r="E245" s="27" t="s">
        <v>86</v>
      </c>
      <c r="F245" s="23" t="str">
        <f>VLOOKUP(E245,Customers[],2,FALSE)</f>
        <v>Liquar House</v>
      </c>
      <c r="G245" s="23" t="str">
        <f>VLOOKUP(E245,Customers[],3,FALSE)</f>
        <v>စက်မှု့ဇုန်</v>
      </c>
      <c r="H245" s="23" t="str">
        <f>VLOOKUP(E245,Customers[],4,FALSE)</f>
        <v>မိတ္ထီလာ</v>
      </c>
      <c r="I245" s="28" t="s">
        <v>151</v>
      </c>
      <c r="J245" s="29" t="str">
        <f>VLOOKUP(I245,PGStock[],2,FALSE)</f>
        <v>Ngwe Taung  700ml</v>
      </c>
      <c r="K245" s="30">
        <f>VLOOKUP(I245,PGStock[],3,FALSE)</f>
        <v>0.7</v>
      </c>
      <c r="L245" s="104">
        <v>4</v>
      </c>
      <c r="M245" s="31">
        <f>VLOOKUP(I245,PGStock[],6,FALSE)</f>
        <v>150</v>
      </c>
      <c r="N245" s="31">
        <f>+Table8[[#This Row],[SalesBot]]*Table8[[#This Row],[Bonus]]</f>
        <v>600</v>
      </c>
    </row>
    <row r="246" spans="1:14" ht="23.25" customHeight="1" x14ac:dyDescent="0.25">
      <c r="A246" s="26">
        <f t="shared" si="33"/>
        <v>2026</v>
      </c>
      <c r="B246" s="26">
        <f t="shared" si="34"/>
        <v>3</v>
      </c>
      <c r="C246" s="20">
        <v>46088</v>
      </c>
      <c r="D246" s="21" t="s">
        <v>263</v>
      </c>
      <c r="E246" s="27" t="s">
        <v>81</v>
      </c>
      <c r="F246" s="23" t="str">
        <f>VLOOKUP(E246,Customers[],2,FALSE)</f>
        <v>ဟိဏ်းထက်</v>
      </c>
      <c r="G246" s="23" t="str">
        <f>VLOOKUP(E246,Customers[],3,FALSE)</f>
        <v>စက်မှု့ဇုန်</v>
      </c>
      <c r="H246" s="23" t="str">
        <f>VLOOKUP(E246,Customers[],4,FALSE)</f>
        <v>မိတ္ထီလာ</v>
      </c>
      <c r="I246" s="28" t="s">
        <v>151</v>
      </c>
      <c r="J246" s="29" t="str">
        <f>VLOOKUP(I246,PGStock[],2,FALSE)</f>
        <v>Ngwe Taung  700ml</v>
      </c>
      <c r="K246" s="30">
        <f>VLOOKUP(I246,PGStock[],3,FALSE)</f>
        <v>0.7</v>
      </c>
      <c r="L246" s="104">
        <v>3</v>
      </c>
      <c r="M246" s="31">
        <f>VLOOKUP(I246,PGStock[],6,FALSE)</f>
        <v>150</v>
      </c>
      <c r="N246" s="31">
        <f>+Table8[[#This Row],[SalesBot]]*Table8[[#This Row],[Bonus]]</f>
        <v>450</v>
      </c>
    </row>
    <row r="247" spans="1:14" ht="23.25" customHeight="1" x14ac:dyDescent="0.25">
      <c r="A247" s="26">
        <f t="shared" si="33"/>
        <v>2026</v>
      </c>
      <c r="B247" s="26">
        <f t="shared" si="34"/>
        <v>3</v>
      </c>
      <c r="C247" s="20">
        <v>46088</v>
      </c>
      <c r="D247" s="21" t="s">
        <v>265</v>
      </c>
      <c r="E247" s="27" t="s">
        <v>86</v>
      </c>
      <c r="F247" s="23" t="str">
        <f>VLOOKUP(E247,Customers[],2,FALSE)</f>
        <v>Liquar House</v>
      </c>
      <c r="G247" s="23" t="str">
        <f>VLOOKUP(E247,Customers[],3,FALSE)</f>
        <v>စက်မှု့ဇုန်</v>
      </c>
      <c r="H247" s="23" t="str">
        <f>VLOOKUP(E247,Customers[],4,FALSE)</f>
        <v>မိတ္ထီလာ</v>
      </c>
      <c r="I247" s="28" t="s">
        <v>151</v>
      </c>
      <c r="J247" s="29" t="str">
        <f>VLOOKUP(I247,PGStock[],2,FALSE)</f>
        <v>Ngwe Taung  700ml</v>
      </c>
      <c r="K247" s="30">
        <f>VLOOKUP(I247,PGStock[],3,FALSE)</f>
        <v>0.7</v>
      </c>
      <c r="L247" s="104">
        <v>3</v>
      </c>
      <c r="M247" s="31">
        <f>VLOOKUP(I247,PGStock[],6,FALSE)</f>
        <v>150</v>
      </c>
      <c r="N247" s="31">
        <f>+Table8[[#This Row],[SalesBot]]*Table8[[#This Row],[Bonus]]</f>
        <v>450</v>
      </c>
    </row>
    <row r="248" spans="1:14" ht="23.25" customHeight="1" x14ac:dyDescent="0.25">
      <c r="A248" s="26">
        <f t="shared" si="33"/>
        <v>2026</v>
      </c>
      <c r="B248" s="26">
        <f t="shared" si="34"/>
        <v>3</v>
      </c>
      <c r="C248" s="20">
        <v>46089</v>
      </c>
      <c r="D248" s="21" t="s">
        <v>78</v>
      </c>
      <c r="E248" s="27" t="s">
        <v>87</v>
      </c>
      <c r="F248" s="23" t="str">
        <f>VLOOKUP(E248,Customers[],2,FALSE)</f>
        <v>PTK</v>
      </c>
      <c r="G248" s="23" t="str">
        <f>VLOOKUP(E248,Customers[],3,FALSE)</f>
        <v>စက်မှု့ဇုန်</v>
      </c>
      <c r="H248" s="23" t="str">
        <f>VLOOKUP(E248,Customers[],4,FALSE)</f>
        <v>မိတ္ထီလာ</v>
      </c>
      <c r="I248" s="28" t="s">
        <v>151</v>
      </c>
      <c r="J248" s="29" t="str">
        <f>VLOOKUP(I248,PGStock[],2,FALSE)</f>
        <v>Ngwe Taung  700ml</v>
      </c>
      <c r="K248" s="30">
        <f>VLOOKUP(I248,PGStock[],3,FALSE)</f>
        <v>0.7</v>
      </c>
      <c r="L248" s="104">
        <v>9</v>
      </c>
      <c r="M248" s="31">
        <f>VLOOKUP(I248,PGStock[],6,FALSE)</f>
        <v>150</v>
      </c>
      <c r="N248" s="31">
        <f>+Table8[[#This Row],[SalesBot]]*Table8[[#This Row],[Bonus]]</f>
        <v>1350</v>
      </c>
    </row>
    <row r="249" spans="1:14" ht="23.25" customHeight="1" x14ac:dyDescent="0.25">
      <c r="A249" s="26">
        <f t="shared" si="33"/>
        <v>2026</v>
      </c>
      <c r="B249" s="26">
        <f t="shared" si="34"/>
        <v>3</v>
      </c>
      <c r="C249" s="20">
        <v>46089</v>
      </c>
      <c r="D249" s="21" t="s">
        <v>166</v>
      </c>
      <c r="E249" s="27" t="s">
        <v>89</v>
      </c>
      <c r="F249" s="23" t="str">
        <f>VLOOKUP(E249,Customers[],2,FALSE)</f>
        <v>ရွှေလွန်းပျံ</v>
      </c>
      <c r="G249" s="23" t="str">
        <f>VLOOKUP(E249,Customers[],3,FALSE)</f>
        <v>စက်မှု့ဇုန်</v>
      </c>
      <c r="H249" s="23" t="str">
        <f>VLOOKUP(E249,Customers[],4,FALSE)</f>
        <v>မိတ္ထီလာ</v>
      </c>
      <c r="I249" s="28" t="s">
        <v>151</v>
      </c>
      <c r="J249" s="29" t="str">
        <f>VLOOKUP(I249,PGStock[],2,FALSE)</f>
        <v>Ngwe Taung  700ml</v>
      </c>
      <c r="K249" s="30">
        <f>VLOOKUP(I249,PGStock[],3,FALSE)</f>
        <v>0.7</v>
      </c>
      <c r="L249" s="104">
        <v>4</v>
      </c>
      <c r="M249" s="31">
        <f>VLOOKUP(I249,PGStock[],6,FALSE)</f>
        <v>150</v>
      </c>
      <c r="N249" s="31">
        <f>+Table8[[#This Row],[SalesBot]]*Table8[[#This Row],[Bonus]]</f>
        <v>600</v>
      </c>
    </row>
    <row r="250" spans="1:14" ht="23.25" customHeight="1" x14ac:dyDescent="0.25">
      <c r="A250" s="26">
        <f t="shared" si="33"/>
        <v>2026</v>
      </c>
      <c r="B250" s="26">
        <f t="shared" si="34"/>
        <v>3</v>
      </c>
      <c r="C250" s="20">
        <v>46089</v>
      </c>
      <c r="D250" s="21" t="s">
        <v>165</v>
      </c>
      <c r="E250" s="27" t="s">
        <v>81</v>
      </c>
      <c r="F250" s="23" t="str">
        <f>VLOOKUP(E250,Customers[],2,FALSE)</f>
        <v>ဟိဏ်းထက်</v>
      </c>
      <c r="G250" s="23" t="str">
        <f>VLOOKUP(E250,Customers[],3,FALSE)</f>
        <v>စက်မှု့ဇုန်</v>
      </c>
      <c r="H250" s="23" t="str">
        <f>VLOOKUP(E250,Customers[],4,FALSE)</f>
        <v>မိတ္ထီလာ</v>
      </c>
      <c r="I250" s="28" t="s">
        <v>151</v>
      </c>
      <c r="J250" s="29" t="str">
        <f>VLOOKUP(I250,PGStock[],2,FALSE)</f>
        <v>Ngwe Taung  700ml</v>
      </c>
      <c r="K250" s="30">
        <f>VLOOKUP(I250,PGStock[],3,FALSE)</f>
        <v>0.7</v>
      </c>
      <c r="L250" s="104">
        <v>5</v>
      </c>
      <c r="M250" s="31">
        <f>VLOOKUP(I250,PGStock[],6,FALSE)</f>
        <v>150</v>
      </c>
      <c r="N250" s="31">
        <f>+Table8[[#This Row],[SalesBot]]*Table8[[#This Row],[Bonus]]</f>
        <v>750</v>
      </c>
    </row>
    <row r="251" spans="1:14" ht="23.25" customHeight="1" x14ac:dyDescent="0.25">
      <c r="A251" s="26">
        <f t="shared" si="33"/>
        <v>2026</v>
      </c>
      <c r="B251" s="26">
        <f t="shared" si="34"/>
        <v>3</v>
      </c>
      <c r="C251" s="20">
        <v>46089</v>
      </c>
      <c r="D251" s="21" t="s">
        <v>261</v>
      </c>
      <c r="E251" s="27" t="s">
        <v>86</v>
      </c>
      <c r="F251" s="23" t="str">
        <f>VLOOKUP(E251,Customers[],2,FALSE)</f>
        <v>Liquar House</v>
      </c>
      <c r="G251" s="23" t="str">
        <f>VLOOKUP(E251,Customers[],3,FALSE)</f>
        <v>စက်မှု့ဇုန်</v>
      </c>
      <c r="H251" s="23" t="str">
        <f>VLOOKUP(E251,Customers[],4,FALSE)</f>
        <v>မိတ္ထီလာ</v>
      </c>
      <c r="I251" s="28" t="s">
        <v>151</v>
      </c>
      <c r="J251" s="29" t="str">
        <f>VLOOKUP(I251,PGStock[],2,FALSE)</f>
        <v>Ngwe Taung  700ml</v>
      </c>
      <c r="K251" s="30">
        <f>VLOOKUP(I251,PGStock[],3,FALSE)</f>
        <v>0.7</v>
      </c>
      <c r="L251" s="104">
        <v>3</v>
      </c>
      <c r="M251" s="31">
        <f>VLOOKUP(I251,PGStock[],6,FALSE)</f>
        <v>150</v>
      </c>
      <c r="N251" s="31">
        <f>+Table8[[#This Row],[SalesBot]]*Table8[[#This Row],[Bonus]]</f>
        <v>450</v>
      </c>
    </row>
    <row r="252" spans="1:14" ht="23.25" customHeight="1" x14ac:dyDescent="0.25">
      <c r="A252" s="26">
        <f t="shared" si="33"/>
        <v>2026</v>
      </c>
      <c r="B252" s="26">
        <f t="shared" si="34"/>
        <v>3</v>
      </c>
      <c r="C252" s="20">
        <v>46089</v>
      </c>
      <c r="D252" s="21" t="s">
        <v>263</v>
      </c>
      <c r="E252" s="27" t="s">
        <v>81</v>
      </c>
      <c r="F252" s="23" t="str">
        <f>VLOOKUP(E252,Customers[],2,FALSE)</f>
        <v>ဟိဏ်းထက်</v>
      </c>
      <c r="G252" s="23" t="str">
        <f>VLOOKUP(E252,Customers[],3,FALSE)</f>
        <v>စက်မှု့ဇုန်</v>
      </c>
      <c r="H252" s="23" t="str">
        <f>VLOOKUP(E252,Customers[],4,FALSE)</f>
        <v>မိတ္ထီလာ</v>
      </c>
      <c r="I252" s="28" t="s">
        <v>151</v>
      </c>
      <c r="J252" s="29" t="str">
        <f>VLOOKUP(I252,PGStock[],2,FALSE)</f>
        <v>Ngwe Taung  700ml</v>
      </c>
      <c r="K252" s="30">
        <f>VLOOKUP(I252,PGStock[],3,FALSE)</f>
        <v>0.7</v>
      </c>
      <c r="L252" s="104">
        <v>5</v>
      </c>
      <c r="M252" s="31">
        <f>VLOOKUP(I252,PGStock[],6,FALSE)</f>
        <v>150</v>
      </c>
      <c r="N252" s="31">
        <f>+Table8[[#This Row],[SalesBot]]*Table8[[#This Row],[Bonus]]</f>
        <v>750</v>
      </c>
    </row>
    <row r="253" spans="1:14" ht="23.25" customHeight="1" x14ac:dyDescent="0.25">
      <c r="A253" s="26">
        <f t="shared" ref="A253:A265" si="35">YEAR(C253)</f>
        <v>2026</v>
      </c>
      <c r="B253" s="26">
        <f t="shared" ref="B253:B265" si="36">MONTH(C253)</f>
        <v>3</v>
      </c>
      <c r="C253" s="20">
        <v>46089</v>
      </c>
      <c r="D253" s="21" t="s">
        <v>265</v>
      </c>
      <c r="E253" s="27" t="s">
        <v>86</v>
      </c>
      <c r="F253" s="23" t="str">
        <f>VLOOKUP(E253,Customers[],2,FALSE)</f>
        <v>Liquar House</v>
      </c>
      <c r="G253" s="23" t="str">
        <f>VLOOKUP(E253,Customers[],3,FALSE)</f>
        <v>စက်မှု့ဇုန်</v>
      </c>
      <c r="H253" s="23" t="str">
        <f>VLOOKUP(E253,Customers[],4,FALSE)</f>
        <v>မိတ္ထီလာ</v>
      </c>
      <c r="I253" s="28" t="s">
        <v>151</v>
      </c>
      <c r="J253" s="29" t="str">
        <f>VLOOKUP(I253,PGStock[],2,FALSE)</f>
        <v>Ngwe Taung  700ml</v>
      </c>
      <c r="K253" s="30">
        <f>VLOOKUP(I253,PGStock[],3,FALSE)</f>
        <v>0.7</v>
      </c>
      <c r="L253" s="104">
        <v>3</v>
      </c>
      <c r="M253" s="31">
        <f>VLOOKUP(I253,PGStock[],6,FALSE)</f>
        <v>150</v>
      </c>
      <c r="N253" s="31">
        <f>+Table8[[#This Row],[SalesBot]]*Table8[[#This Row],[Bonus]]</f>
        <v>450</v>
      </c>
    </row>
    <row r="254" spans="1:14" ht="23.25" customHeight="1" x14ac:dyDescent="0.25">
      <c r="A254" s="26">
        <f t="shared" si="35"/>
        <v>1900</v>
      </c>
      <c r="B254" s="26">
        <f t="shared" si="36"/>
        <v>1</v>
      </c>
      <c r="C254" s="20"/>
      <c r="D254" s="21"/>
      <c r="F254" s="23" t="e">
        <f>VLOOKUP(E254,Customers[],2,FALSE)</f>
        <v>#N/A</v>
      </c>
      <c r="G254" s="23" t="e">
        <f>VLOOKUP(E254,Customers[],3,FALSE)</f>
        <v>#N/A</v>
      </c>
      <c r="H254" s="23" t="e">
        <f>VLOOKUP(E254,Customers[],4,FALSE)</f>
        <v>#N/A</v>
      </c>
      <c r="J254" s="29" t="e">
        <f>VLOOKUP(I254,PGStock[],2,FALSE)</f>
        <v>#N/A</v>
      </c>
      <c r="K254" s="30" t="e">
        <f>VLOOKUP(I254,PGStock[],3,FALSE)</f>
        <v>#N/A</v>
      </c>
      <c r="M254" s="31" t="e">
        <f>VLOOKUP(I254,PGStock[],6,FALSE)</f>
        <v>#N/A</v>
      </c>
      <c r="N254" s="31" t="e">
        <f>+Table8[[#This Row],[SalesBot]]*Table8[[#This Row],[Bonus]]</f>
        <v>#N/A</v>
      </c>
    </row>
    <row r="255" spans="1:14" ht="23.25" customHeight="1" x14ac:dyDescent="0.25">
      <c r="A255" s="26">
        <f t="shared" si="35"/>
        <v>1900</v>
      </c>
      <c r="B255" s="26">
        <f t="shared" si="36"/>
        <v>1</v>
      </c>
      <c r="C255" s="20"/>
      <c r="D255" s="21"/>
      <c r="F255" s="23" t="e">
        <f>VLOOKUP(E255,Customers[],2,FALSE)</f>
        <v>#N/A</v>
      </c>
      <c r="G255" s="23" t="e">
        <f>VLOOKUP(E255,Customers[],3,FALSE)</f>
        <v>#N/A</v>
      </c>
      <c r="H255" s="23" t="e">
        <f>VLOOKUP(E255,Customers[],4,FALSE)</f>
        <v>#N/A</v>
      </c>
      <c r="J255" s="29" t="e">
        <f>VLOOKUP(I255,PGStock[],2,FALSE)</f>
        <v>#N/A</v>
      </c>
      <c r="K255" s="30" t="e">
        <f>VLOOKUP(I255,PGStock[],3,FALSE)</f>
        <v>#N/A</v>
      </c>
      <c r="M255" s="31" t="e">
        <f>VLOOKUP(I255,PGStock[],6,FALSE)</f>
        <v>#N/A</v>
      </c>
      <c r="N255" s="31" t="e">
        <f>+Table8[[#This Row],[SalesBot]]*Table8[[#This Row],[Bonus]]</f>
        <v>#N/A</v>
      </c>
    </row>
    <row r="256" spans="1:14" ht="23.25" customHeight="1" x14ac:dyDescent="0.25">
      <c r="A256" s="26">
        <f t="shared" si="35"/>
        <v>1900</v>
      </c>
      <c r="B256" s="26">
        <f t="shared" si="36"/>
        <v>1</v>
      </c>
      <c r="C256" s="20"/>
      <c r="D256" s="21"/>
      <c r="F256" s="23" t="e">
        <f>VLOOKUP(E256,Customers[],2,FALSE)</f>
        <v>#N/A</v>
      </c>
      <c r="G256" s="23" t="e">
        <f>VLOOKUP(E256,Customers[],3,FALSE)</f>
        <v>#N/A</v>
      </c>
      <c r="H256" s="23" t="e">
        <f>VLOOKUP(E256,Customers[],4,FALSE)</f>
        <v>#N/A</v>
      </c>
      <c r="J256" s="29" t="e">
        <f>VLOOKUP(I256,PGStock[],2,FALSE)</f>
        <v>#N/A</v>
      </c>
      <c r="K256" s="30" t="e">
        <f>VLOOKUP(I256,PGStock[],3,FALSE)</f>
        <v>#N/A</v>
      </c>
      <c r="M256" s="31" t="e">
        <f>VLOOKUP(I256,PGStock[],6,FALSE)</f>
        <v>#N/A</v>
      </c>
      <c r="N256" s="31" t="e">
        <f>+Table8[[#This Row],[SalesBot]]*Table8[[#This Row],[Bonus]]</f>
        <v>#N/A</v>
      </c>
    </row>
    <row r="257" spans="1:14" ht="23.25" customHeight="1" x14ac:dyDescent="0.25">
      <c r="A257" s="26">
        <f t="shared" si="35"/>
        <v>1900</v>
      </c>
      <c r="B257" s="26">
        <f t="shared" si="36"/>
        <v>1</v>
      </c>
      <c r="C257" s="20"/>
      <c r="D257" s="21"/>
      <c r="F257" s="23" t="e">
        <f>VLOOKUP(E257,Customers[],2,FALSE)</f>
        <v>#N/A</v>
      </c>
      <c r="G257" s="23" t="e">
        <f>VLOOKUP(E257,Customers[],3,FALSE)</f>
        <v>#N/A</v>
      </c>
      <c r="H257" s="23" t="e">
        <f>VLOOKUP(E257,Customers[],4,FALSE)</f>
        <v>#N/A</v>
      </c>
      <c r="J257" s="29" t="e">
        <f>VLOOKUP(I257,PGStock[],2,FALSE)</f>
        <v>#N/A</v>
      </c>
      <c r="K257" s="30" t="e">
        <f>VLOOKUP(I257,PGStock[],3,FALSE)</f>
        <v>#N/A</v>
      </c>
      <c r="M257" s="31" t="e">
        <f>VLOOKUP(I257,PGStock[],6,FALSE)</f>
        <v>#N/A</v>
      </c>
      <c r="N257" s="31" t="e">
        <f>+Table8[[#This Row],[SalesBot]]*Table8[[#This Row],[Bonus]]</f>
        <v>#N/A</v>
      </c>
    </row>
    <row r="258" spans="1:14" ht="23.25" customHeight="1" x14ac:dyDescent="0.25">
      <c r="A258" s="26">
        <f t="shared" si="35"/>
        <v>1900</v>
      </c>
      <c r="B258" s="26">
        <f t="shared" si="36"/>
        <v>1</v>
      </c>
      <c r="C258" s="20"/>
      <c r="D258" s="21"/>
      <c r="F258" s="23" t="e">
        <f>VLOOKUP(E258,Customers[],2,FALSE)</f>
        <v>#N/A</v>
      </c>
      <c r="G258" s="23" t="e">
        <f>VLOOKUP(E258,Customers[],3,FALSE)</f>
        <v>#N/A</v>
      </c>
      <c r="H258" s="23" t="e">
        <f>VLOOKUP(E258,Customers[],4,FALSE)</f>
        <v>#N/A</v>
      </c>
      <c r="J258" s="29" t="e">
        <f>VLOOKUP(I258,PGStock[],2,FALSE)</f>
        <v>#N/A</v>
      </c>
      <c r="K258" s="30" t="e">
        <f>VLOOKUP(I258,PGStock[],3,FALSE)</f>
        <v>#N/A</v>
      </c>
      <c r="M258" s="31" t="e">
        <f>VLOOKUP(I258,PGStock[],6,FALSE)</f>
        <v>#N/A</v>
      </c>
      <c r="N258" s="31" t="e">
        <f>+Table8[[#This Row],[SalesBot]]*Table8[[#This Row],[Bonus]]</f>
        <v>#N/A</v>
      </c>
    </row>
    <row r="259" spans="1:14" ht="23.25" customHeight="1" x14ac:dyDescent="0.25">
      <c r="A259" s="26">
        <f t="shared" si="35"/>
        <v>1900</v>
      </c>
      <c r="B259" s="26">
        <f t="shared" si="36"/>
        <v>1</v>
      </c>
      <c r="C259" s="20"/>
      <c r="D259" s="21"/>
      <c r="F259" s="23" t="e">
        <f>VLOOKUP(E259,Customers[],2,FALSE)</f>
        <v>#N/A</v>
      </c>
      <c r="G259" s="23" t="e">
        <f>VLOOKUP(E259,Customers[],3,FALSE)</f>
        <v>#N/A</v>
      </c>
      <c r="H259" s="23" t="e">
        <f>VLOOKUP(E259,Customers[],4,FALSE)</f>
        <v>#N/A</v>
      </c>
      <c r="J259" s="29" t="e">
        <f>VLOOKUP(I259,PGStock[],2,FALSE)</f>
        <v>#N/A</v>
      </c>
      <c r="K259" s="30" t="e">
        <f>VLOOKUP(I259,PGStock[],3,FALSE)</f>
        <v>#N/A</v>
      </c>
      <c r="M259" s="31" t="e">
        <f>VLOOKUP(I259,PGStock[],6,FALSE)</f>
        <v>#N/A</v>
      </c>
      <c r="N259" s="31" t="e">
        <f>+Table8[[#This Row],[SalesBot]]*Table8[[#This Row],[Bonus]]</f>
        <v>#N/A</v>
      </c>
    </row>
    <row r="260" spans="1:14" ht="23.25" customHeight="1" x14ac:dyDescent="0.25">
      <c r="A260" s="26">
        <f t="shared" si="35"/>
        <v>1900</v>
      </c>
      <c r="B260" s="26">
        <f t="shared" si="36"/>
        <v>1</v>
      </c>
      <c r="C260" s="20"/>
      <c r="D260" s="21"/>
      <c r="F260" s="23" t="e">
        <f>VLOOKUP(E260,Customers[],2,FALSE)</f>
        <v>#N/A</v>
      </c>
      <c r="G260" s="23" t="e">
        <f>VLOOKUP(E260,Customers[],3,FALSE)</f>
        <v>#N/A</v>
      </c>
      <c r="H260" s="23" t="e">
        <f>VLOOKUP(E260,Customers[],4,FALSE)</f>
        <v>#N/A</v>
      </c>
      <c r="J260" s="29" t="e">
        <f>VLOOKUP(I260,PGStock[],2,FALSE)</f>
        <v>#N/A</v>
      </c>
      <c r="K260" s="30" t="e">
        <f>VLOOKUP(I260,PGStock[],3,FALSE)</f>
        <v>#N/A</v>
      </c>
      <c r="M260" s="31" t="e">
        <f>VLOOKUP(I260,PGStock[],6,FALSE)</f>
        <v>#N/A</v>
      </c>
      <c r="N260" s="31" t="e">
        <f>+Table8[[#This Row],[SalesBot]]*Table8[[#This Row],[Bonus]]</f>
        <v>#N/A</v>
      </c>
    </row>
    <row r="261" spans="1:14" ht="23.25" customHeight="1" x14ac:dyDescent="0.25">
      <c r="A261" s="26">
        <f t="shared" si="35"/>
        <v>1900</v>
      </c>
      <c r="B261" s="26">
        <f t="shared" si="36"/>
        <v>1</v>
      </c>
      <c r="C261" s="20"/>
      <c r="D261" s="21"/>
      <c r="F261" s="23" t="e">
        <f>VLOOKUP(E261,Customers[],2,FALSE)</f>
        <v>#N/A</v>
      </c>
      <c r="G261" s="23" t="e">
        <f>VLOOKUP(E261,Customers[],3,FALSE)</f>
        <v>#N/A</v>
      </c>
      <c r="H261" s="23" t="e">
        <f>VLOOKUP(E261,Customers[],4,FALSE)</f>
        <v>#N/A</v>
      </c>
      <c r="J261" s="29" t="e">
        <f>VLOOKUP(I261,PGStock[],2,FALSE)</f>
        <v>#N/A</v>
      </c>
      <c r="K261" s="30" t="e">
        <f>VLOOKUP(I261,PGStock[],3,FALSE)</f>
        <v>#N/A</v>
      </c>
      <c r="M261" s="31" t="e">
        <f>VLOOKUP(I261,PGStock[],6,FALSE)</f>
        <v>#N/A</v>
      </c>
      <c r="N261" s="31" t="e">
        <f>+Table8[[#This Row],[SalesBot]]*Table8[[#This Row],[Bonus]]</f>
        <v>#N/A</v>
      </c>
    </row>
    <row r="262" spans="1:14" ht="23.25" customHeight="1" x14ac:dyDescent="0.25">
      <c r="A262" s="26">
        <f t="shared" si="35"/>
        <v>1900</v>
      </c>
      <c r="B262" s="26">
        <f t="shared" si="36"/>
        <v>1</v>
      </c>
      <c r="C262" s="20"/>
      <c r="D262" s="21"/>
      <c r="F262" s="23" t="e">
        <f>VLOOKUP(E262,Customers[],2,FALSE)</f>
        <v>#N/A</v>
      </c>
      <c r="G262" s="23" t="e">
        <f>VLOOKUP(E262,Customers[],3,FALSE)</f>
        <v>#N/A</v>
      </c>
      <c r="H262" s="23" t="e">
        <f>VLOOKUP(E262,Customers[],4,FALSE)</f>
        <v>#N/A</v>
      </c>
      <c r="J262" s="29" t="e">
        <f>VLOOKUP(I262,PGStock[],2,FALSE)</f>
        <v>#N/A</v>
      </c>
      <c r="K262" s="30" t="e">
        <f>VLOOKUP(I262,PGStock[],3,FALSE)</f>
        <v>#N/A</v>
      </c>
      <c r="M262" s="31" t="e">
        <f>VLOOKUP(I262,PGStock[],6,FALSE)</f>
        <v>#N/A</v>
      </c>
      <c r="N262" s="31" t="e">
        <f>+Table8[[#This Row],[SalesBot]]*Table8[[#This Row],[Bonus]]</f>
        <v>#N/A</v>
      </c>
    </row>
    <row r="263" spans="1:14" ht="23.25" customHeight="1" x14ac:dyDescent="0.25">
      <c r="A263" s="26">
        <f t="shared" si="35"/>
        <v>1900</v>
      </c>
      <c r="B263" s="26">
        <f t="shared" si="36"/>
        <v>1</v>
      </c>
      <c r="C263" s="20"/>
      <c r="D263" s="21"/>
      <c r="F263" s="23" t="e">
        <f>VLOOKUP(E263,Customers[],2,FALSE)</f>
        <v>#N/A</v>
      </c>
      <c r="G263" s="23" t="e">
        <f>VLOOKUP(E263,Customers[],3,FALSE)</f>
        <v>#N/A</v>
      </c>
      <c r="H263" s="23" t="e">
        <f>VLOOKUP(E263,Customers[],4,FALSE)</f>
        <v>#N/A</v>
      </c>
      <c r="J263" s="29" t="e">
        <f>VLOOKUP(I263,PGStock[],2,FALSE)</f>
        <v>#N/A</v>
      </c>
      <c r="K263" s="30" t="e">
        <f>VLOOKUP(I263,PGStock[],3,FALSE)</f>
        <v>#N/A</v>
      </c>
      <c r="M263" s="31" t="e">
        <f>VLOOKUP(I263,PGStock[],6,FALSE)</f>
        <v>#N/A</v>
      </c>
      <c r="N263" s="31" t="e">
        <f>+Table8[[#This Row],[SalesBot]]*Table8[[#This Row],[Bonus]]</f>
        <v>#N/A</v>
      </c>
    </row>
    <row r="264" spans="1:14" ht="23.25" customHeight="1" x14ac:dyDescent="0.25">
      <c r="A264" s="26">
        <f t="shared" si="35"/>
        <v>1900</v>
      </c>
      <c r="B264" s="26">
        <f t="shared" si="36"/>
        <v>1</v>
      </c>
      <c r="C264" s="20"/>
      <c r="D264" s="21"/>
      <c r="F264" s="23" t="e">
        <f>VLOOKUP(E264,Customers[],2,FALSE)</f>
        <v>#N/A</v>
      </c>
      <c r="G264" s="23" t="e">
        <f>VLOOKUP(E264,Customers[],3,FALSE)</f>
        <v>#N/A</v>
      </c>
      <c r="H264" s="23" t="e">
        <f>VLOOKUP(E264,Customers[],4,FALSE)</f>
        <v>#N/A</v>
      </c>
      <c r="J264" s="29" t="e">
        <f>VLOOKUP(I264,PGStock[],2,FALSE)</f>
        <v>#N/A</v>
      </c>
      <c r="K264" s="30" t="e">
        <f>VLOOKUP(I264,PGStock[],3,FALSE)</f>
        <v>#N/A</v>
      </c>
      <c r="M264" s="31" t="e">
        <f>VLOOKUP(I264,PGStock[],6,FALSE)</f>
        <v>#N/A</v>
      </c>
      <c r="N264" s="31" t="e">
        <f>+Table8[[#This Row],[SalesBot]]*Table8[[#This Row],[Bonus]]</f>
        <v>#N/A</v>
      </c>
    </row>
    <row r="265" spans="1:14" ht="23.25" customHeight="1" x14ac:dyDescent="0.25">
      <c r="A265" s="26">
        <f t="shared" si="35"/>
        <v>1900</v>
      </c>
      <c r="B265" s="26">
        <f t="shared" si="36"/>
        <v>1</v>
      </c>
      <c r="C265" s="20"/>
      <c r="D265" s="21"/>
      <c r="F265" s="23" t="e">
        <f>VLOOKUP(E265,Customers[],2,FALSE)</f>
        <v>#N/A</v>
      </c>
      <c r="G265" s="23" t="e">
        <f>VLOOKUP(E265,Customers[],3,FALSE)</f>
        <v>#N/A</v>
      </c>
      <c r="H265" s="23" t="e">
        <f>VLOOKUP(E265,Customers[],4,FALSE)</f>
        <v>#N/A</v>
      </c>
      <c r="J265" s="29" t="e">
        <f>VLOOKUP(I265,PGStock[],2,FALSE)</f>
        <v>#N/A</v>
      </c>
      <c r="K265" s="30" t="e">
        <f>VLOOKUP(I265,PGStock[],3,FALSE)</f>
        <v>#N/A</v>
      </c>
      <c r="M265" s="31" t="e">
        <f>VLOOKUP(I265,PGStock[],6,FALSE)</f>
        <v>#N/A</v>
      </c>
      <c r="N265" s="31" t="e">
        <f>+Table8[[#This Row],[SalesBot]]*Table8[[#This Row],[Bonus]]</f>
        <v>#N/A</v>
      </c>
    </row>
    <row r="266" spans="1:14" ht="23.25" customHeight="1" x14ac:dyDescent="0.25">
      <c r="A266" s="26">
        <f t="shared" ref="A266:A290" si="37">YEAR(C266)</f>
        <v>1900</v>
      </c>
      <c r="B266" s="26">
        <f t="shared" ref="B266:B290" si="38">MONTH(C266)</f>
        <v>1</v>
      </c>
      <c r="C266" s="20"/>
      <c r="D266" s="21"/>
      <c r="F266" s="23" t="e">
        <f>VLOOKUP(E266,Customers[],2,FALSE)</f>
        <v>#N/A</v>
      </c>
      <c r="G266" s="23" t="e">
        <f>VLOOKUP(E266,Customers[],3,FALSE)</f>
        <v>#N/A</v>
      </c>
      <c r="H266" s="23" t="e">
        <f>VLOOKUP(E266,Customers[],4,FALSE)</f>
        <v>#N/A</v>
      </c>
      <c r="J266" s="29" t="e">
        <f>VLOOKUP(I266,PGStock[],2,FALSE)</f>
        <v>#N/A</v>
      </c>
      <c r="K266" s="30" t="e">
        <f>VLOOKUP(I266,PGStock[],3,FALSE)</f>
        <v>#N/A</v>
      </c>
      <c r="M266" s="31" t="e">
        <f>VLOOKUP(I266,PGStock[],6,FALSE)</f>
        <v>#N/A</v>
      </c>
      <c r="N266" s="31" t="e">
        <f>+Table8[[#This Row],[SalesBot]]*Table8[[#This Row],[Bonus]]</f>
        <v>#N/A</v>
      </c>
    </row>
    <row r="267" spans="1:14" ht="23.25" customHeight="1" x14ac:dyDescent="0.25">
      <c r="A267" s="26">
        <f t="shared" si="37"/>
        <v>1900</v>
      </c>
      <c r="B267" s="26">
        <f t="shared" si="38"/>
        <v>1</v>
      </c>
      <c r="C267" s="20"/>
      <c r="D267" s="21"/>
      <c r="F267" s="23" t="e">
        <f>VLOOKUP(E267,Customers[],2,FALSE)</f>
        <v>#N/A</v>
      </c>
      <c r="G267" s="23" t="e">
        <f>VLOOKUP(E267,Customers[],3,FALSE)</f>
        <v>#N/A</v>
      </c>
      <c r="H267" s="23" t="e">
        <f>VLOOKUP(E267,Customers[],4,FALSE)</f>
        <v>#N/A</v>
      </c>
      <c r="J267" s="29" t="e">
        <f>VLOOKUP(I267,PGStock[],2,FALSE)</f>
        <v>#N/A</v>
      </c>
      <c r="K267" s="30" t="e">
        <f>VLOOKUP(I267,PGStock[],3,FALSE)</f>
        <v>#N/A</v>
      </c>
      <c r="M267" s="31" t="e">
        <f>VLOOKUP(I267,PGStock[],6,FALSE)</f>
        <v>#N/A</v>
      </c>
      <c r="N267" s="31" t="e">
        <f>+Table8[[#This Row],[SalesBot]]*Table8[[#This Row],[Bonus]]</f>
        <v>#N/A</v>
      </c>
    </row>
    <row r="268" spans="1:14" ht="23.25" customHeight="1" x14ac:dyDescent="0.25">
      <c r="A268" s="26">
        <f t="shared" si="37"/>
        <v>1900</v>
      </c>
      <c r="B268" s="26">
        <f t="shared" si="38"/>
        <v>1</v>
      </c>
      <c r="C268" s="20"/>
      <c r="D268" s="21"/>
      <c r="F268" s="23" t="e">
        <f>VLOOKUP(E268,Customers[],2,FALSE)</f>
        <v>#N/A</v>
      </c>
      <c r="G268" s="23" t="e">
        <f>VLOOKUP(E268,Customers[],3,FALSE)</f>
        <v>#N/A</v>
      </c>
      <c r="H268" s="23" t="e">
        <f>VLOOKUP(E268,Customers[],4,FALSE)</f>
        <v>#N/A</v>
      </c>
      <c r="J268" s="29" t="e">
        <f>VLOOKUP(I268,PGStock[],2,FALSE)</f>
        <v>#N/A</v>
      </c>
      <c r="K268" s="30" t="e">
        <f>VLOOKUP(I268,PGStock[],3,FALSE)</f>
        <v>#N/A</v>
      </c>
      <c r="M268" s="31" t="e">
        <f>VLOOKUP(I268,PGStock[],6,FALSE)</f>
        <v>#N/A</v>
      </c>
      <c r="N268" s="31" t="e">
        <f>+Table8[[#This Row],[SalesBot]]*Table8[[#This Row],[Bonus]]</f>
        <v>#N/A</v>
      </c>
    </row>
    <row r="269" spans="1:14" ht="23.25" customHeight="1" x14ac:dyDescent="0.25">
      <c r="A269" s="26">
        <f t="shared" si="37"/>
        <v>1900</v>
      </c>
      <c r="B269" s="26">
        <f t="shared" si="38"/>
        <v>1</v>
      </c>
      <c r="C269" s="20"/>
      <c r="D269" s="21"/>
      <c r="F269" s="23" t="e">
        <f>VLOOKUP(E269,Customers[],2,FALSE)</f>
        <v>#N/A</v>
      </c>
      <c r="G269" s="23" t="e">
        <f>VLOOKUP(E269,Customers[],3,FALSE)</f>
        <v>#N/A</v>
      </c>
      <c r="H269" s="23" t="e">
        <f>VLOOKUP(E269,Customers[],4,FALSE)</f>
        <v>#N/A</v>
      </c>
      <c r="J269" s="29" t="e">
        <f>VLOOKUP(I269,PGStock[],2,FALSE)</f>
        <v>#N/A</v>
      </c>
      <c r="K269" s="30" t="e">
        <f>VLOOKUP(I269,PGStock[],3,FALSE)</f>
        <v>#N/A</v>
      </c>
      <c r="M269" s="31" t="e">
        <f>VLOOKUP(I269,PGStock[],6,FALSE)</f>
        <v>#N/A</v>
      </c>
      <c r="N269" s="31" t="e">
        <f>+Table8[[#This Row],[SalesBot]]*Table8[[#This Row],[Bonus]]</f>
        <v>#N/A</v>
      </c>
    </row>
    <row r="270" spans="1:14" ht="23.25" customHeight="1" x14ac:dyDescent="0.25">
      <c r="A270" s="26">
        <f t="shared" si="37"/>
        <v>1900</v>
      </c>
      <c r="B270" s="26">
        <f t="shared" si="38"/>
        <v>1</v>
      </c>
      <c r="C270" s="20"/>
      <c r="D270" s="21"/>
      <c r="F270" s="23" t="e">
        <f>VLOOKUP(E270,Customers[],2,FALSE)</f>
        <v>#N/A</v>
      </c>
      <c r="G270" s="23" t="e">
        <f>VLOOKUP(E270,Customers[],3,FALSE)</f>
        <v>#N/A</v>
      </c>
      <c r="H270" s="23" t="e">
        <f>VLOOKUP(E270,Customers[],4,FALSE)</f>
        <v>#N/A</v>
      </c>
      <c r="J270" s="29" t="e">
        <f>VLOOKUP(I270,PGStock[],2,FALSE)</f>
        <v>#N/A</v>
      </c>
      <c r="K270" s="30" t="e">
        <f>VLOOKUP(I270,PGStock[],3,FALSE)</f>
        <v>#N/A</v>
      </c>
      <c r="M270" s="31" t="e">
        <f>VLOOKUP(I270,PGStock[],6,FALSE)</f>
        <v>#N/A</v>
      </c>
      <c r="N270" s="31" t="e">
        <f>+Table8[[#This Row],[SalesBot]]*Table8[[#This Row],[Bonus]]</f>
        <v>#N/A</v>
      </c>
    </row>
    <row r="271" spans="1:14" ht="23.25" customHeight="1" x14ac:dyDescent="0.25">
      <c r="A271" s="26">
        <f t="shared" si="37"/>
        <v>1900</v>
      </c>
      <c r="B271" s="26">
        <f t="shared" si="38"/>
        <v>1</v>
      </c>
      <c r="C271" s="20"/>
      <c r="D271" s="21"/>
      <c r="F271" s="23" t="e">
        <f>VLOOKUP(E271,Customers[],2,FALSE)</f>
        <v>#N/A</v>
      </c>
      <c r="G271" s="23" t="e">
        <f>VLOOKUP(E271,Customers[],3,FALSE)</f>
        <v>#N/A</v>
      </c>
      <c r="H271" s="23" t="e">
        <f>VLOOKUP(E271,Customers[],4,FALSE)</f>
        <v>#N/A</v>
      </c>
      <c r="J271" s="29" t="e">
        <f>VLOOKUP(I271,PGStock[],2,FALSE)</f>
        <v>#N/A</v>
      </c>
      <c r="K271" s="30" t="e">
        <f>VLOOKUP(I271,PGStock[],3,FALSE)</f>
        <v>#N/A</v>
      </c>
      <c r="M271" s="31" t="e">
        <f>VLOOKUP(I271,PGStock[],6,FALSE)</f>
        <v>#N/A</v>
      </c>
      <c r="N271" s="31" t="e">
        <f>+Table8[[#This Row],[SalesBot]]*Table8[[#This Row],[Bonus]]</f>
        <v>#N/A</v>
      </c>
    </row>
    <row r="272" spans="1:14" ht="23.25" customHeight="1" x14ac:dyDescent="0.25">
      <c r="A272" s="26">
        <f t="shared" si="37"/>
        <v>1900</v>
      </c>
      <c r="B272" s="26">
        <f t="shared" si="38"/>
        <v>1</v>
      </c>
      <c r="C272" s="20"/>
      <c r="D272" s="21"/>
      <c r="F272" s="23" t="e">
        <f>VLOOKUP(E272,Customers[],2,FALSE)</f>
        <v>#N/A</v>
      </c>
      <c r="G272" s="23" t="e">
        <f>VLOOKUP(E272,Customers[],3,FALSE)</f>
        <v>#N/A</v>
      </c>
      <c r="H272" s="23" t="e">
        <f>VLOOKUP(E272,Customers[],4,FALSE)</f>
        <v>#N/A</v>
      </c>
      <c r="J272" s="29" t="e">
        <f>VLOOKUP(I272,PGStock[],2,FALSE)</f>
        <v>#N/A</v>
      </c>
      <c r="K272" s="30" t="e">
        <f>VLOOKUP(I272,PGStock[],3,FALSE)</f>
        <v>#N/A</v>
      </c>
      <c r="M272" s="31" t="e">
        <f>VLOOKUP(I272,PGStock[],6,FALSE)</f>
        <v>#N/A</v>
      </c>
      <c r="N272" s="31" t="e">
        <f>+Table8[[#This Row],[SalesBot]]*Table8[[#This Row],[Bonus]]</f>
        <v>#N/A</v>
      </c>
    </row>
    <row r="273" spans="1:14" ht="23.25" customHeight="1" x14ac:dyDescent="0.25">
      <c r="A273" s="26">
        <f t="shared" si="37"/>
        <v>1900</v>
      </c>
      <c r="B273" s="26">
        <f t="shared" si="38"/>
        <v>1</v>
      </c>
      <c r="C273" s="20"/>
      <c r="D273" s="21"/>
      <c r="F273" s="23" t="e">
        <f>VLOOKUP(E273,Customers[],2,FALSE)</f>
        <v>#N/A</v>
      </c>
      <c r="G273" s="23" t="e">
        <f>VLOOKUP(E273,Customers[],3,FALSE)</f>
        <v>#N/A</v>
      </c>
      <c r="H273" s="23" t="e">
        <f>VLOOKUP(E273,Customers[],4,FALSE)</f>
        <v>#N/A</v>
      </c>
      <c r="J273" s="29" t="e">
        <f>VLOOKUP(I273,PGStock[],2,FALSE)</f>
        <v>#N/A</v>
      </c>
      <c r="K273" s="30" t="e">
        <f>VLOOKUP(I273,PGStock[],3,FALSE)</f>
        <v>#N/A</v>
      </c>
      <c r="M273" s="31" t="e">
        <f>VLOOKUP(I273,PGStock[],6,FALSE)</f>
        <v>#N/A</v>
      </c>
      <c r="N273" s="31" t="e">
        <f>+Table8[[#This Row],[SalesBot]]*Table8[[#This Row],[Bonus]]</f>
        <v>#N/A</v>
      </c>
    </row>
    <row r="274" spans="1:14" ht="23.25" customHeight="1" x14ac:dyDescent="0.25">
      <c r="A274" s="26">
        <f t="shared" si="37"/>
        <v>1900</v>
      </c>
      <c r="B274" s="26">
        <f t="shared" si="38"/>
        <v>1</v>
      </c>
      <c r="C274" s="20"/>
      <c r="D274" s="21"/>
      <c r="F274" s="23" t="e">
        <f>VLOOKUP(E274,Customers[],2,FALSE)</f>
        <v>#N/A</v>
      </c>
      <c r="G274" s="23" t="e">
        <f>VLOOKUP(E274,Customers[],3,FALSE)</f>
        <v>#N/A</v>
      </c>
      <c r="H274" s="23" t="e">
        <f>VLOOKUP(E274,Customers[],4,FALSE)</f>
        <v>#N/A</v>
      </c>
      <c r="J274" s="29" t="e">
        <f>VLOOKUP(I274,PGStock[],2,FALSE)</f>
        <v>#N/A</v>
      </c>
      <c r="K274" s="30" t="e">
        <f>VLOOKUP(I274,PGStock[],3,FALSE)</f>
        <v>#N/A</v>
      </c>
      <c r="M274" s="31" t="e">
        <f>VLOOKUP(I274,PGStock[],6,FALSE)</f>
        <v>#N/A</v>
      </c>
      <c r="N274" s="31" t="e">
        <f>+Table8[[#This Row],[SalesBot]]*Table8[[#This Row],[Bonus]]</f>
        <v>#N/A</v>
      </c>
    </row>
    <row r="275" spans="1:14" ht="23.25" customHeight="1" x14ac:dyDescent="0.25">
      <c r="A275" s="26">
        <f t="shared" ref="A275:A289" si="39">YEAR(C275)</f>
        <v>1900</v>
      </c>
      <c r="B275" s="26">
        <f t="shared" ref="B275:B289" si="40">MONTH(C275)</f>
        <v>1</v>
      </c>
      <c r="C275" s="20"/>
      <c r="D275" s="21"/>
      <c r="F275" s="23" t="e">
        <f>VLOOKUP(E275,Customers[],2,FALSE)</f>
        <v>#N/A</v>
      </c>
      <c r="G275" s="23" t="e">
        <f>VLOOKUP(E275,Customers[],3,FALSE)</f>
        <v>#N/A</v>
      </c>
      <c r="H275" s="23" t="e">
        <f>VLOOKUP(E275,Customers[],4,FALSE)</f>
        <v>#N/A</v>
      </c>
      <c r="J275" s="29" t="e">
        <f>VLOOKUP(I275,PGStock[],2,FALSE)</f>
        <v>#N/A</v>
      </c>
      <c r="K275" s="30" t="e">
        <f>VLOOKUP(I275,PGStock[],3,FALSE)</f>
        <v>#N/A</v>
      </c>
      <c r="M275" s="31" t="e">
        <f>VLOOKUP(I275,PGStock[],6,FALSE)</f>
        <v>#N/A</v>
      </c>
      <c r="N275" s="31" t="e">
        <f>+Table8[[#This Row],[SalesBot]]*Table8[[#This Row],[Bonus]]</f>
        <v>#N/A</v>
      </c>
    </row>
    <row r="276" spans="1:14" ht="23.25" customHeight="1" x14ac:dyDescent="0.25">
      <c r="A276" s="26">
        <f t="shared" si="39"/>
        <v>1900</v>
      </c>
      <c r="B276" s="26">
        <f t="shared" si="40"/>
        <v>1</v>
      </c>
      <c r="C276" s="20"/>
      <c r="D276" s="21"/>
      <c r="F276" s="23" t="e">
        <f>VLOOKUP(E276,Customers[],2,FALSE)</f>
        <v>#N/A</v>
      </c>
      <c r="G276" s="23" t="e">
        <f>VLOOKUP(E276,Customers[],3,FALSE)</f>
        <v>#N/A</v>
      </c>
      <c r="H276" s="23" t="e">
        <f>VLOOKUP(E276,Customers[],4,FALSE)</f>
        <v>#N/A</v>
      </c>
      <c r="J276" s="29" t="e">
        <f>VLOOKUP(I276,PGStock[],2,FALSE)</f>
        <v>#N/A</v>
      </c>
      <c r="K276" s="30" t="e">
        <f>VLOOKUP(I276,PGStock[],3,FALSE)</f>
        <v>#N/A</v>
      </c>
      <c r="M276" s="31" t="e">
        <f>VLOOKUP(I276,PGStock[],6,FALSE)</f>
        <v>#N/A</v>
      </c>
      <c r="N276" s="31" t="e">
        <f>+Table8[[#This Row],[SalesBot]]*Table8[[#This Row],[Bonus]]</f>
        <v>#N/A</v>
      </c>
    </row>
    <row r="277" spans="1:14" ht="23.25" customHeight="1" x14ac:dyDescent="0.25">
      <c r="A277" s="26">
        <f t="shared" si="39"/>
        <v>1900</v>
      </c>
      <c r="B277" s="26">
        <f t="shared" si="40"/>
        <v>1</v>
      </c>
      <c r="C277" s="20"/>
      <c r="D277" s="21"/>
      <c r="F277" s="23" t="e">
        <f>VLOOKUP(E277,Customers[],2,FALSE)</f>
        <v>#N/A</v>
      </c>
      <c r="G277" s="23" t="e">
        <f>VLOOKUP(E277,Customers[],3,FALSE)</f>
        <v>#N/A</v>
      </c>
      <c r="H277" s="23" t="e">
        <f>VLOOKUP(E277,Customers[],4,FALSE)</f>
        <v>#N/A</v>
      </c>
      <c r="J277" s="29" t="e">
        <f>VLOOKUP(I277,PGStock[],2,FALSE)</f>
        <v>#N/A</v>
      </c>
      <c r="K277" s="30" t="e">
        <f>VLOOKUP(I277,PGStock[],3,FALSE)</f>
        <v>#N/A</v>
      </c>
      <c r="M277" s="31" t="e">
        <f>VLOOKUP(I277,PGStock[],6,FALSE)</f>
        <v>#N/A</v>
      </c>
      <c r="N277" s="31" t="e">
        <f>+Table8[[#This Row],[SalesBot]]*Table8[[#This Row],[Bonus]]</f>
        <v>#N/A</v>
      </c>
    </row>
    <row r="278" spans="1:14" ht="23.25" customHeight="1" x14ac:dyDescent="0.25">
      <c r="A278" s="26">
        <f t="shared" si="39"/>
        <v>1900</v>
      </c>
      <c r="B278" s="26">
        <f t="shared" si="40"/>
        <v>1</v>
      </c>
      <c r="C278" s="20"/>
      <c r="D278" s="21"/>
      <c r="F278" s="23" t="e">
        <f>VLOOKUP(E278,Customers[],2,FALSE)</f>
        <v>#N/A</v>
      </c>
      <c r="G278" s="23" t="e">
        <f>VLOOKUP(E278,Customers[],3,FALSE)</f>
        <v>#N/A</v>
      </c>
      <c r="H278" s="23" t="e">
        <f>VLOOKUP(E278,Customers[],4,FALSE)</f>
        <v>#N/A</v>
      </c>
      <c r="J278" s="29" t="e">
        <f>VLOOKUP(I278,PGStock[],2,FALSE)</f>
        <v>#N/A</v>
      </c>
      <c r="K278" s="30" t="e">
        <f>VLOOKUP(I278,PGStock[],3,FALSE)</f>
        <v>#N/A</v>
      </c>
      <c r="M278" s="31" t="e">
        <f>VLOOKUP(I278,PGStock[],6,FALSE)</f>
        <v>#N/A</v>
      </c>
      <c r="N278" s="31" t="e">
        <f>+Table8[[#This Row],[SalesBot]]*Table8[[#This Row],[Bonus]]</f>
        <v>#N/A</v>
      </c>
    </row>
    <row r="279" spans="1:14" ht="23.25" customHeight="1" x14ac:dyDescent="0.25">
      <c r="A279" s="26">
        <f t="shared" si="39"/>
        <v>1900</v>
      </c>
      <c r="B279" s="26">
        <f t="shared" si="40"/>
        <v>1</v>
      </c>
      <c r="C279" s="20"/>
      <c r="D279" s="21"/>
      <c r="F279" s="23" t="e">
        <f>VLOOKUP(E279,Customers[],2,FALSE)</f>
        <v>#N/A</v>
      </c>
      <c r="G279" s="23" t="e">
        <f>VLOOKUP(E279,Customers[],3,FALSE)</f>
        <v>#N/A</v>
      </c>
      <c r="H279" s="23" t="e">
        <f>VLOOKUP(E279,Customers[],4,FALSE)</f>
        <v>#N/A</v>
      </c>
      <c r="J279" s="29" t="e">
        <f>VLOOKUP(I279,PGStock[],2,FALSE)</f>
        <v>#N/A</v>
      </c>
      <c r="K279" s="30" t="e">
        <f>VLOOKUP(I279,PGStock[],3,FALSE)</f>
        <v>#N/A</v>
      </c>
      <c r="M279" s="31" t="e">
        <f>VLOOKUP(I279,PGStock[],6,FALSE)</f>
        <v>#N/A</v>
      </c>
      <c r="N279" s="31" t="e">
        <f>+Table8[[#This Row],[SalesBot]]*Table8[[#This Row],[Bonus]]</f>
        <v>#N/A</v>
      </c>
    </row>
    <row r="280" spans="1:14" ht="23.25" customHeight="1" x14ac:dyDescent="0.25">
      <c r="A280" s="26">
        <f t="shared" si="39"/>
        <v>1900</v>
      </c>
      <c r="B280" s="26">
        <f t="shared" si="40"/>
        <v>1</v>
      </c>
      <c r="C280" s="20"/>
      <c r="D280" s="21"/>
      <c r="F280" s="23" t="e">
        <f>VLOOKUP(E280,Customers[],2,FALSE)</f>
        <v>#N/A</v>
      </c>
      <c r="G280" s="23" t="e">
        <f>VLOOKUP(E280,Customers[],3,FALSE)</f>
        <v>#N/A</v>
      </c>
      <c r="H280" s="23" t="e">
        <f>VLOOKUP(E280,Customers[],4,FALSE)</f>
        <v>#N/A</v>
      </c>
      <c r="J280" s="29" t="e">
        <f>VLOOKUP(I280,PGStock[],2,FALSE)</f>
        <v>#N/A</v>
      </c>
      <c r="K280" s="30" t="e">
        <f>VLOOKUP(I280,PGStock[],3,FALSE)</f>
        <v>#N/A</v>
      </c>
      <c r="M280" s="31" t="e">
        <f>VLOOKUP(I280,PGStock[],6,FALSE)</f>
        <v>#N/A</v>
      </c>
      <c r="N280" s="31" t="e">
        <f>+Table8[[#This Row],[SalesBot]]*Table8[[#This Row],[Bonus]]</f>
        <v>#N/A</v>
      </c>
    </row>
    <row r="281" spans="1:14" ht="23.25" customHeight="1" x14ac:dyDescent="0.25">
      <c r="A281" s="26">
        <f t="shared" si="39"/>
        <v>1900</v>
      </c>
      <c r="B281" s="26">
        <f t="shared" si="40"/>
        <v>1</v>
      </c>
      <c r="C281" s="20"/>
      <c r="D281" s="21"/>
      <c r="F281" s="23" t="e">
        <f>VLOOKUP(E281,Customers[],2,FALSE)</f>
        <v>#N/A</v>
      </c>
      <c r="G281" s="23" t="e">
        <f>VLOOKUP(E281,Customers[],3,FALSE)</f>
        <v>#N/A</v>
      </c>
      <c r="H281" s="23" t="e">
        <f>VLOOKUP(E281,Customers[],4,FALSE)</f>
        <v>#N/A</v>
      </c>
      <c r="J281" s="29" t="e">
        <f>VLOOKUP(I281,PGStock[],2,FALSE)</f>
        <v>#N/A</v>
      </c>
      <c r="K281" s="30" t="e">
        <f>VLOOKUP(I281,PGStock[],3,FALSE)</f>
        <v>#N/A</v>
      </c>
      <c r="M281" s="31" t="e">
        <f>VLOOKUP(I281,PGStock[],6,FALSE)</f>
        <v>#N/A</v>
      </c>
      <c r="N281" s="31" t="e">
        <f>+Table8[[#This Row],[SalesBot]]*Table8[[#This Row],[Bonus]]</f>
        <v>#N/A</v>
      </c>
    </row>
    <row r="282" spans="1:14" ht="23.25" customHeight="1" x14ac:dyDescent="0.25">
      <c r="A282" s="26">
        <f t="shared" si="39"/>
        <v>1900</v>
      </c>
      <c r="B282" s="26">
        <f t="shared" si="40"/>
        <v>1</v>
      </c>
      <c r="C282" s="20"/>
      <c r="D282" s="21"/>
      <c r="F282" s="23" t="e">
        <f>VLOOKUP(E282,Customers[],2,FALSE)</f>
        <v>#N/A</v>
      </c>
      <c r="G282" s="23" t="e">
        <f>VLOOKUP(E282,Customers[],3,FALSE)</f>
        <v>#N/A</v>
      </c>
      <c r="H282" s="23" t="e">
        <f>VLOOKUP(E282,Customers[],4,FALSE)</f>
        <v>#N/A</v>
      </c>
      <c r="J282" s="29" t="e">
        <f>VLOOKUP(I282,PGStock[],2,FALSE)</f>
        <v>#N/A</v>
      </c>
      <c r="K282" s="30" t="e">
        <f>VLOOKUP(I282,PGStock[],3,FALSE)</f>
        <v>#N/A</v>
      </c>
      <c r="M282" s="31" t="e">
        <f>VLOOKUP(I282,PGStock[],6,FALSE)</f>
        <v>#N/A</v>
      </c>
      <c r="N282" s="31" t="e">
        <f>+Table8[[#This Row],[SalesBot]]*Table8[[#This Row],[Bonus]]</f>
        <v>#N/A</v>
      </c>
    </row>
    <row r="283" spans="1:14" ht="23.25" customHeight="1" x14ac:dyDescent="0.25">
      <c r="A283" s="26">
        <f t="shared" si="39"/>
        <v>1900</v>
      </c>
      <c r="B283" s="26">
        <f t="shared" si="40"/>
        <v>1</v>
      </c>
      <c r="C283" s="20"/>
      <c r="D283" s="21"/>
      <c r="F283" s="23" t="e">
        <f>VLOOKUP(E283,Customers[],2,FALSE)</f>
        <v>#N/A</v>
      </c>
      <c r="G283" s="23" t="e">
        <f>VLOOKUP(E283,Customers[],3,FALSE)</f>
        <v>#N/A</v>
      </c>
      <c r="H283" s="23" t="e">
        <f>VLOOKUP(E283,Customers[],4,FALSE)</f>
        <v>#N/A</v>
      </c>
      <c r="J283" s="29" t="e">
        <f>VLOOKUP(I283,PGStock[],2,FALSE)</f>
        <v>#N/A</v>
      </c>
      <c r="K283" s="30" t="e">
        <f>VLOOKUP(I283,PGStock[],3,FALSE)</f>
        <v>#N/A</v>
      </c>
      <c r="M283" s="31" t="e">
        <f>VLOOKUP(I283,PGStock[],6,FALSE)</f>
        <v>#N/A</v>
      </c>
      <c r="N283" s="31" t="e">
        <f>+Table8[[#This Row],[SalesBot]]*Table8[[#This Row],[Bonus]]</f>
        <v>#N/A</v>
      </c>
    </row>
    <row r="284" spans="1:14" ht="23.25" customHeight="1" x14ac:dyDescent="0.25">
      <c r="A284" s="26">
        <f t="shared" si="39"/>
        <v>1900</v>
      </c>
      <c r="B284" s="26">
        <f t="shared" si="40"/>
        <v>1</v>
      </c>
      <c r="C284" s="20"/>
      <c r="D284" s="21"/>
      <c r="F284" s="23" t="e">
        <f>VLOOKUP(E284,Customers[],2,FALSE)</f>
        <v>#N/A</v>
      </c>
      <c r="G284" s="23" t="e">
        <f>VLOOKUP(E284,Customers[],3,FALSE)</f>
        <v>#N/A</v>
      </c>
      <c r="H284" s="23" t="e">
        <f>VLOOKUP(E284,Customers[],4,FALSE)</f>
        <v>#N/A</v>
      </c>
      <c r="J284" s="29" t="e">
        <f>VLOOKUP(I284,PGStock[],2,FALSE)</f>
        <v>#N/A</v>
      </c>
      <c r="K284" s="30" t="e">
        <f>VLOOKUP(I284,PGStock[],3,FALSE)</f>
        <v>#N/A</v>
      </c>
      <c r="M284" s="31" t="e">
        <f>VLOOKUP(I284,PGStock[],6,FALSE)</f>
        <v>#N/A</v>
      </c>
      <c r="N284" s="31" t="e">
        <f>+Table8[[#This Row],[SalesBot]]*Table8[[#This Row],[Bonus]]</f>
        <v>#N/A</v>
      </c>
    </row>
    <row r="285" spans="1:14" ht="23.25" customHeight="1" x14ac:dyDescent="0.25">
      <c r="A285" s="26">
        <f t="shared" si="39"/>
        <v>1900</v>
      </c>
      <c r="B285" s="26">
        <f t="shared" si="40"/>
        <v>1</v>
      </c>
      <c r="C285" s="20"/>
      <c r="D285" s="21"/>
      <c r="F285" s="23" t="e">
        <f>VLOOKUP(E285,Customers[],2,FALSE)</f>
        <v>#N/A</v>
      </c>
      <c r="G285" s="23" t="e">
        <f>VLOOKUP(E285,Customers[],3,FALSE)</f>
        <v>#N/A</v>
      </c>
      <c r="H285" s="23" t="e">
        <f>VLOOKUP(E285,Customers[],4,FALSE)</f>
        <v>#N/A</v>
      </c>
      <c r="J285" s="29" t="e">
        <f>VLOOKUP(I285,PGStock[],2,FALSE)</f>
        <v>#N/A</v>
      </c>
      <c r="K285" s="30" t="e">
        <f>VLOOKUP(I285,PGStock[],3,FALSE)</f>
        <v>#N/A</v>
      </c>
      <c r="M285" s="31" t="e">
        <f>VLOOKUP(I285,PGStock[],6,FALSE)</f>
        <v>#N/A</v>
      </c>
      <c r="N285" s="31" t="e">
        <f>+Table8[[#This Row],[SalesBot]]*Table8[[#This Row],[Bonus]]</f>
        <v>#N/A</v>
      </c>
    </row>
    <row r="286" spans="1:14" ht="23.25" customHeight="1" x14ac:dyDescent="0.25">
      <c r="A286" s="26">
        <f t="shared" si="39"/>
        <v>1900</v>
      </c>
      <c r="B286" s="26">
        <f t="shared" si="40"/>
        <v>1</v>
      </c>
      <c r="C286" s="20"/>
      <c r="D286" s="21"/>
      <c r="F286" s="23" t="e">
        <f>VLOOKUP(E286,Customers[],2,FALSE)</f>
        <v>#N/A</v>
      </c>
      <c r="G286" s="23" t="e">
        <f>VLOOKUP(E286,Customers[],3,FALSE)</f>
        <v>#N/A</v>
      </c>
      <c r="H286" s="23" t="e">
        <f>VLOOKUP(E286,Customers[],4,FALSE)</f>
        <v>#N/A</v>
      </c>
      <c r="J286" s="29" t="e">
        <f>VLOOKUP(I286,PGStock[],2,FALSE)</f>
        <v>#N/A</v>
      </c>
      <c r="K286" s="30" t="e">
        <f>VLOOKUP(I286,PGStock[],3,FALSE)</f>
        <v>#N/A</v>
      </c>
      <c r="M286" s="31" t="e">
        <f>VLOOKUP(I286,PGStock[],6,FALSE)</f>
        <v>#N/A</v>
      </c>
      <c r="N286" s="31" t="e">
        <f>+Table8[[#This Row],[SalesBot]]*Table8[[#This Row],[Bonus]]</f>
        <v>#N/A</v>
      </c>
    </row>
    <row r="287" spans="1:14" ht="23.25" customHeight="1" x14ac:dyDescent="0.25">
      <c r="A287" s="26">
        <f t="shared" si="39"/>
        <v>1900</v>
      </c>
      <c r="B287" s="26">
        <f t="shared" si="40"/>
        <v>1</v>
      </c>
      <c r="C287" s="20"/>
      <c r="D287" s="21"/>
      <c r="F287" s="23" t="e">
        <f>VLOOKUP(E287,Customers[],2,FALSE)</f>
        <v>#N/A</v>
      </c>
      <c r="G287" s="23" t="e">
        <f>VLOOKUP(E287,Customers[],3,FALSE)</f>
        <v>#N/A</v>
      </c>
      <c r="H287" s="23" t="e">
        <f>VLOOKUP(E287,Customers[],4,FALSE)</f>
        <v>#N/A</v>
      </c>
      <c r="J287" s="29" t="e">
        <f>VLOOKUP(I287,PGStock[],2,FALSE)</f>
        <v>#N/A</v>
      </c>
      <c r="K287" s="30" t="e">
        <f>VLOOKUP(I287,PGStock[],3,FALSE)</f>
        <v>#N/A</v>
      </c>
      <c r="M287" s="31" t="e">
        <f>VLOOKUP(I287,PGStock[],6,FALSE)</f>
        <v>#N/A</v>
      </c>
      <c r="N287" s="31" t="e">
        <f>+Table8[[#This Row],[SalesBot]]*Table8[[#This Row],[Bonus]]</f>
        <v>#N/A</v>
      </c>
    </row>
    <row r="288" spans="1:14" ht="23.25" customHeight="1" x14ac:dyDescent="0.25">
      <c r="A288" s="26">
        <f t="shared" si="39"/>
        <v>1900</v>
      </c>
      <c r="B288" s="26">
        <f t="shared" si="40"/>
        <v>1</v>
      </c>
      <c r="C288" s="20"/>
      <c r="D288" s="21"/>
      <c r="F288" s="23" t="e">
        <f>VLOOKUP(E288,Customers[],2,FALSE)</f>
        <v>#N/A</v>
      </c>
      <c r="G288" s="23" t="e">
        <f>VLOOKUP(E288,Customers[],3,FALSE)</f>
        <v>#N/A</v>
      </c>
      <c r="H288" s="23" t="e">
        <f>VLOOKUP(E288,Customers[],4,FALSE)</f>
        <v>#N/A</v>
      </c>
      <c r="J288" s="29" t="e">
        <f>VLOOKUP(I288,PGStock[],2,FALSE)</f>
        <v>#N/A</v>
      </c>
      <c r="K288" s="30" t="e">
        <f>VLOOKUP(I288,PGStock[],3,FALSE)</f>
        <v>#N/A</v>
      </c>
      <c r="M288" s="31" t="e">
        <f>VLOOKUP(I288,PGStock[],6,FALSE)</f>
        <v>#N/A</v>
      </c>
      <c r="N288" s="31" t="e">
        <f>+Table8[[#This Row],[SalesBot]]*Table8[[#This Row],[Bonus]]</f>
        <v>#N/A</v>
      </c>
    </row>
    <row r="289" spans="1:14" ht="23.25" customHeight="1" x14ac:dyDescent="0.25">
      <c r="A289" s="26">
        <f t="shared" si="39"/>
        <v>1900</v>
      </c>
      <c r="B289" s="26">
        <f t="shared" si="40"/>
        <v>1</v>
      </c>
      <c r="C289" s="20"/>
      <c r="D289" s="21"/>
      <c r="F289" s="23" t="e">
        <f>VLOOKUP(E289,Customers[],2,FALSE)</f>
        <v>#N/A</v>
      </c>
      <c r="G289" s="23" t="e">
        <f>VLOOKUP(E289,Customers[],3,FALSE)</f>
        <v>#N/A</v>
      </c>
      <c r="H289" s="23" t="e">
        <f>VLOOKUP(E289,Customers[],4,FALSE)</f>
        <v>#N/A</v>
      </c>
      <c r="J289" s="29" t="e">
        <f>VLOOKUP(I289,PGStock[],2,FALSE)</f>
        <v>#N/A</v>
      </c>
      <c r="K289" s="30" t="e">
        <f>VLOOKUP(I289,PGStock[],3,FALSE)</f>
        <v>#N/A</v>
      </c>
      <c r="M289" s="31" t="e">
        <f>VLOOKUP(I289,PGStock[],6,FALSE)</f>
        <v>#N/A</v>
      </c>
      <c r="N289" s="31" t="e">
        <f>+Table8[[#This Row],[SalesBot]]*Table8[[#This Row],[Bonus]]</f>
        <v>#N/A</v>
      </c>
    </row>
    <row r="290" spans="1:14" ht="23.25" customHeight="1" x14ac:dyDescent="0.25">
      <c r="A290" s="26">
        <f t="shared" si="37"/>
        <v>1900</v>
      </c>
      <c r="B290" s="26">
        <f t="shared" si="38"/>
        <v>1</v>
      </c>
      <c r="C290" s="20"/>
      <c r="D290" s="21"/>
      <c r="F290" s="23" t="e">
        <f>VLOOKUP(E290,Customers[],2,FALSE)</f>
        <v>#N/A</v>
      </c>
      <c r="G290" s="23" t="e">
        <f>VLOOKUP(E290,Customers[],3,FALSE)</f>
        <v>#N/A</v>
      </c>
      <c r="H290" s="23" t="e">
        <f>VLOOKUP(E290,Customers[],4,FALSE)</f>
        <v>#N/A</v>
      </c>
      <c r="J290" s="29" t="e">
        <f>VLOOKUP(I290,PGStock[],2,FALSE)</f>
        <v>#N/A</v>
      </c>
      <c r="K290" s="30" t="e">
        <f>VLOOKUP(I290,PGStock[],3,FALSE)</f>
        <v>#N/A</v>
      </c>
      <c r="M290" s="31" t="e">
        <f>VLOOKUP(I290,PGStock[],6,FALSE)</f>
        <v>#N/A</v>
      </c>
      <c r="N290" s="31" t="e">
        <f>+Table8[[#This Row],[SalesBot]]*Table8[[#This Row],[Bonus]]</f>
        <v>#N/A</v>
      </c>
    </row>
    <row r="291" spans="1:14" ht="23.25" customHeight="1" x14ac:dyDescent="0.25">
      <c r="A291" s="26">
        <f t="shared" ref="A291:A309" si="41">YEAR(C291)</f>
        <v>1900</v>
      </c>
      <c r="B291" s="26">
        <f t="shared" ref="B291:B309" si="42">MONTH(C291)</f>
        <v>1</v>
      </c>
      <c r="C291" s="20"/>
      <c r="D291" s="21"/>
      <c r="F291" s="23" t="e">
        <f>VLOOKUP(E291,Customers[],2,FALSE)</f>
        <v>#N/A</v>
      </c>
      <c r="G291" s="23" t="e">
        <f>VLOOKUP(E291,Customers[],3,FALSE)</f>
        <v>#N/A</v>
      </c>
      <c r="H291" s="23" t="e">
        <f>VLOOKUP(E291,Customers[],4,FALSE)</f>
        <v>#N/A</v>
      </c>
      <c r="J291" s="29" t="e">
        <f>VLOOKUP(I291,PGStock[],2,FALSE)</f>
        <v>#N/A</v>
      </c>
      <c r="K291" s="30" t="e">
        <f>VLOOKUP(I291,PGStock[],3,FALSE)</f>
        <v>#N/A</v>
      </c>
      <c r="M291" s="31" t="e">
        <f>VLOOKUP(I291,PGStock[],6,FALSE)</f>
        <v>#N/A</v>
      </c>
      <c r="N291" s="31" t="e">
        <f>+Table8[[#This Row],[SalesBot]]*Table8[[#This Row],[Bonus]]</f>
        <v>#N/A</v>
      </c>
    </row>
    <row r="292" spans="1:14" ht="23.25" customHeight="1" x14ac:dyDescent="0.25">
      <c r="A292" s="26">
        <f t="shared" si="41"/>
        <v>1900</v>
      </c>
      <c r="B292" s="26">
        <f t="shared" si="42"/>
        <v>1</v>
      </c>
      <c r="C292" s="20"/>
      <c r="D292" s="21"/>
      <c r="F292" s="23" t="e">
        <f>VLOOKUP(E292,Customers[],2,FALSE)</f>
        <v>#N/A</v>
      </c>
      <c r="G292" s="23" t="e">
        <f>VLOOKUP(E292,Customers[],3,FALSE)</f>
        <v>#N/A</v>
      </c>
      <c r="H292" s="23" t="e">
        <f>VLOOKUP(E292,Customers[],4,FALSE)</f>
        <v>#N/A</v>
      </c>
      <c r="J292" s="29" t="e">
        <f>VLOOKUP(I292,PGStock[],2,FALSE)</f>
        <v>#N/A</v>
      </c>
      <c r="K292" s="30" t="e">
        <f>VLOOKUP(I292,PGStock[],3,FALSE)</f>
        <v>#N/A</v>
      </c>
      <c r="M292" s="31" t="e">
        <f>VLOOKUP(I292,PGStock[],6,FALSE)</f>
        <v>#N/A</v>
      </c>
      <c r="N292" s="31" t="e">
        <f>+Table8[[#This Row],[SalesBot]]*Table8[[#This Row],[Bonus]]</f>
        <v>#N/A</v>
      </c>
    </row>
    <row r="293" spans="1:14" ht="23.25" customHeight="1" x14ac:dyDescent="0.25">
      <c r="A293" s="26">
        <f t="shared" si="41"/>
        <v>1900</v>
      </c>
      <c r="B293" s="26">
        <f t="shared" si="42"/>
        <v>1</v>
      </c>
      <c r="C293" s="20"/>
      <c r="D293" s="21"/>
      <c r="F293" s="23" t="e">
        <f>VLOOKUP(E293,Customers[],2,FALSE)</f>
        <v>#N/A</v>
      </c>
      <c r="G293" s="23" t="e">
        <f>VLOOKUP(E293,Customers[],3,FALSE)</f>
        <v>#N/A</v>
      </c>
      <c r="H293" s="23" t="e">
        <f>VLOOKUP(E293,Customers[],4,FALSE)</f>
        <v>#N/A</v>
      </c>
      <c r="J293" s="29" t="e">
        <f>VLOOKUP(I293,PGStock[],2,FALSE)</f>
        <v>#N/A</v>
      </c>
      <c r="K293" s="30" t="e">
        <f>VLOOKUP(I293,PGStock[],3,FALSE)</f>
        <v>#N/A</v>
      </c>
      <c r="M293" s="31" t="e">
        <f>VLOOKUP(I293,PGStock[],6,FALSE)</f>
        <v>#N/A</v>
      </c>
      <c r="N293" s="31" t="e">
        <f>+Table8[[#This Row],[SalesBot]]*Table8[[#This Row],[Bonus]]</f>
        <v>#N/A</v>
      </c>
    </row>
    <row r="294" spans="1:14" ht="23.25" customHeight="1" x14ac:dyDescent="0.25">
      <c r="A294" s="26">
        <f t="shared" si="41"/>
        <v>1900</v>
      </c>
      <c r="B294" s="26">
        <f t="shared" si="42"/>
        <v>1</v>
      </c>
      <c r="C294" s="20"/>
      <c r="D294" s="21"/>
      <c r="F294" s="23" t="e">
        <f>VLOOKUP(E294,Customers[],2,FALSE)</f>
        <v>#N/A</v>
      </c>
      <c r="G294" s="23" t="e">
        <f>VLOOKUP(E294,Customers[],3,FALSE)</f>
        <v>#N/A</v>
      </c>
      <c r="H294" s="23" t="e">
        <f>VLOOKUP(E294,Customers[],4,FALSE)</f>
        <v>#N/A</v>
      </c>
      <c r="J294" s="29" t="e">
        <f>VLOOKUP(I294,PGStock[],2,FALSE)</f>
        <v>#N/A</v>
      </c>
      <c r="K294" s="30" t="e">
        <f>VLOOKUP(I294,PGStock[],3,FALSE)</f>
        <v>#N/A</v>
      </c>
      <c r="M294" s="31" t="e">
        <f>VLOOKUP(I294,PGStock[],6,FALSE)</f>
        <v>#N/A</v>
      </c>
      <c r="N294" s="31" t="e">
        <f>+Table8[[#This Row],[SalesBot]]*Table8[[#This Row],[Bonus]]</f>
        <v>#N/A</v>
      </c>
    </row>
    <row r="295" spans="1:14" ht="23.25" customHeight="1" x14ac:dyDescent="0.25">
      <c r="A295" s="26">
        <f t="shared" si="41"/>
        <v>1900</v>
      </c>
      <c r="B295" s="26">
        <f t="shared" si="42"/>
        <v>1</v>
      </c>
      <c r="C295" s="20"/>
      <c r="D295" s="21"/>
      <c r="F295" s="23" t="e">
        <f>VLOOKUP(E295,Customers[],2,FALSE)</f>
        <v>#N/A</v>
      </c>
      <c r="G295" s="23" t="e">
        <f>VLOOKUP(E295,Customers[],3,FALSE)</f>
        <v>#N/A</v>
      </c>
      <c r="H295" s="23" t="e">
        <f>VLOOKUP(E295,Customers[],4,FALSE)</f>
        <v>#N/A</v>
      </c>
      <c r="J295" s="29" t="e">
        <f>VLOOKUP(I295,PGStock[],2,FALSE)</f>
        <v>#N/A</v>
      </c>
      <c r="K295" s="30" t="e">
        <f>VLOOKUP(I295,PGStock[],3,FALSE)</f>
        <v>#N/A</v>
      </c>
      <c r="M295" s="31" t="e">
        <f>VLOOKUP(I295,PGStock[],6,FALSE)</f>
        <v>#N/A</v>
      </c>
      <c r="N295" s="31" t="e">
        <f>+Table8[[#This Row],[SalesBot]]*Table8[[#This Row],[Bonus]]</f>
        <v>#N/A</v>
      </c>
    </row>
    <row r="296" spans="1:14" ht="23.25" customHeight="1" x14ac:dyDescent="0.25">
      <c r="A296" s="26">
        <f t="shared" si="41"/>
        <v>1900</v>
      </c>
      <c r="B296" s="26">
        <f t="shared" si="42"/>
        <v>1</v>
      </c>
      <c r="C296" s="20"/>
      <c r="D296" s="21"/>
      <c r="F296" s="23" t="e">
        <f>VLOOKUP(E296,Customers[],2,FALSE)</f>
        <v>#N/A</v>
      </c>
      <c r="G296" s="23" t="e">
        <f>VLOOKUP(E296,Customers[],3,FALSE)</f>
        <v>#N/A</v>
      </c>
      <c r="H296" s="23" t="e">
        <f>VLOOKUP(E296,Customers[],4,FALSE)</f>
        <v>#N/A</v>
      </c>
      <c r="J296" s="29" t="e">
        <f>VLOOKUP(I296,PGStock[],2,FALSE)</f>
        <v>#N/A</v>
      </c>
      <c r="K296" s="30" t="e">
        <f>VLOOKUP(I296,PGStock[],3,FALSE)</f>
        <v>#N/A</v>
      </c>
      <c r="M296" s="31" t="e">
        <f>VLOOKUP(I296,PGStock[],6,FALSE)</f>
        <v>#N/A</v>
      </c>
      <c r="N296" s="31" t="e">
        <f>+Table8[[#This Row],[SalesBot]]*Table8[[#This Row],[Bonus]]</f>
        <v>#N/A</v>
      </c>
    </row>
    <row r="297" spans="1:14" ht="23.25" customHeight="1" x14ac:dyDescent="0.25">
      <c r="A297" s="26">
        <f t="shared" si="41"/>
        <v>1900</v>
      </c>
      <c r="B297" s="26">
        <f t="shared" si="42"/>
        <v>1</v>
      </c>
      <c r="C297" s="20"/>
      <c r="D297" s="21"/>
      <c r="F297" s="23" t="e">
        <f>VLOOKUP(E297,Customers[],2,FALSE)</f>
        <v>#N/A</v>
      </c>
      <c r="G297" s="23" t="e">
        <f>VLOOKUP(E297,Customers[],3,FALSE)</f>
        <v>#N/A</v>
      </c>
      <c r="H297" s="23" t="e">
        <f>VLOOKUP(E297,Customers[],4,FALSE)</f>
        <v>#N/A</v>
      </c>
      <c r="J297" s="29" t="e">
        <f>VLOOKUP(I297,PGStock[],2,FALSE)</f>
        <v>#N/A</v>
      </c>
      <c r="K297" s="30" t="e">
        <f>VLOOKUP(I297,PGStock[],3,FALSE)</f>
        <v>#N/A</v>
      </c>
      <c r="M297" s="31" t="e">
        <f>VLOOKUP(I297,PGStock[],6,FALSE)</f>
        <v>#N/A</v>
      </c>
      <c r="N297" s="31" t="e">
        <f>+Table8[[#This Row],[SalesBot]]*Table8[[#This Row],[Bonus]]</f>
        <v>#N/A</v>
      </c>
    </row>
    <row r="298" spans="1:14" ht="23.25" customHeight="1" x14ac:dyDescent="0.25">
      <c r="A298" s="26">
        <f t="shared" si="41"/>
        <v>1900</v>
      </c>
      <c r="B298" s="26">
        <f t="shared" si="42"/>
        <v>1</v>
      </c>
      <c r="C298" s="20"/>
      <c r="D298" s="21"/>
      <c r="F298" s="23" t="e">
        <f>VLOOKUP(E298,Customers[],2,FALSE)</f>
        <v>#N/A</v>
      </c>
      <c r="G298" s="23" t="e">
        <f>VLOOKUP(E298,Customers[],3,FALSE)</f>
        <v>#N/A</v>
      </c>
      <c r="H298" s="23" t="e">
        <f>VLOOKUP(E298,Customers[],4,FALSE)</f>
        <v>#N/A</v>
      </c>
      <c r="J298" s="29" t="e">
        <f>VLOOKUP(I298,PGStock[],2,FALSE)</f>
        <v>#N/A</v>
      </c>
      <c r="K298" s="30" t="e">
        <f>VLOOKUP(I298,PGStock[],3,FALSE)</f>
        <v>#N/A</v>
      </c>
      <c r="M298" s="31" t="e">
        <f>VLOOKUP(I298,PGStock[],6,FALSE)</f>
        <v>#N/A</v>
      </c>
      <c r="N298" s="31" t="e">
        <f>+Table8[[#This Row],[SalesBot]]*Table8[[#This Row],[Bonus]]</f>
        <v>#N/A</v>
      </c>
    </row>
    <row r="299" spans="1:14" ht="23.25" customHeight="1" x14ac:dyDescent="0.25">
      <c r="A299" s="26">
        <f t="shared" si="41"/>
        <v>1900</v>
      </c>
      <c r="B299" s="26">
        <f t="shared" si="42"/>
        <v>1</v>
      </c>
      <c r="C299" s="20"/>
      <c r="D299" s="21"/>
      <c r="F299" s="23" t="e">
        <f>VLOOKUP(E299,Customers[],2,FALSE)</f>
        <v>#N/A</v>
      </c>
      <c r="G299" s="23" t="e">
        <f>VLOOKUP(E299,Customers[],3,FALSE)</f>
        <v>#N/A</v>
      </c>
      <c r="H299" s="23" t="e">
        <f>VLOOKUP(E299,Customers[],4,FALSE)</f>
        <v>#N/A</v>
      </c>
      <c r="J299" s="29" t="e">
        <f>VLOOKUP(I299,PGStock[],2,FALSE)</f>
        <v>#N/A</v>
      </c>
      <c r="K299" s="30" t="e">
        <f>VLOOKUP(I299,PGStock[],3,FALSE)</f>
        <v>#N/A</v>
      </c>
      <c r="M299" s="31" t="e">
        <f>VLOOKUP(I299,PGStock[],6,FALSE)</f>
        <v>#N/A</v>
      </c>
      <c r="N299" s="31" t="e">
        <f>+Table8[[#This Row],[SalesBot]]*Table8[[#This Row],[Bonus]]</f>
        <v>#N/A</v>
      </c>
    </row>
    <row r="300" spans="1:14" ht="23.25" customHeight="1" x14ac:dyDescent="0.25">
      <c r="A300" s="26">
        <f t="shared" si="41"/>
        <v>1900</v>
      </c>
      <c r="B300" s="26">
        <f t="shared" si="42"/>
        <v>1</v>
      </c>
      <c r="C300" s="20"/>
      <c r="D300" s="21"/>
      <c r="F300" s="23" t="e">
        <f>VLOOKUP(E300,Customers[],2,FALSE)</f>
        <v>#N/A</v>
      </c>
      <c r="G300" s="23" t="e">
        <f>VLOOKUP(E300,Customers[],3,FALSE)</f>
        <v>#N/A</v>
      </c>
      <c r="H300" s="23" t="e">
        <f>VLOOKUP(E300,Customers[],4,FALSE)</f>
        <v>#N/A</v>
      </c>
      <c r="J300" s="29" t="e">
        <f>VLOOKUP(I300,PGStock[],2,FALSE)</f>
        <v>#N/A</v>
      </c>
      <c r="K300" s="30" t="e">
        <f>VLOOKUP(I300,PGStock[],3,FALSE)</f>
        <v>#N/A</v>
      </c>
      <c r="M300" s="31" t="e">
        <f>VLOOKUP(I300,PGStock[],6,FALSE)</f>
        <v>#N/A</v>
      </c>
      <c r="N300" s="31" t="e">
        <f>+Table8[[#This Row],[SalesBot]]*Table8[[#This Row],[Bonus]]</f>
        <v>#N/A</v>
      </c>
    </row>
    <row r="301" spans="1:14" ht="23.25" customHeight="1" x14ac:dyDescent="0.25">
      <c r="A301" s="26">
        <f t="shared" si="41"/>
        <v>1900</v>
      </c>
      <c r="B301" s="26">
        <f t="shared" si="42"/>
        <v>1</v>
      </c>
      <c r="C301" s="20"/>
      <c r="D301" s="21"/>
      <c r="F301" s="23" t="e">
        <f>VLOOKUP(E301,Customers[],2,FALSE)</f>
        <v>#N/A</v>
      </c>
      <c r="G301" s="23" t="e">
        <f>VLOOKUP(E301,Customers[],3,FALSE)</f>
        <v>#N/A</v>
      </c>
      <c r="H301" s="23" t="e">
        <f>VLOOKUP(E301,Customers[],4,FALSE)</f>
        <v>#N/A</v>
      </c>
      <c r="J301" s="29" t="e">
        <f>VLOOKUP(I301,PGStock[],2,FALSE)</f>
        <v>#N/A</v>
      </c>
      <c r="K301" s="30" t="e">
        <f>VLOOKUP(I301,PGStock[],3,FALSE)</f>
        <v>#N/A</v>
      </c>
      <c r="M301" s="31" t="e">
        <f>VLOOKUP(I301,PGStock[],6,FALSE)</f>
        <v>#N/A</v>
      </c>
      <c r="N301" s="31" t="e">
        <f>+Table8[[#This Row],[SalesBot]]*Table8[[#This Row],[Bonus]]</f>
        <v>#N/A</v>
      </c>
    </row>
    <row r="302" spans="1:14" ht="23.25" customHeight="1" x14ac:dyDescent="0.25">
      <c r="A302" s="26">
        <f t="shared" si="41"/>
        <v>1900</v>
      </c>
      <c r="B302" s="26">
        <f t="shared" si="42"/>
        <v>1</v>
      </c>
      <c r="C302" s="20"/>
      <c r="D302" s="21"/>
      <c r="F302" s="23" t="e">
        <f>VLOOKUP(E302,Customers[],2,FALSE)</f>
        <v>#N/A</v>
      </c>
      <c r="G302" s="23" t="e">
        <f>VLOOKUP(E302,Customers[],3,FALSE)</f>
        <v>#N/A</v>
      </c>
      <c r="H302" s="23" t="e">
        <f>VLOOKUP(E302,Customers[],4,FALSE)</f>
        <v>#N/A</v>
      </c>
      <c r="J302" s="29" t="e">
        <f>VLOOKUP(I302,PGStock[],2,FALSE)</f>
        <v>#N/A</v>
      </c>
      <c r="K302" s="30" t="e">
        <f>VLOOKUP(I302,PGStock[],3,FALSE)</f>
        <v>#N/A</v>
      </c>
      <c r="M302" s="31" t="e">
        <f>VLOOKUP(I302,PGStock[],6,FALSE)</f>
        <v>#N/A</v>
      </c>
      <c r="N302" s="31" t="e">
        <f>+Table8[[#This Row],[SalesBot]]*Table8[[#This Row],[Bonus]]</f>
        <v>#N/A</v>
      </c>
    </row>
    <row r="303" spans="1:14" ht="23.25" customHeight="1" x14ac:dyDescent="0.25">
      <c r="A303" s="26">
        <f t="shared" si="41"/>
        <v>1900</v>
      </c>
      <c r="B303" s="26">
        <f t="shared" si="42"/>
        <v>1</v>
      </c>
      <c r="C303" s="20"/>
      <c r="D303" s="21"/>
      <c r="F303" s="23" t="e">
        <f>VLOOKUP(E303,Customers[],2,FALSE)</f>
        <v>#N/A</v>
      </c>
      <c r="G303" s="23" t="e">
        <f>VLOOKUP(E303,Customers[],3,FALSE)</f>
        <v>#N/A</v>
      </c>
      <c r="H303" s="23" t="e">
        <f>VLOOKUP(E303,Customers[],4,FALSE)</f>
        <v>#N/A</v>
      </c>
      <c r="J303" s="29" t="e">
        <f>VLOOKUP(I303,PGStock[],2,FALSE)</f>
        <v>#N/A</v>
      </c>
      <c r="K303" s="30" t="e">
        <f>VLOOKUP(I303,PGStock[],3,FALSE)</f>
        <v>#N/A</v>
      </c>
      <c r="M303" s="31" t="e">
        <f>VLOOKUP(I303,PGStock[],6,FALSE)</f>
        <v>#N/A</v>
      </c>
      <c r="N303" s="31" t="e">
        <f>+Table8[[#This Row],[SalesBot]]*Table8[[#This Row],[Bonus]]</f>
        <v>#N/A</v>
      </c>
    </row>
    <row r="304" spans="1:14" ht="23.25" customHeight="1" x14ac:dyDescent="0.25">
      <c r="A304" s="26">
        <f t="shared" si="41"/>
        <v>1900</v>
      </c>
      <c r="B304" s="26">
        <f t="shared" si="42"/>
        <v>1</v>
      </c>
      <c r="C304" s="20"/>
      <c r="D304" s="21"/>
      <c r="F304" s="23" t="e">
        <f>VLOOKUP(E304,Customers[],2,FALSE)</f>
        <v>#N/A</v>
      </c>
      <c r="G304" s="23" t="e">
        <f>VLOOKUP(E304,Customers[],3,FALSE)</f>
        <v>#N/A</v>
      </c>
      <c r="H304" s="23" t="e">
        <f>VLOOKUP(E304,Customers[],4,FALSE)</f>
        <v>#N/A</v>
      </c>
      <c r="J304" s="29" t="e">
        <f>VLOOKUP(I304,PGStock[],2,FALSE)</f>
        <v>#N/A</v>
      </c>
      <c r="K304" s="30" t="e">
        <f>VLOOKUP(I304,PGStock[],3,FALSE)</f>
        <v>#N/A</v>
      </c>
      <c r="M304" s="31" t="e">
        <f>VLOOKUP(I304,PGStock[],6,FALSE)</f>
        <v>#N/A</v>
      </c>
      <c r="N304" s="31" t="e">
        <f>+Table8[[#This Row],[SalesBot]]*Table8[[#This Row],[Bonus]]</f>
        <v>#N/A</v>
      </c>
    </row>
    <row r="305" spans="1:14" ht="23.25" customHeight="1" x14ac:dyDescent="0.25">
      <c r="A305" s="26">
        <f t="shared" si="41"/>
        <v>1900</v>
      </c>
      <c r="B305" s="26">
        <f t="shared" si="42"/>
        <v>1</v>
      </c>
      <c r="C305" s="20"/>
      <c r="D305" s="21"/>
      <c r="F305" s="23" t="e">
        <f>VLOOKUP(E305,Customers[],2,FALSE)</f>
        <v>#N/A</v>
      </c>
      <c r="G305" s="23" t="e">
        <f>VLOOKUP(E305,Customers[],3,FALSE)</f>
        <v>#N/A</v>
      </c>
      <c r="H305" s="23" t="e">
        <f>VLOOKUP(E305,Customers[],4,FALSE)</f>
        <v>#N/A</v>
      </c>
      <c r="J305" s="29" t="e">
        <f>VLOOKUP(I305,PGStock[],2,FALSE)</f>
        <v>#N/A</v>
      </c>
      <c r="K305" s="30" t="e">
        <f>VLOOKUP(I305,PGStock[],3,FALSE)</f>
        <v>#N/A</v>
      </c>
      <c r="M305" s="31" t="e">
        <f>VLOOKUP(I305,PGStock[],6,FALSE)</f>
        <v>#N/A</v>
      </c>
      <c r="N305" s="31" t="e">
        <f>+Table8[[#This Row],[SalesBot]]*Table8[[#This Row],[Bonus]]</f>
        <v>#N/A</v>
      </c>
    </row>
    <row r="306" spans="1:14" ht="23.25" customHeight="1" x14ac:dyDescent="0.25">
      <c r="A306" s="26">
        <f t="shared" si="41"/>
        <v>1900</v>
      </c>
      <c r="B306" s="26">
        <f t="shared" si="42"/>
        <v>1</v>
      </c>
      <c r="C306" s="20"/>
      <c r="D306" s="21"/>
      <c r="F306" s="23" t="e">
        <f>VLOOKUP(E306,Customers[],2,FALSE)</f>
        <v>#N/A</v>
      </c>
      <c r="G306" s="23" t="e">
        <f>VLOOKUP(E306,Customers[],3,FALSE)</f>
        <v>#N/A</v>
      </c>
      <c r="H306" s="23" t="e">
        <f>VLOOKUP(E306,Customers[],4,FALSE)</f>
        <v>#N/A</v>
      </c>
      <c r="J306" s="29" t="e">
        <f>VLOOKUP(I306,PGStock[],2,FALSE)</f>
        <v>#N/A</v>
      </c>
      <c r="K306" s="30" t="e">
        <f>VLOOKUP(I306,PGStock[],3,FALSE)</f>
        <v>#N/A</v>
      </c>
      <c r="M306" s="31" t="e">
        <f>VLOOKUP(I306,PGStock[],6,FALSE)</f>
        <v>#N/A</v>
      </c>
      <c r="N306" s="31" t="e">
        <f>+Table8[[#This Row],[SalesBot]]*Table8[[#This Row],[Bonus]]</f>
        <v>#N/A</v>
      </c>
    </row>
    <row r="307" spans="1:14" ht="23.25" customHeight="1" x14ac:dyDescent="0.25">
      <c r="A307" s="26">
        <f t="shared" si="41"/>
        <v>1900</v>
      </c>
      <c r="B307" s="26">
        <f t="shared" si="42"/>
        <v>1</v>
      </c>
      <c r="C307" s="20"/>
      <c r="D307" s="21"/>
      <c r="F307" s="23" t="e">
        <f>VLOOKUP(E307,Customers[],2,FALSE)</f>
        <v>#N/A</v>
      </c>
      <c r="G307" s="23" t="e">
        <f>VLOOKUP(E307,Customers[],3,FALSE)</f>
        <v>#N/A</v>
      </c>
      <c r="H307" s="23" t="e">
        <f>VLOOKUP(E307,Customers[],4,FALSE)</f>
        <v>#N/A</v>
      </c>
      <c r="J307" s="29" t="e">
        <f>VLOOKUP(I307,PGStock[],2,FALSE)</f>
        <v>#N/A</v>
      </c>
      <c r="K307" s="30" t="e">
        <f>VLOOKUP(I307,PGStock[],3,FALSE)</f>
        <v>#N/A</v>
      </c>
      <c r="M307" s="31" t="e">
        <f>VLOOKUP(I307,PGStock[],6,FALSE)</f>
        <v>#N/A</v>
      </c>
      <c r="N307" s="31" t="e">
        <f>+Table8[[#This Row],[SalesBot]]*Table8[[#This Row],[Bonus]]</f>
        <v>#N/A</v>
      </c>
    </row>
    <row r="308" spans="1:14" ht="23.25" customHeight="1" x14ac:dyDescent="0.25">
      <c r="A308" s="26">
        <f t="shared" si="41"/>
        <v>1900</v>
      </c>
      <c r="B308" s="26">
        <f t="shared" si="42"/>
        <v>1</v>
      </c>
      <c r="C308" s="20"/>
      <c r="D308" s="21"/>
      <c r="F308" s="23" t="e">
        <f>VLOOKUP(E308,Customers[],2,FALSE)</f>
        <v>#N/A</v>
      </c>
      <c r="G308" s="23" t="e">
        <f>VLOOKUP(E308,Customers[],3,FALSE)</f>
        <v>#N/A</v>
      </c>
      <c r="H308" s="23" t="e">
        <f>VLOOKUP(E308,Customers[],4,FALSE)</f>
        <v>#N/A</v>
      </c>
      <c r="J308" s="29" t="e">
        <f>VLOOKUP(I308,PGStock[],2,FALSE)</f>
        <v>#N/A</v>
      </c>
      <c r="K308" s="30" t="e">
        <f>VLOOKUP(I308,PGStock[],3,FALSE)</f>
        <v>#N/A</v>
      </c>
      <c r="M308" s="31" t="e">
        <f>VLOOKUP(I308,PGStock[],6,FALSE)</f>
        <v>#N/A</v>
      </c>
      <c r="N308" s="31" t="e">
        <f>+Table8[[#This Row],[SalesBot]]*Table8[[#This Row],[Bonus]]</f>
        <v>#N/A</v>
      </c>
    </row>
    <row r="309" spans="1:14" ht="23.25" customHeight="1" x14ac:dyDescent="0.25">
      <c r="A309" s="26">
        <f t="shared" si="41"/>
        <v>1900</v>
      </c>
      <c r="B309" s="26">
        <f t="shared" si="42"/>
        <v>1</v>
      </c>
      <c r="C309" s="20"/>
      <c r="D309" s="21"/>
      <c r="F309" s="23" t="e">
        <f>VLOOKUP(E309,Customers[],2,FALSE)</f>
        <v>#N/A</v>
      </c>
      <c r="G309" s="23" t="e">
        <f>VLOOKUP(E309,Customers[],3,FALSE)</f>
        <v>#N/A</v>
      </c>
      <c r="H309" s="23" t="e">
        <f>VLOOKUP(E309,Customers[],4,FALSE)</f>
        <v>#N/A</v>
      </c>
      <c r="J309" s="29" t="e">
        <f>VLOOKUP(I309,PGStock[],2,FALSE)</f>
        <v>#N/A</v>
      </c>
      <c r="K309" s="30" t="e">
        <f>VLOOKUP(I309,PGStock[],3,FALSE)</f>
        <v>#N/A</v>
      </c>
      <c r="M309" s="31" t="e">
        <f>VLOOKUP(I309,PGStock[],6,FALSE)</f>
        <v>#N/A</v>
      </c>
      <c r="N309" s="31" t="e">
        <f>+Table8[[#This Row],[SalesBot]]*Table8[[#This Row],[Bonus]]</f>
        <v>#N/A</v>
      </c>
    </row>
    <row r="310" spans="1:14" ht="23.25" customHeight="1" x14ac:dyDescent="0.25">
      <c r="A310" s="26">
        <f t="shared" ref="A310:A334" si="43">YEAR(C310)</f>
        <v>1900</v>
      </c>
      <c r="B310" s="26">
        <f t="shared" ref="B310:B334" si="44">MONTH(C310)</f>
        <v>1</v>
      </c>
      <c r="C310" s="20"/>
      <c r="D310" s="21"/>
      <c r="F310" s="23" t="e">
        <f>VLOOKUP(E310,Customers[],2,FALSE)</f>
        <v>#N/A</v>
      </c>
      <c r="G310" s="23" t="e">
        <f>VLOOKUP(E310,Customers[],3,FALSE)</f>
        <v>#N/A</v>
      </c>
      <c r="H310" s="23" t="e">
        <f>VLOOKUP(E310,Customers[],4,FALSE)</f>
        <v>#N/A</v>
      </c>
      <c r="J310" s="29" t="e">
        <f>VLOOKUP(I310,PGStock[],2,FALSE)</f>
        <v>#N/A</v>
      </c>
      <c r="K310" s="30" t="e">
        <f>VLOOKUP(I310,PGStock[],3,FALSE)</f>
        <v>#N/A</v>
      </c>
      <c r="M310" s="31" t="e">
        <f>VLOOKUP(I310,PGStock[],6,FALSE)</f>
        <v>#N/A</v>
      </c>
      <c r="N310" s="31" t="e">
        <f>+Table8[[#This Row],[SalesBot]]*Table8[[#This Row],[Bonus]]</f>
        <v>#N/A</v>
      </c>
    </row>
    <row r="311" spans="1:14" ht="23.25" customHeight="1" x14ac:dyDescent="0.25">
      <c r="A311" s="26">
        <f t="shared" si="43"/>
        <v>1900</v>
      </c>
      <c r="B311" s="26">
        <f t="shared" si="44"/>
        <v>1</v>
      </c>
      <c r="C311" s="20"/>
      <c r="D311" s="21"/>
      <c r="F311" s="23" t="e">
        <f>VLOOKUP(E311,Customers[],2,FALSE)</f>
        <v>#N/A</v>
      </c>
      <c r="G311" s="23" t="e">
        <f>VLOOKUP(E311,Customers[],3,FALSE)</f>
        <v>#N/A</v>
      </c>
      <c r="H311" s="23" t="e">
        <f>VLOOKUP(E311,Customers[],4,FALSE)</f>
        <v>#N/A</v>
      </c>
      <c r="J311" s="29" t="e">
        <f>VLOOKUP(I311,PGStock[],2,FALSE)</f>
        <v>#N/A</v>
      </c>
      <c r="K311" s="30" t="e">
        <f>VLOOKUP(I311,PGStock[],3,FALSE)</f>
        <v>#N/A</v>
      </c>
      <c r="M311" s="31" t="e">
        <f>VLOOKUP(I311,PGStock[],6,FALSE)</f>
        <v>#N/A</v>
      </c>
      <c r="N311" s="31" t="e">
        <f>+Table8[[#This Row],[SalesBot]]*Table8[[#This Row],[Bonus]]</f>
        <v>#N/A</v>
      </c>
    </row>
    <row r="312" spans="1:14" ht="23.25" customHeight="1" x14ac:dyDescent="0.25">
      <c r="A312" s="26">
        <f t="shared" si="43"/>
        <v>1900</v>
      </c>
      <c r="B312" s="26">
        <f t="shared" si="44"/>
        <v>1</v>
      </c>
      <c r="C312" s="20"/>
      <c r="D312" s="21"/>
      <c r="F312" s="23" t="e">
        <f>VLOOKUP(E312,Customers[],2,FALSE)</f>
        <v>#N/A</v>
      </c>
      <c r="G312" s="23" t="e">
        <f>VLOOKUP(E312,Customers[],3,FALSE)</f>
        <v>#N/A</v>
      </c>
      <c r="H312" s="23" t="e">
        <f>VLOOKUP(E312,Customers[],4,FALSE)</f>
        <v>#N/A</v>
      </c>
      <c r="J312" s="29" t="e">
        <f>VLOOKUP(I312,PGStock[],2,FALSE)</f>
        <v>#N/A</v>
      </c>
      <c r="K312" s="30" t="e">
        <f>VLOOKUP(I312,PGStock[],3,FALSE)</f>
        <v>#N/A</v>
      </c>
      <c r="M312" s="31" t="e">
        <f>VLOOKUP(I312,PGStock[],6,FALSE)</f>
        <v>#N/A</v>
      </c>
      <c r="N312" s="31" t="e">
        <f>+Table8[[#This Row],[SalesBot]]*Table8[[#This Row],[Bonus]]</f>
        <v>#N/A</v>
      </c>
    </row>
    <row r="313" spans="1:14" ht="23.25" customHeight="1" x14ac:dyDescent="0.25">
      <c r="A313" s="26">
        <f t="shared" si="43"/>
        <v>1900</v>
      </c>
      <c r="B313" s="26">
        <f t="shared" si="44"/>
        <v>1</v>
      </c>
      <c r="C313" s="20"/>
      <c r="D313" s="21"/>
      <c r="F313" s="23" t="e">
        <f>VLOOKUP(E313,Customers[],2,FALSE)</f>
        <v>#N/A</v>
      </c>
      <c r="G313" s="23" t="e">
        <f>VLOOKUP(E313,Customers[],3,FALSE)</f>
        <v>#N/A</v>
      </c>
      <c r="H313" s="23" t="e">
        <f>VLOOKUP(E313,Customers[],4,FALSE)</f>
        <v>#N/A</v>
      </c>
      <c r="J313" s="29" t="e">
        <f>VLOOKUP(I313,PGStock[],2,FALSE)</f>
        <v>#N/A</v>
      </c>
      <c r="K313" s="30" t="e">
        <f>VLOOKUP(I313,PGStock[],3,FALSE)</f>
        <v>#N/A</v>
      </c>
      <c r="M313" s="31" t="e">
        <f>VLOOKUP(I313,PGStock[],6,FALSE)</f>
        <v>#N/A</v>
      </c>
      <c r="N313" s="31" t="e">
        <f>+Table8[[#This Row],[SalesBot]]*Table8[[#This Row],[Bonus]]</f>
        <v>#N/A</v>
      </c>
    </row>
    <row r="314" spans="1:14" ht="23.25" customHeight="1" x14ac:dyDescent="0.25">
      <c r="A314" s="26">
        <f t="shared" si="43"/>
        <v>1900</v>
      </c>
      <c r="B314" s="26">
        <f t="shared" si="44"/>
        <v>1</v>
      </c>
      <c r="C314" s="20"/>
      <c r="D314" s="21"/>
      <c r="F314" s="23" t="e">
        <f>VLOOKUP(E314,Customers[],2,FALSE)</f>
        <v>#N/A</v>
      </c>
      <c r="G314" s="23" t="e">
        <f>VLOOKUP(E314,Customers[],3,FALSE)</f>
        <v>#N/A</v>
      </c>
      <c r="H314" s="23" t="e">
        <f>VLOOKUP(E314,Customers[],4,FALSE)</f>
        <v>#N/A</v>
      </c>
      <c r="J314" s="29" t="e">
        <f>VLOOKUP(I314,PGStock[],2,FALSE)</f>
        <v>#N/A</v>
      </c>
      <c r="K314" s="30" t="e">
        <f>VLOOKUP(I314,PGStock[],3,FALSE)</f>
        <v>#N/A</v>
      </c>
      <c r="M314" s="31" t="e">
        <f>VLOOKUP(I314,PGStock[],6,FALSE)</f>
        <v>#N/A</v>
      </c>
      <c r="N314" s="31" t="e">
        <f>+Table8[[#This Row],[SalesBot]]*Table8[[#This Row],[Bonus]]</f>
        <v>#N/A</v>
      </c>
    </row>
    <row r="315" spans="1:14" ht="23.25" customHeight="1" x14ac:dyDescent="0.25">
      <c r="A315" s="26">
        <f t="shared" si="43"/>
        <v>1900</v>
      </c>
      <c r="B315" s="26">
        <f t="shared" si="44"/>
        <v>1</v>
      </c>
      <c r="C315" s="20"/>
      <c r="D315" s="21"/>
      <c r="F315" s="23" t="e">
        <f>VLOOKUP(E315,Customers[],2,FALSE)</f>
        <v>#N/A</v>
      </c>
      <c r="G315" s="23" t="e">
        <f>VLOOKUP(E315,Customers[],3,FALSE)</f>
        <v>#N/A</v>
      </c>
      <c r="H315" s="23" t="e">
        <f>VLOOKUP(E315,Customers[],4,FALSE)</f>
        <v>#N/A</v>
      </c>
      <c r="J315" s="29" t="e">
        <f>VLOOKUP(I315,PGStock[],2,FALSE)</f>
        <v>#N/A</v>
      </c>
      <c r="K315" s="30" t="e">
        <f>VLOOKUP(I315,PGStock[],3,FALSE)</f>
        <v>#N/A</v>
      </c>
      <c r="M315" s="31" t="e">
        <f>VLOOKUP(I315,PGStock[],6,FALSE)</f>
        <v>#N/A</v>
      </c>
      <c r="N315" s="31" t="e">
        <f>+Table8[[#This Row],[SalesBot]]*Table8[[#This Row],[Bonus]]</f>
        <v>#N/A</v>
      </c>
    </row>
    <row r="316" spans="1:14" ht="23.25" customHeight="1" x14ac:dyDescent="0.25">
      <c r="A316" s="26">
        <f t="shared" si="43"/>
        <v>1900</v>
      </c>
      <c r="B316" s="26">
        <f t="shared" si="44"/>
        <v>1</v>
      </c>
      <c r="C316" s="20"/>
      <c r="D316" s="21"/>
      <c r="F316" s="23" t="e">
        <f>VLOOKUP(E316,Customers[],2,FALSE)</f>
        <v>#N/A</v>
      </c>
      <c r="G316" s="23" t="e">
        <f>VLOOKUP(E316,Customers[],3,FALSE)</f>
        <v>#N/A</v>
      </c>
      <c r="H316" s="23" t="e">
        <f>VLOOKUP(E316,Customers[],4,FALSE)</f>
        <v>#N/A</v>
      </c>
      <c r="J316" s="29" t="e">
        <f>VLOOKUP(I316,PGStock[],2,FALSE)</f>
        <v>#N/A</v>
      </c>
      <c r="K316" s="30" t="e">
        <f>VLOOKUP(I316,PGStock[],3,FALSE)</f>
        <v>#N/A</v>
      </c>
      <c r="M316" s="31" t="e">
        <f>VLOOKUP(I316,PGStock[],6,FALSE)</f>
        <v>#N/A</v>
      </c>
      <c r="N316" s="31" t="e">
        <f>+Table8[[#This Row],[SalesBot]]*Table8[[#This Row],[Bonus]]</f>
        <v>#N/A</v>
      </c>
    </row>
    <row r="317" spans="1:14" ht="23.25" customHeight="1" x14ac:dyDescent="0.25">
      <c r="A317" s="26">
        <f t="shared" si="43"/>
        <v>1900</v>
      </c>
      <c r="B317" s="26">
        <f t="shared" si="44"/>
        <v>1</v>
      </c>
      <c r="C317" s="20"/>
      <c r="D317" s="21"/>
      <c r="F317" s="23" t="e">
        <f>VLOOKUP(E317,Customers[],2,FALSE)</f>
        <v>#N/A</v>
      </c>
      <c r="G317" s="23" t="e">
        <f>VLOOKUP(E317,Customers[],3,FALSE)</f>
        <v>#N/A</v>
      </c>
      <c r="H317" s="23" t="e">
        <f>VLOOKUP(E317,Customers[],4,FALSE)</f>
        <v>#N/A</v>
      </c>
      <c r="J317" s="29" t="e">
        <f>VLOOKUP(I317,PGStock[],2,FALSE)</f>
        <v>#N/A</v>
      </c>
      <c r="K317" s="30" t="e">
        <f>VLOOKUP(I317,PGStock[],3,FALSE)</f>
        <v>#N/A</v>
      </c>
      <c r="M317" s="31" t="e">
        <f>VLOOKUP(I317,PGStock[],6,FALSE)</f>
        <v>#N/A</v>
      </c>
      <c r="N317" s="31" t="e">
        <f>+Table8[[#This Row],[SalesBot]]*Table8[[#This Row],[Bonus]]</f>
        <v>#N/A</v>
      </c>
    </row>
    <row r="318" spans="1:14" ht="23.25" customHeight="1" x14ac:dyDescent="0.25">
      <c r="A318" s="26">
        <f t="shared" si="43"/>
        <v>1900</v>
      </c>
      <c r="B318" s="26">
        <f t="shared" si="44"/>
        <v>1</v>
      </c>
      <c r="C318" s="20"/>
      <c r="D318" s="21"/>
      <c r="F318" s="23" t="e">
        <f>VLOOKUP(E318,Customers[],2,FALSE)</f>
        <v>#N/A</v>
      </c>
      <c r="G318" s="23" t="e">
        <f>VLOOKUP(E318,Customers[],3,FALSE)</f>
        <v>#N/A</v>
      </c>
      <c r="H318" s="23" t="e">
        <f>VLOOKUP(E318,Customers[],4,FALSE)</f>
        <v>#N/A</v>
      </c>
      <c r="J318" s="29" t="e">
        <f>VLOOKUP(I318,PGStock[],2,FALSE)</f>
        <v>#N/A</v>
      </c>
      <c r="K318" s="30" t="e">
        <f>VLOOKUP(I318,PGStock[],3,FALSE)</f>
        <v>#N/A</v>
      </c>
      <c r="M318" s="31" t="e">
        <f>VLOOKUP(I318,PGStock[],6,FALSE)</f>
        <v>#N/A</v>
      </c>
      <c r="N318" s="31" t="e">
        <f>+Table8[[#This Row],[SalesBot]]*Table8[[#This Row],[Bonus]]</f>
        <v>#N/A</v>
      </c>
    </row>
    <row r="319" spans="1:14" ht="23.25" customHeight="1" x14ac:dyDescent="0.25">
      <c r="A319" s="26">
        <f t="shared" ref="A319:A333" si="45">YEAR(C319)</f>
        <v>1900</v>
      </c>
      <c r="B319" s="26">
        <f t="shared" ref="B319:B333" si="46">MONTH(C319)</f>
        <v>1</v>
      </c>
      <c r="C319" s="20"/>
      <c r="D319" s="21"/>
      <c r="F319" s="23" t="e">
        <f>VLOOKUP(E319,Customers[],2,FALSE)</f>
        <v>#N/A</v>
      </c>
      <c r="G319" s="23" t="e">
        <f>VLOOKUP(E319,Customers[],3,FALSE)</f>
        <v>#N/A</v>
      </c>
      <c r="H319" s="23" t="e">
        <f>VLOOKUP(E319,Customers[],4,FALSE)</f>
        <v>#N/A</v>
      </c>
      <c r="J319" s="29" t="e">
        <f>VLOOKUP(I319,PGStock[],2,FALSE)</f>
        <v>#N/A</v>
      </c>
      <c r="K319" s="30" t="e">
        <f>VLOOKUP(I319,PGStock[],3,FALSE)</f>
        <v>#N/A</v>
      </c>
      <c r="M319" s="31" t="e">
        <f>VLOOKUP(I319,PGStock[],6,FALSE)</f>
        <v>#N/A</v>
      </c>
      <c r="N319" s="31" t="e">
        <f>+Table8[[#This Row],[SalesBot]]*Table8[[#This Row],[Bonus]]</f>
        <v>#N/A</v>
      </c>
    </row>
    <row r="320" spans="1:14" ht="23.25" customHeight="1" x14ac:dyDescent="0.25">
      <c r="A320" s="26">
        <f t="shared" si="45"/>
        <v>1900</v>
      </c>
      <c r="B320" s="26">
        <f t="shared" si="46"/>
        <v>1</v>
      </c>
      <c r="C320" s="20"/>
      <c r="D320" s="21"/>
      <c r="F320" s="23" t="e">
        <f>VLOOKUP(E320,Customers[],2,FALSE)</f>
        <v>#N/A</v>
      </c>
      <c r="G320" s="23" t="e">
        <f>VLOOKUP(E320,Customers[],3,FALSE)</f>
        <v>#N/A</v>
      </c>
      <c r="H320" s="23" t="e">
        <f>VLOOKUP(E320,Customers[],4,FALSE)</f>
        <v>#N/A</v>
      </c>
      <c r="J320" s="29" t="e">
        <f>VLOOKUP(I320,PGStock[],2,FALSE)</f>
        <v>#N/A</v>
      </c>
      <c r="K320" s="30" t="e">
        <f>VLOOKUP(I320,PGStock[],3,FALSE)</f>
        <v>#N/A</v>
      </c>
      <c r="M320" s="31" t="e">
        <f>VLOOKUP(I320,PGStock[],6,FALSE)</f>
        <v>#N/A</v>
      </c>
      <c r="N320" s="31" t="e">
        <f>+Table8[[#This Row],[SalesBot]]*Table8[[#This Row],[Bonus]]</f>
        <v>#N/A</v>
      </c>
    </row>
    <row r="321" spans="1:14" ht="23.25" customHeight="1" x14ac:dyDescent="0.25">
      <c r="A321" s="26">
        <f t="shared" si="45"/>
        <v>1900</v>
      </c>
      <c r="B321" s="26">
        <f t="shared" si="46"/>
        <v>1</v>
      </c>
      <c r="C321" s="20"/>
      <c r="D321" s="21"/>
      <c r="F321" s="23" t="e">
        <f>VLOOKUP(E321,Customers[],2,FALSE)</f>
        <v>#N/A</v>
      </c>
      <c r="G321" s="23" t="e">
        <f>VLOOKUP(E321,Customers[],3,FALSE)</f>
        <v>#N/A</v>
      </c>
      <c r="H321" s="23" t="e">
        <f>VLOOKUP(E321,Customers[],4,FALSE)</f>
        <v>#N/A</v>
      </c>
      <c r="J321" s="29" t="e">
        <f>VLOOKUP(I321,PGStock[],2,FALSE)</f>
        <v>#N/A</v>
      </c>
      <c r="K321" s="30" t="e">
        <f>VLOOKUP(I321,PGStock[],3,FALSE)</f>
        <v>#N/A</v>
      </c>
      <c r="M321" s="31" t="e">
        <f>VLOOKUP(I321,PGStock[],6,FALSE)</f>
        <v>#N/A</v>
      </c>
      <c r="N321" s="31" t="e">
        <f>+Table8[[#This Row],[SalesBot]]*Table8[[#This Row],[Bonus]]</f>
        <v>#N/A</v>
      </c>
    </row>
    <row r="322" spans="1:14" ht="23.25" customHeight="1" x14ac:dyDescent="0.25">
      <c r="A322" s="26">
        <f t="shared" si="45"/>
        <v>1900</v>
      </c>
      <c r="B322" s="26">
        <f t="shared" si="46"/>
        <v>1</v>
      </c>
      <c r="C322" s="20"/>
      <c r="D322" s="21"/>
      <c r="F322" s="23" t="e">
        <f>VLOOKUP(E322,Customers[],2,FALSE)</f>
        <v>#N/A</v>
      </c>
      <c r="G322" s="23" t="e">
        <f>VLOOKUP(E322,Customers[],3,FALSE)</f>
        <v>#N/A</v>
      </c>
      <c r="H322" s="23" t="e">
        <f>VLOOKUP(E322,Customers[],4,FALSE)</f>
        <v>#N/A</v>
      </c>
      <c r="J322" s="29" t="e">
        <f>VLOOKUP(I322,PGStock[],2,FALSE)</f>
        <v>#N/A</v>
      </c>
      <c r="K322" s="30" t="e">
        <f>VLOOKUP(I322,PGStock[],3,FALSE)</f>
        <v>#N/A</v>
      </c>
      <c r="M322" s="31" t="e">
        <f>VLOOKUP(I322,PGStock[],6,FALSE)</f>
        <v>#N/A</v>
      </c>
      <c r="N322" s="31" t="e">
        <f>+Table8[[#This Row],[SalesBot]]*Table8[[#This Row],[Bonus]]</f>
        <v>#N/A</v>
      </c>
    </row>
    <row r="323" spans="1:14" ht="23.25" customHeight="1" x14ac:dyDescent="0.25">
      <c r="A323" s="26">
        <f t="shared" si="45"/>
        <v>1900</v>
      </c>
      <c r="B323" s="26">
        <f t="shared" si="46"/>
        <v>1</v>
      </c>
      <c r="C323" s="20"/>
      <c r="D323" s="21"/>
      <c r="F323" s="23" t="e">
        <f>VLOOKUP(E323,Customers[],2,FALSE)</f>
        <v>#N/A</v>
      </c>
      <c r="G323" s="23" t="e">
        <f>VLOOKUP(E323,Customers[],3,FALSE)</f>
        <v>#N/A</v>
      </c>
      <c r="H323" s="23" t="e">
        <f>VLOOKUP(E323,Customers[],4,FALSE)</f>
        <v>#N/A</v>
      </c>
      <c r="J323" s="29" t="e">
        <f>VLOOKUP(I323,PGStock[],2,FALSE)</f>
        <v>#N/A</v>
      </c>
      <c r="K323" s="30" t="e">
        <f>VLOOKUP(I323,PGStock[],3,FALSE)</f>
        <v>#N/A</v>
      </c>
      <c r="M323" s="31" t="e">
        <f>VLOOKUP(I323,PGStock[],6,FALSE)</f>
        <v>#N/A</v>
      </c>
      <c r="N323" s="31" t="e">
        <f>+Table8[[#This Row],[SalesBot]]*Table8[[#This Row],[Bonus]]</f>
        <v>#N/A</v>
      </c>
    </row>
    <row r="324" spans="1:14" ht="23.25" customHeight="1" x14ac:dyDescent="0.25">
      <c r="A324" s="26">
        <f t="shared" si="45"/>
        <v>1900</v>
      </c>
      <c r="B324" s="26">
        <f t="shared" si="46"/>
        <v>1</v>
      </c>
      <c r="C324" s="20"/>
      <c r="D324" s="21"/>
      <c r="F324" s="23" t="e">
        <f>VLOOKUP(E324,Customers[],2,FALSE)</f>
        <v>#N/A</v>
      </c>
      <c r="G324" s="23" t="e">
        <f>VLOOKUP(E324,Customers[],3,FALSE)</f>
        <v>#N/A</v>
      </c>
      <c r="H324" s="23" t="e">
        <f>VLOOKUP(E324,Customers[],4,FALSE)</f>
        <v>#N/A</v>
      </c>
      <c r="J324" s="29" t="e">
        <f>VLOOKUP(I324,PGStock[],2,FALSE)</f>
        <v>#N/A</v>
      </c>
      <c r="K324" s="30" t="e">
        <f>VLOOKUP(I324,PGStock[],3,FALSE)</f>
        <v>#N/A</v>
      </c>
      <c r="M324" s="31" t="e">
        <f>VLOOKUP(I324,PGStock[],6,FALSE)</f>
        <v>#N/A</v>
      </c>
      <c r="N324" s="31" t="e">
        <f>+Table8[[#This Row],[SalesBot]]*Table8[[#This Row],[Bonus]]</f>
        <v>#N/A</v>
      </c>
    </row>
    <row r="325" spans="1:14" ht="23.25" customHeight="1" x14ac:dyDescent="0.25">
      <c r="A325" s="26">
        <f t="shared" si="45"/>
        <v>1900</v>
      </c>
      <c r="B325" s="26">
        <f t="shared" si="46"/>
        <v>1</v>
      </c>
      <c r="C325" s="20"/>
      <c r="D325" s="21"/>
      <c r="F325" s="23" t="e">
        <f>VLOOKUP(E325,Customers[],2,FALSE)</f>
        <v>#N/A</v>
      </c>
      <c r="G325" s="23" t="e">
        <f>VLOOKUP(E325,Customers[],3,FALSE)</f>
        <v>#N/A</v>
      </c>
      <c r="H325" s="23" t="e">
        <f>VLOOKUP(E325,Customers[],4,FALSE)</f>
        <v>#N/A</v>
      </c>
      <c r="J325" s="29" t="e">
        <f>VLOOKUP(I325,PGStock[],2,FALSE)</f>
        <v>#N/A</v>
      </c>
      <c r="K325" s="30" t="e">
        <f>VLOOKUP(I325,PGStock[],3,FALSE)</f>
        <v>#N/A</v>
      </c>
      <c r="M325" s="31" t="e">
        <f>VLOOKUP(I325,PGStock[],6,FALSE)</f>
        <v>#N/A</v>
      </c>
      <c r="N325" s="31" t="e">
        <f>+Table8[[#This Row],[SalesBot]]*Table8[[#This Row],[Bonus]]</f>
        <v>#N/A</v>
      </c>
    </row>
    <row r="326" spans="1:14" ht="23.25" customHeight="1" x14ac:dyDescent="0.25">
      <c r="A326" s="26">
        <f t="shared" si="45"/>
        <v>1900</v>
      </c>
      <c r="B326" s="26">
        <f t="shared" si="46"/>
        <v>1</v>
      </c>
      <c r="C326" s="20"/>
      <c r="D326" s="21"/>
      <c r="F326" s="23" t="e">
        <f>VLOOKUP(E326,Customers[],2,FALSE)</f>
        <v>#N/A</v>
      </c>
      <c r="G326" s="23" t="e">
        <f>VLOOKUP(E326,Customers[],3,FALSE)</f>
        <v>#N/A</v>
      </c>
      <c r="H326" s="23" t="e">
        <f>VLOOKUP(E326,Customers[],4,FALSE)</f>
        <v>#N/A</v>
      </c>
      <c r="J326" s="29" t="e">
        <f>VLOOKUP(I326,PGStock[],2,FALSE)</f>
        <v>#N/A</v>
      </c>
      <c r="K326" s="30" t="e">
        <f>VLOOKUP(I326,PGStock[],3,FALSE)</f>
        <v>#N/A</v>
      </c>
      <c r="M326" s="31" t="e">
        <f>VLOOKUP(I326,PGStock[],6,FALSE)</f>
        <v>#N/A</v>
      </c>
      <c r="N326" s="31" t="e">
        <f>+Table8[[#This Row],[SalesBot]]*Table8[[#This Row],[Bonus]]</f>
        <v>#N/A</v>
      </c>
    </row>
    <row r="327" spans="1:14" ht="23.25" customHeight="1" x14ac:dyDescent="0.25">
      <c r="A327" s="26">
        <f t="shared" si="45"/>
        <v>1900</v>
      </c>
      <c r="B327" s="26">
        <f t="shared" si="46"/>
        <v>1</v>
      </c>
      <c r="C327" s="20"/>
      <c r="D327" s="21"/>
      <c r="F327" s="23" t="e">
        <f>VLOOKUP(E327,Customers[],2,FALSE)</f>
        <v>#N/A</v>
      </c>
      <c r="G327" s="23" t="e">
        <f>VLOOKUP(E327,Customers[],3,FALSE)</f>
        <v>#N/A</v>
      </c>
      <c r="H327" s="23" t="e">
        <f>VLOOKUP(E327,Customers[],4,FALSE)</f>
        <v>#N/A</v>
      </c>
      <c r="J327" s="29" t="e">
        <f>VLOOKUP(I327,PGStock[],2,FALSE)</f>
        <v>#N/A</v>
      </c>
      <c r="K327" s="30" t="e">
        <f>VLOOKUP(I327,PGStock[],3,FALSE)</f>
        <v>#N/A</v>
      </c>
      <c r="M327" s="31" t="e">
        <f>VLOOKUP(I327,PGStock[],6,FALSE)</f>
        <v>#N/A</v>
      </c>
      <c r="N327" s="31" t="e">
        <f>+Table8[[#This Row],[SalesBot]]*Table8[[#This Row],[Bonus]]</f>
        <v>#N/A</v>
      </c>
    </row>
    <row r="328" spans="1:14" ht="23.25" customHeight="1" x14ac:dyDescent="0.25">
      <c r="A328" s="26">
        <f t="shared" si="45"/>
        <v>1900</v>
      </c>
      <c r="B328" s="26">
        <f t="shared" si="46"/>
        <v>1</v>
      </c>
      <c r="C328" s="20"/>
      <c r="D328" s="21"/>
      <c r="F328" s="23" t="e">
        <f>VLOOKUP(E328,Customers[],2,FALSE)</f>
        <v>#N/A</v>
      </c>
      <c r="G328" s="23" t="e">
        <f>VLOOKUP(E328,Customers[],3,FALSE)</f>
        <v>#N/A</v>
      </c>
      <c r="H328" s="23" t="e">
        <f>VLOOKUP(E328,Customers[],4,FALSE)</f>
        <v>#N/A</v>
      </c>
      <c r="J328" s="29" t="e">
        <f>VLOOKUP(I328,PGStock[],2,FALSE)</f>
        <v>#N/A</v>
      </c>
      <c r="K328" s="30" t="e">
        <f>VLOOKUP(I328,PGStock[],3,FALSE)</f>
        <v>#N/A</v>
      </c>
      <c r="M328" s="31" t="e">
        <f>VLOOKUP(I328,PGStock[],6,FALSE)</f>
        <v>#N/A</v>
      </c>
      <c r="N328" s="31" t="e">
        <f>+Table8[[#This Row],[SalesBot]]*Table8[[#This Row],[Bonus]]</f>
        <v>#N/A</v>
      </c>
    </row>
    <row r="329" spans="1:14" ht="23.25" customHeight="1" x14ac:dyDescent="0.25">
      <c r="A329" s="26">
        <f t="shared" si="45"/>
        <v>1900</v>
      </c>
      <c r="B329" s="26">
        <f t="shared" si="46"/>
        <v>1</v>
      </c>
      <c r="C329" s="20"/>
      <c r="D329" s="21"/>
      <c r="F329" s="23" t="e">
        <f>VLOOKUP(E329,Customers[],2,FALSE)</f>
        <v>#N/A</v>
      </c>
      <c r="G329" s="23" t="e">
        <f>VLOOKUP(E329,Customers[],3,FALSE)</f>
        <v>#N/A</v>
      </c>
      <c r="H329" s="23" t="e">
        <f>VLOOKUP(E329,Customers[],4,FALSE)</f>
        <v>#N/A</v>
      </c>
      <c r="J329" s="29" t="e">
        <f>VLOOKUP(I329,PGStock[],2,FALSE)</f>
        <v>#N/A</v>
      </c>
      <c r="K329" s="30" t="e">
        <f>VLOOKUP(I329,PGStock[],3,FALSE)</f>
        <v>#N/A</v>
      </c>
      <c r="M329" s="31" t="e">
        <f>VLOOKUP(I329,PGStock[],6,FALSE)</f>
        <v>#N/A</v>
      </c>
      <c r="N329" s="31" t="e">
        <f>+Table8[[#This Row],[SalesBot]]*Table8[[#This Row],[Bonus]]</f>
        <v>#N/A</v>
      </c>
    </row>
    <row r="330" spans="1:14" ht="23.25" customHeight="1" x14ac:dyDescent="0.25">
      <c r="A330" s="26">
        <f t="shared" si="45"/>
        <v>1900</v>
      </c>
      <c r="B330" s="26">
        <f t="shared" si="46"/>
        <v>1</v>
      </c>
      <c r="C330" s="20"/>
      <c r="D330" s="21"/>
      <c r="F330" s="23" t="e">
        <f>VLOOKUP(E330,Customers[],2,FALSE)</f>
        <v>#N/A</v>
      </c>
      <c r="G330" s="23" t="e">
        <f>VLOOKUP(E330,Customers[],3,FALSE)</f>
        <v>#N/A</v>
      </c>
      <c r="H330" s="23" t="e">
        <f>VLOOKUP(E330,Customers[],4,FALSE)</f>
        <v>#N/A</v>
      </c>
      <c r="J330" s="29" t="e">
        <f>VLOOKUP(I330,PGStock[],2,FALSE)</f>
        <v>#N/A</v>
      </c>
      <c r="K330" s="30" t="e">
        <f>VLOOKUP(I330,PGStock[],3,FALSE)</f>
        <v>#N/A</v>
      </c>
      <c r="M330" s="31" t="e">
        <f>VLOOKUP(I330,PGStock[],6,FALSE)</f>
        <v>#N/A</v>
      </c>
      <c r="N330" s="31" t="e">
        <f>+Table8[[#This Row],[SalesBot]]*Table8[[#This Row],[Bonus]]</f>
        <v>#N/A</v>
      </c>
    </row>
    <row r="331" spans="1:14" ht="23.25" customHeight="1" x14ac:dyDescent="0.25">
      <c r="A331" s="26">
        <f t="shared" si="45"/>
        <v>1900</v>
      </c>
      <c r="B331" s="26">
        <f t="shared" si="46"/>
        <v>1</v>
      </c>
      <c r="C331" s="20"/>
      <c r="D331" s="21"/>
      <c r="F331" s="23" t="e">
        <f>VLOOKUP(E331,Customers[],2,FALSE)</f>
        <v>#N/A</v>
      </c>
      <c r="G331" s="23" t="e">
        <f>VLOOKUP(E331,Customers[],3,FALSE)</f>
        <v>#N/A</v>
      </c>
      <c r="H331" s="23" t="e">
        <f>VLOOKUP(E331,Customers[],4,FALSE)</f>
        <v>#N/A</v>
      </c>
      <c r="J331" s="29" t="e">
        <f>VLOOKUP(I331,PGStock[],2,FALSE)</f>
        <v>#N/A</v>
      </c>
      <c r="K331" s="30" t="e">
        <f>VLOOKUP(I331,PGStock[],3,FALSE)</f>
        <v>#N/A</v>
      </c>
      <c r="M331" s="31" t="e">
        <f>VLOOKUP(I331,PGStock[],6,FALSE)</f>
        <v>#N/A</v>
      </c>
      <c r="N331" s="31" t="e">
        <f>+Table8[[#This Row],[SalesBot]]*Table8[[#This Row],[Bonus]]</f>
        <v>#N/A</v>
      </c>
    </row>
    <row r="332" spans="1:14" ht="23.25" customHeight="1" x14ac:dyDescent="0.25">
      <c r="A332" s="26">
        <f t="shared" si="45"/>
        <v>1900</v>
      </c>
      <c r="B332" s="26">
        <f t="shared" si="46"/>
        <v>1</v>
      </c>
      <c r="C332" s="20"/>
      <c r="D332" s="21"/>
      <c r="F332" s="23" t="e">
        <f>VLOOKUP(E332,Customers[],2,FALSE)</f>
        <v>#N/A</v>
      </c>
      <c r="G332" s="23" t="e">
        <f>VLOOKUP(E332,Customers[],3,FALSE)</f>
        <v>#N/A</v>
      </c>
      <c r="H332" s="23" t="e">
        <f>VLOOKUP(E332,Customers[],4,FALSE)</f>
        <v>#N/A</v>
      </c>
      <c r="J332" s="29" t="e">
        <f>VLOOKUP(I332,PGStock[],2,FALSE)</f>
        <v>#N/A</v>
      </c>
      <c r="K332" s="30" t="e">
        <f>VLOOKUP(I332,PGStock[],3,FALSE)</f>
        <v>#N/A</v>
      </c>
      <c r="M332" s="31" t="e">
        <f>VLOOKUP(I332,PGStock[],6,FALSE)</f>
        <v>#N/A</v>
      </c>
      <c r="N332" s="31" t="e">
        <f>+Table8[[#This Row],[SalesBot]]*Table8[[#This Row],[Bonus]]</f>
        <v>#N/A</v>
      </c>
    </row>
    <row r="333" spans="1:14" ht="23.25" customHeight="1" x14ac:dyDescent="0.25">
      <c r="A333" s="26">
        <f t="shared" si="45"/>
        <v>1900</v>
      </c>
      <c r="B333" s="26">
        <f t="shared" si="46"/>
        <v>1</v>
      </c>
      <c r="C333" s="20"/>
      <c r="D333" s="21"/>
      <c r="F333" s="23" t="e">
        <f>VLOOKUP(E333,Customers[],2,FALSE)</f>
        <v>#N/A</v>
      </c>
      <c r="G333" s="23" t="e">
        <f>VLOOKUP(E333,Customers[],3,FALSE)</f>
        <v>#N/A</v>
      </c>
      <c r="H333" s="23" t="e">
        <f>VLOOKUP(E333,Customers[],4,FALSE)</f>
        <v>#N/A</v>
      </c>
      <c r="J333" s="29" t="e">
        <f>VLOOKUP(I333,PGStock[],2,FALSE)</f>
        <v>#N/A</v>
      </c>
      <c r="K333" s="30" t="e">
        <f>VLOOKUP(I333,PGStock[],3,FALSE)</f>
        <v>#N/A</v>
      </c>
      <c r="M333" s="31" t="e">
        <f>VLOOKUP(I333,PGStock[],6,FALSE)</f>
        <v>#N/A</v>
      </c>
      <c r="N333" s="31" t="e">
        <f>+Table8[[#This Row],[SalesBot]]*Table8[[#This Row],[Bonus]]</f>
        <v>#N/A</v>
      </c>
    </row>
    <row r="334" spans="1:14" ht="23.25" customHeight="1" x14ac:dyDescent="0.25">
      <c r="A334" s="26">
        <f t="shared" si="43"/>
        <v>1900</v>
      </c>
      <c r="B334" s="26">
        <f t="shared" si="44"/>
        <v>1</v>
      </c>
      <c r="C334" s="20"/>
      <c r="D334" s="21"/>
      <c r="F334" s="23" t="e">
        <f>VLOOKUP(E334,Customers[],2,FALSE)</f>
        <v>#N/A</v>
      </c>
      <c r="G334" s="23" t="e">
        <f>VLOOKUP(E334,Customers[],3,FALSE)</f>
        <v>#N/A</v>
      </c>
      <c r="H334" s="23" t="e">
        <f>VLOOKUP(E334,Customers[],4,FALSE)</f>
        <v>#N/A</v>
      </c>
      <c r="J334" s="29" t="e">
        <f>VLOOKUP(I334,PGStock[],2,FALSE)</f>
        <v>#N/A</v>
      </c>
      <c r="K334" s="30" t="e">
        <f>VLOOKUP(I334,PGStock[],3,FALSE)</f>
        <v>#N/A</v>
      </c>
      <c r="M334" s="31" t="e">
        <f>VLOOKUP(I334,PGStock[],6,FALSE)</f>
        <v>#N/A</v>
      </c>
      <c r="N334" s="31" t="e">
        <f>+Table8[[#This Row],[SalesBot]]*Table8[[#This Row],[Bonus]]</f>
        <v>#N/A</v>
      </c>
    </row>
    <row r="335" spans="1:14" ht="23.25" customHeight="1" x14ac:dyDescent="0.25">
      <c r="A335" s="26">
        <f t="shared" ref="A335:A381" si="47">YEAR(C335)</f>
        <v>1900</v>
      </c>
      <c r="B335" s="26">
        <f t="shared" ref="B335:B381" si="48">MONTH(C335)</f>
        <v>1</v>
      </c>
      <c r="C335" s="20"/>
      <c r="D335" s="21"/>
      <c r="F335" s="23" t="e">
        <f>VLOOKUP(E335,Customers[],2,FALSE)</f>
        <v>#N/A</v>
      </c>
      <c r="G335" s="23" t="e">
        <f>VLOOKUP(E335,Customers[],3,FALSE)</f>
        <v>#N/A</v>
      </c>
      <c r="H335" s="23" t="e">
        <f>VLOOKUP(E335,Customers[],4,FALSE)</f>
        <v>#N/A</v>
      </c>
      <c r="J335" s="29" t="e">
        <f>VLOOKUP(I335,PGStock[],2,FALSE)</f>
        <v>#N/A</v>
      </c>
      <c r="K335" s="30" t="e">
        <f>VLOOKUP(I335,PGStock[],3,FALSE)</f>
        <v>#N/A</v>
      </c>
      <c r="M335" s="31" t="e">
        <f>VLOOKUP(I335,PGStock[],6,FALSE)</f>
        <v>#N/A</v>
      </c>
      <c r="N335" s="31" t="e">
        <f>+Table8[[#This Row],[SalesBot]]*Table8[[#This Row],[Bonus]]</f>
        <v>#N/A</v>
      </c>
    </row>
    <row r="336" spans="1:14" ht="23.25" customHeight="1" x14ac:dyDescent="0.25">
      <c r="A336" s="26">
        <f t="shared" si="47"/>
        <v>1900</v>
      </c>
      <c r="B336" s="26">
        <f t="shared" si="48"/>
        <v>1</v>
      </c>
      <c r="C336" s="20"/>
      <c r="D336" s="21"/>
      <c r="F336" s="23" t="e">
        <f>VLOOKUP(E336,Customers[],2,FALSE)</f>
        <v>#N/A</v>
      </c>
      <c r="G336" s="23" t="e">
        <f>VLOOKUP(E336,Customers[],3,FALSE)</f>
        <v>#N/A</v>
      </c>
      <c r="H336" s="23" t="e">
        <f>VLOOKUP(E336,Customers[],4,FALSE)</f>
        <v>#N/A</v>
      </c>
      <c r="J336" s="29" t="e">
        <f>VLOOKUP(I336,PGStock[],2,FALSE)</f>
        <v>#N/A</v>
      </c>
      <c r="K336" s="30" t="e">
        <f>VLOOKUP(I336,PGStock[],3,FALSE)</f>
        <v>#N/A</v>
      </c>
      <c r="M336" s="31" t="e">
        <f>VLOOKUP(I336,PGStock[],6,FALSE)</f>
        <v>#N/A</v>
      </c>
      <c r="N336" s="31" t="e">
        <f>+Table8[[#This Row],[SalesBot]]*Table8[[#This Row],[Bonus]]</f>
        <v>#N/A</v>
      </c>
    </row>
    <row r="337" spans="1:14" ht="23.25" customHeight="1" x14ac:dyDescent="0.25">
      <c r="A337" s="26">
        <f t="shared" si="47"/>
        <v>1900</v>
      </c>
      <c r="B337" s="26">
        <f t="shared" si="48"/>
        <v>1</v>
      </c>
      <c r="C337" s="20"/>
      <c r="D337" s="21"/>
      <c r="F337" s="23" t="e">
        <f>VLOOKUP(E337,Customers[],2,FALSE)</f>
        <v>#N/A</v>
      </c>
      <c r="G337" s="23" t="e">
        <f>VLOOKUP(E337,Customers[],3,FALSE)</f>
        <v>#N/A</v>
      </c>
      <c r="H337" s="23" t="e">
        <f>VLOOKUP(E337,Customers[],4,FALSE)</f>
        <v>#N/A</v>
      </c>
      <c r="J337" s="29" t="e">
        <f>VLOOKUP(I337,PGStock[],2,FALSE)</f>
        <v>#N/A</v>
      </c>
      <c r="K337" s="30" t="e">
        <f>VLOOKUP(I337,PGStock[],3,FALSE)</f>
        <v>#N/A</v>
      </c>
      <c r="M337" s="31" t="e">
        <f>VLOOKUP(I337,PGStock[],6,FALSE)</f>
        <v>#N/A</v>
      </c>
      <c r="N337" s="31" t="e">
        <f>+Table8[[#This Row],[SalesBot]]*Table8[[#This Row],[Bonus]]</f>
        <v>#N/A</v>
      </c>
    </row>
    <row r="338" spans="1:14" ht="23.25" customHeight="1" x14ac:dyDescent="0.25">
      <c r="A338" s="26">
        <f t="shared" si="47"/>
        <v>1900</v>
      </c>
      <c r="B338" s="26">
        <f t="shared" si="48"/>
        <v>1</v>
      </c>
      <c r="C338" s="20"/>
      <c r="D338" s="21"/>
      <c r="F338" s="23" t="e">
        <f>VLOOKUP(E338,Customers[],2,FALSE)</f>
        <v>#N/A</v>
      </c>
      <c r="G338" s="23" t="e">
        <f>VLOOKUP(E338,Customers[],3,FALSE)</f>
        <v>#N/A</v>
      </c>
      <c r="H338" s="23" t="e">
        <f>VLOOKUP(E338,Customers[],4,FALSE)</f>
        <v>#N/A</v>
      </c>
      <c r="J338" s="29" t="e">
        <f>VLOOKUP(I338,PGStock[],2,FALSE)</f>
        <v>#N/A</v>
      </c>
      <c r="K338" s="30" t="e">
        <f>VLOOKUP(I338,PGStock[],3,FALSE)</f>
        <v>#N/A</v>
      </c>
      <c r="M338" s="31" t="e">
        <f>VLOOKUP(I338,PGStock[],6,FALSE)</f>
        <v>#N/A</v>
      </c>
      <c r="N338" s="31" t="e">
        <f>+Table8[[#This Row],[SalesBot]]*Table8[[#This Row],[Bonus]]</f>
        <v>#N/A</v>
      </c>
    </row>
    <row r="339" spans="1:14" ht="23.25" customHeight="1" x14ac:dyDescent="0.25">
      <c r="A339" s="26">
        <f t="shared" si="47"/>
        <v>1900</v>
      </c>
      <c r="B339" s="26">
        <f t="shared" si="48"/>
        <v>1</v>
      </c>
      <c r="C339" s="20"/>
      <c r="D339" s="21"/>
      <c r="F339" s="23" t="e">
        <f>VLOOKUP(E339,Customers[],2,FALSE)</f>
        <v>#N/A</v>
      </c>
      <c r="G339" s="23" t="e">
        <f>VLOOKUP(E339,Customers[],3,FALSE)</f>
        <v>#N/A</v>
      </c>
      <c r="H339" s="23" t="e">
        <f>VLOOKUP(E339,Customers[],4,FALSE)</f>
        <v>#N/A</v>
      </c>
      <c r="J339" s="29" t="e">
        <f>VLOOKUP(I339,PGStock[],2,FALSE)</f>
        <v>#N/A</v>
      </c>
      <c r="K339" s="30" t="e">
        <f>VLOOKUP(I339,PGStock[],3,FALSE)</f>
        <v>#N/A</v>
      </c>
      <c r="M339" s="31" t="e">
        <f>VLOOKUP(I339,PGStock[],6,FALSE)</f>
        <v>#N/A</v>
      </c>
      <c r="N339" s="31" t="e">
        <f>+Table8[[#This Row],[SalesBot]]*Table8[[#This Row],[Bonus]]</f>
        <v>#N/A</v>
      </c>
    </row>
    <row r="340" spans="1:14" ht="23.25" customHeight="1" x14ac:dyDescent="0.25">
      <c r="A340" s="26">
        <f t="shared" si="47"/>
        <v>1900</v>
      </c>
      <c r="B340" s="26">
        <f t="shared" si="48"/>
        <v>1</v>
      </c>
      <c r="C340" s="20"/>
      <c r="D340" s="21"/>
      <c r="F340" s="23" t="e">
        <f>VLOOKUP(E340,Customers[],2,FALSE)</f>
        <v>#N/A</v>
      </c>
      <c r="G340" s="23" t="e">
        <f>VLOOKUP(E340,Customers[],3,FALSE)</f>
        <v>#N/A</v>
      </c>
      <c r="H340" s="23" t="e">
        <f>VLOOKUP(E340,Customers[],4,FALSE)</f>
        <v>#N/A</v>
      </c>
      <c r="J340" s="29" t="e">
        <f>VLOOKUP(I340,PGStock[],2,FALSE)</f>
        <v>#N/A</v>
      </c>
      <c r="K340" s="30" t="e">
        <f>VLOOKUP(I340,PGStock[],3,FALSE)</f>
        <v>#N/A</v>
      </c>
      <c r="M340" s="31" t="e">
        <f>VLOOKUP(I340,PGStock[],6,FALSE)</f>
        <v>#N/A</v>
      </c>
      <c r="N340" s="31" t="e">
        <f>+Table8[[#This Row],[SalesBot]]*Table8[[#This Row],[Bonus]]</f>
        <v>#N/A</v>
      </c>
    </row>
    <row r="341" spans="1:14" ht="23.25" customHeight="1" x14ac:dyDescent="0.25">
      <c r="A341" s="26">
        <f t="shared" si="47"/>
        <v>1900</v>
      </c>
      <c r="B341" s="26">
        <f t="shared" si="48"/>
        <v>1</v>
      </c>
      <c r="C341" s="20"/>
      <c r="D341" s="21"/>
      <c r="F341" s="23" t="e">
        <f>VLOOKUP(E341,Customers[],2,FALSE)</f>
        <v>#N/A</v>
      </c>
      <c r="G341" s="23" t="e">
        <f>VLOOKUP(E341,Customers[],3,FALSE)</f>
        <v>#N/A</v>
      </c>
      <c r="H341" s="23" t="e">
        <f>VLOOKUP(E341,Customers[],4,FALSE)</f>
        <v>#N/A</v>
      </c>
      <c r="J341" s="29" t="e">
        <f>VLOOKUP(I341,PGStock[],2,FALSE)</f>
        <v>#N/A</v>
      </c>
      <c r="K341" s="30" t="e">
        <f>VLOOKUP(I341,PGStock[],3,FALSE)</f>
        <v>#N/A</v>
      </c>
      <c r="M341" s="31" t="e">
        <f>VLOOKUP(I341,PGStock[],6,FALSE)</f>
        <v>#N/A</v>
      </c>
      <c r="N341" s="31" t="e">
        <f>+Table8[[#This Row],[SalesBot]]*Table8[[#This Row],[Bonus]]</f>
        <v>#N/A</v>
      </c>
    </row>
    <row r="342" spans="1:14" ht="23.25" customHeight="1" x14ac:dyDescent="0.25">
      <c r="A342" s="26">
        <f t="shared" si="47"/>
        <v>1900</v>
      </c>
      <c r="B342" s="26">
        <f t="shared" si="48"/>
        <v>1</v>
      </c>
      <c r="C342" s="20"/>
      <c r="D342" s="21"/>
      <c r="F342" s="23" t="e">
        <f>VLOOKUP(E342,Customers[],2,FALSE)</f>
        <v>#N/A</v>
      </c>
      <c r="G342" s="23" t="e">
        <f>VLOOKUP(E342,Customers[],3,FALSE)</f>
        <v>#N/A</v>
      </c>
      <c r="H342" s="23" t="e">
        <f>VLOOKUP(E342,Customers[],4,FALSE)</f>
        <v>#N/A</v>
      </c>
      <c r="J342" s="29" t="e">
        <f>VLOOKUP(I342,PGStock[],2,FALSE)</f>
        <v>#N/A</v>
      </c>
      <c r="K342" s="30" t="e">
        <f>VLOOKUP(I342,PGStock[],3,FALSE)</f>
        <v>#N/A</v>
      </c>
      <c r="M342" s="31" t="e">
        <f>VLOOKUP(I342,PGStock[],6,FALSE)</f>
        <v>#N/A</v>
      </c>
      <c r="N342" s="31" t="e">
        <f>+Table8[[#This Row],[SalesBot]]*Table8[[#This Row],[Bonus]]</f>
        <v>#N/A</v>
      </c>
    </row>
    <row r="343" spans="1:14" ht="23.25" customHeight="1" x14ac:dyDescent="0.25">
      <c r="A343" s="26">
        <f t="shared" si="47"/>
        <v>1900</v>
      </c>
      <c r="B343" s="26">
        <f t="shared" si="48"/>
        <v>1</v>
      </c>
      <c r="C343" s="20"/>
      <c r="D343" s="21"/>
      <c r="F343" s="23" t="e">
        <f>VLOOKUP(E343,Customers[],2,FALSE)</f>
        <v>#N/A</v>
      </c>
      <c r="G343" s="23" t="e">
        <f>VLOOKUP(E343,Customers[],3,FALSE)</f>
        <v>#N/A</v>
      </c>
      <c r="H343" s="23" t="e">
        <f>VLOOKUP(E343,Customers[],4,FALSE)</f>
        <v>#N/A</v>
      </c>
      <c r="J343" s="29" t="e">
        <f>VLOOKUP(I343,PGStock[],2,FALSE)</f>
        <v>#N/A</v>
      </c>
      <c r="K343" s="30" t="e">
        <f>VLOOKUP(I343,PGStock[],3,FALSE)</f>
        <v>#N/A</v>
      </c>
      <c r="M343" s="31" t="e">
        <f>VLOOKUP(I343,PGStock[],6,FALSE)</f>
        <v>#N/A</v>
      </c>
      <c r="N343" s="31" t="e">
        <f>+Table8[[#This Row],[SalesBot]]*Table8[[#This Row],[Bonus]]</f>
        <v>#N/A</v>
      </c>
    </row>
    <row r="344" spans="1:14" ht="23.25" customHeight="1" x14ac:dyDescent="0.25">
      <c r="A344" s="26">
        <f t="shared" si="47"/>
        <v>1900</v>
      </c>
      <c r="B344" s="26">
        <f t="shared" si="48"/>
        <v>1</v>
      </c>
      <c r="C344" s="20"/>
      <c r="D344" s="21"/>
      <c r="F344" s="23" t="e">
        <f>VLOOKUP(E344,Customers[],2,FALSE)</f>
        <v>#N/A</v>
      </c>
      <c r="G344" s="23" t="e">
        <f>VLOOKUP(E344,Customers[],3,FALSE)</f>
        <v>#N/A</v>
      </c>
      <c r="H344" s="23" t="e">
        <f>VLOOKUP(E344,Customers[],4,FALSE)</f>
        <v>#N/A</v>
      </c>
      <c r="J344" s="29" t="e">
        <f>VLOOKUP(I344,PGStock[],2,FALSE)</f>
        <v>#N/A</v>
      </c>
      <c r="K344" s="30" t="e">
        <f>VLOOKUP(I344,PGStock[],3,FALSE)</f>
        <v>#N/A</v>
      </c>
      <c r="M344" s="31" t="e">
        <f>VLOOKUP(I344,PGStock[],6,FALSE)</f>
        <v>#N/A</v>
      </c>
      <c r="N344" s="31" t="e">
        <f>+Table8[[#This Row],[SalesBot]]*Table8[[#This Row],[Bonus]]</f>
        <v>#N/A</v>
      </c>
    </row>
    <row r="345" spans="1:14" ht="23.25" customHeight="1" x14ac:dyDescent="0.25">
      <c r="A345" s="26">
        <f t="shared" si="47"/>
        <v>1900</v>
      </c>
      <c r="B345" s="26">
        <f t="shared" si="48"/>
        <v>1</v>
      </c>
      <c r="C345" s="20"/>
      <c r="D345" s="21"/>
      <c r="F345" s="23" t="e">
        <f>VLOOKUP(E345,Customers[],2,FALSE)</f>
        <v>#N/A</v>
      </c>
      <c r="G345" s="23" t="e">
        <f>VLOOKUP(E345,Customers[],3,FALSE)</f>
        <v>#N/A</v>
      </c>
      <c r="H345" s="23" t="e">
        <f>VLOOKUP(E345,Customers[],4,FALSE)</f>
        <v>#N/A</v>
      </c>
      <c r="J345" s="29" t="e">
        <f>VLOOKUP(I345,PGStock[],2,FALSE)</f>
        <v>#N/A</v>
      </c>
      <c r="K345" s="30" t="e">
        <f>VLOOKUP(I345,PGStock[],3,FALSE)</f>
        <v>#N/A</v>
      </c>
      <c r="M345" s="31" t="e">
        <f>VLOOKUP(I345,PGStock[],6,FALSE)</f>
        <v>#N/A</v>
      </c>
      <c r="N345" s="31" t="e">
        <f>+Table8[[#This Row],[SalesBot]]*Table8[[#This Row],[Bonus]]</f>
        <v>#N/A</v>
      </c>
    </row>
    <row r="346" spans="1:14" ht="23.25" customHeight="1" x14ac:dyDescent="0.25">
      <c r="A346" s="26">
        <f t="shared" si="47"/>
        <v>1900</v>
      </c>
      <c r="B346" s="26">
        <f t="shared" si="48"/>
        <v>1</v>
      </c>
      <c r="C346" s="20"/>
      <c r="D346" s="21"/>
      <c r="F346" s="23" t="e">
        <f>VLOOKUP(E346,Customers[],2,FALSE)</f>
        <v>#N/A</v>
      </c>
      <c r="G346" s="23" t="e">
        <f>VLOOKUP(E346,Customers[],3,FALSE)</f>
        <v>#N/A</v>
      </c>
      <c r="H346" s="23" t="e">
        <f>VLOOKUP(E346,Customers[],4,FALSE)</f>
        <v>#N/A</v>
      </c>
      <c r="J346" s="29" t="e">
        <f>VLOOKUP(I346,PGStock[],2,FALSE)</f>
        <v>#N/A</v>
      </c>
      <c r="K346" s="30" t="e">
        <f>VLOOKUP(I346,PGStock[],3,FALSE)</f>
        <v>#N/A</v>
      </c>
      <c r="M346" s="31" t="e">
        <f>VLOOKUP(I346,PGStock[],6,FALSE)</f>
        <v>#N/A</v>
      </c>
      <c r="N346" s="31" t="e">
        <f>+Table8[[#This Row],[SalesBot]]*Table8[[#This Row],[Bonus]]</f>
        <v>#N/A</v>
      </c>
    </row>
    <row r="347" spans="1:14" ht="23.25" customHeight="1" x14ac:dyDescent="0.25">
      <c r="A347" s="26">
        <f t="shared" si="47"/>
        <v>1900</v>
      </c>
      <c r="B347" s="26">
        <f t="shared" si="48"/>
        <v>1</v>
      </c>
      <c r="C347" s="20"/>
      <c r="D347" s="21"/>
      <c r="F347" s="23" t="e">
        <f>VLOOKUP(E347,Customers[],2,FALSE)</f>
        <v>#N/A</v>
      </c>
      <c r="G347" s="23" t="e">
        <f>VLOOKUP(E347,Customers[],3,FALSE)</f>
        <v>#N/A</v>
      </c>
      <c r="H347" s="23" t="e">
        <f>VLOOKUP(E347,Customers[],4,FALSE)</f>
        <v>#N/A</v>
      </c>
      <c r="J347" s="29" t="e">
        <f>VLOOKUP(I347,PGStock[],2,FALSE)</f>
        <v>#N/A</v>
      </c>
      <c r="K347" s="30" t="e">
        <f>VLOOKUP(I347,PGStock[],3,FALSE)</f>
        <v>#N/A</v>
      </c>
      <c r="M347" s="31" t="e">
        <f>VLOOKUP(I347,PGStock[],6,FALSE)</f>
        <v>#N/A</v>
      </c>
      <c r="N347" s="31" t="e">
        <f>+Table8[[#This Row],[SalesBot]]*Table8[[#This Row],[Bonus]]</f>
        <v>#N/A</v>
      </c>
    </row>
    <row r="348" spans="1:14" ht="23.25" customHeight="1" x14ac:dyDescent="0.25">
      <c r="A348" s="26">
        <f t="shared" si="47"/>
        <v>1900</v>
      </c>
      <c r="B348" s="26">
        <f t="shared" si="48"/>
        <v>1</v>
      </c>
      <c r="C348" s="20"/>
      <c r="D348" s="21"/>
      <c r="F348" s="23" t="e">
        <f>VLOOKUP(E348,Customers[],2,FALSE)</f>
        <v>#N/A</v>
      </c>
      <c r="G348" s="23" t="e">
        <f>VLOOKUP(E348,Customers[],3,FALSE)</f>
        <v>#N/A</v>
      </c>
      <c r="H348" s="23" t="e">
        <f>VLOOKUP(E348,Customers[],4,FALSE)</f>
        <v>#N/A</v>
      </c>
      <c r="J348" s="29" t="e">
        <f>VLOOKUP(I348,PGStock[],2,FALSE)</f>
        <v>#N/A</v>
      </c>
      <c r="K348" s="30" t="e">
        <f>VLOOKUP(I348,PGStock[],3,FALSE)</f>
        <v>#N/A</v>
      </c>
      <c r="M348" s="31" t="e">
        <f>VLOOKUP(I348,PGStock[],6,FALSE)</f>
        <v>#N/A</v>
      </c>
      <c r="N348" s="31" t="e">
        <f>+Table8[[#This Row],[SalesBot]]*Table8[[#This Row],[Bonus]]</f>
        <v>#N/A</v>
      </c>
    </row>
    <row r="349" spans="1:14" ht="23.25" customHeight="1" x14ac:dyDescent="0.25">
      <c r="A349" s="26">
        <f t="shared" si="47"/>
        <v>1900</v>
      </c>
      <c r="B349" s="26">
        <f t="shared" si="48"/>
        <v>1</v>
      </c>
      <c r="C349" s="20"/>
      <c r="D349" s="21"/>
      <c r="F349" s="23" t="e">
        <f>VLOOKUP(E349,Customers[],2,FALSE)</f>
        <v>#N/A</v>
      </c>
      <c r="G349" s="23" t="e">
        <f>VLOOKUP(E349,Customers[],3,FALSE)</f>
        <v>#N/A</v>
      </c>
      <c r="H349" s="23" t="e">
        <f>VLOOKUP(E349,Customers[],4,FALSE)</f>
        <v>#N/A</v>
      </c>
      <c r="J349" s="29" t="e">
        <f>VLOOKUP(I349,PGStock[],2,FALSE)</f>
        <v>#N/A</v>
      </c>
      <c r="K349" s="30" t="e">
        <f>VLOOKUP(I349,PGStock[],3,FALSE)</f>
        <v>#N/A</v>
      </c>
      <c r="M349" s="31" t="e">
        <f>VLOOKUP(I349,PGStock[],6,FALSE)</f>
        <v>#N/A</v>
      </c>
      <c r="N349" s="31" t="e">
        <f>+Table8[[#This Row],[SalesBot]]*Table8[[#This Row],[Bonus]]</f>
        <v>#N/A</v>
      </c>
    </row>
    <row r="350" spans="1:14" ht="23.25" customHeight="1" x14ac:dyDescent="0.25">
      <c r="A350" s="26">
        <f t="shared" si="47"/>
        <v>1900</v>
      </c>
      <c r="B350" s="26">
        <f t="shared" si="48"/>
        <v>1</v>
      </c>
      <c r="C350" s="20"/>
      <c r="D350" s="21"/>
      <c r="F350" s="23" t="e">
        <f>VLOOKUP(E350,Customers[],2,FALSE)</f>
        <v>#N/A</v>
      </c>
      <c r="G350" s="23" t="e">
        <f>VLOOKUP(E350,Customers[],3,FALSE)</f>
        <v>#N/A</v>
      </c>
      <c r="H350" s="23" t="e">
        <f>VLOOKUP(E350,Customers[],4,FALSE)</f>
        <v>#N/A</v>
      </c>
      <c r="J350" s="29" t="e">
        <f>VLOOKUP(I350,PGStock[],2,FALSE)</f>
        <v>#N/A</v>
      </c>
      <c r="K350" s="30" t="e">
        <f>VLOOKUP(I350,PGStock[],3,FALSE)</f>
        <v>#N/A</v>
      </c>
      <c r="M350" s="31" t="e">
        <f>VLOOKUP(I350,PGStock[],6,FALSE)</f>
        <v>#N/A</v>
      </c>
      <c r="N350" s="31" t="e">
        <f>+Table8[[#This Row],[SalesBot]]*Table8[[#This Row],[Bonus]]</f>
        <v>#N/A</v>
      </c>
    </row>
    <row r="351" spans="1:14" ht="23.25" customHeight="1" x14ac:dyDescent="0.25">
      <c r="A351" s="26">
        <f t="shared" si="47"/>
        <v>1900</v>
      </c>
      <c r="B351" s="26">
        <f t="shared" si="48"/>
        <v>1</v>
      </c>
      <c r="C351" s="20"/>
      <c r="D351" s="21"/>
      <c r="F351" s="23" t="e">
        <f>VLOOKUP(E351,Customers[],2,FALSE)</f>
        <v>#N/A</v>
      </c>
      <c r="G351" s="23" t="e">
        <f>VLOOKUP(E351,Customers[],3,FALSE)</f>
        <v>#N/A</v>
      </c>
      <c r="H351" s="23" t="e">
        <f>VLOOKUP(E351,Customers[],4,FALSE)</f>
        <v>#N/A</v>
      </c>
      <c r="J351" s="29" t="e">
        <f>VLOOKUP(I351,PGStock[],2,FALSE)</f>
        <v>#N/A</v>
      </c>
      <c r="K351" s="30" t="e">
        <f>VLOOKUP(I351,PGStock[],3,FALSE)</f>
        <v>#N/A</v>
      </c>
      <c r="M351" s="31" t="e">
        <f>VLOOKUP(I351,PGStock[],6,FALSE)</f>
        <v>#N/A</v>
      </c>
      <c r="N351" s="31" t="e">
        <f>+Table8[[#This Row],[SalesBot]]*Table8[[#This Row],[Bonus]]</f>
        <v>#N/A</v>
      </c>
    </row>
    <row r="352" spans="1:14" ht="23.25" customHeight="1" x14ac:dyDescent="0.25">
      <c r="A352" s="26">
        <f t="shared" si="47"/>
        <v>1900</v>
      </c>
      <c r="B352" s="26">
        <f t="shared" si="48"/>
        <v>1</v>
      </c>
      <c r="C352" s="20"/>
      <c r="D352" s="21"/>
      <c r="F352" s="23" t="e">
        <f>VLOOKUP(E352,Customers[],2,FALSE)</f>
        <v>#N/A</v>
      </c>
      <c r="G352" s="23" t="e">
        <f>VLOOKUP(E352,Customers[],3,FALSE)</f>
        <v>#N/A</v>
      </c>
      <c r="H352" s="23" t="e">
        <f>VLOOKUP(E352,Customers[],4,FALSE)</f>
        <v>#N/A</v>
      </c>
      <c r="J352" s="29" t="e">
        <f>VLOOKUP(I352,PGStock[],2,FALSE)</f>
        <v>#N/A</v>
      </c>
      <c r="K352" s="30" t="e">
        <f>VLOOKUP(I352,PGStock[],3,FALSE)</f>
        <v>#N/A</v>
      </c>
      <c r="M352" s="31" t="e">
        <f>VLOOKUP(I352,PGStock[],6,FALSE)</f>
        <v>#N/A</v>
      </c>
      <c r="N352" s="31" t="e">
        <f>+Table8[[#This Row],[SalesBot]]*Table8[[#This Row],[Bonus]]</f>
        <v>#N/A</v>
      </c>
    </row>
    <row r="353" spans="1:14" ht="23.25" customHeight="1" x14ac:dyDescent="0.25">
      <c r="A353" s="26">
        <f t="shared" si="47"/>
        <v>1900</v>
      </c>
      <c r="B353" s="26">
        <f t="shared" si="48"/>
        <v>1</v>
      </c>
      <c r="C353" s="20"/>
      <c r="D353" s="21"/>
      <c r="F353" s="23" t="e">
        <f>VLOOKUP(E353,Customers[],2,FALSE)</f>
        <v>#N/A</v>
      </c>
      <c r="G353" s="23" t="e">
        <f>VLOOKUP(E353,Customers[],3,FALSE)</f>
        <v>#N/A</v>
      </c>
      <c r="H353" s="23" t="e">
        <f>VLOOKUP(E353,Customers[],4,FALSE)</f>
        <v>#N/A</v>
      </c>
      <c r="J353" s="29" t="e">
        <f>VLOOKUP(I353,PGStock[],2,FALSE)</f>
        <v>#N/A</v>
      </c>
      <c r="K353" s="30" t="e">
        <f>VLOOKUP(I353,PGStock[],3,FALSE)</f>
        <v>#N/A</v>
      </c>
      <c r="M353" s="31" t="e">
        <f>VLOOKUP(I353,PGStock[],6,FALSE)</f>
        <v>#N/A</v>
      </c>
      <c r="N353" s="31" t="e">
        <f>+Table8[[#This Row],[SalesBot]]*Table8[[#This Row],[Bonus]]</f>
        <v>#N/A</v>
      </c>
    </row>
    <row r="354" spans="1:14" ht="23.25" customHeight="1" x14ac:dyDescent="0.25">
      <c r="A354" s="26">
        <f t="shared" si="47"/>
        <v>1900</v>
      </c>
      <c r="B354" s="26">
        <f t="shared" si="48"/>
        <v>1</v>
      </c>
      <c r="C354" s="20"/>
      <c r="D354" s="21"/>
      <c r="F354" s="23" t="e">
        <f>VLOOKUP(E354,Customers[],2,FALSE)</f>
        <v>#N/A</v>
      </c>
      <c r="G354" s="23" t="e">
        <f>VLOOKUP(E354,Customers[],3,FALSE)</f>
        <v>#N/A</v>
      </c>
      <c r="H354" s="23" t="e">
        <f>VLOOKUP(E354,Customers[],4,FALSE)</f>
        <v>#N/A</v>
      </c>
      <c r="J354" s="29" t="e">
        <f>VLOOKUP(I354,PGStock[],2,FALSE)</f>
        <v>#N/A</v>
      </c>
      <c r="K354" s="30" t="e">
        <f>VLOOKUP(I354,PGStock[],3,FALSE)</f>
        <v>#N/A</v>
      </c>
      <c r="M354" s="31" t="e">
        <f>VLOOKUP(I354,PGStock[],6,FALSE)</f>
        <v>#N/A</v>
      </c>
      <c r="N354" s="31" t="e">
        <f>+Table8[[#This Row],[SalesBot]]*Table8[[#This Row],[Bonus]]</f>
        <v>#N/A</v>
      </c>
    </row>
    <row r="355" spans="1:14" ht="23.25" customHeight="1" x14ac:dyDescent="0.25">
      <c r="A355" s="26">
        <f t="shared" si="47"/>
        <v>1900</v>
      </c>
      <c r="B355" s="26">
        <f t="shared" si="48"/>
        <v>1</v>
      </c>
      <c r="C355" s="20"/>
      <c r="D355" s="21"/>
      <c r="F355" s="23" t="e">
        <f>VLOOKUP(E355,Customers[],2,FALSE)</f>
        <v>#N/A</v>
      </c>
      <c r="G355" s="23" t="e">
        <f>VLOOKUP(E355,Customers[],3,FALSE)</f>
        <v>#N/A</v>
      </c>
      <c r="H355" s="23" t="e">
        <f>VLOOKUP(E355,Customers[],4,FALSE)</f>
        <v>#N/A</v>
      </c>
      <c r="J355" s="29" t="e">
        <f>VLOOKUP(I355,PGStock[],2,FALSE)</f>
        <v>#N/A</v>
      </c>
      <c r="K355" s="30" t="e">
        <f>VLOOKUP(I355,PGStock[],3,FALSE)</f>
        <v>#N/A</v>
      </c>
      <c r="M355" s="31" t="e">
        <f>VLOOKUP(I355,PGStock[],6,FALSE)</f>
        <v>#N/A</v>
      </c>
      <c r="N355" s="31" t="e">
        <f>+Table8[[#This Row],[SalesBot]]*Table8[[#This Row],[Bonus]]</f>
        <v>#N/A</v>
      </c>
    </row>
    <row r="356" spans="1:14" ht="23.25" customHeight="1" x14ac:dyDescent="0.25">
      <c r="A356" s="26">
        <f t="shared" si="47"/>
        <v>1900</v>
      </c>
      <c r="B356" s="26">
        <f t="shared" si="48"/>
        <v>1</v>
      </c>
      <c r="C356" s="20"/>
      <c r="D356" s="21"/>
      <c r="F356" s="23" t="e">
        <f>VLOOKUP(E356,Customers[],2,FALSE)</f>
        <v>#N/A</v>
      </c>
      <c r="G356" s="23" t="e">
        <f>VLOOKUP(E356,Customers[],3,FALSE)</f>
        <v>#N/A</v>
      </c>
      <c r="H356" s="23" t="e">
        <f>VLOOKUP(E356,Customers[],4,FALSE)</f>
        <v>#N/A</v>
      </c>
      <c r="J356" s="29" t="e">
        <f>VLOOKUP(I356,PGStock[],2,FALSE)</f>
        <v>#N/A</v>
      </c>
      <c r="K356" s="30" t="e">
        <f>VLOOKUP(I356,PGStock[],3,FALSE)</f>
        <v>#N/A</v>
      </c>
      <c r="M356" s="31" t="e">
        <f>VLOOKUP(I356,PGStock[],6,FALSE)</f>
        <v>#N/A</v>
      </c>
      <c r="N356" s="31" t="e">
        <f>+Table8[[#This Row],[SalesBot]]*Table8[[#This Row],[Bonus]]</f>
        <v>#N/A</v>
      </c>
    </row>
    <row r="357" spans="1:14" ht="23.25" customHeight="1" x14ac:dyDescent="0.25">
      <c r="A357" s="26">
        <f t="shared" si="47"/>
        <v>1900</v>
      </c>
      <c r="B357" s="26">
        <f t="shared" si="48"/>
        <v>1</v>
      </c>
      <c r="C357" s="20"/>
      <c r="D357" s="21"/>
      <c r="F357" s="23" t="e">
        <f>VLOOKUP(E357,Customers[],2,FALSE)</f>
        <v>#N/A</v>
      </c>
      <c r="G357" s="23" t="e">
        <f>VLOOKUP(E357,Customers[],3,FALSE)</f>
        <v>#N/A</v>
      </c>
      <c r="H357" s="23" t="e">
        <f>VLOOKUP(E357,Customers[],4,FALSE)</f>
        <v>#N/A</v>
      </c>
      <c r="J357" s="29" t="e">
        <f>VLOOKUP(I357,PGStock[],2,FALSE)</f>
        <v>#N/A</v>
      </c>
      <c r="K357" s="30" t="e">
        <f>VLOOKUP(I357,PGStock[],3,FALSE)</f>
        <v>#N/A</v>
      </c>
      <c r="M357" s="31" t="e">
        <f>VLOOKUP(I357,PGStock[],6,FALSE)</f>
        <v>#N/A</v>
      </c>
      <c r="N357" s="31" t="e">
        <f>+Table8[[#This Row],[SalesBot]]*Table8[[#This Row],[Bonus]]</f>
        <v>#N/A</v>
      </c>
    </row>
    <row r="358" spans="1:14" ht="23.25" customHeight="1" x14ac:dyDescent="0.25">
      <c r="A358" s="26">
        <f t="shared" si="47"/>
        <v>1900</v>
      </c>
      <c r="B358" s="26">
        <f t="shared" si="48"/>
        <v>1</v>
      </c>
      <c r="C358" s="20"/>
      <c r="D358" s="21"/>
      <c r="F358" s="23" t="e">
        <f>VLOOKUP(E358,Customers[],2,FALSE)</f>
        <v>#N/A</v>
      </c>
      <c r="G358" s="23" t="e">
        <f>VLOOKUP(E358,Customers[],3,FALSE)</f>
        <v>#N/A</v>
      </c>
      <c r="H358" s="23" t="e">
        <f>VLOOKUP(E358,Customers[],4,FALSE)</f>
        <v>#N/A</v>
      </c>
      <c r="J358" s="29" t="e">
        <f>VLOOKUP(I358,PGStock[],2,FALSE)</f>
        <v>#N/A</v>
      </c>
      <c r="K358" s="30" t="e">
        <f>VLOOKUP(I358,PGStock[],3,FALSE)</f>
        <v>#N/A</v>
      </c>
      <c r="M358" s="31" t="e">
        <f>VLOOKUP(I358,PGStock[],6,FALSE)</f>
        <v>#N/A</v>
      </c>
      <c r="N358" s="31" t="e">
        <f>+Table8[[#This Row],[SalesBot]]*Table8[[#This Row],[Bonus]]</f>
        <v>#N/A</v>
      </c>
    </row>
    <row r="359" spans="1:14" ht="23.25" customHeight="1" x14ac:dyDescent="0.25">
      <c r="A359" s="26">
        <f t="shared" si="47"/>
        <v>1900</v>
      </c>
      <c r="B359" s="26">
        <f t="shared" si="48"/>
        <v>1</v>
      </c>
      <c r="C359" s="20"/>
      <c r="D359" s="21"/>
      <c r="F359" s="23" t="e">
        <f>VLOOKUP(E359,Customers[],2,FALSE)</f>
        <v>#N/A</v>
      </c>
      <c r="G359" s="23" t="e">
        <f>VLOOKUP(E359,Customers[],3,FALSE)</f>
        <v>#N/A</v>
      </c>
      <c r="H359" s="23" t="e">
        <f>VLOOKUP(E359,Customers[],4,FALSE)</f>
        <v>#N/A</v>
      </c>
      <c r="J359" s="29" t="e">
        <f>VLOOKUP(I359,PGStock[],2,FALSE)</f>
        <v>#N/A</v>
      </c>
      <c r="K359" s="30" t="e">
        <f>VLOOKUP(I359,PGStock[],3,FALSE)</f>
        <v>#N/A</v>
      </c>
      <c r="M359" s="31" t="e">
        <f>VLOOKUP(I359,PGStock[],6,FALSE)</f>
        <v>#N/A</v>
      </c>
      <c r="N359" s="31" t="e">
        <f>+Table8[[#This Row],[SalesBot]]*Table8[[#This Row],[Bonus]]</f>
        <v>#N/A</v>
      </c>
    </row>
    <row r="360" spans="1:14" ht="23.25" customHeight="1" x14ac:dyDescent="0.25">
      <c r="A360" s="26">
        <f t="shared" si="47"/>
        <v>1900</v>
      </c>
      <c r="B360" s="26">
        <f t="shared" si="48"/>
        <v>1</v>
      </c>
      <c r="C360" s="20"/>
      <c r="D360" s="21"/>
      <c r="F360" s="23" t="e">
        <f>VLOOKUP(E360,Customers[],2,FALSE)</f>
        <v>#N/A</v>
      </c>
      <c r="G360" s="23" t="e">
        <f>VLOOKUP(E360,Customers[],3,FALSE)</f>
        <v>#N/A</v>
      </c>
      <c r="H360" s="23" t="e">
        <f>VLOOKUP(E360,Customers[],4,FALSE)</f>
        <v>#N/A</v>
      </c>
      <c r="J360" s="29" t="e">
        <f>VLOOKUP(I360,PGStock[],2,FALSE)</f>
        <v>#N/A</v>
      </c>
      <c r="K360" s="30" t="e">
        <f>VLOOKUP(I360,PGStock[],3,FALSE)</f>
        <v>#N/A</v>
      </c>
      <c r="M360" s="31" t="e">
        <f>VLOOKUP(I360,PGStock[],6,FALSE)</f>
        <v>#N/A</v>
      </c>
      <c r="N360" s="31" t="e">
        <f>+Table8[[#This Row],[SalesBot]]*Table8[[#This Row],[Bonus]]</f>
        <v>#N/A</v>
      </c>
    </row>
    <row r="361" spans="1:14" ht="23.25" customHeight="1" x14ac:dyDescent="0.25">
      <c r="A361" s="26">
        <f t="shared" si="47"/>
        <v>1900</v>
      </c>
      <c r="B361" s="26">
        <f t="shared" si="48"/>
        <v>1</v>
      </c>
      <c r="C361" s="20"/>
      <c r="D361" s="21"/>
      <c r="F361" s="23" t="e">
        <f>VLOOKUP(E361,Customers[],2,FALSE)</f>
        <v>#N/A</v>
      </c>
      <c r="G361" s="23" t="e">
        <f>VLOOKUP(E361,Customers[],3,FALSE)</f>
        <v>#N/A</v>
      </c>
      <c r="H361" s="23" t="e">
        <f>VLOOKUP(E361,Customers[],4,FALSE)</f>
        <v>#N/A</v>
      </c>
      <c r="J361" s="29" t="e">
        <f>VLOOKUP(I361,PGStock[],2,FALSE)</f>
        <v>#N/A</v>
      </c>
      <c r="K361" s="30" t="e">
        <f>VLOOKUP(I361,PGStock[],3,FALSE)</f>
        <v>#N/A</v>
      </c>
      <c r="M361" s="31" t="e">
        <f>VLOOKUP(I361,PGStock[],6,FALSE)</f>
        <v>#N/A</v>
      </c>
      <c r="N361" s="31" t="e">
        <f>+Table8[[#This Row],[SalesBot]]*Table8[[#This Row],[Bonus]]</f>
        <v>#N/A</v>
      </c>
    </row>
    <row r="362" spans="1:14" ht="23.25" customHeight="1" x14ac:dyDescent="0.25">
      <c r="A362" s="26">
        <f t="shared" si="47"/>
        <v>1900</v>
      </c>
      <c r="B362" s="26">
        <f t="shared" si="48"/>
        <v>1</v>
      </c>
      <c r="C362" s="20"/>
      <c r="D362" s="21"/>
      <c r="F362" s="23" t="e">
        <f>VLOOKUP(E362,Customers[],2,FALSE)</f>
        <v>#N/A</v>
      </c>
      <c r="G362" s="23" t="e">
        <f>VLOOKUP(E362,Customers[],3,FALSE)</f>
        <v>#N/A</v>
      </c>
      <c r="H362" s="23" t="e">
        <f>VLOOKUP(E362,Customers[],4,FALSE)</f>
        <v>#N/A</v>
      </c>
      <c r="J362" s="29" t="e">
        <f>VLOOKUP(I362,PGStock[],2,FALSE)</f>
        <v>#N/A</v>
      </c>
      <c r="K362" s="30" t="e">
        <f>VLOOKUP(I362,PGStock[],3,FALSE)</f>
        <v>#N/A</v>
      </c>
      <c r="M362" s="31" t="e">
        <f>VLOOKUP(I362,PGStock[],6,FALSE)</f>
        <v>#N/A</v>
      </c>
      <c r="N362" s="31" t="e">
        <f>+Table8[[#This Row],[SalesBot]]*Table8[[#This Row],[Bonus]]</f>
        <v>#N/A</v>
      </c>
    </row>
    <row r="363" spans="1:14" ht="23.25" customHeight="1" x14ac:dyDescent="0.25">
      <c r="A363" s="26">
        <f t="shared" si="47"/>
        <v>1900</v>
      </c>
      <c r="B363" s="26">
        <f t="shared" si="48"/>
        <v>1</v>
      </c>
      <c r="C363" s="20"/>
      <c r="D363" s="21"/>
      <c r="F363" s="23" t="e">
        <f>VLOOKUP(E363,Customers[],2,FALSE)</f>
        <v>#N/A</v>
      </c>
      <c r="G363" s="23" t="e">
        <f>VLOOKUP(E363,Customers[],3,FALSE)</f>
        <v>#N/A</v>
      </c>
      <c r="H363" s="23" t="e">
        <f>VLOOKUP(E363,Customers[],4,FALSE)</f>
        <v>#N/A</v>
      </c>
      <c r="J363" s="29" t="e">
        <f>VLOOKUP(I363,PGStock[],2,FALSE)</f>
        <v>#N/A</v>
      </c>
      <c r="K363" s="30" t="e">
        <f>VLOOKUP(I363,PGStock[],3,FALSE)</f>
        <v>#N/A</v>
      </c>
      <c r="M363" s="31" t="e">
        <f>VLOOKUP(I363,PGStock[],6,FALSE)</f>
        <v>#N/A</v>
      </c>
      <c r="N363" s="31" t="e">
        <f>+Table8[[#This Row],[SalesBot]]*Table8[[#This Row],[Bonus]]</f>
        <v>#N/A</v>
      </c>
    </row>
    <row r="364" spans="1:14" ht="23.25" customHeight="1" x14ac:dyDescent="0.25">
      <c r="A364" s="26">
        <f t="shared" si="47"/>
        <v>1900</v>
      </c>
      <c r="B364" s="26">
        <f t="shared" si="48"/>
        <v>1</v>
      </c>
      <c r="C364" s="20"/>
      <c r="D364" s="21"/>
      <c r="F364" s="23" t="e">
        <f>VLOOKUP(E364,Customers[],2,FALSE)</f>
        <v>#N/A</v>
      </c>
      <c r="G364" s="23" t="e">
        <f>VLOOKUP(E364,Customers[],3,FALSE)</f>
        <v>#N/A</v>
      </c>
      <c r="H364" s="23" t="e">
        <f>VLOOKUP(E364,Customers[],4,FALSE)</f>
        <v>#N/A</v>
      </c>
      <c r="J364" s="29" t="e">
        <f>VLOOKUP(I364,PGStock[],2,FALSE)</f>
        <v>#N/A</v>
      </c>
      <c r="K364" s="30" t="e">
        <f>VLOOKUP(I364,PGStock[],3,FALSE)</f>
        <v>#N/A</v>
      </c>
      <c r="M364" s="31" t="e">
        <f>VLOOKUP(I364,PGStock[],6,FALSE)</f>
        <v>#N/A</v>
      </c>
      <c r="N364" s="31" t="e">
        <f>+Table8[[#This Row],[SalesBot]]*Table8[[#This Row],[Bonus]]</f>
        <v>#N/A</v>
      </c>
    </row>
    <row r="365" spans="1:14" ht="23.25" customHeight="1" x14ac:dyDescent="0.25">
      <c r="A365" s="26">
        <f t="shared" si="47"/>
        <v>1900</v>
      </c>
      <c r="B365" s="26">
        <f t="shared" si="48"/>
        <v>1</v>
      </c>
      <c r="C365" s="20"/>
      <c r="D365" s="21"/>
      <c r="F365" s="23" t="e">
        <f>VLOOKUP(E365,Customers[],2,FALSE)</f>
        <v>#N/A</v>
      </c>
      <c r="G365" s="23" t="e">
        <f>VLOOKUP(E365,Customers[],3,FALSE)</f>
        <v>#N/A</v>
      </c>
      <c r="H365" s="23" t="e">
        <f>VLOOKUP(E365,Customers[],4,FALSE)</f>
        <v>#N/A</v>
      </c>
      <c r="J365" s="29" t="e">
        <f>VLOOKUP(I365,PGStock[],2,FALSE)</f>
        <v>#N/A</v>
      </c>
      <c r="K365" s="30" t="e">
        <f>VLOOKUP(I365,PGStock[],3,FALSE)</f>
        <v>#N/A</v>
      </c>
      <c r="M365" s="31" t="e">
        <f>VLOOKUP(I365,PGStock[],6,FALSE)</f>
        <v>#N/A</v>
      </c>
      <c r="N365" s="31" t="e">
        <f>+Table8[[#This Row],[SalesBot]]*Table8[[#This Row],[Bonus]]</f>
        <v>#N/A</v>
      </c>
    </row>
    <row r="366" spans="1:14" ht="23.25" customHeight="1" x14ac:dyDescent="0.25">
      <c r="A366" s="26">
        <f t="shared" si="47"/>
        <v>1900</v>
      </c>
      <c r="B366" s="26">
        <f t="shared" si="48"/>
        <v>1</v>
      </c>
      <c r="C366" s="20"/>
      <c r="D366" s="21"/>
      <c r="F366" s="23" t="e">
        <f>VLOOKUP(E366,Customers[],2,FALSE)</f>
        <v>#N/A</v>
      </c>
      <c r="G366" s="23" t="e">
        <f>VLOOKUP(E366,Customers[],3,FALSE)</f>
        <v>#N/A</v>
      </c>
      <c r="H366" s="23" t="e">
        <f>VLOOKUP(E366,Customers[],4,FALSE)</f>
        <v>#N/A</v>
      </c>
      <c r="J366" s="29" t="e">
        <f>VLOOKUP(I366,PGStock[],2,FALSE)</f>
        <v>#N/A</v>
      </c>
      <c r="K366" s="30" t="e">
        <f>VLOOKUP(I366,PGStock[],3,FALSE)</f>
        <v>#N/A</v>
      </c>
      <c r="M366" s="31" t="e">
        <f>VLOOKUP(I366,PGStock[],6,FALSE)</f>
        <v>#N/A</v>
      </c>
      <c r="N366" s="31" t="e">
        <f>+Table8[[#This Row],[SalesBot]]*Table8[[#This Row],[Bonus]]</f>
        <v>#N/A</v>
      </c>
    </row>
    <row r="367" spans="1:14" ht="23.25" customHeight="1" x14ac:dyDescent="0.25">
      <c r="A367" s="26">
        <f t="shared" si="47"/>
        <v>1900</v>
      </c>
      <c r="B367" s="26">
        <f t="shared" si="48"/>
        <v>1</v>
      </c>
      <c r="C367" s="20"/>
      <c r="D367" s="21"/>
      <c r="F367" s="23" t="e">
        <f>VLOOKUP(E367,Customers[],2,FALSE)</f>
        <v>#N/A</v>
      </c>
      <c r="G367" s="23" t="e">
        <f>VLOOKUP(E367,Customers[],3,FALSE)</f>
        <v>#N/A</v>
      </c>
      <c r="H367" s="23" t="e">
        <f>VLOOKUP(E367,Customers[],4,FALSE)</f>
        <v>#N/A</v>
      </c>
      <c r="J367" s="29" t="e">
        <f>VLOOKUP(I367,PGStock[],2,FALSE)</f>
        <v>#N/A</v>
      </c>
      <c r="K367" s="30" t="e">
        <f>VLOOKUP(I367,PGStock[],3,FALSE)</f>
        <v>#N/A</v>
      </c>
      <c r="M367" s="31" t="e">
        <f>VLOOKUP(I367,PGStock[],6,FALSE)</f>
        <v>#N/A</v>
      </c>
      <c r="N367" s="31" t="e">
        <f>+Table8[[#This Row],[SalesBot]]*Table8[[#This Row],[Bonus]]</f>
        <v>#N/A</v>
      </c>
    </row>
    <row r="368" spans="1:14" ht="23.25" customHeight="1" x14ac:dyDescent="0.25">
      <c r="A368" s="26">
        <f t="shared" si="47"/>
        <v>1900</v>
      </c>
      <c r="B368" s="26">
        <f t="shared" si="48"/>
        <v>1</v>
      </c>
      <c r="C368" s="20"/>
      <c r="D368" s="21"/>
      <c r="F368" s="23" t="e">
        <f>VLOOKUP(E368,Customers[],2,FALSE)</f>
        <v>#N/A</v>
      </c>
      <c r="G368" s="23" t="e">
        <f>VLOOKUP(E368,Customers[],3,FALSE)</f>
        <v>#N/A</v>
      </c>
      <c r="H368" s="23" t="e">
        <f>VLOOKUP(E368,Customers[],4,FALSE)</f>
        <v>#N/A</v>
      </c>
      <c r="J368" s="29" t="e">
        <f>VLOOKUP(I368,PGStock[],2,FALSE)</f>
        <v>#N/A</v>
      </c>
      <c r="K368" s="30" t="e">
        <f>VLOOKUP(I368,PGStock[],3,FALSE)</f>
        <v>#N/A</v>
      </c>
      <c r="M368" s="31" t="e">
        <f>VLOOKUP(I368,PGStock[],6,FALSE)</f>
        <v>#N/A</v>
      </c>
      <c r="N368" s="31" t="e">
        <f>+Table8[[#This Row],[SalesBot]]*Table8[[#This Row],[Bonus]]</f>
        <v>#N/A</v>
      </c>
    </row>
    <row r="369" spans="1:14" ht="23.25" customHeight="1" x14ac:dyDescent="0.25">
      <c r="A369" s="26">
        <f t="shared" si="47"/>
        <v>1900</v>
      </c>
      <c r="B369" s="26">
        <f t="shared" si="48"/>
        <v>1</v>
      </c>
      <c r="C369" s="20"/>
      <c r="D369" s="21"/>
      <c r="F369" s="23" t="e">
        <f>VLOOKUP(E369,Customers[],2,FALSE)</f>
        <v>#N/A</v>
      </c>
      <c r="G369" s="23" t="e">
        <f>VLOOKUP(E369,Customers[],3,FALSE)</f>
        <v>#N/A</v>
      </c>
      <c r="H369" s="23" t="e">
        <f>VLOOKUP(E369,Customers[],4,FALSE)</f>
        <v>#N/A</v>
      </c>
      <c r="J369" s="29" t="e">
        <f>VLOOKUP(I369,PGStock[],2,FALSE)</f>
        <v>#N/A</v>
      </c>
      <c r="K369" s="30" t="e">
        <f>VLOOKUP(I369,PGStock[],3,FALSE)</f>
        <v>#N/A</v>
      </c>
      <c r="M369" s="31" t="e">
        <f>VLOOKUP(I369,PGStock[],6,FALSE)</f>
        <v>#N/A</v>
      </c>
      <c r="N369" s="31" t="e">
        <f>+Table8[[#This Row],[SalesBot]]*Table8[[#This Row],[Bonus]]</f>
        <v>#N/A</v>
      </c>
    </row>
    <row r="370" spans="1:14" ht="23.25" customHeight="1" x14ac:dyDescent="0.25">
      <c r="A370" s="26">
        <f t="shared" si="47"/>
        <v>1900</v>
      </c>
      <c r="B370" s="26">
        <f t="shared" si="48"/>
        <v>1</v>
      </c>
      <c r="C370" s="20"/>
      <c r="D370" s="21"/>
      <c r="F370" s="23" t="e">
        <f>VLOOKUP(E370,Customers[],2,FALSE)</f>
        <v>#N/A</v>
      </c>
      <c r="G370" s="23" t="e">
        <f>VLOOKUP(E370,Customers[],3,FALSE)</f>
        <v>#N/A</v>
      </c>
      <c r="H370" s="23" t="e">
        <f>VLOOKUP(E370,Customers[],4,FALSE)</f>
        <v>#N/A</v>
      </c>
      <c r="J370" s="29" t="e">
        <f>VLOOKUP(I370,PGStock[],2,FALSE)</f>
        <v>#N/A</v>
      </c>
      <c r="K370" s="30" t="e">
        <f>VLOOKUP(I370,PGStock[],3,FALSE)</f>
        <v>#N/A</v>
      </c>
      <c r="M370" s="31" t="e">
        <f>VLOOKUP(I370,PGStock[],6,FALSE)</f>
        <v>#N/A</v>
      </c>
      <c r="N370" s="31" t="e">
        <f>+Table8[[#This Row],[SalesBot]]*Table8[[#This Row],[Bonus]]</f>
        <v>#N/A</v>
      </c>
    </row>
    <row r="371" spans="1:14" ht="23.25" customHeight="1" x14ac:dyDescent="0.25">
      <c r="A371" s="26">
        <f t="shared" si="47"/>
        <v>1900</v>
      </c>
      <c r="B371" s="26">
        <f t="shared" si="48"/>
        <v>1</v>
      </c>
      <c r="C371" s="20"/>
      <c r="D371" s="21"/>
      <c r="F371" s="23" t="e">
        <f>VLOOKUP(E371,Customers[],2,FALSE)</f>
        <v>#N/A</v>
      </c>
      <c r="G371" s="23" t="e">
        <f>VLOOKUP(E371,Customers[],3,FALSE)</f>
        <v>#N/A</v>
      </c>
      <c r="H371" s="23" t="e">
        <f>VLOOKUP(E371,Customers[],4,FALSE)</f>
        <v>#N/A</v>
      </c>
      <c r="J371" s="29" t="e">
        <f>VLOOKUP(I371,PGStock[],2,FALSE)</f>
        <v>#N/A</v>
      </c>
      <c r="K371" s="30" t="e">
        <f>VLOOKUP(I371,PGStock[],3,FALSE)</f>
        <v>#N/A</v>
      </c>
      <c r="M371" s="31" t="e">
        <f>VLOOKUP(I371,PGStock[],6,FALSE)</f>
        <v>#N/A</v>
      </c>
      <c r="N371" s="31" t="e">
        <f>+Table8[[#This Row],[SalesBot]]*Table8[[#This Row],[Bonus]]</f>
        <v>#N/A</v>
      </c>
    </row>
    <row r="372" spans="1:14" ht="23.25" customHeight="1" x14ac:dyDescent="0.25">
      <c r="A372" s="26">
        <f t="shared" si="47"/>
        <v>1900</v>
      </c>
      <c r="B372" s="26">
        <f t="shared" si="48"/>
        <v>1</v>
      </c>
      <c r="C372" s="20"/>
      <c r="D372" s="21"/>
      <c r="F372" s="23" t="e">
        <f>VLOOKUP(E372,Customers[],2,FALSE)</f>
        <v>#N/A</v>
      </c>
      <c r="G372" s="23" t="e">
        <f>VLOOKUP(E372,Customers[],3,FALSE)</f>
        <v>#N/A</v>
      </c>
      <c r="H372" s="23" t="e">
        <f>VLOOKUP(E372,Customers[],4,FALSE)</f>
        <v>#N/A</v>
      </c>
      <c r="J372" s="29" t="e">
        <f>VLOOKUP(I372,PGStock[],2,FALSE)</f>
        <v>#N/A</v>
      </c>
      <c r="K372" s="30" t="e">
        <f>VLOOKUP(I372,PGStock[],3,FALSE)</f>
        <v>#N/A</v>
      </c>
      <c r="M372" s="31" t="e">
        <f>VLOOKUP(I372,PGStock[],6,FALSE)</f>
        <v>#N/A</v>
      </c>
      <c r="N372" s="31" t="e">
        <f>+Table8[[#This Row],[SalesBot]]*Table8[[#This Row],[Bonus]]</f>
        <v>#N/A</v>
      </c>
    </row>
    <row r="373" spans="1:14" ht="23.25" customHeight="1" x14ac:dyDescent="0.25">
      <c r="A373" s="26">
        <f t="shared" si="47"/>
        <v>1900</v>
      </c>
      <c r="B373" s="26">
        <f t="shared" si="48"/>
        <v>1</v>
      </c>
      <c r="C373" s="20"/>
      <c r="D373" s="21"/>
      <c r="F373" s="23" t="e">
        <f>VLOOKUP(E373,Customers[],2,FALSE)</f>
        <v>#N/A</v>
      </c>
      <c r="G373" s="23" t="e">
        <f>VLOOKUP(E373,Customers[],3,FALSE)</f>
        <v>#N/A</v>
      </c>
      <c r="H373" s="23" t="e">
        <f>VLOOKUP(E373,Customers[],4,FALSE)</f>
        <v>#N/A</v>
      </c>
      <c r="J373" s="29" t="e">
        <f>VLOOKUP(I373,PGStock[],2,FALSE)</f>
        <v>#N/A</v>
      </c>
      <c r="K373" s="30" t="e">
        <f>VLOOKUP(I373,PGStock[],3,FALSE)</f>
        <v>#N/A</v>
      </c>
      <c r="M373" s="31" t="e">
        <f>VLOOKUP(I373,PGStock[],6,FALSE)</f>
        <v>#N/A</v>
      </c>
      <c r="N373" s="31" t="e">
        <f>+Table8[[#This Row],[SalesBot]]*Table8[[#This Row],[Bonus]]</f>
        <v>#N/A</v>
      </c>
    </row>
    <row r="374" spans="1:14" ht="23.25" customHeight="1" x14ac:dyDescent="0.25">
      <c r="A374" s="26">
        <f t="shared" si="47"/>
        <v>1900</v>
      </c>
      <c r="B374" s="26">
        <f t="shared" si="48"/>
        <v>1</v>
      </c>
      <c r="C374" s="20"/>
      <c r="D374" s="21"/>
      <c r="F374" s="23" t="e">
        <f>VLOOKUP(E374,Customers[],2,FALSE)</f>
        <v>#N/A</v>
      </c>
      <c r="G374" s="23" t="e">
        <f>VLOOKUP(E374,Customers[],3,FALSE)</f>
        <v>#N/A</v>
      </c>
      <c r="H374" s="23" t="e">
        <f>VLOOKUP(E374,Customers[],4,FALSE)</f>
        <v>#N/A</v>
      </c>
      <c r="J374" s="29" t="e">
        <f>VLOOKUP(I374,PGStock[],2,FALSE)</f>
        <v>#N/A</v>
      </c>
      <c r="K374" s="30" t="e">
        <f>VLOOKUP(I374,PGStock[],3,FALSE)</f>
        <v>#N/A</v>
      </c>
      <c r="M374" s="31" t="e">
        <f>VLOOKUP(I374,PGStock[],6,FALSE)</f>
        <v>#N/A</v>
      </c>
      <c r="N374" s="31" t="e">
        <f>+Table8[[#This Row],[SalesBot]]*Table8[[#This Row],[Bonus]]</f>
        <v>#N/A</v>
      </c>
    </row>
    <row r="375" spans="1:14" ht="23.25" customHeight="1" x14ac:dyDescent="0.25">
      <c r="A375" s="26">
        <f t="shared" si="47"/>
        <v>1900</v>
      </c>
      <c r="B375" s="26">
        <f t="shared" si="48"/>
        <v>1</v>
      </c>
      <c r="C375" s="20"/>
      <c r="D375" s="21"/>
      <c r="F375" s="23" t="e">
        <f>VLOOKUP(E375,Customers[],2,FALSE)</f>
        <v>#N/A</v>
      </c>
      <c r="G375" s="23" t="e">
        <f>VLOOKUP(E375,Customers[],3,FALSE)</f>
        <v>#N/A</v>
      </c>
      <c r="H375" s="23" t="e">
        <f>VLOOKUP(E375,Customers[],4,FALSE)</f>
        <v>#N/A</v>
      </c>
      <c r="J375" s="29" t="e">
        <f>VLOOKUP(I375,PGStock[],2,FALSE)</f>
        <v>#N/A</v>
      </c>
      <c r="K375" s="30" t="e">
        <f>VLOOKUP(I375,PGStock[],3,FALSE)</f>
        <v>#N/A</v>
      </c>
      <c r="M375" s="31" t="e">
        <f>VLOOKUP(I375,PGStock[],6,FALSE)</f>
        <v>#N/A</v>
      </c>
      <c r="N375" s="31" t="e">
        <f>+Table8[[#This Row],[SalesBot]]*Table8[[#This Row],[Bonus]]</f>
        <v>#N/A</v>
      </c>
    </row>
    <row r="376" spans="1:14" ht="23.25" customHeight="1" x14ac:dyDescent="0.25">
      <c r="A376" s="26">
        <f t="shared" si="47"/>
        <v>1900</v>
      </c>
      <c r="B376" s="26">
        <f t="shared" si="48"/>
        <v>1</v>
      </c>
      <c r="C376" s="20"/>
      <c r="D376" s="21"/>
      <c r="F376" s="23" t="e">
        <f>VLOOKUP(E376,Customers[],2,FALSE)</f>
        <v>#N/A</v>
      </c>
      <c r="G376" s="23" t="e">
        <f>VLOOKUP(E376,Customers[],3,FALSE)</f>
        <v>#N/A</v>
      </c>
      <c r="H376" s="23" t="e">
        <f>VLOOKUP(E376,Customers[],4,FALSE)</f>
        <v>#N/A</v>
      </c>
      <c r="J376" s="29" t="e">
        <f>VLOOKUP(I376,PGStock[],2,FALSE)</f>
        <v>#N/A</v>
      </c>
      <c r="K376" s="30" t="e">
        <f>VLOOKUP(I376,PGStock[],3,FALSE)</f>
        <v>#N/A</v>
      </c>
      <c r="M376" s="31" t="e">
        <f>VLOOKUP(I376,PGStock[],6,FALSE)</f>
        <v>#N/A</v>
      </c>
      <c r="N376" s="31" t="e">
        <f>+Table8[[#This Row],[SalesBot]]*Table8[[#This Row],[Bonus]]</f>
        <v>#N/A</v>
      </c>
    </row>
    <row r="377" spans="1:14" ht="23.25" customHeight="1" x14ac:dyDescent="0.25">
      <c r="A377" s="26">
        <f t="shared" si="47"/>
        <v>1900</v>
      </c>
      <c r="B377" s="26">
        <f t="shared" si="48"/>
        <v>1</v>
      </c>
      <c r="C377" s="20"/>
      <c r="D377" s="21"/>
      <c r="F377" s="23" t="e">
        <f>VLOOKUP(E377,Customers[],2,FALSE)</f>
        <v>#N/A</v>
      </c>
      <c r="G377" s="23" t="e">
        <f>VLOOKUP(E377,Customers[],3,FALSE)</f>
        <v>#N/A</v>
      </c>
      <c r="H377" s="23" t="e">
        <f>VLOOKUP(E377,Customers[],4,FALSE)</f>
        <v>#N/A</v>
      </c>
      <c r="J377" s="29" t="e">
        <f>VLOOKUP(I377,PGStock[],2,FALSE)</f>
        <v>#N/A</v>
      </c>
      <c r="K377" s="30" t="e">
        <f>VLOOKUP(I377,PGStock[],3,FALSE)</f>
        <v>#N/A</v>
      </c>
      <c r="M377" s="31" t="e">
        <f>VLOOKUP(I377,PGStock[],6,FALSE)</f>
        <v>#N/A</v>
      </c>
      <c r="N377" s="31" t="e">
        <f>+Table8[[#This Row],[SalesBot]]*Table8[[#This Row],[Bonus]]</f>
        <v>#N/A</v>
      </c>
    </row>
    <row r="378" spans="1:14" ht="23.25" customHeight="1" x14ac:dyDescent="0.25">
      <c r="A378" s="26">
        <f t="shared" si="47"/>
        <v>1900</v>
      </c>
      <c r="B378" s="26">
        <f t="shared" si="48"/>
        <v>1</v>
      </c>
      <c r="C378" s="20"/>
      <c r="D378" s="21"/>
      <c r="F378" s="23" t="e">
        <f>VLOOKUP(E378,Customers[],2,FALSE)</f>
        <v>#N/A</v>
      </c>
      <c r="G378" s="23" t="e">
        <f>VLOOKUP(E378,Customers[],3,FALSE)</f>
        <v>#N/A</v>
      </c>
      <c r="H378" s="23" t="e">
        <f>VLOOKUP(E378,Customers[],4,FALSE)</f>
        <v>#N/A</v>
      </c>
      <c r="J378" s="29" t="e">
        <f>VLOOKUP(I378,PGStock[],2,FALSE)</f>
        <v>#N/A</v>
      </c>
      <c r="K378" s="30" t="e">
        <f>VLOOKUP(I378,PGStock[],3,FALSE)</f>
        <v>#N/A</v>
      </c>
      <c r="M378" s="31" t="e">
        <f>VLOOKUP(I378,PGStock[],6,FALSE)</f>
        <v>#N/A</v>
      </c>
      <c r="N378" s="31" t="e">
        <f>+Table8[[#This Row],[SalesBot]]*Table8[[#This Row],[Bonus]]</f>
        <v>#N/A</v>
      </c>
    </row>
    <row r="379" spans="1:14" ht="23.25" customHeight="1" x14ac:dyDescent="0.25">
      <c r="A379" s="26">
        <f t="shared" si="47"/>
        <v>1900</v>
      </c>
      <c r="B379" s="26">
        <f t="shared" si="48"/>
        <v>1</v>
      </c>
      <c r="C379" s="20"/>
      <c r="D379" s="21"/>
      <c r="F379" s="23" t="e">
        <f>VLOOKUP(E379,Customers[],2,FALSE)</f>
        <v>#N/A</v>
      </c>
      <c r="G379" s="23" t="e">
        <f>VLOOKUP(E379,Customers[],3,FALSE)</f>
        <v>#N/A</v>
      </c>
      <c r="H379" s="23" t="e">
        <f>VLOOKUP(E379,Customers[],4,FALSE)</f>
        <v>#N/A</v>
      </c>
      <c r="J379" s="29" t="e">
        <f>VLOOKUP(I379,PGStock[],2,FALSE)</f>
        <v>#N/A</v>
      </c>
      <c r="K379" s="30" t="e">
        <f>VLOOKUP(I379,PGStock[],3,FALSE)</f>
        <v>#N/A</v>
      </c>
      <c r="M379" s="31" t="e">
        <f>VLOOKUP(I379,PGStock[],6,FALSE)</f>
        <v>#N/A</v>
      </c>
      <c r="N379" s="31" t="e">
        <f>+Table8[[#This Row],[SalesBot]]*Table8[[#This Row],[Bonus]]</f>
        <v>#N/A</v>
      </c>
    </row>
    <row r="380" spans="1:14" ht="23.25" customHeight="1" x14ac:dyDescent="0.25">
      <c r="A380" s="26">
        <f t="shared" si="47"/>
        <v>1900</v>
      </c>
      <c r="B380" s="26">
        <f t="shared" si="48"/>
        <v>1</v>
      </c>
      <c r="C380" s="20"/>
      <c r="D380" s="21"/>
      <c r="F380" s="23" t="e">
        <f>VLOOKUP(E380,Customers[],2,FALSE)</f>
        <v>#N/A</v>
      </c>
      <c r="G380" s="23" t="e">
        <f>VLOOKUP(E380,Customers[],3,FALSE)</f>
        <v>#N/A</v>
      </c>
      <c r="H380" s="23" t="e">
        <f>VLOOKUP(E380,Customers[],4,FALSE)</f>
        <v>#N/A</v>
      </c>
      <c r="J380" s="29" t="e">
        <f>VLOOKUP(I380,PGStock[],2,FALSE)</f>
        <v>#N/A</v>
      </c>
      <c r="K380" s="30" t="e">
        <f>VLOOKUP(I380,PGStock[],3,FALSE)</f>
        <v>#N/A</v>
      </c>
      <c r="M380" s="31" t="e">
        <f>VLOOKUP(I380,PGStock[],6,FALSE)</f>
        <v>#N/A</v>
      </c>
      <c r="N380" s="31" t="e">
        <f>+Table8[[#This Row],[SalesBot]]*Table8[[#This Row],[Bonus]]</f>
        <v>#N/A</v>
      </c>
    </row>
    <row r="381" spans="1:14" ht="23.25" customHeight="1" x14ac:dyDescent="0.25">
      <c r="A381" s="26">
        <f t="shared" si="47"/>
        <v>1900</v>
      </c>
      <c r="B381" s="26">
        <f t="shared" si="48"/>
        <v>1</v>
      </c>
      <c r="C381" s="20"/>
      <c r="D381" s="21"/>
      <c r="F381" s="23" t="e">
        <f>VLOOKUP(E381,Customers[],2,FALSE)</f>
        <v>#N/A</v>
      </c>
      <c r="G381" s="23" t="e">
        <f>VLOOKUP(E381,Customers[],3,FALSE)</f>
        <v>#N/A</v>
      </c>
      <c r="H381" s="23" t="e">
        <f>VLOOKUP(E381,Customers[],4,FALSE)</f>
        <v>#N/A</v>
      </c>
      <c r="J381" s="29" t="e">
        <f>VLOOKUP(I381,PGStock[],2,FALSE)</f>
        <v>#N/A</v>
      </c>
      <c r="K381" s="30" t="e">
        <f>VLOOKUP(I381,PGStock[],3,FALSE)</f>
        <v>#N/A</v>
      </c>
      <c r="M381" s="31" t="e">
        <f>VLOOKUP(I381,PGStock[],6,FALSE)</f>
        <v>#N/A</v>
      </c>
      <c r="N381" s="31" t="e">
        <f>+Table8[[#This Row],[SalesBot]]*Table8[[#This Row],[Bonus]]</f>
        <v>#N/A</v>
      </c>
    </row>
    <row r="382" spans="1:14" ht="23.25" customHeight="1" x14ac:dyDescent="0.25">
      <c r="A382" s="26">
        <f t="shared" ref="A382:A413" si="49">YEAR(C382)</f>
        <v>1900</v>
      </c>
      <c r="B382" s="26">
        <f t="shared" ref="B382:B413" si="50">MONTH(C382)</f>
        <v>1</v>
      </c>
      <c r="C382" s="20"/>
      <c r="D382" s="21"/>
      <c r="F382" s="23" t="e">
        <f>VLOOKUP(E382,Customers[],2,FALSE)</f>
        <v>#N/A</v>
      </c>
      <c r="G382" s="23" t="e">
        <f>VLOOKUP(E382,Customers[],3,FALSE)</f>
        <v>#N/A</v>
      </c>
      <c r="H382" s="23" t="e">
        <f>VLOOKUP(E382,Customers[],4,FALSE)</f>
        <v>#N/A</v>
      </c>
      <c r="J382" s="29" t="e">
        <f>VLOOKUP(I382,PGStock[],2,FALSE)</f>
        <v>#N/A</v>
      </c>
      <c r="K382" s="30" t="e">
        <f>VLOOKUP(I382,PGStock[],3,FALSE)</f>
        <v>#N/A</v>
      </c>
      <c r="M382" s="31" t="e">
        <f>VLOOKUP(I382,PGStock[],6,FALSE)</f>
        <v>#N/A</v>
      </c>
      <c r="N382" s="31" t="e">
        <f>+Table8[[#This Row],[SalesBot]]*Table8[[#This Row],[Bonus]]</f>
        <v>#N/A</v>
      </c>
    </row>
    <row r="383" spans="1:14" ht="23.25" customHeight="1" x14ac:dyDescent="0.25">
      <c r="A383" s="26">
        <f t="shared" si="49"/>
        <v>1900</v>
      </c>
      <c r="B383" s="26">
        <f t="shared" si="50"/>
        <v>1</v>
      </c>
      <c r="C383" s="20"/>
      <c r="D383" s="21"/>
      <c r="F383" s="23" t="e">
        <f>VLOOKUP(E383,Customers[],2,FALSE)</f>
        <v>#N/A</v>
      </c>
      <c r="G383" s="23" t="e">
        <f>VLOOKUP(E383,Customers[],3,FALSE)</f>
        <v>#N/A</v>
      </c>
      <c r="H383" s="23" t="e">
        <f>VLOOKUP(E383,Customers[],4,FALSE)</f>
        <v>#N/A</v>
      </c>
      <c r="J383" s="29" t="e">
        <f>VLOOKUP(I383,PGStock[],2,FALSE)</f>
        <v>#N/A</v>
      </c>
      <c r="K383" s="30" t="e">
        <f>VLOOKUP(I383,PGStock[],3,FALSE)</f>
        <v>#N/A</v>
      </c>
      <c r="M383" s="31" t="e">
        <f>VLOOKUP(I383,PGStock[],6,FALSE)</f>
        <v>#N/A</v>
      </c>
      <c r="N383" s="31" t="e">
        <f>+Table8[[#This Row],[SalesBot]]*Table8[[#This Row],[Bonus]]</f>
        <v>#N/A</v>
      </c>
    </row>
    <row r="384" spans="1:14" ht="23.25" customHeight="1" x14ac:dyDescent="0.25">
      <c r="A384" s="26">
        <f t="shared" si="49"/>
        <v>1900</v>
      </c>
      <c r="B384" s="26">
        <f t="shared" si="50"/>
        <v>1</v>
      </c>
      <c r="C384" s="20"/>
      <c r="D384" s="21"/>
      <c r="F384" s="23" t="e">
        <f>VLOOKUP(E384,Customers[],2,FALSE)</f>
        <v>#N/A</v>
      </c>
      <c r="G384" s="23" t="e">
        <f>VLOOKUP(E384,Customers[],3,FALSE)</f>
        <v>#N/A</v>
      </c>
      <c r="H384" s="23" t="e">
        <f>VLOOKUP(E384,Customers[],4,FALSE)</f>
        <v>#N/A</v>
      </c>
      <c r="J384" s="29" t="e">
        <f>VLOOKUP(I384,PGStock[],2,FALSE)</f>
        <v>#N/A</v>
      </c>
      <c r="K384" s="30" t="e">
        <f>VLOOKUP(I384,PGStock[],3,FALSE)</f>
        <v>#N/A</v>
      </c>
      <c r="M384" s="31" t="e">
        <f>VLOOKUP(I384,PGStock[],6,FALSE)</f>
        <v>#N/A</v>
      </c>
      <c r="N384" s="31" t="e">
        <f>+Table8[[#This Row],[SalesBot]]*Table8[[#This Row],[Bonus]]</f>
        <v>#N/A</v>
      </c>
    </row>
    <row r="385" spans="1:14" ht="23.25" customHeight="1" x14ac:dyDescent="0.25">
      <c r="A385" s="26">
        <f t="shared" si="49"/>
        <v>1900</v>
      </c>
      <c r="B385" s="26">
        <f t="shared" si="50"/>
        <v>1</v>
      </c>
      <c r="C385" s="20"/>
      <c r="D385" s="21"/>
      <c r="F385" s="23" t="e">
        <f>VLOOKUP(E385,Customers[],2,FALSE)</f>
        <v>#N/A</v>
      </c>
      <c r="G385" s="23" t="e">
        <f>VLOOKUP(E385,Customers[],3,FALSE)</f>
        <v>#N/A</v>
      </c>
      <c r="H385" s="23" t="e">
        <f>VLOOKUP(E385,Customers[],4,FALSE)</f>
        <v>#N/A</v>
      </c>
      <c r="J385" s="29" t="e">
        <f>VLOOKUP(I385,PGStock[],2,FALSE)</f>
        <v>#N/A</v>
      </c>
      <c r="K385" s="30" t="e">
        <f>VLOOKUP(I385,PGStock[],3,FALSE)</f>
        <v>#N/A</v>
      </c>
      <c r="M385" s="31" t="e">
        <f>VLOOKUP(I385,PGStock[],6,FALSE)</f>
        <v>#N/A</v>
      </c>
      <c r="N385" s="31" t="e">
        <f>+Table8[[#This Row],[SalesBot]]*Table8[[#This Row],[Bonus]]</f>
        <v>#N/A</v>
      </c>
    </row>
    <row r="386" spans="1:14" ht="23.25" customHeight="1" x14ac:dyDescent="0.25">
      <c r="A386" s="26">
        <f t="shared" si="49"/>
        <v>1900</v>
      </c>
      <c r="B386" s="26">
        <f t="shared" si="50"/>
        <v>1</v>
      </c>
      <c r="C386" s="20"/>
      <c r="D386" s="21"/>
      <c r="F386" s="23" t="e">
        <f>VLOOKUP(E386,Customers[],2,FALSE)</f>
        <v>#N/A</v>
      </c>
      <c r="G386" s="23" t="e">
        <f>VLOOKUP(E386,Customers[],3,FALSE)</f>
        <v>#N/A</v>
      </c>
      <c r="H386" s="23" t="e">
        <f>VLOOKUP(E386,Customers[],4,FALSE)</f>
        <v>#N/A</v>
      </c>
      <c r="J386" s="29" t="e">
        <f>VLOOKUP(I386,PGStock[],2,FALSE)</f>
        <v>#N/A</v>
      </c>
      <c r="K386" s="30" t="e">
        <f>VLOOKUP(I386,PGStock[],3,FALSE)</f>
        <v>#N/A</v>
      </c>
      <c r="M386" s="31" t="e">
        <f>VLOOKUP(I386,PGStock[],6,FALSE)</f>
        <v>#N/A</v>
      </c>
      <c r="N386" s="31" t="e">
        <f>+Table8[[#This Row],[SalesBot]]*Table8[[#This Row],[Bonus]]</f>
        <v>#N/A</v>
      </c>
    </row>
    <row r="387" spans="1:14" ht="23.25" customHeight="1" x14ac:dyDescent="0.25">
      <c r="A387" s="26">
        <f t="shared" si="49"/>
        <v>1900</v>
      </c>
      <c r="B387" s="26">
        <f t="shared" si="50"/>
        <v>1</v>
      </c>
      <c r="C387" s="20"/>
      <c r="D387" s="21"/>
      <c r="F387" s="23" t="e">
        <f>VLOOKUP(E387,Customers[],2,FALSE)</f>
        <v>#N/A</v>
      </c>
      <c r="G387" s="23" t="e">
        <f>VLOOKUP(E387,Customers[],3,FALSE)</f>
        <v>#N/A</v>
      </c>
      <c r="H387" s="23" t="e">
        <f>VLOOKUP(E387,Customers[],4,FALSE)</f>
        <v>#N/A</v>
      </c>
      <c r="J387" s="29" t="e">
        <f>VLOOKUP(I387,PGStock[],2,FALSE)</f>
        <v>#N/A</v>
      </c>
      <c r="K387" s="30" t="e">
        <f>VLOOKUP(I387,PGStock[],3,FALSE)</f>
        <v>#N/A</v>
      </c>
      <c r="M387" s="31" t="e">
        <f>VLOOKUP(I387,PGStock[],6,FALSE)</f>
        <v>#N/A</v>
      </c>
      <c r="N387" s="31" t="e">
        <f>+Table8[[#This Row],[SalesBot]]*Table8[[#This Row],[Bonus]]</f>
        <v>#N/A</v>
      </c>
    </row>
    <row r="388" spans="1:14" ht="23.25" customHeight="1" x14ac:dyDescent="0.25">
      <c r="A388" s="26">
        <f t="shared" si="49"/>
        <v>1900</v>
      </c>
      <c r="B388" s="26">
        <f t="shared" si="50"/>
        <v>1</v>
      </c>
      <c r="C388" s="20"/>
      <c r="D388" s="21"/>
      <c r="F388" s="23" t="e">
        <f>VLOOKUP(E388,Customers[],2,FALSE)</f>
        <v>#N/A</v>
      </c>
      <c r="G388" s="23" t="e">
        <f>VLOOKUP(E388,Customers[],3,FALSE)</f>
        <v>#N/A</v>
      </c>
      <c r="H388" s="23" t="e">
        <f>VLOOKUP(E388,Customers[],4,FALSE)</f>
        <v>#N/A</v>
      </c>
      <c r="J388" s="29" t="e">
        <f>VLOOKUP(I388,PGStock[],2,FALSE)</f>
        <v>#N/A</v>
      </c>
      <c r="K388" s="30" t="e">
        <f>VLOOKUP(I388,PGStock[],3,FALSE)</f>
        <v>#N/A</v>
      </c>
      <c r="M388" s="31" t="e">
        <f>VLOOKUP(I388,PGStock[],6,FALSE)</f>
        <v>#N/A</v>
      </c>
      <c r="N388" s="31" t="e">
        <f>+Table8[[#This Row],[SalesBot]]*Table8[[#This Row],[Bonus]]</f>
        <v>#N/A</v>
      </c>
    </row>
    <row r="389" spans="1:14" ht="23.25" customHeight="1" x14ac:dyDescent="0.25">
      <c r="A389" s="26">
        <f t="shared" si="49"/>
        <v>1900</v>
      </c>
      <c r="B389" s="26">
        <f t="shared" si="50"/>
        <v>1</v>
      </c>
      <c r="C389" s="20"/>
      <c r="D389" s="21"/>
      <c r="F389" s="23" t="e">
        <f>VLOOKUP(E389,Customers[],2,FALSE)</f>
        <v>#N/A</v>
      </c>
      <c r="G389" s="23" t="e">
        <f>VLOOKUP(E389,Customers[],3,FALSE)</f>
        <v>#N/A</v>
      </c>
      <c r="H389" s="23" t="e">
        <f>VLOOKUP(E389,Customers[],4,FALSE)</f>
        <v>#N/A</v>
      </c>
      <c r="J389" s="29" t="e">
        <f>VLOOKUP(I389,PGStock[],2,FALSE)</f>
        <v>#N/A</v>
      </c>
      <c r="K389" s="30" t="e">
        <f>VLOOKUP(I389,PGStock[],3,FALSE)</f>
        <v>#N/A</v>
      </c>
      <c r="M389" s="31" t="e">
        <f>VLOOKUP(I389,PGStock[],6,FALSE)</f>
        <v>#N/A</v>
      </c>
      <c r="N389" s="31" t="e">
        <f>+Table8[[#This Row],[SalesBot]]*Table8[[#This Row],[Bonus]]</f>
        <v>#N/A</v>
      </c>
    </row>
    <row r="390" spans="1:14" ht="23.25" customHeight="1" x14ac:dyDescent="0.25">
      <c r="A390" s="26">
        <f t="shared" si="49"/>
        <v>1900</v>
      </c>
      <c r="B390" s="26">
        <f t="shared" si="50"/>
        <v>1</v>
      </c>
      <c r="C390" s="20"/>
      <c r="D390" s="21"/>
      <c r="F390" s="23" t="e">
        <f>VLOOKUP(E390,Customers[],2,FALSE)</f>
        <v>#N/A</v>
      </c>
      <c r="G390" s="23" t="e">
        <f>VLOOKUP(E390,Customers[],3,FALSE)</f>
        <v>#N/A</v>
      </c>
      <c r="H390" s="23" t="e">
        <f>VLOOKUP(E390,Customers[],4,FALSE)</f>
        <v>#N/A</v>
      </c>
      <c r="J390" s="29" t="e">
        <f>VLOOKUP(I390,PGStock[],2,FALSE)</f>
        <v>#N/A</v>
      </c>
      <c r="K390" s="30" t="e">
        <f>VLOOKUP(I390,PGStock[],3,FALSE)</f>
        <v>#N/A</v>
      </c>
      <c r="M390" s="31" t="e">
        <f>VLOOKUP(I390,PGStock[],6,FALSE)</f>
        <v>#N/A</v>
      </c>
      <c r="N390" s="31" t="e">
        <f>+Table8[[#This Row],[SalesBot]]*Table8[[#This Row],[Bonus]]</f>
        <v>#N/A</v>
      </c>
    </row>
    <row r="391" spans="1:14" ht="23.25" customHeight="1" x14ac:dyDescent="0.25">
      <c r="A391" s="26">
        <f t="shared" si="49"/>
        <v>1900</v>
      </c>
      <c r="B391" s="26">
        <f t="shared" si="50"/>
        <v>1</v>
      </c>
      <c r="C391" s="20"/>
      <c r="D391" s="21"/>
      <c r="F391" s="23" t="e">
        <f>VLOOKUP(E391,Customers[],2,FALSE)</f>
        <v>#N/A</v>
      </c>
      <c r="G391" s="23" t="e">
        <f>VLOOKUP(E391,Customers[],3,FALSE)</f>
        <v>#N/A</v>
      </c>
      <c r="H391" s="23" t="e">
        <f>VLOOKUP(E391,Customers[],4,FALSE)</f>
        <v>#N/A</v>
      </c>
      <c r="J391" s="29" t="e">
        <f>VLOOKUP(I391,PGStock[],2,FALSE)</f>
        <v>#N/A</v>
      </c>
      <c r="K391" s="30" t="e">
        <f>VLOOKUP(I391,PGStock[],3,FALSE)</f>
        <v>#N/A</v>
      </c>
      <c r="M391" s="31" t="e">
        <f>VLOOKUP(I391,PGStock[],6,FALSE)</f>
        <v>#N/A</v>
      </c>
      <c r="N391" s="31" t="e">
        <f>+Table8[[#This Row],[SalesBot]]*Table8[[#This Row],[Bonus]]</f>
        <v>#N/A</v>
      </c>
    </row>
    <row r="392" spans="1:14" ht="23.25" customHeight="1" x14ac:dyDescent="0.25">
      <c r="A392" s="26">
        <f t="shared" si="49"/>
        <v>1900</v>
      </c>
      <c r="B392" s="26">
        <f t="shared" si="50"/>
        <v>1</v>
      </c>
      <c r="C392" s="20"/>
      <c r="D392" s="21"/>
      <c r="F392" s="23" t="e">
        <f>VLOOKUP(E392,Customers[],2,FALSE)</f>
        <v>#N/A</v>
      </c>
      <c r="G392" s="23" t="e">
        <f>VLOOKUP(E392,Customers[],3,FALSE)</f>
        <v>#N/A</v>
      </c>
      <c r="H392" s="23" t="e">
        <f>VLOOKUP(E392,Customers[],4,FALSE)</f>
        <v>#N/A</v>
      </c>
      <c r="J392" s="29" t="e">
        <f>VLOOKUP(I392,PGStock[],2,FALSE)</f>
        <v>#N/A</v>
      </c>
      <c r="K392" s="30" t="e">
        <f>VLOOKUP(I392,PGStock[],3,FALSE)</f>
        <v>#N/A</v>
      </c>
      <c r="M392" s="31" t="e">
        <f>VLOOKUP(I392,PGStock[],6,FALSE)</f>
        <v>#N/A</v>
      </c>
      <c r="N392" s="31" t="e">
        <f>+Table8[[#This Row],[SalesBot]]*Table8[[#This Row],[Bonus]]</f>
        <v>#N/A</v>
      </c>
    </row>
    <row r="393" spans="1:14" ht="23.25" customHeight="1" x14ac:dyDescent="0.25">
      <c r="A393" s="26">
        <f t="shared" si="49"/>
        <v>1900</v>
      </c>
      <c r="B393" s="26">
        <f t="shared" si="50"/>
        <v>1</v>
      </c>
      <c r="C393" s="20"/>
      <c r="D393" s="21"/>
      <c r="F393" s="23" t="e">
        <f>VLOOKUP(E393,Customers[],2,FALSE)</f>
        <v>#N/A</v>
      </c>
      <c r="G393" s="23" t="e">
        <f>VLOOKUP(E393,Customers[],3,FALSE)</f>
        <v>#N/A</v>
      </c>
      <c r="H393" s="23" t="e">
        <f>VLOOKUP(E393,Customers[],4,FALSE)</f>
        <v>#N/A</v>
      </c>
      <c r="J393" s="29" t="e">
        <f>VLOOKUP(I393,PGStock[],2,FALSE)</f>
        <v>#N/A</v>
      </c>
      <c r="K393" s="30" t="e">
        <f>VLOOKUP(I393,PGStock[],3,FALSE)</f>
        <v>#N/A</v>
      </c>
      <c r="M393" s="31" t="e">
        <f>VLOOKUP(I393,PGStock[],6,FALSE)</f>
        <v>#N/A</v>
      </c>
      <c r="N393" s="31" t="e">
        <f>+Table8[[#This Row],[SalesBot]]*Table8[[#This Row],[Bonus]]</f>
        <v>#N/A</v>
      </c>
    </row>
    <row r="394" spans="1:14" ht="23.25" customHeight="1" x14ac:dyDescent="0.25">
      <c r="A394" s="26">
        <f t="shared" si="49"/>
        <v>1900</v>
      </c>
      <c r="B394" s="26">
        <f t="shared" si="50"/>
        <v>1</v>
      </c>
      <c r="C394" s="20"/>
      <c r="D394" s="21"/>
      <c r="F394" s="23" t="e">
        <f>VLOOKUP(E394,Customers[],2,FALSE)</f>
        <v>#N/A</v>
      </c>
      <c r="G394" s="23" t="e">
        <f>VLOOKUP(E394,Customers[],3,FALSE)</f>
        <v>#N/A</v>
      </c>
      <c r="H394" s="23" t="e">
        <f>VLOOKUP(E394,Customers[],4,FALSE)</f>
        <v>#N/A</v>
      </c>
      <c r="J394" s="29" t="e">
        <f>VLOOKUP(I394,PGStock[],2,FALSE)</f>
        <v>#N/A</v>
      </c>
      <c r="K394" s="30" t="e">
        <f>VLOOKUP(I394,PGStock[],3,FALSE)</f>
        <v>#N/A</v>
      </c>
      <c r="M394" s="31" t="e">
        <f>VLOOKUP(I394,PGStock[],6,FALSE)</f>
        <v>#N/A</v>
      </c>
      <c r="N394" s="31" t="e">
        <f>+Table8[[#This Row],[SalesBot]]*Table8[[#This Row],[Bonus]]</f>
        <v>#N/A</v>
      </c>
    </row>
    <row r="395" spans="1:14" ht="23.25" customHeight="1" x14ac:dyDescent="0.25">
      <c r="A395" s="26">
        <f t="shared" si="49"/>
        <v>1900</v>
      </c>
      <c r="B395" s="26">
        <f t="shared" si="50"/>
        <v>1</v>
      </c>
      <c r="C395" s="20"/>
      <c r="D395" s="21"/>
      <c r="F395" s="23" t="e">
        <f>VLOOKUP(E395,Customers[],2,FALSE)</f>
        <v>#N/A</v>
      </c>
      <c r="G395" s="23" t="e">
        <f>VLOOKUP(E395,Customers[],3,FALSE)</f>
        <v>#N/A</v>
      </c>
      <c r="H395" s="23" t="e">
        <f>VLOOKUP(E395,Customers[],4,FALSE)</f>
        <v>#N/A</v>
      </c>
      <c r="J395" s="29" t="e">
        <f>VLOOKUP(I395,PGStock[],2,FALSE)</f>
        <v>#N/A</v>
      </c>
      <c r="K395" s="30" t="e">
        <f>VLOOKUP(I395,PGStock[],3,FALSE)</f>
        <v>#N/A</v>
      </c>
      <c r="M395" s="31" t="e">
        <f>VLOOKUP(I395,PGStock[],6,FALSE)</f>
        <v>#N/A</v>
      </c>
      <c r="N395" s="31" t="e">
        <f>+Table8[[#This Row],[SalesBot]]*Table8[[#This Row],[Bonus]]</f>
        <v>#N/A</v>
      </c>
    </row>
    <row r="396" spans="1:14" ht="23.25" customHeight="1" x14ac:dyDescent="0.25">
      <c r="A396" s="26">
        <f t="shared" si="49"/>
        <v>1900</v>
      </c>
      <c r="B396" s="26">
        <f t="shared" si="50"/>
        <v>1</v>
      </c>
      <c r="C396" s="20"/>
      <c r="D396" s="21"/>
      <c r="F396" s="23" t="e">
        <f>VLOOKUP(E396,Customers[],2,FALSE)</f>
        <v>#N/A</v>
      </c>
      <c r="G396" s="23" t="e">
        <f>VLOOKUP(E396,Customers[],3,FALSE)</f>
        <v>#N/A</v>
      </c>
      <c r="H396" s="23" t="e">
        <f>VLOOKUP(E396,Customers[],4,FALSE)</f>
        <v>#N/A</v>
      </c>
      <c r="J396" s="29" t="e">
        <f>VLOOKUP(I396,PGStock[],2,FALSE)</f>
        <v>#N/A</v>
      </c>
      <c r="K396" s="30" t="e">
        <f>VLOOKUP(I396,PGStock[],3,FALSE)</f>
        <v>#N/A</v>
      </c>
      <c r="M396" s="31" t="e">
        <f>VLOOKUP(I396,PGStock[],6,FALSE)</f>
        <v>#N/A</v>
      </c>
      <c r="N396" s="31" t="e">
        <f>+Table8[[#This Row],[SalesBot]]*Table8[[#This Row],[Bonus]]</f>
        <v>#N/A</v>
      </c>
    </row>
    <row r="397" spans="1:14" ht="23.25" customHeight="1" x14ac:dyDescent="0.25">
      <c r="A397" s="26">
        <f t="shared" si="49"/>
        <v>1900</v>
      </c>
      <c r="B397" s="26">
        <f t="shared" si="50"/>
        <v>1</v>
      </c>
      <c r="C397" s="20"/>
      <c r="D397" s="21"/>
      <c r="F397" s="23" t="e">
        <f>VLOOKUP(E397,Customers[],2,FALSE)</f>
        <v>#N/A</v>
      </c>
      <c r="G397" s="23" t="e">
        <f>VLOOKUP(E397,Customers[],3,FALSE)</f>
        <v>#N/A</v>
      </c>
      <c r="H397" s="23" t="e">
        <f>VLOOKUP(E397,Customers[],4,FALSE)</f>
        <v>#N/A</v>
      </c>
      <c r="J397" s="29" t="e">
        <f>VLOOKUP(I397,PGStock[],2,FALSE)</f>
        <v>#N/A</v>
      </c>
      <c r="K397" s="30" t="e">
        <f>VLOOKUP(I397,PGStock[],3,FALSE)</f>
        <v>#N/A</v>
      </c>
      <c r="M397" s="31" t="e">
        <f>VLOOKUP(I397,PGStock[],6,FALSE)</f>
        <v>#N/A</v>
      </c>
      <c r="N397" s="31" t="e">
        <f>+Table8[[#This Row],[SalesBot]]*Table8[[#This Row],[Bonus]]</f>
        <v>#N/A</v>
      </c>
    </row>
    <row r="398" spans="1:14" ht="23.25" customHeight="1" x14ac:dyDescent="0.25">
      <c r="A398" s="26">
        <f t="shared" si="49"/>
        <v>1900</v>
      </c>
      <c r="B398" s="26">
        <f t="shared" si="50"/>
        <v>1</v>
      </c>
      <c r="C398" s="20"/>
      <c r="D398" s="21"/>
      <c r="F398" s="23" t="e">
        <f>VLOOKUP(E398,Customers[],2,FALSE)</f>
        <v>#N/A</v>
      </c>
      <c r="G398" s="23" t="e">
        <f>VLOOKUP(E398,Customers[],3,FALSE)</f>
        <v>#N/A</v>
      </c>
      <c r="H398" s="23" t="e">
        <f>VLOOKUP(E398,Customers[],4,FALSE)</f>
        <v>#N/A</v>
      </c>
      <c r="J398" s="29" t="e">
        <f>VLOOKUP(I398,PGStock[],2,FALSE)</f>
        <v>#N/A</v>
      </c>
      <c r="K398" s="30" t="e">
        <f>VLOOKUP(I398,PGStock[],3,FALSE)</f>
        <v>#N/A</v>
      </c>
      <c r="M398" s="31" t="e">
        <f>VLOOKUP(I398,PGStock[],6,FALSE)</f>
        <v>#N/A</v>
      </c>
      <c r="N398" s="31" t="e">
        <f>+Table8[[#This Row],[SalesBot]]*Table8[[#This Row],[Bonus]]</f>
        <v>#N/A</v>
      </c>
    </row>
    <row r="399" spans="1:14" ht="23.25" customHeight="1" x14ac:dyDescent="0.25">
      <c r="A399" s="26">
        <f t="shared" si="49"/>
        <v>1900</v>
      </c>
      <c r="B399" s="26">
        <f t="shared" si="50"/>
        <v>1</v>
      </c>
      <c r="C399" s="20"/>
      <c r="D399" s="21"/>
      <c r="F399" s="23" t="e">
        <f>VLOOKUP(E399,Customers[],2,FALSE)</f>
        <v>#N/A</v>
      </c>
      <c r="G399" s="23" t="e">
        <f>VLOOKUP(E399,Customers[],3,FALSE)</f>
        <v>#N/A</v>
      </c>
      <c r="H399" s="23" t="e">
        <f>VLOOKUP(E399,Customers[],4,FALSE)</f>
        <v>#N/A</v>
      </c>
      <c r="J399" s="29" t="e">
        <f>VLOOKUP(I399,PGStock[],2,FALSE)</f>
        <v>#N/A</v>
      </c>
      <c r="K399" s="30" t="e">
        <f>VLOOKUP(I399,PGStock[],3,FALSE)</f>
        <v>#N/A</v>
      </c>
      <c r="M399" s="31" t="e">
        <f>VLOOKUP(I399,PGStock[],6,FALSE)</f>
        <v>#N/A</v>
      </c>
      <c r="N399" s="31" t="e">
        <f>+Table8[[#This Row],[SalesBot]]*Table8[[#This Row],[Bonus]]</f>
        <v>#N/A</v>
      </c>
    </row>
    <row r="400" spans="1:14" ht="23.25" customHeight="1" x14ac:dyDescent="0.25">
      <c r="A400" s="26">
        <f t="shared" si="49"/>
        <v>1900</v>
      </c>
      <c r="B400" s="26">
        <f t="shared" si="50"/>
        <v>1</v>
      </c>
      <c r="C400" s="20"/>
      <c r="D400" s="21"/>
      <c r="F400" s="23" t="e">
        <f>VLOOKUP(E400,Customers[],2,FALSE)</f>
        <v>#N/A</v>
      </c>
      <c r="G400" s="23" t="e">
        <f>VLOOKUP(E400,Customers[],3,FALSE)</f>
        <v>#N/A</v>
      </c>
      <c r="H400" s="23" t="e">
        <f>VLOOKUP(E400,Customers[],4,FALSE)</f>
        <v>#N/A</v>
      </c>
      <c r="J400" s="29" t="e">
        <f>VLOOKUP(I400,PGStock[],2,FALSE)</f>
        <v>#N/A</v>
      </c>
      <c r="K400" s="30" t="e">
        <f>VLOOKUP(I400,PGStock[],3,FALSE)</f>
        <v>#N/A</v>
      </c>
      <c r="M400" s="31" t="e">
        <f>VLOOKUP(I400,PGStock[],6,FALSE)</f>
        <v>#N/A</v>
      </c>
      <c r="N400" s="31" t="e">
        <f>+Table8[[#This Row],[SalesBot]]*Table8[[#This Row],[Bonus]]</f>
        <v>#N/A</v>
      </c>
    </row>
    <row r="401" spans="1:14" ht="23.25" customHeight="1" x14ac:dyDescent="0.25">
      <c r="A401" s="26">
        <f t="shared" si="49"/>
        <v>1900</v>
      </c>
      <c r="B401" s="26">
        <f t="shared" si="50"/>
        <v>1</v>
      </c>
      <c r="C401" s="20"/>
      <c r="D401" s="21"/>
      <c r="F401" s="23" t="e">
        <f>VLOOKUP(E401,Customers[],2,FALSE)</f>
        <v>#N/A</v>
      </c>
      <c r="G401" s="23" t="e">
        <f>VLOOKUP(E401,Customers[],3,FALSE)</f>
        <v>#N/A</v>
      </c>
      <c r="H401" s="23" t="e">
        <f>VLOOKUP(E401,Customers[],4,FALSE)</f>
        <v>#N/A</v>
      </c>
      <c r="J401" s="29" t="e">
        <f>VLOOKUP(I401,PGStock[],2,FALSE)</f>
        <v>#N/A</v>
      </c>
      <c r="K401" s="30" t="e">
        <f>VLOOKUP(I401,PGStock[],3,FALSE)</f>
        <v>#N/A</v>
      </c>
      <c r="M401" s="31" t="e">
        <f>VLOOKUP(I401,PGStock[],6,FALSE)</f>
        <v>#N/A</v>
      </c>
      <c r="N401" s="31" t="e">
        <f>+Table8[[#This Row],[SalesBot]]*Table8[[#This Row],[Bonus]]</f>
        <v>#N/A</v>
      </c>
    </row>
    <row r="402" spans="1:14" ht="23.25" customHeight="1" x14ac:dyDescent="0.25">
      <c r="A402" s="26">
        <f t="shared" si="49"/>
        <v>1900</v>
      </c>
      <c r="B402" s="26">
        <f t="shared" si="50"/>
        <v>1</v>
      </c>
      <c r="C402" s="20"/>
      <c r="D402" s="21"/>
      <c r="F402" s="23" t="e">
        <f>VLOOKUP(E402,Customers[],2,FALSE)</f>
        <v>#N/A</v>
      </c>
      <c r="G402" s="23" t="e">
        <f>VLOOKUP(E402,Customers[],3,FALSE)</f>
        <v>#N/A</v>
      </c>
      <c r="H402" s="23" t="e">
        <f>VLOOKUP(E402,Customers[],4,FALSE)</f>
        <v>#N/A</v>
      </c>
      <c r="J402" s="29" t="e">
        <f>VLOOKUP(I402,PGStock[],2,FALSE)</f>
        <v>#N/A</v>
      </c>
      <c r="K402" s="30" t="e">
        <f>VLOOKUP(I402,PGStock[],3,FALSE)</f>
        <v>#N/A</v>
      </c>
      <c r="M402" s="31" t="e">
        <f>VLOOKUP(I402,PGStock[],6,FALSE)</f>
        <v>#N/A</v>
      </c>
      <c r="N402" s="31" t="e">
        <f>+Table8[[#This Row],[SalesBot]]*Table8[[#This Row],[Bonus]]</f>
        <v>#N/A</v>
      </c>
    </row>
    <row r="403" spans="1:14" ht="23.25" customHeight="1" x14ac:dyDescent="0.25">
      <c r="A403" s="26">
        <f t="shared" si="49"/>
        <v>1900</v>
      </c>
      <c r="B403" s="26">
        <f t="shared" si="50"/>
        <v>1</v>
      </c>
      <c r="C403" s="20"/>
      <c r="D403" s="21"/>
      <c r="F403" s="23" t="e">
        <f>VLOOKUP(E403,Customers[],2,FALSE)</f>
        <v>#N/A</v>
      </c>
      <c r="G403" s="23" t="e">
        <f>VLOOKUP(E403,Customers[],3,FALSE)</f>
        <v>#N/A</v>
      </c>
      <c r="H403" s="23" t="e">
        <f>VLOOKUP(E403,Customers[],4,FALSE)</f>
        <v>#N/A</v>
      </c>
      <c r="J403" s="29" t="e">
        <f>VLOOKUP(I403,PGStock[],2,FALSE)</f>
        <v>#N/A</v>
      </c>
      <c r="K403" s="30" t="e">
        <f>VLOOKUP(I403,PGStock[],3,FALSE)</f>
        <v>#N/A</v>
      </c>
      <c r="M403" s="31" t="e">
        <f>VLOOKUP(I403,PGStock[],6,FALSE)</f>
        <v>#N/A</v>
      </c>
      <c r="N403" s="31" t="e">
        <f>+Table8[[#This Row],[SalesBot]]*Table8[[#This Row],[Bonus]]</f>
        <v>#N/A</v>
      </c>
    </row>
    <row r="404" spans="1:14" ht="23.25" customHeight="1" x14ac:dyDescent="0.25">
      <c r="A404" s="26">
        <f t="shared" si="49"/>
        <v>1900</v>
      </c>
      <c r="B404" s="26">
        <f t="shared" si="50"/>
        <v>1</v>
      </c>
      <c r="C404" s="20"/>
      <c r="D404" s="21"/>
      <c r="F404" s="23" t="e">
        <f>VLOOKUP(E404,Customers[],2,FALSE)</f>
        <v>#N/A</v>
      </c>
      <c r="G404" s="23" t="e">
        <f>VLOOKUP(E404,Customers[],3,FALSE)</f>
        <v>#N/A</v>
      </c>
      <c r="H404" s="23" t="e">
        <f>VLOOKUP(E404,Customers[],4,FALSE)</f>
        <v>#N/A</v>
      </c>
      <c r="J404" s="29" t="e">
        <f>VLOOKUP(I404,PGStock[],2,FALSE)</f>
        <v>#N/A</v>
      </c>
      <c r="K404" s="30" t="e">
        <f>VLOOKUP(I404,PGStock[],3,FALSE)</f>
        <v>#N/A</v>
      </c>
      <c r="M404" s="31" t="e">
        <f>VLOOKUP(I404,PGStock[],6,FALSE)</f>
        <v>#N/A</v>
      </c>
      <c r="N404" s="31" t="e">
        <f>+Table8[[#This Row],[SalesBot]]*Table8[[#This Row],[Bonus]]</f>
        <v>#N/A</v>
      </c>
    </row>
    <row r="405" spans="1:14" ht="23.25" customHeight="1" x14ac:dyDescent="0.25">
      <c r="A405" s="26">
        <f t="shared" si="49"/>
        <v>1900</v>
      </c>
      <c r="B405" s="26">
        <f t="shared" si="50"/>
        <v>1</v>
      </c>
      <c r="C405" s="20"/>
      <c r="D405" s="21"/>
      <c r="F405" s="23" t="e">
        <f>VLOOKUP(E405,Customers[],2,FALSE)</f>
        <v>#N/A</v>
      </c>
      <c r="G405" s="23" t="e">
        <f>VLOOKUP(E405,Customers[],3,FALSE)</f>
        <v>#N/A</v>
      </c>
      <c r="H405" s="23" t="e">
        <f>VLOOKUP(E405,Customers[],4,FALSE)</f>
        <v>#N/A</v>
      </c>
      <c r="J405" s="29" t="e">
        <f>VLOOKUP(I405,PGStock[],2,FALSE)</f>
        <v>#N/A</v>
      </c>
      <c r="K405" s="30" t="e">
        <f>VLOOKUP(I405,PGStock[],3,FALSE)</f>
        <v>#N/A</v>
      </c>
      <c r="M405" s="31" t="e">
        <f>VLOOKUP(I405,PGStock[],6,FALSE)</f>
        <v>#N/A</v>
      </c>
      <c r="N405" s="31" t="e">
        <f>+Table8[[#This Row],[SalesBot]]*Table8[[#This Row],[Bonus]]</f>
        <v>#N/A</v>
      </c>
    </row>
    <row r="406" spans="1:14" ht="23.25" customHeight="1" x14ac:dyDescent="0.25">
      <c r="A406" s="26">
        <f t="shared" si="49"/>
        <v>1900</v>
      </c>
      <c r="B406" s="26">
        <f t="shared" si="50"/>
        <v>1</v>
      </c>
      <c r="C406" s="20"/>
      <c r="D406" s="21"/>
      <c r="F406" s="23" t="e">
        <f>VLOOKUP(E406,Customers[],2,FALSE)</f>
        <v>#N/A</v>
      </c>
      <c r="G406" s="23" t="e">
        <f>VLOOKUP(E406,Customers[],3,FALSE)</f>
        <v>#N/A</v>
      </c>
      <c r="H406" s="23" t="e">
        <f>VLOOKUP(E406,Customers[],4,FALSE)</f>
        <v>#N/A</v>
      </c>
      <c r="J406" s="29" t="e">
        <f>VLOOKUP(I406,PGStock[],2,FALSE)</f>
        <v>#N/A</v>
      </c>
      <c r="K406" s="30" t="e">
        <f>VLOOKUP(I406,PGStock[],3,FALSE)</f>
        <v>#N/A</v>
      </c>
      <c r="M406" s="31" t="e">
        <f>VLOOKUP(I406,PGStock[],6,FALSE)</f>
        <v>#N/A</v>
      </c>
      <c r="N406" s="31" t="e">
        <f>+Table8[[#This Row],[SalesBot]]*Table8[[#This Row],[Bonus]]</f>
        <v>#N/A</v>
      </c>
    </row>
    <row r="407" spans="1:14" ht="23.25" customHeight="1" x14ac:dyDescent="0.25">
      <c r="A407" s="26">
        <f t="shared" si="49"/>
        <v>1900</v>
      </c>
      <c r="B407" s="26">
        <f t="shared" si="50"/>
        <v>1</v>
      </c>
      <c r="C407" s="20"/>
      <c r="D407" s="21"/>
      <c r="F407" s="23" t="e">
        <f>VLOOKUP(E407,Customers[],2,FALSE)</f>
        <v>#N/A</v>
      </c>
      <c r="G407" s="23" t="e">
        <f>VLOOKUP(E407,Customers[],3,FALSE)</f>
        <v>#N/A</v>
      </c>
      <c r="H407" s="23" t="e">
        <f>VLOOKUP(E407,Customers[],4,FALSE)</f>
        <v>#N/A</v>
      </c>
      <c r="J407" s="29" t="e">
        <f>VLOOKUP(I407,PGStock[],2,FALSE)</f>
        <v>#N/A</v>
      </c>
      <c r="K407" s="30" t="e">
        <f>VLOOKUP(I407,PGStock[],3,FALSE)</f>
        <v>#N/A</v>
      </c>
      <c r="M407" s="31" t="e">
        <f>VLOOKUP(I407,PGStock[],6,FALSE)</f>
        <v>#N/A</v>
      </c>
      <c r="N407" s="31" t="e">
        <f>+Table8[[#This Row],[SalesBot]]*Table8[[#This Row],[Bonus]]</f>
        <v>#N/A</v>
      </c>
    </row>
    <row r="408" spans="1:14" ht="23.25" customHeight="1" x14ac:dyDescent="0.25">
      <c r="A408" s="26">
        <f t="shared" si="49"/>
        <v>1900</v>
      </c>
      <c r="B408" s="26">
        <f t="shared" si="50"/>
        <v>1</v>
      </c>
      <c r="C408" s="20"/>
      <c r="D408" s="21"/>
      <c r="F408" s="23" t="e">
        <f>VLOOKUP(E408,Customers[],2,FALSE)</f>
        <v>#N/A</v>
      </c>
      <c r="G408" s="23" t="e">
        <f>VLOOKUP(E408,Customers[],3,FALSE)</f>
        <v>#N/A</v>
      </c>
      <c r="H408" s="23" t="e">
        <f>VLOOKUP(E408,Customers[],4,FALSE)</f>
        <v>#N/A</v>
      </c>
      <c r="J408" s="29" t="e">
        <f>VLOOKUP(I408,PGStock[],2,FALSE)</f>
        <v>#N/A</v>
      </c>
      <c r="K408" s="30" t="e">
        <f>VLOOKUP(I408,PGStock[],3,FALSE)</f>
        <v>#N/A</v>
      </c>
      <c r="M408" s="31" t="e">
        <f>VLOOKUP(I408,PGStock[],6,FALSE)</f>
        <v>#N/A</v>
      </c>
      <c r="N408" s="31" t="e">
        <f>+Table8[[#This Row],[SalesBot]]*Table8[[#This Row],[Bonus]]</f>
        <v>#N/A</v>
      </c>
    </row>
    <row r="409" spans="1:14" ht="23.25" customHeight="1" x14ac:dyDescent="0.25">
      <c r="A409" s="26">
        <f t="shared" si="49"/>
        <v>1900</v>
      </c>
      <c r="B409" s="26">
        <f t="shared" si="50"/>
        <v>1</v>
      </c>
      <c r="C409" s="20"/>
      <c r="D409" s="21"/>
      <c r="F409" s="23" t="e">
        <f>VLOOKUP(E409,Customers[],2,FALSE)</f>
        <v>#N/A</v>
      </c>
      <c r="G409" s="23" t="e">
        <f>VLOOKUP(E409,Customers[],3,FALSE)</f>
        <v>#N/A</v>
      </c>
      <c r="H409" s="23" t="e">
        <f>VLOOKUP(E409,Customers[],4,FALSE)</f>
        <v>#N/A</v>
      </c>
      <c r="J409" s="29" t="e">
        <f>VLOOKUP(I409,PGStock[],2,FALSE)</f>
        <v>#N/A</v>
      </c>
      <c r="K409" s="30" t="e">
        <f>VLOOKUP(I409,PGStock[],3,FALSE)</f>
        <v>#N/A</v>
      </c>
      <c r="M409" s="31" t="e">
        <f>VLOOKUP(I409,PGStock[],6,FALSE)</f>
        <v>#N/A</v>
      </c>
      <c r="N409" s="31" t="e">
        <f>+Table8[[#This Row],[SalesBot]]*Table8[[#This Row],[Bonus]]</f>
        <v>#N/A</v>
      </c>
    </row>
    <row r="410" spans="1:14" ht="23.25" customHeight="1" x14ac:dyDescent="0.25">
      <c r="A410" s="26">
        <f t="shared" si="49"/>
        <v>1900</v>
      </c>
      <c r="B410" s="26">
        <f t="shared" si="50"/>
        <v>1</v>
      </c>
      <c r="C410" s="20"/>
      <c r="D410" s="21"/>
      <c r="F410" s="23" t="e">
        <f>VLOOKUP(E410,Customers[],2,FALSE)</f>
        <v>#N/A</v>
      </c>
      <c r="G410" s="23" t="e">
        <f>VLOOKUP(E410,Customers[],3,FALSE)</f>
        <v>#N/A</v>
      </c>
      <c r="H410" s="23" t="e">
        <f>VLOOKUP(E410,Customers[],4,FALSE)</f>
        <v>#N/A</v>
      </c>
      <c r="J410" s="29" t="e">
        <f>VLOOKUP(I410,PGStock[],2,FALSE)</f>
        <v>#N/A</v>
      </c>
      <c r="K410" s="30" t="e">
        <f>VLOOKUP(I410,PGStock[],3,FALSE)</f>
        <v>#N/A</v>
      </c>
      <c r="M410" s="31" t="e">
        <f>VLOOKUP(I410,PGStock[],6,FALSE)</f>
        <v>#N/A</v>
      </c>
      <c r="N410" s="31" t="e">
        <f>+Table8[[#This Row],[SalesBot]]*Table8[[#This Row],[Bonus]]</f>
        <v>#N/A</v>
      </c>
    </row>
    <row r="411" spans="1:14" ht="23.25" customHeight="1" x14ac:dyDescent="0.25">
      <c r="A411" s="26">
        <f t="shared" si="49"/>
        <v>1900</v>
      </c>
      <c r="B411" s="26">
        <f t="shared" si="50"/>
        <v>1</v>
      </c>
      <c r="C411" s="20"/>
      <c r="D411" s="21"/>
      <c r="F411" s="23" t="e">
        <f>VLOOKUP(E411,Customers[],2,FALSE)</f>
        <v>#N/A</v>
      </c>
      <c r="G411" s="23" t="e">
        <f>VLOOKUP(E411,Customers[],3,FALSE)</f>
        <v>#N/A</v>
      </c>
      <c r="H411" s="23" t="e">
        <f>VLOOKUP(E411,Customers[],4,FALSE)</f>
        <v>#N/A</v>
      </c>
      <c r="J411" s="29" t="e">
        <f>VLOOKUP(I411,PGStock[],2,FALSE)</f>
        <v>#N/A</v>
      </c>
      <c r="K411" s="30" t="e">
        <f>VLOOKUP(I411,PGStock[],3,FALSE)</f>
        <v>#N/A</v>
      </c>
      <c r="M411" s="31" t="e">
        <f>VLOOKUP(I411,PGStock[],6,FALSE)</f>
        <v>#N/A</v>
      </c>
      <c r="N411" s="31" t="e">
        <f>+Table8[[#This Row],[SalesBot]]*Table8[[#This Row],[Bonus]]</f>
        <v>#N/A</v>
      </c>
    </row>
    <row r="412" spans="1:14" ht="23.25" customHeight="1" x14ac:dyDescent="0.25">
      <c r="A412" s="26">
        <f t="shared" si="49"/>
        <v>1900</v>
      </c>
      <c r="B412" s="26">
        <f t="shared" si="50"/>
        <v>1</v>
      </c>
      <c r="C412" s="20"/>
      <c r="D412" s="21"/>
      <c r="F412" s="23" t="e">
        <f>VLOOKUP(E412,Customers[],2,FALSE)</f>
        <v>#N/A</v>
      </c>
      <c r="G412" s="23" t="e">
        <f>VLOOKUP(E412,Customers[],3,FALSE)</f>
        <v>#N/A</v>
      </c>
      <c r="H412" s="23" t="e">
        <f>VLOOKUP(E412,Customers[],4,FALSE)</f>
        <v>#N/A</v>
      </c>
      <c r="J412" s="29" t="e">
        <f>VLOOKUP(I412,PGStock[],2,FALSE)</f>
        <v>#N/A</v>
      </c>
      <c r="K412" s="30" t="e">
        <f>VLOOKUP(I412,PGStock[],3,FALSE)</f>
        <v>#N/A</v>
      </c>
      <c r="M412" s="31" t="e">
        <f>VLOOKUP(I412,PGStock[],6,FALSE)</f>
        <v>#N/A</v>
      </c>
      <c r="N412" s="31" t="e">
        <f>+Table8[[#This Row],[SalesBot]]*Table8[[#This Row],[Bonus]]</f>
        <v>#N/A</v>
      </c>
    </row>
    <row r="413" spans="1:14" ht="23.25" customHeight="1" x14ac:dyDescent="0.25">
      <c r="A413" s="26">
        <f t="shared" si="49"/>
        <v>1900</v>
      </c>
      <c r="B413" s="26">
        <f t="shared" si="50"/>
        <v>1</v>
      </c>
      <c r="C413" s="20"/>
      <c r="D413" s="21"/>
      <c r="F413" s="23" t="e">
        <f>VLOOKUP(E413,Customers[],2,FALSE)</f>
        <v>#N/A</v>
      </c>
      <c r="G413" s="23" t="e">
        <f>VLOOKUP(E413,Customers[],3,FALSE)</f>
        <v>#N/A</v>
      </c>
      <c r="H413" s="23" t="e">
        <f>VLOOKUP(E413,Customers[],4,FALSE)</f>
        <v>#N/A</v>
      </c>
      <c r="J413" s="29" t="e">
        <f>VLOOKUP(I413,PGStock[],2,FALSE)</f>
        <v>#N/A</v>
      </c>
      <c r="K413" s="30" t="e">
        <f>VLOOKUP(I413,PGStock[],3,FALSE)</f>
        <v>#N/A</v>
      </c>
      <c r="M413" s="31" t="e">
        <f>VLOOKUP(I413,PGStock[],6,FALSE)</f>
        <v>#N/A</v>
      </c>
      <c r="N413" s="31" t="e">
        <f>+Table8[[#This Row],[SalesBot]]*Table8[[#This Row],[Bonus]]</f>
        <v>#N/A</v>
      </c>
    </row>
    <row r="414" spans="1:14" ht="23.25" customHeight="1" x14ac:dyDescent="0.25">
      <c r="A414" s="26">
        <f t="shared" ref="A414:A432" si="51">YEAR(C414)</f>
        <v>1900</v>
      </c>
      <c r="B414" s="26">
        <f t="shared" ref="B414:B432" si="52">MONTH(C414)</f>
        <v>1</v>
      </c>
      <c r="C414" s="20"/>
      <c r="D414" s="21"/>
      <c r="F414" s="23" t="e">
        <f>VLOOKUP(E414,Customers[],2,FALSE)</f>
        <v>#N/A</v>
      </c>
      <c r="G414" s="23" t="e">
        <f>VLOOKUP(E414,Customers[],3,FALSE)</f>
        <v>#N/A</v>
      </c>
      <c r="H414" s="23" t="e">
        <f>VLOOKUP(E414,Customers[],4,FALSE)</f>
        <v>#N/A</v>
      </c>
      <c r="J414" s="29" t="e">
        <f>VLOOKUP(I414,PGStock[],2,FALSE)</f>
        <v>#N/A</v>
      </c>
      <c r="K414" s="30" t="e">
        <f>VLOOKUP(I414,PGStock[],3,FALSE)</f>
        <v>#N/A</v>
      </c>
      <c r="M414" s="31" t="e">
        <f>VLOOKUP(I414,PGStock[],6,FALSE)</f>
        <v>#N/A</v>
      </c>
      <c r="N414" s="31" t="e">
        <f>+Table8[[#This Row],[SalesBot]]*Table8[[#This Row],[Bonus]]</f>
        <v>#N/A</v>
      </c>
    </row>
    <row r="415" spans="1:14" ht="23.25" customHeight="1" x14ac:dyDescent="0.25">
      <c r="A415" s="26">
        <f t="shared" si="51"/>
        <v>1900</v>
      </c>
      <c r="B415" s="26">
        <f t="shared" si="52"/>
        <v>1</v>
      </c>
      <c r="C415" s="20"/>
      <c r="D415" s="21"/>
      <c r="F415" s="23" t="e">
        <f>VLOOKUP(E415,Customers[],2,FALSE)</f>
        <v>#N/A</v>
      </c>
      <c r="G415" s="23" t="e">
        <f>VLOOKUP(E415,Customers[],3,FALSE)</f>
        <v>#N/A</v>
      </c>
      <c r="H415" s="23" t="e">
        <f>VLOOKUP(E415,Customers[],4,FALSE)</f>
        <v>#N/A</v>
      </c>
      <c r="J415" s="29" t="e">
        <f>VLOOKUP(I415,PGStock[],2,FALSE)</f>
        <v>#N/A</v>
      </c>
      <c r="K415" s="30" t="e">
        <f>VLOOKUP(I415,PGStock[],3,FALSE)</f>
        <v>#N/A</v>
      </c>
      <c r="M415" s="31" t="e">
        <f>VLOOKUP(I415,PGStock[],6,FALSE)</f>
        <v>#N/A</v>
      </c>
      <c r="N415" s="31" t="e">
        <f>+Table8[[#This Row],[SalesBot]]*Table8[[#This Row],[Bonus]]</f>
        <v>#N/A</v>
      </c>
    </row>
    <row r="416" spans="1:14" ht="23.25" customHeight="1" x14ac:dyDescent="0.25">
      <c r="A416" s="26">
        <f t="shared" si="51"/>
        <v>1900</v>
      </c>
      <c r="B416" s="26">
        <f t="shared" si="52"/>
        <v>1</v>
      </c>
      <c r="C416" s="20"/>
      <c r="D416" s="21"/>
      <c r="F416" s="23" t="e">
        <f>VLOOKUP(E416,Customers[],2,FALSE)</f>
        <v>#N/A</v>
      </c>
      <c r="G416" s="23" t="e">
        <f>VLOOKUP(E416,Customers[],3,FALSE)</f>
        <v>#N/A</v>
      </c>
      <c r="H416" s="23" t="e">
        <f>VLOOKUP(E416,Customers[],4,FALSE)</f>
        <v>#N/A</v>
      </c>
      <c r="J416" s="29" t="e">
        <f>VLOOKUP(I416,PGStock[],2,FALSE)</f>
        <v>#N/A</v>
      </c>
      <c r="K416" s="30" t="e">
        <f>VLOOKUP(I416,PGStock[],3,FALSE)</f>
        <v>#N/A</v>
      </c>
      <c r="M416" s="31" t="e">
        <f>VLOOKUP(I416,PGStock[],6,FALSE)</f>
        <v>#N/A</v>
      </c>
      <c r="N416" s="31" t="e">
        <f>+Table8[[#This Row],[SalesBot]]*Table8[[#This Row],[Bonus]]</f>
        <v>#N/A</v>
      </c>
    </row>
    <row r="417" spans="1:14" ht="23.25" customHeight="1" x14ac:dyDescent="0.25">
      <c r="A417" s="26">
        <f t="shared" si="51"/>
        <v>1900</v>
      </c>
      <c r="B417" s="26">
        <f t="shared" si="52"/>
        <v>1</v>
      </c>
      <c r="C417" s="20"/>
      <c r="D417" s="21"/>
      <c r="F417" s="23" t="e">
        <f>VLOOKUP(E417,Customers[],2,FALSE)</f>
        <v>#N/A</v>
      </c>
      <c r="G417" s="23" t="e">
        <f>VLOOKUP(E417,Customers[],3,FALSE)</f>
        <v>#N/A</v>
      </c>
      <c r="H417" s="23" t="e">
        <f>VLOOKUP(E417,Customers[],4,FALSE)</f>
        <v>#N/A</v>
      </c>
      <c r="J417" s="29" t="e">
        <f>VLOOKUP(I417,PGStock[],2,FALSE)</f>
        <v>#N/A</v>
      </c>
      <c r="K417" s="30" t="e">
        <f>VLOOKUP(I417,PGStock[],3,FALSE)</f>
        <v>#N/A</v>
      </c>
      <c r="M417" s="31" t="e">
        <f>VLOOKUP(I417,PGStock[],6,FALSE)</f>
        <v>#N/A</v>
      </c>
      <c r="N417" s="31" t="e">
        <f>+Table8[[#This Row],[SalesBot]]*Table8[[#This Row],[Bonus]]</f>
        <v>#N/A</v>
      </c>
    </row>
    <row r="418" spans="1:14" ht="23.25" customHeight="1" x14ac:dyDescent="0.25">
      <c r="A418" s="26">
        <f t="shared" si="51"/>
        <v>1900</v>
      </c>
      <c r="B418" s="26">
        <f t="shared" si="52"/>
        <v>1</v>
      </c>
      <c r="C418" s="20"/>
      <c r="D418" s="21"/>
      <c r="F418" s="23" t="e">
        <f>VLOOKUP(E418,Customers[],2,FALSE)</f>
        <v>#N/A</v>
      </c>
      <c r="G418" s="23" t="e">
        <f>VLOOKUP(E418,Customers[],3,FALSE)</f>
        <v>#N/A</v>
      </c>
      <c r="H418" s="23" t="e">
        <f>VLOOKUP(E418,Customers[],4,FALSE)</f>
        <v>#N/A</v>
      </c>
      <c r="J418" s="29" t="e">
        <f>VLOOKUP(I418,PGStock[],2,FALSE)</f>
        <v>#N/A</v>
      </c>
      <c r="K418" s="30" t="e">
        <f>VLOOKUP(I418,PGStock[],3,FALSE)</f>
        <v>#N/A</v>
      </c>
      <c r="M418" s="31" t="e">
        <f>VLOOKUP(I418,PGStock[],6,FALSE)</f>
        <v>#N/A</v>
      </c>
      <c r="N418" s="31" t="e">
        <f>+Table8[[#This Row],[SalesBot]]*Table8[[#This Row],[Bonus]]</f>
        <v>#N/A</v>
      </c>
    </row>
    <row r="419" spans="1:14" ht="23.25" customHeight="1" x14ac:dyDescent="0.25">
      <c r="A419" s="26">
        <f t="shared" si="51"/>
        <v>1900</v>
      </c>
      <c r="B419" s="26">
        <f t="shared" si="52"/>
        <v>1</v>
      </c>
      <c r="C419" s="20"/>
      <c r="D419" s="21"/>
      <c r="F419" s="23" t="e">
        <f>VLOOKUP(E419,Customers[],2,FALSE)</f>
        <v>#N/A</v>
      </c>
      <c r="G419" s="23" t="e">
        <f>VLOOKUP(E419,Customers[],3,FALSE)</f>
        <v>#N/A</v>
      </c>
      <c r="H419" s="23" t="e">
        <f>VLOOKUP(E419,Customers[],4,FALSE)</f>
        <v>#N/A</v>
      </c>
      <c r="J419" s="29" t="e">
        <f>VLOOKUP(I419,PGStock[],2,FALSE)</f>
        <v>#N/A</v>
      </c>
      <c r="K419" s="30" t="e">
        <f>VLOOKUP(I419,PGStock[],3,FALSE)</f>
        <v>#N/A</v>
      </c>
      <c r="M419" s="31" t="e">
        <f>VLOOKUP(I419,PGStock[],6,FALSE)</f>
        <v>#N/A</v>
      </c>
      <c r="N419" s="31" t="e">
        <f>+Table8[[#This Row],[SalesBot]]*Table8[[#This Row],[Bonus]]</f>
        <v>#N/A</v>
      </c>
    </row>
    <row r="420" spans="1:14" ht="23.25" customHeight="1" x14ac:dyDescent="0.25">
      <c r="A420" s="26">
        <f t="shared" si="51"/>
        <v>1900</v>
      </c>
      <c r="B420" s="26">
        <f t="shared" si="52"/>
        <v>1</v>
      </c>
      <c r="C420" s="20"/>
      <c r="D420" s="21"/>
      <c r="F420" s="23" t="e">
        <f>VLOOKUP(E420,Customers[],2,FALSE)</f>
        <v>#N/A</v>
      </c>
      <c r="G420" s="23" t="e">
        <f>VLOOKUP(E420,Customers[],3,FALSE)</f>
        <v>#N/A</v>
      </c>
      <c r="H420" s="23" t="e">
        <f>VLOOKUP(E420,Customers[],4,FALSE)</f>
        <v>#N/A</v>
      </c>
      <c r="J420" s="29" t="e">
        <f>VLOOKUP(I420,PGStock[],2,FALSE)</f>
        <v>#N/A</v>
      </c>
      <c r="K420" s="30" t="e">
        <f>VLOOKUP(I420,PGStock[],3,FALSE)</f>
        <v>#N/A</v>
      </c>
      <c r="M420" s="31" t="e">
        <f>VLOOKUP(I420,PGStock[],6,FALSE)</f>
        <v>#N/A</v>
      </c>
      <c r="N420" s="31" t="e">
        <f>+Table8[[#This Row],[SalesBot]]*Table8[[#This Row],[Bonus]]</f>
        <v>#N/A</v>
      </c>
    </row>
    <row r="421" spans="1:14" ht="23.25" customHeight="1" x14ac:dyDescent="0.25">
      <c r="A421" s="26">
        <f t="shared" si="51"/>
        <v>1900</v>
      </c>
      <c r="B421" s="26">
        <f t="shared" si="52"/>
        <v>1</v>
      </c>
      <c r="C421" s="20"/>
      <c r="D421" s="21"/>
      <c r="F421" s="23" t="e">
        <f>VLOOKUP(E421,Customers[],2,FALSE)</f>
        <v>#N/A</v>
      </c>
      <c r="G421" s="23" t="e">
        <f>VLOOKUP(E421,Customers[],3,FALSE)</f>
        <v>#N/A</v>
      </c>
      <c r="H421" s="23" t="e">
        <f>VLOOKUP(E421,Customers[],4,FALSE)</f>
        <v>#N/A</v>
      </c>
      <c r="J421" s="29" t="e">
        <f>VLOOKUP(I421,PGStock[],2,FALSE)</f>
        <v>#N/A</v>
      </c>
      <c r="K421" s="30" t="e">
        <f>VLOOKUP(I421,PGStock[],3,FALSE)</f>
        <v>#N/A</v>
      </c>
      <c r="M421" s="31" t="e">
        <f>VLOOKUP(I421,PGStock[],6,FALSE)</f>
        <v>#N/A</v>
      </c>
      <c r="N421" s="31" t="e">
        <f>+Table8[[#This Row],[SalesBot]]*Table8[[#This Row],[Bonus]]</f>
        <v>#N/A</v>
      </c>
    </row>
    <row r="422" spans="1:14" ht="23.25" customHeight="1" x14ac:dyDescent="0.25">
      <c r="A422" s="26">
        <f t="shared" si="51"/>
        <v>1900</v>
      </c>
      <c r="B422" s="26">
        <f t="shared" si="52"/>
        <v>1</v>
      </c>
      <c r="C422" s="20"/>
      <c r="D422" s="21"/>
      <c r="F422" s="23" t="e">
        <f>VLOOKUP(E422,Customers[],2,FALSE)</f>
        <v>#N/A</v>
      </c>
      <c r="G422" s="23" t="e">
        <f>VLOOKUP(E422,Customers[],3,FALSE)</f>
        <v>#N/A</v>
      </c>
      <c r="H422" s="23" t="e">
        <f>VLOOKUP(E422,Customers[],4,FALSE)</f>
        <v>#N/A</v>
      </c>
      <c r="J422" s="29" t="e">
        <f>VLOOKUP(I422,PGStock[],2,FALSE)</f>
        <v>#N/A</v>
      </c>
      <c r="K422" s="30" t="e">
        <f>VLOOKUP(I422,PGStock[],3,FALSE)</f>
        <v>#N/A</v>
      </c>
      <c r="M422" s="31" t="e">
        <f>VLOOKUP(I422,PGStock[],6,FALSE)</f>
        <v>#N/A</v>
      </c>
      <c r="N422" s="31" t="e">
        <f>+Table8[[#This Row],[SalesBot]]*Table8[[#This Row],[Bonus]]</f>
        <v>#N/A</v>
      </c>
    </row>
    <row r="423" spans="1:14" ht="23.25" customHeight="1" x14ac:dyDescent="0.25">
      <c r="A423" s="26">
        <f t="shared" si="51"/>
        <v>1900</v>
      </c>
      <c r="B423" s="26">
        <f t="shared" si="52"/>
        <v>1</v>
      </c>
      <c r="C423" s="20"/>
      <c r="D423" s="21"/>
      <c r="F423" s="23" t="e">
        <f>VLOOKUP(E423,Customers[],2,FALSE)</f>
        <v>#N/A</v>
      </c>
      <c r="G423" s="23" t="e">
        <f>VLOOKUP(E423,Customers[],3,FALSE)</f>
        <v>#N/A</v>
      </c>
      <c r="H423" s="23" t="e">
        <f>VLOOKUP(E423,Customers[],4,FALSE)</f>
        <v>#N/A</v>
      </c>
      <c r="J423" s="29" t="e">
        <f>VLOOKUP(I423,PGStock[],2,FALSE)</f>
        <v>#N/A</v>
      </c>
      <c r="K423" s="30" t="e">
        <f>VLOOKUP(I423,PGStock[],3,FALSE)</f>
        <v>#N/A</v>
      </c>
      <c r="M423" s="31" t="e">
        <f>VLOOKUP(I423,PGStock[],6,FALSE)</f>
        <v>#N/A</v>
      </c>
      <c r="N423" s="31" t="e">
        <f>+Table8[[#This Row],[SalesBot]]*Table8[[#This Row],[Bonus]]</f>
        <v>#N/A</v>
      </c>
    </row>
    <row r="424" spans="1:14" ht="23.25" customHeight="1" x14ac:dyDescent="0.25">
      <c r="A424" s="26">
        <f t="shared" si="51"/>
        <v>1900</v>
      </c>
      <c r="B424" s="26">
        <f t="shared" si="52"/>
        <v>1</v>
      </c>
      <c r="C424" s="20"/>
      <c r="D424" s="21"/>
      <c r="F424" s="23" t="e">
        <f>VLOOKUP(E424,Customers[],2,FALSE)</f>
        <v>#N/A</v>
      </c>
      <c r="G424" s="23" t="e">
        <f>VLOOKUP(E424,Customers[],3,FALSE)</f>
        <v>#N/A</v>
      </c>
      <c r="H424" s="23" t="e">
        <f>VLOOKUP(E424,Customers[],4,FALSE)</f>
        <v>#N/A</v>
      </c>
      <c r="J424" s="29" t="e">
        <f>VLOOKUP(I424,PGStock[],2,FALSE)</f>
        <v>#N/A</v>
      </c>
      <c r="K424" s="30" t="e">
        <f>VLOOKUP(I424,PGStock[],3,FALSE)</f>
        <v>#N/A</v>
      </c>
      <c r="M424" s="31" t="e">
        <f>VLOOKUP(I424,PGStock[],6,FALSE)</f>
        <v>#N/A</v>
      </c>
      <c r="N424" s="31" t="e">
        <f>+Table8[[#This Row],[SalesBot]]*Table8[[#This Row],[Bonus]]</f>
        <v>#N/A</v>
      </c>
    </row>
    <row r="425" spans="1:14" ht="23.25" customHeight="1" x14ac:dyDescent="0.25">
      <c r="A425" s="26">
        <f t="shared" si="51"/>
        <v>1900</v>
      </c>
      <c r="B425" s="26">
        <f t="shared" si="52"/>
        <v>1</v>
      </c>
      <c r="C425" s="20"/>
      <c r="D425" s="21"/>
      <c r="F425" s="23" t="e">
        <f>VLOOKUP(E425,Customers[],2,FALSE)</f>
        <v>#N/A</v>
      </c>
      <c r="G425" s="23" t="e">
        <f>VLOOKUP(E425,Customers[],3,FALSE)</f>
        <v>#N/A</v>
      </c>
      <c r="H425" s="23" t="e">
        <f>VLOOKUP(E425,Customers[],4,FALSE)</f>
        <v>#N/A</v>
      </c>
      <c r="J425" s="29" t="e">
        <f>VLOOKUP(I425,PGStock[],2,FALSE)</f>
        <v>#N/A</v>
      </c>
      <c r="K425" s="30" t="e">
        <f>VLOOKUP(I425,PGStock[],3,FALSE)</f>
        <v>#N/A</v>
      </c>
      <c r="M425" s="31" t="e">
        <f>VLOOKUP(I425,PGStock[],6,FALSE)</f>
        <v>#N/A</v>
      </c>
      <c r="N425" s="31" t="e">
        <f>+Table8[[#This Row],[SalesBot]]*Table8[[#This Row],[Bonus]]</f>
        <v>#N/A</v>
      </c>
    </row>
    <row r="426" spans="1:14" ht="23.25" customHeight="1" x14ac:dyDescent="0.25">
      <c r="A426" s="26">
        <f t="shared" si="51"/>
        <v>1900</v>
      </c>
      <c r="B426" s="26">
        <f t="shared" si="52"/>
        <v>1</v>
      </c>
      <c r="C426" s="20"/>
      <c r="D426" s="21"/>
      <c r="F426" s="23" t="e">
        <f>VLOOKUP(E426,Customers[],2,FALSE)</f>
        <v>#N/A</v>
      </c>
      <c r="G426" s="23" t="e">
        <f>VLOOKUP(E426,Customers[],3,FALSE)</f>
        <v>#N/A</v>
      </c>
      <c r="H426" s="23" t="e">
        <f>VLOOKUP(E426,Customers[],4,FALSE)</f>
        <v>#N/A</v>
      </c>
      <c r="J426" s="29" t="e">
        <f>VLOOKUP(I426,PGStock[],2,FALSE)</f>
        <v>#N/A</v>
      </c>
      <c r="K426" s="30" t="e">
        <f>VLOOKUP(I426,PGStock[],3,FALSE)</f>
        <v>#N/A</v>
      </c>
      <c r="M426" s="31" t="e">
        <f>VLOOKUP(I426,PGStock[],6,FALSE)</f>
        <v>#N/A</v>
      </c>
      <c r="N426" s="31" t="e">
        <f>+Table8[[#This Row],[SalesBot]]*Table8[[#This Row],[Bonus]]</f>
        <v>#N/A</v>
      </c>
    </row>
    <row r="427" spans="1:14" ht="23.25" customHeight="1" x14ac:dyDescent="0.25">
      <c r="A427" s="26">
        <f t="shared" si="51"/>
        <v>1900</v>
      </c>
      <c r="B427" s="26">
        <f t="shared" si="52"/>
        <v>1</v>
      </c>
      <c r="C427" s="20"/>
      <c r="D427" s="21"/>
      <c r="F427" s="23" t="e">
        <f>VLOOKUP(E427,Customers[],2,FALSE)</f>
        <v>#N/A</v>
      </c>
      <c r="G427" s="23" t="e">
        <f>VLOOKUP(E427,Customers[],3,FALSE)</f>
        <v>#N/A</v>
      </c>
      <c r="H427" s="23" t="e">
        <f>VLOOKUP(E427,Customers[],4,FALSE)</f>
        <v>#N/A</v>
      </c>
      <c r="J427" s="29" t="e">
        <f>VLOOKUP(I427,PGStock[],2,FALSE)</f>
        <v>#N/A</v>
      </c>
      <c r="K427" s="30" t="e">
        <f>VLOOKUP(I427,PGStock[],3,FALSE)</f>
        <v>#N/A</v>
      </c>
      <c r="M427" s="31" t="e">
        <f>VLOOKUP(I427,PGStock[],6,FALSE)</f>
        <v>#N/A</v>
      </c>
      <c r="N427" s="31" t="e">
        <f>+Table8[[#This Row],[SalesBot]]*Table8[[#This Row],[Bonus]]</f>
        <v>#N/A</v>
      </c>
    </row>
    <row r="428" spans="1:14" ht="23.25" customHeight="1" x14ac:dyDescent="0.25">
      <c r="A428" s="26">
        <f t="shared" si="51"/>
        <v>1900</v>
      </c>
      <c r="B428" s="26">
        <f t="shared" si="52"/>
        <v>1</v>
      </c>
      <c r="C428" s="20"/>
      <c r="D428" s="21"/>
      <c r="F428" s="23" t="e">
        <f>VLOOKUP(E428,Customers[],2,FALSE)</f>
        <v>#N/A</v>
      </c>
      <c r="G428" s="23" t="e">
        <f>VLOOKUP(E428,Customers[],3,FALSE)</f>
        <v>#N/A</v>
      </c>
      <c r="H428" s="23" t="e">
        <f>VLOOKUP(E428,Customers[],4,FALSE)</f>
        <v>#N/A</v>
      </c>
      <c r="J428" s="29" t="e">
        <f>VLOOKUP(I428,PGStock[],2,FALSE)</f>
        <v>#N/A</v>
      </c>
      <c r="K428" s="30" t="e">
        <f>VLOOKUP(I428,PGStock[],3,FALSE)</f>
        <v>#N/A</v>
      </c>
      <c r="M428" s="31" t="e">
        <f>VLOOKUP(I428,PGStock[],6,FALSE)</f>
        <v>#N/A</v>
      </c>
      <c r="N428" s="31" t="e">
        <f>+Table8[[#This Row],[SalesBot]]*Table8[[#This Row],[Bonus]]</f>
        <v>#N/A</v>
      </c>
    </row>
    <row r="429" spans="1:14" ht="23.25" customHeight="1" x14ac:dyDescent="0.25">
      <c r="A429" s="26">
        <f t="shared" si="51"/>
        <v>1900</v>
      </c>
      <c r="B429" s="26">
        <f t="shared" si="52"/>
        <v>1</v>
      </c>
      <c r="C429" s="20"/>
      <c r="D429" s="21"/>
      <c r="F429" s="23" t="e">
        <f>VLOOKUP(E429,Customers[],2,FALSE)</f>
        <v>#N/A</v>
      </c>
      <c r="G429" s="23" t="e">
        <f>VLOOKUP(E429,Customers[],3,FALSE)</f>
        <v>#N/A</v>
      </c>
      <c r="H429" s="23" t="e">
        <f>VLOOKUP(E429,Customers[],4,FALSE)</f>
        <v>#N/A</v>
      </c>
      <c r="J429" s="29" t="e">
        <f>VLOOKUP(I429,PGStock[],2,FALSE)</f>
        <v>#N/A</v>
      </c>
      <c r="K429" s="30" t="e">
        <f>VLOOKUP(I429,PGStock[],3,FALSE)</f>
        <v>#N/A</v>
      </c>
      <c r="M429" s="31" t="e">
        <f>VLOOKUP(I429,PGStock[],6,FALSE)</f>
        <v>#N/A</v>
      </c>
      <c r="N429" s="31" t="e">
        <f>+Table8[[#This Row],[SalesBot]]*Table8[[#This Row],[Bonus]]</f>
        <v>#N/A</v>
      </c>
    </row>
    <row r="430" spans="1:14" ht="23.25" customHeight="1" x14ac:dyDescent="0.25">
      <c r="A430" s="26">
        <f t="shared" si="51"/>
        <v>1900</v>
      </c>
      <c r="B430" s="26">
        <f t="shared" si="52"/>
        <v>1</v>
      </c>
      <c r="C430" s="20"/>
      <c r="D430" s="21"/>
      <c r="F430" s="23" t="e">
        <f>VLOOKUP(E430,Customers[],2,FALSE)</f>
        <v>#N/A</v>
      </c>
      <c r="G430" s="23" t="e">
        <f>VLOOKUP(E430,Customers[],3,FALSE)</f>
        <v>#N/A</v>
      </c>
      <c r="H430" s="23" t="e">
        <f>VLOOKUP(E430,Customers[],4,FALSE)</f>
        <v>#N/A</v>
      </c>
      <c r="J430" s="29" t="e">
        <f>VLOOKUP(I430,PGStock[],2,FALSE)</f>
        <v>#N/A</v>
      </c>
      <c r="K430" s="30" t="e">
        <f>VLOOKUP(I430,PGStock[],3,FALSE)</f>
        <v>#N/A</v>
      </c>
      <c r="M430" s="31" t="e">
        <f>VLOOKUP(I430,PGStock[],6,FALSE)</f>
        <v>#N/A</v>
      </c>
      <c r="N430" s="31" t="e">
        <f>+Table8[[#This Row],[SalesBot]]*Table8[[#This Row],[Bonus]]</f>
        <v>#N/A</v>
      </c>
    </row>
    <row r="431" spans="1:14" ht="23.25" customHeight="1" x14ac:dyDescent="0.25">
      <c r="A431" s="26">
        <f t="shared" si="51"/>
        <v>1900</v>
      </c>
      <c r="B431" s="26">
        <f t="shared" si="52"/>
        <v>1</v>
      </c>
      <c r="C431" s="20"/>
      <c r="D431" s="21"/>
      <c r="F431" s="23" t="e">
        <f>VLOOKUP(E431,Customers[],2,FALSE)</f>
        <v>#N/A</v>
      </c>
      <c r="G431" s="23" t="e">
        <f>VLOOKUP(E431,Customers[],3,FALSE)</f>
        <v>#N/A</v>
      </c>
      <c r="H431" s="23" t="e">
        <f>VLOOKUP(E431,Customers[],4,FALSE)</f>
        <v>#N/A</v>
      </c>
      <c r="J431" s="29" t="e">
        <f>VLOOKUP(I431,PGStock[],2,FALSE)</f>
        <v>#N/A</v>
      </c>
      <c r="K431" s="30" t="e">
        <f>VLOOKUP(I431,PGStock[],3,FALSE)</f>
        <v>#N/A</v>
      </c>
      <c r="M431" s="31" t="e">
        <f>VLOOKUP(I431,PGStock[],6,FALSE)</f>
        <v>#N/A</v>
      </c>
      <c r="N431" s="31" t="e">
        <f>+Table8[[#This Row],[SalesBot]]*Table8[[#This Row],[Bonus]]</f>
        <v>#N/A</v>
      </c>
    </row>
    <row r="432" spans="1:14" ht="23.25" customHeight="1" x14ac:dyDescent="0.25">
      <c r="A432" s="26">
        <f t="shared" si="51"/>
        <v>1900</v>
      </c>
      <c r="B432" s="26">
        <f t="shared" si="52"/>
        <v>1</v>
      </c>
      <c r="C432" s="20"/>
      <c r="D432" s="21"/>
      <c r="F432" s="23" t="e">
        <f>VLOOKUP(E432,Customers[],2,FALSE)</f>
        <v>#N/A</v>
      </c>
      <c r="G432" s="23" t="e">
        <f>VLOOKUP(E432,Customers[],3,FALSE)</f>
        <v>#N/A</v>
      </c>
      <c r="H432" s="23" t="e">
        <f>VLOOKUP(E432,Customers[],4,FALSE)</f>
        <v>#N/A</v>
      </c>
      <c r="J432" s="29" t="e">
        <f>VLOOKUP(I432,PGStock[],2,FALSE)</f>
        <v>#N/A</v>
      </c>
      <c r="K432" s="30" t="e">
        <f>VLOOKUP(I432,PGStock[],3,FALSE)</f>
        <v>#N/A</v>
      </c>
      <c r="M432" s="31" t="e">
        <f>VLOOKUP(I432,PGStock[],6,FALSE)</f>
        <v>#N/A</v>
      </c>
      <c r="N432" s="31" t="e">
        <f>+Table8[[#This Row],[SalesBot]]*Table8[[#This Row],[Bonus]]</f>
        <v>#N/A</v>
      </c>
    </row>
    <row r="433" spans="1:14" ht="23.25" customHeight="1" x14ac:dyDescent="0.25">
      <c r="A433" s="26">
        <f t="shared" ref="A433:A451" si="53">YEAR(C433)</f>
        <v>1900</v>
      </c>
      <c r="B433" s="26">
        <f t="shared" ref="B433:B451" si="54">MONTH(C433)</f>
        <v>1</v>
      </c>
      <c r="C433" s="20"/>
      <c r="D433" s="21"/>
      <c r="F433" s="23" t="e">
        <f>VLOOKUP(E433,Customers[],2,FALSE)</f>
        <v>#N/A</v>
      </c>
      <c r="G433" s="23" t="e">
        <f>VLOOKUP(E433,Customers[],3,FALSE)</f>
        <v>#N/A</v>
      </c>
      <c r="H433" s="23" t="e">
        <f>VLOOKUP(E433,Customers[],4,FALSE)</f>
        <v>#N/A</v>
      </c>
      <c r="J433" s="29" t="e">
        <f>VLOOKUP(I433,PGStock[],2,FALSE)</f>
        <v>#N/A</v>
      </c>
      <c r="K433" s="30" t="e">
        <f>VLOOKUP(I433,PGStock[],3,FALSE)</f>
        <v>#N/A</v>
      </c>
      <c r="M433" s="31" t="e">
        <f>VLOOKUP(I433,PGStock[],6,FALSE)</f>
        <v>#N/A</v>
      </c>
      <c r="N433" s="31" t="e">
        <f>+Table8[[#This Row],[SalesBot]]*Table8[[#This Row],[Bonus]]</f>
        <v>#N/A</v>
      </c>
    </row>
    <row r="434" spans="1:14" ht="23.25" customHeight="1" x14ac:dyDescent="0.25">
      <c r="A434" s="26">
        <f t="shared" si="53"/>
        <v>1900</v>
      </c>
      <c r="B434" s="26">
        <f t="shared" si="54"/>
        <v>1</v>
      </c>
      <c r="C434" s="20"/>
      <c r="D434" s="21"/>
      <c r="F434" s="23" t="e">
        <f>VLOOKUP(E434,Customers[],2,FALSE)</f>
        <v>#N/A</v>
      </c>
      <c r="G434" s="23" t="e">
        <f>VLOOKUP(E434,Customers[],3,FALSE)</f>
        <v>#N/A</v>
      </c>
      <c r="H434" s="23" t="e">
        <f>VLOOKUP(E434,Customers[],4,FALSE)</f>
        <v>#N/A</v>
      </c>
      <c r="J434" s="29" t="e">
        <f>VLOOKUP(I434,PGStock[],2,FALSE)</f>
        <v>#N/A</v>
      </c>
      <c r="K434" s="30" t="e">
        <f>VLOOKUP(I434,PGStock[],3,FALSE)</f>
        <v>#N/A</v>
      </c>
      <c r="M434" s="31" t="e">
        <f>VLOOKUP(I434,PGStock[],6,FALSE)</f>
        <v>#N/A</v>
      </c>
      <c r="N434" s="31" t="e">
        <f>+Table8[[#This Row],[SalesBot]]*Table8[[#This Row],[Bonus]]</f>
        <v>#N/A</v>
      </c>
    </row>
    <row r="435" spans="1:14" ht="23.25" customHeight="1" x14ac:dyDescent="0.25">
      <c r="A435" s="26">
        <f t="shared" si="53"/>
        <v>1900</v>
      </c>
      <c r="B435" s="26">
        <f t="shared" si="54"/>
        <v>1</v>
      </c>
      <c r="C435" s="20"/>
      <c r="D435" s="21"/>
      <c r="F435" s="23" t="e">
        <f>VLOOKUP(E435,Customers[],2,FALSE)</f>
        <v>#N/A</v>
      </c>
      <c r="G435" s="23" t="e">
        <f>VLOOKUP(E435,Customers[],3,FALSE)</f>
        <v>#N/A</v>
      </c>
      <c r="H435" s="23" t="e">
        <f>VLOOKUP(E435,Customers[],4,FALSE)</f>
        <v>#N/A</v>
      </c>
      <c r="J435" s="29" t="e">
        <f>VLOOKUP(I435,PGStock[],2,FALSE)</f>
        <v>#N/A</v>
      </c>
      <c r="K435" s="30" t="e">
        <f>VLOOKUP(I435,PGStock[],3,FALSE)</f>
        <v>#N/A</v>
      </c>
      <c r="M435" s="31" t="e">
        <f>VLOOKUP(I435,PGStock[],6,FALSE)</f>
        <v>#N/A</v>
      </c>
      <c r="N435" s="31" t="e">
        <f>+Table8[[#This Row],[SalesBot]]*Table8[[#This Row],[Bonus]]</f>
        <v>#N/A</v>
      </c>
    </row>
    <row r="436" spans="1:14" ht="23.25" customHeight="1" x14ac:dyDescent="0.25">
      <c r="A436" s="26">
        <f t="shared" si="53"/>
        <v>1900</v>
      </c>
      <c r="B436" s="26">
        <f t="shared" si="54"/>
        <v>1</v>
      </c>
      <c r="C436" s="20"/>
      <c r="D436" s="21"/>
      <c r="F436" s="23" t="e">
        <f>VLOOKUP(E436,Customers[],2,FALSE)</f>
        <v>#N/A</v>
      </c>
      <c r="G436" s="23" t="e">
        <f>VLOOKUP(E436,Customers[],3,FALSE)</f>
        <v>#N/A</v>
      </c>
      <c r="H436" s="23" t="e">
        <f>VLOOKUP(E436,Customers[],4,FALSE)</f>
        <v>#N/A</v>
      </c>
      <c r="J436" s="29" t="e">
        <f>VLOOKUP(I436,PGStock[],2,FALSE)</f>
        <v>#N/A</v>
      </c>
      <c r="K436" s="30" t="e">
        <f>VLOOKUP(I436,PGStock[],3,FALSE)</f>
        <v>#N/A</v>
      </c>
      <c r="M436" s="31" t="e">
        <f>VLOOKUP(I436,PGStock[],6,FALSE)</f>
        <v>#N/A</v>
      </c>
      <c r="N436" s="31" t="e">
        <f>+Table8[[#This Row],[SalesBot]]*Table8[[#This Row],[Bonus]]</f>
        <v>#N/A</v>
      </c>
    </row>
    <row r="437" spans="1:14" ht="23.25" customHeight="1" x14ac:dyDescent="0.25">
      <c r="A437" s="26">
        <f t="shared" si="53"/>
        <v>1900</v>
      </c>
      <c r="B437" s="26">
        <f t="shared" si="54"/>
        <v>1</v>
      </c>
      <c r="C437" s="20"/>
      <c r="D437" s="21"/>
      <c r="F437" s="23" t="e">
        <f>VLOOKUP(E437,Customers[],2,FALSE)</f>
        <v>#N/A</v>
      </c>
      <c r="G437" s="23" t="e">
        <f>VLOOKUP(E437,Customers[],3,FALSE)</f>
        <v>#N/A</v>
      </c>
      <c r="H437" s="23" t="e">
        <f>VLOOKUP(E437,Customers[],4,FALSE)</f>
        <v>#N/A</v>
      </c>
      <c r="J437" s="29" t="e">
        <f>VLOOKUP(I437,PGStock[],2,FALSE)</f>
        <v>#N/A</v>
      </c>
      <c r="K437" s="30" t="e">
        <f>VLOOKUP(I437,PGStock[],3,FALSE)</f>
        <v>#N/A</v>
      </c>
      <c r="M437" s="31" t="e">
        <f>VLOOKUP(I437,PGStock[],6,FALSE)</f>
        <v>#N/A</v>
      </c>
      <c r="N437" s="31" t="e">
        <f>+Table8[[#This Row],[SalesBot]]*Table8[[#This Row],[Bonus]]</f>
        <v>#N/A</v>
      </c>
    </row>
    <row r="438" spans="1:14" ht="23.25" customHeight="1" x14ac:dyDescent="0.25">
      <c r="A438" s="26">
        <f t="shared" si="53"/>
        <v>1900</v>
      </c>
      <c r="B438" s="26">
        <f t="shared" si="54"/>
        <v>1</v>
      </c>
      <c r="C438" s="20"/>
      <c r="D438" s="21"/>
      <c r="F438" s="23" t="e">
        <f>VLOOKUP(E438,Customers[],2,FALSE)</f>
        <v>#N/A</v>
      </c>
      <c r="G438" s="23" t="e">
        <f>VLOOKUP(E438,Customers[],3,FALSE)</f>
        <v>#N/A</v>
      </c>
      <c r="H438" s="23" t="e">
        <f>VLOOKUP(E438,Customers[],4,FALSE)</f>
        <v>#N/A</v>
      </c>
      <c r="J438" s="29" t="e">
        <f>VLOOKUP(I438,PGStock[],2,FALSE)</f>
        <v>#N/A</v>
      </c>
      <c r="K438" s="30" t="e">
        <f>VLOOKUP(I438,PGStock[],3,FALSE)</f>
        <v>#N/A</v>
      </c>
      <c r="M438" s="31" t="e">
        <f>VLOOKUP(I438,PGStock[],6,FALSE)</f>
        <v>#N/A</v>
      </c>
      <c r="N438" s="31" t="e">
        <f>+Table8[[#This Row],[SalesBot]]*Table8[[#This Row],[Bonus]]</f>
        <v>#N/A</v>
      </c>
    </row>
    <row r="439" spans="1:14" ht="23.25" customHeight="1" x14ac:dyDescent="0.25">
      <c r="A439" s="26">
        <f t="shared" si="53"/>
        <v>1900</v>
      </c>
      <c r="B439" s="26">
        <f t="shared" si="54"/>
        <v>1</v>
      </c>
      <c r="C439" s="20"/>
      <c r="D439" s="21"/>
      <c r="F439" s="23" t="e">
        <f>VLOOKUP(E439,Customers[],2,FALSE)</f>
        <v>#N/A</v>
      </c>
      <c r="G439" s="23" t="e">
        <f>VLOOKUP(E439,Customers[],3,FALSE)</f>
        <v>#N/A</v>
      </c>
      <c r="H439" s="23" t="e">
        <f>VLOOKUP(E439,Customers[],4,FALSE)</f>
        <v>#N/A</v>
      </c>
      <c r="J439" s="29" t="e">
        <f>VLOOKUP(I439,PGStock[],2,FALSE)</f>
        <v>#N/A</v>
      </c>
      <c r="K439" s="30" t="e">
        <f>VLOOKUP(I439,PGStock[],3,FALSE)</f>
        <v>#N/A</v>
      </c>
      <c r="M439" s="31" t="e">
        <f>VLOOKUP(I439,PGStock[],6,FALSE)</f>
        <v>#N/A</v>
      </c>
      <c r="N439" s="31" t="e">
        <f>+Table8[[#This Row],[SalesBot]]*Table8[[#This Row],[Bonus]]</f>
        <v>#N/A</v>
      </c>
    </row>
    <row r="440" spans="1:14" ht="23.25" customHeight="1" x14ac:dyDescent="0.25">
      <c r="A440" s="26">
        <f t="shared" ref="A440:A449" si="55">YEAR(C440)</f>
        <v>1900</v>
      </c>
      <c r="B440" s="26">
        <f t="shared" ref="B440:B449" si="56">MONTH(C440)</f>
        <v>1</v>
      </c>
      <c r="C440" s="20"/>
      <c r="D440" s="21"/>
      <c r="F440" s="23" t="e">
        <f>VLOOKUP(E440,Customers[],2,FALSE)</f>
        <v>#N/A</v>
      </c>
      <c r="G440" s="23" t="e">
        <f>VLOOKUP(E440,Customers[],3,FALSE)</f>
        <v>#N/A</v>
      </c>
      <c r="H440" s="23" t="e">
        <f>VLOOKUP(E440,Customers[],4,FALSE)</f>
        <v>#N/A</v>
      </c>
      <c r="J440" s="29" t="e">
        <f>VLOOKUP(I440,PGStock[],2,FALSE)</f>
        <v>#N/A</v>
      </c>
      <c r="K440" s="30" t="e">
        <f>VLOOKUP(I440,PGStock[],3,FALSE)</f>
        <v>#N/A</v>
      </c>
      <c r="M440" s="31" t="e">
        <f>VLOOKUP(I440,PGStock[],6,FALSE)</f>
        <v>#N/A</v>
      </c>
      <c r="N440" s="31" t="e">
        <f>+Table8[[#This Row],[SalesBot]]*Table8[[#This Row],[Bonus]]</f>
        <v>#N/A</v>
      </c>
    </row>
    <row r="441" spans="1:14" ht="23.25" customHeight="1" x14ac:dyDescent="0.25">
      <c r="A441" s="26">
        <f t="shared" si="55"/>
        <v>1900</v>
      </c>
      <c r="B441" s="26">
        <f t="shared" si="56"/>
        <v>1</v>
      </c>
      <c r="C441" s="20"/>
      <c r="D441" s="21"/>
      <c r="F441" s="23" t="e">
        <f>VLOOKUP(E441,Customers[],2,FALSE)</f>
        <v>#N/A</v>
      </c>
      <c r="G441" s="23" t="e">
        <f>VLOOKUP(E441,Customers[],3,FALSE)</f>
        <v>#N/A</v>
      </c>
      <c r="H441" s="23" t="e">
        <f>VLOOKUP(E441,Customers[],4,FALSE)</f>
        <v>#N/A</v>
      </c>
      <c r="J441" s="29" t="e">
        <f>VLOOKUP(I441,PGStock[],2,FALSE)</f>
        <v>#N/A</v>
      </c>
      <c r="K441" s="30" t="e">
        <f>VLOOKUP(I441,PGStock[],3,FALSE)</f>
        <v>#N/A</v>
      </c>
      <c r="M441" s="31" t="e">
        <f>VLOOKUP(I441,PGStock[],6,FALSE)</f>
        <v>#N/A</v>
      </c>
      <c r="N441" s="31" t="e">
        <f>+Table8[[#This Row],[SalesBot]]*Table8[[#This Row],[Bonus]]</f>
        <v>#N/A</v>
      </c>
    </row>
    <row r="442" spans="1:14" ht="23.25" customHeight="1" x14ac:dyDescent="0.25">
      <c r="A442" s="26">
        <f t="shared" si="55"/>
        <v>1900</v>
      </c>
      <c r="B442" s="26">
        <f t="shared" si="56"/>
        <v>1</v>
      </c>
      <c r="C442" s="20"/>
      <c r="D442" s="21"/>
      <c r="F442" s="23" t="e">
        <f>VLOOKUP(E442,Customers[],2,FALSE)</f>
        <v>#N/A</v>
      </c>
      <c r="G442" s="23" t="e">
        <f>VLOOKUP(E442,Customers[],3,FALSE)</f>
        <v>#N/A</v>
      </c>
      <c r="H442" s="23" t="e">
        <f>VLOOKUP(E442,Customers[],4,FALSE)</f>
        <v>#N/A</v>
      </c>
      <c r="J442" s="29" t="e">
        <f>VLOOKUP(I442,PGStock[],2,FALSE)</f>
        <v>#N/A</v>
      </c>
      <c r="K442" s="30" t="e">
        <f>VLOOKUP(I442,PGStock[],3,FALSE)</f>
        <v>#N/A</v>
      </c>
      <c r="M442" s="31" t="e">
        <f>VLOOKUP(I442,PGStock[],6,FALSE)</f>
        <v>#N/A</v>
      </c>
      <c r="N442" s="31" t="e">
        <f>+Table8[[#This Row],[SalesBot]]*Table8[[#This Row],[Bonus]]</f>
        <v>#N/A</v>
      </c>
    </row>
    <row r="443" spans="1:14" ht="23.25" customHeight="1" x14ac:dyDescent="0.25">
      <c r="A443" s="26">
        <f t="shared" si="55"/>
        <v>1900</v>
      </c>
      <c r="B443" s="26">
        <f t="shared" si="56"/>
        <v>1</v>
      </c>
      <c r="C443" s="20"/>
      <c r="D443" s="21"/>
      <c r="F443" s="23" t="e">
        <f>VLOOKUP(E443,Customers[],2,FALSE)</f>
        <v>#N/A</v>
      </c>
      <c r="G443" s="23" t="e">
        <f>VLOOKUP(E443,Customers[],3,FALSE)</f>
        <v>#N/A</v>
      </c>
      <c r="H443" s="23" t="e">
        <f>VLOOKUP(E443,Customers[],4,FALSE)</f>
        <v>#N/A</v>
      </c>
      <c r="J443" s="29" t="e">
        <f>VLOOKUP(I443,PGStock[],2,FALSE)</f>
        <v>#N/A</v>
      </c>
      <c r="K443" s="30" t="e">
        <f>VLOOKUP(I443,PGStock[],3,FALSE)</f>
        <v>#N/A</v>
      </c>
      <c r="M443" s="31" t="e">
        <f>VLOOKUP(I443,PGStock[],6,FALSE)</f>
        <v>#N/A</v>
      </c>
      <c r="N443" s="31" t="e">
        <f>+Table8[[#This Row],[SalesBot]]*Table8[[#This Row],[Bonus]]</f>
        <v>#N/A</v>
      </c>
    </row>
    <row r="444" spans="1:14" ht="23.25" customHeight="1" x14ac:dyDescent="0.25">
      <c r="A444" s="26">
        <f t="shared" si="55"/>
        <v>1900</v>
      </c>
      <c r="B444" s="26">
        <f t="shared" si="56"/>
        <v>1</v>
      </c>
      <c r="C444" s="20"/>
      <c r="D444" s="21"/>
      <c r="F444" s="23" t="e">
        <f>VLOOKUP(E444,Customers[],2,FALSE)</f>
        <v>#N/A</v>
      </c>
      <c r="G444" s="23" t="e">
        <f>VLOOKUP(E444,Customers[],3,FALSE)</f>
        <v>#N/A</v>
      </c>
      <c r="H444" s="23" t="e">
        <f>VLOOKUP(E444,Customers[],4,FALSE)</f>
        <v>#N/A</v>
      </c>
      <c r="J444" s="29" t="e">
        <f>VLOOKUP(I444,PGStock[],2,FALSE)</f>
        <v>#N/A</v>
      </c>
      <c r="K444" s="30" t="e">
        <f>VLOOKUP(I444,PGStock[],3,FALSE)</f>
        <v>#N/A</v>
      </c>
      <c r="M444" s="31" t="e">
        <f>VLOOKUP(I444,PGStock[],6,FALSE)</f>
        <v>#N/A</v>
      </c>
      <c r="N444" s="31" t="e">
        <f>+Table8[[#This Row],[SalesBot]]*Table8[[#This Row],[Bonus]]</f>
        <v>#N/A</v>
      </c>
    </row>
    <row r="445" spans="1:14" ht="23.25" customHeight="1" x14ac:dyDescent="0.25">
      <c r="A445" s="26">
        <f t="shared" si="55"/>
        <v>1900</v>
      </c>
      <c r="B445" s="26">
        <f t="shared" si="56"/>
        <v>1</v>
      </c>
      <c r="C445" s="20"/>
      <c r="D445" s="21"/>
      <c r="F445" s="23" t="e">
        <f>VLOOKUP(E445,Customers[],2,FALSE)</f>
        <v>#N/A</v>
      </c>
      <c r="G445" s="23" t="e">
        <f>VLOOKUP(E445,Customers[],3,FALSE)</f>
        <v>#N/A</v>
      </c>
      <c r="H445" s="23" t="e">
        <f>VLOOKUP(E445,Customers[],4,FALSE)</f>
        <v>#N/A</v>
      </c>
      <c r="J445" s="29" t="e">
        <f>VLOOKUP(I445,PGStock[],2,FALSE)</f>
        <v>#N/A</v>
      </c>
      <c r="K445" s="30" t="e">
        <f>VLOOKUP(I445,PGStock[],3,FALSE)</f>
        <v>#N/A</v>
      </c>
      <c r="M445" s="31" t="e">
        <f>VLOOKUP(I445,PGStock[],6,FALSE)</f>
        <v>#N/A</v>
      </c>
      <c r="N445" s="31" t="e">
        <f>+Table8[[#This Row],[SalesBot]]*Table8[[#This Row],[Bonus]]</f>
        <v>#N/A</v>
      </c>
    </row>
    <row r="446" spans="1:14" ht="23.25" customHeight="1" x14ac:dyDescent="0.25">
      <c r="A446" s="26">
        <f t="shared" si="55"/>
        <v>1900</v>
      </c>
      <c r="B446" s="26">
        <f t="shared" si="56"/>
        <v>1</v>
      </c>
      <c r="C446" s="20"/>
      <c r="D446" s="21"/>
      <c r="F446" s="23" t="e">
        <f>VLOOKUP(E446,Customers[],2,FALSE)</f>
        <v>#N/A</v>
      </c>
      <c r="G446" s="23" t="e">
        <f>VLOOKUP(E446,Customers[],3,FALSE)</f>
        <v>#N/A</v>
      </c>
      <c r="H446" s="23" t="e">
        <f>VLOOKUP(E446,Customers[],4,FALSE)</f>
        <v>#N/A</v>
      </c>
      <c r="J446" s="29" t="e">
        <f>VLOOKUP(I446,PGStock[],2,FALSE)</f>
        <v>#N/A</v>
      </c>
      <c r="K446" s="30" t="e">
        <f>VLOOKUP(I446,PGStock[],3,FALSE)</f>
        <v>#N/A</v>
      </c>
      <c r="M446" s="31" t="e">
        <f>VLOOKUP(I446,PGStock[],6,FALSE)</f>
        <v>#N/A</v>
      </c>
      <c r="N446" s="31" t="e">
        <f>+Table8[[#This Row],[SalesBot]]*Table8[[#This Row],[Bonus]]</f>
        <v>#N/A</v>
      </c>
    </row>
    <row r="447" spans="1:14" ht="23.25" customHeight="1" x14ac:dyDescent="0.25">
      <c r="A447" s="26">
        <f t="shared" si="55"/>
        <v>1900</v>
      </c>
      <c r="B447" s="26">
        <f t="shared" si="56"/>
        <v>1</v>
      </c>
      <c r="C447" s="20"/>
      <c r="D447" s="21"/>
      <c r="F447" s="23" t="e">
        <f>VLOOKUP(E447,Customers[],2,FALSE)</f>
        <v>#N/A</v>
      </c>
      <c r="G447" s="23" t="e">
        <f>VLOOKUP(E447,Customers[],3,FALSE)</f>
        <v>#N/A</v>
      </c>
      <c r="H447" s="23" t="e">
        <f>VLOOKUP(E447,Customers[],4,FALSE)</f>
        <v>#N/A</v>
      </c>
      <c r="J447" s="29" t="e">
        <f>VLOOKUP(I447,PGStock[],2,FALSE)</f>
        <v>#N/A</v>
      </c>
      <c r="K447" s="30" t="e">
        <f>VLOOKUP(I447,PGStock[],3,FALSE)</f>
        <v>#N/A</v>
      </c>
      <c r="M447" s="31" t="e">
        <f>VLOOKUP(I447,PGStock[],6,FALSE)</f>
        <v>#N/A</v>
      </c>
      <c r="N447" s="31" t="e">
        <f>+Table8[[#This Row],[SalesBot]]*Table8[[#This Row],[Bonus]]</f>
        <v>#N/A</v>
      </c>
    </row>
    <row r="448" spans="1:14" ht="23.25" customHeight="1" x14ac:dyDescent="0.25">
      <c r="A448" s="26">
        <f t="shared" si="55"/>
        <v>1900</v>
      </c>
      <c r="B448" s="26">
        <f t="shared" si="56"/>
        <v>1</v>
      </c>
      <c r="C448" s="20"/>
      <c r="D448" s="21"/>
      <c r="F448" s="23" t="e">
        <f>VLOOKUP(E448,Customers[],2,FALSE)</f>
        <v>#N/A</v>
      </c>
      <c r="G448" s="23" t="e">
        <f>VLOOKUP(E448,Customers[],3,FALSE)</f>
        <v>#N/A</v>
      </c>
      <c r="H448" s="23" t="e">
        <f>VLOOKUP(E448,Customers[],4,FALSE)</f>
        <v>#N/A</v>
      </c>
      <c r="J448" s="29" t="e">
        <f>VLOOKUP(I448,PGStock[],2,FALSE)</f>
        <v>#N/A</v>
      </c>
      <c r="K448" s="30" t="e">
        <f>VLOOKUP(I448,PGStock[],3,FALSE)</f>
        <v>#N/A</v>
      </c>
      <c r="M448" s="31" t="e">
        <f>VLOOKUP(I448,PGStock[],6,FALSE)</f>
        <v>#N/A</v>
      </c>
      <c r="N448" s="31" t="e">
        <f>+Table8[[#This Row],[SalesBot]]*Table8[[#This Row],[Bonus]]</f>
        <v>#N/A</v>
      </c>
    </row>
    <row r="449" spans="1:14" ht="23.25" customHeight="1" x14ac:dyDescent="0.25">
      <c r="A449" s="26">
        <f t="shared" si="55"/>
        <v>1900</v>
      </c>
      <c r="B449" s="26">
        <f t="shared" si="56"/>
        <v>1</v>
      </c>
      <c r="C449" s="20"/>
      <c r="D449" s="21"/>
      <c r="F449" s="23" t="e">
        <f>VLOOKUP(E449,Customers[],2,FALSE)</f>
        <v>#N/A</v>
      </c>
      <c r="G449" s="23" t="e">
        <f>VLOOKUP(E449,Customers[],3,FALSE)</f>
        <v>#N/A</v>
      </c>
      <c r="H449" s="23" t="e">
        <f>VLOOKUP(E449,Customers[],4,FALSE)</f>
        <v>#N/A</v>
      </c>
      <c r="J449" s="29" t="e">
        <f>VLOOKUP(I449,PGStock[],2,FALSE)</f>
        <v>#N/A</v>
      </c>
      <c r="K449" s="30" t="e">
        <f>VLOOKUP(I449,PGStock[],3,FALSE)</f>
        <v>#N/A</v>
      </c>
      <c r="M449" s="31" t="e">
        <f>VLOOKUP(I449,PGStock[],6,FALSE)</f>
        <v>#N/A</v>
      </c>
      <c r="N449" s="31" t="e">
        <f>+Table8[[#This Row],[SalesBot]]*Table8[[#This Row],[Bonus]]</f>
        <v>#N/A</v>
      </c>
    </row>
    <row r="450" spans="1:14" ht="23.25" customHeight="1" x14ac:dyDescent="0.25">
      <c r="A450" s="26">
        <f t="shared" si="53"/>
        <v>1900</v>
      </c>
      <c r="B450" s="26">
        <f t="shared" si="54"/>
        <v>1</v>
      </c>
      <c r="C450" s="20"/>
      <c r="D450" s="21"/>
      <c r="F450" s="23" t="e">
        <f>VLOOKUP(E450,Customers[],2,FALSE)</f>
        <v>#N/A</v>
      </c>
      <c r="G450" s="23" t="e">
        <f>VLOOKUP(E450,Customers[],3,FALSE)</f>
        <v>#N/A</v>
      </c>
      <c r="H450" s="23" t="e">
        <f>VLOOKUP(E450,Customers[],4,FALSE)</f>
        <v>#N/A</v>
      </c>
      <c r="J450" s="29" t="e">
        <f>VLOOKUP(I450,PGStock[],2,FALSE)</f>
        <v>#N/A</v>
      </c>
      <c r="K450" s="30" t="e">
        <f>VLOOKUP(I450,PGStock[],3,FALSE)</f>
        <v>#N/A</v>
      </c>
      <c r="M450" s="31" t="e">
        <f>VLOOKUP(I450,PGStock[],6,FALSE)</f>
        <v>#N/A</v>
      </c>
      <c r="N450" s="31" t="e">
        <f>+Table8[[#This Row],[SalesBot]]*Table8[[#This Row],[Bonus]]</f>
        <v>#N/A</v>
      </c>
    </row>
    <row r="451" spans="1:14" ht="23.25" customHeight="1" x14ac:dyDescent="0.25">
      <c r="A451" s="26">
        <f t="shared" si="53"/>
        <v>1900</v>
      </c>
      <c r="B451" s="26">
        <f t="shared" si="54"/>
        <v>1</v>
      </c>
      <c r="C451" s="20"/>
      <c r="D451" s="21"/>
      <c r="F451" s="23" t="e">
        <f>VLOOKUP(E451,Customers[],2,FALSE)</f>
        <v>#N/A</v>
      </c>
      <c r="G451" s="23" t="e">
        <f>VLOOKUP(E451,Customers[],3,FALSE)</f>
        <v>#N/A</v>
      </c>
      <c r="H451" s="23" t="e">
        <f>VLOOKUP(E451,Customers[],4,FALSE)</f>
        <v>#N/A</v>
      </c>
      <c r="J451" s="29" t="e">
        <f>VLOOKUP(I451,PGStock[],2,FALSE)</f>
        <v>#N/A</v>
      </c>
      <c r="K451" s="30" t="e">
        <f>VLOOKUP(I451,PGStock[],3,FALSE)</f>
        <v>#N/A</v>
      </c>
      <c r="M451" s="31" t="e">
        <f>VLOOKUP(I451,PGStock[],6,FALSE)</f>
        <v>#N/A</v>
      </c>
      <c r="N451" s="31" t="e">
        <f>+Table8[[#This Row],[SalesBot]]*Table8[[#This Row],[Bonus]]</f>
        <v>#N/A</v>
      </c>
    </row>
    <row r="452" spans="1:14" ht="23.25" customHeight="1" x14ac:dyDescent="0.25">
      <c r="A452" s="26">
        <f t="shared" ref="A452:A461" si="57">YEAR(C452)</f>
        <v>1900</v>
      </c>
      <c r="B452" s="26">
        <f t="shared" ref="B452:B461" si="58">MONTH(C452)</f>
        <v>1</v>
      </c>
      <c r="C452" s="20"/>
      <c r="D452" s="21"/>
      <c r="F452" s="23" t="e">
        <f>VLOOKUP(E452,Customers[],2,FALSE)</f>
        <v>#N/A</v>
      </c>
      <c r="G452" s="23" t="e">
        <f>VLOOKUP(E452,Customers[],3,FALSE)</f>
        <v>#N/A</v>
      </c>
      <c r="H452" s="23" t="e">
        <f>VLOOKUP(E452,Customers[],4,FALSE)</f>
        <v>#N/A</v>
      </c>
      <c r="J452" s="29" t="e">
        <f>VLOOKUP(I452,PGStock[],2,FALSE)</f>
        <v>#N/A</v>
      </c>
      <c r="K452" s="30" t="e">
        <f>VLOOKUP(I452,PGStock[],3,FALSE)</f>
        <v>#N/A</v>
      </c>
      <c r="M452" s="31" t="e">
        <f>VLOOKUP(I452,PGStock[],6,FALSE)</f>
        <v>#N/A</v>
      </c>
      <c r="N452" s="31" t="e">
        <f>+Table8[[#This Row],[SalesBot]]*Table8[[#This Row],[Bonus]]</f>
        <v>#N/A</v>
      </c>
    </row>
    <row r="453" spans="1:14" ht="23.25" customHeight="1" x14ac:dyDescent="0.25">
      <c r="A453" s="26">
        <f t="shared" si="57"/>
        <v>1900</v>
      </c>
      <c r="B453" s="26">
        <f t="shared" si="58"/>
        <v>1</v>
      </c>
      <c r="C453" s="20"/>
      <c r="D453" s="21"/>
      <c r="F453" s="23" t="e">
        <f>VLOOKUP(E453,Customers[],2,FALSE)</f>
        <v>#N/A</v>
      </c>
      <c r="G453" s="23" t="e">
        <f>VLOOKUP(E453,Customers[],3,FALSE)</f>
        <v>#N/A</v>
      </c>
      <c r="H453" s="23" t="e">
        <f>VLOOKUP(E453,Customers[],4,FALSE)</f>
        <v>#N/A</v>
      </c>
      <c r="J453" s="29" t="e">
        <f>VLOOKUP(I453,PGStock[],2,FALSE)</f>
        <v>#N/A</v>
      </c>
      <c r="K453" s="30" t="e">
        <f>VLOOKUP(I453,PGStock[],3,FALSE)</f>
        <v>#N/A</v>
      </c>
      <c r="M453" s="31" t="e">
        <f>VLOOKUP(I453,PGStock[],6,FALSE)</f>
        <v>#N/A</v>
      </c>
      <c r="N453" s="31" t="e">
        <f>+Table8[[#This Row],[SalesBot]]*Table8[[#This Row],[Bonus]]</f>
        <v>#N/A</v>
      </c>
    </row>
    <row r="454" spans="1:14" ht="23.25" customHeight="1" x14ac:dyDescent="0.25">
      <c r="A454" s="26">
        <f t="shared" si="57"/>
        <v>1900</v>
      </c>
      <c r="B454" s="26">
        <f t="shared" si="58"/>
        <v>1</v>
      </c>
      <c r="C454" s="20"/>
      <c r="D454" s="21"/>
      <c r="F454" s="23" t="e">
        <f>VLOOKUP(E454,Customers[],2,FALSE)</f>
        <v>#N/A</v>
      </c>
      <c r="G454" s="23" t="e">
        <f>VLOOKUP(E454,Customers[],3,FALSE)</f>
        <v>#N/A</v>
      </c>
      <c r="H454" s="23" t="e">
        <f>VLOOKUP(E454,Customers[],4,FALSE)</f>
        <v>#N/A</v>
      </c>
      <c r="J454" s="29" t="e">
        <f>VLOOKUP(I454,PGStock[],2,FALSE)</f>
        <v>#N/A</v>
      </c>
      <c r="K454" s="30" t="e">
        <f>VLOOKUP(I454,PGStock[],3,FALSE)</f>
        <v>#N/A</v>
      </c>
      <c r="M454" s="31" t="e">
        <f>VLOOKUP(I454,PGStock[],6,FALSE)</f>
        <v>#N/A</v>
      </c>
      <c r="N454" s="31" t="e">
        <f>+Table8[[#This Row],[SalesBot]]*Table8[[#This Row],[Bonus]]</f>
        <v>#N/A</v>
      </c>
    </row>
    <row r="455" spans="1:14" ht="23.25" customHeight="1" x14ac:dyDescent="0.25">
      <c r="A455" s="26">
        <f t="shared" si="57"/>
        <v>1900</v>
      </c>
      <c r="B455" s="26">
        <f t="shared" si="58"/>
        <v>1</v>
      </c>
      <c r="C455" s="20"/>
      <c r="D455" s="21"/>
      <c r="F455" s="23" t="e">
        <f>VLOOKUP(E455,Customers[],2,FALSE)</f>
        <v>#N/A</v>
      </c>
      <c r="G455" s="23" t="e">
        <f>VLOOKUP(E455,Customers[],3,FALSE)</f>
        <v>#N/A</v>
      </c>
      <c r="H455" s="23" t="e">
        <f>VLOOKUP(E455,Customers[],4,FALSE)</f>
        <v>#N/A</v>
      </c>
      <c r="J455" s="29" t="e">
        <f>VLOOKUP(I455,PGStock[],2,FALSE)</f>
        <v>#N/A</v>
      </c>
      <c r="K455" s="30" t="e">
        <f>VLOOKUP(I455,PGStock[],3,FALSE)</f>
        <v>#N/A</v>
      </c>
      <c r="M455" s="31" t="e">
        <f>VLOOKUP(I455,PGStock[],6,FALSE)</f>
        <v>#N/A</v>
      </c>
      <c r="N455" s="31" t="e">
        <f>+Table8[[#This Row],[SalesBot]]*Table8[[#This Row],[Bonus]]</f>
        <v>#N/A</v>
      </c>
    </row>
    <row r="456" spans="1:14" ht="23.25" customHeight="1" x14ac:dyDescent="0.25">
      <c r="A456" s="26">
        <f t="shared" si="57"/>
        <v>1900</v>
      </c>
      <c r="B456" s="26">
        <f t="shared" si="58"/>
        <v>1</v>
      </c>
      <c r="C456" s="20"/>
      <c r="D456" s="21"/>
      <c r="F456" s="23" t="e">
        <f>VLOOKUP(E456,Customers[],2,FALSE)</f>
        <v>#N/A</v>
      </c>
      <c r="G456" s="23" t="e">
        <f>VLOOKUP(E456,Customers[],3,FALSE)</f>
        <v>#N/A</v>
      </c>
      <c r="H456" s="23" t="e">
        <f>VLOOKUP(E456,Customers[],4,FALSE)</f>
        <v>#N/A</v>
      </c>
      <c r="J456" s="29" t="e">
        <f>VLOOKUP(I456,PGStock[],2,FALSE)</f>
        <v>#N/A</v>
      </c>
      <c r="K456" s="30" t="e">
        <f>VLOOKUP(I456,PGStock[],3,FALSE)</f>
        <v>#N/A</v>
      </c>
      <c r="M456" s="31" t="e">
        <f>VLOOKUP(I456,PGStock[],6,FALSE)</f>
        <v>#N/A</v>
      </c>
      <c r="N456" s="31" t="e">
        <f>+Table8[[#This Row],[SalesBot]]*Table8[[#This Row],[Bonus]]</f>
        <v>#N/A</v>
      </c>
    </row>
    <row r="457" spans="1:14" ht="23.25" customHeight="1" x14ac:dyDescent="0.25">
      <c r="A457" s="26">
        <f t="shared" si="57"/>
        <v>1900</v>
      </c>
      <c r="B457" s="26">
        <f t="shared" si="58"/>
        <v>1</v>
      </c>
      <c r="C457" s="20"/>
      <c r="D457" s="21"/>
      <c r="F457" s="23" t="e">
        <f>VLOOKUP(E457,Customers[],2,FALSE)</f>
        <v>#N/A</v>
      </c>
      <c r="G457" s="23" t="e">
        <f>VLOOKUP(E457,Customers[],3,FALSE)</f>
        <v>#N/A</v>
      </c>
      <c r="H457" s="23" t="e">
        <f>VLOOKUP(E457,Customers[],4,FALSE)</f>
        <v>#N/A</v>
      </c>
      <c r="J457" s="29" t="e">
        <f>VLOOKUP(I457,PGStock[],2,FALSE)</f>
        <v>#N/A</v>
      </c>
      <c r="K457" s="30" t="e">
        <f>VLOOKUP(I457,PGStock[],3,FALSE)</f>
        <v>#N/A</v>
      </c>
      <c r="M457" s="31" t="e">
        <f>VLOOKUP(I457,PGStock[],6,FALSE)</f>
        <v>#N/A</v>
      </c>
      <c r="N457" s="31" t="e">
        <f>+Table8[[#This Row],[SalesBot]]*Table8[[#This Row],[Bonus]]</f>
        <v>#N/A</v>
      </c>
    </row>
    <row r="458" spans="1:14" ht="23.25" customHeight="1" x14ac:dyDescent="0.25">
      <c r="A458" s="26">
        <f t="shared" si="57"/>
        <v>1900</v>
      </c>
      <c r="B458" s="26">
        <f t="shared" si="58"/>
        <v>1</v>
      </c>
      <c r="C458" s="20"/>
      <c r="D458" s="21"/>
      <c r="F458" s="23" t="e">
        <f>VLOOKUP(E458,Customers[],2,FALSE)</f>
        <v>#N/A</v>
      </c>
      <c r="G458" s="23" t="e">
        <f>VLOOKUP(E458,Customers[],3,FALSE)</f>
        <v>#N/A</v>
      </c>
      <c r="H458" s="23" t="e">
        <f>VLOOKUP(E458,Customers[],4,FALSE)</f>
        <v>#N/A</v>
      </c>
      <c r="J458" s="29" t="e">
        <f>VLOOKUP(I458,PGStock[],2,FALSE)</f>
        <v>#N/A</v>
      </c>
      <c r="K458" s="30" t="e">
        <f>VLOOKUP(I458,PGStock[],3,FALSE)</f>
        <v>#N/A</v>
      </c>
      <c r="M458" s="31" t="e">
        <f>VLOOKUP(I458,PGStock[],6,FALSE)</f>
        <v>#N/A</v>
      </c>
      <c r="N458" s="31" t="e">
        <f>+Table8[[#This Row],[SalesBot]]*Table8[[#This Row],[Bonus]]</f>
        <v>#N/A</v>
      </c>
    </row>
    <row r="459" spans="1:14" ht="23.25" customHeight="1" x14ac:dyDescent="0.25">
      <c r="A459" s="26">
        <f t="shared" si="57"/>
        <v>1900</v>
      </c>
      <c r="B459" s="26">
        <f t="shared" si="58"/>
        <v>1</v>
      </c>
      <c r="C459" s="20"/>
      <c r="D459" s="21"/>
      <c r="F459" s="23" t="e">
        <f>VLOOKUP(E459,Customers[],2,FALSE)</f>
        <v>#N/A</v>
      </c>
      <c r="G459" s="23" t="e">
        <f>VLOOKUP(E459,Customers[],3,FALSE)</f>
        <v>#N/A</v>
      </c>
      <c r="H459" s="23" t="e">
        <f>VLOOKUP(E459,Customers[],4,FALSE)</f>
        <v>#N/A</v>
      </c>
      <c r="J459" s="29" t="e">
        <f>VLOOKUP(I459,PGStock[],2,FALSE)</f>
        <v>#N/A</v>
      </c>
      <c r="K459" s="30" t="e">
        <f>VLOOKUP(I459,PGStock[],3,FALSE)</f>
        <v>#N/A</v>
      </c>
      <c r="M459" s="31" t="e">
        <f>VLOOKUP(I459,PGStock[],6,FALSE)</f>
        <v>#N/A</v>
      </c>
      <c r="N459" s="31" t="e">
        <f>+Table8[[#This Row],[SalesBot]]*Table8[[#This Row],[Bonus]]</f>
        <v>#N/A</v>
      </c>
    </row>
    <row r="460" spans="1:14" ht="23.25" customHeight="1" x14ac:dyDescent="0.25">
      <c r="A460" s="26">
        <f t="shared" si="57"/>
        <v>1900</v>
      </c>
      <c r="B460" s="26">
        <f t="shared" si="58"/>
        <v>1</v>
      </c>
      <c r="C460" s="20"/>
      <c r="D460" s="21"/>
      <c r="F460" s="23" t="e">
        <f>VLOOKUP(E460,Customers[],2,FALSE)</f>
        <v>#N/A</v>
      </c>
      <c r="G460" s="23" t="e">
        <f>VLOOKUP(E460,Customers[],3,FALSE)</f>
        <v>#N/A</v>
      </c>
      <c r="H460" s="23" t="e">
        <f>VLOOKUP(E460,Customers[],4,FALSE)</f>
        <v>#N/A</v>
      </c>
      <c r="J460" s="29" t="e">
        <f>VLOOKUP(I460,PGStock[],2,FALSE)</f>
        <v>#N/A</v>
      </c>
      <c r="K460" s="30" t="e">
        <f>VLOOKUP(I460,PGStock[],3,FALSE)</f>
        <v>#N/A</v>
      </c>
      <c r="M460" s="31" t="e">
        <f>VLOOKUP(I460,PGStock[],6,FALSE)</f>
        <v>#N/A</v>
      </c>
      <c r="N460" s="31" t="e">
        <f>+Table8[[#This Row],[SalesBot]]*Table8[[#This Row],[Bonus]]</f>
        <v>#N/A</v>
      </c>
    </row>
    <row r="461" spans="1:14" ht="23.25" customHeight="1" x14ac:dyDescent="0.25">
      <c r="A461" s="26">
        <f t="shared" si="57"/>
        <v>1900</v>
      </c>
      <c r="B461" s="26">
        <f t="shared" si="58"/>
        <v>1</v>
      </c>
      <c r="C461" s="20"/>
      <c r="D461" s="21"/>
      <c r="F461" s="23" t="e">
        <f>VLOOKUP(E461,Customers[],2,FALSE)</f>
        <v>#N/A</v>
      </c>
      <c r="G461" s="23" t="e">
        <f>VLOOKUP(E461,Customers[],3,FALSE)</f>
        <v>#N/A</v>
      </c>
      <c r="H461" s="23" t="e">
        <f>VLOOKUP(E461,Customers[],4,FALSE)</f>
        <v>#N/A</v>
      </c>
      <c r="J461" s="29" t="e">
        <f>VLOOKUP(I461,PGStock[],2,FALSE)</f>
        <v>#N/A</v>
      </c>
      <c r="K461" s="30" t="e">
        <f>VLOOKUP(I461,PGStock[],3,FALSE)</f>
        <v>#N/A</v>
      </c>
      <c r="M461" s="31" t="e">
        <f>VLOOKUP(I461,PGStock[],6,FALSE)</f>
        <v>#N/A</v>
      </c>
      <c r="N461" s="31" t="e">
        <f>+Table8[[#This Row],[SalesBot]]*Table8[[#This Row],[Bonus]]</f>
        <v>#N/A</v>
      </c>
    </row>
    <row r="462" spans="1:14" ht="23.25" customHeight="1" x14ac:dyDescent="0.25">
      <c r="A462" s="26">
        <f t="shared" ref="A462:A476" si="59">YEAR(C462)</f>
        <v>1900</v>
      </c>
      <c r="B462" s="26">
        <f t="shared" ref="B462:B476" si="60">MONTH(C462)</f>
        <v>1</v>
      </c>
      <c r="C462" s="20"/>
      <c r="D462" s="21"/>
      <c r="F462" s="23" t="e">
        <f>VLOOKUP(E462,Customers[],2,FALSE)</f>
        <v>#N/A</v>
      </c>
      <c r="G462" s="23" t="e">
        <f>VLOOKUP(E462,Customers[],3,FALSE)</f>
        <v>#N/A</v>
      </c>
      <c r="H462" s="23" t="e">
        <f>VLOOKUP(E462,Customers[],4,FALSE)</f>
        <v>#N/A</v>
      </c>
      <c r="J462" s="29" t="e">
        <f>VLOOKUP(I462,PGStock[],2,FALSE)</f>
        <v>#N/A</v>
      </c>
      <c r="K462" s="30" t="e">
        <f>VLOOKUP(I462,PGStock[],3,FALSE)</f>
        <v>#N/A</v>
      </c>
      <c r="M462" s="31" t="e">
        <f>VLOOKUP(I462,PGStock[],6,FALSE)</f>
        <v>#N/A</v>
      </c>
      <c r="N462" s="31" t="e">
        <f>+Table8[[#This Row],[SalesBot]]*Table8[[#This Row],[Bonus]]</f>
        <v>#N/A</v>
      </c>
    </row>
    <row r="463" spans="1:14" ht="23.25" customHeight="1" x14ac:dyDescent="0.25">
      <c r="A463" s="26">
        <f t="shared" si="59"/>
        <v>1900</v>
      </c>
      <c r="B463" s="26">
        <f t="shared" si="60"/>
        <v>1</v>
      </c>
      <c r="C463" s="20"/>
      <c r="D463" s="21"/>
      <c r="F463" s="23" t="e">
        <f>VLOOKUP(E463,Customers[],2,FALSE)</f>
        <v>#N/A</v>
      </c>
      <c r="G463" s="23" t="e">
        <f>VLOOKUP(E463,Customers[],3,FALSE)</f>
        <v>#N/A</v>
      </c>
      <c r="H463" s="23" t="e">
        <f>VLOOKUP(E463,Customers[],4,FALSE)</f>
        <v>#N/A</v>
      </c>
      <c r="J463" s="29" t="e">
        <f>VLOOKUP(I463,PGStock[],2,FALSE)</f>
        <v>#N/A</v>
      </c>
      <c r="K463" s="30" t="e">
        <f>VLOOKUP(I463,PGStock[],3,FALSE)</f>
        <v>#N/A</v>
      </c>
      <c r="M463" s="31" t="e">
        <f>VLOOKUP(I463,PGStock[],6,FALSE)</f>
        <v>#N/A</v>
      </c>
      <c r="N463" s="31" t="e">
        <f>+Table8[[#This Row],[SalesBot]]*Table8[[#This Row],[Bonus]]</f>
        <v>#N/A</v>
      </c>
    </row>
    <row r="464" spans="1:14" ht="23.25" customHeight="1" x14ac:dyDescent="0.25">
      <c r="A464" s="26">
        <f t="shared" si="59"/>
        <v>1900</v>
      </c>
      <c r="B464" s="26">
        <f t="shared" si="60"/>
        <v>1</v>
      </c>
      <c r="C464" s="20"/>
      <c r="D464" s="21"/>
      <c r="F464" s="23" t="e">
        <f>VLOOKUP(E464,Customers[],2,FALSE)</f>
        <v>#N/A</v>
      </c>
      <c r="G464" s="23" t="e">
        <f>VLOOKUP(E464,Customers[],3,FALSE)</f>
        <v>#N/A</v>
      </c>
      <c r="H464" s="23" t="e">
        <f>VLOOKUP(E464,Customers[],4,FALSE)</f>
        <v>#N/A</v>
      </c>
      <c r="J464" s="29" t="e">
        <f>VLOOKUP(I464,PGStock[],2,FALSE)</f>
        <v>#N/A</v>
      </c>
      <c r="K464" s="30" t="e">
        <f>VLOOKUP(I464,PGStock[],3,FALSE)</f>
        <v>#N/A</v>
      </c>
      <c r="M464" s="31" t="e">
        <f>VLOOKUP(I464,PGStock[],6,FALSE)</f>
        <v>#N/A</v>
      </c>
      <c r="N464" s="31" t="e">
        <f>+Table8[[#This Row],[SalesBot]]*Table8[[#This Row],[Bonus]]</f>
        <v>#N/A</v>
      </c>
    </row>
    <row r="465" spans="1:14" ht="23.25" customHeight="1" x14ac:dyDescent="0.25">
      <c r="A465" s="26">
        <f t="shared" si="59"/>
        <v>1900</v>
      </c>
      <c r="B465" s="26">
        <f t="shared" si="60"/>
        <v>1</v>
      </c>
      <c r="C465" s="20"/>
      <c r="D465" s="21"/>
      <c r="F465" s="23" t="e">
        <f>VLOOKUP(E465,Customers[],2,FALSE)</f>
        <v>#N/A</v>
      </c>
      <c r="G465" s="23" t="e">
        <f>VLOOKUP(E465,Customers[],3,FALSE)</f>
        <v>#N/A</v>
      </c>
      <c r="H465" s="23" t="e">
        <f>VLOOKUP(E465,Customers[],4,FALSE)</f>
        <v>#N/A</v>
      </c>
      <c r="J465" s="29" t="e">
        <f>VLOOKUP(I465,PGStock[],2,FALSE)</f>
        <v>#N/A</v>
      </c>
      <c r="K465" s="30" t="e">
        <f>VLOOKUP(I465,PGStock[],3,FALSE)</f>
        <v>#N/A</v>
      </c>
      <c r="M465" s="31" t="e">
        <f>VLOOKUP(I465,PGStock[],6,FALSE)</f>
        <v>#N/A</v>
      </c>
      <c r="N465" s="31" t="e">
        <f>+Table8[[#This Row],[SalesBot]]*Table8[[#This Row],[Bonus]]</f>
        <v>#N/A</v>
      </c>
    </row>
    <row r="466" spans="1:14" ht="23.25" customHeight="1" x14ac:dyDescent="0.25">
      <c r="A466" s="26">
        <f t="shared" si="59"/>
        <v>1900</v>
      </c>
      <c r="B466" s="26">
        <f t="shared" si="60"/>
        <v>1</v>
      </c>
      <c r="C466" s="20"/>
      <c r="D466" s="21"/>
      <c r="F466" s="23" t="e">
        <f>VLOOKUP(E466,Customers[],2,FALSE)</f>
        <v>#N/A</v>
      </c>
      <c r="G466" s="23" t="e">
        <f>VLOOKUP(E466,Customers[],3,FALSE)</f>
        <v>#N/A</v>
      </c>
      <c r="H466" s="23" t="e">
        <f>VLOOKUP(E466,Customers[],4,FALSE)</f>
        <v>#N/A</v>
      </c>
      <c r="J466" s="29" t="e">
        <f>VLOOKUP(I466,PGStock[],2,FALSE)</f>
        <v>#N/A</v>
      </c>
      <c r="K466" s="30" t="e">
        <f>VLOOKUP(I466,PGStock[],3,FALSE)</f>
        <v>#N/A</v>
      </c>
      <c r="M466" s="31" t="e">
        <f>VLOOKUP(I466,PGStock[],6,FALSE)</f>
        <v>#N/A</v>
      </c>
      <c r="N466" s="31" t="e">
        <f>+Table8[[#This Row],[SalesBot]]*Table8[[#This Row],[Bonus]]</f>
        <v>#N/A</v>
      </c>
    </row>
    <row r="467" spans="1:14" ht="23.25" customHeight="1" x14ac:dyDescent="0.25">
      <c r="A467" s="26">
        <f t="shared" si="59"/>
        <v>1900</v>
      </c>
      <c r="B467" s="26">
        <f t="shared" si="60"/>
        <v>1</v>
      </c>
      <c r="C467" s="20"/>
      <c r="D467" s="21"/>
      <c r="F467" s="23" t="e">
        <f>VLOOKUP(E467,Customers[],2,FALSE)</f>
        <v>#N/A</v>
      </c>
      <c r="G467" s="23" t="e">
        <f>VLOOKUP(E467,Customers[],3,FALSE)</f>
        <v>#N/A</v>
      </c>
      <c r="H467" s="23" t="e">
        <f>VLOOKUP(E467,Customers[],4,FALSE)</f>
        <v>#N/A</v>
      </c>
      <c r="J467" s="29" t="e">
        <f>VLOOKUP(I467,PGStock[],2,FALSE)</f>
        <v>#N/A</v>
      </c>
      <c r="K467" s="30" t="e">
        <f>VLOOKUP(I467,PGStock[],3,FALSE)</f>
        <v>#N/A</v>
      </c>
      <c r="M467" s="31" t="e">
        <f>VLOOKUP(I467,PGStock[],6,FALSE)</f>
        <v>#N/A</v>
      </c>
      <c r="N467" s="31" t="e">
        <f>+Table8[[#This Row],[SalesBot]]*Table8[[#This Row],[Bonus]]</f>
        <v>#N/A</v>
      </c>
    </row>
    <row r="468" spans="1:14" ht="23.25" customHeight="1" x14ac:dyDescent="0.25">
      <c r="A468" s="26">
        <f t="shared" si="59"/>
        <v>1900</v>
      </c>
      <c r="B468" s="26">
        <f t="shared" si="60"/>
        <v>1</v>
      </c>
      <c r="C468" s="20"/>
      <c r="D468" s="21"/>
      <c r="F468" s="23" t="e">
        <f>VLOOKUP(E468,Customers[],2,FALSE)</f>
        <v>#N/A</v>
      </c>
      <c r="G468" s="23" t="e">
        <f>VLOOKUP(E468,Customers[],3,FALSE)</f>
        <v>#N/A</v>
      </c>
      <c r="H468" s="23" t="e">
        <f>VLOOKUP(E468,Customers[],4,FALSE)</f>
        <v>#N/A</v>
      </c>
      <c r="J468" s="29" t="e">
        <f>VLOOKUP(I468,PGStock[],2,FALSE)</f>
        <v>#N/A</v>
      </c>
      <c r="K468" s="30" t="e">
        <f>VLOOKUP(I468,PGStock[],3,FALSE)</f>
        <v>#N/A</v>
      </c>
      <c r="M468" s="31" t="e">
        <f>VLOOKUP(I468,PGStock[],6,FALSE)</f>
        <v>#N/A</v>
      </c>
      <c r="N468" s="31" t="e">
        <f>+Table8[[#This Row],[SalesBot]]*Table8[[#This Row],[Bonus]]</f>
        <v>#N/A</v>
      </c>
    </row>
    <row r="469" spans="1:14" ht="23.25" customHeight="1" x14ac:dyDescent="0.25">
      <c r="A469" s="26">
        <f t="shared" si="59"/>
        <v>1900</v>
      </c>
      <c r="B469" s="26">
        <f t="shared" si="60"/>
        <v>1</v>
      </c>
      <c r="C469" s="20"/>
      <c r="D469" s="21"/>
      <c r="F469" s="23" t="e">
        <f>VLOOKUP(E469,Customers[],2,FALSE)</f>
        <v>#N/A</v>
      </c>
      <c r="G469" s="23" t="e">
        <f>VLOOKUP(E469,Customers[],3,FALSE)</f>
        <v>#N/A</v>
      </c>
      <c r="H469" s="23" t="e">
        <f>VLOOKUP(E469,Customers[],4,FALSE)</f>
        <v>#N/A</v>
      </c>
      <c r="J469" s="29" t="e">
        <f>VLOOKUP(I469,PGStock[],2,FALSE)</f>
        <v>#N/A</v>
      </c>
      <c r="K469" s="30" t="e">
        <f>VLOOKUP(I469,PGStock[],3,FALSE)</f>
        <v>#N/A</v>
      </c>
      <c r="M469" s="31" t="e">
        <f>VLOOKUP(I469,PGStock[],6,FALSE)</f>
        <v>#N/A</v>
      </c>
      <c r="N469" s="31" t="e">
        <f>+Table8[[#This Row],[SalesBot]]*Table8[[#This Row],[Bonus]]</f>
        <v>#N/A</v>
      </c>
    </row>
    <row r="470" spans="1:14" ht="23.25" customHeight="1" x14ac:dyDescent="0.25">
      <c r="A470" s="26">
        <f t="shared" si="59"/>
        <v>1900</v>
      </c>
      <c r="B470" s="26">
        <f t="shared" si="60"/>
        <v>1</v>
      </c>
      <c r="C470" s="20"/>
      <c r="D470" s="21"/>
      <c r="F470" s="23" t="e">
        <f>VLOOKUP(E470,Customers[],2,FALSE)</f>
        <v>#N/A</v>
      </c>
      <c r="G470" s="23" t="e">
        <f>VLOOKUP(E470,Customers[],3,FALSE)</f>
        <v>#N/A</v>
      </c>
      <c r="H470" s="23" t="e">
        <f>VLOOKUP(E470,Customers[],4,FALSE)</f>
        <v>#N/A</v>
      </c>
      <c r="J470" s="29" t="e">
        <f>VLOOKUP(I470,PGStock[],2,FALSE)</f>
        <v>#N/A</v>
      </c>
      <c r="K470" s="30" t="e">
        <f>VLOOKUP(I470,PGStock[],3,FALSE)</f>
        <v>#N/A</v>
      </c>
      <c r="M470" s="31" t="e">
        <f>VLOOKUP(I470,PGStock[],6,FALSE)</f>
        <v>#N/A</v>
      </c>
      <c r="N470" s="31" t="e">
        <f>+Table8[[#This Row],[SalesBot]]*Table8[[#This Row],[Bonus]]</f>
        <v>#N/A</v>
      </c>
    </row>
    <row r="471" spans="1:14" ht="23.25" customHeight="1" x14ac:dyDescent="0.25">
      <c r="A471" s="26">
        <f t="shared" si="59"/>
        <v>1900</v>
      </c>
      <c r="B471" s="26">
        <f t="shared" si="60"/>
        <v>1</v>
      </c>
      <c r="C471" s="20"/>
      <c r="D471" s="21"/>
      <c r="F471" s="23" t="e">
        <f>VLOOKUP(E471,Customers[],2,FALSE)</f>
        <v>#N/A</v>
      </c>
      <c r="G471" s="23" t="e">
        <f>VLOOKUP(E471,Customers[],3,FALSE)</f>
        <v>#N/A</v>
      </c>
      <c r="H471" s="23" t="e">
        <f>VLOOKUP(E471,Customers[],4,FALSE)</f>
        <v>#N/A</v>
      </c>
      <c r="J471" s="29" t="e">
        <f>VLOOKUP(I471,PGStock[],2,FALSE)</f>
        <v>#N/A</v>
      </c>
      <c r="K471" s="30" t="e">
        <f>VLOOKUP(I471,PGStock[],3,FALSE)</f>
        <v>#N/A</v>
      </c>
      <c r="M471" s="31" t="e">
        <f>VLOOKUP(I471,PGStock[],6,FALSE)</f>
        <v>#N/A</v>
      </c>
      <c r="N471" s="31" t="e">
        <f>+Table8[[#This Row],[SalesBot]]*Table8[[#This Row],[Bonus]]</f>
        <v>#N/A</v>
      </c>
    </row>
    <row r="472" spans="1:14" ht="23.25" customHeight="1" x14ac:dyDescent="0.25">
      <c r="A472" s="26">
        <f t="shared" si="59"/>
        <v>1900</v>
      </c>
      <c r="B472" s="26">
        <f t="shared" si="60"/>
        <v>1</v>
      </c>
      <c r="C472" s="20"/>
      <c r="D472" s="21"/>
      <c r="F472" s="23" t="e">
        <f>VLOOKUP(E472,Customers[],2,FALSE)</f>
        <v>#N/A</v>
      </c>
      <c r="G472" s="23" t="e">
        <f>VLOOKUP(E472,Customers[],3,FALSE)</f>
        <v>#N/A</v>
      </c>
      <c r="H472" s="23" t="e">
        <f>VLOOKUP(E472,Customers[],4,FALSE)</f>
        <v>#N/A</v>
      </c>
      <c r="J472" s="29" t="e">
        <f>VLOOKUP(I472,PGStock[],2,FALSE)</f>
        <v>#N/A</v>
      </c>
      <c r="K472" s="30" t="e">
        <f>VLOOKUP(I472,PGStock[],3,FALSE)</f>
        <v>#N/A</v>
      </c>
      <c r="M472" s="31" t="e">
        <f>VLOOKUP(I472,PGStock[],6,FALSE)</f>
        <v>#N/A</v>
      </c>
      <c r="N472" s="31" t="e">
        <f>+Table8[[#This Row],[SalesBot]]*Table8[[#This Row],[Bonus]]</f>
        <v>#N/A</v>
      </c>
    </row>
    <row r="473" spans="1:14" ht="23.25" customHeight="1" x14ac:dyDescent="0.25">
      <c r="A473" s="26">
        <f t="shared" si="59"/>
        <v>1900</v>
      </c>
      <c r="B473" s="26">
        <f t="shared" si="60"/>
        <v>1</v>
      </c>
      <c r="C473" s="20"/>
      <c r="D473" s="21"/>
      <c r="F473" s="23" t="e">
        <f>VLOOKUP(E473,Customers[],2,FALSE)</f>
        <v>#N/A</v>
      </c>
      <c r="G473" s="23" t="e">
        <f>VLOOKUP(E473,Customers[],3,FALSE)</f>
        <v>#N/A</v>
      </c>
      <c r="H473" s="23" t="e">
        <f>VLOOKUP(E473,Customers[],4,FALSE)</f>
        <v>#N/A</v>
      </c>
      <c r="J473" s="29" t="e">
        <f>VLOOKUP(I473,PGStock[],2,FALSE)</f>
        <v>#N/A</v>
      </c>
      <c r="K473" s="30" t="e">
        <f>VLOOKUP(I473,PGStock[],3,FALSE)</f>
        <v>#N/A</v>
      </c>
      <c r="M473" s="31" t="e">
        <f>VLOOKUP(I473,PGStock[],6,FALSE)</f>
        <v>#N/A</v>
      </c>
      <c r="N473" s="31" t="e">
        <f>+Table8[[#This Row],[SalesBot]]*Table8[[#This Row],[Bonus]]</f>
        <v>#N/A</v>
      </c>
    </row>
    <row r="474" spans="1:14" ht="23.25" customHeight="1" x14ac:dyDescent="0.25">
      <c r="A474" s="26">
        <f t="shared" si="59"/>
        <v>1900</v>
      </c>
      <c r="B474" s="26">
        <f t="shared" si="60"/>
        <v>1</v>
      </c>
      <c r="C474" s="20"/>
      <c r="D474" s="21"/>
      <c r="F474" s="23" t="e">
        <f>VLOOKUP(E474,Customers[],2,FALSE)</f>
        <v>#N/A</v>
      </c>
      <c r="G474" s="23" t="e">
        <f>VLOOKUP(E474,Customers[],3,FALSE)</f>
        <v>#N/A</v>
      </c>
      <c r="H474" s="23" t="e">
        <f>VLOOKUP(E474,Customers[],4,FALSE)</f>
        <v>#N/A</v>
      </c>
      <c r="J474" s="29" t="e">
        <f>VLOOKUP(I474,PGStock[],2,FALSE)</f>
        <v>#N/A</v>
      </c>
      <c r="K474" s="30" t="e">
        <f>VLOOKUP(I474,PGStock[],3,FALSE)</f>
        <v>#N/A</v>
      </c>
      <c r="M474" s="31" t="e">
        <f>VLOOKUP(I474,PGStock[],6,FALSE)</f>
        <v>#N/A</v>
      </c>
      <c r="N474" s="31" t="e">
        <f>+Table8[[#This Row],[SalesBot]]*Table8[[#This Row],[Bonus]]</f>
        <v>#N/A</v>
      </c>
    </row>
    <row r="475" spans="1:14" ht="23.25" customHeight="1" x14ac:dyDescent="0.25">
      <c r="A475" s="26">
        <f t="shared" si="59"/>
        <v>1900</v>
      </c>
      <c r="B475" s="26">
        <f t="shared" si="60"/>
        <v>1</v>
      </c>
      <c r="C475" s="20"/>
      <c r="D475" s="21"/>
      <c r="F475" s="23" t="e">
        <f>VLOOKUP(E475,Customers[],2,FALSE)</f>
        <v>#N/A</v>
      </c>
      <c r="G475" s="23" t="e">
        <f>VLOOKUP(E475,Customers[],3,FALSE)</f>
        <v>#N/A</v>
      </c>
      <c r="H475" s="23" t="e">
        <f>VLOOKUP(E475,Customers[],4,FALSE)</f>
        <v>#N/A</v>
      </c>
      <c r="J475" s="29" t="e">
        <f>VLOOKUP(I475,PGStock[],2,FALSE)</f>
        <v>#N/A</v>
      </c>
      <c r="K475" s="30" t="e">
        <f>VLOOKUP(I475,PGStock[],3,FALSE)</f>
        <v>#N/A</v>
      </c>
      <c r="M475" s="31" t="e">
        <f>VLOOKUP(I475,PGStock[],6,FALSE)</f>
        <v>#N/A</v>
      </c>
      <c r="N475" s="31" t="e">
        <f>+Table8[[#This Row],[SalesBot]]*Table8[[#This Row],[Bonus]]</f>
        <v>#N/A</v>
      </c>
    </row>
    <row r="476" spans="1:14" ht="23.25" customHeight="1" x14ac:dyDescent="0.25">
      <c r="A476" s="26">
        <f t="shared" si="59"/>
        <v>1900</v>
      </c>
      <c r="B476" s="26">
        <f t="shared" si="60"/>
        <v>1</v>
      </c>
      <c r="C476" s="20"/>
      <c r="D476" s="21"/>
      <c r="F476" s="23" t="e">
        <f>VLOOKUP(E476,Customers[],2,FALSE)</f>
        <v>#N/A</v>
      </c>
      <c r="G476" s="23" t="e">
        <f>VLOOKUP(E476,Customers[],3,FALSE)</f>
        <v>#N/A</v>
      </c>
      <c r="H476" s="23" t="e">
        <f>VLOOKUP(E476,Customers[],4,FALSE)</f>
        <v>#N/A</v>
      </c>
      <c r="J476" s="29" t="e">
        <f>VLOOKUP(I476,PGStock[],2,FALSE)</f>
        <v>#N/A</v>
      </c>
      <c r="K476" s="30" t="e">
        <f>VLOOKUP(I476,PGStock[],3,FALSE)</f>
        <v>#N/A</v>
      </c>
      <c r="M476" s="31" t="e">
        <f>VLOOKUP(I476,PGStock[],6,FALSE)</f>
        <v>#N/A</v>
      </c>
      <c r="N476" s="31" t="e">
        <f>+Table8[[#This Row],[SalesBot]]*Table8[[#This Row],[Bonus]]</f>
        <v>#N/A</v>
      </c>
    </row>
    <row r="477" spans="1:14" ht="23.25" customHeight="1" x14ac:dyDescent="0.25">
      <c r="A477" s="26">
        <f t="shared" si="21"/>
        <v>1900</v>
      </c>
      <c r="B477" s="26">
        <f t="shared" si="22"/>
        <v>1</v>
      </c>
      <c r="C477" s="20"/>
      <c r="D477" s="21"/>
      <c r="F477" s="23" t="e">
        <f>VLOOKUP(E477,Customers[],2,FALSE)</f>
        <v>#N/A</v>
      </c>
      <c r="G477" s="23" t="e">
        <f>VLOOKUP(E477,Customers[],3,FALSE)</f>
        <v>#N/A</v>
      </c>
      <c r="H477" s="23" t="e">
        <f>VLOOKUP(E477,Customers[],4,FALSE)</f>
        <v>#N/A</v>
      </c>
      <c r="J477" s="29" t="e">
        <f>VLOOKUP(I477,PGStock[],2,FALSE)</f>
        <v>#N/A</v>
      </c>
      <c r="K477" s="30" t="e">
        <f>VLOOKUP(I477,PGStock[],3,FALSE)</f>
        <v>#N/A</v>
      </c>
      <c r="M477" s="31" t="e">
        <f>VLOOKUP(I477,PGStock[],6,FALSE)</f>
        <v>#N/A</v>
      </c>
      <c r="N477" s="31" t="e">
        <f>+Table8[[#This Row],[SalesBot]]*Table8[[#This Row],[Bonus]]</f>
        <v>#N/A</v>
      </c>
    </row>
    <row r="478" spans="1:14" ht="23.25" customHeight="1" x14ac:dyDescent="0.25">
      <c r="A478" s="26">
        <f t="shared" ref="A478:A497" si="61">YEAR(C478)</f>
        <v>1900</v>
      </c>
      <c r="B478" s="26">
        <f t="shared" ref="B478:B497" si="62">MONTH(C478)</f>
        <v>1</v>
      </c>
      <c r="C478" s="20"/>
      <c r="D478" s="21"/>
      <c r="F478" s="23" t="e">
        <f>VLOOKUP(E478,Customers[],2,FALSE)</f>
        <v>#N/A</v>
      </c>
      <c r="G478" s="23" t="e">
        <f>VLOOKUP(E478,Customers[],3,FALSE)</f>
        <v>#N/A</v>
      </c>
      <c r="H478" s="23" t="e">
        <f>VLOOKUP(E478,Customers[],4,FALSE)</f>
        <v>#N/A</v>
      </c>
      <c r="J478" s="29" t="e">
        <f>VLOOKUP(I478,PGStock[],2,FALSE)</f>
        <v>#N/A</v>
      </c>
      <c r="K478" s="30" t="e">
        <f>VLOOKUP(I478,PGStock[],3,FALSE)</f>
        <v>#N/A</v>
      </c>
      <c r="M478" s="31" t="e">
        <f>VLOOKUP(I478,PGStock[],6,FALSE)</f>
        <v>#N/A</v>
      </c>
      <c r="N478" s="31" t="e">
        <f>+Table8[[#This Row],[SalesBot]]*Table8[[#This Row],[Bonus]]</f>
        <v>#N/A</v>
      </c>
    </row>
    <row r="479" spans="1:14" ht="23.25" customHeight="1" x14ac:dyDescent="0.25">
      <c r="A479" s="26">
        <f t="shared" si="61"/>
        <v>1900</v>
      </c>
      <c r="B479" s="26">
        <f t="shared" si="62"/>
        <v>1</v>
      </c>
      <c r="C479" s="20"/>
      <c r="D479" s="21"/>
      <c r="F479" s="23" t="e">
        <f>VLOOKUP(E479,Customers[],2,FALSE)</f>
        <v>#N/A</v>
      </c>
      <c r="G479" s="23" t="e">
        <f>VLOOKUP(E479,Customers[],3,FALSE)</f>
        <v>#N/A</v>
      </c>
      <c r="H479" s="23" t="e">
        <f>VLOOKUP(E479,Customers[],4,FALSE)</f>
        <v>#N/A</v>
      </c>
      <c r="J479" s="29" t="e">
        <f>VLOOKUP(I479,PGStock[],2,FALSE)</f>
        <v>#N/A</v>
      </c>
      <c r="K479" s="30" t="e">
        <f>VLOOKUP(I479,PGStock[],3,FALSE)</f>
        <v>#N/A</v>
      </c>
      <c r="M479" s="31" t="e">
        <f>VLOOKUP(I479,PGStock[],6,FALSE)</f>
        <v>#N/A</v>
      </c>
      <c r="N479" s="31" t="e">
        <f>+Table8[[#This Row],[SalesBot]]*Table8[[#This Row],[Bonus]]</f>
        <v>#N/A</v>
      </c>
    </row>
    <row r="480" spans="1:14" ht="23.25" customHeight="1" x14ac:dyDescent="0.25">
      <c r="A480" s="26">
        <f t="shared" si="61"/>
        <v>1900</v>
      </c>
      <c r="B480" s="26">
        <f t="shared" si="62"/>
        <v>1</v>
      </c>
      <c r="C480" s="20"/>
      <c r="D480" s="21"/>
      <c r="F480" s="23" t="e">
        <f>VLOOKUP(E480,Customers[],2,FALSE)</f>
        <v>#N/A</v>
      </c>
      <c r="G480" s="23" t="e">
        <f>VLOOKUP(E480,Customers[],3,FALSE)</f>
        <v>#N/A</v>
      </c>
      <c r="H480" s="23" t="e">
        <f>VLOOKUP(E480,Customers[],4,FALSE)</f>
        <v>#N/A</v>
      </c>
      <c r="J480" s="29" t="e">
        <f>VLOOKUP(I480,PGStock[],2,FALSE)</f>
        <v>#N/A</v>
      </c>
      <c r="K480" s="30" t="e">
        <f>VLOOKUP(I480,PGStock[],3,FALSE)</f>
        <v>#N/A</v>
      </c>
      <c r="M480" s="31" t="e">
        <f>VLOOKUP(I480,PGStock[],6,FALSE)</f>
        <v>#N/A</v>
      </c>
      <c r="N480" s="31" t="e">
        <f>+Table8[[#This Row],[SalesBot]]*Table8[[#This Row],[Bonus]]</f>
        <v>#N/A</v>
      </c>
    </row>
    <row r="481" spans="1:14" ht="23.25" customHeight="1" x14ac:dyDescent="0.25">
      <c r="A481" s="26">
        <f t="shared" si="61"/>
        <v>1900</v>
      </c>
      <c r="B481" s="26">
        <f t="shared" si="62"/>
        <v>1</v>
      </c>
      <c r="C481" s="20"/>
      <c r="D481" s="21"/>
      <c r="F481" s="23" t="e">
        <f>VLOOKUP(E481,Customers[],2,FALSE)</f>
        <v>#N/A</v>
      </c>
      <c r="G481" s="23" t="e">
        <f>VLOOKUP(E481,Customers[],3,FALSE)</f>
        <v>#N/A</v>
      </c>
      <c r="H481" s="23" t="e">
        <f>VLOOKUP(E481,Customers[],4,FALSE)</f>
        <v>#N/A</v>
      </c>
      <c r="J481" s="29" t="e">
        <f>VLOOKUP(I481,PGStock[],2,FALSE)</f>
        <v>#N/A</v>
      </c>
      <c r="K481" s="30" t="e">
        <f>VLOOKUP(I481,PGStock[],3,FALSE)</f>
        <v>#N/A</v>
      </c>
      <c r="M481" s="31" t="e">
        <f>VLOOKUP(I481,PGStock[],6,FALSE)</f>
        <v>#N/A</v>
      </c>
      <c r="N481" s="31" t="e">
        <f>+Table8[[#This Row],[SalesBot]]*Table8[[#This Row],[Bonus]]</f>
        <v>#N/A</v>
      </c>
    </row>
    <row r="482" spans="1:14" ht="23.25" customHeight="1" x14ac:dyDescent="0.25">
      <c r="A482" s="26">
        <f t="shared" si="61"/>
        <v>1900</v>
      </c>
      <c r="B482" s="26">
        <f t="shared" si="62"/>
        <v>1</v>
      </c>
      <c r="C482" s="20"/>
      <c r="D482" s="21"/>
      <c r="F482" s="23" t="e">
        <f>VLOOKUP(E482,Customers[],2,FALSE)</f>
        <v>#N/A</v>
      </c>
      <c r="G482" s="23" t="e">
        <f>VLOOKUP(E482,Customers[],3,FALSE)</f>
        <v>#N/A</v>
      </c>
      <c r="H482" s="23" t="e">
        <f>VLOOKUP(E482,Customers[],4,FALSE)</f>
        <v>#N/A</v>
      </c>
      <c r="J482" s="29" t="e">
        <f>VLOOKUP(I482,PGStock[],2,FALSE)</f>
        <v>#N/A</v>
      </c>
      <c r="K482" s="30" t="e">
        <f>VLOOKUP(I482,PGStock[],3,FALSE)</f>
        <v>#N/A</v>
      </c>
      <c r="M482" s="31" t="e">
        <f>VLOOKUP(I482,PGStock[],6,FALSE)</f>
        <v>#N/A</v>
      </c>
      <c r="N482" s="31" t="e">
        <f>+Table8[[#This Row],[SalesBot]]*Table8[[#This Row],[Bonus]]</f>
        <v>#N/A</v>
      </c>
    </row>
    <row r="483" spans="1:14" ht="23.25" customHeight="1" x14ac:dyDescent="0.25">
      <c r="A483" s="26">
        <f t="shared" si="61"/>
        <v>1900</v>
      </c>
      <c r="B483" s="26">
        <f t="shared" si="62"/>
        <v>1</v>
      </c>
      <c r="C483" s="20"/>
      <c r="D483" s="21"/>
      <c r="F483" s="23" t="e">
        <f>VLOOKUP(E483,Customers[],2,FALSE)</f>
        <v>#N/A</v>
      </c>
      <c r="G483" s="23" t="e">
        <f>VLOOKUP(E483,Customers[],3,FALSE)</f>
        <v>#N/A</v>
      </c>
      <c r="H483" s="23" t="e">
        <f>VLOOKUP(E483,Customers[],4,FALSE)</f>
        <v>#N/A</v>
      </c>
      <c r="J483" s="29" t="e">
        <f>VLOOKUP(I483,PGStock[],2,FALSE)</f>
        <v>#N/A</v>
      </c>
      <c r="K483" s="30" t="e">
        <f>VLOOKUP(I483,PGStock[],3,FALSE)</f>
        <v>#N/A</v>
      </c>
      <c r="M483" s="31" t="e">
        <f>VLOOKUP(I483,PGStock[],6,FALSE)</f>
        <v>#N/A</v>
      </c>
      <c r="N483" s="31" t="e">
        <f>+Table8[[#This Row],[SalesBot]]*Table8[[#This Row],[Bonus]]</f>
        <v>#N/A</v>
      </c>
    </row>
    <row r="484" spans="1:14" ht="23.25" customHeight="1" x14ac:dyDescent="0.25">
      <c r="A484" s="26">
        <f t="shared" si="61"/>
        <v>1900</v>
      </c>
      <c r="B484" s="26">
        <f t="shared" si="62"/>
        <v>1</v>
      </c>
      <c r="C484" s="20"/>
      <c r="D484" s="21"/>
      <c r="F484" s="23" t="e">
        <f>VLOOKUP(E484,Customers[],2,FALSE)</f>
        <v>#N/A</v>
      </c>
      <c r="G484" s="23" t="e">
        <f>VLOOKUP(E484,Customers[],3,FALSE)</f>
        <v>#N/A</v>
      </c>
      <c r="H484" s="23" t="e">
        <f>VLOOKUP(E484,Customers[],4,FALSE)</f>
        <v>#N/A</v>
      </c>
      <c r="J484" s="29" t="e">
        <f>VLOOKUP(I484,PGStock[],2,FALSE)</f>
        <v>#N/A</v>
      </c>
      <c r="K484" s="30" t="e">
        <f>VLOOKUP(I484,PGStock[],3,FALSE)</f>
        <v>#N/A</v>
      </c>
      <c r="M484" s="31" t="e">
        <f>VLOOKUP(I484,PGStock[],6,FALSE)</f>
        <v>#N/A</v>
      </c>
      <c r="N484" s="31" t="e">
        <f>+Table8[[#This Row],[SalesBot]]*Table8[[#This Row],[Bonus]]</f>
        <v>#N/A</v>
      </c>
    </row>
    <row r="485" spans="1:14" ht="23.25" customHeight="1" x14ac:dyDescent="0.25">
      <c r="A485" s="26">
        <f t="shared" si="61"/>
        <v>1900</v>
      </c>
      <c r="B485" s="26">
        <f t="shared" si="62"/>
        <v>1</v>
      </c>
      <c r="C485" s="20"/>
      <c r="D485" s="21"/>
      <c r="F485" s="23" t="e">
        <f>VLOOKUP(E485,Customers[],2,FALSE)</f>
        <v>#N/A</v>
      </c>
      <c r="G485" s="23" t="e">
        <f>VLOOKUP(E485,Customers[],3,FALSE)</f>
        <v>#N/A</v>
      </c>
      <c r="H485" s="23" t="e">
        <f>VLOOKUP(E485,Customers[],4,FALSE)</f>
        <v>#N/A</v>
      </c>
      <c r="J485" s="29" t="e">
        <f>VLOOKUP(I485,PGStock[],2,FALSE)</f>
        <v>#N/A</v>
      </c>
      <c r="K485" s="30" t="e">
        <f>VLOOKUP(I485,PGStock[],3,FALSE)</f>
        <v>#N/A</v>
      </c>
      <c r="M485" s="31" t="e">
        <f>VLOOKUP(I485,PGStock[],6,FALSE)</f>
        <v>#N/A</v>
      </c>
      <c r="N485" s="31" t="e">
        <f>+Table8[[#This Row],[SalesBot]]*Table8[[#This Row],[Bonus]]</f>
        <v>#N/A</v>
      </c>
    </row>
    <row r="486" spans="1:14" ht="23.25" customHeight="1" x14ac:dyDescent="0.25">
      <c r="A486" s="26">
        <f t="shared" si="61"/>
        <v>1900</v>
      </c>
      <c r="B486" s="26">
        <f t="shared" si="62"/>
        <v>1</v>
      </c>
      <c r="C486" s="20"/>
      <c r="D486" s="21"/>
      <c r="F486" s="23" t="e">
        <f>VLOOKUP(E486,Customers[],2,FALSE)</f>
        <v>#N/A</v>
      </c>
      <c r="G486" s="23" t="e">
        <f>VLOOKUP(E486,Customers[],3,FALSE)</f>
        <v>#N/A</v>
      </c>
      <c r="H486" s="23" t="e">
        <f>VLOOKUP(E486,Customers[],4,FALSE)</f>
        <v>#N/A</v>
      </c>
      <c r="J486" s="29" t="e">
        <f>VLOOKUP(I486,PGStock[],2,FALSE)</f>
        <v>#N/A</v>
      </c>
      <c r="K486" s="30" t="e">
        <f>VLOOKUP(I486,PGStock[],3,FALSE)</f>
        <v>#N/A</v>
      </c>
      <c r="M486" s="31" t="e">
        <f>VLOOKUP(I486,PGStock[],6,FALSE)</f>
        <v>#N/A</v>
      </c>
      <c r="N486" s="31" t="e">
        <f>+Table8[[#This Row],[SalesBot]]*Table8[[#This Row],[Bonus]]</f>
        <v>#N/A</v>
      </c>
    </row>
    <row r="487" spans="1:14" ht="23.25" customHeight="1" x14ac:dyDescent="0.25">
      <c r="A487" s="26">
        <f t="shared" ref="A487:A496" si="63">YEAR(C487)</f>
        <v>1900</v>
      </c>
      <c r="B487" s="26">
        <f t="shared" ref="B487:B496" si="64">MONTH(C487)</f>
        <v>1</v>
      </c>
      <c r="C487" s="20"/>
      <c r="D487" s="21"/>
      <c r="F487" s="23" t="e">
        <f>VLOOKUP(E487,Customers[],2,FALSE)</f>
        <v>#N/A</v>
      </c>
      <c r="G487" s="23" t="e">
        <f>VLOOKUP(E487,Customers[],3,FALSE)</f>
        <v>#N/A</v>
      </c>
      <c r="H487" s="23" t="e">
        <f>VLOOKUP(E487,Customers[],4,FALSE)</f>
        <v>#N/A</v>
      </c>
      <c r="J487" s="29" t="e">
        <f>VLOOKUP(I487,PGStock[],2,FALSE)</f>
        <v>#N/A</v>
      </c>
      <c r="K487" s="30" t="e">
        <f>VLOOKUP(I487,PGStock[],3,FALSE)</f>
        <v>#N/A</v>
      </c>
      <c r="M487" s="31" t="e">
        <f>VLOOKUP(I487,PGStock[],6,FALSE)</f>
        <v>#N/A</v>
      </c>
      <c r="N487" s="31" t="e">
        <f>+Table8[[#This Row],[SalesBot]]*Table8[[#This Row],[Bonus]]</f>
        <v>#N/A</v>
      </c>
    </row>
    <row r="488" spans="1:14" ht="23.25" customHeight="1" x14ac:dyDescent="0.25">
      <c r="A488" s="26">
        <f t="shared" si="63"/>
        <v>1900</v>
      </c>
      <c r="B488" s="26">
        <f t="shared" si="64"/>
        <v>1</v>
      </c>
      <c r="C488" s="20"/>
      <c r="D488" s="21"/>
      <c r="F488" s="23" t="e">
        <f>VLOOKUP(E488,Customers[],2,FALSE)</f>
        <v>#N/A</v>
      </c>
      <c r="G488" s="23" t="e">
        <f>VLOOKUP(E488,Customers[],3,FALSE)</f>
        <v>#N/A</v>
      </c>
      <c r="H488" s="23" t="e">
        <f>VLOOKUP(E488,Customers[],4,FALSE)</f>
        <v>#N/A</v>
      </c>
      <c r="J488" s="29" t="e">
        <f>VLOOKUP(I488,PGStock[],2,FALSE)</f>
        <v>#N/A</v>
      </c>
      <c r="K488" s="30" t="e">
        <f>VLOOKUP(I488,PGStock[],3,FALSE)</f>
        <v>#N/A</v>
      </c>
      <c r="M488" s="31" t="e">
        <f>VLOOKUP(I488,PGStock[],6,FALSE)</f>
        <v>#N/A</v>
      </c>
      <c r="N488" s="31" t="e">
        <f>+Table8[[#This Row],[SalesBot]]*Table8[[#This Row],[Bonus]]</f>
        <v>#N/A</v>
      </c>
    </row>
    <row r="489" spans="1:14" ht="23.25" customHeight="1" x14ac:dyDescent="0.25">
      <c r="A489" s="26">
        <f t="shared" si="63"/>
        <v>1900</v>
      </c>
      <c r="B489" s="26">
        <f t="shared" si="64"/>
        <v>1</v>
      </c>
      <c r="C489" s="20"/>
      <c r="D489" s="21"/>
      <c r="F489" s="23" t="e">
        <f>VLOOKUP(E489,Customers[],2,FALSE)</f>
        <v>#N/A</v>
      </c>
      <c r="G489" s="23" t="e">
        <f>VLOOKUP(E489,Customers[],3,FALSE)</f>
        <v>#N/A</v>
      </c>
      <c r="H489" s="23" t="e">
        <f>VLOOKUP(E489,Customers[],4,FALSE)</f>
        <v>#N/A</v>
      </c>
      <c r="J489" s="29" t="e">
        <f>VLOOKUP(I489,PGStock[],2,FALSE)</f>
        <v>#N/A</v>
      </c>
      <c r="K489" s="30" t="e">
        <f>VLOOKUP(I489,PGStock[],3,FALSE)</f>
        <v>#N/A</v>
      </c>
      <c r="M489" s="31" t="e">
        <f>VLOOKUP(I489,PGStock[],6,FALSE)</f>
        <v>#N/A</v>
      </c>
      <c r="N489" s="31" t="e">
        <f>+Table8[[#This Row],[SalesBot]]*Table8[[#This Row],[Bonus]]</f>
        <v>#N/A</v>
      </c>
    </row>
    <row r="490" spans="1:14" ht="23.25" customHeight="1" x14ac:dyDescent="0.25">
      <c r="A490" s="26">
        <f t="shared" si="63"/>
        <v>1900</v>
      </c>
      <c r="B490" s="26">
        <f t="shared" si="64"/>
        <v>1</v>
      </c>
      <c r="C490" s="20"/>
      <c r="D490" s="21"/>
      <c r="F490" s="23" t="e">
        <f>VLOOKUP(E490,Customers[],2,FALSE)</f>
        <v>#N/A</v>
      </c>
      <c r="G490" s="23" t="e">
        <f>VLOOKUP(E490,Customers[],3,FALSE)</f>
        <v>#N/A</v>
      </c>
      <c r="H490" s="23" t="e">
        <f>VLOOKUP(E490,Customers[],4,FALSE)</f>
        <v>#N/A</v>
      </c>
      <c r="J490" s="29" t="e">
        <f>VLOOKUP(I490,PGStock[],2,FALSE)</f>
        <v>#N/A</v>
      </c>
      <c r="K490" s="30" t="e">
        <f>VLOOKUP(I490,PGStock[],3,FALSE)</f>
        <v>#N/A</v>
      </c>
      <c r="M490" s="31" t="e">
        <f>VLOOKUP(I490,PGStock[],6,FALSE)</f>
        <v>#N/A</v>
      </c>
      <c r="N490" s="31" t="e">
        <f>+Table8[[#This Row],[SalesBot]]*Table8[[#This Row],[Bonus]]</f>
        <v>#N/A</v>
      </c>
    </row>
    <row r="491" spans="1:14" ht="23.25" customHeight="1" x14ac:dyDescent="0.25">
      <c r="A491" s="26">
        <f t="shared" si="63"/>
        <v>1900</v>
      </c>
      <c r="B491" s="26">
        <f t="shared" si="64"/>
        <v>1</v>
      </c>
      <c r="C491" s="20"/>
      <c r="D491" s="21"/>
      <c r="F491" s="23" t="e">
        <f>VLOOKUP(E491,Customers[],2,FALSE)</f>
        <v>#N/A</v>
      </c>
      <c r="G491" s="23" t="e">
        <f>VLOOKUP(E491,Customers[],3,FALSE)</f>
        <v>#N/A</v>
      </c>
      <c r="H491" s="23" t="e">
        <f>VLOOKUP(E491,Customers[],4,FALSE)</f>
        <v>#N/A</v>
      </c>
      <c r="J491" s="29" t="e">
        <f>VLOOKUP(I491,PGStock[],2,FALSE)</f>
        <v>#N/A</v>
      </c>
      <c r="K491" s="30" t="e">
        <f>VLOOKUP(I491,PGStock[],3,FALSE)</f>
        <v>#N/A</v>
      </c>
      <c r="M491" s="31" t="e">
        <f>VLOOKUP(I491,PGStock[],6,FALSE)</f>
        <v>#N/A</v>
      </c>
      <c r="N491" s="31" t="e">
        <f>+Table8[[#This Row],[SalesBot]]*Table8[[#This Row],[Bonus]]</f>
        <v>#N/A</v>
      </c>
    </row>
    <row r="492" spans="1:14" ht="23.25" customHeight="1" x14ac:dyDescent="0.25">
      <c r="A492" s="26">
        <f t="shared" si="63"/>
        <v>1900</v>
      </c>
      <c r="B492" s="26">
        <f t="shared" si="64"/>
        <v>1</v>
      </c>
      <c r="C492" s="20"/>
      <c r="D492" s="21"/>
      <c r="F492" s="23" t="e">
        <f>VLOOKUP(E492,Customers[],2,FALSE)</f>
        <v>#N/A</v>
      </c>
      <c r="G492" s="23" t="e">
        <f>VLOOKUP(E492,Customers[],3,FALSE)</f>
        <v>#N/A</v>
      </c>
      <c r="H492" s="23" t="e">
        <f>VLOOKUP(E492,Customers[],4,FALSE)</f>
        <v>#N/A</v>
      </c>
      <c r="J492" s="29" t="e">
        <f>VLOOKUP(I492,PGStock[],2,FALSE)</f>
        <v>#N/A</v>
      </c>
      <c r="K492" s="30" t="e">
        <f>VLOOKUP(I492,PGStock[],3,FALSE)</f>
        <v>#N/A</v>
      </c>
      <c r="M492" s="31" t="e">
        <f>VLOOKUP(I492,PGStock[],6,FALSE)</f>
        <v>#N/A</v>
      </c>
      <c r="N492" s="31" t="e">
        <f>+Table8[[#This Row],[SalesBot]]*Table8[[#This Row],[Bonus]]</f>
        <v>#N/A</v>
      </c>
    </row>
    <row r="493" spans="1:14" ht="23.25" customHeight="1" x14ac:dyDescent="0.25">
      <c r="A493" s="26">
        <f t="shared" si="63"/>
        <v>1900</v>
      </c>
      <c r="B493" s="26">
        <f t="shared" si="64"/>
        <v>1</v>
      </c>
      <c r="C493" s="20"/>
      <c r="D493" s="21"/>
      <c r="F493" s="23" t="e">
        <f>VLOOKUP(E493,Customers[],2,FALSE)</f>
        <v>#N/A</v>
      </c>
      <c r="G493" s="23" t="e">
        <f>VLOOKUP(E493,Customers[],3,FALSE)</f>
        <v>#N/A</v>
      </c>
      <c r="H493" s="23" t="e">
        <f>VLOOKUP(E493,Customers[],4,FALSE)</f>
        <v>#N/A</v>
      </c>
      <c r="J493" s="29" t="e">
        <f>VLOOKUP(I493,PGStock[],2,FALSE)</f>
        <v>#N/A</v>
      </c>
      <c r="K493" s="30" t="e">
        <f>VLOOKUP(I493,PGStock[],3,FALSE)</f>
        <v>#N/A</v>
      </c>
      <c r="M493" s="31" t="e">
        <f>VLOOKUP(I493,PGStock[],6,FALSE)</f>
        <v>#N/A</v>
      </c>
      <c r="N493" s="31" t="e">
        <f>+Table8[[#This Row],[SalesBot]]*Table8[[#This Row],[Bonus]]</f>
        <v>#N/A</v>
      </c>
    </row>
    <row r="494" spans="1:14" ht="23.25" customHeight="1" x14ac:dyDescent="0.25">
      <c r="A494" s="26">
        <f t="shared" si="63"/>
        <v>1900</v>
      </c>
      <c r="B494" s="26">
        <f t="shared" si="64"/>
        <v>1</v>
      </c>
      <c r="C494" s="20"/>
      <c r="D494" s="21"/>
      <c r="F494" s="23" t="e">
        <f>VLOOKUP(E494,Customers[],2,FALSE)</f>
        <v>#N/A</v>
      </c>
      <c r="G494" s="23" t="e">
        <f>VLOOKUP(E494,Customers[],3,FALSE)</f>
        <v>#N/A</v>
      </c>
      <c r="H494" s="23" t="e">
        <f>VLOOKUP(E494,Customers[],4,FALSE)</f>
        <v>#N/A</v>
      </c>
      <c r="J494" s="29" t="e">
        <f>VLOOKUP(I494,PGStock[],2,FALSE)</f>
        <v>#N/A</v>
      </c>
      <c r="K494" s="30" t="e">
        <f>VLOOKUP(I494,PGStock[],3,FALSE)</f>
        <v>#N/A</v>
      </c>
      <c r="M494" s="31" t="e">
        <f>VLOOKUP(I494,PGStock[],6,FALSE)</f>
        <v>#N/A</v>
      </c>
      <c r="N494" s="31" t="e">
        <f>+Table8[[#This Row],[SalesBot]]*Table8[[#This Row],[Bonus]]</f>
        <v>#N/A</v>
      </c>
    </row>
    <row r="495" spans="1:14" ht="23.25" customHeight="1" x14ac:dyDescent="0.25">
      <c r="A495" s="26">
        <f t="shared" si="63"/>
        <v>1900</v>
      </c>
      <c r="B495" s="26">
        <f t="shared" si="64"/>
        <v>1</v>
      </c>
      <c r="C495" s="20"/>
      <c r="D495" s="21"/>
      <c r="F495" s="23" t="e">
        <f>VLOOKUP(E495,Customers[],2,FALSE)</f>
        <v>#N/A</v>
      </c>
      <c r="G495" s="23" t="e">
        <f>VLOOKUP(E495,Customers[],3,FALSE)</f>
        <v>#N/A</v>
      </c>
      <c r="H495" s="23" t="e">
        <f>VLOOKUP(E495,Customers[],4,FALSE)</f>
        <v>#N/A</v>
      </c>
      <c r="J495" s="29" t="e">
        <f>VLOOKUP(I495,PGStock[],2,FALSE)</f>
        <v>#N/A</v>
      </c>
      <c r="K495" s="30" t="e">
        <f>VLOOKUP(I495,PGStock[],3,FALSE)</f>
        <v>#N/A</v>
      </c>
      <c r="M495" s="31" t="e">
        <f>VLOOKUP(I495,PGStock[],6,FALSE)</f>
        <v>#N/A</v>
      </c>
      <c r="N495" s="31" t="e">
        <f>+Table8[[#This Row],[SalesBot]]*Table8[[#This Row],[Bonus]]</f>
        <v>#N/A</v>
      </c>
    </row>
    <row r="496" spans="1:14" ht="23.25" customHeight="1" x14ac:dyDescent="0.25">
      <c r="A496" s="26">
        <f t="shared" si="63"/>
        <v>1900</v>
      </c>
      <c r="B496" s="26">
        <f t="shared" si="64"/>
        <v>1</v>
      </c>
      <c r="C496" s="20"/>
      <c r="D496" s="21"/>
      <c r="F496" s="23" t="e">
        <f>VLOOKUP(E496,Customers[],2,FALSE)</f>
        <v>#N/A</v>
      </c>
      <c r="G496" s="23" t="e">
        <f>VLOOKUP(E496,Customers[],3,FALSE)</f>
        <v>#N/A</v>
      </c>
      <c r="H496" s="23" t="e">
        <f>VLOOKUP(E496,Customers[],4,FALSE)</f>
        <v>#N/A</v>
      </c>
      <c r="J496" s="29" t="e">
        <f>VLOOKUP(I496,PGStock[],2,FALSE)</f>
        <v>#N/A</v>
      </c>
      <c r="K496" s="30" t="e">
        <f>VLOOKUP(I496,PGStock[],3,FALSE)</f>
        <v>#N/A</v>
      </c>
      <c r="M496" s="31" t="e">
        <f>VLOOKUP(I496,PGStock[],6,FALSE)</f>
        <v>#N/A</v>
      </c>
      <c r="N496" s="31" t="e">
        <f>+Table8[[#This Row],[SalesBot]]*Table8[[#This Row],[Bonus]]</f>
        <v>#N/A</v>
      </c>
    </row>
    <row r="497" spans="1:14" ht="23.25" customHeight="1" x14ac:dyDescent="0.25">
      <c r="A497" s="26">
        <f t="shared" si="61"/>
        <v>1900</v>
      </c>
      <c r="B497" s="26">
        <f t="shared" si="62"/>
        <v>1</v>
      </c>
      <c r="C497" s="20"/>
      <c r="D497" s="21"/>
      <c r="F497" s="23" t="e">
        <f>VLOOKUP(E497,Customers[],2,FALSE)</f>
        <v>#N/A</v>
      </c>
      <c r="G497" s="23" t="e">
        <f>VLOOKUP(E497,Customers[],3,FALSE)</f>
        <v>#N/A</v>
      </c>
      <c r="H497" s="23" t="e">
        <f>VLOOKUP(E497,Customers[],4,FALSE)</f>
        <v>#N/A</v>
      </c>
      <c r="J497" s="29" t="e">
        <f>VLOOKUP(I497,PGStock[],2,FALSE)</f>
        <v>#N/A</v>
      </c>
      <c r="K497" s="30" t="e">
        <f>VLOOKUP(I497,PGStock[],3,FALSE)</f>
        <v>#N/A</v>
      </c>
      <c r="M497" s="31" t="e">
        <f>VLOOKUP(I497,PGStock[],6,FALSE)</f>
        <v>#N/A</v>
      </c>
      <c r="N497" s="31" t="e">
        <f>+Table8[[#This Row],[SalesBot]]*Table8[[#This Row],[Bonus]]</f>
        <v>#N/A</v>
      </c>
    </row>
    <row r="498" spans="1:14" ht="23.25" customHeight="1" x14ac:dyDescent="0.25">
      <c r="A498" s="26">
        <f t="shared" ref="A498:A527" si="65">YEAR(C498)</f>
        <v>1900</v>
      </c>
      <c r="B498" s="26">
        <f t="shared" ref="B498:B527" si="66">MONTH(C498)</f>
        <v>1</v>
      </c>
      <c r="C498" s="20"/>
      <c r="D498" s="21"/>
      <c r="F498" s="23" t="e">
        <f>VLOOKUP(E498,Customers[],2,FALSE)</f>
        <v>#N/A</v>
      </c>
      <c r="G498" s="23" t="e">
        <f>VLOOKUP(E498,Customers[],3,FALSE)</f>
        <v>#N/A</v>
      </c>
      <c r="H498" s="23" t="e">
        <f>VLOOKUP(E498,Customers[],4,FALSE)</f>
        <v>#N/A</v>
      </c>
      <c r="J498" s="29" t="e">
        <f>VLOOKUP(I498,PGStock[],2,FALSE)</f>
        <v>#N/A</v>
      </c>
      <c r="K498" s="30" t="e">
        <f>VLOOKUP(I498,PGStock[],3,FALSE)</f>
        <v>#N/A</v>
      </c>
      <c r="M498" s="31" t="e">
        <f>VLOOKUP(I498,PGStock[],6,FALSE)</f>
        <v>#N/A</v>
      </c>
      <c r="N498" s="31" t="e">
        <f>+Table8[[#This Row],[SalesBot]]*Table8[[#This Row],[Bonus]]</f>
        <v>#N/A</v>
      </c>
    </row>
    <row r="499" spans="1:14" ht="23.25" customHeight="1" x14ac:dyDescent="0.25">
      <c r="A499" s="26">
        <f t="shared" si="65"/>
        <v>1900</v>
      </c>
      <c r="B499" s="26">
        <f t="shared" si="66"/>
        <v>1</v>
      </c>
      <c r="C499" s="20"/>
      <c r="D499" s="21"/>
      <c r="F499" s="23" t="e">
        <f>VLOOKUP(E499,Customers[],2,FALSE)</f>
        <v>#N/A</v>
      </c>
      <c r="G499" s="23" t="e">
        <f>VLOOKUP(E499,Customers[],3,FALSE)</f>
        <v>#N/A</v>
      </c>
      <c r="H499" s="23" t="e">
        <f>VLOOKUP(E499,Customers[],4,FALSE)</f>
        <v>#N/A</v>
      </c>
      <c r="J499" s="29" t="e">
        <f>VLOOKUP(I499,PGStock[],2,FALSE)</f>
        <v>#N/A</v>
      </c>
      <c r="K499" s="30" t="e">
        <f>VLOOKUP(I499,PGStock[],3,FALSE)</f>
        <v>#N/A</v>
      </c>
      <c r="M499" s="31" t="e">
        <f>VLOOKUP(I499,PGStock[],6,FALSE)</f>
        <v>#N/A</v>
      </c>
      <c r="N499" s="31" t="e">
        <f>+Table8[[#This Row],[SalesBot]]*Table8[[#This Row],[Bonus]]</f>
        <v>#N/A</v>
      </c>
    </row>
    <row r="500" spans="1:14" ht="23.25" customHeight="1" x14ac:dyDescent="0.25">
      <c r="A500" s="26">
        <f t="shared" si="65"/>
        <v>1900</v>
      </c>
      <c r="B500" s="26">
        <f t="shared" si="66"/>
        <v>1</v>
      </c>
      <c r="C500" s="20"/>
      <c r="D500" s="21"/>
      <c r="F500" s="23" t="e">
        <f>VLOOKUP(E500,Customers[],2,FALSE)</f>
        <v>#N/A</v>
      </c>
      <c r="G500" s="23" t="e">
        <f>VLOOKUP(E500,Customers[],3,FALSE)</f>
        <v>#N/A</v>
      </c>
      <c r="H500" s="23" t="e">
        <f>VLOOKUP(E500,Customers[],4,FALSE)</f>
        <v>#N/A</v>
      </c>
      <c r="J500" s="29" t="e">
        <f>VLOOKUP(I500,PGStock[],2,FALSE)</f>
        <v>#N/A</v>
      </c>
      <c r="K500" s="30" t="e">
        <f>VLOOKUP(I500,PGStock[],3,FALSE)</f>
        <v>#N/A</v>
      </c>
      <c r="M500" s="31" t="e">
        <f>VLOOKUP(I500,PGStock[],6,FALSE)</f>
        <v>#N/A</v>
      </c>
      <c r="N500" s="31" t="e">
        <f>+Table8[[#This Row],[SalesBot]]*Table8[[#This Row],[Bonus]]</f>
        <v>#N/A</v>
      </c>
    </row>
    <row r="501" spans="1:14" ht="23.25" customHeight="1" x14ac:dyDescent="0.25">
      <c r="A501" s="26">
        <f t="shared" si="65"/>
        <v>1900</v>
      </c>
      <c r="B501" s="26">
        <f t="shared" si="66"/>
        <v>1</v>
      </c>
      <c r="C501" s="20"/>
      <c r="D501" s="21"/>
      <c r="F501" s="23" t="e">
        <f>VLOOKUP(E501,Customers[],2,FALSE)</f>
        <v>#N/A</v>
      </c>
      <c r="G501" s="23" t="e">
        <f>VLOOKUP(E501,Customers[],3,FALSE)</f>
        <v>#N/A</v>
      </c>
      <c r="H501" s="23" t="e">
        <f>VLOOKUP(E501,Customers[],4,FALSE)</f>
        <v>#N/A</v>
      </c>
      <c r="J501" s="29" t="e">
        <f>VLOOKUP(I501,PGStock[],2,FALSE)</f>
        <v>#N/A</v>
      </c>
      <c r="K501" s="30" t="e">
        <f>VLOOKUP(I501,PGStock[],3,FALSE)</f>
        <v>#N/A</v>
      </c>
      <c r="M501" s="31" t="e">
        <f>VLOOKUP(I501,PGStock[],6,FALSE)</f>
        <v>#N/A</v>
      </c>
      <c r="N501" s="31" t="e">
        <f>+Table8[[#This Row],[SalesBot]]*Table8[[#This Row],[Bonus]]</f>
        <v>#N/A</v>
      </c>
    </row>
    <row r="502" spans="1:14" ht="23.25" customHeight="1" x14ac:dyDescent="0.25">
      <c r="A502" s="26">
        <f t="shared" si="65"/>
        <v>1900</v>
      </c>
      <c r="B502" s="26">
        <f t="shared" si="66"/>
        <v>1</v>
      </c>
      <c r="C502" s="20"/>
      <c r="D502" s="21"/>
      <c r="F502" s="23" t="e">
        <f>VLOOKUP(E502,Customers[],2,FALSE)</f>
        <v>#N/A</v>
      </c>
      <c r="G502" s="23" t="e">
        <f>VLOOKUP(E502,Customers[],3,FALSE)</f>
        <v>#N/A</v>
      </c>
      <c r="H502" s="23" t="e">
        <f>VLOOKUP(E502,Customers[],4,FALSE)</f>
        <v>#N/A</v>
      </c>
      <c r="J502" s="29" t="e">
        <f>VLOOKUP(I502,PGStock[],2,FALSE)</f>
        <v>#N/A</v>
      </c>
      <c r="K502" s="30" t="e">
        <f>VLOOKUP(I502,PGStock[],3,FALSE)</f>
        <v>#N/A</v>
      </c>
      <c r="M502" s="31" t="e">
        <f>VLOOKUP(I502,PGStock[],6,FALSE)</f>
        <v>#N/A</v>
      </c>
      <c r="N502" s="31" t="e">
        <f>+Table8[[#This Row],[SalesBot]]*Table8[[#This Row],[Bonus]]</f>
        <v>#N/A</v>
      </c>
    </row>
    <row r="503" spans="1:14" ht="23.25" customHeight="1" x14ac:dyDescent="0.25">
      <c r="A503" s="26">
        <f t="shared" si="65"/>
        <v>1900</v>
      </c>
      <c r="B503" s="26">
        <f t="shared" si="66"/>
        <v>1</v>
      </c>
      <c r="C503" s="20"/>
      <c r="D503" s="21"/>
      <c r="F503" s="23" t="e">
        <f>VLOOKUP(E503,Customers[],2,FALSE)</f>
        <v>#N/A</v>
      </c>
      <c r="G503" s="23" t="e">
        <f>VLOOKUP(E503,Customers[],3,FALSE)</f>
        <v>#N/A</v>
      </c>
      <c r="H503" s="23" t="e">
        <f>VLOOKUP(E503,Customers[],4,FALSE)</f>
        <v>#N/A</v>
      </c>
      <c r="J503" s="29" t="e">
        <f>VLOOKUP(I503,PGStock[],2,FALSE)</f>
        <v>#N/A</v>
      </c>
      <c r="K503" s="30" t="e">
        <f>VLOOKUP(I503,PGStock[],3,FALSE)</f>
        <v>#N/A</v>
      </c>
      <c r="M503" s="31" t="e">
        <f>VLOOKUP(I503,PGStock[],6,FALSE)</f>
        <v>#N/A</v>
      </c>
      <c r="N503" s="31" t="e">
        <f>+Table8[[#This Row],[SalesBot]]*Table8[[#This Row],[Bonus]]</f>
        <v>#N/A</v>
      </c>
    </row>
    <row r="504" spans="1:14" ht="23.25" customHeight="1" x14ac:dyDescent="0.25">
      <c r="A504" s="26">
        <f t="shared" si="65"/>
        <v>1900</v>
      </c>
      <c r="B504" s="26">
        <f t="shared" si="66"/>
        <v>1</v>
      </c>
      <c r="C504" s="20"/>
      <c r="D504" s="21"/>
      <c r="F504" s="23" t="e">
        <f>VLOOKUP(E504,Customers[],2,FALSE)</f>
        <v>#N/A</v>
      </c>
      <c r="G504" s="23" t="e">
        <f>VLOOKUP(E504,Customers[],3,FALSE)</f>
        <v>#N/A</v>
      </c>
      <c r="H504" s="23" t="e">
        <f>VLOOKUP(E504,Customers[],4,FALSE)</f>
        <v>#N/A</v>
      </c>
      <c r="J504" s="29" t="e">
        <f>VLOOKUP(I504,PGStock[],2,FALSE)</f>
        <v>#N/A</v>
      </c>
      <c r="K504" s="30" t="e">
        <f>VLOOKUP(I504,PGStock[],3,FALSE)</f>
        <v>#N/A</v>
      </c>
      <c r="M504" s="31" t="e">
        <f>VLOOKUP(I504,PGStock[],6,FALSE)</f>
        <v>#N/A</v>
      </c>
      <c r="N504" s="31" t="e">
        <f>+Table8[[#This Row],[SalesBot]]*Table8[[#This Row],[Bonus]]</f>
        <v>#N/A</v>
      </c>
    </row>
    <row r="505" spans="1:14" ht="23.25" customHeight="1" x14ac:dyDescent="0.25">
      <c r="A505" s="26">
        <f t="shared" si="65"/>
        <v>1900</v>
      </c>
      <c r="B505" s="26">
        <f t="shared" si="66"/>
        <v>1</v>
      </c>
      <c r="C505" s="20"/>
      <c r="D505" s="21"/>
      <c r="F505" s="23" t="e">
        <f>VLOOKUP(E505,Customers[],2,FALSE)</f>
        <v>#N/A</v>
      </c>
      <c r="G505" s="23" t="e">
        <f>VLOOKUP(E505,Customers[],3,FALSE)</f>
        <v>#N/A</v>
      </c>
      <c r="H505" s="23" t="e">
        <f>VLOOKUP(E505,Customers[],4,FALSE)</f>
        <v>#N/A</v>
      </c>
      <c r="J505" s="29" t="e">
        <f>VLOOKUP(I505,PGStock[],2,FALSE)</f>
        <v>#N/A</v>
      </c>
      <c r="K505" s="30" t="e">
        <f>VLOOKUP(I505,PGStock[],3,FALSE)</f>
        <v>#N/A</v>
      </c>
      <c r="M505" s="31" t="e">
        <f>VLOOKUP(I505,PGStock[],6,FALSE)</f>
        <v>#N/A</v>
      </c>
      <c r="N505" s="31" t="e">
        <f>+Table8[[#This Row],[SalesBot]]*Table8[[#This Row],[Bonus]]</f>
        <v>#N/A</v>
      </c>
    </row>
    <row r="506" spans="1:14" ht="23.25" customHeight="1" x14ac:dyDescent="0.25">
      <c r="A506" s="26">
        <f t="shared" si="65"/>
        <v>1900</v>
      </c>
      <c r="B506" s="26">
        <f t="shared" si="66"/>
        <v>1</v>
      </c>
      <c r="C506" s="20"/>
      <c r="D506" s="21"/>
      <c r="F506" s="23" t="e">
        <f>VLOOKUP(E506,Customers[],2,FALSE)</f>
        <v>#N/A</v>
      </c>
      <c r="G506" s="23" t="e">
        <f>VLOOKUP(E506,Customers[],3,FALSE)</f>
        <v>#N/A</v>
      </c>
      <c r="H506" s="23" t="e">
        <f>VLOOKUP(E506,Customers[],4,FALSE)</f>
        <v>#N/A</v>
      </c>
      <c r="J506" s="29" t="e">
        <f>VLOOKUP(I506,PGStock[],2,FALSE)</f>
        <v>#N/A</v>
      </c>
      <c r="K506" s="30" t="e">
        <f>VLOOKUP(I506,PGStock[],3,FALSE)</f>
        <v>#N/A</v>
      </c>
      <c r="M506" s="31" t="e">
        <f>VLOOKUP(I506,PGStock[],6,FALSE)</f>
        <v>#N/A</v>
      </c>
      <c r="N506" s="31" t="e">
        <f>+Table8[[#This Row],[SalesBot]]*Table8[[#This Row],[Bonus]]</f>
        <v>#N/A</v>
      </c>
    </row>
    <row r="507" spans="1:14" ht="23.25" customHeight="1" x14ac:dyDescent="0.25">
      <c r="A507" s="26">
        <f t="shared" si="65"/>
        <v>1900</v>
      </c>
      <c r="B507" s="26">
        <f t="shared" si="66"/>
        <v>1</v>
      </c>
      <c r="C507" s="20"/>
      <c r="D507" s="21"/>
      <c r="F507" s="23" t="e">
        <f>VLOOKUP(E507,Customers[],2,FALSE)</f>
        <v>#N/A</v>
      </c>
      <c r="G507" s="23" t="e">
        <f>VLOOKUP(E507,Customers[],3,FALSE)</f>
        <v>#N/A</v>
      </c>
      <c r="H507" s="23" t="e">
        <f>VLOOKUP(E507,Customers[],4,FALSE)</f>
        <v>#N/A</v>
      </c>
      <c r="J507" s="29" t="e">
        <f>VLOOKUP(I507,PGStock[],2,FALSE)</f>
        <v>#N/A</v>
      </c>
      <c r="K507" s="30" t="e">
        <f>VLOOKUP(I507,PGStock[],3,FALSE)</f>
        <v>#N/A</v>
      </c>
      <c r="M507" s="31" t="e">
        <f>VLOOKUP(I507,PGStock[],6,FALSE)</f>
        <v>#N/A</v>
      </c>
      <c r="N507" s="31" t="e">
        <f>+Table8[[#This Row],[SalesBot]]*Table8[[#This Row],[Bonus]]</f>
        <v>#N/A</v>
      </c>
    </row>
    <row r="508" spans="1:14" ht="23.25" customHeight="1" x14ac:dyDescent="0.25">
      <c r="A508" s="26">
        <f t="shared" si="65"/>
        <v>1900</v>
      </c>
      <c r="B508" s="26">
        <f t="shared" si="66"/>
        <v>1</v>
      </c>
      <c r="C508" s="20"/>
      <c r="D508" s="21"/>
      <c r="F508" s="23" t="e">
        <f>VLOOKUP(E508,Customers[],2,FALSE)</f>
        <v>#N/A</v>
      </c>
      <c r="G508" s="23" t="e">
        <f>VLOOKUP(E508,Customers[],3,FALSE)</f>
        <v>#N/A</v>
      </c>
      <c r="H508" s="23" t="e">
        <f>VLOOKUP(E508,Customers[],4,FALSE)</f>
        <v>#N/A</v>
      </c>
      <c r="J508" s="29" t="e">
        <f>VLOOKUP(I508,PGStock[],2,FALSE)</f>
        <v>#N/A</v>
      </c>
      <c r="K508" s="30" t="e">
        <f>VLOOKUP(I508,PGStock[],3,FALSE)</f>
        <v>#N/A</v>
      </c>
      <c r="M508" s="31" t="e">
        <f>VLOOKUP(I508,PGStock[],6,FALSE)</f>
        <v>#N/A</v>
      </c>
      <c r="N508" s="31" t="e">
        <f>+Table8[[#This Row],[SalesBot]]*Table8[[#This Row],[Bonus]]</f>
        <v>#N/A</v>
      </c>
    </row>
    <row r="509" spans="1:14" ht="23.25" customHeight="1" x14ac:dyDescent="0.25">
      <c r="A509" s="26">
        <f t="shared" si="65"/>
        <v>1900</v>
      </c>
      <c r="B509" s="26">
        <f t="shared" si="66"/>
        <v>1</v>
      </c>
      <c r="C509" s="20"/>
      <c r="D509" s="21"/>
      <c r="F509" s="23" t="e">
        <f>VLOOKUP(E509,Customers[],2,FALSE)</f>
        <v>#N/A</v>
      </c>
      <c r="G509" s="23" t="e">
        <f>VLOOKUP(E509,Customers[],3,FALSE)</f>
        <v>#N/A</v>
      </c>
      <c r="H509" s="23" t="e">
        <f>VLOOKUP(E509,Customers[],4,FALSE)</f>
        <v>#N/A</v>
      </c>
      <c r="J509" s="29" t="e">
        <f>VLOOKUP(I509,PGStock[],2,FALSE)</f>
        <v>#N/A</v>
      </c>
      <c r="K509" s="30" t="e">
        <f>VLOOKUP(I509,PGStock[],3,FALSE)</f>
        <v>#N/A</v>
      </c>
      <c r="M509" s="31" t="e">
        <f>VLOOKUP(I509,PGStock[],6,FALSE)</f>
        <v>#N/A</v>
      </c>
      <c r="N509" s="31" t="e">
        <f>+Table8[[#This Row],[SalesBot]]*Table8[[#This Row],[Bonus]]</f>
        <v>#N/A</v>
      </c>
    </row>
    <row r="510" spans="1:14" ht="23.25" customHeight="1" x14ac:dyDescent="0.25">
      <c r="A510" s="26">
        <f t="shared" si="65"/>
        <v>1900</v>
      </c>
      <c r="B510" s="26">
        <f t="shared" si="66"/>
        <v>1</v>
      </c>
      <c r="C510" s="20"/>
      <c r="D510" s="21"/>
      <c r="F510" s="23" t="e">
        <f>VLOOKUP(E510,Customers[],2,FALSE)</f>
        <v>#N/A</v>
      </c>
      <c r="G510" s="23" t="e">
        <f>VLOOKUP(E510,Customers[],3,FALSE)</f>
        <v>#N/A</v>
      </c>
      <c r="H510" s="23" t="e">
        <f>VLOOKUP(E510,Customers[],4,FALSE)</f>
        <v>#N/A</v>
      </c>
      <c r="J510" s="29" t="e">
        <f>VLOOKUP(I510,PGStock[],2,FALSE)</f>
        <v>#N/A</v>
      </c>
      <c r="K510" s="30" t="e">
        <f>VLOOKUP(I510,PGStock[],3,FALSE)</f>
        <v>#N/A</v>
      </c>
      <c r="M510" s="31" t="e">
        <f>VLOOKUP(I510,PGStock[],6,FALSE)</f>
        <v>#N/A</v>
      </c>
      <c r="N510" s="31" t="e">
        <f>+Table8[[#This Row],[SalesBot]]*Table8[[#This Row],[Bonus]]</f>
        <v>#N/A</v>
      </c>
    </row>
    <row r="511" spans="1:14" ht="23.25" customHeight="1" x14ac:dyDescent="0.25">
      <c r="A511" s="26">
        <f t="shared" si="65"/>
        <v>1900</v>
      </c>
      <c r="B511" s="26">
        <f t="shared" si="66"/>
        <v>1</v>
      </c>
      <c r="C511" s="20"/>
      <c r="D511" s="21"/>
      <c r="F511" s="23" t="e">
        <f>VLOOKUP(E511,Customers[],2,FALSE)</f>
        <v>#N/A</v>
      </c>
      <c r="G511" s="23" t="e">
        <f>VLOOKUP(E511,Customers[],3,FALSE)</f>
        <v>#N/A</v>
      </c>
      <c r="H511" s="23" t="e">
        <f>VLOOKUP(E511,Customers[],4,FALSE)</f>
        <v>#N/A</v>
      </c>
      <c r="J511" s="29" t="e">
        <f>VLOOKUP(I511,PGStock[],2,FALSE)</f>
        <v>#N/A</v>
      </c>
      <c r="K511" s="30" t="e">
        <f>VLOOKUP(I511,PGStock[],3,FALSE)</f>
        <v>#N/A</v>
      </c>
      <c r="M511" s="31" t="e">
        <f>VLOOKUP(I511,PGStock[],6,FALSE)</f>
        <v>#N/A</v>
      </c>
      <c r="N511" s="31" t="e">
        <f>+Table8[[#This Row],[SalesBot]]*Table8[[#This Row],[Bonus]]</f>
        <v>#N/A</v>
      </c>
    </row>
    <row r="512" spans="1:14" ht="23.25" customHeight="1" x14ac:dyDescent="0.25">
      <c r="A512" s="26">
        <f t="shared" ref="A512:A526" si="67">YEAR(C512)</f>
        <v>1900</v>
      </c>
      <c r="B512" s="26">
        <f t="shared" ref="B512:B526" si="68">MONTH(C512)</f>
        <v>1</v>
      </c>
      <c r="C512" s="20"/>
      <c r="D512" s="21"/>
      <c r="F512" s="23" t="e">
        <f>VLOOKUP(E512,Customers[],2,FALSE)</f>
        <v>#N/A</v>
      </c>
      <c r="G512" s="23" t="e">
        <f>VLOOKUP(E512,Customers[],3,FALSE)</f>
        <v>#N/A</v>
      </c>
      <c r="H512" s="23" t="e">
        <f>VLOOKUP(E512,Customers[],4,FALSE)</f>
        <v>#N/A</v>
      </c>
      <c r="J512" s="29" t="e">
        <f>VLOOKUP(I512,PGStock[],2,FALSE)</f>
        <v>#N/A</v>
      </c>
      <c r="K512" s="30" t="e">
        <f>VLOOKUP(I512,PGStock[],3,FALSE)</f>
        <v>#N/A</v>
      </c>
      <c r="M512" s="31" t="e">
        <f>VLOOKUP(I512,PGStock[],6,FALSE)</f>
        <v>#N/A</v>
      </c>
      <c r="N512" s="31" t="e">
        <f>+Table8[[#This Row],[SalesBot]]*Table8[[#This Row],[Bonus]]</f>
        <v>#N/A</v>
      </c>
    </row>
    <row r="513" spans="1:14" ht="23.25" customHeight="1" x14ac:dyDescent="0.25">
      <c r="A513" s="26">
        <f t="shared" si="67"/>
        <v>1900</v>
      </c>
      <c r="B513" s="26">
        <f t="shared" si="68"/>
        <v>1</v>
      </c>
      <c r="C513" s="20"/>
      <c r="D513" s="21"/>
      <c r="F513" s="23" t="e">
        <f>VLOOKUP(E513,Customers[],2,FALSE)</f>
        <v>#N/A</v>
      </c>
      <c r="G513" s="23" t="e">
        <f>VLOOKUP(E513,Customers[],3,FALSE)</f>
        <v>#N/A</v>
      </c>
      <c r="H513" s="23" t="e">
        <f>VLOOKUP(E513,Customers[],4,FALSE)</f>
        <v>#N/A</v>
      </c>
      <c r="J513" s="29" t="e">
        <f>VLOOKUP(I513,PGStock[],2,FALSE)</f>
        <v>#N/A</v>
      </c>
      <c r="K513" s="30" t="e">
        <f>VLOOKUP(I513,PGStock[],3,FALSE)</f>
        <v>#N/A</v>
      </c>
      <c r="M513" s="31" t="e">
        <f>VLOOKUP(I513,PGStock[],6,FALSE)</f>
        <v>#N/A</v>
      </c>
      <c r="N513" s="31" t="e">
        <f>+Table8[[#This Row],[SalesBot]]*Table8[[#This Row],[Bonus]]</f>
        <v>#N/A</v>
      </c>
    </row>
    <row r="514" spans="1:14" ht="23.25" customHeight="1" x14ac:dyDescent="0.25">
      <c r="A514" s="26">
        <f t="shared" si="67"/>
        <v>1900</v>
      </c>
      <c r="B514" s="26">
        <f t="shared" si="68"/>
        <v>1</v>
      </c>
      <c r="C514" s="20"/>
      <c r="D514" s="21"/>
      <c r="F514" s="23" t="e">
        <f>VLOOKUP(E514,Customers[],2,FALSE)</f>
        <v>#N/A</v>
      </c>
      <c r="G514" s="23" t="e">
        <f>VLOOKUP(E514,Customers[],3,FALSE)</f>
        <v>#N/A</v>
      </c>
      <c r="H514" s="23" t="e">
        <f>VLOOKUP(E514,Customers[],4,FALSE)</f>
        <v>#N/A</v>
      </c>
      <c r="J514" s="29" t="e">
        <f>VLOOKUP(I514,PGStock[],2,FALSE)</f>
        <v>#N/A</v>
      </c>
      <c r="K514" s="30" t="e">
        <f>VLOOKUP(I514,PGStock[],3,FALSE)</f>
        <v>#N/A</v>
      </c>
      <c r="M514" s="31" t="e">
        <f>VLOOKUP(I514,PGStock[],6,FALSE)</f>
        <v>#N/A</v>
      </c>
      <c r="N514" s="31" t="e">
        <f>+Table8[[#This Row],[SalesBot]]*Table8[[#This Row],[Bonus]]</f>
        <v>#N/A</v>
      </c>
    </row>
    <row r="515" spans="1:14" ht="23.25" customHeight="1" x14ac:dyDescent="0.25">
      <c r="A515" s="26">
        <f t="shared" si="67"/>
        <v>1900</v>
      </c>
      <c r="B515" s="26">
        <f t="shared" si="68"/>
        <v>1</v>
      </c>
      <c r="C515" s="20"/>
      <c r="D515" s="21"/>
      <c r="F515" s="23" t="e">
        <f>VLOOKUP(E515,Customers[],2,FALSE)</f>
        <v>#N/A</v>
      </c>
      <c r="G515" s="23" t="e">
        <f>VLOOKUP(E515,Customers[],3,FALSE)</f>
        <v>#N/A</v>
      </c>
      <c r="H515" s="23" t="e">
        <f>VLOOKUP(E515,Customers[],4,FALSE)</f>
        <v>#N/A</v>
      </c>
      <c r="J515" s="29" t="e">
        <f>VLOOKUP(I515,PGStock[],2,FALSE)</f>
        <v>#N/A</v>
      </c>
      <c r="K515" s="30" t="e">
        <f>VLOOKUP(I515,PGStock[],3,FALSE)</f>
        <v>#N/A</v>
      </c>
      <c r="M515" s="31" t="e">
        <f>VLOOKUP(I515,PGStock[],6,FALSE)</f>
        <v>#N/A</v>
      </c>
      <c r="N515" s="31" t="e">
        <f>+Table8[[#This Row],[SalesBot]]*Table8[[#This Row],[Bonus]]</f>
        <v>#N/A</v>
      </c>
    </row>
    <row r="516" spans="1:14" ht="23.25" customHeight="1" x14ac:dyDescent="0.25">
      <c r="A516" s="26">
        <f t="shared" si="67"/>
        <v>1900</v>
      </c>
      <c r="B516" s="26">
        <f t="shared" si="68"/>
        <v>1</v>
      </c>
      <c r="C516" s="20"/>
      <c r="D516" s="21"/>
      <c r="F516" s="23" t="e">
        <f>VLOOKUP(E516,Customers[],2,FALSE)</f>
        <v>#N/A</v>
      </c>
      <c r="G516" s="23" t="e">
        <f>VLOOKUP(E516,Customers[],3,FALSE)</f>
        <v>#N/A</v>
      </c>
      <c r="H516" s="23" t="e">
        <f>VLOOKUP(E516,Customers[],4,FALSE)</f>
        <v>#N/A</v>
      </c>
      <c r="J516" s="29" t="e">
        <f>VLOOKUP(I516,PGStock[],2,FALSE)</f>
        <v>#N/A</v>
      </c>
      <c r="K516" s="30" t="e">
        <f>VLOOKUP(I516,PGStock[],3,FALSE)</f>
        <v>#N/A</v>
      </c>
      <c r="M516" s="31" t="e">
        <f>VLOOKUP(I516,PGStock[],6,FALSE)</f>
        <v>#N/A</v>
      </c>
      <c r="N516" s="31" t="e">
        <f>+Table8[[#This Row],[SalesBot]]*Table8[[#This Row],[Bonus]]</f>
        <v>#N/A</v>
      </c>
    </row>
    <row r="517" spans="1:14" ht="23.25" customHeight="1" x14ac:dyDescent="0.25">
      <c r="A517" s="26">
        <f t="shared" si="67"/>
        <v>1900</v>
      </c>
      <c r="B517" s="26">
        <f t="shared" si="68"/>
        <v>1</v>
      </c>
      <c r="C517" s="20"/>
      <c r="D517" s="21"/>
      <c r="F517" s="23" t="e">
        <f>VLOOKUP(E517,Customers[],2,FALSE)</f>
        <v>#N/A</v>
      </c>
      <c r="G517" s="23" t="e">
        <f>VLOOKUP(E517,Customers[],3,FALSE)</f>
        <v>#N/A</v>
      </c>
      <c r="H517" s="23" t="e">
        <f>VLOOKUP(E517,Customers[],4,FALSE)</f>
        <v>#N/A</v>
      </c>
      <c r="J517" s="29" t="e">
        <f>VLOOKUP(I517,PGStock[],2,FALSE)</f>
        <v>#N/A</v>
      </c>
      <c r="K517" s="30" t="e">
        <f>VLOOKUP(I517,PGStock[],3,FALSE)</f>
        <v>#N/A</v>
      </c>
      <c r="M517" s="31" t="e">
        <f>VLOOKUP(I517,PGStock[],6,FALSE)</f>
        <v>#N/A</v>
      </c>
      <c r="N517" s="31" t="e">
        <f>+Table8[[#This Row],[SalesBot]]*Table8[[#This Row],[Bonus]]</f>
        <v>#N/A</v>
      </c>
    </row>
    <row r="518" spans="1:14" ht="23.25" customHeight="1" x14ac:dyDescent="0.25">
      <c r="A518" s="26">
        <f t="shared" si="67"/>
        <v>1900</v>
      </c>
      <c r="B518" s="26">
        <f t="shared" si="68"/>
        <v>1</v>
      </c>
      <c r="C518" s="20"/>
      <c r="D518" s="21"/>
      <c r="F518" s="23" t="e">
        <f>VLOOKUP(E518,Customers[],2,FALSE)</f>
        <v>#N/A</v>
      </c>
      <c r="G518" s="23" t="e">
        <f>VLOOKUP(E518,Customers[],3,FALSE)</f>
        <v>#N/A</v>
      </c>
      <c r="H518" s="23" t="e">
        <f>VLOOKUP(E518,Customers[],4,FALSE)</f>
        <v>#N/A</v>
      </c>
      <c r="J518" s="29" t="e">
        <f>VLOOKUP(I518,PGStock[],2,FALSE)</f>
        <v>#N/A</v>
      </c>
      <c r="K518" s="30" t="e">
        <f>VLOOKUP(I518,PGStock[],3,FALSE)</f>
        <v>#N/A</v>
      </c>
      <c r="M518" s="31" t="e">
        <f>VLOOKUP(I518,PGStock[],6,FALSE)</f>
        <v>#N/A</v>
      </c>
      <c r="N518" s="31" t="e">
        <f>+Table8[[#This Row],[SalesBot]]*Table8[[#This Row],[Bonus]]</f>
        <v>#N/A</v>
      </c>
    </row>
    <row r="519" spans="1:14" ht="23.25" customHeight="1" x14ac:dyDescent="0.25">
      <c r="A519" s="26">
        <f t="shared" si="67"/>
        <v>1900</v>
      </c>
      <c r="B519" s="26">
        <f t="shared" si="68"/>
        <v>1</v>
      </c>
      <c r="C519" s="20"/>
      <c r="D519" s="21"/>
      <c r="F519" s="23" t="e">
        <f>VLOOKUP(E519,Customers[],2,FALSE)</f>
        <v>#N/A</v>
      </c>
      <c r="G519" s="23" t="e">
        <f>VLOOKUP(E519,Customers[],3,FALSE)</f>
        <v>#N/A</v>
      </c>
      <c r="H519" s="23" t="e">
        <f>VLOOKUP(E519,Customers[],4,FALSE)</f>
        <v>#N/A</v>
      </c>
      <c r="J519" s="29" t="e">
        <f>VLOOKUP(I519,PGStock[],2,FALSE)</f>
        <v>#N/A</v>
      </c>
      <c r="K519" s="30" t="e">
        <f>VLOOKUP(I519,PGStock[],3,FALSE)</f>
        <v>#N/A</v>
      </c>
      <c r="M519" s="31" t="e">
        <f>VLOOKUP(I519,PGStock[],6,FALSE)</f>
        <v>#N/A</v>
      </c>
      <c r="N519" s="31" t="e">
        <f>+Table8[[#This Row],[SalesBot]]*Table8[[#This Row],[Bonus]]</f>
        <v>#N/A</v>
      </c>
    </row>
    <row r="520" spans="1:14" ht="23.25" customHeight="1" x14ac:dyDescent="0.25">
      <c r="A520" s="26">
        <f t="shared" si="67"/>
        <v>1900</v>
      </c>
      <c r="B520" s="26">
        <f t="shared" si="68"/>
        <v>1</v>
      </c>
      <c r="C520" s="20"/>
      <c r="D520" s="21"/>
      <c r="F520" s="23" t="e">
        <f>VLOOKUP(E520,Customers[],2,FALSE)</f>
        <v>#N/A</v>
      </c>
      <c r="G520" s="23" t="e">
        <f>VLOOKUP(E520,Customers[],3,FALSE)</f>
        <v>#N/A</v>
      </c>
      <c r="H520" s="23" t="e">
        <f>VLOOKUP(E520,Customers[],4,FALSE)</f>
        <v>#N/A</v>
      </c>
      <c r="J520" s="29" t="e">
        <f>VLOOKUP(I520,PGStock[],2,FALSE)</f>
        <v>#N/A</v>
      </c>
      <c r="K520" s="30" t="e">
        <f>VLOOKUP(I520,PGStock[],3,FALSE)</f>
        <v>#N/A</v>
      </c>
      <c r="M520" s="31" t="e">
        <f>VLOOKUP(I520,PGStock[],6,FALSE)</f>
        <v>#N/A</v>
      </c>
      <c r="N520" s="31" t="e">
        <f>+Table8[[#This Row],[SalesBot]]*Table8[[#This Row],[Bonus]]</f>
        <v>#N/A</v>
      </c>
    </row>
    <row r="521" spans="1:14" ht="23.25" customHeight="1" x14ac:dyDescent="0.25">
      <c r="A521" s="26">
        <f t="shared" si="67"/>
        <v>1900</v>
      </c>
      <c r="B521" s="26">
        <f t="shared" si="68"/>
        <v>1</v>
      </c>
      <c r="C521" s="20"/>
      <c r="D521" s="21"/>
      <c r="F521" s="23" t="e">
        <f>VLOOKUP(E521,Customers[],2,FALSE)</f>
        <v>#N/A</v>
      </c>
      <c r="G521" s="23" t="e">
        <f>VLOOKUP(E521,Customers[],3,FALSE)</f>
        <v>#N/A</v>
      </c>
      <c r="H521" s="23" t="e">
        <f>VLOOKUP(E521,Customers[],4,FALSE)</f>
        <v>#N/A</v>
      </c>
      <c r="J521" s="29" t="e">
        <f>VLOOKUP(I521,PGStock[],2,FALSE)</f>
        <v>#N/A</v>
      </c>
      <c r="K521" s="30" t="e">
        <f>VLOOKUP(I521,PGStock[],3,FALSE)</f>
        <v>#N/A</v>
      </c>
      <c r="M521" s="31" t="e">
        <f>VLOOKUP(I521,PGStock[],6,FALSE)</f>
        <v>#N/A</v>
      </c>
      <c r="N521" s="31" t="e">
        <f>+Table8[[#This Row],[SalesBot]]*Table8[[#This Row],[Bonus]]</f>
        <v>#N/A</v>
      </c>
    </row>
    <row r="522" spans="1:14" ht="23.25" customHeight="1" x14ac:dyDescent="0.25">
      <c r="A522" s="26">
        <f t="shared" si="67"/>
        <v>1900</v>
      </c>
      <c r="B522" s="26">
        <f t="shared" si="68"/>
        <v>1</v>
      </c>
      <c r="C522" s="20"/>
      <c r="D522" s="21"/>
      <c r="F522" s="23" t="e">
        <f>VLOOKUP(E522,Customers[],2,FALSE)</f>
        <v>#N/A</v>
      </c>
      <c r="G522" s="23" t="e">
        <f>VLOOKUP(E522,Customers[],3,FALSE)</f>
        <v>#N/A</v>
      </c>
      <c r="H522" s="23" t="e">
        <f>VLOOKUP(E522,Customers[],4,FALSE)</f>
        <v>#N/A</v>
      </c>
      <c r="J522" s="29" t="e">
        <f>VLOOKUP(I522,PGStock[],2,FALSE)</f>
        <v>#N/A</v>
      </c>
      <c r="K522" s="30" t="e">
        <f>VLOOKUP(I522,PGStock[],3,FALSE)</f>
        <v>#N/A</v>
      </c>
      <c r="M522" s="31" t="e">
        <f>VLOOKUP(I522,PGStock[],6,FALSE)</f>
        <v>#N/A</v>
      </c>
      <c r="N522" s="31" t="e">
        <f>+Table8[[#This Row],[SalesBot]]*Table8[[#This Row],[Bonus]]</f>
        <v>#N/A</v>
      </c>
    </row>
    <row r="523" spans="1:14" ht="23.25" customHeight="1" x14ac:dyDescent="0.25">
      <c r="A523" s="26">
        <f t="shared" si="67"/>
        <v>1900</v>
      </c>
      <c r="B523" s="26">
        <f t="shared" si="68"/>
        <v>1</v>
      </c>
      <c r="C523" s="20"/>
      <c r="D523" s="21"/>
      <c r="F523" s="23" t="e">
        <f>VLOOKUP(E523,Customers[],2,FALSE)</f>
        <v>#N/A</v>
      </c>
      <c r="G523" s="23" t="e">
        <f>VLOOKUP(E523,Customers[],3,FALSE)</f>
        <v>#N/A</v>
      </c>
      <c r="H523" s="23" t="e">
        <f>VLOOKUP(E523,Customers[],4,FALSE)</f>
        <v>#N/A</v>
      </c>
      <c r="J523" s="29" t="e">
        <f>VLOOKUP(I523,PGStock[],2,FALSE)</f>
        <v>#N/A</v>
      </c>
      <c r="K523" s="30" t="e">
        <f>VLOOKUP(I523,PGStock[],3,FALSE)</f>
        <v>#N/A</v>
      </c>
      <c r="M523" s="31" t="e">
        <f>VLOOKUP(I523,PGStock[],6,FALSE)</f>
        <v>#N/A</v>
      </c>
      <c r="N523" s="31" t="e">
        <f>+Table8[[#This Row],[SalesBot]]*Table8[[#This Row],[Bonus]]</f>
        <v>#N/A</v>
      </c>
    </row>
    <row r="524" spans="1:14" ht="23.25" customHeight="1" x14ac:dyDescent="0.25">
      <c r="A524" s="26">
        <f t="shared" si="67"/>
        <v>1900</v>
      </c>
      <c r="B524" s="26">
        <f t="shared" si="68"/>
        <v>1</v>
      </c>
      <c r="C524" s="20"/>
      <c r="D524" s="21"/>
      <c r="F524" s="23" t="e">
        <f>VLOOKUP(E524,Customers[],2,FALSE)</f>
        <v>#N/A</v>
      </c>
      <c r="G524" s="23" t="e">
        <f>VLOOKUP(E524,Customers[],3,FALSE)</f>
        <v>#N/A</v>
      </c>
      <c r="H524" s="23" t="e">
        <f>VLOOKUP(E524,Customers[],4,FALSE)</f>
        <v>#N/A</v>
      </c>
      <c r="J524" s="29" t="e">
        <f>VLOOKUP(I524,PGStock[],2,FALSE)</f>
        <v>#N/A</v>
      </c>
      <c r="K524" s="30" t="e">
        <f>VLOOKUP(I524,PGStock[],3,FALSE)</f>
        <v>#N/A</v>
      </c>
      <c r="M524" s="31" t="e">
        <f>VLOOKUP(I524,PGStock[],6,FALSE)</f>
        <v>#N/A</v>
      </c>
      <c r="N524" s="31" t="e">
        <f>+Table8[[#This Row],[SalesBot]]*Table8[[#This Row],[Bonus]]</f>
        <v>#N/A</v>
      </c>
    </row>
    <row r="525" spans="1:14" ht="23.25" customHeight="1" x14ac:dyDescent="0.25">
      <c r="A525" s="26">
        <f t="shared" si="67"/>
        <v>1900</v>
      </c>
      <c r="B525" s="26">
        <f t="shared" si="68"/>
        <v>1</v>
      </c>
      <c r="C525" s="20"/>
      <c r="D525" s="21"/>
      <c r="F525" s="23" t="e">
        <f>VLOOKUP(E525,Customers[],2,FALSE)</f>
        <v>#N/A</v>
      </c>
      <c r="G525" s="23" t="e">
        <f>VLOOKUP(E525,Customers[],3,FALSE)</f>
        <v>#N/A</v>
      </c>
      <c r="H525" s="23" t="e">
        <f>VLOOKUP(E525,Customers[],4,FALSE)</f>
        <v>#N/A</v>
      </c>
      <c r="J525" s="29" t="e">
        <f>VLOOKUP(I525,PGStock[],2,FALSE)</f>
        <v>#N/A</v>
      </c>
      <c r="K525" s="30" t="e">
        <f>VLOOKUP(I525,PGStock[],3,FALSE)</f>
        <v>#N/A</v>
      </c>
      <c r="M525" s="31" t="e">
        <f>VLOOKUP(I525,PGStock[],6,FALSE)</f>
        <v>#N/A</v>
      </c>
      <c r="N525" s="31" t="e">
        <f>+Table8[[#This Row],[SalesBot]]*Table8[[#This Row],[Bonus]]</f>
        <v>#N/A</v>
      </c>
    </row>
    <row r="526" spans="1:14" ht="23.25" customHeight="1" x14ac:dyDescent="0.25">
      <c r="A526" s="26">
        <f t="shared" si="67"/>
        <v>1900</v>
      </c>
      <c r="B526" s="26">
        <f t="shared" si="68"/>
        <v>1</v>
      </c>
      <c r="C526" s="20"/>
      <c r="D526" s="21"/>
      <c r="F526" s="23" t="e">
        <f>VLOOKUP(E526,Customers[],2,FALSE)</f>
        <v>#N/A</v>
      </c>
      <c r="G526" s="23" t="e">
        <f>VLOOKUP(E526,Customers[],3,FALSE)</f>
        <v>#N/A</v>
      </c>
      <c r="H526" s="23" t="e">
        <f>VLOOKUP(E526,Customers[],4,FALSE)</f>
        <v>#N/A</v>
      </c>
      <c r="J526" s="29" t="e">
        <f>VLOOKUP(I526,PGStock[],2,FALSE)</f>
        <v>#N/A</v>
      </c>
      <c r="K526" s="30" t="e">
        <f>VLOOKUP(I526,PGStock[],3,FALSE)</f>
        <v>#N/A</v>
      </c>
      <c r="M526" s="31" t="e">
        <f>VLOOKUP(I526,PGStock[],6,FALSE)</f>
        <v>#N/A</v>
      </c>
      <c r="N526" s="31" t="e">
        <f>+Table8[[#This Row],[SalesBot]]*Table8[[#This Row],[Bonus]]</f>
        <v>#N/A</v>
      </c>
    </row>
    <row r="527" spans="1:14" ht="23.25" customHeight="1" x14ac:dyDescent="0.25">
      <c r="A527" s="26">
        <f t="shared" si="65"/>
        <v>1900</v>
      </c>
      <c r="B527" s="26">
        <f t="shared" si="66"/>
        <v>1</v>
      </c>
      <c r="C527" s="20"/>
      <c r="D527" s="21"/>
      <c r="F527" s="23" t="e">
        <f>VLOOKUP(E527,Customers[],2,FALSE)</f>
        <v>#N/A</v>
      </c>
      <c r="G527" s="23" t="e">
        <f>VLOOKUP(E527,Customers[],3,FALSE)</f>
        <v>#N/A</v>
      </c>
      <c r="H527" s="23" t="e">
        <f>VLOOKUP(E527,Customers[],4,FALSE)</f>
        <v>#N/A</v>
      </c>
      <c r="J527" s="29" t="e">
        <f>VLOOKUP(I527,PGStock[],2,FALSE)</f>
        <v>#N/A</v>
      </c>
      <c r="K527" s="30" t="e">
        <f>VLOOKUP(I527,PGStock[],3,FALSE)</f>
        <v>#N/A</v>
      </c>
      <c r="M527" s="31" t="e">
        <f>VLOOKUP(I527,PGStock[],6,FALSE)</f>
        <v>#N/A</v>
      </c>
      <c r="N527" s="31" t="e">
        <f>+Table8[[#This Row],[SalesBot]]*Table8[[#This Row],[Bonus]]</f>
        <v>#N/A</v>
      </c>
    </row>
    <row r="528" spans="1:14" ht="23.25" customHeight="1" x14ac:dyDescent="0.25">
      <c r="A528" s="26">
        <f t="shared" ref="A528:A614" si="69">YEAR(C528)</f>
        <v>1900</v>
      </c>
      <c r="B528" s="26">
        <f t="shared" ref="B528:B614" si="70">MONTH(C528)</f>
        <v>1</v>
      </c>
      <c r="C528" s="20"/>
      <c r="D528" s="21"/>
      <c r="F528" s="23" t="e">
        <f>VLOOKUP(E528,Customers[],2,FALSE)</f>
        <v>#N/A</v>
      </c>
      <c r="G528" s="23" t="e">
        <f>VLOOKUP(E528,Customers[],3,FALSE)</f>
        <v>#N/A</v>
      </c>
      <c r="H528" s="23" t="e">
        <f>VLOOKUP(E528,Customers[],4,FALSE)</f>
        <v>#N/A</v>
      </c>
      <c r="J528" s="29" t="e">
        <f>VLOOKUP(I528,PGStock[],2,FALSE)</f>
        <v>#N/A</v>
      </c>
      <c r="K528" s="30" t="e">
        <f>VLOOKUP(I528,PGStock[],3,FALSE)</f>
        <v>#N/A</v>
      </c>
      <c r="M528" s="31" t="e">
        <f>VLOOKUP(I528,PGStock[],6,FALSE)</f>
        <v>#N/A</v>
      </c>
      <c r="N528" s="31" t="e">
        <f>+Table8[[#This Row],[SalesBot]]*Table8[[#This Row],[Bonus]]</f>
        <v>#N/A</v>
      </c>
    </row>
    <row r="529" spans="1:14" ht="23.25" customHeight="1" x14ac:dyDescent="0.25">
      <c r="A529" s="26">
        <f t="shared" si="69"/>
        <v>1900</v>
      </c>
      <c r="B529" s="26">
        <f t="shared" si="70"/>
        <v>1</v>
      </c>
      <c r="C529" s="20"/>
      <c r="D529" s="21"/>
      <c r="F529" s="23" t="e">
        <f>VLOOKUP(E529,Customers[],2,FALSE)</f>
        <v>#N/A</v>
      </c>
      <c r="G529" s="23" t="e">
        <f>VLOOKUP(E529,Customers[],3,FALSE)</f>
        <v>#N/A</v>
      </c>
      <c r="H529" s="23" t="e">
        <f>VLOOKUP(E529,Customers[],4,FALSE)</f>
        <v>#N/A</v>
      </c>
      <c r="J529" s="29" t="e">
        <f>VLOOKUP(I529,PGStock[],2,FALSE)</f>
        <v>#N/A</v>
      </c>
      <c r="K529" s="30" t="e">
        <f>VLOOKUP(I529,PGStock[],3,FALSE)</f>
        <v>#N/A</v>
      </c>
      <c r="M529" s="31" t="e">
        <f>VLOOKUP(I529,PGStock[],6,FALSE)</f>
        <v>#N/A</v>
      </c>
      <c r="N529" s="31" t="e">
        <f>+Table8[[#This Row],[SalesBot]]*Table8[[#This Row],[Bonus]]</f>
        <v>#N/A</v>
      </c>
    </row>
    <row r="530" spans="1:14" ht="23.25" customHeight="1" x14ac:dyDescent="0.25">
      <c r="A530" s="26">
        <f t="shared" si="69"/>
        <v>1900</v>
      </c>
      <c r="B530" s="26">
        <f t="shared" si="70"/>
        <v>1</v>
      </c>
      <c r="C530" s="20"/>
      <c r="D530" s="21"/>
      <c r="F530" s="23" t="e">
        <f>VLOOKUP(E530,Customers[],2,FALSE)</f>
        <v>#N/A</v>
      </c>
      <c r="G530" s="23" t="e">
        <f>VLOOKUP(E530,Customers[],3,FALSE)</f>
        <v>#N/A</v>
      </c>
      <c r="H530" s="23" t="e">
        <f>VLOOKUP(E530,Customers[],4,FALSE)</f>
        <v>#N/A</v>
      </c>
      <c r="J530" s="29" t="e">
        <f>VLOOKUP(I530,PGStock[],2,FALSE)</f>
        <v>#N/A</v>
      </c>
      <c r="K530" s="30" t="e">
        <f>VLOOKUP(I530,PGStock[],3,FALSE)</f>
        <v>#N/A</v>
      </c>
      <c r="M530" s="31" t="e">
        <f>VLOOKUP(I530,PGStock[],6,FALSE)</f>
        <v>#N/A</v>
      </c>
      <c r="N530" s="31" t="e">
        <f>+Table8[[#This Row],[SalesBot]]*Table8[[#This Row],[Bonus]]</f>
        <v>#N/A</v>
      </c>
    </row>
    <row r="531" spans="1:14" ht="23.25" customHeight="1" x14ac:dyDescent="0.25">
      <c r="A531" s="26">
        <f t="shared" si="69"/>
        <v>1900</v>
      </c>
      <c r="B531" s="26">
        <f t="shared" si="70"/>
        <v>1</v>
      </c>
      <c r="C531" s="20"/>
      <c r="D531" s="21"/>
      <c r="F531" s="23" t="e">
        <f>VLOOKUP(E531,Customers[],2,FALSE)</f>
        <v>#N/A</v>
      </c>
      <c r="G531" s="23" t="e">
        <f>VLOOKUP(E531,Customers[],3,FALSE)</f>
        <v>#N/A</v>
      </c>
      <c r="H531" s="23" t="e">
        <f>VLOOKUP(E531,Customers[],4,FALSE)</f>
        <v>#N/A</v>
      </c>
      <c r="J531" s="29" t="e">
        <f>VLOOKUP(I531,PGStock[],2,FALSE)</f>
        <v>#N/A</v>
      </c>
      <c r="K531" s="30" t="e">
        <f>VLOOKUP(I531,PGStock[],3,FALSE)</f>
        <v>#N/A</v>
      </c>
      <c r="M531" s="31" t="e">
        <f>VLOOKUP(I531,PGStock[],6,FALSE)</f>
        <v>#N/A</v>
      </c>
      <c r="N531" s="31" t="e">
        <f>+Table8[[#This Row],[SalesBot]]*Table8[[#This Row],[Bonus]]</f>
        <v>#N/A</v>
      </c>
    </row>
    <row r="532" spans="1:14" ht="23.25" customHeight="1" x14ac:dyDescent="0.25">
      <c r="A532" s="26">
        <f t="shared" si="69"/>
        <v>1900</v>
      </c>
      <c r="B532" s="26">
        <f t="shared" si="70"/>
        <v>1</v>
      </c>
      <c r="C532" s="20"/>
      <c r="D532" s="21"/>
      <c r="F532" s="23" t="e">
        <f>VLOOKUP(E532,Customers[],2,FALSE)</f>
        <v>#N/A</v>
      </c>
      <c r="G532" s="23" t="e">
        <f>VLOOKUP(E532,Customers[],3,FALSE)</f>
        <v>#N/A</v>
      </c>
      <c r="H532" s="23" t="e">
        <f>VLOOKUP(E532,Customers[],4,FALSE)</f>
        <v>#N/A</v>
      </c>
      <c r="J532" s="29" t="e">
        <f>VLOOKUP(I532,PGStock[],2,FALSE)</f>
        <v>#N/A</v>
      </c>
      <c r="K532" s="30" t="e">
        <f>VLOOKUP(I532,PGStock[],3,FALSE)</f>
        <v>#N/A</v>
      </c>
      <c r="M532" s="31" t="e">
        <f>VLOOKUP(I532,PGStock[],6,FALSE)</f>
        <v>#N/A</v>
      </c>
      <c r="N532" s="31" t="e">
        <f>+Table8[[#This Row],[SalesBot]]*Table8[[#This Row],[Bonus]]</f>
        <v>#N/A</v>
      </c>
    </row>
    <row r="533" spans="1:14" ht="23.25" customHeight="1" x14ac:dyDescent="0.25">
      <c r="A533" s="26">
        <f t="shared" si="69"/>
        <v>1900</v>
      </c>
      <c r="B533" s="26">
        <f t="shared" si="70"/>
        <v>1</v>
      </c>
      <c r="C533" s="20"/>
      <c r="D533" s="21"/>
      <c r="F533" s="23" t="e">
        <f>VLOOKUP(E533,Customers[],2,FALSE)</f>
        <v>#N/A</v>
      </c>
      <c r="G533" s="23" t="e">
        <f>VLOOKUP(E533,Customers[],3,FALSE)</f>
        <v>#N/A</v>
      </c>
      <c r="H533" s="23" t="e">
        <f>VLOOKUP(E533,Customers[],4,FALSE)</f>
        <v>#N/A</v>
      </c>
      <c r="J533" s="29" t="e">
        <f>VLOOKUP(I533,PGStock[],2,FALSE)</f>
        <v>#N/A</v>
      </c>
      <c r="K533" s="30" t="e">
        <f>VLOOKUP(I533,PGStock[],3,FALSE)</f>
        <v>#N/A</v>
      </c>
      <c r="M533" s="31" t="e">
        <f>VLOOKUP(I533,PGStock[],6,FALSE)</f>
        <v>#N/A</v>
      </c>
      <c r="N533" s="31" t="e">
        <f>+Table8[[#This Row],[SalesBot]]*Table8[[#This Row],[Bonus]]</f>
        <v>#N/A</v>
      </c>
    </row>
    <row r="534" spans="1:14" ht="23.25" customHeight="1" x14ac:dyDescent="0.25">
      <c r="A534" s="26">
        <f t="shared" si="69"/>
        <v>1900</v>
      </c>
      <c r="B534" s="26">
        <f t="shared" si="70"/>
        <v>1</v>
      </c>
      <c r="C534" s="20"/>
      <c r="D534" s="21"/>
      <c r="F534" s="23" t="e">
        <f>VLOOKUP(E534,Customers[],2,FALSE)</f>
        <v>#N/A</v>
      </c>
      <c r="G534" s="23" t="e">
        <f>VLOOKUP(E534,Customers[],3,FALSE)</f>
        <v>#N/A</v>
      </c>
      <c r="H534" s="23" t="e">
        <f>VLOOKUP(E534,Customers[],4,FALSE)</f>
        <v>#N/A</v>
      </c>
      <c r="J534" s="29" t="e">
        <f>VLOOKUP(I534,PGStock[],2,FALSE)</f>
        <v>#N/A</v>
      </c>
      <c r="K534" s="30" t="e">
        <f>VLOOKUP(I534,PGStock[],3,FALSE)</f>
        <v>#N/A</v>
      </c>
      <c r="M534" s="31" t="e">
        <f>VLOOKUP(I534,PGStock[],6,FALSE)</f>
        <v>#N/A</v>
      </c>
      <c r="N534" s="31" t="e">
        <f>+Table8[[#This Row],[SalesBot]]*Table8[[#This Row],[Bonus]]</f>
        <v>#N/A</v>
      </c>
    </row>
    <row r="535" spans="1:14" ht="23.25" customHeight="1" x14ac:dyDescent="0.25">
      <c r="A535" s="26">
        <f t="shared" si="69"/>
        <v>1900</v>
      </c>
      <c r="B535" s="26">
        <f t="shared" si="70"/>
        <v>1</v>
      </c>
      <c r="C535" s="20"/>
      <c r="D535" s="21"/>
      <c r="F535" s="23" t="e">
        <f>VLOOKUP(E535,Customers[],2,FALSE)</f>
        <v>#N/A</v>
      </c>
      <c r="G535" s="23" t="e">
        <f>VLOOKUP(E535,Customers[],3,FALSE)</f>
        <v>#N/A</v>
      </c>
      <c r="H535" s="23" t="e">
        <f>VLOOKUP(E535,Customers[],4,FALSE)</f>
        <v>#N/A</v>
      </c>
      <c r="J535" s="29" t="e">
        <f>VLOOKUP(I535,PGStock[],2,FALSE)</f>
        <v>#N/A</v>
      </c>
      <c r="K535" s="30" t="e">
        <f>VLOOKUP(I535,PGStock[],3,FALSE)</f>
        <v>#N/A</v>
      </c>
      <c r="M535" s="31" t="e">
        <f>VLOOKUP(I535,PGStock[],6,FALSE)</f>
        <v>#N/A</v>
      </c>
      <c r="N535" s="31" t="e">
        <f>+Table8[[#This Row],[SalesBot]]*Table8[[#This Row],[Bonus]]</f>
        <v>#N/A</v>
      </c>
    </row>
    <row r="536" spans="1:14" ht="23.25" customHeight="1" x14ac:dyDescent="0.25">
      <c r="A536" s="26">
        <f t="shared" si="69"/>
        <v>1900</v>
      </c>
      <c r="B536" s="26">
        <f t="shared" si="70"/>
        <v>1</v>
      </c>
      <c r="C536" s="20"/>
      <c r="D536" s="21"/>
      <c r="F536" s="23" t="e">
        <f>VLOOKUP(E536,Customers[],2,FALSE)</f>
        <v>#N/A</v>
      </c>
      <c r="G536" s="23" t="e">
        <f>VLOOKUP(E536,Customers[],3,FALSE)</f>
        <v>#N/A</v>
      </c>
      <c r="H536" s="23" t="e">
        <f>VLOOKUP(E536,Customers[],4,FALSE)</f>
        <v>#N/A</v>
      </c>
      <c r="J536" s="29" t="e">
        <f>VLOOKUP(I536,PGStock[],2,FALSE)</f>
        <v>#N/A</v>
      </c>
      <c r="K536" s="30" t="e">
        <f>VLOOKUP(I536,PGStock[],3,FALSE)</f>
        <v>#N/A</v>
      </c>
      <c r="M536" s="31" t="e">
        <f>VLOOKUP(I536,PGStock[],6,FALSE)</f>
        <v>#N/A</v>
      </c>
      <c r="N536" s="31" t="e">
        <f>+Table8[[#This Row],[SalesBot]]*Table8[[#This Row],[Bonus]]</f>
        <v>#N/A</v>
      </c>
    </row>
    <row r="537" spans="1:14" ht="23.25" customHeight="1" x14ac:dyDescent="0.25">
      <c r="A537" s="26">
        <f t="shared" si="69"/>
        <v>1900</v>
      </c>
      <c r="B537" s="26">
        <f t="shared" si="70"/>
        <v>1</v>
      </c>
      <c r="C537" s="20"/>
      <c r="D537" s="21"/>
      <c r="F537" s="23" t="e">
        <f>VLOOKUP(E537,Customers[],2,FALSE)</f>
        <v>#N/A</v>
      </c>
      <c r="G537" s="23" t="e">
        <f>VLOOKUP(E537,Customers[],3,FALSE)</f>
        <v>#N/A</v>
      </c>
      <c r="H537" s="23" t="e">
        <f>VLOOKUP(E537,Customers[],4,FALSE)</f>
        <v>#N/A</v>
      </c>
      <c r="J537" s="29" t="e">
        <f>VLOOKUP(I537,PGStock[],2,FALSE)</f>
        <v>#N/A</v>
      </c>
      <c r="K537" s="30" t="e">
        <f>VLOOKUP(I537,PGStock[],3,FALSE)</f>
        <v>#N/A</v>
      </c>
      <c r="M537" s="31" t="e">
        <f>VLOOKUP(I537,PGStock[],6,FALSE)</f>
        <v>#N/A</v>
      </c>
      <c r="N537" s="31" t="e">
        <f>+Table8[[#This Row],[SalesBot]]*Table8[[#This Row],[Bonus]]</f>
        <v>#N/A</v>
      </c>
    </row>
    <row r="538" spans="1:14" ht="23.25" customHeight="1" x14ac:dyDescent="0.25">
      <c r="A538" s="26">
        <f t="shared" si="69"/>
        <v>1900</v>
      </c>
      <c r="B538" s="26">
        <f t="shared" si="70"/>
        <v>1</v>
      </c>
      <c r="C538" s="20"/>
      <c r="D538" s="21"/>
      <c r="F538" s="23" t="e">
        <f>VLOOKUP(E538,Customers[],2,FALSE)</f>
        <v>#N/A</v>
      </c>
      <c r="G538" s="23" t="e">
        <f>VLOOKUP(E538,Customers[],3,FALSE)</f>
        <v>#N/A</v>
      </c>
      <c r="H538" s="23" t="e">
        <f>VLOOKUP(E538,Customers[],4,FALSE)</f>
        <v>#N/A</v>
      </c>
      <c r="J538" s="29" t="e">
        <f>VLOOKUP(I538,PGStock[],2,FALSE)</f>
        <v>#N/A</v>
      </c>
      <c r="K538" s="30" t="e">
        <f>VLOOKUP(I538,PGStock[],3,FALSE)</f>
        <v>#N/A</v>
      </c>
      <c r="M538" s="31" t="e">
        <f>VLOOKUP(I538,PGStock[],6,FALSE)</f>
        <v>#N/A</v>
      </c>
      <c r="N538" s="31" t="e">
        <f>+Table8[[#This Row],[SalesBot]]*Table8[[#This Row],[Bonus]]</f>
        <v>#N/A</v>
      </c>
    </row>
    <row r="539" spans="1:14" ht="23.25" customHeight="1" x14ac:dyDescent="0.25">
      <c r="A539" s="26">
        <f t="shared" si="69"/>
        <v>1900</v>
      </c>
      <c r="B539" s="26">
        <f t="shared" si="70"/>
        <v>1</v>
      </c>
      <c r="C539" s="20"/>
      <c r="D539" s="21"/>
      <c r="F539" s="23" t="e">
        <f>VLOOKUP(E539,Customers[],2,FALSE)</f>
        <v>#N/A</v>
      </c>
      <c r="G539" s="23" t="e">
        <f>VLOOKUP(E539,Customers[],3,FALSE)</f>
        <v>#N/A</v>
      </c>
      <c r="H539" s="23" t="e">
        <f>VLOOKUP(E539,Customers[],4,FALSE)</f>
        <v>#N/A</v>
      </c>
      <c r="J539" s="29" t="e">
        <f>VLOOKUP(I539,PGStock[],2,FALSE)</f>
        <v>#N/A</v>
      </c>
      <c r="K539" s="30" t="e">
        <f>VLOOKUP(I539,PGStock[],3,FALSE)</f>
        <v>#N/A</v>
      </c>
      <c r="M539" s="31" t="e">
        <f>VLOOKUP(I539,PGStock[],6,FALSE)</f>
        <v>#N/A</v>
      </c>
      <c r="N539" s="31" t="e">
        <f>+Table8[[#This Row],[SalesBot]]*Table8[[#This Row],[Bonus]]</f>
        <v>#N/A</v>
      </c>
    </row>
    <row r="540" spans="1:14" ht="23.25" customHeight="1" x14ac:dyDescent="0.25">
      <c r="A540" s="26">
        <f t="shared" si="69"/>
        <v>1900</v>
      </c>
      <c r="B540" s="26">
        <f t="shared" si="70"/>
        <v>1</v>
      </c>
      <c r="C540" s="20"/>
      <c r="D540" s="21"/>
      <c r="F540" s="23" t="e">
        <f>VLOOKUP(E540,Customers[],2,FALSE)</f>
        <v>#N/A</v>
      </c>
      <c r="G540" s="23" t="e">
        <f>VLOOKUP(E540,Customers[],3,FALSE)</f>
        <v>#N/A</v>
      </c>
      <c r="H540" s="23" t="e">
        <f>VLOOKUP(E540,Customers[],4,FALSE)</f>
        <v>#N/A</v>
      </c>
      <c r="J540" s="29" t="e">
        <f>VLOOKUP(I540,PGStock[],2,FALSE)</f>
        <v>#N/A</v>
      </c>
      <c r="K540" s="30" t="e">
        <f>VLOOKUP(I540,PGStock[],3,FALSE)</f>
        <v>#N/A</v>
      </c>
      <c r="M540" s="31" t="e">
        <f>VLOOKUP(I540,PGStock[],6,FALSE)</f>
        <v>#N/A</v>
      </c>
      <c r="N540" s="31" t="e">
        <f>+Table8[[#This Row],[SalesBot]]*Table8[[#This Row],[Bonus]]</f>
        <v>#N/A</v>
      </c>
    </row>
    <row r="541" spans="1:14" ht="23.25" customHeight="1" x14ac:dyDescent="0.25">
      <c r="A541" s="26">
        <f t="shared" si="69"/>
        <v>1900</v>
      </c>
      <c r="B541" s="26">
        <f t="shared" si="70"/>
        <v>1</v>
      </c>
      <c r="C541" s="20"/>
      <c r="D541" s="21"/>
      <c r="F541" s="23" t="e">
        <f>VLOOKUP(E541,Customers[],2,FALSE)</f>
        <v>#N/A</v>
      </c>
      <c r="G541" s="23" t="e">
        <f>VLOOKUP(E541,Customers[],3,FALSE)</f>
        <v>#N/A</v>
      </c>
      <c r="H541" s="23" t="e">
        <f>VLOOKUP(E541,Customers[],4,FALSE)</f>
        <v>#N/A</v>
      </c>
      <c r="J541" s="29" t="e">
        <f>VLOOKUP(I541,PGStock[],2,FALSE)</f>
        <v>#N/A</v>
      </c>
      <c r="K541" s="30" t="e">
        <f>VLOOKUP(I541,PGStock[],3,FALSE)</f>
        <v>#N/A</v>
      </c>
      <c r="M541" s="31" t="e">
        <f>VLOOKUP(I541,PGStock[],6,FALSE)</f>
        <v>#N/A</v>
      </c>
      <c r="N541" s="31" t="e">
        <f>+Table8[[#This Row],[SalesBot]]*Table8[[#This Row],[Bonus]]</f>
        <v>#N/A</v>
      </c>
    </row>
    <row r="542" spans="1:14" ht="23.25" customHeight="1" x14ac:dyDescent="0.25">
      <c r="A542" s="26">
        <f t="shared" ref="A542:A595" si="71">YEAR(C542)</f>
        <v>1900</v>
      </c>
      <c r="B542" s="26">
        <f t="shared" ref="B542:B595" si="72">MONTH(C542)</f>
        <v>1</v>
      </c>
      <c r="C542" s="20"/>
      <c r="D542" s="21"/>
      <c r="F542" s="23" t="e">
        <f>VLOOKUP(E542,Customers[],2,FALSE)</f>
        <v>#N/A</v>
      </c>
      <c r="G542" s="23" t="e">
        <f>VLOOKUP(E542,Customers[],3,FALSE)</f>
        <v>#N/A</v>
      </c>
      <c r="H542" s="23" t="e">
        <f>VLOOKUP(E542,Customers[],4,FALSE)</f>
        <v>#N/A</v>
      </c>
      <c r="J542" s="29" t="e">
        <f>VLOOKUP(I542,PGStock[],2,FALSE)</f>
        <v>#N/A</v>
      </c>
      <c r="K542" s="30" t="e">
        <f>VLOOKUP(I542,PGStock[],3,FALSE)</f>
        <v>#N/A</v>
      </c>
      <c r="M542" s="31" t="e">
        <f>VLOOKUP(I542,PGStock[],6,FALSE)</f>
        <v>#N/A</v>
      </c>
      <c r="N542" s="31" t="e">
        <f>+Table8[[#This Row],[SalesBot]]*Table8[[#This Row],[Bonus]]</f>
        <v>#N/A</v>
      </c>
    </row>
    <row r="543" spans="1:14" ht="23.25" customHeight="1" x14ac:dyDescent="0.25">
      <c r="A543" s="26">
        <f t="shared" si="71"/>
        <v>1900</v>
      </c>
      <c r="B543" s="26">
        <f t="shared" si="72"/>
        <v>1</v>
      </c>
      <c r="C543" s="20"/>
      <c r="D543" s="21"/>
      <c r="F543" s="23" t="e">
        <f>VLOOKUP(E543,Customers[],2,FALSE)</f>
        <v>#N/A</v>
      </c>
      <c r="G543" s="23" t="e">
        <f>VLOOKUP(E543,Customers[],3,FALSE)</f>
        <v>#N/A</v>
      </c>
      <c r="H543" s="23" t="e">
        <f>VLOOKUP(E543,Customers[],4,FALSE)</f>
        <v>#N/A</v>
      </c>
      <c r="J543" s="29" t="e">
        <f>VLOOKUP(I543,PGStock[],2,FALSE)</f>
        <v>#N/A</v>
      </c>
      <c r="K543" s="30" t="e">
        <f>VLOOKUP(I543,PGStock[],3,FALSE)</f>
        <v>#N/A</v>
      </c>
      <c r="M543" s="31" t="e">
        <f>VLOOKUP(I543,PGStock[],6,FALSE)</f>
        <v>#N/A</v>
      </c>
      <c r="N543" s="31" t="e">
        <f>+Table8[[#This Row],[SalesBot]]*Table8[[#This Row],[Bonus]]</f>
        <v>#N/A</v>
      </c>
    </row>
    <row r="544" spans="1:14" ht="23.25" customHeight="1" x14ac:dyDescent="0.25">
      <c r="A544" s="26">
        <f t="shared" si="71"/>
        <v>1900</v>
      </c>
      <c r="B544" s="26">
        <f t="shared" si="72"/>
        <v>1</v>
      </c>
      <c r="C544" s="20"/>
      <c r="D544" s="21"/>
      <c r="F544" s="23" t="e">
        <f>VLOOKUP(E544,Customers[],2,FALSE)</f>
        <v>#N/A</v>
      </c>
      <c r="G544" s="23" t="e">
        <f>VLOOKUP(E544,Customers[],3,FALSE)</f>
        <v>#N/A</v>
      </c>
      <c r="H544" s="23" t="e">
        <f>VLOOKUP(E544,Customers[],4,FALSE)</f>
        <v>#N/A</v>
      </c>
      <c r="J544" s="29" t="e">
        <f>VLOOKUP(I544,PGStock[],2,FALSE)</f>
        <v>#N/A</v>
      </c>
      <c r="K544" s="30" t="e">
        <f>VLOOKUP(I544,PGStock[],3,FALSE)</f>
        <v>#N/A</v>
      </c>
      <c r="M544" s="31" t="e">
        <f>VLOOKUP(I544,PGStock[],6,FALSE)</f>
        <v>#N/A</v>
      </c>
      <c r="N544" s="31" t="e">
        <f>+Table8[[#This Row],[SalesBot]]*Table8[[#This Row],[Bonus]]</f>
        <v>#N/A</v>
      </c>
    </row>
    <row r="545" spans="1:14" ht="23.25" customHeight="1" x14ac:dyDescent="0.25">
      <c r="A545" s="26">
        <f t="shared" si="71"/>
        <v>1900</v>
      </c>
      <c r="B545" s="26">
        <f t="shared" si="72"/>
        <v>1</v>
      </c>
      <c r="C545" s="20"/>
      <c r="D545" s="21"/>
      <c r="F545" s="23" t="e">
        <f>VLOOKUP(E545,Customers[],2,FALSE)</f>
        <v>#N/A</v>
      </c>
      <c r="G545" s="23" t="e">
        <f>VLOOKUP(E545,Customers[],3,FALSE)</f>
        <v>#N/A</v>
      </c>
      <c r="H545" s="23" t="e">
        <f>VLOOKUP(E545,Customers[],4,FALSE)</f>
        <v>#N/A</v>
      </c>
      <c r="J545" s="29" t="e">
        <f>VLOOKUP(I545,PGStock[],2,FALSE)</f>
        <v>#N/A</v>
      </c>
      <c r="K545" s="30" t="e">
        <f>VLOOKUP(I545,PGStock[],3,FALSE)</f>
        <v>#N/A</v>
      </c>
      <c r="M545" s="31" t="e">
        <f>VLOOKUP(I545,PGStock[],6,FALSE)</f>
        <v>#N/A</v>
      </c>
      <c r="N545" s="31" t="e">
        <f>+Table8[[#This Row],[SalesBot]]*Table8[[#This Row],[Bonus]]</f>
        <v>#N/A</v>
      </c>
    </row>
    <row r="546" spans="1:14" ht="23.25" customHeight="1" x14ac:dyDescent="0.25">
      <c r="A546" s="26">
        <f t="shared" si="71"/>
        <v>1900</v>
      </c>
      <c r="B546" s="26">
        <f t="shared" si="72"/>
        <v>1</v>
      </c>
      <c r="C546" s="20"/>
      <c r="D546" s="21"/>
      <c r="F546" s="23" t="e">
        <f>VLOOKUP(E546,Customers[],2,FALSE)</f>
        <v>#N/A</v>
      </c>
      <c r="G546" s="23" t="e">
        <f>VLOOKUP(E546,Customers[],3,FALSE)</f>
        <v>#N/A</v>
      </c>
      <c r="H546" s="23" t="e">
        <f>VLOOKUP(E546,Customers[],4,FALSE)</f>
        <v>#N/A</v>
      </c>
      <c r="J546" s="29" t="e">
        <f>VLOOKUP(I546,PGStock[],2,FALSE)</f>
        <v>#N/A</v>
      </c>
      <c r="K546" s="30" t="e">
        <f>VLOOKUP(I546,PGStock[],3,FALSE)</f>
        <v>#N/A</v>
      </c>
      <c r="M546" s="31" t="e">
        <f>VLOOKUP(I546,PGStock[],6,FALSE)</f>
        <v>#N/A</v>
      </c>
      <c r="N546" s="31" t="e">
        <f>+Table8[[#This Row],[SalesBot]]*Table8[[#This Row],[Bonus]]</f>
        <v>#N/A</v>
      </c>
    </row>
    <row r="547" spans="1:14" ht="23.25" customHeight="1" x14ac:dyDescent="0.25">
      <c r="A547" s="26">
        <f t="shared" si="71"/>
        <v>1900</v>
      </c>
      <c r="B547" s="26">
        <f t="shared" si="72"/>
        <v>1</v>
      </c>
      <c r="C547" s="20"/>
      <c r="D547" s="21"/>
      <c r="F547" s="23" t="e">
        <f>VLOOKUP(E547,Customers[],2,FALSE)</f>
        <v>#N/A</v>
      </c>
      <c r="G547" s="23" t="e">
        <f>VLOOKUP(E547,Customers[],3,FALSE)</f>
        <v>#N/A</v>
      </c>
      <c r="H547" s="23" t="e">
        <f>VLOOKUP(E547,Customers[],4,FALSE)</f>
        <v>#N/A</v>
      </c>
      <c r="J547" s="29" t="e">
        <f>VLOOKUP(I547,PGStock[],2,FALSE)</f>
        <v>#N/A</v>
      </c>
      <c r="K547" s="30" t="e">
        <f>VLOOKUP(I547,PGStock[],3,FALSE)</f>
        <v>#N/A</v>
      </c>
      <c r="M547" s="31" t="e">
        <f>VLOOKUP(I547,PGStock[],6,FALSE)</f>
        <v>#N/A</v>
      </c>
      <c r="N547" s="31" t="e">
        <f>+Table8[[#This Row],[SalesBot]]*Table8[[#This Row],[Bonus]]</f>
        <v>#N/A</v>
      </c>
    </row>
    <row r="548" spans="1:14" ht="23.25" customHeight="1" x14ac:dyDescent="0.25">
      <c r="A548" s="26">
        <f t="shared" si="71"/>
        <v>1900</v>
      </c>
      <c r="B548" s="26">
        <f t="shared" si="72"/>
        <v>1</v>
      </c>
      <c r="C548" s="20"/>
      <c r="D548" s="21"/>
      <c r="F548" s="23" t="e">
        <f>VLOOKUP(E548,Customers[],2,FALSE)</f>
        <v>#N/A</v>
      </c>
      <c r="G548" s="23" t="e">
        <f>VLOOKUP(E548,Customers[],3,FALSE)</f>
        <v>#N/A</v>
      </c>
      <c r="H548" s="23" t="e">
        <f>VLOOKUP(E548,Customers[],4,FALSE)</f>
        <v>#N/A</v>
      </c>
      <c r="J548" s="29" t="e">
        <f>VLOOKUP(I548,PGStock[],2,FALSE)</f>
        <v>#N/A</v>
      </c>
      <c r="K548" s="30" t="e">
        <f>VLOOKUP(I548,PGStock[],3,FALSE)</f>
        <v>#N/A</v>
      </c>
      <c r="M548" s="31" t="e">
        <f>VLOOKUP(I548,PGStock[],6,FALSE)</f>
        <v>#N/A</v>
      </c>
      <c r="N548" s="31" t="e">
        <f>+Table8[[#This Row],[SalesBot]]*Table8[[#This Row],[Bonus]]</f>
        <v>#N/A</v>
      </c>
    </row>
    <row r="549" spans="1:14" ht="23.25" customHeight="1" x14ac:dyDescent="0.25">
      <c r="A549" s="26">
        <f t="shared" si="71"/>
        <v>1900</v>
      </c>
      <c r="B549" s="26">
        <f t="shared" si="72"/>
        <v>1</v>
      </c>
      <c r="C549" s="20"/>
      <c r="D549" s="21"/>
      <c r="F549" s="23" t="e">
        <f>VLOOKUP(E549,Customers[],2,FALSE)</f>
        <v>#N/A</v>
      </c>
      <c r="G549" s="23" t="e">
        <f>VLOOKUP(E549,Customers[],3,FALSE)</f>
        <v>#N/A</v>
      </c>
      <c r="H549" s="23" t="e">
        <f>VLOOKUP(E549,Customers[],4,FALSE)</f>
        <v>#N/A</v>
      </c>
      <c r="J549" s="29" t="e">
        <f>VLOOKUP(I549,PGStock[],2,FALSE)</f>
        <v>#N/A</v>
      </c>
      <c r="K549" s="30" t="e">
        <f>VLOOKUP(I549,PGStock[],3,FALSE)</f>
        <v>#N/A</v>
      </c>
      <c r="M549" s="31" t="e">
        <f>VLOOKUP(I549,PGStock[],6,FALSE)</f>
        <v>#N/A</v>
      </c>
      <c r="N549" s="31" t="e">
        <f>+Table8[[#This Row],[SalesBot]]*Table8[[#This Row],[Bonus]]</f>
        <v>#N/A</v>
      </c>
    </row>
    <row r="550" spans="1:14" ht="23.25" customHeight="1" x14ac:dyDescent="0.25">
      <c r="A550" s="26">
        <f t="shared" si="71"/>
        <v>1900</v>
      </c>
      <c r="B550" s="26">
        <f t="shared" si="72"/>
        <v>1</v>
      </c>
      <c r="C550" s="20"/>
      <c r="D550" s="21"/>
      <c r="F550" s="23" t="e">
        <f>VLOOKUP(E550,Customers[],2,FALSE)</f>
        <v>#N/A</v>
      </c>
      <c r="G550" s="23" t="e">
        <f>VLOOKUP(E550,Customers[],3,FALSE)</f>
        <v>#N/A</v>
      </c>
      <c r="H550" s="23" t="e">
        <f>VLOOKUP(E550,Customers[],4,FALSE)</f>
        <v>#N/A</v>
      </c>
      <c r="J550" s="29" t="e">
        <f>VLOOKUP(I550,PGStock[],2,FALSE)</f>
        <v>#N/A</v>
      </c>
      <c r="K550" s="30" t="e">
        <f>VLOOKUP(I550,PGStock[],3,FALSE)</f>
        <v>#N/A</v>
      </c>
      <c r="M550" s="31" t="e">
        <f>VLOOKUP(I550,PGStock[],6,FALSE)</f>
        <v>#N/A</v>
      </c>
      <c r="N550" s="31" t="e">
        <f>+Table8[[#This Row],[SalesBot]]*Table8[[#This Row],[Bonus]]</f>
        <v>#N/A</v>
      </c>
    </row>
    <row r="551" spans="1:14" ht="23.25" customHeight="1" x14ac:dyDescent="0.25">
      <c r="A551" s="26">
        <f t="shared" si="71"/>
        <v>1900</v>
      </c>
      <c r="B551" s="26">
        <f t="shared" si="72"/>
        <v>1</v>
      </c>
      <c r="C551" s="20"/>
      <c r="D551" s="21"/>
      <c r="F551" s="23" t="e">
        <f>VLOOKUP(E551,Customers[],2,FALSE)</f>
        <v>#N/A</v>
      </c>
      <c r="G551" s="23" t="e">
        <f>VLOOKUP(E551,Customers[],3,FALSE)</f>
        <v>#N/A</v>
      </c>
      <c r="H551" s="23" t="e">
        <f>VLOOKUP(E551,Customers[],4,FALSE)</f>
        <v>#N/A</v>
      </c>
      <c r="J551" s="29" t="e">
        <f>VLOOKUP(I551,PGStock[],2,FALSE)</f>
        <v>#N/A</v>
      </c>
      <c r="K551" s="30" t="e">
        <f>VLOOKUP(I551,PGStock[],3,FALSE)</f>
        <v>#N/A</v>
      </c>
      <c r="M551" s="31" t="e">
        <f>VLOOKUP(I551,PGStock[],6,FALSE)</f>
        <v>#N/A</v>
      </c>
      <c r="N551" s="31" t="e">
        <f>+Table8[[#This Row],[SalesBot]]*Table8[[#This Row],[Bonus]]</f>
        <v>#N/A</v>
      </c>
    </row>
    <row r="552" spans="1:14" ht="23.25" customHeight="1" x14ac:dyDescent="0.25">
      <c r="A552" s="26">
        <f t="shared" si="71"/>
        <v>1900</v>
      </c>
      <c r="B552" s="26">
        <f t="shared" si="72"/>
        <v>1</v>
      </c>
      <c r="C552" s="20"/>
      <c r="D552" s="21"/>
      <c r="F552" s="23" t="e">
        <f>VLOOKUP(E552,Customers[],2,FALSE)</f>
        <v>#N/A</v>
      </c>
      <c r="G552" s="23" t="e">
        <f>VLOOKUP(E552,Customers[],3,FALSE)</f>
        <v>#N/A</v>
      </c>
      <c r="H552" s="23" t="e">
        <f>VLOOKUP(E552,Customers[],4,FALSE)</f>
        <v>#N/A</v>
      </c>
      <c r="J552" s="29" t="e">
        <f>VLOOKUP(I552,PGStock[],2,FALSE)</f>
        <v>#N/A</v>
      </c>
      <c r="K552" s="30" t="e">
        <f>VLOOKUP(I552,PGStock[],3,FALSE)</f>
        <v>#N/A</v>
      </c>
      <c r="M552" s="31" t="e">
        <f>VLOOKUP(I552,PGStock[],6,FALSE)</f>
        <v>#N/A</v>
      </c>
      <c r="N552" s="31" t="e">
        <f>+Table8[[#This Row],[SalesBot]]*Table8[[#This Row],[Bonus]]</f>
        <v>#N/A</v>
      </c>
    </row>
    <row r="553" spans="1:14" ht="23.25" customHeight="1" x14ac:dyDescent="0.25">
      <c r="A553" s="26">
        <f t="shared" si="71"/>
        <v>1900</v>
      </c>
      <c r="B553" s="26">
        <f t="shared" si="72"/>
        <v>1</v>
      </c>
      <c r="C553" s="20"/>
      <c r="D553" s="21"/>
      <c r="F553" s="23" t="e">
        <f>VLOOKUP(E553,Customers[],2,FALSE)</f>
        <v>#N/A</v>
      </c>
      <c r="G553" s="23" t="e">
        <f>VLOOKUP(E553,Customers[],3,FALSE)</f>
        <v>#N/A</v>
      </c>
      <c r="H553" s="23" t="e">
        <f>VLOOKUP(E553,Customers[],4,FALSE)</f>
        <v>#N/A</v>
      </c>
      <c r="J553" s="29" t="e">
        <f>VLOOKUP(I553,PGStock[],2,FALSE)</f>
        <v>#N/A</v>
      </c>
      <c r="K553" s="30" t="e">
        <f>VLOOKUP(I553,PGStock[],3,FALSE)</f>
        <v>#N/A</v>
      </c>
      <c r="M553" s="31" t="e">
        <f>VLOOKUP(I553,PGStock[],6,FALSE)</f>
        <v>#N/A</v>
      </c>
      <c r="N553" s="31" t="e">
        <f>+Table8[[#This Row],[SalesBot]]*Table8[[#This Row],[Bonus]]</f>
        <v>#N/A</v>
      </c>
    </row>
    <row r="554" spans="1:14" ht="23.25" customHeight="1" x14ac:dyDescent="0.25">
      <c r="A554" s="26">
        <f t="shared" si="71"/>
        <v>1900</v>
      </c>
      <c r="B554" s="26">
        <f t="shared" si="72"/>
        <v>1</v>
      </c>
      <c r="C554" s="20"/>
      <c r="D554" s="21"/>
      <c r="F554" s="23" t="e">
        <f>VLOOKUP(E554,Customers[],2,FALSE)</f>
        <v>#N/A</v>
      </c>
      <c r="G554" s="23" t="e">
        <f>VLOOKUP(E554,Customers[],3,FALSE)</f>
        <v>#N/A</v>
      </c>
      <c r="H554" s="23" t="e">
        <f>VLOOKUP(E554,Customers[],4,FALSE)</f>
        <v>#N/A</v>
      </c>
      <c r="J554" s="29" t="e">
        <f>VLOOKUP(I554,PGStock[],2,FALSE)</f>
        <v>#N/A</v>
      </c>
      <c r="K554" s="30" t="e">
        <f>VLOOKUP(I554,PGStock[],3,FALSE)</f>
        <v>#N/A</v>
      </c>
      <c r="M554" s="31" t="e">
        <f>VLOOKUP(I554,PGStock[],6,FALSE)</f>
        <v>#N/A</v>
      </c>
      <c r="N554" s="31" t="e">
        <f>+Table8[[#This Row],[SalesBot]]*Table8[[#This Row],[Bonus]]</f>
        <v>#N/A</v>
      </c>
    </row>
    <row r="555" spans="1:14" ht="23.25" customHeight="1" x14ac:dyDescent="0.25">
      <c r="A555" s="26">
        <f t="shared" si="71"/>
        <v>1900</v>
      </c>
      <c r="B555" s="26">
        <f t="shared" si="72"/>
        <v>1</v>
      </c>
      <c r="C555" s="20"/>
      <c r="D555" s="21"/>
      <c r="F555" s="23" t="e">
        <f>VLOOKUP(E555,Customers[],2,FALSE)</f>
        <v>#N/A</v>
      </c>
      <c r="G555" s="23" t="e">
        <f>VLOOKUP(E555,Customers[],3,FALSE)</f>
        <v>#N/A</v>
      </c>
      <c r="H555" s="23" t="e">
        <f>VLOOKUP(E555,Customers[],4,FALSE)</f>
        <v>#N/A</v>
      </c>
      <c r="J555" s="29" t="e">
        <f>VLOOKUP(I555,PGStock[],2,FALSE)</f>
        <v>#N/A</v>
      </c>
      <c r="K555" s="30" t="e">
        <f>VLOOKUP(I555,PGStock[],3,FALSE)</f>
        <v>#N/A</v>
      </c>
      <c r="M555" s="31" t="e">
        <f>VLOOKUP(I555,PGStock[],6,FALSE)</f>
        <v>#N/A</v>
      </c>
      <c r="N555" s="31" t="e">
        <f>+Table8[[#This Row],[SalesBot]]*Table8[[#This Row],[Bonus]]</f>
        <v>#N/A</v>
      </c>
    </row>
    <row r="556" spans="1:14" ht="23.25" customHeight="1" x14ac:dyDescent="0.25">
      <c r="A556" s="26">
        <f t="shared" si="71"/>
        <v>1900</v>
      </c>
      <c r="B556" s="26">
        <f t="shared" si="72"/>
        <v>1</v>
      </c>
      <c r="C556" s="20"/>
      <c r="D556" s="21"/>
      <c r="F556" s="23" t="e">
        <f>VLOOKUP(E556,Customers[],2,FALSE)</f>
        <v>#N/A</v>
      </c>
      <c r="G556" s="23" t="e">
        <f>VLOOKUP(E556,Customers[],3,FALSE)</f>
        <v>#N/A</v>
      </c>
      <c r="H556" s="23" t="e">
        <f>VLOOKUP(E556,Customers[],4,FALSE)</f>
        <v>#N/A</v>
      </c>
      <c r="J556" s="29" t="e">
        <f>VLOOKUP(I556,PGStock[],2,FALSE)</f>
        <v>#N/A</v>
      </c>
      <c r="K556" s="30" t="e">
        <f>VLOOKUP(I556,PGStock[],3,FALSE)</f>
        <v>#N/A</v>
      </c>
      <c r="M556" s="31" t="e">
        <f>VLOOKUP(I556,PGStock[],6,FALSE)</f>
        <v>#N/A</v>
      </c>
      <c r="N556" s="31" t="e">
        <f>+Table8[[#This Row],[SalesBot]]*Table8[[#This Row],[Bonus]]</f>
        <v>#N/A</v>
      </c>
    </row>
    <row r="557" spans="1:14" ht="23.25" customHeight="1" x14ac:dyDescent="0.25">
      <c r="A557" s="26">
        <f t="shared" si="71"/>
        <v>1900</v>
      </c>
      <c r="B557" s="26">
        <f t="shared" si="72"/>
        <v>1</v>
      </c>
      <c r="C557" s="20"/>
      <c r="D557" s="21"/>
      <c r="F557" s="23" t="e">
        <f>VLOOKUP(E557,Customers[],2,FALSE)</f>
        <v>#N/A</v>
      </c>
      <c r="G557" s="23" t="e">
        <f>VLOOKUP(E557,Customers[],3,FALSE)</f>
        <v>#N/A</v>
      </c>
      <c r="H557" s="23" t="e">
        <f>VLOOKUP(E557,Customers[],4,FALSE)</f>
        <v>#N/A</v>
      </c>
      <c r="J557" s="29" t="e">
        <f>VLOOKUP(I557,PGStock[],2,FALSE)</f>
        <v>#N/A</v>
      </c>
      <c r="K557" s="30" t="e">
        <f>VLOOKUP(I557,PGStock[],3,FALSE)</f>
        <v>#N/A</v>
      </c>
      <c r="M557" s="31" t="e">
        <f>VLOOKUP(I557,PGStock[],6,FALSE)</f>
        <v>#N/A</v>
      </c>
      <c r="N557" s="31" t="e">
        <f>+Table8[[#This Row],[SalesBot]]*Table8[[#This Row],[Bonus]]</f>
        <v>#N/A</v>
      </c>
    </row>
    <row r="558" spans="1:14" ht="23.25" customHeight="1" x14ac:dyDescent="0.25">
      <c r="A558" s="26">
        <f t="shared" si="71"/>
        <v>1900</v>
      </c>
      <c r="B558" s="26">
        <f t="shared" si="72"/>
        <v>1</v>
      </c>
      <c r="C558" s="20"/>
      <c r="D558" s="21"/>
      <c r="F558" s="23" t="e">
        <f>VLOOKUP(E558,Customers[],2,FALSE)</f>
        <v>#N/A</v>
      </c>
      <c r="G558" s="23" t="e">
        <f>VLOOKUP(E558,Customers[],3,FALSE)</f>
        <v>#N/A</v>
      </c>
      <c r="H558" s="23" t="e">
        <f>VLOOKUP(E558,Customers[],4,FALSE)</f>
        <v>#N/A</v>
      </c>
      <c r="J558" s="29" t="e">
        <f>VLOOKUP(I558,PGStock[],2,FALSE)</f>
        <v>#N/A</v>
      </c>
      <c r="K558" s="30" t="e">
        <f>VLOOKUP(I558,PGStock[],3,FALSE)</f>
        <v>#N/A</v>
      </c>
      <c r="M558" s="31" t="e">
        <f>VLOOKUP(I558,PGStock[],6,FALSE)</f>
        <v>#N/A</v>
      </c>
      <c r="N558" s="31" t="e">
        <f>+Table8[[#This Row],[SalesBot]]*Table8[[#This Row],[Bonus]]</f>
        <v>#N/A</v>
      </c>
    </row>
    <row r="559" spans="1:14" ht="23.25" customHeight="1" x14ac:dyDescent="0.25">
      <c r="A559" s="26">
        <f t="shared" si="71"/>
        <v>1900</v>
      </c>
      <c r="B559" s="26">
        <f t="shared" si="72"/>
        <v>1</v>
      </c>
      <c r="C559" s="20"/>
      <c r="D559" s="21"/>
      <c r="F559" s="23" t="e">
        <f>VLOOKUP(E559,Customers[],2,FALSE)</f>
        <v>#N/A</v>
      </c>
      <c r="G559" s="23" t="e">
        <f>VLOOKUP(E559,Customers[],3,FALSE)</f>
        <v>#N/A</v>
      </c>
      <c r="H559" s="23" t="e">
        <f>VLOOKUP(E559,Customers[],4,FALSE)</f>
        <v>#N/A</v>
      </c>
      <c r="J559" s="29" t="e">
        <f>VLOOKUP(I559,PGStock[],2,FALSE)</f>
        <v>#N/A</v>
      </c>
      <c r="K559" s="30" t="e">
        <f>VLOOKUP(I559,PGStock[],3,FALSE)</f>
        <v>#N/A</v>
      </c>
      <c r="M559" s="31" t="e">
        <f>VLOOKUP(I559,PGStock[],6,FALSE)</f>
        <v>#N/A</v>
      </c>
      <c r="N559" s="31" t="e">
        <f>+Table8[[#This Row],[SalesBot]]*Table8[[#This Row],[Bonus]]</f>
        <v>#N/A</v>
      </c>
    </row>
    <row r="560" spans="1:14" ht="23.25" customHeight="1" x14ac:dyDescent="0.25">
      <c r="A560" s="26">
        <f t="shared" si="71"/>
        <v>1900</v>
      </c>
      <c r="B560" s="26">
        <f t="shared" si="72"/>
        <v>1</v>
      </c>
      <c r="C560" s="20"/>
      <c r="D560" s="21"/>
      <c r="F560" s="23" t="e">
        <f>VLOOKUP(E560,Customers[],2,FALSE)</f>
        <v>#N/A</v>
      </c>
      <c r="G560" s="23" t="e">
        <f>VLOOKUP(E560,Customers[],3,FALSE)</f>
        <v>#N/A</v>
      </c>
      <c r="H560" s="23" t="e">
        <f>VLOOKUP(E560,Customers[],4,FALSE)</f>
        <v>#N/A</v>
      </c>
      <c r="J560" s="29" t="e">
        <f>VLOOKUP(I560,PGStock[],2,FALSE)</f>
        <v>#N/A</v>
      </c>
      <c r="K560" s="30" t="e">
        <f>VLOOKUP(I560,PGStock[],3,FALSE)</f>
        <v>#N/A</v>
      </c>
      <c r="M560" s="31" t="e">
        <f>VLOOKUP(I560,PGStock[],6,FALSE)</f>
        <v>#N/A</v>
      </c>
      <c r="N560" s="31" t="e">
        <f>+Table8[[#This Row],[SalesBot]]*Table8[[#This Row],[Bonus]]</f>
        <v>#N/A</v>
      </c>
    </row>
    <row r="561" spans="1:14" ht="23.25" customHeight="1" x14ac:dyDescent="0.25">
      <c r="A561" s="26">
        <f t="shared" si="71"/>
        <v>1900</v>
      </c>
      <c r="B561" s="26">
        <f t="shared" si="72"/>
        <v>1</v>
      </c>
      <c r="C561" s="20"/>
      <c r="D561" s="21"/>
      <c r="F561" s="23" t="e">
        <f>VLOOKUP(E561,Customers[],2,FALSE)</f>
        <v>#N/A</v>
      </c>
      <c r="G561" s="23" t="e">
        <f>VLOOKUP(E561,Customers[],3,FALSE)</f>
        <v>#N/A</v>
      </c>
      <c r="H561" s="23" t="e">
        <f>VLOOKUP(E561,Customers[],4,FALSE)</f>
        <v>#N/A</v>
      </c>
      <c r="J561" s="29" t="e">
        <f>VLOOKUP(I561,PGStock[],2,FALSE)</f>
        <v>#N/A</v>
      </c>
      <c r="K561" s="30" t="e">
        <f>VLOOKUP(I561,PGStock[],3,FALSE)</f>
        <v>#N/A</v>
      </c>
      <c r="M561" s="31" t="e">
        <f>VLOOKUP(I561,PGStock[],6,FALSE)</f>
        <v>#N/A</v>
      </c>
      <c r="N561" s="31" t="e">
        <f>+Table8[[#This Row],[SalesBot]]*Table8[[#This Row],[Bonus]]</f>
        <v>#N/A</v>
      </c>
    </row>
    <row r="562" spans="1:14" ht="23.25" customHeight="1" x14ac:dyDescent="0.25">
      <c r="A562" s="26">
        <f t="shared" si="71"/>
        <v>1900</v>
      </c>
      <c r="B562" s="26">
        <f t="shared" si="72"/>
        <v>1</v>
      </c>
      <c r="C562" s="20"/>
      <c r="D562" s="21"/>
      <c r="F562" s="23" t="e">
        <f>VLOOKUP(E562,Customers[],2,FALSE)</f>
        <v>#N/A</v>
      </c>
      <c r="G562" s="23" t="e">
        <f>VLOOKUP(E562,Customers[],3,FALSE)</f>
        <v>#N/A</v>
      </c>
      <c r="H562" s="23" t="e">
        <f>VLOOKUP(E562,Customers[],4,FALSE)</f>
        <v>#N/A</v>
      </c>
      <c r="J562" s="29" t="e">
        <f>VLOOKUP(I562,PGStock[],2,FALSE)</f>
        <v>#N/A</v>
      </c>
      <c r="K562" s="30" t="e">
        <f>VLOOKUP(I562,PGStock[],3,FALSE)</f>
        <v>#N/A</v>
      </c>
      <c r="M562" s="31" t="e">
        <f>VLOOKUP(I562,PGStock[],6,FALSE)</f>
        <v>#N/A</v>
      </c>
      <c r="N562" s="31" t="e">
        <f>+Table8[[#This Row],[SalesBot]]*Table8[[#This Row],[Bonus]]</f>
        <v>#N/A</v>
      </c>
    </row>
    <row r="563" spans="1:14" ht="23.25" customHeight="1" x14ac:dyDescent="0.25">
      <c r="A563" s="26">
        <f t="shared" si="71"/>
        <v>1900</v>
      </c>
      <c r="B563" s="26">
        <f t="shared" si="72"/>
        <v>1</v>
      </c>
      <c r="C563" s="20"/>
      <c r="D563" s="21"/>
      <c r="F563" s="23" t="e">
        <f>VLOOKUP(E563,Customers[],2,FALSE)</f>
        <v>#N/A</v>
      </c>
      <c r="G563" s="23" t="e">
        <f>VLOOKUP(E563,Customers[],3,FALSE)</f>
        <v>#N/A</v>
      </c>
      <c r="H563" s="23" t="e">
        <f>VLOOKUP(E563,Customers[],4,FALSE)</f>
        <v>#N/A</v>
      </c>
      <c r="J563" s="29" t="e">
        <f>VLOOKUP(I563,PGStock[],2,FALSE)</f>
        <v>#N/A</v>
      </c>
      <c r="K563" s="30" t="e">
        <f>VLOOKUP(I563,PGStock[],3,FALSE)</f>
        <v>#N/A</v>
      </c>
      <c r="M563" s="31" t="e">
        <f>VLOOKUP(I563,PGStock[],6,FALSE)</f>
        <v>#N/A</v>
      </c>
      <c r="N563" s="31" t="e">
        <f>+Table8[[#This Row],[SalesBot]]*Table8[[#This Row],[Bonus]]</f>
        <v>#N/A</v>
      </c>
    </row>
    <row r="564" spans="1:14" ht="23.25" customHeight="1" x14ac:dyDescent="0.25">
      <c r="A564" s="26">
        <f t="shared" si="71"/>
        <v>1900</v>
      </c>
      <c r="B564" s="26">
        <f t="shared" si="72"/>
        <v>1</v>
      </c>
      <c r="C564" s="20"/>
      <c r="D564" s="21"/>
      <c r="F564" s="23" t="e">
        <f>VLOOKUP(E564,Customers[],2,FALSE)</f>
        <v>#N/A</v>
      </c>
      <c r="G564" s="23" t="e">
        <f>VLOOKUP(E564,Customers[],3,FALSE)</f>
        <v>#N/A</v>
      </c>
      <c r="H564" s="23" t="e">
        <f>VLOOKUP(E564,Customers[],4,FALSE)</f>
        <v>#N/A</v>
      </c>
      <c r="J564" s="29" t="e">
        <f>VLOOKUP(I564,PGStock[],2,FALSE)</f>
        <v>#N/A</v>
      </c>
      <c r="K564" s="30" t="e">
        <f>VLOOKUP(I564,PGStock[],3,FALSE)</f>
        <v>#N/A</v>
      </c>
      <c r="M564" s="31" t="e">
        <f>VLOOKUP(I564,PGStock[],6,FALSE)</f>
        <v>#N/A</v>
      </c>
      <c r="N564" s="31" t="e">
        <f>+Table8[[#This Row],[SalesBot]]*Table8[[#This Row],[Bonus]]</f>
        <v>#N/A</v>
      </c>
    </row>
    <row r="565" spans="1:14" ht="23.25" customHeight="1" x14ac:dyDescent="0.25">
      <c r="A565" s="26">
        <f t="shared" si="71"/>
        <v>1900</v>
      </c>
      <c r="B565" s="26">
        <f t="shared" si="72"/>
        <v>1</v>
      </c>
      <c r="C565" s="20"/>
      <c r="D565" s="21"/>
      <c r="F565" s="23" t="e">
        <f>VLOOKUP(E565,Customers[],2,FALSE)</f>
        <v>#N/A</v>
      </c>
      <c r="G565" s="23" t="e">
        <f>VLOOKUP(E565,Customers[],3,FALSE)</f>
        <v>#N/A</v>
      </c>
      <c r="H565" s="23" t="e">
        <f>VLOOKUP(E565,Customers[],4,FALSE)</f>
        <v>#N/A</v>
      </c>
      <c r="J565" s="29" t="e">
        <f>VLOOKUP(I565,PGStock[],2,FALSE)</f>
        <v>#N/A</v>
      </c>
      <c r="K565" s="30" t="e">
        <f>VLOOKUP(I565,PGStock[],3,FALSE)</f>
        <v>#N/A</v>
      </c>
      <c r="M565" s="31" t="e">
        <f>VLOOKUP(I565,PGStock[],6,FALSE)</f>
        <v>#N/A</v>
      </c>
      <c r="N565" s="31" t="e">
        <f>+Table8[[#This Row],[SalesBot]]*Table8[[#This Row],[Bonus]]</f>
        <v>#N/A</v>
      </c>
    </row>
    <row r="566" spans="1:14" ht="23.25" customHeight="1" x14ac:dyDescent="0.25">
      <c r="A566" s="26">
        <f t="shared" si="71"/>
        <v>1900</v>
      </c>
      <c r="B566" s="26">
        <f t="shared" si="72"/>
        <v>1</v>
      </c>
      <c r="C566" s="20"/>
      <c r="D566" s="21"/>
      <c r="F566" s="23" t="e">
        <f>VLOOKUP(E566,Customers[],2,FALSE)</f>
        <v>#N/A</v>
      </c>
      <c r="G566" s="23" t="e">
        <f>VLOOKUP(E566,Customers[],3,FALSE)</f>
        <v>#N/A</v>
      </c>
      <c r="H566" s="23" t="e">
        <f>VLOOKUP(E566,Customers[],4,FALSE)</f>
        <v>#N/A</v>
      </c>
      <c r="J566" s="29" t="e">
        <f>VLOOKUP(I566,PGStock[],2,FALSE)</f>
        <v>#N/A</v>
      </c>
      <c r="K566" s="30" t="e">
        <f>VLOOKUP(I566,PGStock[],3,FALSE)</f>
        <v>#N/A</v>
      </c>
      <c r="M566" s="31" t="e">
        <f>VLOOKUP(I566,PGStock[],6,FALSE)</f>
        <v>#N/A</v>
      </c>
      <c r="N566" s="31" t="e">
        <f>+Table8[[#This Row],[SalesBot]]*Table8[[#This Row],[Bonus]]</f>
        <v>#N/A</v>
      </c>
    </row>
    <row r="567" spans="1:14" ht="23.25" customHeight="1" x14ac:dyDescent="0.25">
      <c r="A567" s="26">
        <f t="shared" si="71"/>
        <v>1900</v>
      </c>
      <c r="B567" s="26">
        <f t="shared" si="72"/>
        <v>1</v>
      </c>
      <c r="C567" s="20"/>
      <c r="D567" s="21"/>
      <c r="F567" s="23" t="e">
        <f>VLOOKUP(E567,Customers[],2,FALSE)</f>
        <v>#N/A</v>
      </c>
      <c r="G567" s="23" t="e">
        <f>VLOOKUP(E567,Customers[],3,FALSE)</f>
        <v>#N/A</v>
      </c>
      <c r="H567" s="23" t="e">
        <f>VLOOKUP(E567,Customers[],4,FALSE)</f>
        <v>#N/A</v>
      </c>
      <c r="J567" s="29" t="e">
        <f>VLOOKUP(I567,PGStock[],2,FALSE)</f>
        <v>#N/A</v>
      </c>
      <c r="K567" s="30" t="e">
        <f>VLOOKUP(I567,PGStock[],3,FALSE)</f>
        <v>#N/A</v>
      </c>
      <c r="M567" s="31" t="e">
        <f>VLOOKUP(I567,PGStock[],6,FALSE)</f>
        <v>#N/A</v>
      </c>
      <c r="N567" s="31" t="e">
        <f>+Table8[[#This Row],[SalesBot]]*Table8[[#This Row],[Bonus]]</f>
        <v>#N/A</v>
      </c>
    </row>
    <row r="568" spans="1:14" ht="23.25" customHeight="1" x14ac:dyDescent="0.25">
      <c r="A568" s="26">
        <f t="shared" si="71"/>
        <v>1900</v>
      </c>
      <c r="B568" s="26">
        <f t="shared" si="72"/>
        <v>1</v>
      </c>
      <c r="C568" s="20"/>
      <c r="D568" s="21"/>
      <c r="F568" s="23" t="e">
        <f>VLOOKUP(E568,Customers[],2,FALSE)</f>
        <v>#N/A</v>
      </c>
      <c r="G568" s="23" t="e">
        <f>VLOOKUP(E568,Customers[],3,FALSE)</f>
        <v>#N/A</v>
      </c>
      <c r="H568" s="23" t="e">
        <f>VLOOKUP(E568,Customers[],4,FALSE)</f>
        <v>#N/A</v>
      </c>
      <c r="J568" s="29" t="e">
        <f>VLOOKUP(I568,PGStock[],2,FALSE)</f>
        <v>#N/A</v>
      </c>
      <c r="K568" s="30" t="e">
        <f>VLOOKUP(I568,PGStock[],3,FALSE)</f>
        <v>#N/A</v>
      </c>
      <c r="M568" s="31" t="e">
        <f>VLOOKUP(I568,PGStock[],6,FALSE)</f>
        <v>#N/A</v>
      </c>
      <c r="N568" s="31" t="e">
        <f>+Table8[[#This Row],[SalesBot]]*Table8[[#This Row],[Bonus]]</f>
        <v>#N/A</v>
      </c>
    </row>
    <row r="569" spans="1:14" ht="23.25" customHeight="1" x14ac:dyDescent="0.25">
      <c r="A569" s="26">
        <f t="shared" si="71"/>
        <v>1900</v>
      </c>
      <c r="B569" s="26">
        <f t="shared" si="72"/>
        <v>1</v>
      </c>
      <c r="C569" s="20"/>
      <c r="D569" s="21"/>
      <c r="F569" s="23" t="e">
        <f>VLOOKUP(E569,Customers[],2,FALSE)</f>
        <v>#N/A</v>
      </c>
      <c r="G569" s="23" t="e">
        <f>VLOOKUP(E569,Customers[],3,FALSE)</f>
        <v>#N/A</v>
      </c>
      <c r="H569" s="23" t="e">
        <f>VLOOKUP(E569,Customers[],4,FALSE)</f>
        <v>#N/A</v>
      </c>
      <c r="J569" s="29" t="e">
        <f>VLOOKUP(I569,PGStock[],2,FALSE)</f>
        <v>#N/A</v>
      </c>
      <c r="K569" s="30" t="e">
        <f>VLOOKUP(I569,PGStock[],3,FALSE)</f>
        <v>#N/A</v>
      </c>
      <c r="M569" s="31" t="e">
        <f>VLOOKUP(I569,PGStock[],6,FALSE)</f>
        <v>#N/A</v>
      </c>
      <c r="N569" s="31" t="e">
        <f>+Table8[[#This Row],[SalesBot]]*Table8[[#This Row],[Bonus]]</f>
        <v>#N/A</v>
      </c>
    </row>
    <row r="570" spans="1:14" ht="23.25" customHeight="1" x14ac:dyDescent="0.25">
      <c r="A570" s="26">
        <f t="shared" si="71"/>
        <v>1900</v>
      </c>
      <c r="B570" s="26">
        <f t="shared" si="72"/>
        <v>1</v>
      </c>
      <c r="C570" s="20"/>
      <c r="D570" s="21"/>
      <c r="F570" s="23" t="e">
        <f>VLOOKUP(E570,Customers[],2,FALSE)</f>
        <v>#N/A</v>
      </c>
      <c r="G570" s="23" t="e">
        <f>VLOOKUP(E570,Customers[],3,FALSE)</f>
        <v>#N/A</v>
      </c>
      <c r="H570" s="23" t="e">
        <f>VLOOKUP(E570,Customers[],4,FALSE)</f>
        <v>#N/A</v>
      </c>
      <c r="J570" s="29" t="e">
        <f>VLOOKUP(I570,PGStock[],2,FALSE)</f>
        <v>#N/A</v>
      </c>
      <c r="K570" s="30" t="e">
        <f>VLOOKUP(I570,PGStock[],3,FALSE)</f>
        <v>#N/A</v>
      </c>
      <c r="M570" s="31" t="e">
        <f>VLOOKUP(I570,PGStock[],6,FALSE)</f>
        <v>#N/A</v>
      </c>
      <c r="N570" s="31" t="e">
        <f>+Table8[[#This Row],[SalesBot]]*Table8[[#This Row],[Bonus]]</f>
        <v>#N/A</v>
      </c>
    </row>
    <row r="571" spans="1:14" ht="23.25" customHeight="1" x14ac:dyDescent="0.25">
      <c r="A571" s="26">
        <f t="shared" si="71"/>
        <v>1900</v>
      </c>
      <c r="B571" s="26">
        <f t="shared" si="72"/>
        <v>1</v>
      </c>
      <c r="C571" s="20"/>
      <c r="D571" s="21"/>
      <c r="F571" s="23" t="e">
        <f>VLOOKUP(E571,Customers[],2,FALSE)</f>
        <v>#N/A</v>
      </c>
      <c r="G571" s="23" t="e">
        <f>VLOOKUP(E571,Customers[],3,FALSE)</f>
        <v>#N/A</v>
      </c>
      <c r="H571" s="23" t="e">
        <f>VLOOKUP(E571,Customers[],4,FALSE)</f>
        <v>#N/A</v>
      </c>
      <c r="J571" s="29" t="e">
        <f>VLOOKUP(I571,PGStock[],2,FALSE)</f>
        <v>#N/A</v>
      </c>
      <c r="K571" s="30" t="e">
        <f>VLOOKUP(I571,PGStock[],3,FALSE)</f>
        <v>#N/A</v>
      </c>
      <c r="M571" s="31" t="e">
        <f>VLOOKUP(I571,PGStock[],6,FALSE)</f>
        <v>#N/A</v>
      </c>
      <c r="N571" s="31" t="e">
        <f>+Table8[[#This Row],[SalesBot]]*Table8[[#This Row],[Bonus]]</f>
        <v>#N/A</v>
      </c>
    </row>
    <row r="572" spans="1:14" ht="23.25" customHeight="1" x14ac:dyDescent="0.25">
      <c r="A572" s="26">
        <f t="shared" si="71"/>
        <v>1900</v>
      </c>
      <c r="B572" s="26">
        <f t="shared" si="72"/>
        <v>1</v>
      </c>
      <c r="C572" s="20"/>
      <c r="D572" s="21"/>
      <c r="F572" s="23" t="e">
        <f>VLOOKUP(E572,Customers[],2,FALSE)</f>
        <v>#N/A</v>
      </c>
      <c r="G572" s="23" t="e">
        <f>VLOOKUP(E572,Customers[],3,FALSE)</f>
        <v>#N/A</v>
      </c>
      <c r="H572" s="23" t="e">
        <f>VLOOKUP(E572,Customers[],4,FALSE)</f>
        <v>#N/A</v>
      </c>
      <c r="J572" s="29" t="e">
        <f>VLOOKUP(I572,PGStock[],2,FALSE)</f>
        <v>#N/A</v>
      </c>
      <c r="K572" s="30" t="e">
        <f>VLOOKUP(I572,PGStock[],3,FALSE)</f>
        <v>#N/A</v>
      </c>
      <c r="M572" s="31" t="e">
        <f>VLOOKUP(I572,PGStock[],6,FALSE)</f>
        <v>#N/A</v>
      </c>
      <c r="N572" s="31" t="e">
        <f>+Table8[[#This Row],[SalesBot]]*Table8[[#This Row],[Bonus]]</f>
        <v>#N/A</v>
      </c>
    </row>
    <row r="573" spans="1:14" ht="23.25" customHeight="1" x14ac:dyDescent="0.25">
      <c r="A573" s="26">
        <f t="shared" si="71"/>
        <v>1900</v>
      </c>
      <c r="B573" s="26">
        <f t="shared" si="72"/>
        <v>1</v>
      </c>
      <c r="C573" s="20"/>
      <c r="D573" s="21"/>
      <c r="F573" s="23" t="e">
        <f>VLOOKUP(E573,Customers[],2,FALSE)</f>
        <v>#N/A</v>
      </c>
      <c r="G573" s="23" t="e">
        <f>VLOOKUP(E573,Customers[],3,FALSE)</f>
        <v>#N/A</v>
      </c>
      <c r="H573" s="23" t="e">
        <f>VLOOKUP(E573,Customers[],4,FALSE)</f>
        <v>#N/A</v>
      </c>
      <c r="J573" s="29" t="e">
        <f>VLOOKUP(I573,PGStock[],2,FALSE)</f>
        <v>#N/A</v>
      </c>
      <c r="K573" s="30" t="e">
        <f>VLOOKUP(I573,PGStock[],3,FALSE)</f>
        <v>#N/A</v>
      </c>
      <c r="M573" s="31" t="e">
        <f>VLOOKUP(I573,PGStock[],6,FALSE)</f>
        <v>#N/A</v>
      </c>
      <c r="N573" s="31" t="e">
        <f>+Table8[[#This Row],[SalesBot]]*Table8[[#This Row],[Bonus]]</f>
        <v>#N/A</v>
      </c>
    </row>
    <row r="574" spans="1:14" ht="23.25" customHeight="1" x14ac:dyDescent="0.25">
      <c r="A574" s="26">
        <f t="shared" si="71"/>
        <v>1900</v>
      </c>
      <c r="B574" s="26">
        <f t="shared" si="72"/>
        <v>1</v>
      </c>
      <c r="C574" s="20"/>
      <c r="D574" s="21"/>
      <c r="F574" s="23" t="e">
        <f>VLOOKUP(E574,Customers[],2,FALSE)</f>
        <v>#N/A</v>
      </c>
      <c r="G574" s="23" t="e">
        <f>VLOOKUP(E574,Customers[],3,FALSE)</f>
        <v>#N/A</v>
      </c>
      <c r="H574" s="23" t="e">
        <f>VLOOKUP(E574,Customers[],4,FALSE)</f>
        <v>#N/A</v>
      </c>
      <c r="J574" s="29" t="e">
        <f>VLOOKUP(I574,PGStock[],2,FALSE)</f>
        <v>#N/A</v>
      </c>
      <c r="K574" s="30" t="e">
        <f>VLOOKUP(I574,PGStock[],3,FALSE)</f>
        <v>#N/A</v>
      </c>
      <c r="M574" s="31" t="e">
        <f>VLOOKUP(I574,PGStock[],6,FALSE)</f>
        <v>#N/A</v>
      </c>
      <c r="N574" s="31" t="e">
        <f>+Table8[[#This Row],[SalesBot]]*Table8[[#This Row],[Bonus]]</f>
        <v>#N/A</v>
      </c>
    </row>
    <row r="575" spans="1:14" ht="23.25" customHeight="1" x14ac:dyDescent="0.25">
      <c r="A575" s="26">
        <f t="shared" si="71"/>
        <v>1900</v>
      </c>
      <c r="B575" s="26">
        <f t="shared" si="72"/>
        <v>1</v>
      </c>
      <c r="C575" s="20"/>
      <c r="D575" s="21"/>
      <c r="F575" s="23" t="e">
        <f>VLOOKUP(E575,Customers[],2,FALSE)</f>
        <v>#N/A</v>
      </c>
      <c r="G575" s="23" t="e">
        <f>VLOOKUP(E575,Customers[],3,FALSE)</f>
        <v>#N/A</v>
      </c>
      <c r="H575" s="23" t="e">
        <f>VLOOKUP(E575,Customers[],4,FALSE)</f>
        <v>#N/A</v>
      </c>
      <c r="J575" s="29" t="e">
        <f>VLOOKUP(I575,PGStock[],2,FALSE)</f>
        <v>#N/A</v>
      </c>
      <c r="K575" s="30" t="e">
        <f>VLOOKUP(I575,PGStock[],3,FALSE)</f>
        <v>#N/A</v>
      </c>
      <c r="M575" s="31" t="e">
        <f>VLOOKUP(I575,PGStock[],6,FALSE)</f>
        <v>#N/A</v>
      </c>
      <c r="N575" s="31" t="e">
        <f>+Table8[[#This Row],[SalesBot]]*Table8[[#This Row],[Bonus]]</f>
        <v>#N/A</v>
      </c>
    </row>
    <row r="576" spans="1:14" ht="23.25" customHeight="1" x14ac:dyDescent="0.25">
      <c r="A576" s="26">
        <f t="shared" ref="A576:A593" si="73">YEAR(C576)</f>
        <v>1900</v>
      </c>
      <c r="B576" s="26">
        <f t="shared" ref="B576:B593" si="74">MONTH(C576)</f>
        <v>1</v>
      </c>
      <c r="C576" s="20"/>
      <c r="D576" s="21"/>
      <c r="F576" s="23" t="e">
        <f>VLOOKUP(E576,Customers[],2,FALSE)</f>
        <v>#N/A</v>
      </c>
      <c r="G576" s="23" t="e">
        <f>VLOOKUP(E576,Customers[],3,FALSE)</f>
        <v>#N/A</v>
      </c>
      <c r="H576" s="23" t="e">
        <f>VLOOKUP(E576,Customers[],4,FALSE)</f>
        <v>#N/A</v>
      </c>
      <c r="J576" s="29" t="e">
        <f>VLOOKUP(I576,PGStock[],2,FALSE)</f>
        <v>#N/A</v>
      </c>
      <c r="K576" s="30" t="e">
        <f>VLOOKUP(I576,PGStock[],3,FALSE)</f>
        <v>#N/A</v>
      </c>
      <c r="M576" s="31" t="e">
        <f>VLOOKUP(I576,PGStock[],6,FALSE)</f>
        <v>#N/A</v>
      </c>
      <c r="N576" s="31" t="e">
        <f>+Table8[[#This Row],[SalesBot]]*Table8[[#This Row],[Bonus]]</f>
        <v>#N/A</v>
      </c>
    </row>
    <row r="577" spans="1:14" ht="23.25" customHeight="1" x14ac:dyDescent="0.25">
      <c r="A577" s="26">
        <f t="shared" si="73"/>
        <v>1900</v>
      </c>
      <c r="B577" s="26">
        <f t="shared" si="74"/>
        <v>1</v>
      </c>
      <c r="C577" s="20"/>
      <c r="D577" s="21"/>
      <c r="F577" s="23" t="e">
        <f>VLOOKUP(E577,Customers[],2,FALSE)</f>
        <v>#N/A</v>
      </c>
      <c r="G577" s="23" t="e">
        <f>VLOOKUP(E577,Customers[],3,FALSE)</f>
        <v>#N/A</v>
      </c>
      <c r="H577" s="23" t="e">
        <f>VLOOKUP(E577,Customers[],4,FALSE)</f>
        <v>#N/A</v>
      </c>
      <c r="J577" s="29" t="e">
        <f>VLOOKUP(I577,PGStock[],2,FALSE)</f>
        <v>#N/A</v>
      </c>
      <c r="K577" s="30" t="e">
        <f>VLOOKUP(I577,PGStock[],3,FALSE)</f>
        <v>#N/A</v>
      </c>
      <c r="M577" s="31" t="e">
        <f>VLOOKUP(I577,PGStock[],6,FALSE)</f>
        <v>#N/A</v>
      </c>
      <c r="N577" s="31" t="e">
        <f>+Table8[[#This Row],[SalesBot]]*Table8[[#This Row],[Bonus]]</f>
        <v>#N/A</v>
      </c>
    </row>
    <row r="578" spans="1:14" ht="23.25" customHeight="1" x14ac:dyDescent="0.25">
      <c r="A578" s="26">
        <f t="shared" si="73"/>
        <v>1900</v>
      </c>
      <c r="B578" s="26">
        <f t="shared" si="74"/>
        <v>1</v>
      </c>
      <c r="C578" s="20"/>
      <c r="D578" s="21"/>
      <c r="F578" s="23" t="e">
        <f>VLOOKUP(E578,Customers[],2,FALSE)</f>
        <v>#N/A</v>
      </c>
      <c r="G578" s="23" t="e">
        <f>VLOOKUP(E578,Customers[],3,FALSE)</f>
        <v>#N/A</v>
      </c>
      <c r="H578" s="23" t="e">
        <f>VLOOKUP(E578,Customers[],4,FALSE)</f>
        <v>#N/A</v>
      </c>
      <c r="J578" s="29" t="e">
        <f>VLOOKUP(I578,PGStock[],2,FALSE)</f>
        <v>#N/A</v>
      </c>
      <c r="K578" s="30" t="e">
        <f>VLOOKUP(I578,PGStock[],3,FALSE)</f>
        <v>#N/A</v>
      </c>
      <c r="M578" s="31" t="e">
        <f>VLOOKUP(I578,PGStock[],6,FALSE)</f>
        <v>#N/A</v>
      </c>
      <c r="N578" s="31" t="e">
        <f>+Table8[[#This Row],[SalesBot]]*Table8[[#This Row],[Bonus]]</f>
        <v>#N/A</v>
      </c>
    </row>
    <row r="579" spans="1:14" ht="23.25" customHeight="1" x14ac:dyDescent="0.25">
      <c r="A579" s="26">
        <f t="shared" si="73"/>
        <v>1900</v>
      </c>
      <c r="B579" s="26">
        <f t="shared" si="74"/>
        <v>1</v>
      </c>
      <c r="C579" s="20"/>
      <c r="D579" s="21"/>
      <c r="F579" s="23" t="e">
        <f>VLOOKUP(E579,Customers[],2,FALSE)</f>
        <v>#N/A</v>
      </c>
      <c r="G579" s="23" t="e">
        <f>VLOOKUP(E579,Customers[],3,FALSE)</f>
        <v>#N/A</v>
      </c>
      <c r="H579" s="23" t="e">
        <f>VLOOKUP(E579,Customers[],4,FALSE)</f>
        <v>#N/A</v>
      </c>
      <c r="J579" s="29" t="e">
        <f>VLOOKUP(I579,PGStock[],2,FALSE)</f>
        <v>#N/A</v>
      </c>
      <c r="K579" s="30" t="e">
        <f>VLOOKUP(I579,PGStock[],3,FALSE)</f>
        <v>#N/A</v>
      </c>
      <c r="M579" s="31" t="e">
        <f>VLOOKUP(I579,PGStock[],6,FALSE)</f>
        <v>#N/A</v>
      </c>
      <c r="N579" s="31" t="e">
        <f>+Table8[[#This Row],[SalesBot]]*Table8[[#This Row],[Bonus]]</f>
        <v>#N/A</v>
      </c>
    </row>
    <row r="580" spans="1:14" ht="23.25" customHeight="1" x14ac:dyDescent="0.25">
      <c r="A580" s="26">
        <f t="shared" si="73"/>
        <v>1900</v>
      </c>
      <c r="B580" s="26">
        <f t="shared" si="74"/>
        <v>1</v>
      </c>
      <c r="C580" s="20"/>
      <c r="D580" s="21"/>
      <c r="F580" s="23" t="e">
        <f>VLOOKUP(E580,Customers[],2,FALSE)</f>
        <v>#N/A</v>
      </c>
      <c r="G580" s="23" t="e">
        <f>VLOOKUP(E580,Customers[],3,FALSE)</f>
        <v>#N/A</v>
      </c>
      <c r="H580" s="23" t="e">
        <f>VLOOKUP(E580,Customers[],4,FALSE)</f>
        <v>#N/A</v>
      </c>
      <c r="J580" s="29" t="e">
        <f>VLOOKUP(I580,PGStock[],2,FALSE)</f>
        <v>#N/A</v>
      </c>
      <c r="K580" s="30" t="e">
        <f>VLOOKUP(I580,PGStock[],3,FALSE)</f>
        <v>#N/A</v>
      </c>
      <c r="M580" s="31" t="e">
        <f>VLOOKUP(I580,PGStock[],6,FALSE)</f>
        <v>#N/A</v>
      </c>
      <c r="N580" s="31" t="e">
        <f>+Table8[[#This Row],[SalesBot]]*Table8[[#This Row],[Bonus]]</f>
        <v>#N/A</v>
      </c>
    </row>
    <row r="581" spans="1:14" ht="23.25" customHeight="1" x14ac:dyDescent="0.25">
      <c r="A581" s="26">
        <f t="shared" si="73"/>
        <v>1900</v>
      </c>
      <c r="B581" s="26">
        <f t="shared" si="74"/>
        <v>1</v>
      </c>
      <c r="C581" s="20"/>
      <c r="D581" s="21"/>
      <c r="F581" s="23" t="e">
        <f>VLOOKUP(E581,Customers[],2,FALSE)</f>
        <v>#N/A</v>
      </c>
      <c r="G581" s="23" t="e">
        <f>VLOOKUP(E581,Customers[],3,FALSE)</f>
        <v>#N/A</v>
      </c>
      <c r="H581" s="23" t="e">
        <f>VLOOKUP(E581,Customers[],4,FALSE)</f>
        <v>#N/A</v>
      </c>
      <c r="J581" s="29" t="e">
        <f>VLOOKUP(I581,PGStock[],2,FALSE)</f>
        <v>#N/A</v>
      </c>
      <c r="K581" s="30" t="e">
        <f>VLOOKUP(I581,PGStock[],3,FALSE)</f>
        <v>#N/A</v>
      </c>
      <c r="M581" s="31" t="e">
        <f>VLOOKUP(I581,PGStock[],6,FALSE)</f>
        <v>#N/A</v>
      </c>
      <c r="N581" s="31" t="e">
        <f>+Table8[[#This Row],[SalesBot]]*Table8[[#This Row],[Bonus]]</f>
        <v>#N/A</v>
      </c>
    </row>
    <row r="582" spans="1:14" ht="23.25" customHeight="1" x14ac:dyDescent="0.25">
      <c r="A582" s="26">
        <f t="shared" si="73"/>
        <v>1900</v>
      </c>
      <c r="B582" s="26">
        <f t="shared" si="74"/>
        <v>1</v>
      </c>
      <c r="C582" s="20"/>
      <c r="D582" s="21"/>
      <c r="F582" s="23" t="e">
        <f>VLOOKUP(E582,Customers[],2,FALSE)</f>
        <v>#N/A</v>
      </c>
      <c r="G582" s="23" t="e">
        <f>VLOOKUP(E582,Customers[],3,FALSE)</f>
        <v>#N/A</v>
      </c>
      <c r="H582" s="23" t="e">
        <f>VLOOKUP(E582,Customers[],4,FALSE)</f>
        <v>#N/A</v>
      </c>
      <c r="J582" s="29" t="e">
        <f>VLOOKUP(I582,PGStock[],2,FALSE)</f>
        <v>#N/A</v>
      </c>
      <c r="K582" s="30" t="e">
        <f>VLOOKUP(I582,PGStock[],3,FALSE)</f>
        <v>#N/A</v>
      </c>
      <c r="M582" s="31" t="e">
        <f>VLOOKUP(I582,PGStock[],6,FALSE)</f>
        <v>#N/A</v>
      </c>
      <c r="N582" s="31" t="e">
        <f>+Table8[[#This Row],[SalesBot]]*Table8[[#This Row],[Bonus]]</f>
        <v>#N/A</v>
      </c>
    </row>
    <row r="583" spans="1:14" ht="23.25" customHeight="1" x14ac:dyDescent="0.25">
      <c r="A583" s="26">
        <f t="shared" si="73"/>
        <v>1900</v>
      </c>
      <c r="B583" s="26">
        <f t="shared" si="74"/>
        <v>1</v>
      </c>
      <c r="C583" s="20"/>
      <c r="D583" s="21"/>
      <c r="F583" s="23" t="e">
        <f>VLOOKUP(E583,Customers[],2,FALSE)</f>
        <v>#N/A</v>
      </c>
      <c r="G583" s="23" t="e">
        <f>VLOOKUP(E583,Customers[],3,FALSE)</f>
        <v>#N/A</v>
      </c>
      <c r="H583" s="23" t="e">
        <f>VLOOKUP(E583,Customers[],4,FALSE)</f>
        <v>#N/A</v>
      </c>
      <c r="J583" s="29" t="e">
        <f>VLOOKUP(I583,PGStock[],2,FALSE)</f>
        <v>#N/A</v>
      </c>
      <c r="K583" s="30" t="e">
        <f>VLOOKUP(I583,PGStock[],3,FALSE)</f>
        <v>#N/A</v>
      </c>
      <c r="M583" s="31" t="e">
        <f>VLOOKUP(I583,PGStock[],6,FALSE)</f>
        <v>#N/A</v>
      </c>
      <c r="N583" s="31" t="e">
        <f>+Table8[[#This Row],[SalesBot]]*Table8[[#This Row],[Bonus]]</f>
        <v>#N/A</v>
      </c>
    </row>
    <row r="584" spans="1:14" ht="23.25" customHeight="1" x14ac:dyDescent="0.25">
      <c r="A584" s="26">
        <f t="shared" si="73"/>
        <v>1900</v>
      </c>
      <c r="B584" s="26">
        <f t="shared" si="74"/>
        <v>1</v>
      </c>
      <c r="C584" s="20"/>
      <c r="D584" s="21"/>
      <c r="F584" s="23" t="e">
        <f>VLOOKUP(E584,Customers[],2,FALSE)</f>
        <v>#N/A</v>
      </c>
      <c r="G584" s="23" t="e">
        <f>VLOOKUP(E584,Customers[],3,FALSE)</f>
        <v>#N/A</v>
      </c>
      <c r="H584" s="23" t="e">
        <f>VLOOKUP(E584,Customers[],4,FALSE)</f>
        <v>#N/A</v>
      </c>
      <c r="J584" s="29" t="e">
        <f>VLOOKUP(I584,PGStock[],2,FALSE)</f>
        <v>#N/A</v>
      </c>
      <c r="K584" s="30" t="e">
        <f>VLOOKUP(I584,PGStock[],3,FALSE)</f>
        <v>#N/A</v>
      </c>
      <c r="M584" s="31" t="e">
        <f>VLOOKUP(I584,PGStock[],6,FALSE)</f>
        <v>#N/A</v>
      </c>
      <c r="N584" s="31" t="e">
        <f>+Table8[[#This Row],[SalesBot]]*Table8[[#This Row],[Bonus]]</f>
        <v>#N/A</v>
      </c>
    </row>
    <row r="585" spans="1:14" ht="23.25" customHeight="1" x14ac:dyDescent="0.25">
      <c r="A585" s="26">
        <f t="shared" si="73"/>
        <v>1900</v>
      </c>
      <c r="B585" s="26">
        <f t="shared" si="74"/>
        <v>1</v>
      </c>
      <c r="C585" s="20"/>
      <c r="D585" s="21"/>
      <c r="F585" s="23" t="e">
        <f>VLOOKUP(E585,Customers[],2,FALSE)</f>
        <v>#N/A</v>
      </c>
      <c r="G585" s="23" t="e">
        <f>VLOOKUP(E585,Customers[],3,FALSE)</f>
        <v>#N/A</v>
      </c>
      <c r="H585" s="23" t="e">
        <f>VLOOKUP(E585,Customers[],4,FALSE)</f>
        <v>#N/A</v>
      </c>
      <c r="J585" s="29" t="e">
        <f>VLOOKUP(I585,PGStock[],2,FALSE)</f>
        <v>#N/A</v>
      </c>
      <c r="K585" s="30" t="e">
        <f>VLOOKUP(I585,PGStock[],3,FALSE)</f>
        <v>#N/A</v>
      </c>
      <c r="M585" s="31" t="e">
        <f>VLOOKUP(I585,PGStock[],6,FALSE)</f>
        <v>#N/A</v>
      </c>
      <c r="N585" s="31" t="e">
        <f>+Table8[[#This Row],[SalesBot]]*Table8[[#This Row],[Bonus]]</f>
        <v>#N/A</v>
      </c>
    </row>
    <row r="586" spans="1:14" ht="23.25" customHeight="1" x14ac:dyDescent="0.25">
      <c r="A586" s="26">
        <f t="shared" si="73"/>
        <v>1900</v>
      </c>
      <c r="B586" s="26">
        <f t="shared" si="74"/>
        <v>1</v>
      </c>
      <c r="C586" s="20"/>
      <c r="D586" s="21"/>
      <c r="F586" s="23" t="e">
        <f>VLOOKUP(E586,Customers[],2,FALSE)</f>
        <v>#N/A</v>
      </c>
      <c r="G586" s="23" t="e">
        <f>VLOOKUP(E586,Customers[],3,FALSE)</f>
        <v>#N/A</v>
      </c>
      <c r="H586" s="23" t="e">
        <f>VLOOKUP(E586,Customers[],4,FALSE)</f>
        <v>#N/A</v>
      </c>
      <c r="J586" s="29" t="e">
        <f>VLOOKUP(I586,PGStock[],2,FALSE)</f>
        <v>#N/A</v>
      </c>
      <c r="K586" s="30" t="e">
        <f>VLOOKUP(I586,PGStock[],3,FALSE)</f>
        <v>#N/A</v>
      </c>
      <c r="M586" s="31" t="e">
        <f>VLOOKUP(I586,PGStock[],6,FALSE)</f>
        <v>#N/A</v>
      </c>
      <c r="N586" s="31" t="e">
        <f>+Table8[[#This Row],[SalesBot]]*Table8[[#This Row],[Bonus]]</f>
        <v>#N/A</v>
      </c>
    </row>
    <row r="587" spans="1:14" ht="23.25" customHeight="1" x14ac:dyDescent="0.25">
      <c r="A587" s="26">
        <f t="shared" si="73"/>
        <v>1900</v>
      </c>
      <c r="B587" s="26">
        <f t="shared" si="74"/>
        <v>1</v>
      </c>
      <c r="C587" s="20"/>
      <c r="D587" s="21"/>
      <c r="F587" s="23" t="e">
        <f>VLOOKUP(E587,Customers[],2,FALSE)</f>
        <v>#N/A</v>
      </c>
      <c r="G587" s="23" t="e">
        <f>VLOOKUP(E587,Customers[],3,FALSE)</f>
        <v>#N/A</v>
      </c>
      <c r="H587" s="23" t="e">
        <f>VLOOKUP(E587,Customers[],4,FALSE)</f>
        <v>#N/A</v>
      </c>
      <c r="J587" s="29" t="e">
        <f>VLOOKUP(I587,PGStock[],2,FALSE)</f>
        <v>#N/A</v>
      </c>
      <c r="K587" s="30" t="e">
        <f>VLOOKUP(I587,PGStock[],3,FALSE)</f>
        <v>#N/A</v>
      </c>
      <c r="M587" s="31" t="e">
        <f>VLOOKUP(I587,PGStock[],6,FALSE)</f>
        <v>#N/A</v>
      </c>
      <c r="N587" s="31" t="e">
        <f>+Table8[[#This Row],[SalesBot]]*Table8[[#This Row],[Bonus]]</f>
        <v>#N/A</v>
      </c>
    </row>
    <row r="588" spans="1:14" ht="23.25" customHeight="1" x14ac:dyDescent="0.25">
      <c r="A588" s="26">
        <f t="shared" si="73"/>
        <v>1900</v>
      </c>
      <c r="B588" s="26">
        <f t="shared" si="74"/>
        <v>1</v>
      </c>
      <c r="C588" s="20"/>
      <c r="D588" s="21"/>
      <c r="F588" s="23" t="e">
        <f>VLOOKUP(E588,Customers[],2,FALSE)</f>
        <v>#N/A</v>
      </c>
      <c r="G588" s="23" t="e">
        <f>VLOOKUP(E588,Customers[],3,FALSE)</f>
        <v>#N/A</v>
      </c>
      <c r="H588" s="23" t="e">
        <f>VLOOKUP(E588,Customers[],4,FALSE)</f>
        <v>#N/A</v>
      </c>
      <c r="J588" s="29" t="e">
        <f>VLOOKUP(I588,PGStock[],2,FALSE)</f>
        <v>#N/A</v>
      </c>
      <c r="K588" s="30" t="e">
        <f>VLOOKUP(I588,PGStock[],3,FALSE)</f>
        <v>#N/A</v>
      </c>
      <c r="M588" s="31" t="e">
        <f>VLOOKUP(I588,PGStock[],6,FALSE)</f>
        <v>#N/A</v>
      </c>
      <c r="N588" s="31" t="e">
        <f>+Table8[[#This Row],[SalesBot]]*Table8[[#This Row],[Bonus]]</f>
        <v>#N/A</v>
      </c>
    </row>
    <row r="589" spans="1:14" ht="23.25" customHeight="1" x14ac:dyDescent="0.25">
      <c r="A589" s="26">
        <f t="shared" si="73"/>
        <v>1900</v>
      </c>
      <c r="B589" s="26">
        <f t="shared" si="74"/>
        <v>1</v>
      </c>
      <c r="C589" s="20"/>
      <c r="D589" s="21"/>
      <c r="F589" s="23" t="e">
        <f>VLOOKUP(E589,Customers[],2,FALSE)</f>
        <v>#N/A</v>
      </c>
      <c r="G589" s="23" t="e">
        <f>VLOOKUP(E589,Customers[],3,FALSE)</f>
        <v>#N/A</v>
      </c>
      <c r="H589" s="23" t="e">
        <f>VLOOKUP(E589,Customers[],4,FALSE)</f>
        <v>#N/A</v>
      </c>
      <c r="J589" s="29" t="e">
        <f>VLOOKUP(I589,PGStock[],2,FALSE)</f>
        <v>#N/A</v>
      </c>
      <c r="K589" s="30" t="e">
        <f>VLOOKUP(I589,PGStock[],3,FALSE)</f>
        <v>#N/A</v>
      </c>
      <c r="M589" s="31" t="e">
        <f>VLOOKUP(I589,PGStock[],6,FALSE)</f>
        <v>#N/A</v>
      </c>
      <c r="N589" s="31" t="e">
        <f>+Table8[[#This Row],[SalesBot]]*Table8[[#This Row],[Bonus]]</f>
        <v>#N/A</v>
      </c>
    </row>
    <row r="590" spans="1:14" ht="23.25" customHeight="1" x14ac:dyDescent="0.25">
      <c r="A590" s="26">
        <f t="shared" si="73"/>
        <v>1900</v>
      </c>
      <c r="B590" s="26">
        <f t="shared" si="74"/>
        <v>1</v>
      </c>
      <c r="C590" s="20"/>
      <c r="D590" s="21"/>
      <c r="F590" s="23" t="e">
        <f>VLOOKUP(E590,Customers[],2,FALSE)</f>
        <v>#N/A</v>
      </c>
      <c r="G590" s="23" t="e">
        <f>VLOOKUP(E590,Customers[],3,FALSE)</f>
        <v>#N/A</v>
      </c>
      <c r="H590" s="23" t="e">
        <f>VLOOKUP(E590,Customers[],4,FALSE)</f>
        <v>#N/A</v>
      </c>
      <c r="J590" s="29" t="e">
        <f>VLOOKUP(I590,PGStock[],2,FALSE)</f>
        <v>#N/A</v>
      </c>
      <c r="K590" s="30" t="e">
        <f>VLOOKUP(I590,PGStock[],3,FALSE)</f>
        <v>#N/A</v>
      </c>
      <c r="M590" s="31" t="e">
        <f>VLOOKUP(I590,PGStock[],6,FALSE)</f>
        <v>#N/A</v>
      </c>
      <c r="N590" s="31" t="e">
        <f>+Table8[[#This Row],[SalesBot]]*Table8[[#This Row],[Bonus]]</f>
        <v>#N/A</v>
      </c>
    </row>
    <row r="591" spans="1:14" ht="23.25" customHeight="1" x14ac:dyDescent="0.25">
      <c r="A591" s="26">
        <f t="shared" si="73"/>
        <v>1900</v>
      </c>
      <c r="B591" s="26">
        <f t="shared" si="74"/>
        <v>1</v>
      </c>
      <c r="C591" s="20"/>
      <c r="D591" s="21"/>
      <c r="F591" s="23" t="e">
        <f>VLOOKUP(E591,Customers[],2,FALSE)</f>
        <v>#N/A</v>
      </c>
      <c r="G591" s="23" t="e">
        <f>VLOOKUP(E591,Customers[],3,FALSE)</f>
        <v>#N/A</v>
      </c>
      <c r="H591" s="23" t="e">
        <f>VLOOKUP(E591,Customers[],4,FALSE)</f>
        <v>#N/A</v>
      </c>
      <c r="J591" s="29" t="e">
        <f>VLOOKUP(I591,PGStock[],2,FALSE)</f>
        <v>#N/A</v>
      </c>
      <c r="K591" s="30" t="e">
        <f>VLOOKUP(I591,PGStock[],3,FALSE)</f>
        <v>#N/A</v>
      </c>
      <c r="M591" s="31" t="e">
        <f>VLOOKUP(I591,PGStock[],6,FALSE)</f>
        <v>#N/A</v>
      </c>
      <c r="N591" s="31" t="e">
        <f>+Table8[[#This Row],[SalesBot]]*Table8[[#This Row],[Bonus]]</f>
        <v>#N/A</v>
      </c>
    </row>
    <row r="592" spans="1:14" ht="23.25" customHeight="1" x14ac:dyDescent="0.25">
      <c r="A592" s="26">
        <f t="shared" si="73"/>
        <v>1900</v>
      </c>
      <c r="B592" s="26">
        <f t="shared" si="74"/>
        <v>1</v>
      </c>
      <c r="C592" s="20"/>
      <c r="D592" s="21"/>
      <c r="F592" s="23" t="e">
        <f>VLOOKUP(E592,Customers[],2,FALSE)</f>
        <v>#N/A</v>
      </c>
      <c r="G592" s="23" t="e">
        <f>VLOOKUP(E592,Customers[],3,FALSE)</f>
        <v>#N/A</v>
      </c>
      <c r="H592" s="23" t="e">
        <f>VLOOKUP(E592,Customers[],4,FALSE)</f>
        <v>#N/A</v>
      </c>
      <c r="J592" s="29" t="e">
        <f>VLOOKUP(I592,PGStock[],2,FALSE)</f>
        <v>#N/A</v>
      </c>
      <c r="K592" s="30" t="e">
        <f>VLOOKUP(I592,PGStock[],3,FALSE)</f>
        <v>#N/A</v>
      </c>
      <c r="M592" s="31" t="e">
        <f>VLOOKUP(I592,PGStock[],6,FALSE)</f>
        <v>#N/A</v>
      </c>
      <c r="N592" s="31" t="e">
        <f>+Table8[[#This Row],[SalesBot]]*Table8[[#This Row],[Bonus]]</f>
        <v>#N/A</v>
      </c>
    </row>
    <row r="593" spans="1:14" ht="23.25" customHeight="1" x14ac:dyDescent="0.25">
      <c r="A593" s="26">
        <f t="shared" si="73"/>
        <v>1900</v>
      </c>
      <c r="B593" s="26">
        <f t="shared" si="74"/>
        <v>1</v>
      </c>
      <c r="C593" s="20"/>
      <c r="D593" s="21"/>
      <c r="F593" s="23" t="e">
        <f>VLOOKUP(E593,Customers[],2,FALSE)</f>
        <v>#N/A</v>
      </c>
      <c r="G593" s="23" t="e">
        <f>VLOOKUP(E593,Customers[],3,FALSE)</f>
        <v>#N/A</v>
      </c>
      <c r="H593" s="23" t="e">
        <f>VLOOKUP(E593,Customers[],4,FALSE)</f>
        <v>#N/A</v>
      </c>
      <c r="J593" s="29" t="e">
        <f>VLOOKUP(I593,PGStock[],2,FALSE)</f>
        <v>#N/A</v>
      </c>
      <c r="K593" s="30" t="e">
        <f>VLOOKUP(I593,PGStock[],3,FALSE)</f>
        <v>#N/A</v>
      </c>
      <c r="M593" s="31" t="e">
        <f>VLOOKUP(I593,PGStock[],6,FALSE)</f>
        <v>#N/A</v>
      </c>
      <c r="N593" s="31" t="e">
        <f>+Table8[[#This Row],[SalesBot]]*Table8[[#This Row],[Bonus]]</f>
        <v>#N/A</v>
      </c>
    </row>
    <row r="594" spans="1:14" ht="23.25" customHeight="1" x14ac:dyDescent="0.25">
      <c r="A594" s="26">
        <f t="shared" si="71"/>
        <v>1900</v>
      </c>
      <c r="B594" s="26">
        <f t="shared" si="72"/>
        <v>1</v>
      </c>
      <c r="C594" s="20"/>
      <c r="D594" s="21"/>
      <c r="F594" s="23" t="e">
        <f>VLOOKUP(E594,Customers[],2,FALSE)</f>
        <v>#N/A</v>
      </c>
      <c r="G594" s="23" t="e">
        <f>VLOOKUP(E594,Customers[],3,FALSE)</f>
        <v>#N/A</v>
      </c>
      <c r="H594" s="23" t="e">
        <f>VLOOKUP(E594,Customers[],4,FALSE)</f>
        <v>#N/A</v>
      </c>
      <c r="J594" s="29" t="e">
        <f>VLOOKUP(I594,PGStock[],2,FALSE)</f>
        <v>#N/A</v>
      </c>
      <c r="K594" s="30" t="e">
        <f>VLOOKUP(I594,PGStock[],3,FALSE)</f>
        <v>#N/A</v>
      </c>
      <c r="M594" s="31" t="e">
        <f>VLOOKUP(I594,PGStock[],6,FALSE)</f>
        <v>#N/A</v>
      </c>
      <c r="N594" s="31" t="e">
        <f>+Table8[[#This Row],[SalesBot]]*Table8[[#This Row],[Bonus]]</f>
        <v>#N/A</v>
      </c>
    </row>
    <row r="595" spans="1:14" ht="23.25" customHeight="1" x14ac:dyDescent="0.25">
      <c r="A595" s="26">
        <f t="shared" si="71"/>
        <v>1900</v>
      </c>
      <c r="B595" s="26">
        <f t="shared" si="72"/>
        <v>1</v>
      </c>
      <c r="C595" s="20"/>
      <c r="D595" s="21"/>
      <c r="F595" s="23" t="e">
        <f>VLOOKUP(E595,Customers[],2,FALSE)</f>
        <v>#N/A</v>
      </c>
      <c r="G595" s="23" t="e">
        <f>VLOOKUP(E595,Customers[],3,FALSE)</f>
        <v>#N/A</v>
      </c>
      <c r="H595" s="23" t="e">
        <f>VLOOKUP(E595,Customers[],4,FALSE)</f>
        <v>#N/A</v>
      </c>
      <c r="J595" s="29" t="e">
        <f>VLOOKUP(I595,PGStock[],2,FALSE)</f>
        <v>#N/A</v>
      </c>
      <c r="K595" s="30" t="e">
        <f>VLOOKUP(I595,PGStock[],3,FALSE)</f>
        <v>#N/A</v>
      </c>
      <c r="M595" s="31" t="e">
        <f>VLOOKUP(I595,PGStock[],6,FALSE)</f>
        <v>#N/A</v>
      </c>
      <c r="N595" s="31" t="e">
        <f>+Table8[[#This Row],[SalesBot]]*Table8[[#This Row],[Bonus]]</f>
        <v>#N/A</v>
      </c>
    </row>
    <row r="596" spans="1:14" ht="23.25" customHeight="1" x14ac:dyDescent="0.25">
      <c r="A596" s="26">
        <f t="shared" ref="A596:A613" si="75">YEAR(C596)</f>
        <v>1900</v>
      </c>
      <c r="B596" s="26">
        <f t="shared" ref="B596:B613" si="76">MONTH(C596)</f>
        <v>1</v>
      </c>
      <c r="C596" s="20"/>
      <c r="D596" s="21"/>
      <c r="F596" s="23" t="e">
        <f>VLOOKUP(E596,Customers[],2,FALSE)</f>
        <v>#N/A</v>
      </c>
      <c r="G596" s="23" t="e">
        <f>VLOOKUP(E596,Customers[],3,FALSE)</f>
        <v>#N/A</v>
      </c>
      <c r="H596" s="23" t="e">
        <f>VLOOKUP(E596,Customers[],4,FALSE)</f>
        <v>#N/A</v>
      </c>
      <c r="J596" s="29" t="e">
        <f>VLOOKUP(I596,PGStock[],2,FALSE)</f>
        <v>#N/A</v>
      </c>
      <c r="K596" s="30" t="e">
        <f>VLOOKUP(I596,PGStock[],3,FALSE)</f>
        <v>#N/A</v>
      </c>
      <c r="M596" s="31" t="e">
        <f>VLOOKUP(I596,PGStock[],6,FALSE)</f>
        <v>#N/A</v>
      </c>
      <c r="N596" s="31" t="e">
        <f>+Table8[[#This Row],[SalesBot]]*Table8[[#This Row],[Bonus]]</f>
        <v>#N/A</v>
      </c>
    </row>
    <row r="597" spans="1:14" ht="23.25" customHeight="1" x14ac:dyDescent="0.25">
      <c r="A597" s="26">
        <f t="shared" si="75"/>
        <v>1900</v>
      </c>
      <c r="B597" s="26">
        <f t="shared" si="76"/>
        <v>1</v>
      </c>
      <c r="C597" s="20"/>
      <c r="D597" s="21"/>
      <c r="F597" s="23" t="e">
        <f>VLOOKUP(E597,Customers[],2,FALSE)</f>
        <v>#N/A</v>
      </c>
      <c r="G597" s="23" t="e">
        <f>VLOOKUP(E597,Customers[],3,FALSE)</f>
        <v>#N/A</v>
      </c>
      <c r="H597" s="23" t="e">
        <f>VLOOKUP(E597,Customers[],4,FALSE)</f>
        <v>#N/A</v>
      </c>
      <c r="J597" s="29" t="e">
        <f>VLOOKUP(I597,PGStock[],2,FALSE)</f>
        <v>#N/A</v>
      </c>
      <c r="K597" s="30" t="e">
        <f>VLOOKUP(I597,PGStock[],3,FALSE)</f>
        <v>#N/A</v>
      </c>
      <c r="M597" s="31" t="e">
        <f>VLOOKUP(I597,PGStock[],6,FALSE)</f>
        <v>#N/A</v>
      </c>
      <c r="N597" s="31" t="e">
        <f>+Table8[[#This Row],[SalesBot]]*Table8[[#This Row],[Bonus]]</f>
        <v>#N/A</v>
      </c>
    </row>
    <row r="598" spans="1:14" ht="23.25" customHeight="1" x14ac:dyDescent="0.25">
      <c r="A598" s="26">
        <f t="shared" si="75"/>
        <v>1900</v>
      </c>
      <c r="B598" s="26">
        <f t="shared" si="76"/>
        <v>1</v>
      </c>
      <c r="C598" s="20"/>
      <c r="D598" s="21"/>
      <c r="F598" s="23" t="e">
        <f>VLOOKUP(E598,Customers[],2,FALSE)</f>
        <v>#N/A</v>
      </c>
      <c r="G598" s="23" t="e">
        <f>VLOOKUP(E598,Customers[],3,FALSE)</f>
        <v>#N/A</v>
      </c>
      <c r="H598" s="23" t="e">
        <f>VLOOKUP(E598,Customers[],4,FALSE)</f>
        <v>#N/A</v>
      </c>
      <c r="J598" s="29" t="e">
        <f>VLOOKUP(I598,PGStock[],2,FALSE)</f>
        <v>#N/A</v>
      </c>
      <c r="K598" s="30" t="e">
        <f>VLOOKUP(I598,PGStock[],3,FALSE)</f>
        <v>#N/A</v>
      </c>
      <c r="M598" s="31" t="e">
        <f>VLOOKUP(I598,PGStock[],6,FALSE)</f>
        <v>#N/A</v>
      </c>
      <c r="N598" s="31" t="e">
        <f>+Table8[[#This Row],[SalesBot]]*Table8[[#This Row],[Bonus]]</f>
        <v>#N/A</v>
      </c>
    </row>
    <row r="599" spans="1:14" ht="23.25" customHeight="1" x14ac:dyDescent="0.25">
      <c r="A599" s="26">
        <f t="shared" si="75"/>
        <v>1900</v>
      </c>
      <c r="B599" s="26">
        <f t="shared" si="76"/>
        <v>1</v>
      </c>
      <c r="C599" s="20"/>
      <c r="D599" s="21"/>
      <c r="F599" s="23" t="e">
        <f>VLOOKUP(E599,Customers[],2,FALSE)</f>
        <v>#N/A</v>
      </c>
      <c r="G599" s="23" t="e">
        <f>VLOOKUP(E599,Customers[],3,FALSE)</f>
        <v>#N/A</v>
      </c>
      <c r="H599" s="23" t="e">
        <f>VLOOKUP(E599,Customers[],4,FALSE)</f>
        <v>#N/A</v>
      </c>
      <c r="J599" s="29" t="e">
        <f>VLOOKUP(I599,PGStock[],2,FALSE)</f>
        <v>#N/A</v>
      </c>
      <c r="K599" s="30" t="e">
        <f>VLOOKUP(I599,PGStock[],3,FALSE)</f>
        <v>#N/A</v>
      </c>
      <c r="M599" s="31" t="e">
        <f>VLOOKUP(I599,PGStock[],6,FALSE)</f>
        <v>#N/A</v>
      </c>
      <c r="N599" s="31" t="e">
        <f>+Table8[[#This Row],[SalesBot]]*Table8[[#This Row],[Bonus]]</f>
        <v>#N/A</v>
      </c>
    </row>
    <row r="600" spans="1:14" ht="23.25" customHeight="1" x14ac:dyDescent="0.25">
      <c r="A600" s="26">
        <f t="shared" si="75"/>
        <v>1900</v>
      </c>
      <c r="B600" s="26">
        <f t="shared" si="76"/>
        <v>1</v>
      </c>
      <c r="C600" s="20"/>
      <c r="D600" s="21"/>
      <c r="F600" s="23" t="e">
        <f>VLOOKUP(E600,Customers[],2,FALSE)</f>
        <v>#N/A</v>
      </c>
      <c r="G600" s="23" t="e">
        <f>VLOOKUP(E600,Customers[],3,FALSE)</f>
        <v>#N/A</v>
      </c>
      <c r="H600" s="23" t="e">
        <f>VLOOKUP(E600,Customers[],4,FALSE)</f>
        <v>#N/A</v>
      </c>
      <c r="J600" s="29" t="e">
        <f>VLOOKUP(I600,PGStock[],2,FALSE)</f>
        <v>#N/A</v>
      </c>
      <c r="K600" s="30" t="e">
        <f>VLOOKUP(I600,PGStock[],3,FALSE)</f>
        <v>#N/A</v>
      </c>
      <c r="M600" s="31" t="e">
        <f>VLOOKUP(I600,PGStock[],6,FALSE)</f>
        <v>#N/A</v>
      </c>
      <c r="N600" s="31" t="e">
        <f>+Table8[[#This Row],[SalesBot]]*Table8[[#This Row],[Bonus]]</f>
        <v>#N/A</v>
      </c>
    </row>
    <row r="601" spans="1:14" ht="23.25" customHeight="1" x14ac:dyDescent="0.25">
      <c r="A601" s="26">
        <f t="shared" si="75"/>
        <v>1900</v>
      </c>
      <c r="B601" s="26">
        <f t="shared" si="76"/>
        <v>1</v>
      </c>
      <c r="C601" s="20"/>
      <c r="D601" s="21"/>
      <c r="F601" s="23" t="e">
        <f>VLOOKUP(E601,Customers[],2,FALSE)</f>
        <v>#N/A</v>
      </c>
      <c r="G601" s="23" t="e">
        <f>VLOOKUP(E601,Customers[],3,FALSE)</f>
        <v>#N/A</v>
      </c>
      <c r="H601" s="23" t="e">
        <f>VLOOKUP(E601,Customers[],4,FALSE)</f>
        <v>#N/A</v>
      </c>
      <c r="J601" s="29" t="e">
        <f>VLOOKUP(I601,PGStock[],2,FALSE)</f>
        <v>#N/A</v>
      </c>
      <c r="K601" s="30" t="e">
        <f>VLOOKUP(I601,PGStock[],3,FALSE)</f>
        <v>#N/A</v>
      </c>
      <c r="M601" s="31" t="e">
        <f>VLOOKUP(I601,PGStock[],6,FALSE)</f>
        <v>#N/A</v>
      </c>
      <c r="N601" s="31" t="e">
        <f>+Table8[[#This Row],[SalesBot]]*Table8[[#This Row],[Bonus]]</f>
        <v>#N/A</v>
      </c>
    </row>
    <row r="602" spans="1:14" ht="23.25" customHeight="1" x14ac:dyDescent="0.25">
      <c r="A602" s="26">
        <f t="shared" si="75"/>
        <v>1900</v>
      </c>
      <c r="B602" s="26">
        <f t="shared" si="76"/>
        <v>1</v>
      </c>
      <c r="C602" s="20"/>
      <c r="D602" s="21"/>
      <c r="F602" s="23" t="e">
        <f>VLOOKUP(E602,Customers[],2,FALSE)</f>
        <v>#N/A</v>
      </c>
      <c r="G602" s="23" t="e">
        <f>VLOOKUP(E602,Customers[],3,FALSE)</f>
        <v>#N/A</v>
      </c>
      <c r="H602" s="23" t="e">
        <f>VLOOKUP(E602,Customers[],4,FALSE)</f>
        <v>#N/A</v>
      </c>
      <c r="J602" s="29" t="e">
        <f>VLOOKUP(I602,PGStock[],2,FALSE)</f>
        <v>#N/A</v>
      </c>
      <c r="K602" s="30" t="e">
        <f>VLOOKUP(I602,PGStock[],3,FALSE)</f>
        <v>#N/A</v>
      </c>
      <c r="M602" s="31" t="e">
        <f>VLOOKUP(I602,PGStock[],6,FALSE)</f>
        <v>#N/A</v>
      </c>
      <c r="N602" s="31" t="e">
        <f>+Table8[[#This Row],[SalesBot]]*Table8[[#This Row],[Bonus]]</f>
        <v>#N/A</v>
      </c>
    </row>
    <row r="603" spans="1:14" ht="23.25" customHeight="1" x14ac:dyDescent="0.25">
      <c r="A603" s="26">
        <f t="shared" si="75"/>
        <v>1900</v>
      </c>
      <c r="B603" s="26">
        <f t="shared" si="76"/>
        <v>1</v>
      </c>
      <c r="C603" s="20"/>
      <c r="D603" s="21"/>
      <c r="F603" s="23" t="e">
        <f>VLOOKUP(E603,Customers[],2,FALSE)</f>
        <v>#N/A</v>
      </c>
      <c r="G603" s="23" t="e">
        <f>VLOOKUP(E603,Customers[],3,FALSE)</f>
        <v>#N/A</v>
      </c>
      <c r="H603" s="23" t="e">
        <f>VLOOKUP(E603,Customers[],4,FALSE)</f>
        <v>#N/A</v>
      </c>
      <c r="J603" s="29" t="e">
        <f>VLOOKUP(I603,PGStock[],2,FALSE)</f>
        <v>#N/A</v>
      </c>
      <c r="K603" s="30" t="e">
        <f>VLOOKUP(I603,PGStock[],3,FALSE)</f>
        <v>#N/A</v>
      </c>
      <c r="M603" s="31" t="e">
        <f>VLOOKUP(I603,PGStock[],6,FALSE)</f>
        <v>#N/A</v>
      </c>
      <c r="N603" s="31" t="e">
        <f>+Table8[[#This Row],[SalesBot]]*Table8[[#This Row],[Bonus]]</f>
        <v>#N/A</v>
      </c>
    </row>
    <row r="604" spans="1:14" ht="23.25" customHeight="1" x14ac:dyDescent="0.25">
      <c r="A604" s="26">
        <f t="shared" si="75"/>
        <v>1900</v>
      </c>
      <c r="B604" s="26">
        <f t="shared" si="76"/>
        <v>1</v>
      </c>
      <c r="C604" s="20"/>
      <c r="D604" s="21"/>
      <c r="F604" s="23" t="e">
        <f>VLOOKUP(E604,Customers[],2,FALSE)</f>
        <v>#N/A</v>
      </c>
      <c r="G604" s="23" t="e">
        <f>VLOOKUP(E604,Customers[],3,FALSE)</f>
        <v>#N/A</v>
      </c>
      <c r="H604" s="23" t="e">
        <f>VLOOKUP(E604,Customers[],4,FALSE)</f>
        <v>#N/A</v>
      </c>
      <c r="J604" s="29" t="e">
        <f>VLOOKUP(I604,PGStock[],2,FALSE)</f>
        <v>#N/A</v>
      </c>
      <c r="K604" s="30" t="e">
        <f>VLOOKUP(I604,PGStock[],3,FALSE)</f>
        <v>#N/A</v>
      </c>
      <c r="M604" s="31" t="e">
        <f>VLOOKUP(I604,PGStock[],6,FALSE)</f>
        <v>#N/A</v>
      </c>
      <c r="N604" s="31" t="e">
        <f>+Table8[[#This Row],[SalesBot]]*Table8[[#This Row],[Bonus]]</f>
        <v>#N/A</v>
      </c>
    </row>
    <row r="605" spans="1:14" ht="23.25" customHeight="1" x14ac:dyDescent="0.25">
      <c r="A605" s="26">
        <f t="shared" si="75"/>
        <v>1900</v>
      </c>
      <c r="B605" s="26">
        <f t="shared" si="76"/>
        <v>1</v>
      </c>
      <c r="C605" s="20"/>
      <c r="D605" s="21"/>
      <c r="F605" s="23" t="e">
        <f>VLOOKUP(E605,Customers[],2,FALSE)</f>
        <v>#N/A</v>
      </c>
      <c r="G605" s="23" t="e">
        <f>VLOOKUP(E605,Customers[],3,FALSE)</f>
        <v>#N/A</v>
      </c>
      <c r="H605" s="23" t="e">
        <f>VLOOKUP(E605,Customers[],4,FALSE)</f>
        <v>#N/A</v>
      </c>
      <c r="J605" s="29" t="e">
        <f>VLOOKUP(I605,PGStock[],2,FALSE)</f>
        <v>#N/A</v>
      </c>
      <c r="K605" s="30" t="e">
        <f>VLOOKUP(I605,PGStock[],3,FALSE)</f>
        <v>#N/A</v>
      </c>
      <c r="M605" s="31" t="e">
        <f>VLOOKUP(I605,PGStock[],6,FALSE)</f>
        <v>#N/A</v>
      </c>
      <c r="N605" s="31" t="e">
        <f>+Table8[[#This Row],[SalesBot]]*Table8[[#This Row],[Bonus]]</f>
        <v>#N/A</v>
      </c>
    </row>
    <row r="606" spans="1:14" ht="23.25" customHeight="1" x14ac:dyDescent="0.25">
      <c r="A606" s="26">
        <f t="shared" si="75"/>
        <v>1900</v>
      </c>
      <c r="B606" s="26">
        <f t="shared" si="76"/>
        <v>1</v>
      </c>
      <c r="C606" s="20"/>
      <c r="D606" s="21"/>
      <c r="F606" s="23" t="e">
        <f>VLOOKUP(E606,Customers[],2,FALSE)</f>
        <v>#N/A</v>
      </c>
      <c r="G606" s="23" t="e">
        <f>VLOOKUP(E606,Customers[],3,FALSE)</f>
        <v>#N/A</v>
      </c>
      <c r="H606" s="23" t="e">
        <f>VLOOKUP(E606,Customers[],4,FALSE)</f>
        <v>#N/A</v>
      </c>
      <c r="J606" s="29" t="e">
        <f>VLOOKUP(I606,PGStock[],2,FALSE)</f>
        <v>#N/A</v>
      </c>
      <c r="K606" s="30" t="e">
        <f>VLOOKUP(I606,PGStock[],3,FALSE)</f>
        <v>#N/A</v>
      </c>
      <c r="M606" s="31" t="e">
        <f>VLOOKUP(I606,PGStock[],6,FALSE)</f>
        <v>#N/A</v>
      </c>
      <c r="N606" s="31" t="e">
        <f>+Table8[[#This Row],[SalesBot]]*Table8[[#This Row],[Bonus]]</f>
        <v>#N/A</v>
      </c>
    </row>
    <row r="607" spans="1:14" ht="23.25" customHeight="1" x14ac:dyDescent="0.25">
      <c r="A607" s="26">
        <f t="shared" si="75"/>
        <v>1900</v>
      </c>
      <c r="B607" s="26">
        <f t="shared" si="76"/>
        <v>1</v>
      </c>
      <c r="C607" s="20"/>
      <c r="D607" s="21"/>
      <c r="F607" s="23" t="e">
        <f>VLOOKUP(E607,Customers[],2,FALSE)</f>
        <v>#N/A</v>
      </c>
      <c r="G607" s="23" t="e">
        <f>VLOOKUP(E607,Customers[],3,FALSE)</f>
        <v>#N/A</v>
      </c>
      <c r="H607" s="23" t="e">
        <f>VLOOKUP(E607,Customers[],4,FALSE)</f>
        <v>#N/A</v>
      </c>
      <c r="J607" s="29" t="e">
        <f>VLOOKUP(I607,PGStock[],2,FALSE)</f>
        <v>#N/A</v>
      </c>
      <c r="K607" s="30" t="e">
        <f>VLOOKUP(I607,PGStock[],3,FALSE)</f>
        <v>#N/A</v>
      </c>
      <c r="M607" s="31" t="e">
        <f>VLOOKUP(I607,PGStock[],6,FALSE)</f>
        <v>#N/A</v>
      </c>
      <c r="N607" s="31" t="e">
        <f>+Table8[[#This Row],[SalesBot]]*Table8[[#This Row],[Bonus]]</f>
        <v>#N/A</v>
      </c>
    </row>
    <row r="608" spans="1:14" ht="23.25" customHeight="1" x14ac:dyDescent="0.25">
      <c r="A608" s="26">
        <f t="shared" si="75"/>
        <v>1900</v>
      </c>
      <c r="B608" s="26">
        <f t="shared" si="76"/>
        <v>1</v>
      </c>
      <c r="C608" s="20"/>
      <c r="D608" s="21"/>
      <c r="F608" s="23" t="e">
        <f>VLOOKUP(E608,Customers[],2,FALSE)</f>
        <v>#N/A</v>
      </c>
      <c r="G608" s="23" t="e">
        <f>VLOOKUP(E608,Customers[],3,FALSE)</f>
        <v>#N/A</v>
      </c>
      <c r="H608" s="23" t="e">
        <f>VLOOKUP(E608,Customers[],4,FALSE)</f>
        <v>#N/A</v>
      </c>
      <c r="J608" s="29" t="e">
        <f>VLOOKUP(I608,PGStock[],2,FALSE)</f>
        <v>#N/A</v>
      </c>
      <c r="K608" s="30" t="e">
        <f>VLOOKUP(I608,PGStock[],3,FALSE)</f>
        <v>#N/A</v>
      </c>
      <c r="M608" s="31" t="e">
        <f>VLOOKUP(I608,PGStock[],6,FALSE)</f>
        <v>#N/A</v>
      </c>
      <c r="N608" s="31" t="e">
        <f>+Table8[[#This Row],[SalesBot]]*Table8[[#This Row],[Bonus]]</f>
        <v>#N/A</v>
      </c>
    </row>
    <row r="609" spans="1:14" ht="23.25" customHeight="1" x14ac:dyDescent="0.25">
      <c r="A609" s="26">
        <f t="shared" si="75"/>
        <v>1900</v>
      </c>
      <c r="B609" s="26">
        <f t="shared" si="76"/>
        <v>1</v>
      </c>
      <c r="C609" s="20"/>
      <c r="D609" s="21"/>
      <c r="F609" s="23" t="e">
        <f>VLOOKUP(E609,Customers[],2,FALSE)</f>
        <v>#N/A</v>
      </c>
      <c r="G609" s="23" t="e">
        <f>VLOOKUP(E609,Customers[],3,FALSE)</f>
        <v>#N/A</v>
      </c>
      <c r="H609" s="23" t="e">
        <f>VLOOKUP(E609,Customers[],4,FALSE)</f>
        <v>#N/A</v>
      </c>
      <c r="J609" s="29" t="e">
        <f>VLOOKUP(I609,PGStock[],2,FALSE)</f>
        <v>#N/A</v>
      </c>
      <c r="K609" s="30" t="e">
        <f>VLOOKUP(I609,PGStock[],3,FALSE)</f>
        <v>#N/A</v>
      </c>
      <c r="M609" s="31" t="e">
        <f>VLOOKUP(I609,PGStock[],6,FALSE)</f>
        <v>#N/A</v>
      </c>
      <c r="N609" s="31" t="e">
        <f>+Table8[[#This Row],[SalesBot]]*Table8[[#This Row],[Bonus]]</f>
        <v>#N/A</v>
      </c>
    </row>
    <row r="610" spans="1:14" ht="23.25" customHeight="1" x14ac:dyDescent="0.25">
      <c r="A610" s="26">
        <f t="shared" si="75"/>
        <v>1900</v>
      </c>
      <c r="B610" s="26">
        <f t="shared" si="76"/>
        <v>1</v>
      </c>
      <c r="C610" s="20"/>
      <c r="D610" s="21"/>
      <c r="F610" s="23" t="e">
        <f>VLOOKUP(E610,Customers[],2,FALSE)</f>
        <v>#N/A</v>
      </c>
      <c r="G610" s="23" t="e">
        <f>VLOOKUP(E610,Customers[],3,FALSE)</f>
        <v>#N/A</v>
      </c>
      <c r="H610" s="23" t="e">
        <f>VLOOKUP(E610,Customers[],4,FALSE)</f>
        <v>#N/A</v>
      </c>
      <c r="J610" s="29" t="e">
        <f>VLOOKUP(I610,PGStock[],2,FALSE)</f>
        <v>#N/A</v>
      </c>
      <c r="K610" s="30" t="e">
        <f>VLOOKUP(I610,PGStock[],3,FALSE)</f>
        <v>#N/A</v>
      </c>
      <c r="M610" s="31" t="e">
        <f>VLOOKUP(I610,PGStock[],6,FALSE)</f>
        <v>#N/A</v>
      </c>
      <c r="N610" s="31" t="e">
        <f>+Table8[[#This Row],[SalesBot]]*Table8[[#This Row],[Bonus]]</f>
        <v>#N/A</v>
      </c>
    </row>
    <row r="611" spans="1:14" ht="23.25" customHeight="1" x14ac:dyDescent="0.25">
      <c r="A611" s="26">
        <f t="shared" si="75"/>
        <v>1900</v>
      </c>
      <c r="B611" s="26">
        <f t="shared" si="76"/>
        <v>1</v>
      </c>
      <c r="C611" s="20"/>
      <c r="D611" s="21"/>
      <c r="F611" s="23" t="e">
        <f>VLOOKUP(E611,Customers[],2,FALSE)</f>
        <v>#N/A</v>
      </c>
      <c r="G611" s="23" t="e">
        <f>VLOOKUP(E611,Customers[],3,FALSE)</f>
        <v>#N/A</v>
      </c>
      <c r="H611" s="23" t="e">
        <f>VLOOKUP(E611,Customers[],4,FALSE)</f>
        <v>#N/A</v>
      </c>
      <c r="J611" s="29" t="e">
        <f>VLOOKUP(I611,PGStock[],2,FALSE)</f>
        <v>#N/A</v>
      </c>
      <c r="K611" s="30" t="e">
        <f>VLOOKUP(I611,PGStock[],3,FALSE)</f>
        <v>#N/A</v>
      </c>
      <c r="M611" s="31" t="e">
        <f>VLOOKUP(I611,PGStock[],6,FALSE)</f>
        <v>#N/A</v>
      </c>
      <c r="N611" s="31" t="e">
        <f>+Table8[[#This Row],[SalesBot]]*Table8[[#This Row],[Bonus]]</f>
        <v>#N/A</v>
      </c>
    </row>
    <row r="612" spans="1:14" ht="23.25" customHeight="1" x14ac:dyDescent="0.25">
      <c r="A612" s="26">
        <f t="shared" si="75"/>
        <v>1900</v>
      </c>
      <c r="B612" s="26">
        <f t="shared" si="76"/>
        <v>1</v>
      </c>
      <c r="C612" s="20"/>
      <c r="D612" s="21"/>
      <c r="F612" s="23" t="e">
        <f>VLOOKUP(E612,Customers[],2,FALSE)</f>
        <v>#N/A</v>
      </c>
      <c r="G612" s="23" t="e">
        <f>VLOOKUP(E612,Customers[],3,FALSE)</f>
        <v>#N/A</v>
      </c>
      <c r="H612" s="23" t="e">
        <f>VLOOKUP(E612,Customers[],4,FALSE)</f>
        <v>#N/A</v>
      </c>
      <c r="J612" s="29" t="e">
        <f>VLOOKUP(I612,PGStock[],2,FALSE)</f>
        <v>#N/A</v>
      </c>
      <c r="K612" s="30" t="e">
        <f>VLOOKUP(I612,PGStock[],3,FALSE)</f>
        <v>#N/A</v>
      </c>
      <c r="M612" s="31" t="e">
        <f>VLOOKUP(I612,PGStock[],6,FALSE)</f>
        <v>#N/A</v>
      </c>
      <c r="N612" s="31" t="e">
        <f>+Table8[[#This Row],[SalesBot]]*Table8[[#This Row],[Bonus]]</f>
        <v>#N/A</v>
      </c>
    </row>
    <row r="613" spans="1:14" ht="23.25" customHeight="1" x14ac:dyDescent="0.25">
      <c r="A613" s="26">
        <f t="shared" si="75"/>
        <v>1900</v>
      </c>
      <c r="B613" s="26">
        <f t="shared" si="76"/>
        <v>1</v>
      </c>
      <c r="C613" s="20"/>
      <c r="D613" s="21"/>
      <c r="F613" s="23" t="e">
        <f>VLOOKUP(E613,Customers[],2,FALSE)</f>
        <v>#N/A</v>
      </c>
      <c r="G613" s="23" t="e">
        <f>VLOOKUP(E613,Customers[],3,FALSE)</f>
        <v>#N/A</v>
      </c>
      <c r="H613" s="23" t="e">
        <f>VLOOKUP(E613,Customers[],4,FALSE)</f>
        <v>#N/A</v>
      </c>
      <c r="J613" s="29" t="e">
        <f>VLOOKUP(I613,PGStock[],2,FALSE)</f>
        <v>#N/A</v>
      </c>
      <c r="K613" s="30" t="e">
        <f>VLOOKUP(I613,PGStock[],3,FALSE)</f>
        <v>#N/A</v>
      </c>
      <c r="M613" s="31" t="e">
        <f>VLOOKUP(I613,PGStock[],6,FALSE)</f>
        <v>#N/A</v>
      </c>
      <c r="N613" s="31" t="e">
        <f>+Table8[[#This Row],[SalesBot]]*Table8[[#This Row],[Bonus]]</f>
        <v>#N/A</v>
      </c>
    </row>
    <row r="614" spans="1:14" ht="23.25" customHeight="1" x14ac:dyDescent="0.25">
      <c r="A614" s="26">
        <f t="shared" si="69"/>
        <v>1900</v>
      </c>
      <c r="B614" s="26">
        <f t="shared" si="70"/>
        <v>1</v>
      </c>
      <c r="C614" s="20"/>
      <c r="D614" s="21"/>
      <c r="F614" s="23" t="e">
        <f>VLOOKUP(E614,Customers[],2,FALSE)</f>
        <v>#N/A</v>
      </c>
      <c r="G614" s="23" t="e">
        <f>VLOOKUP(E614,Customers[],3,FALSE)</f>
        <v>#N/A</v>
      </c>
      <c r="H614" s="23" t="e">
        <f>VLOOKUP(E614,Customers[],4,FALSE)</f>
        <v>#N/A</v>
      </c>
      <c r="J614" s="29" t="e">
        <f>VLOOKUP(I614,PGStock[],2,FALSE)</f>
        <v>#N/A</v>
      </c>
      <c r="K614" s="30" t="e">
        <f>VLOOKUP(I614,PGStock[],3,FALSE)</f>
        <v>#N/A</v>
      </c>
      <c r="M614" s="31" t="e">
        <f>VLOOKUP(I614,PGStock[],6,FALSE)</f>
        <v>#N/A</v>
      </c>
      <c r="N614" s="31" t="e">
        <f>+Table8[[#This Row],[SalesBot]]*Table8[[#This Row],[Bonus]]</f>
        <v>#N/A</v>
      </c>
    </row>
    <row r="615" spans="1:14" ht="23.25" customHeight="1" x14ac:dyDescent="0.25">
      <c r="A615" s="26">
        <f t="shared" ref="A615:A2596" si="77">YEAR(C615)</f>
        <v>1900</v>
      </c>
      <c r="B615" s="26">
        <f t="shared" ref="B615:B2596" si="78">MONTH(C615)</f>
        <v>1</v>
      </c>
      <c r="C615" s="20"/>
      <c r="D615" s="21"/>
      <c r="F615" s="23" t="e">
        <f>VLOOKUP(E615,Customers[],2,FALSE)</f>
        <v>#N/A</v>
      </c>
      <c r="G615" s="23" t="e">
        <f>VLOOKUP(E615,Customers[],3,FALSE)</f>
        <v>#N/A</v>
      </c>
      <c r="H615" s="23" t="e">
        <f>VLOOKUP(E615,Customers[],4,FALSE)</f>
        <v>#N/A</v>
      </c>
      <c r="J615" s="29" t="e">
        <f>VLOOKUP(I615,PGStock[],2,FALSE)</f>
        <v>#N/A</v>
      </c>
      <c r="K615" s="30" t="e">
        <f>VLOOKUP(I615,PGStock[],3,FALSE)</f>
        <v>#N/A</v>
      </c>
      <c r="M615" s="31" t="e">
        <f>VLOOKUP(I615,PGStock[],6,FALSE)</f>
        <v>#N/A</v>
      </c>
      <c r="N615" s="31" t="e">
        <f>+Table8[[#This Row],[SalesBot]]*Table8[[#This Row],[Bonus]]</f>
        <v>#N/A</v>
      </c>
    </row>
    <row r="616" spans="1:14" ht="23.25" customHeight="1" x14ac:dyDescent="0.25">
      <c r="A616" s="26">
        <f t="shared" si="77"/>
        <v>1900</v>
      </c>
      <c r="B616" s="26">
        <f t="shared" si="78"/>
        <v>1</v>
      </c>
      <c r="C616" s="20"/>
      <c r="D616" s="21"/>
      <c r="F616" s="23" t="e">
        <f>VLOOKUP(E616,Customers[],2,FALSE)</f>
        <v>#N/A</v>
      </c>
      <c r="G616" s="23" t="e">
        <f>VLOOKUP(E616,Customers[],3,FALSE)</f>
        <v>#N/A</v>
      </c>
      <c r="H616" s="23" t="e">
        <f>VLOOKUP(E616,Customers[],4,FALSE)</f>
        <v>#N/A</v>
      </c>
      <c r="J616" s="29" t="e">
        <f>VLOOKUP(I616,PGStock[],2,FALSE)</f>
        <v>#N/A</v>
      </c>
      <c r="K616" s="30" t="e">
        <f>VLOOKUP(I616,PGStock[],3,FALSE)</f>
        <v>#N/A</v>
      </c>
      <c r="M616" s="31" t="e">
        <f>VLOOKUP(I616,PGStock[],6,FALSE)</f>
        <v>#N/A</v>
      </c>
      <c r="N616" s="31" t="e">
        <f>+Table8[[#This Row],[SalesBot]]*Table8[[#This Row],[Bonus]]</f>
        <v>#N/A</v>
      </c>
    </row>
    <row r="617" spans="1:14" ht="23.25" customHeight="1" x14ac:dyDescent="0.25">
      <c r="A617" s="26">
        <f t="shared" si="77"/>
        <v>1900</v>
      </c>
      <c r="B617" s="26">
        <f t="shared" si="78"/>
        <v>1</v>
      </c>
      <c r="C617" s="20"/>
      <c r="D617" s="21"/>
      <c r="F617" s="23" t="e">
        <f>VLOOKUP(E617,Customers[],2,FALSE)</f>
        <v>#N/A</v>
      </c>
      <c r="G617" s="23" t="e">
        <f>VLOOKUP(E617,Customers[],3,FALSE)</f>
        <v>#N/A</v>
      </c>
      <c r="H617" s="23" t="e">
        <f>VLOOKUP(E617,Customers[],4,FALSE)</f>
        <v>#N/A</v>
      </c>
      <c r="J617" s="29" t="e">
        <f>VLOOKUP(I617,PGStock[],2,FALSE)</f>
        <v>#N/A</v>
      </c>
      <c r="K617" s="30" t="e">
        <f>VLOOKUP(I617,PGStock[],3,FALSE)</f>
        <v>#N/A</v>
      </c>
      <c r="M617" s="31" t="e">
        <f>VLOOKUP(I617,PGStock[],6,FALSE)</f>
        <v>#N/A</v>
      </c>
      <c r="N617" s="31" t="e">
        <f>+Table8[[#This Row],[SalesBot]]*Table8[[#This Row],[Bonus]]</f>
        <v>#N/A</v>
      </c>
    </row>
    <row r="618" spans="1:14" ht="23.25" customHeight="1" x14ac:dyDescent="0.25">
      <c r="A618" s="26">
        <f t="shared" si="77"/>
        <v>1900</v>
      </c>
      <c r="B618" s="26">
        <f t="shared" si="78"/>
        <v>1</v>
      </c>
      <c r="C618" s="20"/>
      <c r="D618" s="21"/>
      <c r="F618" s="23" t="e">
        <f>VLOOKUP(E618,Customers[],2,FALSE)</f>
        <v>#N/A</v>
      </c>
      <c r="G618" s="23" t="e">
        <f>VLOOKUP(E618,Customers[],3,FALSE)</f>
        <v>#N/A</v>
      </c>
      <c r="H618" s="23" t="e">
        <f>VLOOKUP(E618,Customers[],4,FALSE)</f>
        <v>#N/A</v>
      </c>
      <c r="J618" s="29" t="e">
        <f>VLOOKUP(I618,PGStock[],2,FALSE)</f>
        <v>#N/A</v>
      </c>
      <c r="K618" s="30" t="e">
        <f>VLOOKUP(I618,PGStock[],3,FALSE)</f>
        <v>#N/A</v>
      </c>
      <c r="M618" s="31" t="e">
        <f>VLOOKUP(I618,PGStock[],6,FALSE)</f>
        <v>#N/A</v>
      </c>
      <c r="N618" s="31" t="e">
        <f>+Table8[[#This Row],[SalesBot]]*Table8[[#This Row],[Bonus]]</f>
        <v>#N/A</v>
      </c>
    </row>
    <row r="619" spans="1:14" ht="23.25" customHeight="1" x14ac:dyDescent="0.25">
      <c r="A619" s="26">
        <f t="shared" si="77"/>
        <v>1900</v>
      </c>
      <c r="B619" s="26">
        <f t="shared" si="78"/>
        <v>1</v>
      </c>
      <c r="C619" s="20"/>
      <c r="D619" s="21"/>
      <c r="F619" s="23" t="e">
        <f>VLOOKUP(E619,Customers[],2,FALSE)</f>
        <v>#N/A</v>
      </c>
      <c r="G619" s="23" t="e">
        <f>VLOOKUP(E619,Customers[],3,FALSE)</f>
        <v>#N/A</v>
      </c>
      <c r="H619" s="23" t="e">
        <f>VLOOKUP(E619,Customers[],4,FALSE)</f>
        <v>#N/A</v>
      </c>
      <c r="J619" s="29" t="e">
        <f>VLOOKUP(I619,PGStock[],2,FALSE)</f>
        <v>#N/A</v>
      </c>
      <c r="K619" s="30" t="e">
        <f>VLOOKUP(I619,PGStock[],3,FALSE)</f>
        <v>#N/A</v>
      </c>
      <c r="M619" s="31" t="e">
        <f>VLOOKUP(I619,PGStock[],6,FALSE)</f>
        <v>#N/A</v>
      </c>
      <c r="N619" s="31" t="e">
        <f>+Table8[[#This Row],[SalesBot]]*Table8[[#This Row],[Bonus]]</f>
        <v>#N/A</v>
      </c>
    </row>
    <row r="620" spans="1:14" ht="23.25" customHeight="1" x14ac:dyDescent="0.25">
      <c r="A620" s="26">
        <f t="shared" si="77"/>
        <v>1900</v>
      </c>
      <c r="B620" s="26">
        <f t="shared" si="78"/>
        <v>1</v>
      </c>
      <c r="C620" s="20"/>
      <c r="D620" s="21"/>
      <c r="F620" s="23" t="e">
        <f>VLOOKUP(E620,Customers[],2,FALSE)</f>
        <v>#N/A</v>
      </c>
      <c r="G620" s="23" t="e">
        <f>VLOOKUP(E620,Customers[],3,FALSE)</f>
        <v>#N/A</v>
      </c>
      <c r="H620" s="23" t="e">
        <f>VLOOKUP(E620,Customers[],4,FALSE)</f>
        <v>#N/A</v>
      </c>
      <c r="J620" s="29" t="e">
        <f>VLOOKUP(I620,PGStock[],2,FALSE)</f>
        <v>#N/A</v>
      </c>
      <c r="K620" s="30" t="e">
        <f>VLOOKUP(I620,PGStock[],3,FALSE)</f>
        <v>#N/A</v>
      </c>
      <c r="M620" s="31" t="e">
        <f>VLOOKUP(I620,PGStock[],6,FALSE)</f>
        <v>#N/A</v>
      </c>
      <c r="N620" s="31" t="e">
        <f>+Table8[[#This Row],[SalesBot]]*Table8[[#This Row],[Bonus]]</f>
        <v>#N/A</v>
      </c>
    </row>
    <row r="621" spans="1:14" ht="23.25" customHeight="1" x14ac:dyDescent="0.25">
      <c r="A621" s="26">
        <f t="shared" si="77"/>
        <v>1900</v>
      </c>
      <c r="B621" s="26">
        <f t="shared" si="78"/>
        <v>1</v>
      </c>
      <c r="C621" s="20"/>
      <c r="D621" s="21"/>
      <c r="F621" s="23" t="e">
        <f>VLOOKUP(E621,Customers[],2,FALSE)</f>
        <v>#N/A</v>
      </c>
      <c r="G621" s="23" t="e">
        <f>VLOOKUP(E621,Customers[],3,FALSE)</f>
        <v>#N/A</v>
      </c>
      <c r="H621" s="23" t="e">
        <f>VLOOKUP(E621,Customers[],4,FALSE)</f>
        <v>#N/A</v>
      </c>
      <c r="J621" s="29" t="e">
        <f>VLOOKUP(I621,PGStock[],2,FALSE)</f>
        <v>#N/A</v>
      </c>
      <c r="K621" s="30" t="e">
        <f>VLOOKUP(I621,PGStock[],3,FALSE)</f>
        <v>#N/A</v>
      </c>
      <c r="M621" s="31" t="e">
        <f>VLOOKUP(I621,PGStock[],6,FALSE)</f>
        <v>#N/A</v>
      </c>
      <c r="N621" s="31" t="e">
        <f>+Table8[[#This Row],[SalesBot]]*Table8[[#This Row],[Bonus]]</f>
        <v>#N/A</v>
      </c>
    </row>
    <row r="622" spans="1:14" ht="23.25" customHeight="1" x14ac:dyDescent="0.25">
      <c r="A622" s="26">
        <f t="shared" si="77"/>
        <v>1900</v>
      </c>
      <c r="B622" s="26">
        <f t="shared" si="78"/>
        <v>1</v>
      </c>
      <c r="C622" s="20"/>
      <c r="D622" s="21"/>
      <c r="F622" s="23" t="e">
        <f>VLOOKUP(E622,Customers[],2,FALSE)</f>
        <v>#N/A</v>
      </c>
      <c r="G622" s="23" t="e">
        <f>VLOOKUP(E622,Customers[],3,FALSE)</f>
        <v>#N/A</v>
      </c>
      <c r="H622" s="23" t="e">
        <f>VLOOKUP(E622,Customers[],4,FALSE)</f>
        <v>#N/A</v>
      </c>
      <c r="J622" s="29" t="e">
        <f>VLOOKUP(I622,PGStock[],2,FALSE)</f>
        <v>#N/A</v>
      </c>
      <c r="K622" s="30" t="e">
        <f>VLOOKUP(I622,PGStock[],3,FALSE)</f>
        <v>#N/A</v>
      </c>
      <c r="M622" s="31" t="e">
        <f>VLOOKUP(I622,PGStock[],6,FALSE)</f>
        <v>#N/A</v>
      </c>
      <c r="N622" s="31" t="e">
        <f>+Table8[[#This Row],[SalesBot]]*Table8[[#This Row],[Bonus]]</f>
        <v>#N/A</v>
      </c>
    </row>
    <row r="623" spans="1:14" ht="23.25" customHeight="1" x14ac:dyDescent="0.25">
      <c r="A623" s="26">
        <f t="shared" si="77"/>
        <v>1900</v>
      </c>
      <c r="B623" s="26">
        <f t="shared" si="78"/>
        <v>1</v>
      </c>
      <c r="C623" s="20"/>
      <c r="D623" s="21"/>
      <c r="F623" s="23" t="e">
        <f>VLOOKUP(E623,Customers[],2,FALSE)</f>
        <v>#N/A</v>
      </c>
      <c r="G623" s="23" t="e">
        <f>VLOOKUP(E623,Customers[],3,FALSE)</f>
        <v>#N/A</v>
      </c>
      <c r="H623" s="23" t="e">
        <f>VLOOKUP(E623,Customers[],4,FALSE)</f>
        <v>#N/A</v>
      </c>
      <c r="J623" s="29" t="e">
        <f>VLOOKUP(I623,PGStock[],2,FALSE)</f>
        <v>#N/A</v>
      </c>
      <c r="K623" s="30" t="e">
        <f>VLOOKUP(I623,PGStock[],3,FALSE)</f>
        <v>#N/A</v>
      </c>
      <c r="M623" s="31" t="e">
        <f>VLOOKUP(I623,PGStock[],6,FALSE)</f>
        <v>#N/A</v>
      </c>
      <c r="N623" s="31" t="e">
        <f>+Table8[[#This Row],[SalesBot]]*Table8[[#This Row],[Bonus]]</f>
        <v>#N/A</v>
      </c>
    </row>
    <row r="624" spans="1:14" ht="23.25" customHeight="1" x14ac:dyDescent="0.25">
      <c r="A624" s="26">
        <f t="shared" si="77"/>
        <v>1900</v>
      </c>
      <c r="B624" s="26">
        <f t="shared" si="78"/>
        <v>1</v>
      </c>
      <c r="C624" s="20"/>
      <c r="D624" s="21"/>
      <c r="F624" s="23" t="e">
        <f>VLOOKUP(E624,Customers[],2,FALSE)</f>
        <v>#N/A</v>
      </c>
      <c r="G624" s="23" t="e">
        <f>VLOOKUP(E624,Customers[],3,FALSE)</f>
        <v>#N/A</v>
      </c>
      <c r="H624" s="23" t="e">
        <f>VLOOKUP(E624,Customers[],4,FALSE)</f>
        <v>#N/A</v>
      </c>
      <c r="J624" s="29" t="e">
        <f>VLOOKUP(I624,PGStock[],2,FALSE)</f>
        <v>#N/A</v>
      </c>
      <c r="K624" s="30" t="e">
        <f>VLOOKUP(I624,PGStock[],3,FALSE)</f>
        <v>#N/A</v>
      </c>
      <c r="M624" s="31" t="e">
        <f>VLOOKUP(I624,PGStock[],6,FALSE)</f>
        <v>#N/A</v>
      </c>
      <c r="N624" s="31" t="e">
        <f>+Table8[[#This Row],[SalesBot]]*Table8[[#This Row],[Bonus]]</f>
        <v>#N/A</v>
      </c>
    </row>
    <row r="625" spans="1:14" ht="23.25" customHeight="1" x14ac:dyDescent="0.25">
      <c r="A625" s="26">
        <f t="shared" si="77"/>
        <v>1900</v>
      </c>
      <c r="B625" s="26">
        <f t="shared" si="78"/>
        <v>1</v>
      </c>
      <c r="C625" s="20"/>
      <c r="D625" s="21"/>
      <c r="F625" s="23" t="e">
        <f>VLOOKUP(E625,Customers[],2,FALSE)</f>
        <v>#N/A</v>
      </c>
      <c r="G625" s="23" t="e">
        <f>VLOOKUP(E625,Customers[],3,FALSE)</f>
        <v>#N/A</v>
      </c>
      <c r="H625" s="23" t="e">
        <f>VLOOKUP(E625,Customers[],4,FALSE)</f>
        <v>#N/A</v>
      </c>
      <c r="J625" s="29" t="e">
        <f>VLOOKUP(I625,PGStock[],2,FALSE)</f>
        <v>#N/A</v>
      </c>
      <c r="K625" s="30" t="e">
        <f>VLOOKUP(I625,PGStock[],3,FALSE)</f>
        <v>#N/A</v>
      </c>
      <c r="M625" s="31" t="e">
        <f>VLOOKUP(I625,PGStock[],6,FALSE)</f>
        <v>#N/A</v>
      </c>
      <c r="N625" s="31" t="e">
        <f>+Table8[[#This Row],[SalesBot]]*Table8[[#This Row],[Bonus]]</f>
        <v>#N/A</v>
      </c>
    </row>
    <row r="626" spans="1:14" ht="23.25" customHeight="1" x14ac:dyDescent="0.25">
      <c r="A626" s="26">
        <f t="shared" si="77"/>
        <v>1900</v>
      </c>
      <c r="B626" s="26">
        <f t="shared" si="78"/>
        <v>1</v>
      </c>
      <c r="C626" s="20"/>
      <c r="D626" s="21"/>
      <c r="F626" s="23" t="e">
        <f>VLOOKUP(E626,Customers[],2,FALSE)</f>
        <v>#N/A</v>
      </c>
      <c r="G626" s="23" t="e">
        <f>VLOOKUP(E626,Customers[],3,FALSE)</f>
        <v>#N/A</v>
      </c>
      <c r="H626" s="23" t="e">
        <f>VLOOKUP(E626,Customers[],4,FALSE)</f>
        <v>#N/A</v>
      </c>
      <c r="J626" s="29" t="e">
        <f>VLOOKUP(I626,PGStock[],2,FALSE)</f>
        <v>#N/A</v>
      </c>
      <c r="K626" s="30" t="e">
        <f>VLOOKUP(I626,PGStock[],3,FALSE)</f>
        <v>#N/A</v>
      </c>
      <c r="M626" s="31" t="e">
        <f>VLOOKUP(I626,PGStock[],6,FALSE)</f>
        <v>#N/A</v>
      </c>
      <c r="N626" s="31" t="e">
        <f>+Table8[[#This Row],[SalesBot]]*Table8[[#This Row],[Bonus]]</f>
        <v>#N/A</v>
      </c>
    </row>
    <row r="627" spans="1:14" ht="23.25" customHeight="1" x14ac:dyDescent="0.25">
      <c r="A627" s="26">
        <f t="shared" si="77"/>
        <v>1900</v>
      </c>
      <c r="B627" s="26">
        <f t="shared" si="78"/>
        <v>1</v>
      </c>
      <c r="C627" s="20"/>
      <c r="D627" s="21"/>
      <c r="F627" s="23" t="e">
        <f>VLOOKUP(E627,Customers[],2,FALSE)</f>
        <v>#N/A</v>
      </c>
      <c r="G627" s="23" t="e">
        <f>VLOOKUP(E627,Customers[],3,FALSE)</f>
        <v>#N/A</v>
      </c>
      <c r="H627" s="23" t="e">
        <f>VLOOKUP(E627,Customers[],4,FALSE)</f>
        <v>#N/A</v>
      </c>
      <c r="J627" s="29" t="e">
        <f>VLOOKUP(I627,PGStock[],2,FALSE)</f>
        <v>#N/A</v>
      </c>
      <c r="K627" s="30" t="e">
        <f>VLOOKUP(I627,PGStock[],3,FALSE)</f>
        <v>#N/A</v>
      </c>
      <c r="M627" s="31" t="e">
        <f>VLOOKUP(I627,PGStock[],6,FALSE)</f>
        <v>#N/A</v>
      </c>
      <c r="N627" s="31" t="e">
        <f>+Table8[[#This Row],[SalesBot]]*Table8[[#This Row],[Bonus]]</f>
        <v>#N/A</v>
      </c>
    </row>
    <row r="628" spans="1:14" ht="23.25" customHeight="1" x14ac:dyDescent="0.25">
      <c r="A628" s="26">
        <f t="shared" si="77"/>
        <v>1900</v>
      </c>
      <c r="B628" s="26">
        <f t="shared" si="78"/>
        <v>1</v>
      </c>
      <c r="C628" s="20"/>
      <c r="D628" s="21"/>
      <c r="F628" s="23" t="e">
        <f>VLOOKUP(E628,Customers[],2,FALSE)</f>
        <v>#N/A</v>
      </c>
      <c r="G628" s="23" t="e">
        <f>VLOOKUP(E628,Customers[],3,FALSE)</f>
        <v>#N/A</v>
      </c>
      <c r="H628" s="23" t="e">
        <f>VLOOKUP(E628,Customers[],4,FALSE)</f>
        <v>#N/A</v>
      </c>
      <c r="J628" s="29" t="e">
        <f>VLOOKUP(I628,PGStock[],2,FALSE)</f>
        <v>#N/A</v>
      </c>
      <c r="K628" s="30" t="e">
        <f>VLOOKUP(I628,PGStock[],3,FALSE)</f>
        <v>#N/A</v>
      </c>
      <c r="M628" s="31" t="e">
        <f>VLOOKUP(I628,PGStock[],6,FALSE)</f>
        <v>#N/A</v>
      </c>
      <c r="N628" s="31" t="e">
        <f>+Table8[[#This Row],[SalesBot]]*Table8[[#This Row],[Bonus]]</f>
        <v>#N/A</v>
      </c>
    </row>
    <row r="629" spans="1:14" ht="23.25" customHeight="1" x14ac:dyDescent="0.25">
      <c r="A629" s="26">
        <f t="shared" si="77"/>
        <v>1900</v>
      </c>
      <c r="B629" s="26">
        <f t="shared" si="78"/>
        <v>1</v>
      </c>
      <c r="C629" s="20"/>
      <c r="D629" s="21"/>
      <c r="F629" s="23" t="e">
        <f>VLOOKUP(E629,Customers[],2,FALSE)</f>
        <v>#N/A</v>
      </c>
      <c r="G629" s="23" t="e">
        <f>VLOOKUP(E629,Customers[],3,FALSE)</f>
        <v>#N/A</v>
      </c>
      <c r="H629" s="23" t="e">
        <f>VLOOKUP(E629,Customers[],4,FALSE)</f>
        <v>#N/A</v>
      </c>
      <c r="J629" s="29" t="e">
        <f>VLOOKUP(I629,PGStock[],2,FALSE)</f>
        <v>#N/A</v>
      </c>
      <c r="K629" s="30" t="e">
        <f>VLOOKUP(I629,PGStock[],3,FALSE)</f>
        <v>#N/A</v>
      </c>
      <c r="M629" s="31" t="e">
        <f>VLOOKUP(I629,PGStock[],6,FALSE)</f>
        <v>#N/A</v>
      </c>
      <c r="N629" s="31" t="e">
        <f>+Table8[[#This Row],[SalesBot]]*Table8[[#This Row],[Bonus]]</f>
        <v>#N/A</v>
      </c>
    </row>
    <row r="630" spans="1:14" ht="23.25" customHeight="1" x14ac:dyDescent="0.25">
      <c r="A630" s="26">
        <f t="shared" si="77"/>
        <v>1900</v>
      </c>
      <c r="B630" s="26">
        <f t="shared" si="78"/>
        <v>1</v>
      </c>
      <c r="C630" s="20"/>
      <c r="D630" s="21"/>
      <c r="F630" s="23" t="e">
        <f>VLOOKUP(E630,Customers[],2,FALSE)</f>
        <v>#N/A</v>
      </c>
      <c r="G630" s="23" t="e">
        <f>VLOOKUP(E630,Customers[],3,FALSE)</f>
        <v>#N/A</v>
      </c>
      <c r="H630" s="23" t="e">
        <f>VLOOKUP(E630,Customers[],4,FALSE)</f>
        <v>#N/A</v>
      </c>
      <c r="J630" s="29" t="e">
        <f>VLOOKUP(I630,PGStock[],2,FALSE)</f>
        <v>#N/A</v>
      </c>
      <c r="K630" s="30" t="e">
        <f>VLOOKUP(I630,PGStock[],3,FALSE)</f>
        <v>#N/A</v>
      </c>
      <c r="M630" s="31" t="e">
        <f>VLOOKUP(I630,PGStock[],6,FALSE)</f>
        <v>#N/A</v>
      </c>
      <c r="N630" s="31" t="e">
        <f>+Table8[[#This Row],[SalesBot]]*Table8[[#This Row],[Bonus]]</f>
        <v>#N/A</v>
      </c>
    </row>
    <row r="631" spans="1:14" ht="23.25" customHeight="1" x14ac:dyDescent="0.25">
      <c r="A631" s="26">
        <f t="shared" si="77"/>
        <v>1900</v>
      </c>
      <c r="B631" s="26">
        <f t="shared" si="78"/>
        <v>1</v>
      </c>
      <c r="C631" s="20"/>
      <c r="D631" s="21"/>
      <c r="F631" s="23" t="e">
        <f>VLOOKUP(E631,Customers[],2,FALSE)</f>
        <v>#N/A</v>
      </c>
      <c r="G631" s="23" t="e">
        <f>VLOOKUP(E631,Customers[],3,FALSE)</f>
        <v>#N/A</v>
      </c>
      <c r="H631" s="23" t="e">
        <f>VLOOKUP(E631,Customers[],4,FALSE)</f>
        <v>#N/A</v>
      </c>
      <c r="J631" s="29" t="e">
        <f>VLOOKUP(I631,PGStock[],2,FALSE)</f>
        <v>#N/A</v>
      </c>
      <c r="K631" s="30" t="e">
        <f>VLOOKUP(I631,PGStock[],3,FALSE)</f>
        <v>#N/A</v>
      </c>
      <c r="M631" s="31" t="e">
        <f>VLOOKUP(I631,PGStock[],6,FALSE)</f>
        <v>#N/A</v>
      </c>
      <c r="N631" s="31" t="e">
        <f>+Table8[[#This Row],[SalesBot]]*Table8[[#This Row],[Bonus]]</f>
        <v>#N/A</v>
      </c>
    </row>
    <row r="632" spans="1:14" ht="23.25" customHeight="1" x14ac:dyDescent="0.25">
      <c r="A632" s="26">
        <f t="shared" si="77"/>
        <v>1900</v>
      </c>
      <c r="B632" s="26">
        <f t="shared" si="78"/>
        <v>1</v>
      </c>
      <c r="C632" s="20"/>
      <c r="D632" s="21"/>
      <c r="F632" s="23" t="e">
        <f>VLOOKUP(E632,Customers[],2,FALSE)</f>
        <v>#N/A</v>
      </c>
      <c r="G632" s="23" t="e">
        <f>VLOOKUP(E632,Customers[],3,FALSE)</f>
        <v>#N/A</v>
      </c>
      <c r="H632" s="23" t="e">
        <f>VLOOKUP(E632,Customers[],4,FALSE)</f>
        <v>#N/A</v>
      </c>
      <c r="J632" s="29" t="e">
        <f>VLOOKUP(I632,PGStock[],2,FALSE)</f>
        <v>#N/A</v>
      </c>
      <c r="K632" s="30" t="e">
        <f>VLOOKUP(I632,PGStock[],3,FALSE)</f>
        <v>#N/A</v>
      </c>
      <c r="M632" s="31" t="e">
        <f>VLOOKUP(I632,PGStock[],6,FALSE)</f>
        <v>#N/A</v>
      </c>
      <c r="N632" s="31" t="e">
        <f>+Table8[[#This Row],[SalesBot]]*Table8[[#This Row],[Bonus]]</f>
        <v>#N/A</v>
      </c>
    </row>
    <row r="633" spans="1:14" ht="23.25" customHeight="1" x14ac:dyDescent="0.25">
      <c r="A633" s="26">
        <f t="shared" si="77"/>
        <v>1900</v>
      </c>
      <c r="B633" s="26">
        <f t="shared" si="78"/>
        <v>1</v>
      </c>
      <c r="C633" s="20"/>
      <c r="D633" s="21"/>
      <c r="F633" s="23" t="e">
        <f>VLOOKUP(E633,Customers[],2,FALSE)</f>
        <v>#N/A</v>
      </c>
      <c r="G633" s="23" t="e">
        <f>VLOOKUP(E633,Customers[],3,FALSE)</f>
        <v>#N/A</v>
      </c>
      <c r="H633" s="23" t="e">
        <f>VLOOKUP(E633,Customers[],4,FALSE)</f>
        <v>#N/A</v>
      </c>
      <c r="J633" s="29" t="e">
        <f>VLOOKUP(I633,PGStock[],2,FALSE)</f>
        <v>#N/A</v>
      </c>
      <c r="K633" s="30" t="e">
        <f>VLOOKUP(I633,PGStock[],3,FALSE)</f>
        <v>#N/A</v>
      </c>
      <c r="M633" s="31" t="e">
        <f>VLOOKUP(I633,PGStock[],6,FALSE)</f>
        <v>#N/A</v>
      </c>
      <c r="N633" s="31" t="e">
        <f>+Table8[[#This Row],[SalesBot]]*Table8[[#This Row],[Bonus]]</f>
        <v>#N/A</v>
      </c>
    </row>
    <row r="634" spans="1:14" ht="23.25" customHeight="1" x14ac:dyDescent="0.25">
      <c r="A634" s="26">
        <f t="shared" si="77"/>
        <v>1900</v>
      </c>
      <c r="B634" s="26">
        <f t="shared" si="78"/>
        <v>1</v>
      </c>
      <c r="C634" s="20"/>
      <c r="D634" s="21"/>
      <c r="F634" s="23" t="e">
        <f>VLOOKUP(E634,Customers[],2,FALSE)</f>
        <v>#N/A</v>
      </c>
      <c r="G634" s="23" t="e">
        <f>VLOOKUP(E634,Customers[],3,FALSE)</f>
        <v>#N/A</v>
      </c>
      <c r="H634" s="23" t="e">
        <f>VLOOKUP(E634,Customers[],4,FALSE)</f>
        <v>#N/A</v>
      </c>
      <c r="J634" s="29" t="e">
        <f>VLOOKUP(I634,PGStock[],2,FALSE)</f>
        <v>#N/A</v>
      </c>
      <c r="K634" s="30" t="e">
        <f>VLOOKUP(I634,PGStock[],3,FALSE)</f>
        <v>#N/A</v>
      </c>
      <c r="M634" s="31" t="e">
        <f>VLOOKUP(I634,PGStock[],6,FALSE)</f>
        <v>#N/A</v>
      </c>
      <c r="N634" s="31" t="e">
        <f>+Table8[[#This Row],[SalesBot]]*Table8[[#This Row],[Bonus]]</f>
        <v>#N/A</v>
      </c>
    </row>
    <row r="635" spans="1:14" ht="23.25" customHeight="1" x14ac:dyDescent="0.25">
      <c r="A635" s="26">
        <f t="shared" si="77"/>
        <v>1900</v>
      </c>
      <c r="B635" s="26">
        <f t="shared" si="78"/>
        <v>1</v>
      </c>
      <c r="C635" s="20"/>
      <c r="D635" s="21"/>
      <c r="F635" s="23" t="e">
        <f>VLOOKUP(E635,Customers[],2,FALSE)</f>
        <v>#N/A</v>
      </c>
      <c r="G635" s="23" t="e">
        <f>VLOOKUP(E635,Customers[],3,FALSE)</f>
        <v>#N/A</v>
      </c>
      <c r="H635" s="23" t="e">
        <f>VLOOKUP(E635,Customers[],4,FALSE)</f>
        <v>#N/A</v>
      </c>
      <c r="J635" s="29" t="e">
        <f>VLOOKUP(I635,PGStock[],2,FALSE)</f>
        <v>#N/A</v>
      </c>
      <c r="K635" s="30" t="e">
        <f>VLOOKUP(I635,PGStock[],3,FALSE)</f>
        <v>#N/A</v>
      </c>
      <c r="M635" s="31" t="e">
        <f>VLOOKUP(I635,PGStock[],6,FALSE)</f>
        <v>#N/A</v>
      </c>
      <c r="N635" s="31" t="e">
        <f>+Table8[[#This Row],[SalesBot]]*Table8[[#This Row],[Bonus]]</f>
        <v>#N/A</v>
      </c>
    </row>
    <row r="636" spans="1:14" ht="23.25" customHeight="1" x14ac:dyDescent="0.25">
      <c r="A636" s="26">
        <f t="shared" si="77"/>
        <v>1900</v>
      </c>
      <c r="B636" s="26">
        <f t="shared" si="78"/>
        <v>1</v>
      </c>
      <c r="C636" s="20"/>
      <c r="D636" s="21"/>
      <c r="F636" s="23" t="e">
        <f>VLOOKUP(E636,Customers[],2,FALSE)</f>
        <v>#N/A</v>
      </c>
      <c r="G636" s="23" t="e">
        <f>VLOOKUP(E636,Customers[],3,FALSE)</f>
        <v>#N/A</v>
      </c>
      <c r="H636" s="23" t="e">
        <f>VLOOKUP(E636,Customers[],4,FALSE)</f>
        <v>#N/A</v>
      </c>
      <c r="J636" s="29" t="e">
        <f>VLOOKUP(I636,PGStock[],2,FALSE)</f>
        <v>#N/A</v>
      </c>
      <c r="K636" s="30" t="e">
        <f>VLOOKUP(I636,PGStock[],3,FALSE)</f>
        <v>#N/A</v>
      </c>
      <c r="M636" s="31" t="e">
        <f>VLOOKUP(I636,PGStock[],6,FALSE)</f>
        <v>#N/A</v>
      </c>
      <c r="N636" s="31" t="e">
        <f>+Table8[[#This Row],[SalesBot]]*Table8[[#This Row],[Bonus]]</f>
        <v>#N/A</v>
      </c>
    </row>
    <row r="637" spans="1:14" ht="23.25" customHeight="1" x14ac:dyDescent="0.25">
      <c r="A637" s="26">
        <f t="shared" si="77"/>
        <v>1900</v>
      </c>
      <c r="B637" s="26">
        <f t="shared" si="78"/>
        <v>1</v>
      </c>
      <c r="C637" s="20"/>
      <c r="D637" s="21"/>
      <c r="F637" s="23" t="e">
        <f>VLOOKUP(E637,Customers[],2,FALSE)</f>
        <v>#N/A</v>
      </c>
      <c r="G637" s="23" t="e">
        <f>VLOOKUP(E637,Customers[],3,FALSE)</f>
        <v>#N/A</v>
      </c>
      <c r="H637" s="23" t="e">
        <f>VLOOKUP(E637,Customers[],4,FALSE)</f>
        <v>#N/A</v>
      </c>
      <c r="J637" s="29" t="e">
        <f>VLOOKUP(I637,PGStock[],2,FALSE)</f>
        <v>#N/A</v>
      </c>
      <c r="K637" s="30" t="e">
        <f>VLOOKUP(I637,PGStock[],3,FALSE)</f>
        <v>#N/A</v>
      </c>
      <c r="M637" s="31" t="e">
        <f>VLOOKUP(I637,PGStock[],6,FALSE)</f>
        <v>#N/A</v>
      </c>
      <c r="N637" s="31" t="e">
        <f>+Table8[[#This Row],[SalesBot]]*Table8[[#This Row],[Bonus]]</f>
        <v>#N/A</v>
      </c>
    </row>
    <row r="638" spans="1:14" ht="23.25" customHeight="1" x14ac:dyDescent="0.25">
      <c r="A638" s="26">
        <f t="shared" si="77"/>
        <v>1900</v>
      </c>
      <c r="B638" s="26">
        <f t="shared" si="78"/>
        <v>1</v>
      </c>
      <c r="C638" s="20"/>
      <c r="D638" s="21"/>
      <c r="F638" s="23" t="e">
        <f>VLOOKUP(E638,Customers[],2,FALSE)</f>
        <v>#N/A</v>
      </c>
      <c r="G638" s="23" t="e">
        <f>VLOOKUP(E638,Customers[],3,FALSE)</f>
        <v>#N/A</v>
      </c>
      <c r="H638" s="23" t="e">
        <f>VLOOKUP(E638,Customers[],4,FALSE)</f>
        <v>#N/A</v>
      </c>
      <c r="J638" s="29" t="e">
        <f>VLOOKUP(I638,PGStock[],2,FALSE)</f>
        <v>#N/A</v>
      </c>
      <c r="K638" s="30" t="e">
        <f>VLOOKUP(I638,PGStock[],3,FALSE)</f>
        <v>#N/A</v>
      </c>
      <c r="M638" s="31" t="e">
        <f>VLOOKUP(I638,PGStock[],6,FALSE)</f>
        <v>#N/A</v>
      </c>
      <c r="N638" s="31" t="e">
        <f>+Table8[[#This Row],[SalesBot]]*Table8[[#This Row],[Bonus]]</f>
        <v>#N/A</v>
      </c>
    </row>
    <row r="639" spans="1:14" ht="23.25" customHeight="1" x14ac:dyDescent="0.25">
      <c r="A639" s="26">
        <f t="shared" si="77"/>
        <v>1900</v>
      </c>
      <c r="B639" s="26">
        <f t="shared" si="78"/>
        <v>1</v>
      </c>
      <c r="C639" s="20"/>
      <c r="D639" s="21"/>
      <c r="F639" s="23" t="e">
        <f>VLOOKUP(E639,Customers[],2,FALSE)</f>
        <v>#N/A</v>
      </c>
      <c r="G639" s="23" t="e">
        <f>VLOOKUP(E639,Customers[],3,FALSE)</f>
        <v>#N/A</v>
      </c>
      <c r="H639" s="23" t="e">
        <f>VLOOKUP(E639,Customers[],4,FALSE)</f>
        <v>#N/A</v>
      </c>
      <c r="J639" s="29" t="e">
        <f>VLOOKUP(I639,PGStock[],2,FALSE)</f>
        <v>#N/A</v>
      </c>
      <c r="K639" s="30" t="e">
        <f>VLOOKUP(I639,PGStock[],3,FALSE)</f>
        <v>#N/A</v>
      </c>
      <c r="M639" s="31" t="e">
        <f>VLOOKUP(I639,PGStock[],6,FALSE)</f>
        <v>#N/A</v>
      </c>
      <c r="N639" s="31" t="e">
        <f>+Table8[[#This Row],[SalesBot]]*Table8[[#This Row],[Bonus]]</f>
        <v>#N/A</v>
      </c>
    </row>
    <row r="640" spans="1:14" ht="23.25" customHeight="1" x14ac:dyDescent="0.25">
      <c r="A640" s="26">
        <f t="shared" si="77"/>
        <v>1900</v>
      </c>
      <c r="B640" s="26">
        <f t="shared" si="78"/>
        <v>1</v>
      </c>
      <c r="C640" s="20"/>
      <c r="D640" s="21"/>
      <c r="F640" s="23" t="e">
        <f>VLOOKUP(E640,Customers[],2,FALSE)</f>
        <v>#N/A</v>
      </c>
      <c r="G640" s="23" t="e">
        <f>VLOOKUP(E640,Customers[],3,FALSE)</f>
        <v>#N/A</v>
      </c>
      <c r="H640" s="23" t="e">
        <f>VLOOKUP(E640,Customers[],4,FALSE)</f>
        <v>#N/A</v>
      </c>
      <c r="J640" s="29" t="e">
        <f>VLOOKUP(I640,PGStock[],2,FALSE)</f>
        <v>#N/A</v>
      </c>
      <c r="K640" s="30" t="e">
        <f>VLOOKUP(I640,PGStock[],3,FALSE)</f>
        <v>#N/A</v>
      </c>
      <c r="M640" s="31" t="e">
        <f>VLOOKUP(I640,PGStock[],6,FALSE)</f>
        <v>#N/A</v>
      </c>
      <c r="N640" s="31" t="e">
        <f>+Table8[[#This Row],[SalesBot]]*Table8[[#This Row],[Bonus]]</f>
        <v>#N/A</v>
      </c>
    </row>
    <row r="641" spans="1:14" ht="23.25" customHeight="1" x14ac:dyDescent="0.25">
      <c r="A641" s="26">
        <f t="shared" si="77"/>
        <v>1900</v>
      </c>
      <c r="B641" s="26">
        <f t="shared" si="78"/>
        <v>1</v>
      </c>
      <c r="C641" s="20"/>
      <c r="D641" s="21"/>
      <c r="F641" s="23" t="e">
        <f>VLOOKUP(E641,Customers[],2,FALSE)</f>
        <v>#N/A</v>
      </c>
      <c r="G641" s="23" t="e">
        <f>VLOOKUP(E641,Customers[],3,FALSE)</f>
        <v>#N/A</v>
      </c>
      <c r="H641" s="23" t="e">
        <f>VLOOKUP(E641,Customers[],4,FALSE)</f>
        <v>#N/A</v>
      </c>
      <c r="J641" s="29" t="e">
        <f>VLOOKUP(I641,PGStock[],2,FALSE)</f>
        <v>#N/A</v>
      </c>
      <c r="K641" s="30" t="e">
        <f>VLOOKUP(I641,PGStock[],3,FALSE)</f>
        <v>#N/A</v>
      </c>
      <c r="M641" s="31" t="e">
        <f>VLOOKUP(I641,PGStock[],6,FALSE)</f>
        <v>#N/A</v>
      </c>
      <c r="N641" s="31" t="e">
        <f>+Table8[[#This Row],[SalesBot]]*Table8[[#This Row],[Bonus]]</f>
        <v>#N/A</v>
      </c>
    </row>
    <row r="642" spans="1:14" ht="23.25" customHeight="1" x14ac:dyDescent="0.25">
      <c r="A642" s="26">
        <f t="shared" si="77"/>
        <v>1900</v>
      </c>
      <c r="B642" s="26">
        <f t="shared" si="78"/>
        <v>1</v>
      </c>
      <c r="C642" s="20"/>
      <c r="D642" s="21"/>
      <c r="F642" s="23" t="e">
        <f>VLOOKUP(E642,Customers[],2,FALSE)</f>
        <v>#N/A</v>
      </c>
      <c r="G642" s="23" t="e">
        <f>VLOOKUP(E642,Customers[],3,FALSE)</f>
        <v>#N/A</v>
      </c>
      <c r="H642" s="23" t="e">
        <f>VLOOKUP(E642,Customers[],4,FALSE)</f>
        <v>#N/A</v>
      </c>
      <c r="J642" s="29" t="e">
        <f>VLOOKUP(I642,PGStock[],2,FALSE)</f>
        <v>#N/A</v>
      </c>
      <c r="K642" s="30" t="e">
        <f>VLOOKUP(I642,PGStock[],3,FALSE)</f>
        <v>#N/A</v>
      </c>
      <c r="M642" s="31" t="e">
        <f>VLOOKUP(I642,PGStock[],6,FALSE)</f>
        <v>#N/A</v>
      </c>
      <c r="N642" s="31" t="e">
        <f>+Table8[[#This Row],[SalesBot]]*Table8[[#This Row],[Bonus]]</f>
        <v>#N/A</v>
      </c>
    </row>
    <row r="643" spans="1:14" ht="23.25" customHeight="1" x14ac:dyDescent="0.25">
      <c r="A643" s="26">
        <v>2025</v>
      </c>
      <c r="B643" s="26">
        <v>5</v>
      </c>
      <c r="C643" s="20"/>
      <c r="D643" s="21"/>
      <c r="F643" s="23" t="e">
        <f>VLOOKUP(E643,Customers[],2,FALSE)</f>
        <v>#N/A</v>
      </c>
      <c r="G643" s="23" t="e">
        <f>VLOOKUP(E643,Customers[],3,FALSE)</f>
        <v>#N/A</v>
      </c>
      <c r="H643" s="23" t="e">
        <f>VLOOKUP(E643,Customers[],4,FALSE)</f>
        <v>#N/A</v>
      </c>
      <c r="J643" s="29" t="e">
        <f>VLOOKUP(I643,PGStock[],2,FALSE)</f>
        <v>#N/A</v>
      </c>
      <c r="K643" s="30" t="e">
        <f>VLOOKUP(I643,PGStock[],3,FALSE)</f>
        <v>#N/A</v>
      </c>
      <c r="M643" s="31" t="e">
        <f>VLOOKUP(I643,PGStock[],6,FALSE)</f>
        <v>#N/A</v>
      </c>
      <c r="N643" s="31" t="e">
        <f>+Table8[[#This Row],[SalesBot]]*Table8[[#This Row],[Bonus]]</f>
        <v>#N/A</v>
      </c>
    </row>
    <row r="644" spans="1:14" ht="23.25" customHeight="1" x14ac:dyDescent="0.25">
      <c r="A644" s="26">
        <f t="shared" si="77"/>
        <v>1900</v>
      </c>
      <c r="B644" s="59">
        <f t="shared" ref="B644:B675" si="79">MONTH(C644)</f>
        <v>1</v>
      </c>
      <c r="C644" s="60"/>
      <c r="D644" s="61"/>
      <c r="F644" s="23" t="e">
        <f>VLOOKUP(E644,Customers[],2,FALSE)</f>
        <v>#N/A</v>
      </c>
      <c r="G644" s="23" t="e">
        <f>VLOOKUP(E644,Customers[],3,FALSE)</f>
        <v>#N/A</v>
      </c>
      <c r="H644" s="23" t="e">
        <f>VLOOKUP(E644,Customers[],4,FALSE)</f>
        <v>#N/A</v>
      </c>
      <c r="J644" s="29" t="e">
        <f>VLOOKUP(I644,PGStock[],2,FALSE)</f>
        <v>#N/A</v>
      </c>
      <c r="K644" s="30" t="e">
        <f>VLOOKUP(I644,PGStock[],3,FALSE)</f>
        <v>#N/A</v>
      </c>
      <c r="M644" s="62" t="e">
        <f>VLOOKUP(I644,PGStock[],6,FALSE)</f>
        <v>#N/A</v>
      </c>
      <c r="N644" s="62" t="e">
        <f>+Table8[[#This Row],[SalesBot]]*Table8[[#This Row],[Bonus]]</f>
        <v>#N/A</v>
      </c>
    </row>
    <row r="645" spans="1:14" ht="23.25" customHeight="1" x14ac:dyDescent="0.25">
      <c r="A645" s="26">
        <f t="shared" si="77"/>
        <v>1900</v>
      </c>
      <c r="B645" s="59">
        <f t="shared" si="79"/>
        <v>1</v>
      </c>
      <c r="C645" s="60"/>
      <c r="D645" s="61"/>
      <c r="F645" s="23" t="e">
        <f>VLOOKUP(E645,Customers[],2,FALSE)</f>
        <v>#N/A</v>
      </c>
      <c r="G645" s="23" t="e">
        <f>VLOOKUP(E645,Customers[],3,FALSE)</f>
        <v>#N/A</v>
      </c>
      <c r="H645" s="23" t="e">
        <f>VLOOKUP(E645,Customers[],4,FALSE)</f>
        <v>#N/A</v>
      </c>
      <c r="J645" s="29" t="e">
        <f>VLOOKUP(I645,PGStock[],2,FALSE)</f>
        <v>#N/A</v>
      </c>
      <c r="K645" s="30" t="e">
        <f>VLOOKUP(I645,PGStock[],3,FALSE)</f>
        <v>#N/A</v>
      </c>
      <c r="M645" s="62" t="e">
        <f>VLOOKUP(I645,PGStock[],6,FALSE)</f>
        <v>#N/A</v>
      </c>
      <c r="N645" s="62" t="e">
        <f>+Table8[[#This Row],[SalesBot]]*Table8[[#This Row],[Bonus]]</f>
        <v>#N/A</v>
      </c>
    </row>
    <row r="646" spans="1:14" ht="23.25" customHeight="1" x14ac:dyDescent="0.25">
      <c r="A646" s="26">
        <f t="shared" si="77"/>
        <v>1900</v>
      </c>
      <c r="B646" s="59">
        <f t="shared" si="79"/>
        <v>1</v>
      </c>
      <c r="C646" s="60"/>
      <c r="D646" s="61"/>
      <c r="F646" s="23" t="e">
        <f>VLOOKUP(E646,Customers[],2,FALSE)</f>
        <v>#N/A</v>
      </c>
      <c r="G646" s="23" t="e">
        <f>VLOOKUP(E646,Customers[],3,FALSE)</f>
        <v>#N/A</v>
      </c>
      <c r="H646" s="23" t="e">
        <f>VLOOKUP(E646,Customers[],4,FALSE)</f>
        <v>#N/A</v>
      </c>
      <c r="J646" s="29" t="e">
        <f>VLOOKUP(I646,PGStock[],2,FALSE)</f>
        <v>#N/A</v>
      </c>
      <c r="K646" s="30" t="e">
        <f>VLOOKUP(I646,PGStock[],3,FALSE)</f>
        <v>#N/A</v>
      </c>
      <c r="M646" s="62" t="e">
        <f>VLOOKUP(I646,PGStock[],6,FALSE)</f>
        <v>#N/A</v>
      </c>
      <c r="N646" s="62" t="e">
        <f>+Table8[[#This Row],[SalesBot]]*Table8[[#This Row],[Bonus]]</f>
        <v>#N/A</v>
      </c>
    </row>
    <row r="647" spans="1:14" ht="23.25" customHeight="1" x14ac:dyDescent="0.25">
      <c r="A647" s="26">
        <f t="shared" si="77"/>
        <v>1900</v>
      </c>
      <c r="B647" s="59">
        <f t="shared" si="79"/>
        <v>1</v>
      </c>
      <c r="C647" s="60"/>
      <c r="D647" s="61"/>
      <c r="F647" s="23" t="e">
        <f>VLOOKUP(E647,Customers[],2,FALSE)</f>
        <v>#N/A</v>
      </c>
      <c r="G647" s="23" t="e">
        <f>VLOOKUP(E647,Customers[],3,FALSE)</f>
        <v>#N/A</v>
      </c>
      <c r="H647" s="23" t="e">
        <f>VLOOKUP(E647,Customers[],4,FALSE)</f>
        <v>#N/A</v>
      </c>
      <c r="J647" s="29" t="e">
        <f>VLOOKUP(I647,PGStock[],2,FALSE)</f>
        <v>#N/A</v>
      </c>
      <c r="K647" s="30" t="e">
        <f>VLOOKUP(I647,PGStock[],3,FALSE)</f>
        <v>#N/A</v>
      </c>
      <c r="M647" s="62" t="e">
        <f>VLOOKUP(I647,PGStock[],6,FALSE)</f>
        <v>#N/A</v>
      </c>
      <c r="N647" s="62" t="e">
        <f>+Table8[[#This Row],[SalesBot]]*Table8[[#This Row],[Bonus]]</f>
        <v>#N/A</v>
      </c>
    </row>
    <row r="648" spans="1:14" ht="23.25" customHeight="1" x14ac:dyDescent="0.25">
      <c r="A648" s="26">
        <f t="shared" si="77"/>
        <v>1900</v>
      </c>
      <c r="B648" s="59">
        <f t="shared" si="79"/>
        <v>1</v>
      </c>
      <c r="C648" s="60"/>
      <c r="D648" s="61"/>
      <c r="F648" s="23" t="e">
        <f>VLOOKUP(E648,Customers[],2,FALSE)</f>
        <v>#N/A</v>
      </c>
      <c r="G648" s="23" t="e">
        <f>VLOOKUP(E648,Customers[],3,FALSE)</f>
        <v>#N/A</v>
      </c>
      <c r="H648" s="23" t="e">
        <f>VLOOKUP(E648,Customers[],4,FALSE)</f>
        <v>#N/A</v>
      </c>
      <c r="J648" s="29" t="e">
        <f>VLOOKUP(I648,PGStock[],2,FALSE)</f>
        <v>#N/A</v>
      </c>
      <c r="K648" s="30" t="e">
        <f>VLOOKUP(I648,PGStock[],3,FALSE)</f>
        <v>#N/A</v>
      </c>
      <c r="M648" s="62" t="e">
        <f>VLOOKUP(I648,PGStock[],6,FALSE)</f>
        <v>#N/A</v>
      </c>
      <c r="N648" s="62" t="e">
        <f>+Table8[[#This Row],[SalesBot]]*Table8[[#This Row],[Bonus]]</f>
        <v>#N/A</v>
      </c>
    </row>
    <row r="649" spans="1:14" ht="23.25" customHeight="1" x14ac:dyDescent="0.25">
      <c r="A649" s="26">
        <f t="shared" si="77"/>
        <v>1900</v>
      </c>
      <c r="B649" s="59">
        <f t="shared" si="79"/>
        <v>1</v>
      </c>
      <c r="C649" s="60"/>
      <c r="D649" s="61"/>
      <c r="F649" s="23" t="e">
        <f>VLOOKUP(E649,Customers[],2,FALSE)</f>
        <v>#N/A</v>
      </c>
      <c r="G649" s="23" t="e">
        <f>VLOOKUP(E649,Customers[],3,FALSE)</f>
        <v>#N/A</v>
      </c>
      <c r="H649" s="23" t="e">
        <f>VLOOKUP(E649,Customers[],4,FALSE)</f>
        <v>#N/A</v>
      </c>
      <c r="J649" s="29" t="e">
        <f>VLOOKUP(I649,PGStock[],2,FALSE)</f>
        <v>#N/A</v>
      </c>
      <c r="K649" s="30" t="e">
        <f>VLOOKUP(I649,PGStock[],3,FALSE)</f>
        <v>#N/A</v>
      </c>
      <c r="M649" s="62" t="e">
        <f>VLOOKUP(I649,PGStock[],6,FALSE)</f>
        <v>#N/A</v>
      </c>
      <c r="N649" s="62" t="e">
        <f>+Table8[[#This Row],[SalesBot]]*Table8[[#This Row],[Bonus]]</f>
        <v>#N/A</v>
      </c>
    </row>
    <row r="650" spans="1:14" ht="23.25" customHeight="1" x14ac:dyDescent="0.25">
      <c r="A650" s="26">
        <f t="shared" si="77"/>
        <v>1900</v>
      </c>
      <c r="B650" s="59">
        <f t="shared" si="79"/>
        <v>1</v>
      </c>
      <c r="C650" s="60"/>
      <c r="D650" s="61"/>
      <c r="F650" s="23" t="e">
        <f>VLOOKUP(E650,Customers[],2,FALSE)</f>
        <v>#N/A</v>
      </c>
      <c r="G650" s="23" t="e">
        <f>VLOOKUP(E650,Customers[],3,FALSE)</f>
        <v>#N/A</v>
      </c>
      <c r="H650" s="23" t="e">
        <f>VLOOKUP(E650,Customers[],4,FALSE)</f>
        <v>#N/A</v>
      </c>
      <c r="J650" s="29" t="e">
        <f>VLOOKUP(I650,PGStock[],2,FALSE)</f>
        <v>#N/A</v>
      </c>
      <c r="K650" s="30" t="e">
        <f>VLOOKUP(I650,PGStock[],3,FALSE)</f>
        <v>#N/A</v>
      </c>
      <c r="M650" s="62" t="e">
        <f>VLOOKUP(I650,PGStock[],6,FALSE)</f>
        <v>#N/A</v>
      </c>
      <c r="N650" s="62" t="e">
        <f>+Table8[[#This Row],[SalesBot]]*Table8[[#This Row],[Bonus]]</f>
        <v>#N/A</v>
      </c>
    </row>
    <row r="651" spans="1:14" ht="23.25" customHeight="1" x14ac:dyDescent="0.25">
      <c r="A651" s="26">
        <f t="shared" si="77"/>
        <v>1900</v>
      </c>
      <c r="B651" s="59">
        <f t="shared" si="79"/>
        <v>1</v>
      </c>
      <c r="C651" s="60"/>
      <c r="D651" s="61"/>
      <c r="F651" s="23" t="e">
        <f>VLOOKUP(E651,Customers[],2,FALSE)</f>
        <v>#N/A</v>
      </c>
      <c r="G651" s="23" t="e">
        <f>VLOOKUP(E651,Customers[],3,FALSE)</f>
        <v>#N/A</v>
      </c>
      <c r="H651" s="23" t="e">
        <f>VLOOKUP(E651,Customers[],4,FALSE)</f>
        <v>#N/A</v>
      </c>
      <c r="J651" s="29" t="e">
        <f>VLOOKUP(I651,PGStock[],2,FALSE)</f>
        <v>#N/A</v>
      </c>
      <c r="K651" s="30" t="e">
        <f>VLOOKUP(I651,PGStock[],3,FALSE)</f>
        <v>#N/A</v>
      </c>
      <c r="M651" s="62" t="e">
        <f>VLOOKUP(I651,PGStock[],6,FALSE)</f>
        <v>#N/A</v>
      </c>
      <c r="N651" s="62" t="e">
        <f>+Table8[[#This Row],[SalesBot]]*Table8[[#This Row],[Bonus]]</f>
        <v>#N/A</v>
      </c>
    </row>
    <row r="652" spans="1:14" ht="23.25" customHeight="1" x14ac:dyDescent="0.25">
      <c r="A652" s="26">
        <f t="shared" si="77"/>
        <v>1900</v>
      </c>
      <c r="B652" s="59">
        <f t="shared" si="79"/>
        <v>1</v>
      </c>
      <c r="C652" s="60"/>
      <c r="D652" s="61"/>
      <c r="F652" s="23" t="e">
        <f>VLOOKUP(E652,Customers[],2,FALSE)</f>
        <v>#N/A</v>
      </c>
      <c r="G652" s="23" t="e">
        <f>VLOOKUP(E652,Customers[],3,FALSE)</f>
        <v>#N/A</v>
      </c>
      <c r="H652" s="23" t="e">
        <f>VLOOKUP(E652,Customers[],4,FALSE)</f>
        <v>#N/A</v>
      </c>
      <c r="J652" s="29" t="e">
        <f>VLOOKUP(I652,PGStock[],2,FALSE)</f>
        <v>#N/A</v>
      </c>
      <c r="K652" s="30" t="e">
        <f>VLOOKUP(I652,PGStock[],3,FALSE)</f>
        <v>#N/A</v>
      </c>
      <c r="M652" s="62" t="e">
        <f>VLOOKUP(I652,PGStock[],6,FALSE)</f>
        <v>#N/A</v>
      </c>
      <c r="N652" s="62" t="e">
        <f>+Table8[[#This Row],[SalesBot]]*Table8[[#This Row],[Bonus]]</f>
        <v>#N/A</v>
      </c>
    </row>
    <row r="653" spans="1:14" ht="23.25" customHeight="1" x14ac:dyDescent="0.25">
      <c r="A653" s="26">
        <f t="shared" si="77"/>
        <v>1900</v>
      </c>
      <c r="B653" s="59">
        <f t="shared" si="79"/>
        <v>1</v>
      </c>
      <c r="C653" s="60"/>
      <c r="D653" s="61"/>
      <c r="F653" s="23" t="e">
        <f>VLOOKUP(E653,Customers[],2,FALSE)</f>
        <v>#N/A</v>
      </c>
      <c r="G653" s="23" t="e">
        <f>VLOOKUP(E653,Customers[],3,FALSE)</f>
        <v>#N/A</v>
      </c>
      <c r="H653" s="23" t="e">
        <f>VLOOKUP(E653,Customers[],4,FALSE)</f>
        <v>#N/A</v>
      </c>
      <c r="J653" s="29" t="e">
        <f>VLOOKUP(I653,PGStock[],2,FALSE)</f>
        <v>#N/A</v>
      </c>
      <c r="K653" s="30" t="e">
        <f>VLOOKUP(I653,PGStock[],3,FALSE)</f>
        <v>#N/A</v>
      </c>
      <c r="M653" s="62" t="e">
        <f>VLOOKUP(I653,PGStock[],6,FALSE)</f>
        <v>#N/A</v>
      </c>
      <c r="N653" s="62" t="e">
        <f>+Table8[[#This Row],[SalesBot]]*Table8[[#This Row],[Bonus]]</f>
        <v>#N/A</v>
      </c>
    </row>
    <row r="654" spans="1:14" ht="23.25" customHeight="1" x14ac:dyDescent="0.25">
      <c r="A654" s="26">
        <f t="shared" si="77"/>
        <v>1900</v>
      </c>
      <c r="B654" s="59">
        <f t="shared" si="79"/>
        <v>1</v>
      </c>
      <c r="C654" s="60"/>
      <c r="D654" s="61"/>
      <c r="F654" s="23" t="e">
        <f>VLOOKUP(E654,Customers[],2,FALSE)</f>
        <v>#N/A</v>
      </c>
      <c r="G654" s="23" t="e">
        <f>VLOOKUP(E654,Customers[],3,FALSE)</f>
        <v>#N/A</v>
      </c>
      <c r="H654" s="23" t="e">
        <f>VLOOKUP(E654,Customers[],4,FALSE)</f>
        <v>#N/A</v>
      </c>
      <c r="J654" s="29" t="e">
        <f>VLOOKUP(I654,PGStock[],2,FALSE)</f>
        <v>#N/A</v>
      </c>
      <c r="K654" s="30" t="e">
        <f>VLOOKUP(I654,PGStock[],3,FALSE)</f>
        <v>#N/A</v>
      </c>
      <c r="M654" s="62" t="e">
        <f>VLOOKUP(I654,PGStock[],6,FALSE)</f>
        <v>#N/A</v>
      </c>
      <c r="N654" s="62" t="e">
        <f>+Table8[[#This Row],[SalesBot]]*Table8[[#This Row],[Bonus]]</f>
        <v>#N/A</v>
      </c>
    </row>
    <row r="655" spans="1:14" ht="23.25" customHeight="1" x14ac:dyDescent="0.25">
      <c r="A655" s="26">
        <f t="shared" si="77"/>
        <v>1900</v>
      </c>
      <c r="B655" s="59">
        <f t="shared" si="79"/>
        <v>1</v>
      </c>
      <c r="C655" s="60"/>
      <c r="D655" s="61"/>
      <c r="F655" s="23" t="e">
        <f>VLOOKUP(E655,Customers[],2,FALSE)</f>
        <v>#N/A</v>
      </c>
      <c r="G655" s="23" t="e">
        <f>VLOOKUP(E655,Customers[],3,FALSE)</f>
        <v>#N/A</v>
      </c>
      <c r="H655" s="23" t="e">
        <f>VLOOKUP(E655,Customers[],4,FALSE)</f>
        <v>#N/A</v>
      </c>
      <c r="J655" s="29" t="e">
        <f>VLOOKUP(I655,PGStock[],2,FALSE)</f>
        <v>#N/A</v>
      </c>
      <c r="K655" s="30" t="e">
        <f>VLOOKUP(I655,PGStock[],3,FALSE)</f>
        <v>#N/A</v>
      </c>
      <c r="M655" s="62" t="e">
        <f>VLOOKUP(I655,PGStock[],6,FALSE)</f>
        <v>#N/A</v>
      </c>
      <c r="N655" s="62" t="e">
        <f>+Table8[[#This Row],[SalesBot]]*Table8[[#This Row],[Bonus]]</f>
        <v>#N/A</v>
      </c>
    </row>
    <row r="656" spans="1:14" ht="23.25" customHeight="1" x14ac:dyDescent="0.25">
      <c r="A656" s="26">
        <f t="shared" si="77"/>
        <v>1900</v>
      </c>
      <c r="B656" s="59">
        <f t="shared" si="79"/>
        <v>1</v>
      </c>
      <c r="C656" s="60"/>
      <c r="D656" s="61"/>
      <c r="F656" s="23" t="e">
        <f>VLOOKUP(E656,Customers[],2,FALSE)</f>
        <v>#N/A</v>
      </c>
      <c r="G656" s="23" t="e">
        <f>VLOOKUP(E656,Customers[],3,FALSE)</f>
        <v>#N/A</v>
      </c>
      <c r="H656" s="23" t="e">
        <f>VLOOKUP(E656,Customers[],4,FALSE)</f>
        <v>#N/A</v>
      </c>
      <c r="J656" s="29" t="e">
        <f>VLOOKUP(I656,PGStock[],2,FALSE)</f>
        <v>#N/A</v>
      </c>
      <c r="K656" s="30" t="e">
        <f>VLOOKUP(I656,PGStock[],3,FALSE)</f>
        <v>#N/A</v>
      </c>
      <c r="M656" s="62" t="e">
        <f>VLOOKUP(I656,PGStock[],6,FALSE)</f>
        <v>#N/A</v>
      </c>
      <c r="N656" s="62" t="e">
        <f>+Table8[[#This Row],[SalesBot]]*Table8[[#This Row],[Bonus]]</f>
        <v>#N/A</v>
      </c>
    </row>
    <row r="657" spans="1:14" ht="23.25" customHeight="1" x14ac:dyDescent="0.25">
      <c r="A657" s="59">
        <f t="shared" ref="A657:A688" si="80">YEAR(C657)</f>
        <v>1900</v>
      </c>
      <c r="B657" s="59">
        <f t="shared" si="79"/>
        <v>1</v>
      </c>
      <c r="C657" s="60"/>
      <c r="D657" s="61"/>
      <c r="F657" s="23" t="e">
        <f>VLOOKUP(E657,Customers[],2,FALSE)</f>
        <v>#N/A</v>
      </c>
      <c r="G657" s="23" t="e">
        <f>VLOOKUP(E657,Customers[],3,FALSE)</f>
        <v>#N/A</v>
      </c>
      <c r="H657" s="23" t="e">
        <f>VLOOKUP(E657,Customers[],4,FALSE)</f>
        <v>#N/A</v>
      </c>
      <c r="J657" s="29" t="e">
        <f>VLOOKUP(I657,PGStock[],2,FALSE)</f>
        <v>#N/A</v>
      </c>
      <c r="K657" s="30" t="e">
        <f>VLOOKUP(I657,PGStock[],3,FALSE)</f>
        <v>#N/A</v>
      </c>
      <c r="M657" s="62" t="e">
        <f>VLOOKUP(I657,PGStock[],6,FALSE)</f>
        <v>#N/A</v>
      </c>
      <c r="N657" s="62" t="e">
        <f>+Table8[[#This Row],[SalesBot]]*Table8[[#This Row],[Bonus]]</f>
        <v>#N/A</v>
      </c>
    </row>
    <row r="658" spans="1:14" ht="23.25" customHeight="1" x14ac:dyDescent="0.25">
      <c r="A658" s="59">
        <f t="shared" si="80"/>
        <v>1900</v>
      </c>
      <c r="B658" s="59">
        <f t="shared" si="79"/>
        <v>1</v>
      </c>
      <c r="C658" s="60"/>
      <c r="D658" s="61"/>
      <c r="F658" s="23" t="e">
        <f>VLOOKUP(E658,Customers[],2,FALSE)</f>
        <v>#N/A</v>
      </c>
      <c r="G658" s="23" t="e">
        <f>VLOOKUP(E658,Customers[],3,FALSE)</f>
        <v>#N/A</v>
      </c>
      <c r="H658" s="23" t="e">
        <f>VLOOKUP(E658,Customers[],4,FALSE)</f>
        <v>#N/A</v>
      </c>
      <c r="J658" s="29" t="e">
        <f>VLOOKUP(I658,PGStock[],2,FALSE)</f>
        <v>#N/A</v>
      </c>
      <c r="K658" s="30" t="e">
        <f>VLOOKUP(I658,PGStock[],3,FALSE)</f>
        <v>#N/A</v>
      </c>
      <c r="M658" s="62" t="e">
        <f>VLOOKUP(I658,PGStock[],6,FALSE)</f>
        <v>#N/A</v>
      </c>
      <c r="N658" s="62" t="e">
        <f>+Table8[[#This Row],[SalesBot]]*Table8[[#This Row],[Bonus]]</f>
        <v>#N/A</v>
      </c>
    </row>
    <row r="659" spans="1:14" ht="23.25" customHeight="1" x14ac:dyDescent="0.25">
      <c r="A659" s="59">
        <f t="shared" si="80"/>
        <v>1900</v>
      </c>
      <c r="B659" s="59">
        <f t="shared" si="79"/>
        <v>1</v>
      </c>
      <c r="C659" s="60"/>
      <c r="D659" s="61"/>
      <c r="F659" s="23" t="e">
        <f>VLOOKUP(E659,Customers[],2,FALSE)</f>
        <v>#N/A</v>
      </c>
      <c r="G659" s="23" t="e">
        <f>VLOOKUP(E659,Customers[],3,FALSE)</f>
        <v>#N/A</v>
      </c>
      <c r="H659" s="23" t="e">
        <f>VLOOKUP(E659,Customers[],4,FALSE)</f>
        <v>#N/A</v>
      </c>
      <c r="J659" s="29" t="e">
        <f>VLOOKUP(I659,PGStock[],2,FALSE)</f>
        <v>#N/A</v>
      </c>
      <c r="K659" s="30" t="e">
        <f>VLOOKUP(I659,PGStock[],3,FALSE)</f>
        <v>#N/A</v>
      </c>
      <c r="M659" s="62" t="e">
        <f>VLOOKUP(I659,PGStock[],6,FALSE)</f>
        <v>#N/A</v>
      </c>
      <c r="N659" s="62" t="e">
        <f>+Table8[[#This Row],[SalesBot]]*Table8[[#This Row],[Bonus]]</f>
        <v>#N/A</v>
      </c>
    </row>
    <row r="660" spans="1:14" ht="23.25" customHeight="1" x14ac:dyDescent="0.25">
      <c r="A660" s="59">
        <f t="shared" si="80"/>
        <v>1900</v>
      </c>
      <c r="B660" s="59">
        <f t="shared" si="79"/>
        <v>1</v>
      </c>
      <c r="C660" s="60"/>
      <c r="D660" s="61"/>
      <c r="F660" s="23" t="e">
        <f>VLOOKUP(E660,Customers[],2,FALSE)</f>
        <v>#N/A</v>
      </c>
      <c r="G660" s="23" t="e">
        <f>VLOOKUP(E660,Customers[],3,FALSE)</f>
        <v>#N/A</v>
      </c>
      <c r="H660" s="23" t="e">
        <f>VLOOKUP(E660,Customers[],4,FALSE)</f>
        <v>#N/A</v>
      </c>
      <c r="J660" s="29" t="e">
        <f>VLOOKUP(I660,PGStock[],2,FALSE)</f>
        <v>#N/A</v>
      </c>
      <c r="K660" s="30" t="e">
        <f>VLOOKUP(I660,PGStock[],3,FALSE)</f>
        <v>#N/A</v>
      </c>
      <c r="M660" s="62" t="e">
        <f>VLOOKUP(I660,PGStock[],6,FALSE)</f>
        <v>#N/A</v>
      </c>
      <c r="N660" s="62" t="e">
        <f>+Table8[[#This Row],[SalesBot]]*Table8[[#This Row],[Bonus]]</f>
        <v>#N/A</v>
      </c>
    </row>
    <row r="661" spans="1:14" ht="23.25" customHeight="1" x14ac:dyDescent="0.25">
      <c r="A661" s="59">
        <f t="shared" si="80"/>
        <v>1900</v>
      </c>
      <c r="B661" s="59">
        <f t="shared" si="79"/>
        <v>1</v>
      </c>
      <c r="C661" s="60"/>
      <c r="D661" s="61"/>
      <c r="F661" s="23" t="e">
        <f>VLOOKUP(E661,Customers[],2,FALSE)</f>
        <v>#N/A</v>
      </c>
      <c r="G661" s="23" t="e">
        <f>VLOOKUP(E661,Customers[],3,FALSE)</f>
        <v>#N/A</v>
      </c>
      <c r="H661" s="23" t="e">
        <f>VLOOKUP(E661,Customers[],4,FALSE)</f>
        <v>#N/A</v>
      </c>
      <c r="J661" s="29" t="e">
        <f>VLOOKUP(I661,PGStock[],2,FALSE)</f>
        <v>#N/A</v>
      </c>
      <c r="K661" s="30" t="e">
        <f>VLOOKUP(I661,PGStock[],3,FALSE)</f>
        <v>#N/A</v>
      </c>
      <c r="M661" s="62" t="e">
        <f>VLOOKUP(I661,PGStock[],6,FALSE)</f>
        <v>#N/A</v>
      </c>
      <c r="N661" s="62" t="e">
        <f>+Table8[[#This Row],[SalesBot]]*Table8[[#This Row],[Bonus]]</f>
        <v>#N/A</v>
      </c>
    </row>
    <row r="662" spans="1:14" ht="23.25" customHeight="1" x14ac:dyDescent="0.25">
      <c r="A662" s="59">
        <f t="shared" si="80"/>
        <v>1900</v>
      </c>
      <c r="B662" s="59">
        <f t="shared" si="79"/>
        <v>1</v>
      </c>
      <c r="C662" s="60"/>
      <c r="D662" s="61"/>
      <c r="F662" s="23" t="e">
        <f>VLOOKUP(E662,Customers[],2,FALSE)</f>
        <v>#N/A</v>
      </c>
      <c r="G662" s="23" t="e">
        <f>VLOOKUP(E662,Customers[],3,FALSE)</f>
        <v>#N/A</v>
      </c>
      <c r="H662" s="23" t="e">
        <f>VLOOKUP(E662,Customers[],4,FALSE)</f>
        <v>#N/A</v>
      </c>
      <c r="J662" s="29" t="e">
        <f>VLOOKUP(I662,PGStock[],2,FALSE)</f>
        <v>#N/A</v>
      </c>
      <c r="K662" s="30" t="e">
        <f>VLOOKUP(I662,PGStock[],3,FALSE)</f>
        <v>#N/A</v>
      </c>
      <c r="M662" s="62" t="e">
        <f>VLOOKUP(I662,PGStock[],6,FALSE)</f>
        <v>#N/A</v>
      </c>
      <c r="N662" s="62" t="e">
        <f>+Table8[[#This Row],[SalesBot]]*Table8[[#This Row],[Bonus]]</f>
        <v>#N/A</v>
      </c>
    </row>
    <row r="663" spans="1:14" ht="23.25" customHeight="1" x14ac:dyDescent="0.25">
      <c r="A663" s="59">
        <f t="shared" si="80"/>
        <v>1900</v>
      </c>
      <c r="B663" s="59">
        <f t="shared" si="79"/>
        <v>1</v>
      </c>
      <c r="C663" s="60"/>
      <c r="D663" s="61"/>
      <c r="F663" s="23" t="e">
        <f>VLOOKUP(E663,Customers[],2,FALSE)</f>
        <v>#N/A</v>
      </c>
      <c r="G663" s="23" t="e">
        <f>VLOOKUP(E663,Customers[],3,FALSE)</f>
        <v>#N/A</v>
      </c>
      <c r="H663" s="23" t="e">
        <f>VLOOKUP(E663,Customers[],4,FALSE)</f>
        <v>#N/A</v>
      </c>
      <c r="J663" s="29" t="e">
        <f>VLOOKUP(I663,PGStock[],2,FALSE)</f>
        <v>#N/A</v>
      </c>
      <c r="K663" s="30" t="e">
        <f>VLOOKUP(I663,PGStock[],3,FALSE)</f>
        <v>#N/A</v>
      </c>
      <c r="M663" s="62" t="e">
        <f>VLOOKUP(I663,PGStock[],6,FALSE)</f>
        <v>#N/A</v>
      </c>
      <c r="N663" s="62" t="e">
        <f>+Table8[[#This Row],[SalesBot]]*Table8[[#This Row],[Bonus]]</f>
        <v>#N/A</v>
      </c>
    </row>
    <row r="664" spans="1:14" ht="23.25" customHeight="1" x14ac:dyDescent="0.25">
      <c r="A664" s="59">
        <f t="shared" si="80"/>
        <v>1900</v>
      </c>
      <c r="B664" s="59">
        <f t="shared" si="79"/>
        <v>1</v>
      </c>
      <c r="C664" s="60"/>
      <c r="D664" s="61"/>
      <c r="F664" s="23" t="e">
        <f>VLOOKUP(E664,Customers[],2,FALSE)</f>
        <v>#N/A</v>
      </c>
      <c r="G664" s="23" t="e">
        <f>VLOOKUP(E664,Customers[],3,FALSE)</f>
        <v>#N/A</v>
      </c>
      <c r="H664" s="23" t="e">
        <f>VLOOKUP(E664,Customers[],4,FALSE)</f>
        <v>#N/A</v>
      </c>
      <c r="J664" s="29" t="e">
        <f>VLOOKUP(I664,PGStock[],2,FALSE)</f>
        <v>#N/A</v>
      </c>
      <c r="K664" s="30" t="e">
        <f>VLOOKUP(I664,PGStock[],3,FALSE)</f>
        <v>#N/A</v>
      </c>
      <c r="M664" s="62" t="e">
        <f>VLOOKUP(I664,PGStock[],6,FALSE)</f>
        <v>#N/A</v>
      </c>
      <c r="N664" s="62" t="e">
        <f>+Table8[[#This Row],[SalesBot]]*Table8[[#This Row],[Bonus]]</f>
        <v>#N/A</v>
      </c>
    </row>
    <row r="665" spans="1:14" ht="23.25" customHeight="1" x14ac:dyDescent="0.25">
      <c r="A665" s="59">
        <f t="shared" si="80"/>
        <v>1900</v>
      </c>
      <c r="B665" s="59">
        <f t="shared" si="79"/>
        <v>1</v>
      </c>
      <c r="C665" s="60"/>
      <c r="D665" s="61"/>
      <c r="F665" s="23" t="e">
        <f>VLOOKUP(E665,Customers[],2,FALSE)</f>
        <v>#N/A</v>
      </c>
      <c r="G665" s="23" t="e">
        <f>VLOOKUP(E665,Customers[],3,FALSE)</f>
        <v>#N/A</v>
      </c>
      <c r="H665" s="23" t="e">
        <f>VLOOKUP(E665,Customers[],4,FALSE)</f>
        <v>#N/A</v>
      </c>
      <c r="J665" s="29" t="e">
        <f>VLOOKUP(I665,PGStock[],2,FALSE)</f>
        <v>#N/A</v>
      </c>
      <c r="K665" s="30" t="e">
        <f>VLOOKUP(I665,PGStock[],3,FALSE)</f>
        <v>#N/A</v>
      </c>
      <c r="M665" s="62" t="e">
        <f>VLOOKUP(I665,PGStock[],6,FALSE)</f>
        <v>#N/A</v>
      </c>
      <c r="N665" s="62" t="e">
        <f>+Table8[[#This Row],[SalesBot]]*Table8[[#This Row],[Bonus]]</f>
        <v>#N/A</v>
      </c>
    </row>
    <row r="666" spans="1:14" ht="23.25" customHeight="1" x14ac:dyDescent="0.25">
      <c r="A666" s="59">
        <f t="shared" si="80"/>
        <v>1900</v>
      </c>
      <c r="B666" s="59">
        <f t="shared" si="79"/>
        <v>1</v>
      </c>
      <c r="C666" s="60"/>
      <c r="D666" s="61"/>
      <c r="F666" s="23" t="e">
        <f>VLOOKUP(E666,Customers[],2,FALSE)</f>
        <v>#N/A</v>
      </c>
      <c r="G666" s="23" t="e">
        <f>VLOOKUP(E666,Customers[],3,FALSE)</f>
        <v>#N/A</v>
      </c>
      <c r="H666" s="23" t="e">
        <f>VLOOKUP(E666,Customers[],4,FALSE)</f>
        <v>#N/A</v>
      </c>
      <c r="J666" s="29" t="e">
        <f>VLOOKUP(I666,PGStock[],2,FALSE)</f>
        <v>#N/A</v>
      </c>
      <c r="K666" s="30" t="e">
        <f>VLOOKUP(I666,PGStock[],3,FALSE)</f>
        <v>#N/A</v>
      </c>
      <c r="M666" s="62" t="e">
        <f>VLOOKUP(I666,PGStock[],6,FALSE)</f>
        <v>#N/A</v>
      </c>
      <c r="N666" s="62" t="e">
        <f>+Table8[[#This Row],[SalesBot]]*Table8[[#This Row],[Bonus]]</f>
        <v>#N/A</v>
      </c>
    </row>
    <row r="667" spans="1:14" ht="23.25" customHeight="1" x14ac:dyDescent="0.25">
      <c r="A667" s="59">
        <f t="shared" si="80"/>
        <v>1900</v>
      </c>
      <c r="B667" s="59">
        <f t="shared" si="79"/>
        <v>1</v>
      </c>
      <c r="C667" s="60"/>
      <c r="D667" s="61"/>
      <c r="F667" s="23" t="e">
        <f>VLOOKUP(E667,Customers[],2,FALSE)</f>
        <v>#N/A</v>
      </c>
      <c r="G667" s="23" t="e">
        <f>VLOOKUP(E667,Customers[],3,FALSE)</f>
        <v>#N/A</v>
      </c>
      <c r="H667" s="23" t="e">
        <f>VLOOKUP(E667,Customers[],4,FALSE)</f>
        <v>#N/A</v>
      </c>
      <c r="J667" s="29" t="e">
        <f>VLOOKUP(I667,PGStock[],2,FALSE)</f>
        <v>#N/A</v>
      </c>
      <c r="K667" s="30" t="e">
        <f>VLOOKUP(I667,PGStock[],3,FALSE)</f>
        <v>#N/A</v>
      </c>
      <c r="M667" s="62" t="e">
        <f>VLOOKUP(I667,PGStock[],6,FALSE)</f>
        <v>#N/A</v>
      </c>
      <c r="N667" s="62" t="e">
        <f>+Table8[[#This Row],[SalesBot]]*Table8[[#This Row],[Bonus]]</f>
        <v>#N/A</v>
      </c>
    </row>
    <row r="668" spans="1:14" ht="23.25" customHeight="1" x14ac:dyDescent="0.25">
      <c r="A668" s="59">
        <f t="shared" si="80"/>
        <v>1900</v>
      </c>
      <c r="B668" s="59">
        <f t="shared" si="79"/>
        <v>1</v>
      </c>
      <c r="C668" s="60"/>
      <c r="D668" s="61"/>
      <c r="F668" s="23" t="e">
        <f>VLOOKUP(E668,Customers[],2,FALSE)</f>
        <v>#N/A</v>
      </c>
      <c r="G668" s="23" t="e">
        <f>VLOOKUP(E668,Customers[],3,FALSE)</f>
        <v>#N/A</v>
      </c>
      <c r="H668" s="23" t="e">
        <f>VLOOKUP(E668,Customers[],4,FALSE)</f>
        <v>#N/A</v>
      </c>
      <c r="J668" s="29" t="e">
        <f>VLOOKUP(I668,PGStock[],2,FALSE)</f>
        <v>#N/A</v>
      </c>
      <c r="K668" s="30" t="e">
        <f>VLOOKUP(I668,PGStock[],3,FALSE)</f>
        <v>#N/A</v>
      </c>
      <c r="M668" s="62" t="e">
        <f>VLOOKUP(I668,PGStock[],6,FALSE)</f>
        <v>#N/A</v>
      </c>
      <c r="N668" s="62" t="e">
        <f>+Table8[[#This Row],[SalesBot]]*Table8[[#This Row],[Bonus]]</f>
        <v>#N/A</v>
      </c>
    </row>
    <row r="669" spans="1:14" ht="23.25" customHeight="1" x14ac:dyDescent="0.25">
      <c r="A669" s="59">
        <f t="shared" si="80"/>
        <v>1900</v>
      </c>
      <c r="B669" s="59">
        <f t="shared" si="79"/>
        <v>1</v>
      </c>
      <c r="C669" s="60"/>
      <c r="D669" s="61"/>
      <c r="F669" s="23" t="e">
        <f>VLOOKUP(E669,Customers[],2,FALSE)</f>
        <v>#N/A</v>
      </c>
      <c r="G669" s="23" t="e">
        <f>VLOOKUP(E669,Customers[],3,FALSE)</f>
        <v>#N/A</v>
      </c>
      <c r="H669" s="23" t="e">
        <f>VLOOKUP(E669,Customers[],4,FALSE)</f>
        <v>#N/A</v>
      </c>
      <c r="J669" s="29" t="e">
        <f>VLOOKUP(I669,PGStock[],2,FALSE)</f>
        <v>#N/A</v>
      </c>
      <c r="K669" s="30" t="e">
        <f>VLOOKUP(I669,PGStock[],3,FALSE)</f>
        <v>#N/A</v>
      </c>
      <c r="M669" s="62" t="e">
        <f>VLOOKUP(I669,PGStock[],6,FALSE)</f>
        <v>#N/A</v>
      </c>
      <c r="N669" s="62" t="e">
        <f>+Table8[[#This Row],[SalesBot]]*Table8[[#This Row],[Bonus]]</f>
        <v>#N/A</v>
      </c>
    </row>
    <row r="670" spans="1:14" ht="23.25" customHeight="1" x14ac:dyDescent="0.25">
      <c r="A670" s="59">
        <f t="shared" si="80"/>
        <v>1900</v>
      </c>
      <c r="B670" s="59">
        <f t="shared" si="79"/>
        <v>1</v>
      </c>
      <c r="C670" s="60"/>
      <c r="D670" s="61"/>
      <c r="F670" s="23" t="e">
        <f>VLOOKUP(E670,Customers[],2,FALSE)</f>
        <v>#N/A</v>
      </c>
      <c r="G670" s="23" t="e">
        <f>VLOOKUP(E670,Customers[],3,FALSE)</f>
        <v>#N/A</v>
      </c>
      <c r="H670" s="23" t="e">
        <f>VLOOKUP(E670,Customers[],4,FALSE)</f>
        <v>#N/A</v>
      </c>
      <c r="J670" s="29" t="e">
        <f>VLOOKUP(I670,PGStock[],2,FALSE)</f>
        <v>#N/A</v>
      </c>
      <c r="K670" s="30" t="e">
        <f>VLOOKUP(I670,PGStock[],3,FALSE)</f>
        <v>#N/A</v>
      </c>
      <c r="M670" s="62" t="e">
        <f>VLOOKUP(I670,PGStock[],6,FALSE)</f>
        <v>#N/A</v>
      </c>
      <c r="N670" s="62" t="e">
        <f>+Table8[[#This Row],[SalesBot]]*Table8[[#This Row],[Bonus]]</f>
        <v>#N/A</v>
      </c>
    </row>
    <row r="671" spans="1:14" ht="23.25" customHeight="1" x14ac:dyDescent="0.25">
      <c r="A671" s="59">
        <f t="shared" si="80"/>
        <v>1900</v>
      </c>
      <c r="B671" s="59">
        <f t="shared" si="79"/>
        <v>1</v>
      </c>
      <c r="C671" s="60"/>
      <c r="D671" s="61"/>
      <c r="F671" s="23" t="e">
        <f>VLOOKUP(E671,Customers[],2,FALSE)</f>
        <v>#N/A</v>
      </c>
      <c r="G671" s="23" t="e">
        <f>VLOOKUP(E671,Customers[],3,FALSE)</f>
        <v>#N/A</v>
      </c>
      <c r="H671" s="23" t="e">
        <f>VLOOKUP(E671,Customers[],4,FALSE)</f>
        <v>#N/A</v>
      </c>
      <c r="J671" s="29" t="e">
        <f>VLOOKUP(I671,PGStock[],2,FALSE)</f>
        <v>#N/A</v>
      </c>
      <c r="K671" s="30" t="e">
        <f>VLOOKUP(I671,PGStock[],3,FALSE)</f>
        <v>#N/A</v>
      </c>
      <c r="M671" s="62" t="e">
        <f>VLOOKUP(I671,PGStock[],6,FALSE)</f>
        <v>#N/A</v>
      </c>
      <c r="N671" s="62" t="e">
        <f>+Table8[[#This Row],[SalesBot]]*Table8[[#This Row],[Bonus]]</f>
        <v>#N/A</v>
      </c>
    </row>
    <row r="672" spans="1:14" ht="23.25" customHeight="1" x14ac:dyDescent="0.25">
      <c r="A672" s="59">
        <f t="shared" si="80"/>
        <v>1900</v>
      </c>
      <c r="B672" s="59">
        <f t="shared" si="79"/>
        <v>1</v>
      </c>
      <c r="C672" s="60"/>
      <c r="D672" s="61"/>
      <c r="F672" s="23" t="e">
        <f>VLOOKUP(E672,Customers[],2,FALSE)</f>
        <v>#N/A</v>
      </c>
      <c r="G672" s="23" t="e">
        <f>VLOOKUP(E672,Customers[],3,FALSE)</f>
        <v>#N/A</v>
      </c>
      <c r="H672" s="23" t="e">
        <f>VLOOKUP(E672,Customers[],4,FALSE)</f>
        <v>#N/A</v>
      </c>
      <c r="J672" s="29" t="e">
        <f>VLOOKUP(I672,PGStock[],2,FALSE)</f>
        <v>#N/A</v>
      </c>
      <c r="K672" s="30" t="e">
        <f>VLOOKUP(I672,PGStock[],3,FALSE)</f>
        <v>#N/A</v>
      </c>
      <c r="M672" s="62" t="e">
        <f>VLOOKUP(I672,PGStock[],6,FALSE)</f>
        <v>#N/A</v>
      </c>
      <c r="N672" s="62" t="e">
        <f>+Table8[[#This Row],[SalesBot]]*Table8[[#This Row],[Bonus]]</f>
        <v>#N/A</v>
      </c>
    </row>
    <row r="673" spans="1:14" ht="23.25" customHeight="1" x14ac:dyDescent="0.25">
      <c r="A673" s="59">
        <f t="shared" si="80"/>
        <v>1900</v>
      </c>
      <c r="B673" s="59">
        <f t="shared" si="79"/>
        <v>1</v>
      </c>
      <c r="C673" s="60"/>
      <c r="D673" s="61"/>
      <c r="F673" s="23" t="e">
        <f>VLOOKUP(E673,Customers[],2,FALSE)</f>
        <v>#N/A</v>
      </c>
      <c r="G673" s="23" t="e">
        <f>VLOOKUP(E673,Customers[],3,FALSE)</f>
        <v>#N/A</v>
      </c>
      <c r="H673" s="23" t="e">
        <f>VLOOKUP(E673,Customers[],4,FALSE)</f>
        <v>#N/A</v>
      </c>
      <c r="J673" s="29" t="e">
        <f>VLOOKUP(I673,PGStock[],2,FALSE)</f>
        <v>#N/A</v>
      </c>
      <c r="K673" s="30" t="e">
        <f>VLOOKUP(I673,PGStock[],3,FALSE)</f>
        <v>#N/A</v>
      </c>
      <c r="M673" s="62" t="e">
        <f>VLOOKUP(I673,PGStock[],6,FALSE)</f>
        <v>#N/A</v>
      </c>
      <c r="N673" s="62" t="e">
        <f>+Table8[[#This Row],[SalesBot]]*Table8[[#This Row],[Bonus]]</f>
        <v>#N/A</v>
      </c>
    </row>
    <row r="674" spans="1:14" ht="23.25" customHeight="1" x14ac:dyDescent="0.25">
      <c r="A674" s="59">
        <f t="shared" si="80"/>
        <v>1900</v>
      </c>
      <c r="B674" s="59">
        <f t="shared" si="79"/>
        <v>1</v>
      </c>
      <c r="C674" s="60"/>
      <c r="D674" s="61"/>
      <c r="F674" s="23" t="e">
        <f>VLOOKUP(E674,Customers[],2,FALSE)</f>
        <v>#N/A</v>
      </c>
      <c r="G674" s="23" t="e">
        <f>VLOOKUP(E674,Customers[],3,FALSE)</f>
        <v>#N/A</v>
      </c>
      <c r="H674" s="23" t="e">
        <f>VLOOKUP(E674,Customers[],4,FALSE)</f>
        <v>#N/A</v>
      </c>
      <c r="J674" s="29" t="e">
        <f>VLOOKUP(I674,PGStock[],2,FALSE)</f>
        <v>#N/A</v>
      </c>
      <c r="K674" s="30" t="e">
        <f>VLOOKUP(I674,PGStock[],3,FALSE)</f>
        <v>#N/A</v>
      </c>
      <c r="M674" s="62" t="e">
        <f>VLOOKUP(I674,PGStock[],6,FALSE)</f>
        <v>#N/A</v>
      </c>
      <c r="N674" s="62" t="e">
        <f>+Table8[[#This Row],[SalesBot]]*Table8[[#This Row],[Bonus]]</f>
        <v>#N/A</v>
      </c>
    </row>
    <row r="675" spans="1:14" ht="23.25" customHeight="1" x14ac:dyDescent="0.25">
      <c r="A675" s="59">
        <f t="shared" si="80"/>
        <v>1900</v>
      </c>
      <c r="B675" s="59">
        <f t="shared" si="79"/>
        <v>1</v>
      </c>
      <c r="C675" s="60"/>
      <c r="D675" s="61"/>
      <c r="F675" s="23" t="e">
        <f>VLOOKUP(E675,Customers[],2,FALSE)</f>
        <v>#N/A</v>
      </c>
      <c r="G675" s="23" t="e">
        <f>VLOOKUP(E675,Customers[],3,FALSE)</f>
        <v>#N/A</v>
      </c>
      <c r="H675" s="23" t="e">
        <f>VLOOKUP(E675,Customers[],4,FALSE)</f>
        <v>#N/A</v>
      </c>
      <c r="J675" s="29" t="e">
        <f>VLOOKUP(I675,PGStock[],2,FALSE)</f>
        <v>#N/A</v>
      </c>
      <c r="K675" s="30" t="e">
        <f>VLOOKUP(I675,PGStock[],3,FALSE)</f>
        <v>#N/A</v>
      </c>
      <c r="M675" s="62" t="e">
        <f>VLOOKUP(I675,PGStock[],6,FALSE)</f>
        <v>#N/A</v>
      </c>
      <c r="N675" s="62" t="e">
        <f>+Table8[[#This Row],[SalesBot]]*Table8[[#This Row],[Bonus]]</f>
        <v>#N/A</v>
      </c>
    </row>
    <row r="676" spans="1:14" ht="23.25" customHeight="1" x14ac:dyDescent="0.25">
      <c r="A676" s="59">
        <f t="shared" si="80"/>
        <v>1900</v>
      </c>
      <c r="B676" s="59">
        <f t="shared" ref="B676:B707" si="81">MONTH(C676)</f>
        <v>1</v>
      </c>
      <c r="C676" s="60"/>
      <c r="D676" s="61"/>
      <c r="F676" s="23" t="e">
        <f>VLOOKUP(E676,Customers[],2,FALSE)</f>
        <v>#N/A</v>
      </c>
      <c r="G676" s="23" t="e">
        <f>VLOOKUP(E676,Customers[],3,FALSE)</f>
        <v>#N/A</v>
      </c>
      <c r="H676" s="23" t="e">
        <f>VLOOKUP(E676,Customers[],4,FALSE)</f>
        <v>#N/A</v>
      </c>
      <c r="J676" s="29" t="e">
        <f>VLOOKUP(I676,PGStock[],2,FALSE)</f>
        <v>#N/A</v>
      </c>
      <c r="K676" s="30" t="e">
        <f>VLOOKUP(I676,PGStock[],3,FALSE)</f>
        <v>#N/A</v>
      </c>
      <c r="M676" s="62" t="e">
        <f>VLOOKUP(I676,PGStock[],6,FALSE)</f>
        <v>#N/A</v>
      </c>
      <c r="N676" s="62" t="e">
        <f>+Table8[[#This Row],[SalesBot]]*Table8[[#This Row],[Bonus]]</f>
        <v>#N/A</v>
      </c>
    </row>
    <row r="677" spans="1:14" ht="23.25" customHeight="1" x14ac:dyDescent="0.25">
      <c r="A677" s="59">
        <f t="shared" si="80"/>
        <v>1900</v>
      </c>
      <c r="B677" s="59">
        <f t="shared" si="81"/>
        <v>1</v>
      </c>
      <c r="C677" s="60"/>
      <c r="D677" s="61"/>
      <c r="F677" s="23" t="e">
        <f>VLOOKUP(E677,Customers[],2,FALSE)</f>
        <v>#N/A</v>
      </c>
      <c r="G677" s="23" t="e">
        <f>VLOOKUP(E677,Customers[],3,FALSE)</f>
        <v>#N/A</v>
      </c>
      <c r="H677" s="23" t="e">
        <f>VLOOKUP(E677,Customers[],4,FALSE)</f>
        <v>#N/A</v>
      </c>
      <c r="J677" s="29" t="e">
        <f>VLOOKUP(I677,PGStock[],2,FALSE)</f>
        <v>#N/A</v>
      </c>
      <c r="K677" s="30" t="e">
        <f>VLOOKUP(I677,PGStock[],3,FALSE)</f>
        <v>#N/A</v>
      </c>
      <c r="M677" s="62" t="e">
        <f>VLOOKUP(I677,PGStock[],6,FALSE)</f>
        <v>#N/A</v>
      </c>
      <c r="N677" s="62" t="e">
        <f>+Table8[[#This Row],[SalesBot]]*Table8[[#This Row],[Bonus]]</f>
        <v>#N/A</v>
      </c>
    </row>
    <row r="678" spans="1:14" ht="23.25" customHeight="1" x14ac:dyDescent="0.25">
      <c r="A678" s="59">
        <f t="shared" si="80"/>
        <v>1900</v>
      </c>
      <c r="B678" s="59">
        <f t="shared" si="81"/>
        <v>1</v>
      </c>
      <c r="C678" s="60"/>
      <c r="D678" s="61"/>
      <c r="F678" s="23" t="e">
        <f>VLOOKUP(E678,Customers[],2,FALSE)</f>
        <v>#N/A</v>
      </c>
      <c r="G678" s="23" t="e">
        <f>VLOOKUP(E678,Customers[],3,FALSE)</f>
        <v>#N/A</v>
      </c>
      <c r="H678" s="23" t="e">
        <f>VLOOKUP(E678,Customers[],4,FALSE)</f>
        <v>#N/A</v>
      </c>
      <c r="J678" s="29" t="e">
        <f>VLOOKUP(I678,PGStock[],2,FALSE)</f>
        <v>#N/A</v>
      </c>
      <c r="K678" s="30" t="e">
        <f>VLOOKUP(I678,PGStock[],3,FALSE)</f>
        <v>#N/A</v>
      </c>
      <c r="M678" s="62" t="e">
        <f>VLOOKUP(I678,PGStock[],6,FALSE)</f>
        <v>#N/A</v>
      </c>
      <c r="N678" s="62" t="e">
        <f>+Table8[[#This Row],[SalesBot]]*Table8[[#This Row],[Bonus]]</f>
        <v>#N/A</v>
      </c>
    </row>
    <row r="679" spans="1:14" ht="23.25" customHeight="1" x14ac:dyDescent="0.25">
      <c r="A679" s="59">
        <f t="shared" si="80"/>
        <v>1900</v>
      </c>
      <c r="B679" s="59">
        <f t="shared" si="81"/>
        <v>1</v>
      </c>
      <c r="C679" s="60"/>
      <c r="D679" s="61"/>
      <c r="F679" s="23" t="e">
        <f>VLOOKUP(E679,Customers[],2,FALSE)</f>
        <v>#N/A</v>
      </c>
      <c r="G679" s="23" t="e">
        <f>VLOOKUP(E679,Customers[],3,FALSE)</f>
        <v>#N/A</v>
      </c>
      <c r="H679" s="23" t="e">
        <f>VLOOKUP(E679,Customers[],4,FALSE)</f>
        <v>#N/A</v>
      </c>
      <c r="J679" s="29" t="e">
        <f>VLOOKUP(I679,PGStock[],2,FALSE)</f>
        <v>#N/A</v>
      </c>
      <c r="K679" s="30" t="e">
        <f>VLOOKUP(I679,PGStock[],3,FALSE)</f>
        <v>#N/A</v>
      </c>
      <c r="M679" s="62" t="e">
        <f>VLOOKUP(I679,PGStock[],6,FALSE)</f>
        <v>#N/A</v>
      </c>
      <c r="N679" s="62" t="e">
        <f>+Table8[[#This Row],[SalesBot]]*Table8[[#This Row],[Bonus]]</f>
        <v>#N/A</v>
      </c>
    </row>
    <row r="680" spans="1:14" ht="23.25" customHeight="1" x14ac:dyDescent="0.25">
      <c r="A680" s="59">
        <f t="shared" si="80"/>
        <v>1900</v>
      </c>
      <c r="B680" s="59">
        <f t="shared" si="81"/>
        <v>1</v>
      </c>
      <c r="C680" s="60"/>
      <c r="D680" s="61"/>
      <c r="F680" s="23" t="e">
        <f>VLOOKUP(E680,Customers[],2,FALSE)</f>
        <v>#N/A</v>
      </c>
      <c r="G680" s="23" t="e">
        <f>VLOOKUP(E680,Customers[],3,FALSE)</f>
        <v>#N/A</v>
      </c>
      <c r="H680" s="23" t="e">
        <f>VLOOKUP(E680,Customers[],4,FALSE)</f>
        <v>#N/A</v>
      </c>
      <c r="J680" s="29" t="e">
        <f>VLOOKUP(I680,PGStock[],2,FALSE)</f>
        <v>#N/A</v>
      </c>
      <c r="K680" s="30" t="e">
        <f>VLOOKUP(I680,PGStock[],3,FALSE)</f>
        <v>#N/A</v>
      </c>
      <c r="M680" s="62" t="e">
        <f>VLOOKUP(I680,PGStock[],6,FALSE)</f>
        <v>#N/A</v>
      </c>
      <c r="N680" s="62" t="e">
        <f>+Table8[[#This Row],[SalesBot]]*Table8[[#This Row],[Bonus]]</f>
        <v>#N/A</v>
      </c>
    </row>
    <row r="681" spans="1:14" ht="23.25" customHeight="1" x14ac:dyDescent="0.25">
      <c r="A681" s="59">
        <f t="shared" si="80"/>
        <v>1900</v>
      </c>
      <c r="B681" s="59">
        <f t="shared" si="81"/>
        <v>1</v>
      </c>
      <c r="C681" s="60"/>
      <c r="D681" s="61"/>
      <c r="F681" s="23" t="e">
        <f>VLOOKUP(E681,Customers[],2,FALSE)</f>
        <v>#N/A</v>
      </c>
      <c r="G681" s="23" t="e">
        <f>VLOOKUP(E681,Customers[],3,FALSE)</f>
        <v>#N/A</v>
      </c>
      <c r="H681" s="23" t="e">
        <f>VLOOKUP(E681,Customers[],4,FALSE)</f>
        <v>#N/A</v>
      </c>
      <c r="J681" s="29" t="e">
        <f>VLOOKUP(I681,PGStock[],2,FALSE)</f>
        <v>#N/A</v>
      </c>
      <c r="K681" s="30" t="e">
        <f>VLOOKUP(I681,PGStock[],3,FALSE)</f>
        <v>#N/A</v>
      </c>
      <c r="M681" s="62" t="e">
        <f>VLOOKUP(I681,PGStock[],6,FALSE)</f>
        <v>#N/A</v>
      </c>
      <c r="N681" s="62" t="e">
        <f>+Table8[[#This Row],[SalesBot]]*Table8[[#This Row],[Bonus]]</f>
        <v>#N/A</v>
      </c>
    </row>
    <row r="682" spans="1:14" ht="23.25" customHeight="1" x14ac:dyDescent="0.25">
      <c r="A682" s="59">
        <f t="shared" si="80"/>
        <v>1900</v>
      </c>
      <c r="B682" s="59">
        <f t="shared" si="81"/>
        <v>1</v>
      </c>
      <c r="C682" s="60"/>
      <c r="D682" s="61"/>
      <c r="F682" s="23" t="e">
        <f>VLOOKUP(E682,Customers[],2,FALSE)</f>
        <v>#N/A</v>
      </c>
      <c r="G682" s="23" t="e">
        <f>VLOOKUP(E682,Customers[],3,FALSE)</f>
        <v>#N/A</v>
      </c>
      <c r="H682" s="23" t="e">
        <f>VLOOKUP(E682,Customers[],4,FALSE)</f>
        <v>#N/A</v>
      </c>
      <c r="J682" s="29" t="e">
        <f>VLOOKUP(I682,PGStock[],2,FALSE)</f>
        <v>#N/A</v>
      </c>
      <c r="K682" s="30" t="e">
        <f>VLOOKUP(I682,PGStock[],3,FALSE)</f>
        <v>#N/A</v>
      </c>
      <c r="M682" s="62" t="e">
        <f>VLOOKUP(I682,PGStock[],6,FALSE)</f>
        <v>#N/A</v>
      </c>
      <c r="N682" s="62" t="e">
        <f>+Table8[[#This Row],[SalesBot]]*Table8[[#This Row],[Bonus]]</f>
        <v>#N/A</v>
      </c>
    </row>
    <row r="683" spans="1:14" ht="23.25" customHeight="1" x14ac:dyDescent="0.25">
      <c r="A683" s="59">
        <f t="shared" si="80"/>
        <v>1900</v>
      </c>
      <c r="B683" s="59">
        <f t="shared" si="81"/>
        <v>1</v>
      </c>
      <c r="C683" s="60"/>
      <c r="D683" s="61"/>
      <c r="F683" s="23" t="e">
        <f>VLOOKUP(E683,Customers[],2,FALSE)</f>
        <v>#N/A</v>
      </c>
      <c r="G683" s="23" t="e">
        <f>VLOOKUP(E683,Customers[],3,FALSE)</f>
        <v>#N/A</v>
      </c>
      <c r="H683" s="23" t="e">
        <f>VLOOKUP(E683,Customers[],4,FALSE)</f>
        <v>#N/A</v>
      </c>
      <c r="J683" s="29" t="e">
        <f>VLOOKUP(I683,PGStock[],2,FALSE)</f>
        <v>#N/A</v>
      </c>
      <c r="K683" s="30" t="e">
        <f>VLOOKUP(I683,PGStock[],3,FALSE)</f>
        <v>#N/A</v>
      </c>
      <c r="M683" s="62" t="e">
        <f>VLOOKUP(I683,PGStock[],6,FALSE)</f>
        <v>#N/A</v>
      </c>
      <c r="N683" s="62" t="e">
        <f>+Table8[[#This Row],[SalesBot]]*Table8[[#This Row],[Bonus]]</f>
        <v>#N/A</v>
      </c>
    </row>
    <row r="684" spans="1:14" ht="23.25" customHeight="1" x14ac:dyDescent="0.25">
      <c r="A684" s="59">
        <f t="shared" si="80"/>
        <v>1900</v>
      </c>
      <c r="B684" s="59">
        <f t="shared" si="81"/>
        <v>1</v>
      </c>
      <c r="C684" s="60"/>
      <c r="D684" s="61"/>
      <c r="F684" s="23" t="e">
        <f>VLOOKUP(E684,Customers[],2,FALSE)</f>
        <v>#N/A</v>
      </c>
      <c r="G684" s="23" t="e">
        <f>VLOOKUP(E684,Customers[],3,FALSE)</f>
        <v>#N/A</v>
      </c>
      <c r="H684" s="23" t="e">
        <f>VLOOKUP(E684,Customers[],4,FALSE)</f>
        <v>#N/A</v>
      </c>
      <c r="J684" s="29" t="e">
        <f>VLOOKUP(I684,PGStock[],2,FALSE)</f>
        <v>#N/A</v>
      </c>
      <c r="K684" s="30" t="e">
        <f>VLOOKUP(I684,PGStock[],3,FALSE)</f>
        <v>#N/A</v>
      </c>
      <c r="M684" s="62" t="e">
        <f>VLOOKUP(I684,PGStock[],6,FALSE)</f>
        <v>#N/A</v>
      </c>
      <c r="N684" s="62" t="e">
        <f>+Table8[[#This Row],[SalesBot]]*Table8[[#This Row],[Bonus]]</f>
        <v>#N/A</v>
      </c>
    </row>
    <row r="685" spans="1:14" ht="23.25" customHeight="1" x14ac:dyDescent="0.25">
      <c r="A685" s="59">
        <f t="shared" si="80"/>
        <v>1900</v>
      </c>
      <c r="B685" s="59">
        <f t="shared" si="81"/>
        <v>1</v>
      </c>
      <c r="C685" s="60"/>
      <c r="D685" s="61"/>
      <c r="F685" s="23" t="e">
        <f>VLOOKUP(E685,Customers[],2,FALSE)</f>
        <v>#N/A</v>
      </c>
      <c r="G685" s="23" t="e">
        <f>VLOOKUP(E685,Customers[],3,FALSE)</f>
        <v>#N/A</v>
      </c>
      <c r="H685" s="23" t="e">
        <f>VLOOKUP(E685,Customers[],4,FALSE)</f>
        <v>#N/A</v>
      </c>
      <c r="J685" s="29" t="e">
        <f>VLOOKUP(I685,PGStock[],2,FALSE)</f>
        <v>#N/A</v>
      </c>
      <c r="K685" s="30" t="e">
        <f>VLOOKUP(I685,PGStock[],3,FALSE)</f>
        <v>#N/A</v>
      </c>
      <c r="M685" s="62" t="e">
        <f>VLOOKUP(I685,PGStock[],6,FALSE)</f>
        <v>#N/A</v>
      </c>
      <c r="N685" s="62" t="e">
        <f>+Table8[[#This Row],[SalesBot]]*Table8[[#This Row],[Bonus]]</f>
        <v>#N/A</v>
      </c>
    </row>
    <row r="686" spans="1:14" ht="23.25" customHeight="1" x14ac:dyDescent="0.25">
      <c r="A686" s="59">
        <f t="shared" si="80"/>
        <v>1900</v>
      </c>
      <c r="B686" s="59">
        <f t="shared" si="81"/>
        <v>1</v>
      </c>
      <c r="C686" s="60"/>
      <c r="D686" s="61"/>
      <c r="F686" s="23" t="e">
        <f>VLOOKUP(E686,Customers[],2,FALSE)</f>
        <v>#N/A</v>
      </c>
      <c r="G686" s="23" t="e">
        <f>VLOOKUP(E686,Customers[],3,FALSE)</f>
        <v>#N/A</v>
      </c>
      <c r="H686" s="23" t="e">
        <f>VLOOKUP(E686,Customers[],4,FALSE)</f>
        <v>#N/A</v>
      </c>
      <c r="J686" s="29" t="e">
        <f>VLOOKUP(I686,PGStock[],2,FALSE)</f>
        <v>#N/A</v>
      </c>
      <c r="K686" s="30" t="e">
        <f>VLOOKUP(I686,PGStock[],3,FALSE)</f>
        <v>#N/A</v>
      </c>
      <c r="M686" s="62" t="e">
        <f>VLOOKUP(I686,PGStock[],6,FALSE)</f>
        <v>#N/A</v>
      </c>
      <c r="N686" s="62" t="e">
        <f>+Table8[[#This Row],[SalesBot]]*Table8[[#This Row],[Bonus]]</f>
        <v>#N/A</v>
      </c>
    </row>
    <row r="687" spans="1:14" ht="23.25" customHeight="1" x14ac:dyDescent="0.25">
      <c r="A687" s="59">
        <f t="shared" si="80"/>
        <v>1900</v>
      </c>
      <c r="B687" s="59">
        <f t="shared" si="81"/>
        <v>1</v>
      </c>
      <c r="C687" s="60"/>
      <c r="D687" s="61"/>
      <c r="F687" s="23" t="e">
        <f>VLOOKUP(E687,Customers[],2,FALSE)</f>
        <v>#N/A</v>
      </c>
      <c r="G687" s="23" t="e">
        <f>VLOOKUP(E687,Customers[],3,FALSE)</f>
        <v>#N/A</v>
      </c>
      <c r="H687" s="23" t="e">
        <f>VLOOKUP(E687,Customers[],4,FALSE)</f>
        <v>#N/A</v>
      </c>
      <c r="J687" s="29" t="e">
        <f>VLOOKUP(I687,PGStock[],2,FALSE)</f>
        <v>#N/A</v>
      </c>
      <c r="K687" s="30" t="e">
        <f>VLOOKUP(I687,PGStock[],3,FALSE)</f>
        <v>#N/A</v>
      </c>
      <c r="M687" s="62" t="e">
        <f>VLOOKUP(I687,PGStock[],6,FALSE)</f>
        <v>#N/A</v>
      </c>
      <c r="N687" s="62" t="e">
        <f>+Table8[[#This Row],[SalesBot]]*Table8[[#This Row],[Bonus]]</f>
        <v>#N/A</v>
      </c>
    </row>
    <row r="688" spans="1:14" ht="23.25" customHeight="1" x14ac:dyDescent="0.25">
      <c r="A688" s="59">
        <f t="shared" si="80"/>
        <v>1900</v>
      </c>
      <c r="B688" s="59">
        <f t="shared" si="81"/>
        <v>1</v>
      </c>
      <c r="C688" s="60"/>
      <c r="D688" s="61"/>
      <c r="F688" s="23" t="e">
        <f>VLOOKUP(E688,Customers[],2,FALSE)</f>
        <v>#N/A</v>
      </c>
      <c r="G688" s="23" t="e">
        <f>VLOOKUP(E688,Customers[],3,FALSE)</f>
        <v>#N/A</v>
      </c>
      <c r="H688" s="23" t="e">
        <f>VLOOKUP(E688,Customers[],4,FALSE)</f>
        <v>#N/A</v>
      </c>
      <c r="J688" s="29" t="e">
        <f>VLOOKUP(I688,PGStock[],2,FALSE)</f>
        <v>#N/A</v>
      </c>
      <c r="K688" s="30" t="e">
        <f>VLOOKUP(I688,PGStock[],3,FALSE)</f>
        <v>#N/A</v>
      </c>
      <c r="M688" s="62" t="e">
        <f>VLOOKUP(I688,PGStock[],6,FALSE)</f>
        <v>#N/A</v>
      </c>
      <c r="N688" s="62" t="e">
        <f>+Table8[[#This Row],[SalesBot]]*Table8[[#This Row],[Bonus]]</f>
        <v>#N/A</v>
      </c>
    </row>
    <row r="689" spans="1:14" ht="23.25" customHeight="1" x14ac:dyDescent="0.25">
      <c r="A689" s="59">
        <f t="shared" ref="A689:A1057" si="82">YEAR(C689)</f>
        <v>1900</v>
      </c>
      <c r="B689" s="59">
        <f t="shared" si="81"/>
        <v>1</v>
      </c>
      <c r="C689" s="60"/>
      <c r="D689" s="61"/>
      <c r="F689" s="23" t="e">
        <f>VLOOKUP(E689,Customers[],2,FALSE)</f>
        <v>#N/A</v>
      </c>
      <c r="G689" s="23" t="e">
        <f>VLOOKUP(E689,Customers[],3,FALSE)</f>
        <v>#N/A</v>
      </c>
      <c r="H689" s="23" t="e">
        <f>VLOOKUP(E689,Customers[],4,FALSE)</f>
        <v>#N/A</v>
      </c>
      <c r="J689" s="29" t="e">
        <f>VLOOKUP(I689,PGStock[],2,FALSE)</f>
        <v>#N/A</v>
      </c>
      <c r="K689" s="30" t="e">
        <f>VLOOKUP(I689,PGStock[],3,FALSE)</f>
        <v>#N/A</v>
      </c>
      <c r="M689" s="62" t="e">
        <f>VLOOKUP(I689,PGStock[],6,FALSE)</f>
        <v>#N/A</v>
      </c>
      <c r="N689" s="62" t="e">
        <f>+Table8[[#This Row],[SalesBot]]*Table8[[#This Row],[Bonus]]</f>
        <v>#N/A</v>
      </c>
    </row>
    <row r="690" spans="1:14" ht="23.25" customHeight="1" x14ac:dyDescent="0.25">
      <c r="A690" s="59">
        <f t="shared" si="82"/>
        <v>1900</v>
      </c>
      <c r="B690" s="59">
        <f t="shared" si="81"/>
        <v>1</v>
      </c>
      <c r="C690" s="60"/>
      <c r="D690" s="61"/>
      <c r="F690" s="23" t="e">
        <f>VLOOKUP(E690,Customers[],2,FALSE)</f>
        <v>#N/A</v>
      </c>
      <c r="G690" s="23" t="e">
        <f>VLOOKUP(E690,Customers[],3,FALSE)</f>
        <v>#N/A</v>
      </c>
      <c r="H690" s="23" t="e">
        <f>VLOOKUP(E690,Customers[],4,FALSE)</f>
        <v>#N/A</v>
      </c>
      <c r="J690" s="29" t="e">
        <f>VLOOKUP(I690,PGStock[],2,FALSE)</f>
        <v>#N/A</v>
      </c>
      <c r="K690" s="30" t="e">
        <f>VLOOKUP(I690,PGStock[],3,FALSE)</f>
        <v>#N/A</v>
      </c>
      <c r="M690" s="62" t="e">
        <f>VLOOKUP(I690,PGStock[],6,FALSE)</f>
        <v>#N/A</v>
      </c>
      <c r="N690" s="62" t="e">
        <f>+Table8[[#This Row],[SalesBot]]*Table8[[#This Row],[Bonus]]</f>
        <v>#N/A</v>
      </c>
    </row>
    <row r="691" spans="1:14" ht="23.25" customHeight="1" x14ac:dyDescent="0.25">
      <c r="A691" s="59">
        <f t="shared" si="82"/>
        <v>1900</v>
      </c>
      <c r="B691" s="59">
        <f t="shared" si="81"/>
        <v>1</v>
      </c>
      <c r="C691" s="60"/>
      <c r="D691" s="61"/>
      <c r="F691" s="23" t="e">
        <f>VLOOKUP(E691,Customers[],2,FALSE)</f>
        <v>#N/A</v>
      </c>
      <c r="G691" s="23" t="e">
        <f>VLOOKUP(E691,Customers[],3,FALSE)</f>
        <v>#N/A</v>
      </c>
      <c r="H691" s="23" t="e">
        <f>VLOOKUP(E691,Customers[],4,FALSE)</f>
        <v>#N/A</v>
      </c>
      <c r="J691" s="29" t="e">
        <f>VLOOKUP(I691,PGStock[],2,FALSE)</f>
        <v>#N/A</v>
      </c>
      <c r="K691" s="30" t="e">
        <f>VLOOKUP(I691,PGStock[],3,FALSE)</f>
        <v>#N/A</v>
      </c>
      <c r="M691" s="62" t="e">
        <f>VLOOKUP(I691,PGStock[],6,FALSE)</f>
        <v>#N/A</v>
      </c>
      <c r="N691" s="62" t="e">
        <f>+Table8[[#This Row],[SalesBot]]*Table8[[#This Row],[Bonus]]</f>
        <v>#N/A</v>
      </c>
    </row>
    <row r="692" spans="1:14" ht="23.25" customHeight="1" x14ac:dyDescent="0.25">
      <c r="A692" s="59">
        <f t="shared" si="82"/>
        <v>1900</v>
      </c>
      <c r="B692" s="59">
        <f t="shared" si="81"/>
        <v>1</v>
      </c>
      <c r="C692" s="60"/>
      <c r="D692" s="61"/>
      <c r="F692" s="23" t="e">
        <f>VLOOKUP(E692,Customers[],2,FALSE)</f>
        <v>#N/A</v>
      </c>
      <c r="G692" s="23" t="e">
        <f>VLOOKUP(E692,Customers[],3,FALSE)</f>
        <v>#N/A</v>
      </c>
      <c r="H692" s="23" t="e">
        <f>VLOOKUP(E692,Customers[],4,FALSE)</f>
        <v>#N/A</v>
      </c>
      <c r="J692" s="29" t="e">
        <f>VLOOKUP(I692,PGStock[],2,FALSE)</f>
        <v>#N/A</v>
      </c>
      <c r="K692" s="30" t="e">
        <f>VLOOKUP(I692,PGStock[],3,FALSE)</f>
        <v>#N/A</v>
      </c>
      <c r="M692" s="62" t="e">
        <f>VLOOKUP(I692,PGStock[],6,FALSE)</f>
        <v>#N/A</v>
      </c>
      <c r="N692" s="62" t="e">
        <f>+Table8[[#This Row],[SalesBot]]*Table8[[#This Row],[Bonus]]</f>
        <v>#N/A</v>
      </c>
    </row>
    <row r="693" spans="1:14" ht="23.25" customHeight="1" x14ac:dyDescent="0.25">
      <c r="A693" s="59">
        <f t="shared" si="82"/>
        <v>1900</v>
      </c>
      <c r="B693" s="59">
        <f t="shared" si="81"/>
        <v>1</v>
      </c>
      <c r="C693" s="60"/>
      <c r="D693" s="61"/>
      <c r="F693" s="23" t="e">
        <f>VLOOKUP(E693,Customers[],2,FALSE)</f>
        <v>#N/A</v>
      </c>
      <c r="G693" s="23" t="e">
        <f>VLOOKUP(E693,Customers[],3,FALSE)</f>
        <v>#N/A</v>
      </c>
      <c r="H693" s="23" t="e">
        <f>VLOOKUP(E693,Customers[],4,FALSE)</f>
        <v>#N/A</v>
      </c>
      <c r="J693" s="29" t="e">
        <f>VLOOKUP(I693,PGStock[],2,FALSE)</f>
        <v>#N/A</v>
      </c>
      <c r="K693" s="30" t="e">
        <f>VLOOKUP(I693,PGStock[],3,FALSE)</f>
        <v>#N/A</v>
      </c>
      <c r="M693" s="62" t="e">
        <f>VLOOKUP(I693,PGStock[],6,FALSE)</f>
        <v>#N/A</v>
      </c>
      <c r="N693" s="62" t="e">
        <f>+Table8[[#This Row],[SalesBot]]*Table8[[#This Row],[Bonus]]</f>
        <v>#N/A</v>
      </c>
    </row>
    <row r="694" spans="1:14" ht="23.25" customHeight="1" x14ac:dyDescent="0.25">
      <c r="A694" s="59">
        <f t="shared" si="82"/>
        <v>1900</v>
      </c>
      <c r="B694" s="59">
        <f t="shared" si="81"/>
        <v>1</v>
      </c>
      <c r="C694" s="60"/>
      <c r="D694" s="61"/>
      <c r="F694" s="23" t="e">
        <f>VLOOKUP(E694,Customers[],2,FALSE)</f>
        <v>#N/A</v>
      </c>
      <c r="G694" s="23" t="e">
        <f>VLOOKUP(E694,Customers[],3,FALSE)</f>
        <v>#N/A</v>
      </c>
      <c r="H694" s="23" t="e">
        <f>VLOOKUP(E694,Customers[],4,FALSE)</f>
        <v>#N/A</v>
      </c>
      <c r="J694" s="29" t="e">
        <f>VLOOKUP(I694,PGStock[],2,FALSE)</f>
        <v>#N/A</v>
      </c>
      <c r="K694" s="30" t="e">
        <f>VLOOKUP(I694,PGStock[],3,FALSE)</f>
        <v>#N/A</v>
      </c>
      <c r="M694" s="62" t="e">
        <f>VLOOKUP(I694,PGStock[],6,FALSE)</f>
        <v>#N/A</v>
      </c>
      <c r="N694" s="62" t="e">
        <f>+Table8[[#This Row],[SalesBot]]*Table8[[#This Row],[Bonus]]</f>
        <v>#N/A</v>
      </c>
    </row>
    <row r="695" spans="1:14" ht="23.25" customHeight="1" x14ac:dyDescent="0.25">
      <c r="A695" s="59">
        <f t="shared" si="82"/>
        <v>1900</v>
      </c>
      <c r="B695" s="59">
        <f t="shared" si="81"/>
        <v>1</v>
      </c>
      <c r="C695" s="60"/>
      <c r="D695" s="61"/>
      <c r="F695" s="23" t="e">
        <f>VLOOKUP(E695,Customers[],2,FALSE)</f>
        <v>#N/A</v>
      </c>
      <c r="G695" s="23" t="e">
        <f>VLOOKUP(E695,Customers[],3,FALSE)</f>
        <v>#N/A</v>
      </c>
      <c r="H695" s="23" t="e">
        <f>VLOOKUP(E695,Customers[],4,FALSE)</f>
        <v>#N/A</v>
      </c>
      <c r="J695" s="29" t="e">
        <f>VLOOKUP(I695,PGStock[],2,FALSE)</f>
        <v>#N/A</v>
      </c>
      <c r="K695" s="30" t="e">
        <f>VLOOKUP(I695,PGStock[],3,FALSE)</f>
        <v>#N/A</v>
      </c>
      <c r="M695" s="62" t="e">
        <f>VLOOKUP(I695,PGStock[],6,FALSE)</f>
        <v>#N/A</v>
      </c>
      <c r="N695" s="62" t="e">
        <f>+Table8[[#This Row],[SalesBot]]*Table8[[#This Row],[Bonus]]</f>
        <v>#N/A</v>
      </c>
    </row>
    <row r="696" spans="1:14" ht="23.25" customHeight="1" x14ac:dyDescent="0.25">
      <c r="A696" s="59">
        <f t="shared" si="82"/>
        <v>1900</v>
      </c>
      <c r="B696" s="59">
        <f t="shared" si="81"/>
        <v>1</v>
      </c>
      <c r="C696" s="60"/>
      <c r="D696" s="61"/>
      <c r="F696" s="23" t="e">
        <f>VLOOKUP(E696,Customers[],2,FALSE)</f>
        <v>#N/A</v>
      </c>
      <c r="G696" s="23" t="e">
        <f>VLOOKUP(E696,Customers[],3,FALSE)</f>
        <v>#N/A</v>
      </c>
      <c r="H696" s="23" t="e">
        <f>VLOOKUP(E696,Customers[],4,FALSE)</f>
        <v>#N/A</v>
      </c>
      <c r="J696" s="29" t="e">
        <f>VLOOKUP(I696,PGStock[],2,FALSE)</f>
        <v>#N/A</v>
      </c>
      <c r="K696" s="30" t="e">
        <f>VLOOKUP(I696,PGStock[],3,FALSE)</f>
        <v>#N/A</v>
      </c>
      <c r="M696" s="62" t="e">
        <f>VLOOKUP(I696,PGStock[],6,FALSE)</f>
        <v>#N/A</v>
      </c>
      <c r="N696" s="62" t="e">
        <f>+Table8[[#This Row],[SalesBot]]*Table8[[#This Row],[Bonus]]</f>
        <v>#N/A</v>
      </c>
    </row>
    <row r="697" spans="1:14" ht="23.25" customHeight="1" x14ac:dyDescent="0.25">
      <c r="A697" s="59">
        <f t="shared" si="82"/>
        <v>1900</v>
      </c>
      <c r="B697" s="59">
        <f t="shared" si="81"/>
        <v>1</v>
      </c>
      <c r="C697" s="60"/>
      <c r="D697" s="61"/>
      <c r="F697" s="23" t="e">
        <f>VLOOKUP(E697,Customers[],2,FALSE)</f>
        <v>#N/A</v>
      </c>
      <c r="G697" s="23" t="e">
        <f>VLOOKUP(E697,Customers[],3,FALSE)</f>
        <v>#N/A</v>
      </c>
      <c r="H697" s="23" t="e">
        <f>VLOOKUP(E697,Customers[],4,FALSE)</f>
        <v>#N/A</v>
      </c>
      <c r="J697" s="29" t="e">
        <f>VLOOKUP(I697,PGStock[],2,FALSE)</f>
        <v>#N/A</v>
      </c>
      <c r="K697" s="30" t="e">
        <f>VLOOKUP(I697,PGStock[],3,FALSE)</f>
        <v>#N/A</v>
      </c>
      <c r="M697" s="62" t="e">
        <f>VLOOKUP(I697,PGStock[],6,FALSE)</f>
        <v>#N/A</v>
      </c>
      <c r="N697" s="62" t="e">
        <f>+Table8[[#This Row],[SalesBot]]*Table8[[#This Row],[Bonus]]</f>
        <v>#N/A</v>
      </c>
    </row>
    <row r="698" spans="1:14" ht="23.25" customHeight="1" x14ac:dyDescent="0.25">
      <c r="A698" s="59">
        <f t="shared" si="82"/>
        <v>1900</v>
      </c>
      <c r="B698" s="59">
        <f t="shared" si="81"/>
        <v>1</v>
      </c>
      <c r="C698" s="60"/>
      <c r="D698" s="61"/>
      <c r="F698" s="23" t="e">
        <f>VLOOKUP(E698,Customers[],2,FALSE)</f>
        <v>#N/A</v>
      </c>
      <c r="G698" s="23" t="e">
        <f>VLOOKUP(E698,Customers[],3,FALSE)</f>
        <v>#N/A</v>
      </c>
      <c r="H698" s="23" t="e">
        <f>VLOOKUP(E698,Customers[],4,FALSE)</f>
        <v>#N/A</v>
      </c>
      <c r="J698" s="29" t="e">
        <f>VLOOKUP(I698,PGStock[],2,FALSE)</f>
        <v>#N/A</v>
      </c>
      <c r="K698" s="30" t="e">
        <f>VLOOKUP(I698,PGStock[],3,FALSE)</f>
        <v>#N/A</v>
      </c>
      <c r="M698" s="62" t="e">
        <f>VLOOKUP(I698,PGStock[],6,FALSE)</f>
        <v>#N/A</v>
      </c>
      <c r="N698" s="62" t="e">
        <f>+Table8[[#This Row],[SalesBot]]*Table8[[#This Row],[Bonus]]</f>
        <v>#N/A</v>
      </c>
    </row>
    <row r="699" spans="1:14" ht="23.25" customHeight="1" x14ac:dyDescent="0.25">
      <c r="A699" s="59">
        <f t="shared" si="82"/>
        <v>1900</v>
      </c>
      <c r="B699" s="59">
        <f t="shared" si="81"/>
        <v>1</v>
      </c>
      <c r="C699" s="60"/>
      <c r="D699" s="61"/>
      <c r="F699" s="23" t="e">
        <f>VLOOKUP(E699,Customers[],2,FALSE)</f>
        <v>#N/A</v>
      </c>
      <c r="G699" s="23" t="e">
        <f>VLOOKUP(E699,Customers[],3,FALSE)</f>
        <v>#N/A</v>
      </c>
      <c r="H699" s="23" t="e">
        <f>VLOOKUP(E699,Customers[],4,FALSE)</f>
        <v>#N/A</v>
      </c>
      <c r="J699" s="29" t="e">
        <f>VLOOKUP(I699,PGStock[],2,FALSE)</f>
        <v>#N/A</v>
      </c>
      <c r="K699" s="30" t="e">
        <f>VLOOKUP(I699,PGStock[],3,FALSE)</f>
        <v>#N/A</v>
      </c>
      <c r="M699" s="62" t="e">
        <f>VLOOKUP(I699,PGStock[],6,FALSE)</f>
        <v>#N/A</v>
      </c>
      <c r="N699" s="62" t="e">
        <f>+Table8[[#This Row],[SalesBot]]*Table8[[#This Row],[Bonus]]</f>
        <v>#N/A</v>
      </c>
    </row>
    <row r="700" spans="1:14" ht="23.25" customHeight="1" x14ac:dyDescent="0.25">
      <c r="A700" s="59">
        <f t="shared" si="82"/>
        <v>1900</v>
      </c>
      <c r="B700" s="59">
        <f t="shared" si="81"/>
        <v>1</v>
      </c>
      <c r="C700" s="60"/>
      <c r="D700" s="61"/>
      <c r="F700" s="23" t="e">
        <f>VLOOKUP(E700,Customers[],2,FALSE)</f>
        <v>#N/A</v>
      </c>
      <c r="G700" s="23" t="e">
        <f>VLOOKUP(E700,Customers[],3,FALSE)</f>
        <v>#N/A</v>
      </c>
      <c r="H700" s="23" t="e">
        <f>VLOOKUP(E700,Customers[],4,FALSE)</f>
        <v>#N/A</v>
      </c>
      <c r="J700" s="29" t="e">
        <f>VLOOKUP(I700,PGStock[],2,FALSE)</f>
        <v>#N/A</v>
      </c>
      <c r="K700" s="30" t="e">
        <f>VLOOKUP(I700,PGStock[],3,FALSE)</f>
        <v>#N/A</v>
      </c>
      <c r="M700" s="62" t="e">
        <f>VLOOKUP(I700,PGStock[],6,FALSE)</f>
        <v>#N/A</v>
      </c>
      <c r="N700" s="62" t="e">
        <f>+Table8[[#This Row],[SalesBot]]*Table8[[#This Row],[Bonus]]</f>
        <v>#N/A</v>
      </c>
    </row>
    <row r="701" spans="1:14" ht="23.25" customHeight="1" x14ac:dyDescent="0.25">
      <c r="A701" s="59">
        <f t="shared" si="82"/>
        <v>1900</v>
      </c>
      <c r="B701" s="59">
        <f t="shared" si="81"/>
        <v>1</v>
      </c>
      <c r="C701" s="60"/>
      <c r="D701" s="61"/>
      <c r="F701" s="23" t="e">
        <f>VLOOKUP(E701,Customers[],2,FALSE)</f>
        <v>#N/A</v>
      </c>
      <c r="G701" s="23" t="e">
        <f>VLOOKUP(E701,Customers[],3,FALSE)</f>
        <v>#N/A</v>
      </c>
      <c r="H701" s="23" t="e">
        <f>VLOOKUP(E701,Customers[],4,FALSE)</f>
        <v>#N/A</v>
      </c>
      <c r="J701" s="29" t="e">
        <f>VLOOKUP(I701,PGStock[],2,FALSE)</f>
        <v>#N/A</v>
      </c>
      <c r="K701" s="30" t="e">
        <f>VLOOKUP(I701,PGStock[],3,FALSE)</f>
        <v>#N/A</v>
      </c>
      <c r="M701" s="62" t="e">
        <f>VLOOKUP(I701,PGStock[],6,FALSE)</f>
        <v>#N/A</v>
      </c>
      <c r="N701" s="62" t="e">
        <f>+Table8[[#This Row],[SalesBot]]*Table8[[#This Row],[Bonus]]</f>
        <v>#N/A</v>
      </c>
    </row>
    <row r="702" spans="1:14" ht="23.25" customHeight="1" x14ac:dyDescent="0.25">
      <c r="A702" s="59">
        <f t="shared" si="82"/>
        <v>1900</v>
      </c>
      <c r="B702" s="59">
        <f t="shared" si="81"/>
        <v>1</v>
      </c>
      <c r="C702" s="60"/>
      <c r="D702" s="61"/>
      <c r="F702" s="23" t="e">
        <f>VLOOKUP(E702,Customers[],2,FALSE)</f>
        <v>#N/A</v>
      </c>
      <c r="G702" s="23" t="e">
        <f>VLOOKUP(E702,Customers[],3,FALSE)</f>
        <v>#N/A</v>
      </c>
      <c r="H702" s="23" t="e">
        <f>VLOOKUP(E702,Customers[],4,FALSE)</f>
        <v>#N/A</v>
      </c>
      <c r="J702" s="29" t="e">
        <f>VLOOKUP(I702,PGStock[],2,FALSE)</f>
        <v>#N/A</v>
      </c>
      <c r="K702" s="30" t="e">
        <f>VLOOKUP(I702,PGStock[],3,FALSE)</f>
        <v>#N/A</v>
      </c>
      <c r="M702" s="62" t="e">
        <f>VLOOKUP(I702,PGStock[],6,FALSE)</f>
        <v>#N/A</v>
      </c>
      <c r="N702" s="62" t="e">
        <f>+Table8[[#This Row],[SalesBot]]*Table8[[#This Row],[Bonus]]</f>
        <v>#N/A</v>
      </c>
    </row>
    <row r="703" spans="1:14" ht="23.25" customHeight="1" x14ac:dyDescent="0.25">
      <c r="A703" s="59">
        <f t="shared" si="82"/>
        <v>1900</v>
      </c>
      <c r="B703" s="59">
        <f t="shared" si="81"/>
        <v>1</v>
      </c>
      <c r="C703" s="60"/>
      <c r="D703" s="61"/>
      <c r="F703" s="23" t="e">
        <f>VLOOKUP(E703,Customers[],2,FALSE)</f>
        <v>#N/A</v>
      </c>
      <c r="G703" s="23" t="e">
        <f>VLOOKUP(E703,Customers[],3,FALSE)</f>
        <v>#N/A</v>
      </c>
      <c r="H703" s="23" t="e">
        <f>VLOOKUP(E703,Customers[],4,FALSE)</f>
        <v>#N/A</v>
      </c>
      <c r="J703" s="29" t="e">
        <f>VLOOKUP(I703,PGStock[],2,FALSE)</f>
        <v>#N/A</v>
      </c>
      <c r="K703" s="30" t="e">
        <f>VLOOKUP(I703,PGStock[],3,FALSE)</f>
        <v>#N/A</v>
      </c>
      <c r="M703" s="62" t="e">
        <f>VLOOKUP(I703,PGStock[],6,FALSE)</f>
        <v>#N/A</v>
      </c>
      <c r="N703" s="62" t="e">
        <f>+Table8[[#This Row],[SalesBot]]*Table8[[#This Row],[Bonus]]</f>
        <v>#N/A</v>
      </c>
    </row>
    <row r="704" spans="1:14" ht="23.25" customHeight="1" x14ac:dyDescent="0.25">
      <c r="A704" s="59">
        <f t="shared" si="82"/>
        <v>1900</v>
      </c>
      <c r="B704" s="59">
        <f t="shared" si="81"/>
        <v>1</v>
      </c>
      <c r="C704" s="60"/>
      <c r="D704" s="61"/>
      <c r="F704" s="23" t="e">
        <f>VLOOKUP(E704,Customers[],2,FALSE)</f>
        <v>#N/A</v>
      </c>
      <c r="G704" s="23" t="e">
        <f>VLOOKUP(E704,Customers[],3,FALSE)</f>
        <v>#N/A</v>
      </c>
      <c r="H704" s="23" t="e">
        <f>VLOOKUP(E704,Customers[],4,FALSE)</f>
        <v>#N/A</v>
      </c>
      <c r="J704" s="29" t="e">
        <f>VLOOKUP(I704,PGStock[],2,FALSE)</f>
        <v>#N/A</v>
      </c>
      <c r="K704" s="30" t="e">
        <f>VLOOKUP(I704,PGStock[],3,FALSE)</f>
        <v>#N/A</v>
      </c>
      <c r="M704" s="62" t="e">
        <f>VLOOKUP(I704,PGStock[],6,FALSE)</f>
        <v>#N/A</v>
      </c>
      <c r="N704" s="62" t="e">
        <f>+Table8[[#This Row],[SalesBot]]*Table8[[#This Row],[Bonus]]</f>
        <v>#N/A</v>
      </c>
    </row>
    <row r="705" spans="1:14" ht="23.25" customHeight="1" x14ac:dyDescent="0.25">
      <c r="A705" s="59">
        <f t="shared" si="82"/>
        <v>1900</v>
      </c>
      <c r="B705" s="59">
        <f t="shared" si="81"/>
        <v>1</v>
      </c>
      <c r="C705" s="60"/>
      <c r="D705" s="61"/>
      <c r="F705" s="23" t="e">
        <f>VLOOKUP(E705,Customers[],2,FALSE)</f>
        <v>#N/A</v>
      </c>
      <c r="G705" s="23" t="e">
        <f>VLOOKUP(E705,Customers[],3,FALSE)</f>
        <v>#N/A</v>
      </c>
      <c r="H705" s="23" t="e">
        <f>VLOOKUP(E705,Customers[],4,FALSE)</f>
        <v>#N/A</v>
      </c>
      <c r="J705" s="29" t="e">
        <f>VLOOKUP(I705,PGStock[],2,FALSE)</f>
        <v>#N/A</v>
      </c>
      <c r="K705" s="30" t="e">
        <f>VLOOKUP(I705,PGStock[],3,FALSE)</f>
        <v>#N/A</v>
      </c>
      <c r="M705" s="62" t="e">
        <f>VLOOKUP(I705,PGStock[],6,FALSE)</f>
        <v>#N/A</v>
      </c>
      <c r="N705" s="62" t="e">
        <f>+Table8[[#This Row],[SalesBot]]*Table8[[#This Row],[Bonus]]</f>
        <v>#N/A</v>
      </c>
    </row>
    <row r="706" spans="1:14" ht="23.25" customHeight="1" x14ac:dyDescent="0.25">
      <c r="A706" s="59">
        <f t="shared" si="82"/>
        <v>1900</v>
      </c>
      <c r="B706" s="59">
        <f t="shared" si="81"/>
        <v>1</v>
      </c>
      <c r="C706" s="60"/>
      <c r="D706" s="61"/>
      <c r="F706" s="23" t="e">
        <f>VLOOKUP(E706,Customers[],2,FALSE)</f>
        <v>#N/A</v>
      </c>
      <c r="G706" s="23" t="e">
        <f>VLOOKUP(E706,Customers[],3,FALSE)</f>
        <v>#N/A</v>
      </c>
      <c r="H706" s="23" t="e">
        <f>VLOOKUP(E706,Customers[],4,FALSE)</f>
        <v>#N/A</v>
      </c>
      <c r="J706" s="29" t="e">
        <f>VLOOKUP(I706,PGStock[],2,FALSE)</f>
        <v>#N/A</v>
      </c>
      <c r="K706" s="30" t="e">
        <f>VLOOKUP(I706,PGStock[],3,FALSE)</f>
        <v>#N/A</v>
      </c>
      <c r="M706" s="62" t="e">
        <f>VLOOKUP(I706,PGStock[],6,FALSE)</f>
        <v>#N/A</v>
      </c>
      <c r="N706" s="62" t="e">
        <f>+Table8[[#This Row],[SalesBot]]*Table8[[#This Row],[Bonus]]</f>
        <v>#N/A</v>
      </c>
    </row>
    <row r="707" spans="1:14" ht="23.25" customHeight="1" x14ac:dyDescent="0.25">
      <c r="A707" s="59">
        <f t="shared" si="82"/>
        <v>1900</v>
      </c>
      <c r="B707" s="59">
        <f t="shared" si="81"/>
        <v>1</v>
      </c>
      <c r="C707" s="60"/>
      <c r="D707" s="61"/>
      <c r="F707" s="23" t="e">
        <f>VLOOKUP(E707,Customers[],2,FALSE)</f>
        <v>#N/A</v>
      </c>
      <c r="G707" s="23" t="e">
        <f>VLOOKUP(E707,Customers[],3,FALSE)</f>
        <v>#N/A</v>
      </c>
      <c r="H707" s="23" t="e">
        <f>VLOOKUP(E707,Customers[],4,FALSE)</f>
        <v>#N/A</v>
      </c>
      <c r="J707" s="29" t="e">
        <f>VLOOKUP(I707,PGStock[],2,FALSE)</f>
        <v>#N/A</v>
      </c>
      <c r="K707" s="30" t="e">
        <f>VLOOKUP(I707,PGStock[],3,FALSE)</f>
        <v>#N/A</v>
      </c>
      <c r="M707" s="62" t="e">
        <f>VLOOKUP(I707,PGStock[],6,FALSE)</f>
        <v>#N/A</v>
      </c>
      <c r="N707" s="62" t="e">
        <f>+Table8[[#This Row],[SalesBot]]*Table8[[#This Row],[Bonus]]</f>
        <v>#N/A</v>
      </c>
    </row>
    <row r="708" spans="1:14" ht="23.25" customHeight="1" x14ac:dyDescent="0.25">
      <c r="A708" s="59">
        <f t="shared" si="82"/>
        <v>1900</v>
      </c>
      <c r="B708" s="59">
        <f t="shared" ref="B708:B1974" si="83">MONTH(C708)</f>
        <v>1</v>
      </c>
      <c r="C708" s="60"/>
      <c r="D708" s="61"/>
      <c r="F708" s="23" t="e">
        <f>VLOOKUP(E708,Customers[],2,FALSE)</f>
        <v>#N/A</v>
      </c>
      <c r="G708" s="23" t="e">
        <f>VLOOKUP(E708,Customers[],3,FALSE)</f>
        <v>#N/A</v>
      </c>
      <c r="H708" s="23" t="e">
        <f>VLOOKUP(E708,Customers[],4,FALSE)</f>
        <v>#N/A</v>
      </c>
      <c r="J708" s="29" t="e">
        <f>VLOOKUP(I708,PGStock[],2,FALSE)</f>
        <v>#N/A</v>
      </c>
      <c r="K708" s="30" t="e">
        <f>VLOOKUP(I708,PGStock[],3,FALSE)</f>
        <v>#N/A</v>
      </c>
      <c r="M708" s="62" t="e">
        <f>VLOOKUP(I708,PGStock[],6,FALSE)</f>
        <v>#N/A</v>
      </c>
      <c r="N708" s="62" t="e">
        <f>+Table8[[#This Row],[SalesBot]]*Table8[[#This Row],[Bonus]]</f>
        <v>#N/A</v>
      </c>
    </row>
    <row r="709" spans="1:14" ht="23.25" customHeight="1" x14ac:dyDescent="0.25">
      <c r="A709" s="59">
        <f t="shared" si="82"/>
        <v>1900</v>
      </c>
      <c r="B709" s="59">
        <f t="shared" si="83"/>
        <v>1</v>
      </c>
      <c r="C709" s="60"/>
      <c r="D709" s="61"/>
      <c r="F709" s="23" t="e">
        <f>VLOOKUP(E709,Customers[],2,FALSE)</f>
        <v>#N/A</v>
      </c>
      <c r="G709" s="23" t="e">
        <f>VLOOKUP(E709,Customers[],3,FALSE)</f>
        <v>#N/A</v>
      </c>
      <c r="H709" s="23" t="e">
        <f>VLOOKUP(E709,Customers[],4,FALSE)</f>
        <v>#N/A</v>
      </c>
      <c r="J709" s="29" t="e">
        <f>VLOOKUP(I709,PGStock[],2,FALSE)</f>
        <v>#N/A</v>
      </c>
      <c r="K709" s="30" t="e">
        <f>VLOOKUP(I709,PGStock[],3,FALSE)</f>
        <v>#N/A</v>
      </c>
      <c r="M709" s="62" t="e">
        <f>VLOOKUP(I709,PGStock[],6,FALSE)</f>
        <v>#N/A</v>
      </c>
      <c r="N709" s="62" t="e">
        <f>+Table8[[#This Row],[SalesBot]]*Table8[[#This Row],[Bonus]]</f>
        <v>#N/A</v>
      </c>
    </row>
    <row r="710" spans="1:14" ht="23.25" customHeight="1" x14ac:dyDescent="0.25">
      <c r="A710" s="59">
        <f t="shared" si="82"/>
        <v>1900</v>
      </c>
      <c r="B710" s="59">
        <f t="shared" si="83"/>
        <v>1</v>
      </c>
      <c r="C710" s="60"/>
      <c r="D710" s="61"/>
      <c r="F710" s="23" t="e">
        <f>VLOOKUP(E710,Customers[],2,FALSE)</f>
        <v>#N/A</v>
      </c>
      <c r="G710" s="23" t="e">
        <f>VLOOKUP(E710,Customers[],3,FALSE)</f>
        <v>#N/A</v>
      </c>
      <c r="H710" s="23" t="e">
        <f>VLOOKUP(E710,Customers[],4,FALSE)</f>
        <v>#N/A</v>
      </c>
      <c r="J710" s="29" t="e">
        <f>VLOOKUP(I710,PGStock[],2,FALSE)</f>
        <v>#N/A</v>
      </c>
      <c r="K710" s="30" t="e">
        <f>VLOOKUP(I710,PGStock[],3,FALSE)</f>
        <v>#N/A</v>
      </c>
      <c r="M710" s="62" t="e">
        <f>VLOOKUP(I710,PGStock[],6,FALSE)</f>
        <v>#N/A</v>
      </c>
      <c r="N710" s="62" t="e">
        <f>+Table8[[#This Row],[SalesBot]]*Table8[[#This Row],[Bonus]]</f>
        <v>#N/A</v>
      </c>
    </row>
    <row r="711" spans="1:14" ht="23.25" customHeight="1" x14ac:dyDescent="0.25">
      <c r="A711" s="59">
        <f t="shared" si="82"/>
        <v>1900</v>
      </c>
      <c r="B711" s="59">
        <f t="shared" si="83"/>
        <v>1</v>
      </c>
      <c r="C711" s="60"/>
      <c r="D711" s="61"/>
      <c r="F711" s="23" t="e">
        <f>VLOOKUP(E711,Customers[],2,FALSE)</f>
        <v>#N/A</v>
      </c>
      <c r="G711" s="23" t="e">
        <f>VLOOKUP(E711,Customers[],3,FALSE)</f>
        <v>#N/A</v>
      </c>
      <c r="H711" s="23" t="e">
        <f>VLOOKUP(E711,Customers[],4,FALSE)</f>
        <v>#N/A</v>
      </c>
      <c r="J711" s="29" t="e">
        <f>VLOOKUP(I711,PGStock[],2,FALSE)</f>
        <v>#N/A</v>
      </c>
      <c r="K711" s="30" t="e">
        <f>VLOOKUP(I711,PGStock[],3,FALSE)</f>
        <v>#N/A</v>
      </c>
      <c r="M711" s="62" t="e">
        <f>VLOOKUP(I711,PGStock[],6,FALSE)</f>
        <v>#N/A</v>
      </c>
      <c r="N711" s="62" t="e">
        <f>+Table8[[#This Row],[SalesBot]]*Table8[[#This Row],[Bonus]]</f>
        <v>#N/A</v>
      </c>
    </row>
    <row r="712" spans="1:14" ht="23.25" customHeight="1" x14ac:dyDescent="0.25">
      <c r="A712" s="59">
        <f t="shared" si="82"/>
        <v>1900</v>
      </c>
      <c r="B712" s="59">
        <f t="shared" si="83"/>
        <v>1</v>
      </c>
      <c r="C712" s="60"/>
      <c r="D712" s="61"/>
      <c r="F712" s="23" t="e">
        <f>VLOOKUP(E712,Customers[],2,FALSE)</f>
        <v>#N/A</v>
      </c>
      <c r="G712" s="23" t="e">
        <f>VLOOKUP(E712,Customers[],3,FALSE)</f>
        <v>#N/A</v>
      </c>
      <c r="H712" s="23" t="e">
        <f>VLOOKUP(E712,Customers[],4,FALSE)</f>
        <v>#N/A</v>
      </c>
      <c r="J712" s="29" t="e">
        <f>VLOOKUP(I712,PGStock[],2,FALSE)</f>
        <v>#N/A</v>
      </c>
      <c r="K712" s="30" t="e">
        <f>VLOOKUP(I712,PGStock[],3,FALSE)</f>
        <v>#N/A</v>
      </c>
      <c r="M712" s="62" t="e">
        <f>VLOOKUP(I712,PGStock[],6,FALSE)</f>
        <v>#N/A</v>
      </c>
      <c r="N712" s="62" t="e">
        <f>+Table8[[#This Row],[SalesBot]]*Table8[[#This Row],[Bonus]]</f>
        <v>#N/A</v>
      </c>
    </row>
    <row r="713" spans="1:14" ht="23.25" customHeight="1" x14ac:dyDescent="0.25">
      <c r="A713" s="59">
        <f t="shared" si="82"/>
        <v>1900</v>
      </c>
      <c r="B713" s="59">
        <f t="shared" si="83"/>
        <v>1</v>
      </c>
      <c r="C713" s="60"/>
      <c r="D713" s="61"/>
      <c r="F713" s="23" t="e">
        <f>VLOOKUP(E713,Customers[],2,FALSE)</f>
        <v>#N/A</v>
      </c>
      <c r="G713" s="23" t="e">
        <f>VLOOKUP(E713,Customers[],3,FALSE)</f>
        <v>#N/A</v>
      </c>
      <c r="H713" s="23" t="e">
        <f>VLOOKUP(E713,Customers[],4,FALSE)</f>
        <v>#N/A</v>
      </c>
      <c r="J713" s="29" t="e">
        <f>VLOOKUP(I713,PGStock[],2,FALSE)</f>
        <v>#N/A</v>
      </c>
      <c r="K713" s="30" t="e">
        <f>VLOOKUP(I713,PGStock[],3,FALSE)</f>
        <v>#N/A</v>
      </c>
      <c r="M713" s="62" t="e">
        <f>VLOOKUP(I713,PGStock[],6,FALSE)</f>
        <v>#N/A</v>
      </c>
      <c r="N713" s="62" t="e">
        <f>+Table8[[#This Row],[SalesBot]]*Table8[[#This Row],[Bonus]]</f>
        <v>#N/A</v>
      </c>
    </row>
    <row r="714" spans="1:14" ht="23.25" customHeight="1" x14ac:dyDescent="0.25">
      <c r="A714" s="59">
        <f t="shared" si="82"/>
        <v>1900</v>
      </c>
      <c r="B714" s="59">
        <f t="shared" si="83"/>
        <v>1</v>
      </c>
      <c r="C714" s="60"/>
      <c r="D714" s="61"/>
      <c r="F714" s="23" t="e">
        <f>VLOOKUP(E714,Customers[],2,FALSE)</f>
        <v>#N/A</v>
      </c>
      <c r="G714" s="23" t="e">
        <f>VLOOKUP(E714,Customers[],3,FALSE)</f>
        <v>#N/A</v>
      </c>
      <c r="H714" s="23" t="e">
        <f>VLOOKUP(E714,Customers[],4,FALSE)</f>
        <v>#N/A</v>
      </c>
      <c r="J714" s="29" t="e">
        <f>VLOOKUP(I714,PGStock[],2,FALSE)</f>
        <v>#N/A</v>
      </c>
      <c r="K714" s="30" t="e">
        <f>VLOOKUP(I714,PGStock[],3,FALSE)</f>
        <v>#N/A</v>
      </c>
      <c r="M714" s="62" t="e">
        <f>VLOOKUP(I714,PGStock[],6,FALSE)</f>
        <v>#N/A</v>
      </c>
      <c r="N714" s="62" t="e">
        <f>+Table8[[#This Row],[SalesBot]]*Table8[[#This Row],[Bonus]]</f>
        <v>#N/A</v>
      </c>
    </row>
    <row r="715" spans="1:14" ht="23.25" customHeight="1" x14ac:dyDescent="0.25">
      <c r="A715" s="59">
        <f t="shared" si="82"/>
        <v>1900</v>
      </c>
      <c r="B715" s="59">
        <f t="shared" si="83"/>
        <v>1</v>
      </c>
      <c r="C715" s="60"/>
      <c r="D715" s="61"/>
      <c r="F715" s="23" t="e">
        <f>VLOOKUP(E715,Customers[],2,FALSE)</f>
        <v>#N/A</v>
      </c>
      <c r="G715" s="23" t="e">
        <f>VLOOKUP(E715,Customers[],3,FALSE)</f>
        <v>#N/A</v>
      </c>
      <c r="H715" s="23" t="e">
        <f>VLOOKUP(E715,Customers[],4,FALSE)</f>
        <v>#N/A</v>
      </c>
      <c r="J715" s="29" t="e">
        <f>VLOOKUP(I715,PGStock[],2,FALSE)</f>
        <v>#N/A</v>
      </c>
      <c r="K715" s="30" t="e">
        <f>VLOOKUP(I715,PGStock[],3,FALSE)</f>
        <v>#N/A</v>
      </c>
      <c r="M715" s="62" t="e">
        <f>VLOOKUP(I715,PGStock[],6,FALSE)</f>
        <v>#N/A</v>
      </c>
      <c r="N715" s="62" t="e">
        <f>+Table8[[#This Row],[SalesBot]]*Table8[[#This Row],[Bonus]]</f>
        <v>#N/A</v>
      </c>
    </row>
    <row r="716" spans="1:14" ht="23.25" customHeight="1" x14ac:dyDescent="0.25">
      <c r="A716" s="59">
        <f t="shared" si="82"/>
        <v>1900</v>
      </c>
      <c r="B716" s="59">
        <f t="shared" si="83"/>
        <v>1</v>
      </c>
      <c r="C716" s="60"/>
      <c r="D716" s="61"/>
      <c r="F716" s="23" t="e">
        <f>VLOOKUP(E716,Customers[],2,FALSE)</f>
        <v>#N/A</v>
      </c>
      <c r="G716" s="23" t="e">
        <f>VLOOKUP(E716,Customers[],3,FALSE)</f>
        <v>#N/A</v>
      </c>
      <c r="H716" s="23" t="e">
        <f>VLOOKUP(E716,Customers[],4,FALSE)</f>
        <v>#N/A</v>
      </c>
      <c r="J716" s="29" t="e">
        <f>VLOOKUP(I716,PGStock[],2,FALSE)</f>
        <v>#N/A</v>
      </c>
      <c r="K716" s="30" t="e">
        <f>VLOOKUP(I716,PGStock[],3,FALSE)</f>
        <v>#N/A</v>
      </c>
      <c r="M716" s="62" t="e">
        <f>VLOOKUP(I716,PGStock[],6,FALSE)</f>
        <v>#N/A</v>
      </c>
      <c r="N716" s="62" t="e">
        <f>+Table8[[#This Row],[SalesBot]]*Table8[[#This Row],[Bonus]]</f>
        <v>#N/A</v>
      </c>
    </row>
    <row r="717" spans="1:14" ht="23.25" customHeight="1" x14ac:dyDescent="0.25">
      <c r="A717" s="59">
        <f t="shared" si="82"/>
        <v>1900</v>
      </c>
      <c r="B717" s="59">
        <f t="shared" si="83"/>
        <v>1</v>
      </c>
      <c r="C717" s="60"/>
      <c r="D717" s="61"/>
      <c r="F717" s="23" t="e">
        <f>VLOOKUP(E717,Customers[],2,FALSE)</f>
        <v>#N/A</v>
      </c>
      <c r="G717" s="23" t="e">
        <f>VLOOKUP(E717,Customers[],3,FALSE)</f>
        <v>#N/A</v>
      </c>
      <c r="H717" s="23" t="e">
        <f>VLOOKUP(E717,Customers[],4,FALSE)</f>
        <v>#N/A</v>
      </c>
      <c r="J717" s="29" t="e">
        <f>VLOOKUP(I717,PGStock[],2,FALSE)</f>
        <v>#N/A</v>
      </c>
      <c r="K717" s="30" t="e">
        <f>VLOOKUP(I717,PGStock[],3,FALSE)</f>
        <v>#N/A</v>
      </c>
      <c r="M717" s="62" t="e">
        <f>VLOOKUP(I717,PGStock[],6,FALSE)</f>
        <v>#N/A</v>
      </c>
      <c r="N717" s="62" t="e">
        <f>+Table8[[#This Row],[SalesBot]]*Table8[[#This Row],[Bonus]]</f>
        <v>#N/A</v>
      </c>
    </row>
    <row r="718" spans="1:14" ht="23.25" customHeight="1" x14ac:dyDescent="0.25">
      <c r="A718" s="59">
        <f t="shared" ref="A718:A749" si="84">YEAR(C718)</f>
        <v>1900</v>
      </c>
      <c r="B718" s="59">
        <f t="shared" ref="B718:B749" si="85">MONTH(C718)</f>
        <v>1</v>
      </c>
      <c r="C718" s="60"/>
      <c r="D718" s="61"/>
      <c r="F718" s="23" t="e">
        <f>VLOOKUP(E718,Customers[],2,FALSE)</f>
        <v>#N/A</v>
      </c>
      <c r="G718" s="23" t="e">
        <f>VLOOKUP(E718,Customers[],3,FALSE)</f>
        <v>#N/A</v>
      </c>
      <c r="H718" s="23" t="e">
        <f>VLOOKUP(E718,Customers[],4,FALSE)</f>
        <v>#N/A</v>
      </c>
      <c r="J718" s="29" t="e">
        <f>VLOOKUP(I718,PGStock[],2,FALSE)</f>
        <v>#N/A</v>
      </c>
      <c r="K718" s="30" t="e">
        <f>VLOOKUP(I718,PGStock[],3,FALSE)</f>
        <v>#N/A</v>
      </c>
      <c r="M718" s="62" t="e">
        <f>VLOOKUP(I718,PGStock[],6,FALSE)</f>
        <v>#N/A</v>
      </c>
      <c r="N718" s="62" t="e">
        <f>+Table8[[#This Row],[SalesBot]]*Table8[[#This Row],[Bonus]]</f>
        <v>#N/A</v>
      </c>
    </row>
    <row r="719" spans="1:14" ht="23.25" customHeight="1" x14ac:dyDescent="0.25">
      <c r="A719" s="59">
        <f t="shared" si="84"/>
        <v>1900</v>
      </c>
      <c r="B719" s="59">
        <f t="shared" si="85"/>
        <v>1</v>
      </c>
      <c r="C719" s="60"/>
      <c r="D719" s="61"/>
      <c r="F719" s="23" t="e">
        <f>VLOOKUP(E719,Customers[],2,FALSE)</f>
        <v>#N/A</v>
      </c>
      <c r="G719" s="23" t="e">
        <f>VLOOKUP(E719,Customers[],3,FALSE)</f>
        <v>#N/A</v>
      </c>
      <c r="H719" s="23" t="e">
        <f>VLOOKUP(E719,Customers[],4,FALSE)</f>
        <v>#N/A</v>
      </c>
      <c r="J719" s="29" t="e">
        <f>VLOOKUP(I719,PGStock[],2,FALSE)</f>
        <v>#N/A</v>
      </c>
      <c r="K719" s="30" t="e">
        <f>VLOOKUP(I719,PGStock[],3,FALSE)</f>
        <v>#N/A</v>
      </c>
      <c r="M719" s="62" t="e">
        <f>VLOOKUP(I719,PGStock[],6,FALSE)</f>
        <v>#N/A</v>
      </c>
      <c r="N719" s="62" t="e">
        <f>+Table8[[#This Row],[SalesBot]]*Table8[[#This Row],[Bonus]]</f>
        <v>#N/A</v>
      </c>
    </row>
    <row r="720" spans="1:14" ht="23.25" customHeight="1" x14ac:dyDescent="0.25">
      <c r="A720" s="59">
        <f t="shared" si="84"/>
        <v>1900</v>
      </c>
      <c r="B720" s="59">
        <f t="shared" si="85"/>
        <v>1</v>
      </c>
      <c r="C720" s="60"/>
      <c r="D720" s="61"/>
      <c r="F720" s="23" t="e">
        <f>VLOOKUP(E720,Customers[],2,FALSE)</f>
        <v>#N/A</v>
      </c>
      <c r="G720" s="23" t="e">
        <f>VLOOKUP(E720,Customers[],3,FALSE)</f>
        <v>#N/A</v>
      </c>
      <c r="H720" s="23" t="e">
        <f>VLOOKUP(E720,Customers[],4,FALSE)</f>
        <v>#N/A</v>
      </c>
      <c r="J720" s="29" t="e">
        <f>VLOOKUP(I720,PGStock[],2,FALSE)</f>
        <v>#N/A</v>
      </c>
      <c r="K720" s="30" t="e">
        <f>VLOOKUP(I720,PGStock[],3,FALSE)</f>
        <v>#N/A</v>
      </c>
      <c r="M720" s="62" t="e">
        <f>VLOOKUP(I720,PGStock[],6,FALSE)</f>
        <v>#N/A</v>
      </c>
      <c r="N720" s="62" t="e">
        <f>+Table8[[#This Row],[SalesBot]]*Table8[[#This Row],[Bonus]]</f>
        <v>#N/A</v>
      </c>
    </row>
    <row r="721" spans="1:14" ht="23.25" customHeight="1" x14ac:dyDescent="0.25">
      <c r="A721" s="59">
        <f t="shared" si="84"/>
        <v>1900</v>
      </c>
      <c r="B721" s="59">
        <f t="shared" si="85"/>
        <v>1</v>
      </c>
      <c r="C721" s="60"/>
      <c r="D721" s="61"/>
      <c r="F721" s="23" t="e">
        <f>VLOOKUP(E721,Customers[],2,FALSE)</f>
        <v>#N/A</v>
      </c>
      <c r="G721" s="23" t="e">
        <f>VLOOKUP(E721,Customers[],3,FALSE)</f>
        <v>#N/A</v>
      </c>
      <c r="H721" s="23" t="e">
        <f>VLOOKUP(E721,Customers[],4,FALSE)</f>
        <v>#N/A</v>
      </c>
      <c r="J721" s="29" t="e">
        <f>VLOOKUP(I721,PGStock[],2,FALSE)</f>
        <v>#N/A</v>
      </c>
      <c r="K721" s="30" t="e">
        <f>VLOOKUP(I721,PGStock[],3,FALSE)</f>
        <v>#N/A</v>
      </c>
      <c r="M721" s="62" t="e">
        <f>VLOOKUP(I721,PGStock[],6,FALSE)</f>
        <v>#N/A</v>
      </c>
      <c r="N721" s="62" t="e">
        <f>+Table8[[#This Row],[SalesBot]]*Table8[[#This Row],[Bonus]]</f>
        <v>#N/A</v>
      </c>
    </row>
    <row r="722" spans="1:14" ht="23.25" customHeight="1" x14ac:dyDescent="0.25">
      <c r="A722" s="59">
        <f t="shared" si="84"/>
        <v>1900</v>
      </c>
      <c r="B722" s="59">
        <f t="shared" si="85"/>
        <v>1</v>
      </c>
      <c r="C722" s="60"/>
      <c r="D722" s="61"/>
      <c r="F722" s="23" t="e">
        <f>VLOOKUP(E722,Customers[],2,FALSE)</f>
        <v>#N/A</v>
      </c>
      <c r="G722" s="23" t="e">
        <f>VLOOKUP(E722,Customers[],3,FALSE)</f>
        <v>#N/A</v>
      </c>
      <c r="H722" s="23" t="e">
        <f>VLOOKUP(E722,Customers[],4,FALSE)</f>
        <v>#N/A</v>
      </c>
      <c r="J722" s="29" t="e">
        <f>VLOOKUP(I722,PGStock[],2,FALSE)</f>
        <v>#N/A</v>
      </c>
      <c r="K722" s="30" t="e">
        <f>VLOOKUP(I722,PGStock[],3,FALSE)</f>
        <v>#N/A</v>
      </c>
      <c r="M722" s="62" t="e">
        <f>VLOOKUP(I722,PGStock[],6,FALSE)</f>
        <v>#N/A</v>
      </c>
      <c r="N722" s="62" t="e">
        <f>+Table8[[#This Row],[SalesBot]]*Table8[[#This Row],[Bonus]]</f>
        <v>#N/A</v>
      </c>
    </row>
    <row r="723" spans="1:14" ht="23.25" customHeight="1" x14ac:dyDescent="0.25">
      <c r="A723" s="59">
        <f t="shared" si="84"/>
        <v>1900</v>
      </c>
      <c r="B723" s="59">
        <f t="shared" si="85"/>
        <v>1</v>
      </c>
      <c r="C723" s="60"/>
      <c r="D723" s="61"/>
      <c r="F723" s="23" t="e">
        <f>VLOOKUP(E723,Customers[],2,FALSE)</f>
        <v>#N/A</v>
      </c>
      <c r="G723" s="23" t="e">
        <f>VLOOKUP(E723,Customers[],3,FALSE)</f>
        <v>#N/A</v>
      </c>
      <c r="H723" s="23" t="e">
        <f>VLOOKUP(E723,Customers[],4,FALSE)</f>
        <v>#N/A</v>
      </c>
      <c r="J723" s="29" t="e">
        <f>VLOOKUP(I723,PGStock[],2,FALSE)</f>
        <v>#N/A</v>
      </c>
      <c r="K723" s="30" t="e">
        <f>VLOOKUP(I723,PGStock[],3,FALSE)</f>
        <v>#N/A</v>
      </c>
      <c r="M723" s="62" t="e">
        <f>VLOOKUP(I723,PGStock[],6,FALSE)</f>
        <v>#N/A</v>
      </c>
      <c r="N723" s="62" t="e">
        <f>+Table8[[#This Row],[SalesBot]]*Table8[[#This Row],[Bonus]]</f>
        <v>#N/A</v>
      </c>
    </row>
    <row r="724" spans="1:14" ht="23.25" customHeight="1" x14ac:dyDescent="0.25">
      <c r="A724" s="59">
        <f t="shared" si="84"/>
        <v>1900</v>
      </c>
      <c r="B724" s="59">
        <f t="shared" si="85"/>
        <v>1</v>
      </c>
      <c r="C724" s="60"/>
      <c r="D724" s="61"/>
      <c r="F724" s="23" t="e">
        <f>VLOOKUP(E724,Customers[],2,FALSE)</f>
        <v>#N/A</v>
      </c>
      <c r="G724" s="23" t="e">
        <f>VLOOKUP(E724,Customers[],3,FALSE)</f>
        <v>#N/A</v>
      </c>
      <c r="H724" s="23" t="e">
        <f>VLOOKUP(E724,Customers[],4,FALSE)</f>
        <v>#N/A</v>
      </c>
      <c r="J724" s="29" t="e">
        <f>VLOOKUP(I724,PGStock[],2,FALSE)</f>
        <v>#N/A</v>
      </c>
      <c r="K724" s="30" t="e">
        <f>VLOOKUP(I724,PGStock[],3,FALSE)</f>
        <v>#N/A</v>
      </c>
      <c r="M724" s="62" t="e">
        <f>VLOOKUP(I724,PGStock[],6,FALSE)</f>
        <v>#N/A</v>
      </c>
      <c r="N724" s="62" t="e">
        <f>+Table8[[#This Row],[SalesBot]]*Table8[[#This Row],[Bonus]]</f>
        <v>#N/A</v>
      </c>
    </row>
    <row r="725" spans="1:14" ht="23.25" customHeight="1" x14ac:dyDescent="0.25">
      <c r="A725" s="59">
        <f t="shared" si="84"/>
        <v>1900</v>
      </c>
      <c r="B725" s="59">
        <f t="shared" si="85"/>
        <v>1</v>
      </c>
      <c r="C725" s="60"/>
      <c r="D725" s="61"/>
      <c r="F725" s="23" t="e">
        <f>VLOOKUP(E725,Customers[],2,FALSE)</f>
        <v>#N/A</v>
      </c>
      <c r="G725" s="23" t="e">
        <f>VLOOKUP(E725,Customers[],3,FALSE)</f>
        <v>#N/A</v>
      </c>
      <c r="H725" s="23" t="e">
        <f>VLOOKUP(E725,Customers[],4,FALSE)</f>
        <v>#N/A</v>
      </c>
      <c r="J725" s="29" t="e">
        <f>VLOOKUP(I725,PGStock[],2,FALSE)</f>
        <v>#N/A</v>
      </c>
      <c r="K725" s="30" t="e">
        <f>VLOOKUP(I725,PGStock[],3,FALSE)</f>
        <v>#N/A</v>
      </c>
      <c r="M725" s="62" t="e">
        <f>VLOOKUP(I725,PGStock[],6,FALSE)</f>
        <v>#N/A</v>
      </c>
      <c r="N725" s="62" t="e">
        <f>+Table8[[#This Row],[SalesBot]]*Table8[[#This Row],[Bonus]]</f>
        <v>#N/A</v>
      </c>
    </row>
    <row r="726" spans="1:14" ht="23.25" customHeight="1" x14ac:dyDescent="0.25">
      <c r="A726" s="59">
        <f t="shared" si="84"/>
        <v>1900</v>
      </c>
      <c r="B726" s="59">
        <f t="shared" si="85"/>
        <v>1</v>
      </c>
      <c r="C726" s="60"/>
      <c r="D726" s="61"/>
      <c r="F726" s="23" t="e">
        <f>VLOOKUP(E726,Customers[],2,FALSE)</f>
        <v>#N/A</v>
      </c>
      <c r="G726" s="23" t="e">
        <f>VLOOKUP(E726,Customers[],3,FALSE)</f>
        <v>#N/A</v>
      </c>
      <c r="H726" s="23" t="e">
        <f>VLOOKUP(E726,Customers[],4,FALSE)</f>
        <v>#N/A</v>
      </c>
      <c r="J726" s="29" t="e">
        <f>VLOOKUP(I726,PGStock[],2,FALSE)</f>
        <v>#N/A</v>
      </c>
      <c r="K726" s="30" t="e">
        <f>VLOOKUP(I726,PGStock[],3,FALSE)</f>
        <v>#N/A</v>
      </c>
      <c r="M726" s="62" t="e">
        <f>VLOOKUP(I726,PGStock[],6,FALSE)</f>
        <v>#N/A</v>
      </c>
      <c r="N726" s="62" t="e">
        <f>+Table8[[#This Row],[SalesBot]]*Table8[[#This Row],[Bonus]]</f>
        <v>#N/A</v>
      </c>
    </row>
    <row r="727" spans="1:14" ht="23.25" customHeight="1" x14ac:dyDescent="0.25">
      <c r="A727" s="59">
        <f t="shared" si="84"/>
        <v>1900</v>
      </c>
      <c r="B727" s="59">
        <f t="shared" si="85"/>
        <v>1</v>
      </c>
      <c r="C727" s="60"/>
      <c r="D727" s="61"/>
      <c r="F727" s="23" t="e">
        <f>VLOOKUP(E727,Customers[],2,FALSE)</f>
        <v>#N/A</v>
      </c>
      <c r="G727" s="23" t="e">
        <f>VLOOKUP(E727,Customers[],3,FALSE)</f>
        <v>#N/A</v>
      </c>
      <c r="H727" s="23" t="e">
        <f>VLOOKUP(E727,Customers[],4,FALSE)</f>
        <v>#N/A</v>
      </c>
      <c r="J727" s="29" t="e">
        <f>VLOOKUP(I727,PGStock[],2,FALSE)</f>
        <v>#N/A</v>
      </c>
      <c r="K727" s="30" t="e">
        <f>VLOOKUP(I727,PGStock[],3,FALSE)</f>
        <v>#N/A</v>
      </c>
      <c r="M727" s="62" t="e">
        <f>VLOOKUP(I727,PGStock[],6,FALSE)</f>
        <v>#N/A</v>
      </c>
      <c r="N727" s="62" t="e">
        <f>+Table8[[#This Row],[SalesBot]]*Table8[[#This Row],[Bonus]]</f>
        <v>#N/A</v>
      </c>
    </row>
    <row r="728" spans="1:14" ht="23.25" customHeight="1" x14ac:dyDescent="0.25">
      <c r="A728" s="59">
        <f t="shared" si="84"/>
        <v>1900</v>
      </c>
      <c r="B728" s="59">
        <f t="shared" si="85"/>
        <v>1</v>
      </c>
      <c r="C728" s="60"/>
      <c r="D728" s="61"/>
      <c r="F728" s="23" t="e">
        <f>VLOOKUP(E728,Customers[],2,FALSE)</f>
        <v>#N/A</v>
      </c>
      <c r="G728" s="23" t="e">
        <f>VLOOKUP(E728,Customers[],3,FALSE)</f>
        <v>#N/A</v>
      </c>
      <c r="H728" s="23" t="e">
        <f>VLOOKUP(E728,Customers[],4,FALSE)</f>
        <v>#N/A</v>
      </c>
      <c r="J728" s="29" t="e">
        <f>VLOOKUP(I728,PGStock[],2,FALSE)</f>
        <v>#N/A</v>
      </c>
      <c r="K728" s="30" t="e">
        <f>VLOOKUP(I728,PGStock[],3,FALSE)</f>
        <v>#N/A</v>
      </c>
      <c r="M728" s="62" t="e">
        <f>VLOOKUP(I728,PGStock[],6,FALSE)</f>
        <v>#N/A</v>
      </c>
      <c r="N728" s="62" t="e">
        <f>+Table8[[#This Row],[SalesBot]]*Table8[[#This Row],[Bonus]]</f>
        <v>#N/A</v>
      </c>
    </row>
    <row r="729" spans="1:14" ht="23.25" customHeight="1" x14ac:dyDescent="0.25">
      <c r="A729" s="59">
        <f t="shared" si="84"/>
        <v>1900</v>
      </c>
      <c r="B729" s="59">
        <f t="shared" si="85"/>
        <v>1</v>
      </c>
      <c r="C729" s="60"/>
      <c r="D729" s="61"/>
      <c r="F729" s="23" t="e">
        <f>VLOOKUP(E729,Customers[],2,FALSE)</f>
        <v>#N/A</v>
      </c>
      <c r="G729" s="23" t="e">
        <f>VLOOKUP(E729,Customers[],3,FALSE)</f>
        <v>#N/A</v>
      </c>
      <c r="H729" s="23" t="e">
        <f>VLOOKUP(E729,Customers[],4,FALSE)</f>
        <v>#N/A</v>
      </c>
      <c r="J729" s="29" t="e">
        <f>VLOOKUP(I729,PGStock[],2,FALSE)</f>
        <v>#N/A</v>
      </c>
      <c r="K729" s="30" t="e">
        <f>VLOOKUP(I729,PGStock[],3,FALSE)</f>
        <v>#N/A</v>
      </c>
      <c r="M729" s="62" t="e">
        <f>VLOOKUP(I729,PGStock[],6,FALSE)</f>
        <v>#N/A</v>
      </c>
      <c r="N729" s="62" t="e">
        <f>+Table8[[#This Row],[SalesBot]]*Table8[[#This Row],[Bonus]]</f>
        <v>#N/A</v>
      </c>
    </row>
    <row r="730" spans="1:14" ht="23.25" customHeight="1" x14ac:dyDescent="0.25">
      <c r="A730" s="59">
        <f t="shared" si="84"/>
        <v>1900</v>
      </c>
      <c r="B730" s="59">
        <f t="shared" si="85"/>
        <v>1</v>
      </c>
      <c r="C730" s="60"/>
      <c r="D730" s="61"/>
      <c r="F730" s="23" t="e">
        <f>VLOOKUP(E730,Customers[],2,FALSE)</f>
        <v>#N/A</v>
      </c>
      <c r="G730" s="23" t="e">
        <f>VLOOKUP(E730,Customers[],3,FALSE)</f>
        <v>#N/A</v>
      </c>
      <c r="H730" s="23" t="e">
        <f>VLOOKUP(E730,Customers[],4,FALSE)</f>
        <v>#N/A</v>
      </c>
      <c r="J730" s="29" t="e">
        <f>VLOOKUP(I730,PGStock[],2,FALSE)</f>
        <v>#N/A</v>
      </c>
      <c r="K730" s="30" t="e">
        <f>VLOOKUP(I730,PGStock[],3,FALSE)</f>
        <v>#N/A</v>
      </c>
      <c r="M730" s="62" t="e">
        <f>VLOOKUP(I730,PGStock[],6,FALSE)</f>
        <v>#N/A</v>
      </c>
      <c r="N730" s="62" t="e">
        <f>+Table8[[#This Row],[SalesBot]]*Table8[[#This Row],[Bonus]]</f>
        <v>#N/A</v>
      </c>
    </row>
    <row r="731" spans="1:14" ht="23.25" customHeight="1" x14ac:dyDescent="0.25">
      <c r="A731" s="59">
        <f t="shared" si="84"/>
        <v>1900</v>
      </c>
      <c r="B731" s="59">
        <f t="shared" si="85"/>
        <v>1</v>
      </c>
      <c r="C731" s="60"/>
      <c r="D731" s="61"/>
      <c r="F731" s="23" t="e">
        <f>VLOOKUP(E731,Customers[],2,FALSE)</f>
        <v>#N/A</v>
      </c>
      <c r="G731" s="23" t="e">
        <f>VLOOKUP(E731,Customers[],3,FALSE)</f>
        <v>#N/A</v>
      </c>
      <c r="H731" s="23" t="e">
        <f>VLOOKUP(E731,Customers[],4,FALSE)</f>
        <v>#N/A</v>
      </c>
      <c r="J731" s="29" t="e">
        <f>VLOOKUP(I731,PGStock[],2,FALSE)</f>
        <v>#N/A</v>
      </c>
      <c r="K731" s="30" t="e">
        <f>VLOOKUP(I731,PGStock[],3,FALSE)</f>
        <v>#N/A</v>
      </c>
      <c r="M731" s="62" t="e">
        <f>VLOOKUP(I731,PGStock[],6,FALSE)</f>
        <v>#N/A</v>
      </c>
      <c r="N731" s="62" t="e">
        <f>+Table8[[#This Row],[SalesBot]]*Table8[[#This Row],[Bonus]]</f>
        <v>#N/A</v>
      </c>
    </row>
    <row r="732" spans="1:14" ht="23.25" customHeight="1" x14ac:dyDescent="0.25">
      <c r="A732" s="59">
        <f t="shared" si="84"/>
        <v>1900</v>
      </c>
      <c r="B732" s="59">
        <f t="shared" si="85"/>
        <v>1</v>
      </c>
      <c r="C732" s="60"/>
      <c r="D732" s="61"/>
      <c r="F732" s="23" t="e">
        <f>VLOOKUP(E732,Customers[],2,FALSE)</f>
        <v>#N/A</v>
      </c>
      <c r="G732" s="23" t="e">
        <f>VLOOKUP(E732,Customers[],3,FALSE)</f>
        <v>#N/A</v>
      </c>
      <c r="H732" s="23" t="e">
        <f>VLOOKUP(E732,Customers[],4,FALSE)</f>
        <v>#N/A</v>
      </c>
      <c r="J732" s="29" t="e">
        <f>VLOOKUP(I732,PGStock[],2,FALSE)</f>
        <v>#N/A</v>
      </c>
      <c r="K732" s="30" t="e">
        <f>VLOOKUP(I732,PGStock[],3,FALSE)</f>
        <v>#N/A</v>
      </c>
      <c r="M732" s="62" t="e">
        <f>VLOOKUP(I732,PGStock[],6,FALSE)</f>
        <v>#N/A</v>
      </c>
      <c r="N732" s="62" t="e">
        <f>+Table8[[#This Row],[SalesBot]]*Table8[[#This Row],[Bonus]]</f>
        <v>#N/A</v>
      </c>
    </row>
    <row r="733" spans="1:14" ht="23.25" customHeight="1" x14ac:dyDescent="0.25">
      <c r="A733" s="59">
        <f t="shared" si="84"/>
        <v>1900</v>
      </c>
      <c r="B733" s="59">
        <f t="shared" si="85"/>
        <v>1</v>
      </c>
      <c r="C733" s="60"/>
      <c r="D733" s="61"/>
      <c r="F733" s="23" t="e">
        <f>VLOOKUP(E733,Customers[],2,FALSE)</f>
        <v>#N/A</v>
      </c>
      <c r="G733" s="23" t="e">
        <f>VLOOKUP(E733,Customers[],3,FALSE)</f>
        <v>#N/A</v>
      </c>
      <c r="H733" s="23" t="e">
        <f>VLOOKUP(E733,Customers[],4,FALSE)</f>
        <v>#N/A</v>
      </c>
      <c r="J733" s="29" t="e">
        <f>VLOOKUP(I733,PGStock[],2,FALSE)</f>
        <v>#N/A</v>
      </c>
      <c r="K733" s="30" t="e">
        <f>VLOOKUP(I733,PGStock[],3,FALSE)</f>
        <v>#N/A</v>
      </c>
      <c r="M733" s="62" t="e">
        <f>VLOOKUP(I733,PGStock[],6,FALSE)</f>
        <v>#N/A</v>
      </c>
      <c r="N733" s="62" t="e">
        <f>+Table8[[#This Row],[SalesBot]]*Table8[[#This Row],[Bonus]]</f>
        <v>#N/A</v>
      </c>
    </row>
    <row r="734" spans="1:14" ht="23.25" customHeight="1" x14ac:dyDescent="0.25">
      <c r="A734" s="59">
        <f t="shared" si="84"/>
        <v>1900</v>
      </c>
      <c r="B734" s="59">
        <f t="shared" si="85"/>
        <v>1</v>
      </c>
      <c r="C734" s="60"/>
      <c r="D734" s="61"/>
      <c r="F734" s="23" t="e">
        <f>VLOOKUP(E734,Customers[],2,FALSE)</f>
        <v>#N/A</v>
      </c>
      <c r="G734" s="23" t="e">
        <f>VLOOKUP(E734,Customers[],3,FALSE)</f>
        <v>#N/A</v>
      </c>
      <c r="H734" s="23" t="e">
        <f>VLOOKUP(E734,Customers[],4,FALSE)</f>
        <v>#N/A</v>
      </c>
      <c r="J734" s="29" t="e">
        <f>VLOOKUP(I734,PGStock[],2,FALSE)</f>
        <v>#N/A</v>
      </c>
      <c r="K734" s="30" t="e">
        <f>VLOOKUP(I734,PGStock[],3,FALSE)</f>
        <v>#N/A</v>
      </c>
      <c r="M734" s="62" t="e">
        <f>VLOOKUP(I734,PGStock[],6,FALSE)</f>
        <v>#N/A</v>
      </c>
      <c r="N734" s="62" t="e">
        <f>+Table8[[#This Row],[SalesBot]]*Table8[[#This Row],[Bonus]]</f>
        <v>#N/A</v>
      </c>
    </row>
    <row r="735" spans="1:14" ht="23.25" customHeight="1" x14ac:dyDescent="0.25">
      <c r="A735" s="59">
        <f t="shared" si="84"/>
        <v>1900</v>
      </c>
      <c r="B735" s="59">
        <f t="shared" si="85"/>
        <v>1</v>
      </c>
      <c r="C735" s="60"/>
      <c r="D735" s="61"/>
      <c r="F735" s="23" t="e">
        <f>VLOOKUP(E735,Customers[],2,FALSE)</f>
        <v>#N/A</v>
      </c>
      <c r="G735" s="23" t="e">
        <f>VLOOKUP(E735,Customers[],3,FALSE)</f>
        <v>#N/A</v>
      </c>
      <c r="H735" s="23" t="e">
        <f>VLOOKUP(E735,Customers[],4,FALSE)</f>
        <v>#N/A</v>
      </c>
      <c r="J735" s="29" t="e">
        <f>VLOOKUP(I735,PGStock[],2,FALSE)</f>
        <v>#N/A</v>
      </c>
      <c r="K735" s="30" t="e">
        <f>VLOOKUP(I735,PGStock[],3,FALSE)</f>
        <v>#N/A</v>
      </c>
      <c r="M735" s="62" t="e">
        <f>VLOOKUP(I735,PGStock[],6,FALSE)</f>
        <v>#N/A</v>
      </c>
      <c r="N735" s="62" t="e">
        <f>+Table8[[#This Row],[SalesBot]]*Table8[[#This Row],[Bonus]]</f>
        <v>#N/A</v>
      </c>
    </row>
    <row r="736" spans="1:14" ht="23.25" customHeight="1" x14ac:dyDescent="0.25">
      <c r="A736" s="59">
        <f t="shared" si="84"/>
        <v>1900</v>
      </c>
      <c r="B736" s="59">
        <f t="shared" si="85"/>
        <v>1</v>
      </c>
      <c r="C736" s="60"/>
      <c r="D736" s="61"/>
      <c r="F736" s="23" t="e">
        <f>VLOOKUP(E736,Customers[],2,FALSE)</f>
        <v>#N/A</v>
      </c>
      <c r="G736" s="23" t="e">
        <f>VLOOKUP(E736,Customers[],3,FALSE)</f>
        <v>#N/A</v>
      </c>
      <c r="H736" s="23" t="e">
        <f>VLOOKUP(E736,Customers[],4,FALSE)</f>
        <v>#N/A</v>
      </c>
      <c r="J736" s="29" t="e">
        <f>VLOOKUP(I736,PGStock[],2,FALSE)</f>
        <v>#N/A</v>
      </c>
      <c r="K736" s="30" t="e">
        <f>VLOOKUP(I736,PGStock[],3,FALSE)</f>
        <v>#N/A</v>
      </c>
      <c r="M736" s="62" t="e">
        <f>VLOOKUP(I736,PGStock[],6,FALSE)</f>
        <v>#N/A</v>
      </c>
      <c r="N736" s="62" t="e">
        <f>+Table8[[#This Row],[SalesBot]]*Table8[[#This Row],[Bonus]]</f>
        <v>#N/A</v>
      </c>
    </row>
    <row r="737" spans="1:14" ht="23.25" customHeight="1" x14ac:dyDescent="0.25">
      <c r="A737" s="59">
        <f t="shared" si="84"/>
        <v>1900</v>
      </c>
      <c r="B737" s="59">
        <f t="shared" si="85"/>
        <v>1</v>
      </c>
      <c r="C737" s="60"/>
      <c r="D737" s="61"/>
      <c r="F737" s="23" t="e">
        <f>VLOOKUP(E737,Customers[],2,FALSE)</f>
        <v>#N/A</v>
      </c>
      <c r="G737" s="23" t="e">
        <f>VLOOKUP(E737,Customers[],3,FALSE)</f>
        <v>#N/A</v>
      </c>
      <c r="H737" s="23" t="e">
        <f>VLOOKUP(E737,Customers[],4,FALSE)</f>
        <v>#N/A</v>
      </c>
      <c r="J737" s="29" t="e">
        <f>VLOOKUP(I737,PGStock[],2,FALSE)</f>
        <v>#N/A</v>
      </c>
      <c r="K737" s="30" t="e">
        <f>VLOOKUP(I737,PGStock[],3,FALSE)</f>
        <v>#N/A</v>
      </c>
      <c r="M737" s="62" t="e">
        <f>VLOOKUP(I737,PGStock[],6,FALSE)</f>
        <v>#N/A</v>
      </c>
      <c r="N737" s="62" t="e">
        <f>+Table8[[#This Row],[SalesBot]]*Table8[[#This Row],[Bonus]]</f>
        <v>#N/A</v>
      </c>
    </row>
    <row r="738" spans="1:14" ht="23.25" customHeight="1" x14ac:dyDescent="0.25">
      <c r="A738" s="59">
        <f t="shared" si="84"/>
        <v>1900</v>
      </c>
      <c r="B738" s="59">
        <f t="shared" si="85"/>
        <v>1</v>
      </c>
      <c r="C738" s="60"/>
      <c r="D738" s="61"/>
      <c r="F738" s="23" t="e">
        <f>VLOOKUP(E738,Customers[],2,FALSE)</f>
        <v>#N/A</v>
      </c>
      <c r="G738" s="23" t="e">
        <f>VLOOKUP(E738,Customers[],3,FALSE)</f>
        <v>#N/A</v>
      </c>
      <c r="H738" s="23" t="e">
        <f>VLOOKUP(E738,Customers[],4,FALSE)</f>
        <v>#N/A</v>
      </c>
      <c r="J738" s="29" t="e">
        <f>VLOOKUP(I738,PGStock[],2,FALSE)</f>
        <v>#N/A</v>
      </c>
      <c r="K738" s="30" t="e">
        <f>VLOOKUP(I738,PGStock[],3,FALSE)</f>
        <v>#N/A</v>
      </c>
      <c r="M738" s="62" t="e">
        <f>VLOOKUP(I738,PGStock[],6,FALSE)</f>
        <v>#N/A</v>
      </c>
      <c r="N738" s="62" t="e">
        <f>+Table8[[#This Row],[SalesBot]]*Table8[[#This Row],[Bonus]]</f>
        <v>#N/A</v>
      </c>
    </row>
    <row r="739" spans="1:14" ht="23.25" customHeight="1" x14ac:dyDescent="0.25">
      <c r="A739" s="59">
        <f t="shared" si="84"/>
        <v>1900</v>
      </c>
      <c r="B739" s="59">
        <f t="shared" si="85"/>
        <v>1</v>
      </c>
      <c r="C739" s="60"/>
      <c r="D739" s="61"/>
      <c r="F739" s="23" t="e">
        <f>VLOOKUP(E739,Customers[],2,FALSE)</f>
        <v>#N/A</v>
      </c>
      <c r="G739" s="23" t="e">
        <f>VLOOKUP(E739,Customers[],3,FALSE)</f>
        <v>#N/A</v>
      </c>
      <c r="H739" s="23" t="e">
        <f>VLOOKUP(E739,Customers[],4,FALSE)</f>
        <v>#N/A</v>
      </c>
      <c r="J739" s="29" t="e">
        <f>VLOOKUP(I739,PGStock[],2,FALSE)</f>
        <v>#N/A</v>
      </c>
      <c r="K739" s="30" t="e">
        <f>VLOOKUP(I739,PGStock[],3,FALSE)</f>
        <v>#N/A</v>
      </c>
      <c r="M739" s="62" t="e">
        <f>VLOOKUP(I739,PGStock[],6,FALSE)</f>
        <v>#N/A</v>
      </c>
      <c r="N739" s="62" t="e">
        <f>+Table8[[#This Row],[SalesBot]]*Table8[[#This Row],[Bonus]]</f>
        <v>#N/A</v>
      </c>
    </row>
    <row r="740" spans="1:14" ht="23.25" customHeight="1" x14ac:dyDescent="0.25">
      <c r="A740" s="59">
        <f t="shared" si="84"/>
        <v>1900</v>
      </c>
      <c r="B740" s="59">
        <f t="shared" si="85"/>
        <v>1</v>
      </c>
      <c r="C740" s="60"/>
      <c r="D740" s="61"/>
      <c r="F740" s="23" t="e">
        <f>VLOOKUP(E740,Customers[],2,FALSE)</f>
        <v>#N/A</v>
      </c>
      <c r="G740" s="23" t="e">
        <f>VLOOKUP(E740,Customers[],3,FALSE)</f>
        <v>#N/A</v>
      </c>
      <c r="H740" s="23" t="e">
        <f>VLOOKUP(E740,Customers[],4,FALSE)</f>
        <v>#N/A</v>
      </c>
      <c r="J740" s="29" t="e">
        <f>VLOOKUP(I740,PGStock[],2,FALSE)</f>
        <v>#N/A</v>
      </c>
      <c r="K740" s="30" t="e">
        <f>VLOOKUP(I740,PGStock[],3,FALSE)</f>
        <v>#N/A</v>
      </c>
      <c r="M740" s="62" t="e">
        <f>VLOOKUP(I740,PGStock[],6,FALSE)</f>
        <v>#N/A</v>
      </c>
      <c r="N740" s="62" t="e">
        <f>+Table8[[#This Row],[SalesBot]]*Table8[[#This Row],[Bonus]]</f>
        <v>#N/A</v>
      </c>
    </row>
    <row r="741" spans="1:14" ht="23.25" customHeight="1" x14ac:dyDescent="0.25">
      <c r="A741" s="59">
        <f t="shared" si="84"/>
        <v>1900</v>
      </c>
      <c r="B741" s="59">
        <f t="shared" si="85"/>
        <v>1</v>
      </c>
      <c r="C741" s="60"/>
      <c r="D741" s="61"/>
      <c r="F741" s="23" t="e">
        <f>VLOOKUP(E741,Customers[],2,FALSE)</f>
        <v>#N/A</v>
      </c>
      <c r="G741" s="23" t="e">
        <f>VLOOKUP(E741,Customers[],3,FALSE)</f>
        <v>#N/A</v>
      </c>
      <c r="H741" s="23" t="e">
        <f>VLOOKUP(E741,Customers[],4,FALSE)</f>
        <v>#N/A</v>
      </c>
      <c r="J741" s="29" t="e">
        <f>VLOOKUP(I741,PGStock[],2,FALSE)</f>
        <v>#N/A</v>
      </c>
      <c r="K741" s="30" t="e">
        <f>VLOOKUP(I741,PGStock[],3,FALSE)</f>
        <v>#N/A</v>
      </c>
      <c r="M741" s="62" t="e">
        <f>VLOOKUP(I741,PGStock[],6,FALSE)</f>
        <v>#N/A</v>
      </c>
      <c r="N741" s="62" t="e">
        <f>+Table8[[#This Row],[SalesBot]]*Table8[[#This Row],[Bonus]]</f>
        <v>#N/A</v>
      </c>
    </row>
    <row r="742" spans="1:14" ht="23.25" customHeight="1" x14ac:dyDescent="0.25">
      <c r="A742" s="59">
        <f t="shared" si="84"/>
        <v>1900</v>
      </c>
      <c r="B742" s="59">
        <f t="shared" si="85"/>
        <v>1</v>
      </c>
      <c r="C742" s="60"/>
      <c r="D742" s="61"/>
      <c r="F742" s="23" t="e">
        <f>VLOOKUP(E742,Customers[],2,FALSE)</f>
        <v>#N/A</v>
      </c>
      <c r="G742" s="23" t="e">
        <f>VLOOKUP(E742,Customers[],3,FALSE)</f>
        <v>#N/A</v>
      </c>
      <c r="H742" s="23" t="e">
        <f>VLOOKUP(E742,Customers[],4,FALSE)</f>
        <v>#N/A</v>
      </c>
      <c r="J742" s="29" t="e">
        <f>VLOOKUP(I742,PGStock[],2,FALSE)</f>
        <v>#N/A</v>
      </c>
      <c r="K742" s="30" t="e">
        <f>VLOOKUP(I742,PGStock[],3,FALSE)</f>
        <v>#N/A</v>
      </c>
      <c r="M742" s="62" t="e">
        <f>VLOOKUP(I742,PGStock[],6,FALSE)</f>
        <v>#N/A</v>
      </c>
      <c r="N742" s="62" t="e">
        <f>+Table8[[#This Row],[SalesBot]]*Table8[[#This Row],[Bonus]]</f>
        <v>#N/A</v>
      </c>
    </row>
    <row r="743" spans="1:14" ht="23.25" customHeight="1" x14ac:dyDescent="0.25">
      <c r="A743" s="59">
        <f t="shared" si="84"/>
        <v>1900</v>
      </c>
      <c r="B743" s="59">
        <f t="shared" si="85"/>
        <v>1</v>
      </c>
      <c r="C743" s="60"/>
      <c r="D743" s="61"/>
      <c r="F743" s="23" t="e">
        <f>VLOOKUP(E743,Customers[],2,FALSE)</f>
        <v>#N/A</v>
      </c>
      <c r="G743" s="23" t="e">
        <f>VLOOKUP(E743,Customers[],3,FALSE)</f>
        <v>#N/A</v>
      </c>
      <c r="H743" s="23" t="e">
        <f>VLOOKUP(E743,Customers[],4,FALSE)</f>
        <v>#N/A</v>
      </c>
      <c r="J743" s="29" t="e">
        <f>VLOOKUP(I743,PGStock[],2,FALSE)</f>
        <v>#N/A</v>
      </c>
      <c r="K743" s="30" t="e">
        <f>VLOOKUP(I743,PGStock[],3,FALSE)</f>
        <v>#N/A</v>
      </c>
      <c r="M743" s="62" t="e">
        <f>VLOOKUP(I743,PGStock[],6,FALSE)</f>
        <v>#N/A</v>
      </c>
      <c r="N743" s="62" t="e">
        <f>+Table8[[#This Row],[SalesBot]]*Table8[[#This Row],[Bonus]]</f>
        <v>#N/A</v>
      </c>
    </row>
    <row r="744" spans="1:14" ht="23.25" customHeight="1" x14ac:dyDescent="0.25">
      <c r="A744" s="59">
        <f t="shared" si="84"/>
        <v>1900</v>
      </c>
      <c r="B744" s="59">
        <f t="shared" si="85"/>
        <v>1</v>
      </c>
      <c r="C744" s="60"/>
      <c r="D744" s="61"/>
      <c r="F744" s="23" t="e">
        <f>VLOOKUP(E744,Customers[],2,FALSE)</f>
        <v>#N/A</v>
      </c>
      <c r="G744" s="23" t="e">
        <f>VLOOKUP(E744,Customers[],3,FALSE)</f>
        <v>#N/A</v>
      </c>
      <c r="H744" s="23" t="e">
        <f>VLOOKUP(E744,Customers[],4,FALSE)</f>
        <v>#N/A</v>
      </c>
      <c r="J744" s="29" t="e">
        <f>VLOOKUP(I744,PGStock[],2,FALSE)</f>
        <v>#N/A</v>
      </c>
      <c r="K744" s="30" t="e">
        <f>VLOOKUP(I744,PGStock[],3,FALSE)</f>
        <v>#N/A</v>
      </c>
      <c r="M744" s="62" t="e">
        <f>VLOOKUP(I744,PGStock[],6,FALSE)</f>
        <v>#N/A</v>
      </c>
      <c r="N744" s="62" t="e">
        <f>+Table8[[#This Row],[SalesBot]]*Table8[[#This Row],[Bonus]]</f>
        <v>#N/A</v>
      </c>
    </row>
    <row r="745" spans="1:14" ht="23.25" customHeight="1" x14ac:dyDescent="0.25">
      <c r="A745" s="59">
        <f t="shared" si="84"/>
        <v>1900</v>
      </c>
      <c r="B745" s="59">
        <f t="shared" si="85"/>
        <v>1</v>
      </c>
      <c r="C745" s="60"/>
      <c r="D745" s="61"/>
      <c r="F745" s="23" t="e">
        <f>VLOOKUP(E745,Customers[],2,FALSE)</f>
        <v>#N/A</v>
      </c>
      <c r="G745" s="23" t="e">
        <f>VLOOKUP(E745,Customers[],3,FALSE)</f>
        <v>#N/A</v>
      </c>
      <c r="H745" s="23" t="e">
        <f>VLOOKUP(E745,Customers[],4,FALSE)</f>
        <v>#N/A</v>
      </c>
      <c r="J745" s="29" t="e">
        <f>VLOOKUP(I745,PGStock[],2,FALSE)</f>
        <v>#N/A</v>
      </c>
      <c r="K745" s="30" t="e">
        <f>VLOOKUP(I745,PGStock[],3,FALSE)</f>
        <v>#N/A</v>
      </c>
      <c r="M745" s="62" t="e">
        <f>VLOOKUP(I745,PGStock[],6,FALSE)</f>
        <v>#N/A</v>
      </c>
      <c r="N745" s="62" t="e">
        <f>+Table8[[#This Row],[SalesBot]]*Table8[[#This Row],[Bonus]]</f>
        <v>#N/A</v>
      </c>
    </row>
    <row r="746" spans="1:14" ht="23.25" customHeight="1" x14ac:dyDescent="0.25">
      <c r="A746" s="59">
        <f t="shared" si="84"/>
        <v>1900</v>
      </c>
      <c r="B746" s="59">
        <f t="shared" si="85"/>
        <v>1</v>
      </c>
      <c r="C746" s="60"/>
      <c r="D746" s="61"/>
      <c r="F746" s="23" t="e">
        <f>VLOOKUP(E746,Customers[],2,FALSE)</f>
        <v>#N/A</v>
      </c>
      <c r="G746" s="23" t="e">
        <f>VLOOKUP(E746,Customers[],3,FALSE)</f>
        <v>#N/A</v>
      </c>
      <c r="H746" s="23" t="e">
        <f>VLOOKUP(E746,Customers[],4,FALSE)</f>
        <v>#N/A</v>
      </c>
      <c r="J746" s="29" t="e">
        <f>VLOOKUP(I746,PGStock[],2,FALSE)</f>
        <v>#N/A</v>
      </c>
      <c r="K746" s="30" t="e">
        <f>VLOOKUP(I746,PGStock[],3,FALSE)</f>
        <v>#N/A</v>
      </c>
      <c r="M746" s="62" t="e">
        <f>VLOOKUP(I746,PGStock[],6,FALSE)</f>
        <v>#N/A</v>
      </c>
      <c r="N746" s="62" t="e">
        <f>+Table8[[#This Row],[SalesBot]]*Table8[[#This Row],[Bonus]]</f>
        <v>#N/A</v>
      </c>
    </row>
    <row r="747" spans="1:14" ht="23.25" customHeight="1" x14ac:dyDescent="0.25">
      <c r="A747" s="59">
        <f t="shared" si="84"/>
        <v>1900</v>
      </c>
      <c r="B747" s="59">
        <f t="shared" si="85"/>
        <v>1</v>
      </c>
      <c r="C747" s="60"/>
      <c r="D747" s="61"/>
      <c r="F747" s="23" t="e">
        <f>VLOOKUP(E747,Customers[],2,FALSE)</f>
        <v>#N/A</v>
      </c>
      <c r="G747" s="23" t="e">
        <f>VLOOKUP(E747,Customers[],3,FALSE)</f>
        <v>#N/A</v>
      </c>
      <c r="H747" s="23" t="e">
        <f>VLOOKUP(E747,Customers[],4,FALSE)</f>
        <v>#N/A</v>
      </c>
      <c r="J747" s="29" t="e">
        <f>VLOOKUP(I747,PGStock[],2,FALSE)</f>
        <v>#N/A</v>
      </c>
      <c r="K747" s="30" t="e">
        <f>VLOOKUP(I747,PGStock[],3,FALSE)</f>
        <v>#N/A</v>
      </c>
      <c r="M747" s="62" t="e">
        <f>VLOOKUP(I747,PGStock[],6,FALSE)</f>
        <v>#N/A</v>
      </c>
      <c r="N747" s="62" t="e">
        <f>+Table8[[#This Row],[SalesBot]]*Table8[[#This Row],[Bonus]]</f>
        <v>#N/A</v>
      </c>
    </row>
    <row r="748" spans="1:14" ht="23.25" customHeight="1" x14ac:dyDescent="0.25">
      <c r="A748" s="59">
        <f t="shared" si="84"/>
        <v>1900</v>
      </c>
      <c r="B748" s="59">
        <f t="shared" si="85"/>
        <v>1</v>
      </c>
      <c r="C748" s="60"/>
      <c r="D748" s="61"/>
      <c r="F748" s="23" t="e">
        <f>VLOOKUP(E748,Customers[],2,FALSE)</f>
        <v>#N/A</v>
      </c>
      <c r="G748" s="23" t="e">
        <f>VLOOKUP(E748,Customers[],3,FALSE)</f>
        <v>#N/A</v>
      </c>
      <c r="H748" s="23" t="e">
        <f>VLOOKUP(E748,Customers[],4,FALSE)</f>
        <v>#N/A</v>
      </c>
      <c r="J748" s="29" t="e">
        <f>VLOOKUP(I748,PGStock[],2,FALSE)</f>
        <v>#N/A</v>
      </c>
      <c r="K748" s="30" t="e">
        <f>VLOOKUP(I748,PGStock[],3,FALSE)</f>
        <v>#N/A</v>
      </c>
      <c r="M748" s="62" t="e">
        <f>VLOOKUP(I748,PGStock[],6,FALSE)</f>
        <v>#N/A</v>
      </c>
      <c r="N748" s="62" t="e">
        <f>+Table8[[#This Row],[SalesBot]]*Table8[[#This Row],[Bonus]]</f>
        <v>#N/A</v>
      </c>
    </row>
    <row r="749" spans="1:14" ht="23.25" customHeight="1" x14ac:dyDescent="0.25">
      <c r="A749" s="59">
        <f t="shared" si="84"/>
        <v>1900</v>
      </c>
      <c r="B749" s="59">
        <f t="shared" si="85"/>
        <v>1</v>
      </c>
      <c r="C749" s="60"/>
      <c r="D749" s="61"/>
      <c r="F749" s="23" t="e">
        <f>VLOOKUP(E749,Customers[],2,FALSE)</f>
        <v>#N/A</v>
      </c>
      <c r="G749" s="23" t="e">
        <f>VLOOKUP(E749,Customers[],3,FALSE)</f>
        <v>#N/A</v>
      </c>
      <c r="H749" s="23" t="e">
        <f>VLOOKUP(E749,Customers[],4,FALSE)</f>
        <v>#N/A</v>
      </c>
      <c r="J749" s="29" t="e">
        <f>VLOOKUP(I749,PGStock[],2,FALSE)</f>
        <v>#N/A</v>
      </c>
      <c r="K749" s="30" t="e">
        <f>VLOOKUP(I749,PGStock[],3,FALSE)</f>
        <v>#N/A</v>
      </c>
      <c r="M749" s="62" t="e">
        <f>VLOOKUP(I749,PGStock[],6,FALSE)</f>
        <v>#N/A</v>
      </c>
      <c r="N749" s="62" t="e">
        <f>+Table8[[#This Row],[SalesBot]]*Table8[[#This Row],[Bonus]]</f>
        <v>#N/A</v>
      </c>
    </row>
    <row r="750" spans="1:14" ht="23.25" customHeight="1" x14ac:dyDescent="0.25">
      <c r="A750" s="59">
        <f t="shared" ref="A750:A781" si="86">YEAR(C750)</f>
        <v>1900</v>
      </c>
      <c r="B750" s="59">
        <f t="shared" ref="B750:B781" si="87">MONTH(C750)</f>
        <v>1</v>
      </c>
      <c r="C750" s="60"/>
      <c r="D750" s="61"/>
      <c r="F750" s="23" t="e">
        <f>VLOOKUP(E750,Customers[],2,FALSE)</f>
        <v>#N/A</v>
      </c>
      <c r="G750" s="23" t="e">
        <f>VLOOKUP(E750,Customers[],3,FALSE)</f>
        <v>#N/A</v>
      </c>
      <c r="H750" s="23" t="e">
        <f>VLOOKUP(E750,Customers[],4,FALSE)</f>
        <v>#N/A</v>
      </c>
      <c r="J750" s="29" t="e">
        <f>VLOOKUP(I750,PGStock[],2,FALSE)</f>
        <v>#N/A</v>
      </c>
      <c r="K750" s="30" t="e">
        <f>VLOOKUP(I750,PGStock[],3,FALSE)</f>
        <v>#N/A</v>
      </c>
      <c r="M750" s="62" t="e">
        <f>VLOOKUP(I750,PGStock[],6,FALSE)</f>
        <v>#N/A</v>
      </c>
      <c r="N750" s="62" t="e">
        <f>+Table8[[#This Row],[SalesBot]]*Table8[[#This Row],[Bonus]]</f>
        <v>#N/A</v>
      </c>
    </row>
    <row r="751" spans="1:14" ht="23.25" customHeight="1" x14ac:dyDescent="0.25">
      <c r="A751" s="59">
        <f t="shared" si="86"/>
        <v>1900</v>
      </c>
      <c r="B751" s="59">
        <f t="shared" si="87"/>
        <v>1</v>
      </c>
      <c r="C751" s="60"/>
      <c r="D751" s="61"/>
      <c r="F751" s="23" t="e">
        <f>VLOOKUP(E751,Customers[],2,FALSE)</f>
        <v>#N/A</v>
      </c>
      <c r="G751" s="23" t="e">
        <f>VLOOKUP(E751,Customers[],3,FALSE)</f>
        <v>#N/A</v>
      </c>
      <c r="H751" s="23" t="e">
        <f>VLOOKUP(E751,Customers[],4,FALSE)</f>
        <v>#N/A</v>
      </c>
      <c r="J751" s="29" t="e">
        <f>VLOOKUP(I751,PGStock[],2,FALSE)</f>
        <v>#N/A</v>
      </c>
      <c r="K751" s="30" t="e">
        <f>VLOOKUP(I751,PGStock[],3,FALSE)</f>
        <v>#N/A</v>
      </c>
      <c r="M751" s="62" t="e">
        <f>VLOOKUP(I751,PGStock[],6,FALSE)</f>
        <v>#N/A</v>
      </c>
      <c r="N751" s="62" t="e">
        <f>+Table8[[#This Row],[SalesBot]]*Table8[[#This Row],[Bonus]]</f>
        <v>#N/A</v>
      </c>
    </row>
    <row r="752" spans="1:14" ht="23.25" customHeight="1" x14ac:dyDescent="0.25">
      <c r="A752" s="59">
        <f t="shared" si="86"/>
        <v>1900</v>
      </c>
      <c r="B752" s="59">
        <f t="shared" si="87"/>
        <v>1</v>
      </c>
      <c r="C752" s="60"/>
      <c r="D752" s="61"/>
      <c r="F752" s="23" t="e">
        <f>VLOOKUP(E752,Customers[],2,FALSE)</f>
        <v>#N/A</v>
      </c>
      <c r="G752" s="23" t="e">
        <f>VLOOKUP(E752,Customers[],3,FALSE)</f>
        <v>#N/A</v>
      </c>
      <c r="H752" s="23" t="e">
        <f>VLOOKUP(E752,Customers[],4,FALSE)</f>
        <v>#N/A</v>
      </c>
      <c r="J752" s="29" t="e">
        <f>VLOOKUP(I752,PGStock[],2,FALSE)</f>
        <v>#N/A</v>
      </c>
      <c r="K752" s="30" t="e">
        <f>VLOOKUP(I752,PGStock[],3,FALSE)</f>
        <v>#N/A</v>
      </c>
      <c r="M752" s="62" t="e">
        <f>VLOOKUP(I752,PGStock[],6,FALSE)</f>
        <v>#N/A</v>
      </c>
      <c r="N752" s="62" t="e">
        <f>+Table8[[#This Row],[SalesBot]]*Table8[[#This Row],[Bonus]]</f>
        <v>#N/A</v>
      </c>
    </row>
    <row r="753" spans="1:14" ht="23.25" customHeight="1" x14ac:dyDescent="0.25">
      <c r="A753" s="59">
        <f t="shared" si="86"/>
        <v>1900</v>
      </c>
      <c r="B753" s="59">
        <f t="shared" si="87"/>
        <v>1</v>
      </c>
      <c r="C753" s="60"/>
      <c r="D753" s="61"/>
      <c r="F753" s="23" t="e">
        <f>VLOOKUP(E753,Customers[],2,FALSE)</f>
        <v>#N/A</v>
      </c>
      <c r="G753" s="23" t="e">
        <f>VLOOKUP(E753,Customers[],3,FALSE)</f>
        <v>#N/A</v>
      </c>
      <c r="H753" s="23" t="e">
        <f>VLOOKUP(E753,Customers[],4,FALSE)</f>
        <v>#N/A</v>
      </c>
      <c r="J753" s="29" t="e">
        <f>VLOOKUP(I753,PGStock[],2,FALSE)</f>
        <v>#N/A</v>
      </c>
      <c r="K753" s="30" t="e">
        <f>VLOOKUP(I753,PGStock[],3,FALSE)</f>
        <v>#N/A</v>
      </c>
      <c r="M753" s="62" t="e">
        <f>VLOOKUP(I753,PGStock[],6,FALSE)</f>
        <v>#N/A</v>
      </c>
      <c r="N753" s="62" t="e">
        <f>+Table8[[#This Row],[SalesBot]]*Table8[[#This Row],[Bonus]]</f>
        <v>#N/A</v>
      </c>
    </row>
    <row r="754" spans="1:14" ht="23.25" customHeight="1" x14ac:dyDescent="0.25">
      <c r="A754" s="59">
        <f t="shared" si="86"/>
        <v>1900</v>
      </c>
      <c r="B754" s="59">
        <f t="shared" si="87"/>
        <v>1</v>
      </c>
      <c r="C754" s="60"/>
      <c r="D754" s="61"/>
      <c r="F754" s="23" t="e">
        <f>VLOOKUP(E754,Customers[],2,FALSE)</f>
        <v>#N/A</v>
      </c>
      <c r="G754" s="23" t="e">
        <f>VLOOKUP(E754,Customers[],3,FALSE)</f>
        <v>#N/A</v>
      </c>
      <c r="H754" s="23" t="e">
        <f>VLOOKUP(E754,Customers[],4,FALSE)</f>
        <v>#N/A</v>
      </c>
      <c r="J754" s="29" t="e">
        <f>VLOOKUP(I754,PGStock[],2,FALSE)</f>
        <v>#N/A</v>
      </c>
      <c r="K754" s="30" t="e">
        <f>VLOOKUP(I754,PGStock[],3,FALSE)</f>
        <v>#N/A</v>
      </c>
      <c r="M754" s="62" t="e">
        <f>VLOOKUP(I754,PGStock[],6,FALSE)</f>
        <v>#N/A</v>
      </c>
      <c r="N754" s="62" t="e">
        <f>+Table8[[#This Row],[SalesBot]]*Table8[[#This Row],[Bonus]]</f>
        <v>#N/A</v>
      </c>
    </row>
    <row r="755" spans="1:14" ht="23.25" customHeight="1" x14ac:dyDescent="0.25">
      <c r="A755" s="59">
        <f t="shared" si="86"/>
        <v>1900</v>
      </c>
      <c r="B755" s="59">
        <f t="shared" si="87"/>
        <v>1</v>
      </c>
      <c r="C755" s="60"/>
      <c r="D755" s="61"/>
      <c r="F755" s="23" t="e">
        <f>VLOOKUP(E755,Customers[],2,FALSE)</f>
        <v>#N/A</v>
      </c>
      <c r="G755" s="23" t="e">
        <f>VLOOKUP(E755,Customers[],3,FALSE)</f>
        <v>#N/A</v>
      </c>
      <c r="H755" s="23" t="e">
        <f>VLOOKUP(E755,Customers[],4,FALSE)</f>
        <v>#N/A</v>
      </c>
      <c r="J755" s="29" t="e">
        <f>VLOOKUP(I755,PGStock[],2,FALSE)</f>
        <v>#N/A</v>
      </c>
      <c r="K755" s="30" t="e">
        <f>VLOOKUP(I755,PGStock[],3,FALSE)</f>
        <v>#N/A</v>
      </c>
      <c r="M755" s="62" t="e">
        <f>VLOOKUP(I755,PGStock[],6,FALSE)</f>
        <v>#N/A</v>
      </c>
      <c r="N755" s="62" t="e">
        <f>+Table8[[#This Row],[SalesBot]]*Table8[[#This Row],[Bonus]]</f>
        <v>#N/A</v>
      </c>
    </row>
    <row r="756" spans="1:14" ht="23.25" customHeight="1" x14ac:dyDescent="0.25">
      <c r="A756" s="59">
        <f t="shared" si="86"/>
        <v>1900</v>
      </c>
      <c r="B756" s="59">
        <f t="shared" si="87"/>
        <v>1</v>
      </c>
      <c r="C756" s="60"/>
      <c r="D756" s="61"/>
      <c r="F756" s="23" t="e">
        <f>VLOOKUP(E756,Customers[],2,FALSE)</f>
        <v>#N/A</v>
      </c>
      <c r="G756" s="23" t="e">
        <f>VLOOKUP(E756,Customers[],3,FALSE)</f>
        <v>#N/A</v>
      </c>
      <c r="H756" s="23" t="e">
        <f>VLOOKUP(E756,Customers[],4,FALSE)</f>
        <v>#N/A</v>
      </c>
      <c r="J756" s="29" t="e">
        <f>VLOOKUP(I756,PGStock[],2,FALSE)</f>
        <v>#N/A</v>
      </c>
      <c r="K756" s="30" t="e">
        <f>VLOOKUP(I756,PGStock[],3,FALSE)</f>
        <v>#N/A</v>
      </c>
      <c r="M756" s="62" t="e">
        <f>VLOOKUP(I756,PGStock[],6,FALSE)</f>
        <v>#N/A</v>
      </c>
      <c r="N756" s="62" t="e">
        <f>+Table8[[#This Row],[SalesBot]]*Table8[[#This Row],[Bonus]]</f>
        <v>#N/A</v>
      </c>
    </row>
    <row r="757" spans="1:14" ht="23.25" customHeight="1" x14ac:dyDescent="0.25">
      <c r="A757" s="59">
        <f t="shared" si="86"/>
        <v>1900</v>
      </c>
      <c r="B757" s="59">
        <f t="shared" si="87"/>
        <v>1</v>
      </c>
      <c r="C757" s="60"/>
      <c r="D757" s="61"/>
      <c r="F757" s="23" t="e">
        <f>VLOOKUP(E757,Customers[],2,FALSE)</f>
        <v>#N/A</v>
      </c>
      <c r="G757" s="23" t="e">
        <f>VLOOKUP(E757,Customers[],3,FALSE)</f>
        <v>#N/A</v>
      </c>
      <c r="H757" s="23" t="e">
        <f>VLOOKUP(E757,Customers[],4,FALSE)</f>
        <v>#N/A</v>
      </c>
      <c r="J757" s="29" t="e">
        <f>VLOOKUP(I757,PGStock[],2,FALSE)</f>
        <v>#N/A</v>
      </c>
      <c r="K757" s="30" t="e">
        <f>VLOOKUP(I757,PGStock[],3,FALSE)</f>
        <v>#N/A</v>
      </c>
      <c r="M757" s="62" t="e">
        <f>VLOOKUP(I757,PGStock[],6,FALSE)</f>
        <v>#N/A</v>
      </c>
      <c r="N757" s="62" t="e">
        <f>+Table8[[#This Row],[SalesBot]]*Table8[[#This Row],[Bonus]]</f>
        <v>#N/A</v>
      </c>
    </row>
    <row r="758" spans="1:14" ht="23.25" customHeight="1" x14ac:dyDescent="0.25">
      <c r="A758" s="59">
        <f t="shared" si="86"/>
        <v>1900</v>
      </c>
      <c r="B758" s="59">
        <f t="shared" si="87"/>
        <v>1</v>
      </c>
      <c r="C758" s="60"/>
      <c r="D758" s="61"/>
      <c r="F758" s="23" t="e">
        <f>VLOOKUP(E758,Customers[],2,FALSE)</f>
        <v>#N/A</v>
      </c>
      <c r="G758" s="23" t="e">
        <f>VLOOKUP(E758,Customers[],3,FALSE)</f>
        <v>#N/A</v>
      </c>
      <c r="H758" s="23" t="e">
        <f>VLOOKUP(E758,Customers[],4,FALSE)</f>
        <v>#N/A</v>
      </c>
      <c r="J758" s="29" t="e">
        <f>VLOOKUP(I758,PGStock[],2,FALSE)</f>
        <v>#N/A</v>
      </c>
      <c r="K758" s="30" t="e">
        <f>VLOOKUP(I758,PGStock[],3,FALSE)</f>
        <v>#N/A</v>
      </c>
      <c r="M758" s="62" t="e">
        <f>VLOOKUP(I758,PGStock[],6,FALSE)</f>
        <v>#N/A</v>
      </c>
      <c r="N758" s="62" t="e">
        <f>+Table8[[#This Row],[SalesBot]]*Table8[[#This Row],[Bonus]]</f>
        <v>#N/A</v>
      </c>
    </row>
    <row r="759" spans="1:14" ht="23.25" customHeight="1" x14ac:dyDescent="0.25">
      <c r="A759" s="59">
        <f t="shared" si="86"/>
        <v>1900</v>
      </c>
      <c r="B759" s="59">
        <f t="shared" si="87"/>
        <v>1</v>
      </c>
      <c r="C759" s="60"/>
      <c r="D759" s="61"/>
      <c r="F759" s="23" t="e">
        <f>VLOOKUP(E759,Customers[],2,FALSE)</f>
        <v>#N/A</v>
      </c>
      <c r="G759" s="23" t="e">
        <f>VLOOKUP(E759,Customers[],3,FALSE)</f>
        <v>#N/A</v>
      </c>
      <c r="H759" s="23" t="e">
        <f>VLOOKUP(E759,Customers[],4,FALSE)</f>
        <v>#N/A</v>
      </c>
      <c r="J759" s="29" t="e">
        <f>VLOOKUP(I759,PGStock[],2,FALSE)</f>
        <v>#N/A</v>
      </c>
      <c r="K759" s="30" t="e">
        <f>VLOOKUP(I759,PGStock[],3,FALSE)</f>
        <v>#N/A</v>
      </c>
      <c r="M759" s="62" t="e">
        <f>VLOOKUP(I759,PGStock[],6,FALSE)</f>
        <v>#N/A</v>
      </c>
      <c r="N759" s="62" t="e">
        <f>+Table8[[#This Row],[SalesBot]]*Table8[[#This Row],[Bonus]]</f>
        <v>#N/A</v>
      </c>
    </row>
    <row r="760" spans="1:14" ht="23.25" customHeight="1" x14ac:dyDescent="0.25">
      <c r="A760" s="59">
        <f t="shared" si="86"/>
        <v>1900</v>
      </c>
      <c r="B760" s="59">
        <f t="shared" si="87"/>
        <v>1</v>
      </c>
      <c r="C760" s="60"/>
      <c r="D760" s="61"/>
      <c r="F760" s="23" t="e">
        <f>VLOOKUP(E760,Customers[],2,FALSE)</f>
        <v>#N/A</v>
      </c>
      <c r="G760" s="23" t="e">
        <f>VLOOKUP(E760,Customers[],3,FALSE)</f>
        <v>#N/A</v>
      </c>
      <c r="H760" s="23" t="e">
        <f>VLOOKUP(E760,Customers[],4,FALSE)</f>
        <v>#N/A</v>
      </c>
      <c r="J760" s="29" t="e">
        <f>VLOOKUP(I760,PGStock[],2,FALSE)</f>
        <v>#N/A</v>
      </c>
      <c r="K760" s="30" t="e">
        <f>VLOOKUP(I760,PGStock[],3,FALSE)</f>
        <v>#N/A</v>
      </c>
      <c r="M760" s="62" t="e">
        <f>VLOOKUP(I760,PGStock[],6,FALSE)</f>
        <v>#N/A</v>
      </c>
      <c r="N760" s="62" t="e">
        <f>+Table8[[#This Row],[SalesBot]]*Table8[[#This Row],[Bonus]]</f>
        <v>#N/A</v>
      </c>
    </row>
    <row r="761" spans="1:14" ht="23.25" customHeight="1" x14ac:dyDescent="0.25">
      <c r="A761" s="59">
        <f t="shared" si="86"/>
        <v>1900</v>
      </c>
      <c r="B761" s="59">
        <f t="shared" si="87"/>
        <v>1</v>
      </c>
      <c r="C761" s="60"/>
      <c r="D761" s="61"/>
      <c r="F761" s="23" t="e">
        <f>VLOOKUP(E761,Customers[],2,FALSE)</f>
        <v>#N/A</v>
      </c>
      <c r="G761" s="23" t="e">
        <f>VLOOKUP(E761,Customers[],3,FALSE)</f>
        <v>#N/A</v>
      </c>
      <c r="H761" s="23" t="e">
        <f>VLOOKUP(E761,Customers[],4,FALSE)</f>
        <v>#N/A</v>
      </c>
      <c r="J761" s="29" t="e">
        <f>VLOOKUP(I761,PGStock[],2,FALSE)</f>
        <v>#N/A</v>
      </c>
      <c r="K761" s="30" t="e">
        <f>VLOOKUP(I761,PGStock[],3,FALSE)</f>
        <v>#N/A</v>
      </c>
      <c r="M761" s="62" t="e">
        <f>VLOOKUP(I761,PGStock[],6,FALSE)</f>
        <v>#N/A</v>
      </c>
      <c r="N761" s="62" t="e">
        <f>+Table8[[#This Row],[SalesBot]]*Table8[[#This Row],[Bonus]]</f>
        <v>#N/A</v>
      </c>
    </row>
    <row r="762" spans="1:14" ht="23.25" customHeight="1" x14ac:dyDescent="0.25">
      <c r="A762" s="59">
        <f t="shared" si="86"/>
        <v>1900</v>
      </c>
      <c r="B762" s="59">
        <f t="shared" si="87"/>
        <v>1</v>
      </c>
      <c r="C762" s="60"/>
      <c r="D762" s="61"/>
      <c r="F762" s="23" t="e">
        <f>VLOOKUP(E762,Customers[],2,FALSE)</f>
        <v>#N/A</v>
      </c>
      <c r="G762" s="23" t="e">
        <f>VLOOKUP(E762,Customers[],3,FALSE)</f>
        <v>#N/A</v>
      </c>
      <c r="H762" s="23" t="e">
        <f>VLOOKUP(E762,Customers[],4,FALSE)</f>
        <v>#N/A</v>
      </c>
      <c r="J762" s="29" t="e">
        <f>VLOOKUP(I762,PGStock[],2,FALSE)</f>
        <v>#N/A</v>
      </c>
      <c r="K762" s="30" t="e">
        <f>VLOOKUP(I762,PGStock[],3,FALSE)</f>
        <v>#N/A</v>
      </c>
      <c r="M762" s="62" t="e">
        <f>VLOOKUP(I762,PGStock[],6,FALSE)</f>
        <v>#N/A</v>
      </c>
      <c r="N762" s="62" t="e">
        <f>+Table8[[#This Row],[SalesBot]]*Table8[[#This Row],[Bonus]]</f>
        <v>#N/A</v>
      </c>
    </row>
    <row r="763" spans="1:14" ht="23.25" customHeight="1" x14ac:dyDescent="0.25">
      <c r="A763" s="59">
        <f t="shared" si="86"/>
        <v>1900</v>
      </c>
      <c r="B763" s="59">
        <f t="shared" si="87"/>
        <v>1</v>
      </c>
      <c r="C763" s="60"/>
      <c r="D763" s="61"/>
      <c r="F763" s="23" t="e">
        <f>VLOOKUP(E763,Customers[],2,FALSE)</f>
        <v>#N/A</v>
      </c>
      <c r="G763" s="23" t="e">
        <f>VLOOKUP(E763,Customers[],3,FALSE)</f>
        <v>#N/A</v>
      </c>
      <c r="H763" s="23" t="e">
        <f>VLOOKUP(E763,Customers[],4,FALSE)</f>
        <v>#N/A</v>
      </c>
      <c r="J763" s="29" t="e">
        <f>VLOOKUP(I763,PGStock[],2,FALSE)</f>
        <v>#N/A</v>
      </c>
      <c r="K763" s="30" t="e">
        <f>VLOOKUP(I763,PGStock[],3,FALSE)</f>
        <v>#N/A</v>
      </c>
      <c r="M763" s="62" t="e">
        <f>VLOOKUP(I763,PGStock[],6,FALSE)</f>
        <v>#N/A</v>
      </c>
      <c r="N763" s="62" t="e">
        <f>+Table8[[#This Row],[SalesBot]]*Table8[[#This Row],[Bonus]]</f>
        <v>#N/A</v>
      </c>
    </row>
    <row r="764" spans="1:14" ht="23.25" customHeight="1" x14ac:dyDescent="0.25">
      <c r="A764" s="59">
        <f t="shared" si="86"/>
        <v>1900</v>
      </c>
      <c r="B764" s="59">
        <f t="shared" si="87"/>
        <v>1</v>
      </c>
      <c r="C764" s="60"/>
      <c r="D764" s="61"/>
      <c r="F764" s="23" t="e">
        <f>VLOOKUP(E764,Customers[],2,FALSE)</f>
        <v>#N/A</v>
      </c>
      <c r="G764" s="23" t="e">
        <f>VLOOKUP(E764,Customers[],3,FALSE)</f>
        <v>#N/A</v>
      </c>
      <c r="H764" s="23" t="e">
        <f>VLOOKUP(E764,Customers[],4,FALSE)</f>
        <v>#N/A</v>
      </c>
      <c r="J764" s="29" t="e">
        <f>VLOOKUP(I764,PGStock[],2,FALSE)</f>
        <v>#N/A</v>
      </c>
      <c r="K764" s="30" t="e">
        <f>VLOOKUP(I764,PGStock[],3,FALSE)</f>
        <v>#N/A</v>
      </c>
      <c r="M764" s="62" t="e">
        <f>VLOOKUP(I764,PGStock[],6,FALSE)</f>
        <v>#N/A</v>
      </c>
      <c r="N764" s="62" t="e">
        <f>+Table8[[#This Row],[SalesBot]]*Table8[[#This Row],[Bonus]]</f>
        <v>#N/A</v>
      </c>
    </row>
    <row r="765" spans="1:14" ht="23.25" customHeight="1" x14ac:dyDescent="0.25">
      <c r="A765" s="59">
        <f t="shared" si="86"/>
        <v>1900</v>
      </c>
      <c r="B765" s="59">
        <f t="shared" si="87"/>
        <v>1</v>
      </c>
      <c r="C765" s="60"/>
      <c r="D765" s="61"/>
      <c r="F765" s="23" t="e">
        <f>VLOOKUP(E765,Customers[],2,FALSE)</f>
        <v>#N/A</v>
      </c>
      <c r="G765" s="23" t="e">
        <f>VLOOKUP(E765,Customers[],3,FALSE)</f>
        <v>#N/A</v>
      </c>
      <c r="H765" s="23" t="e">
        <f>VLOOKUP(E765,Customers[],4,FALSE)</f>
        <v>#N/A</v>
      </c>
      <c r="J765" s="29" t="e">
        <f>VLOOKUP(I765,PGStock[],2,FALSE)</f>
        <v>#N/A</v>
      </c>
      <c r="K765" s="30" t="e">
        <f>VLOOKUP(I765,PGStock[],3,FALSE)</f>
        <v>#N/A</v>
      </c>
      <c r="M765" s="62" t="e">
        <f>VLOOKUP(I765,PGStock[],6,FALSE)</f>
        <v>#N/A</v>
      </c>
      <c r="N765" s="62" t="e">
        <f>+Table8[[#This Row],[SalesBot]]*Table8[[#This Row],[Bonus]]</f>
        <v>#N/A</v>
      </c>
    </row>
    <row r="766" spans="1:14" ht="23.25" customHeight="1" x14ac:dyDescent="0.25">
      <c r="A766" s="59">
        <f t="shared" si="86"/>
        <v>1900</v>
      </c>
      <c r="B766" s="59">
        <f t="shared" si="87"/>
        <v>1</v>
      </c>
      <c r="C766" s="60"/>
      <c r="D766" s="61"/>
      <c r="F766" s="23" t="e">
        <f>VLOOKUP(E766,Customers[],2,FALSE)</f>
        <v>#N/A</v>
      </c>
      <c r="G766" s="23" t="e">
        <f>VLOOKUP(E766,Customers[],3,FALSE)</f>
        <v>#N/A</v>
      </c>
      <c r="H766" s="23" t="e">
        <f>VLOOKUP(E766,Customers[],4,FALSE)</f>
        <v>#N/A</v>
      </c>
      <c r="J766" s="29" t="e">
        <f>VLOOKUP(I766,PGStock[],2,FALSE)</f>
        <v>#N/A</v>
      </c>
      <c r="K766" s="30" t="e">
        <f>VLOOKUP(I766,PGStock[],3,FALSE)</f>
        <v>#N/A</v>
      </c>
      <c r="M766" s="62" t="e">
        <f>VLOOKUP(I766,PGStock[],6,FALSE)</f>
        <v>#N/A</v>
      </c>
      <c r="N766" s="62" t="e">
        <f>+Table8[[#This Row],[SalesBot]]*Table8[[#This Row],[Bonus]]</f>
        <v>#N/A</v>
      </c>
    </row>
    <row r="767" spans="1:14" ht="23.25" customHeight="1" x14ac:dyDescent="0.25">
      <c r="A767" s="59">
        <f t="shared" si="86"/>
        <v>1900</v>
      </c>
      <c r="B767" s="59">
        <f t="shared" si="87"/>
        <v>1</v>
      </c>
      <c r="C767" s="60"/>
      <c r="D767" s="61"/>
      <c r="F767" s="23" t="e">
        <f>VLOOKUP(E767,Customers[],2,FALSE)</f>
        <v>#N/A</v>
      </c>
      <c r="G767" s="23" t="e">
        <f>VLOOKUP(E767,Customers[],3,FALSE)</f>
        <v>#N/A</v>
      </c>
      <c r="H767" s="23" t="e">
        <f>VLOOKUP(E767,Customers[],4,FALSE)</f>
        <v>#N/A</v>
      </c>
      <c r="J767" s="29" t="e">
        <f>VLOOKUP(I767,PGStock[],2,FALSE)</f>
        <v>#N/A</v>
      </c>
      <c r="K767" s="30" t="e">
        <f>VLOOKUP(I767,PGStock[],3,FALSE)</f>
        <v>#N/A</v>
      </c>
      <c r="M767" s="62" t="e">
        <f>VLOOKUP(I767,PGStock[],6,FALSE)</f>
        <v>#N/A</v>
      </c>
      <c r="N767" s="62" t="e">
        <f>+Table8[[#This Row],[SalesBot]]*Table8[[#This Row],[Bonus]]</f>
        <v>#N/A</v>
      </c>
    </row>
    <row r="768" spans="1:14" ht="23.25" customHeight="1" x14ac:dyDescent="0.25">
      <c r="A768" s="59">
        <f t="shared" si="86"/>
        <v>1900</v>
      </c>
      <c r="B768" s="59">
        <f t="shared" si="87"/>
        <v>1</v>
      </c>
      <c r="C768" s="60"/>
      <c r="D768" s="61"/>
      <c r="F768" s="23" t="e">
        <f>VLOOKUP(E768,Customers[],2,FALSE)</f>
        <v>#N/A</v>
      </c>
      <c r="G768" s="23" t="e">
        <f>VLOOKUP(E768,Customers[],3,FALSE)</f>
        <v>#N/A</v>
      </c>
      <c r="H768" s="23" t="e">
        <f>VLOOKUP(E768,Customers[],4,FALSE)</f>
        <v>#N/A</v>
      </c>
      <c r="J768" s="29" t="e">
        <f>VLOOKUP(I768,PGStock[],2,FALSE)</f>
        <v>#N/A</v>
      </c>
      <c r="K768" s="30" t="e">
        <f>VLOOKUP(I768,PGStock[],3,FALSE)</f>
        <v>#N/A</v>
      </c>
      <c r="M768" s="62" t="e">
        <f>VLOOKUP(I768,PGStock[],6,FALSE)</f>
        <v>#N/A</v>
      </c>
      <c r="N768" s="62" t="e">
        <f>+Table8[[#This Row],[SalesBot]]*Table8[[#This Row],[Bonus]]</f>
        <v>#N/A</v>
      </c>
    </row>
    <row r="769" spans="1:14" ht="23.25" customHeight="1" x14ac:dyDescent="0.25">
      <c r="A769" s="59">
        <f t="shared" si="86"/>
        <v>1900</v>
      </c>
      <c r="B769" s="59">
        <f t="shared" si="87"/>
        <v>1</v>
      </c>
      <c r="C769" s="60"/>
      <c r="D769" s="61"/>
      <c r="F769" s="23" t="e">
        <f>VLOOKUP(E769,Customers[],2,FALSE)</f>
        <v>#N/A</v>
      </c>
      <c r="G769" s="23" t="e">
        <f>VLOOKUP(E769,Customers[],3,FALSE)</f>
        <v>#N/A</v>
      </c>
      <c r="H769" s="23" t="e">
        <f>VLOOKUP(E769,Customers[],4,FALSE)</f>
        <v>#N/A</v>
      </c>
      <c r="J769" s="29" t="e">
        <f>VLOOKUP(I769,PGStock[],2,FALSE)</f>
        <v>#N/A</v>
      </c>
      <c r="K769" s="30" t="e">
        <f>VLOOKUP(I769,PGStock[],3,FALSE)</f>
        <v>#N/A</v>
      </c>
      <c r="M769" s="62" t="e">
        <f>VLOOKUP(I769,PGStock[],6,FALSE)</f>
        <v>#N/A</v>
      </c>
      <c r="N769" s="62" t="e">
        <f>+Table8[[#This Row],[SalesBot]]*Table8[[#This Row],[Bonus]]</f>
        <v>#N/A</v>
      </c>
    </row>
    <row r="770" spans="1:14" ht="23.25" customHeight="1" x14ac:dyDescent="0.25">
      <c r="A770" s="59">
        <f t="shared" si="86"/>
        <v>1900</v>
      </c>
      <c r="B770" s="59">
        <f t="shared" si="87"/>
        <v>1</v>
      </c>
      <c r="C770" s="60"/>
      <c r="D770" s="61"/>
      <c r="F770" s="23" t="e">
        <f>VLOOKUP(E770,Customers[],2,FALSE)</f>
        <v>#N/A</v>
      </c>
      <c r="G770" s="23" t="e">
        <f>VLOOKUP(E770,Customers[],3,FALSE)</f>
        <v>#N/A</v>
      </c>
      <c r="H770" s="23" t="e">
        <f>VLOOKUP(E770,Customers[],4,FALSE)</f>
        <v>#N/A</v>
      </c>
      <c r="J770" s="29" t="e">
        <f>VLOOKUP(I770,PGStock[],2,FALSE)</f>
        <v>#N/A</v>
      </c>
      <c r="K770" s="30" t="e">
        <f>VLOOKUP(I770,PGStock[],3,FALSE)</f>
        <v>#N/A</v>
      </c>
      <c r="M770" s="62" t="e">
        <f>VLOOKUP(I770,PGStock[],6,FALSE)</f>
        <v>#N/A</v>
      </c>
      <c r="N770" s="62" t="e">
        <f>+Table8[[#This Row],[SalesBot]]*Table8[[#This Row],[Bonus]]</f>
        <v>#N/A</v>
      </c>
    </row>
    <row r="771" spans="1:14" ht="23.25" customHeight="1" x14ac:dyDescent="0.25">
      <c r="A771" s="59">
        <f t="shared" si="86"/>
        <v>1900</v>
      </c>
      <c r="B771" s="59">
        <f t="shared" si="87"/>
        <v>1</v>
      </c>
      <c r="C771" s="60"/>
      <c r="D771" s="61"/>
      <c r="F771" s="23" t="e">
        <f>VLOOKUP(E771,Customers[],2,FALSE)</f>
        <v>#N/A</v>
      </c>
      <c r="G771" s="23" t="e">
        <f>VLOOKUP(E771,Customers[],3,FALSE)</f>
        <v>#N/A</v>
      </c>
      <c r="H771" s="23" t="e">
        <f>VLOOKUP(E771,Customers[],4,FALSE)</f>
        <v>#N/A</v>
      </c>
      <c r="J771" s="29" t="e">
        <f>VLOOKUP(I771,PGStock[],2,FALSE)</f>
        <v>#N/A</v>
      </c>
      <c r="K771" s="30" t="e">
        <f>VLOOKUP(I771,PGStock[],3,FALSE)</f>
        <v>#N/A</v>
      </c>
      <c r="M771" s="62" t="e">
        <f>VLOOKUP(I771,PGStock[],6,FALSE)</f>
        <v>#N/A</v>
      </c>
      <c r="N771" s="62" t="e">
        <f>+Table8[[#This Row],[SalesBot]]*Table8[[#This Row],[Bonus]]</f>
        <v>#N/A</v>
      </c>
    </row>
    <row r="772" spans="1:14" ht="23.25" customHeight="1" x14ac:dyDescent="0.25">
      <c r="A772" s="59">
        <f t="shared" si="86"/>
        <v>1900</v>
      </c>
      <c r="B772" s="59">
        <f t="shared" si="87"/>
        <v>1</v>
      </c>
      <c r="C772" s="60"/>
      <c r="D772" s="61"/>
      <c r="F772" s="23" t="e">
        <f>VLOOKUP(E772,Customers[],2,FALSE)</f>
        <v>#N/A</v>
      </c>
      <c r="G772" s="23" t="e">
        <f>VLOOKUP(E772,Customers[],3,FALSE)</f>
        <v>#N/A</v>
      </c>
      <c r="H772" s="23" t="e">
        <f>VLOOKUP(E772,Customers[],4,FALSE)</f>
        <v>#N/A</v>
      </c>
      <c r="J772" s="29" t="e">
        <f>VLOOKUP(I772,PGStock[],2,FALSE)</f>
        <v>#N/A</v>
      </c>
      <c r="K772" s="30" t="e">
        <f>VLOOKUP(I772,PGStock[],3,FALSE)</f>
        <v>#N/A</v>
      </c>
      <c r="M772" s="62" t="e">
        <f>VLOOKUP(I772,PGStock[],6,FALSE)</f>
        <v>#N/A</v>
      </c>
      <c r="N772" s="62" t="e">
        <f>+Table8[[#This Row],[SalesBot]]*Table8[[#This Row],[Bonus]]</f>
        <v>#N/A</v>
      </c>
    </row>
    <row r="773" spans="1:14" ht="23.25" customHeight="1" x14ac:dyDescent="0.25">
      <c r="A773" s="59">
        <f t="shared" si="86"/>
        <v>1900</v>
      </c>
      <c r="B773" s="59">
        <f t="shared" si="87"/>
        <v>1</v>
      </c>
      <c r="C773" s="60"/>
      <c r="D773" s="61"/>
      <c r="F773" s="23" t="e">
        <f>VLOOKUP(E773,Customers[],2,FALSE)</f>
        <v>#N/A</v>
      </c>
      <c r="G773" s="23" t="e">
        <f>VLOOKUP(E773,Customers[],3,FALSE)</f>
        <v>#N/A</v>
      </c>
      <c r="H773" s="23" t="e">
        <f>VLOOKUP(E773,Customers[],4,FALSE)</f>
        <v>#N/A</v>
      </c>
      <c r="J773" s="29" t="e">
        <f>VLOOKUP(I773,PGStock[],2,FALSE)</f>
        <v>#N/A</v>
      </c>
      <c r="K773" s="30" t="e">
        <f>VLOOKUP(I773,PGStock[],3,FALSE)</f>
        <v>#N/A</v>
      </c>
      <c r="M773" s="62" t="e">
        <f>VLOOKUP(I773,PGStock[],6,FALSE)</f>
        <v>#N/A</v>
      </c>
      <c r="N773" s="62" t="e">
        <f>+Table8[[#This Row],[SalesBot]]*Table8[[#This Row],[Bonus]]</f>
        <v>#N/A</v>
      </c>
    </row>
    <row r="774" spans="1:14" ht="23.25" customHeight="1" x14ac:dyDescent="0.25">
      <c r="A774" s="59">
        <f t="shared" si="86"/>
        <v>1900</v>
      </c>
      <c r="B774" s="59">
        <f t="shared" si="87"/>
        <v>1</v>
      </c>
      <c r="C774" s="60"/>
      <c r="D774" s="61"/>
      <c r="F774" s="23" t="e">
        <f>VLOOKUP(E774,Customers[],2,FALSE)</f>
        <v>#N/A</v>
      </c>
      <c r="G774" s="23" t="e">
        <f>VLOOKUP(E774,Customers[],3,FALSE)</f>
        <v>#N/A</v>
      </c>
      <c r="H774" s="23" t="e">
        <f>VLOOKUP(E774,Customers[],4,FALSE)</f>
        <v>#N/A</v>
      </c>
      <c r="J774" s="29" t="e">
        <f>VLOOKUP(I774,PGStock[],2,FALSE)</f>
        <v>#N/A</v>
      </c>
      <c r="K774" s="30" t="e">
        <f>VLOOKUP(I774,PGStock[],3,FALSE)</f>
        <v>#N/A</v>
      </c>
      <c r="M774" s="62" t="e">
        <f>VLOOKUP(I774,PGStock[],6,FALSE)</f>
        <v>#N/A</v>
      </c>
      <c r="N774" s="62" t="e">
        <f>+Table8[[#This Row],[SalesBot]]*Table8[[#This Row],[Bonus]]</f>
        <v>#N/A</v>
      </c>
    </row>
    <row r="775" spans="1:14" ht="23.25" customHeight="1" x14ac:dyDescent="0.25">
      <c r="A775" s="59">
        <f t="shared" si="86"/>
        <v>1900</v>
      </c>
      <c r="B775" s="59">
        <f t="shared" si="87"/>
        <v>1</v>
      </c>
      <c r="C775" s="60"/>
      <c r="D775" s="61"/>
      <c r="F775" s="23" t="e">
        <f>VLOOKUP(E775,Customers[],2,FALSE)</f>
        <v>#N/A</v>
      </c>
      <c r="G775" s="23" t="e">
        <f>VLOOKUP(E775,Customers[],3,FALSE)</f>
        <v>#N/A</v>
      </c>
      <c r="H775" s="23" t="e">
        <f>VLOOKUP(E775,Customers[],4,FALSE)</f>
        <v>#N/A</v>
      </c>
      <c r="J775" s="29" t="e">
        <f>VLOOKUP(I775,PGStock[],2,FALSE)</f>
        <v>#N/A</v>
      </c>
      <c r="K775" s="30" t="e">
        <f>VLOOKUP(I775,PGStock[],3,FALSE)</f>
        <v>#N/A</v>
      </c>
      <c r="M775" s="62" t="e">
        <f>VLOOKUP(I775,PGStock[],6,FALSE)</f>
        <v>#N/A</v>
      </c>
      <c r="N775" s="62" t="e">
        <f>+Table8[[#This Row],[SalesBot]]*Table8[[#This Row],[Bonus]]</f>
        <v>#N/A</v>
      </c>
    </row>
    <row r="776" spans="1:14" ht="23.25" customHeight="1" x14ac:dyDescent="0.25">
      <c r="A776" s="59">
        <f t="shared" si="86"/>
        <v>1900</v>
      </c>
      <c r="B776" s="59">
        <f t="shared" si="87"/>
        <v>1</v>
      </c>
      <c r="C776" s="60"/>
      <c r="D776" s="61"/>
      <c r="F776" s="23" t="e">
        <f>VLOOKUP(E776,Customers[],2,FALSE)</f>
        <v>#N/A</v>
      </c>
      <c r="G776" s="23" t="e">
        <f>VLOOKUP(E776,Customers[],3,FALSE)</f>
        <v>#N/A</v>
      </c>
      <c r="H776" s="23" t="e">
        <f>VLOOKUP(E776,Customers[],4,FALSE)</f>
        <v>#N/A</v>
      </c>
      <c r="J776" s="29" t="e">
        <f>VLOOKUP(I776,PGStock[],2,FALSE)</f>
        <v>#N/A</v>
      </c>
      <c r="K776" s="30" t="e">
        <f>VLOOKUP(I776,PGStock[],3,FALSE)</f>
        <v>#N/A</v>
      </c>
      <c r="M776" s="62" t="e">
        <f>VLOOKUP(I776,PGStock[],6,FALSE)</f>
        <v>#N/A</v>
      </c>
      <c r="N776" s="62" t="e">
        <f>+Table8[[#This Row],[SalesBot]]*Table8[[#This Row],[Bonus]]</f>
        <v>#N/A</v>
      </c>
    </row>
    <row r="777" spans="1:14" ht="23.25" customHeight="1" x14ac:dyDescent="0.25">
      <c r="A777" s="59">
        <f t="shared" si="86"/>
        <v>1900</v>
      </c>
      <c r="B777" s="59">
        <f t="shared" si="87"/>
        <v>1</v>
      </c>
      <c r="C777" s="60"/>
      <c r="D777" s="61"/>
      <c r="F777" s="23" t="e">
        <f>VLOOKUP(E777,Customers[],2,FALSE)</f>
        <v>#N/A</v>
      </c>
      <c r="G777" s="23" t="e">
        <f>VLOOKUP(E777,Customers[],3,FALSE)</f>
        <v>#N/A</v>
      </c>
      <c r="H777" s="23" t="e">
        <f>VLOOKUP(E777,Customers[],4,FALSE)</f>
        <v>#N/A</v>
      </c>
      <c r="J777" s="29" t="e">
        <f>VLOOKUP(I777,PGStock[],2,FALSE)</f>
        <v>#N/A</v>
      </c>
      <c r="K777" s="30" t="e">
        <f>VLOOKUP(I777,PGStock[],3,FALSE)</f>
        <v>#N/A</v>
      </c>
      <c r="M777" s="62" t="e">
        <f>VLOOKUP(I777,PGStock[],6,FALSE)</f>
        <v>#N/A</v>
      </c>
      <c r="N777" s="62" t="e">
        <f>+Table8[[#This Row],[SalesBot]]*Table8[[#This Row],[Bonus]]</f>
        <v>#N/A</v>
      </c>
    </row>
    <row r="778" spans="1:14" ht="23.25" customHeight="1" x14ac:dyDescent="0.25">
      <c r="A778" s="59">
        <f t="shared" si="86"/>
        <v>1900</v>
      </c>
      <c r="B778" s="59">
        <f t="shared" si="87"/>
        <v>1</v>
      </c>
      <c r="C778" s="60"/>
      <c r="D778" s="61"/>
      <c r="F778" s="23" t="e">
        <f>VLOOKUP(E778,Customers[],2,FALSE)</f>
        <v>#N/A</v>
      </c>
      <c r="G778" s="23" t="e">
        <f>VLOOKUP(E778,Customers[],3,FALSE)</f>
        <v>#N/A</v>
      </c>
      <c r="H778" s="23" t="e">
        <f>VLOOKUP(E778,Customers[],4,FALSE)</f>
        <v>#N/A</v>
      </c>
      <c r="J778" s="29" t="e">
        <f>VLOOKUP(I778,PGStock[],2,FALSE)</f>
        <v>#N/A</v>
      </c>
      <c r="K778" s="30" t="e">
        <f>VLOOKUP(I778,PGStock[],3,FALSE)</f>
        <v>#N/A</v>
      </c>
      <c r="M778" s="62" t="e">
        <f>VLOOKUP(I778,PGStock[],6,FALSE)</f>
        <v>#N/A</v>
      </c>
      <c r="N778" s="62" t="e">
        <f>+Table8[[#This Row],[SalesBot]]*Table8[[#This Row],[Bonus]]</f>
        <v>#N/A</v>
      </c>
    </row>
    <row r="779" spans="1:14" ht="23.25" customHeight="1" x14ac:dyDescent="0.25">
      <c r="A779" s="59">
        <f t="shared" si="86"/>
        <v>1900</v>
      </c>
      <c r="B779" s="59">
        <f t="shared" si="87"/>
        <v>1</v>
      </c>
      <c r="C779" s="60"/>
      <c r="D779" s="61"/>
      <c r="F779" s="23" t="e">
        <f>VLOOKUP(E779,Customers[],2,FALSE)</f>
        <v>#N/A</v>
      </c>
      <c r="G779" s="23" t="e">
        <f>VLOOKUP(E779,Customers[],3,FALSE)</f>
        <v>#N/A</v>
      </c>
      <c r="H779" s="23" t="e">
        <f>VLOOKUP(E779,Customers[],4,FALSE)</f>
        <v>#N/A</v>
      </c>
      <c r="J779" s="29" t="e">
        <f>VLOOKUP(I779,PGStock[],2,FALSE)</f>
        <v>#N/A</v>
      </c>
      <c r="K779" s="30" t="e">
        <f>VLOOKUP(I779,PGStock[],3,FALSE)</f>
        <v>#N/A</v>
      </c>
      <c r="M779" s="62" t="e">
        <f>VLOOKUP(I779,PGStock[],6,FALSE)</f>
        <v>#N/A</v>
      </c>
      <c r="N779" s="62" t="e">
        <f>+Table8[[#This Row],[SalesBot]]*Table8[[#This Row],[Bonus]]</f>
        <v>#N/A</v>
      </c>
    </row>
    <row r="780" spans="1:14" ht="23.25" customHeight="1" x14ac:dyDescent="0.25">
      <c r="A780" s="59">
        <f t="shared" si="86"/>
        <v>1900</v>
      </c>
      <c r="B780" s="59">
        <f t="shared" si="87"/>
        <v>1</v>
      </c>
      <c r="C780" s="60"/>
      <c r="D780" s="61"/>
      <c r="F780" s="23" t="e">
        <f>VLOOKUP(E780,Customers[],2,FALSE)</f>
        <v>#N/A</v>
      </c>
      <c r="G780" s="23" t="e">
        <f>VLOOKUP(E780,Customers[],3,FALSE)</f>
        <v>#N/A</v>
      </c>
      <c r="H780" s="23" t="e">
        <f>VLOOKUP(E780,Customers[],4,FALSE)</f>
        <v>#N/A</v>
      </c>
      <c r="J780" s="29" t="e">
        <f>VLOOKUP(I780,PGStock[],2,FALSE)</f>
        <v>#N/A</v>
      </c>
      <c r="K780" s="30" t="e">
        <f>VLOOKUP(I780,PGStock[],3,FALSE)</f>
        <v>#N/A</v>
      </c>
      <c r="M780" s="62" t="e">
        <f>VLOOKUP(I780,PGStock[],6,FALSE)</f>
        <v>#N/A</v>
      </c>
      <c r="N780" s="62" t="e">
        <f>+Table8[[#This Row],[SalesBot]]*Table8[[#This Row],[Bonus]]</f>
        <v>#N/A</v>
      </c>
    </row>
    <row r="781" spans="1:14" ht="23.25" customHeight="1" x14ac:dyDescent="0.25">
      <c r="A781" s="59">
        <f t="shared" si="86"/>
        <v>1900</v>
      </c>
      <c r="B781" s="59">
        <f t="shared" si="87"/>
        <v>1</v>
      </c>
      <c r="C781" s="60"/>
      <c r="D781" s="61"/>
      <c r="F781" s="23" t="e">
        <f>VLOOKUP(E781,Customers[],2,FALSE)</f>
        <v>#N/A</v>
      </c>
      <c r="G781" s="23" t="e">
        <f>VLOOKUP(E781,Customers[],3,FALSE)</f>
        <v>#N/A</v>
      </c>
      <c r="H781" s="23" t="e">
        <f>VLOOKUP(E781,Customers[],4,FALSE)</f>
        <v>#N/A</v>
      </c>
      <c r="J781" s="29" t="e">
        <f>VLOOKUP(I781,PGStock[],2,FALSE)</f>
        <v>#N/A</v>
      </c>
      <c r="K781" s="30" t="e">
        <f>VLOOKUP(I781,PGStock[],3,FALSE)</f>
        <v>#N/A</v>
      </c>
      <c r="M781" s="62" t="e">
        <f>VLOOKUP(I781,PGStock[],6,FALSE)</f>
        <v>#N/A</v>
      </c>
      <c r="N781" s="62" t="e">
        <f>+Table8[[#This Row],[SalesBot]]*Table8[[#This Row],[Bonus]]</f>
        <v>#N/A</v>
      </c>
    </row>
    <row r="782" spans="1:14" ht="23.25" customHeight="1" x14ac:dyDescent="0.25">
      <c r="A782" s="59">
        <f t="shared" ref="A782:A813" si="88">YEAR(C782)</f>
        <v>1900</v>
      </c>
      <c r="B782" s="59">
        <f t="shared" ref="B782:B813" si="89">MONTH(C782)</f>
        <v>1</v>
      </c>
      <c r="C782" s="60"/>
      <c r="D782" s="61"/>
      <c r="F782" s="23" t="e">
        <f>VLOOKUP(E782,Customers[],2,FALSE)</f>
        <v>#N/A</v>
      </c>
      <c r="G782" s="23" t="e">
        <f>VLOOKUP(E782,Customers[],3,FALSE)</f>
        <v>#N/A</v>
      </c>
      <c r="H782" s="23" t="e">
        <f>VLOOKUP(E782,Customers[],4,FALSE)</f>
        <v>#N/A</v>
      </c>
      <c r="J782" s="29" t="e">
        <f>VLOOKUP(I782,PGStock[],2,FALSE)</f>
        <v>#N/A</v>
      </c>
      <c r="K782" s="30" t="e">
        <f>VLOOKUP(I782,PGStock[],3,FALSE)</f>
        <v>#N/A</v>
      </c>
      <c r="M782" s="62" t="e">
        <f>VLOOKUP(I782,PGStock[],6,FALSE)</f>
        <v>#N/A</v>
      </c>
      <c r="N782" s="62" t="e">
        <f>+Table8[[#This Row],[SalesBot]]*Table8[[#This Row],[Bonus]]</f>
        <v>#N/A</v>
      </c>
    </row>
    <row r="783" spans="1:14" ht="23.25" customHeight="1" x14ac:dyDescent="0.25">
      <c r="A783" s="59">
        <f t="shared" si="88"/>
        <v>1900</v>
      </c>
      <c r="B783" s="59">
        <f t="shared" si="89"/>
        <v>1</v>
      </c>
      <c r="C783" s="60"/>
      <c r="D783" s="61"/>
      <c r="F783" s="23" t="e">
        <f>VLOOKUP(E783,Customers[],2,FALSE)</f>
        <v>#N/A</v>
      </c>
      <c r="G783" s="23" t="e">
        <f>VLOOKUP(E783,Customers[],3,FALSE)</f>
        <v>#N/A</v>
      </c>
      <c r="H783" s="23" t="e">
        <f>VLOOKUP(E783,Customers[],4,FALSE)</f>
        <v>#N/A</v>
      </c>
      <c r="J783" s="29" t="e">
        <f>VLOOKUP(I783,PGStock[],2,FALSE)</f>
        <v>#N/A</v>
      </c>
      <c r="K783" s="30" t="e">
        <f>VLOOKUP(I783,PGStock[],3,FALSE)</f>
        <v>#N/A</v>
      </c>
      <c r="M783" s="62" t="e">
        <f>VLOOKUP(I783,PGStock[],6,FALSE)</f>
        <v>#N/A</v>
      </c>
      <c r="N783" s="62" t="e">
        <f>+Table8[[#This Row],[SalesBot]]*Table8[[#This Row],[Bonus]]</f>
        <v>#N/A</v>
      </c>
    </row>
    <row r="784" spans="1:14" ht="23.25" customHeight="1" x14ac:dyDescent="0.25">
      <c r="A784" s="59">
        <f t="shared" si="88"/>
        <v>1900</v>
      </c>
      <c r="B784" s="59">
        <f t="shared" si="89"/>
        <v>1</v>
      </c>
      <c r="C784" s="60"/>
      <c r="D784" s="61"/>
      <c r="F784" s="23" t="e">
        <f>VLOOKUP(E784,Customers[],2,FALSE)</f>
        <v>#N/A</v>
      </c>
      <c r="G784" s="23" t="e">
        <f>VLOOKUP(E784,Customers[],3,FALSE)</f>
        <v>#N/A</v>
      </c>
      <c r="H784" s="23" t="e">
        <f>VLOOKUP(E784,Customers[],4,FALSE)</f>
        <v>#N/A</v>
      </c>
      <c r="J784" s="29" t="e">
        <f>VLOOKUP(I784,PGStock[],2,FALSE)</f>
        <v>#N/A</v>
      </c>
      <c r="K784" s="30" t="e">
        <f>VLOOKUP(I784,PGStock[],3,FALSE)</f>
        <v>#N/A</v>
      </c>
      <c r="M784" s="62" t="e">
        <f>VLOOKUP(I784,PGStock[],6,FALSE)</f>
        <v>#N/A</v>
      </c>
      <c r="N784" s="62" t="e">
        <f>+Table8[[#This Row],[SalesBot]]*Table8[[#This Row],[Bonus]]</f>
        <v>#N/A</v>
      </c>
    </row>
    <row r="785" spans="1:14" ht="23.25" customHeight="1" x14ac:dyDescent="0.25">
      <c r="A785" s="59">
        <f t="shared" si="88"/>
        <v>1900</v>
      </c>
      <c r="B785" s="59">
        <f t="shared" si="89"/>
        <v>1</v>
      </c>
      <c r="C785" s="60"/>
      <c r="D785" s="61"/>
      <c r="F785" s="23" t="e">
        <f>VLOOKUP(E785,Customers[],2,FALSE)</f>
        <v>#N/A</v>
      </c>
      <c r="G785" s="23" t="e">
        <f>VLOOKUP(E785,Customers[],3,FALSE)</f>
        <v>#N/A</v>
      </c>
      <c r="H785" s="23" t="e">
        <f>VLOOKUP(E785,Customers[],4,FALSE)</f>
        <v>#N/A</v>
      </c>
      <c r="J785" s="29" t="e">
        <f>VLOOKUP(I785,PGStock[],2,FALSE)</f>
        <v>#N/A</v>
      </c>
      <c r="K785" s="30" t="e">
        <f>VLOOKUP(I785,PGStock[],3,FALSE)</f>
        <v>#N/A</v>
      </c>
      <c r="M785" s="62" t="e">
        <f>VLOOKUP(I785,PGStock[],6,FALSE)</f>
        <v>#N/A</v>
      </c>
      <c r="N785" s="62" t="e">
        <f>+Table8[[#This Row],[SalesBot]]*Table8[[#This Row],[Bonus]]</f>
        <v>#N/A</v>
      </c>
    </row>
    <row r="786" spans="1:14" ht="23.25" customHeight="1" x14ac:dyDescent="0.25">
      <c r="A786" s="59">
        <f t="shared" si="88"/>
        <v>1900</v>
      </c>
      <c r="B786" s="59">
        <f t="shared" si="89"/>
        <v>1</v>
      </c>
      <c r="C786" s="60"/>
      <c r="D786" s="61"/>
      <c r="F786" s="23" t="e">
        <f>VLOOKUP(E786,Customers[],2,FALSE)</f>
        <v>#N/A</v>
      </c>
      <c r="G786" s="23" t="e">
        <f>VLOOKUP(E786,Customers[],3,FALSE)</f>
        <v>#N/A</v>
      </c>
      <c r="H786" s="23" t="e">
        <f>VLOOKUP(E786,Customers[],4,FALSE)</f>
        <v>#N/A</v>
      </c>
      <c r="J786" s="29" t="e">
        <f>VLOOKUP(I786,PGStock[],2,FALSE)</f>
        <v>#N/A</v>
      </c>
      <c r="K786" s="30" t="e">
        <f>VLOOKUP(I786,PGStock[],3,FALSE)</f>
        <v>#N/A</v>
      </c>
      <c r="M786" s="62" t="e">
        <f>VLOOKUP(I786,PGStock[],6,FALSE)</f>
        <v>#N/A</v>
      </c>
      <c r="N786" s="62" t="e">
        <f>+Table8[[#This Row],[SalesBot]]*Table8[[#This Row],[Bonus]]</f>
        <v>#N/A</v>
      </c>
    </row>
    <row r="787" spans="1:14" ht="23.25" customHeight="1" x14ac:dyDescent="0.25">
      <c r="A787" s="59">
        <f t="shared" si="88"/>
        <v>1900</v>
      </c>
      <c r="B787" s="59">
        <f t="shared" si="89"/>
        <v>1</v>
      </c>
      <c r="C787" s="60"/>
      <c r="D787" s="61"/>
      <c r="F787" s="23" t="e">
        <f>VLOOKUP(E787,Customers[],2,FALSE)</f>
        <v>#N/A</v>
      </c>
      <c r="G787" s="23" t="e">
        <f>VLOOKUP(E787,Customers[],3,FALSE)</f>
        <v>#N/A</v>
      </c>
      <c r="H787" s="23" t="e">
        <f>VLOOKUP(E787,Customers[],4,FALSE)</f>
        <v>#N/A</v>
      </c>
      <c r="J787" s="29" t="e">
        <f>VLOOKUP(I787,PGStock[],2,FALSE)</f>
        <v>#N/A</v>
      </c>
      <c r="K787" s="30" t="e">
        <f>VLOOKUP(I787,PGStock[],3,FALSE)</f>
        <v>#N/A</v>
      </c>
      <c r="M787" s="62" t="e">
        <f>VLOOKUP(I787,PGStock[],6,FALSE)</f>
        <v>#N/A</v>
      </c>
      <c r="N787" s="62" t="e">
        <f>+Table8[[#This Row],[SalesBot]]*Table8[[#This Row],[Bonus]]</f>
        <v>#N/A</v>
      </c>
    </row>
    <row r="788" spans="1:14" ht="23.25" customHeight="1" x14ac:dyDescent="0.25">
      <c r="A788" s="59">
        <f t="shared" si="88"/>
        <v>1900</v>
      </c>
      <c r="B788" s="59">
        <f t="shared" si="89"/>
        <v>1</v>
      </c>
      <c r="C788" s="60"/>
      <c r="D788" s="61"/>
      <c r="F788" s="23" t="e">
        <f>VLOOKUP(E788,Customers[],2,FALSE)</f>
        <v>#N/A</v>
      </c>
      <c r="G788" s="23" t="e">
        <f>VLOOKUP(E788,Customers[],3,FALSE)</f>
        <v>#N/A</v>
      </c>
      <c r="H788" s="23" t="e">
        <f>VLOOKUP(E788,Customers[],4,FALSE)</f>
        <v>#N/A</v>
      </c>
      <c r="J788" s="29" t="e">
        <f>VLOOKUP(I788,PGStock[],2,FALSE)</f>
        <v>#N/A</v>
      </c>
      <c r="K788" s="30" t="e">
        <f>VLOOKUP(I788,PGStock[],3,FALSE)</f>
        <v>#N/A</v>
      </c>
      <c r="M788" s="62" t="e">
        <f>VLOOKUP(I788,PGStock[],6,FALSE)</f>
        <v>#N/A</v>
      </c>
      <c r="N788" s="62" t="e">
        <f>+Table8[[#This Row],[SalesBot]]*Table8[[#This Row],[Bonus]]</f>
        <v>#N/A</v>
      </c>
    </row>
    <row r="789" spans="1:14" ht="23.25" customHeight="1" x14ac:dyDescent="0.25">
      <c r="A789" s="59">
        <f t="shared" si="88"/>
        <v>1900</v>
      </c>
      <c r="B789" s="59">
        <f t="shared" si="89"/>
        <v>1</v>
      </c>
      <c r="C789" s="60"/>
      <c r="D789" s="61"/>
      <c r="F789" s="23" t="e">
        <f>VLOOKUP(E789,Customers[],2,FALSE)</f>
        <v>#N/A</v>
      </c>
      <c r="G789" s="23" t="e">
        <f>VLOOKUP(E789,Customers[],3,FALSE)</f>
        <v>#N/A</v>
      </c>
      <c r="H789" s="23" t="e">
        <f>VLOOKUP(E789,Customers[],4,FALSE)</f>
        <v>#N/A</v>
      </c>
      <c r="J789" s="29" t="e">
        <f>VLOOKUP(I789,PGStock[],2,FALSE)</f>
        <v>#N/A</v>
      </c>
      <c r="K789" s="30" t="e">
        <f>VLOOKUP(I789,PGStock[],3,FALSE)</f>
        <v>#N/A</v>
      </c>
      <c r="M789" s="62" t="e">
        <f>VLOOKUP(I789,PGStock[],6,FALSE)</f>
        <v>#N/A</v>
      </c>
      <c r="N789" s="62" t="e">
        <f>+Table8[[#This Row],[SalesBot]]*Table8[[#This Row],[Bonus]]</f>
        <v>#N/A</v>
      </c>
    </row>
    <row r="790" spans="1:14" ht="23.25" customHeight="1" x14ac:dyDescent="0.25">
      <c r="A790" s="59">
        <f t="shared" si="88"/>
        <v>1900</v>
      </c>
      <c r="B790" s="59">
        <f t="shared" si="89"/>
        <v>1</v>
      </c>
      <c r="C790" s="60"/>
      <c r="D790" s="61"/>
      <c r="F790" s="23" t="e">
        <f>VLOOKUP(E790,Customers[],2,FALSE)</f>
        <v>#N/A</v>
      </c>
      <c r="G790" s="23" t="e">
        <f>VLOOKUP(E790,Customers[],3,FALSE)</f>
        <v>#N/A</v>
      </c>
      <c r="H790" s="23" t="e">
        <f>VLOOKUP(E790,Customers[],4,FALSE)</f>
        <v>#N/A</v>
      </c>
      <c r="J790" s="29" t="e">
        <f>VLOOKUP(I790,PGStock[],2,FALSE)</f>
        <v>#N/A</v>
      </c>
      <c r="K790" s="30" t="e">
        <f>VLOOKUP(I790,PGStock[],3,FALSE)</f>
        <v>#N/A</v>
      </c>
      <c r="M790" s="62" t="e">
        <f>VLOOKUP(I790,PGStock[],6,FALSE)</f>
        <v>#N/A</v>
      </c>
      <c r="N790" s="62" t="e">
        <f>+Table8[[#This Row],[SalesBot]]*Table8[[#This Row],[Bonus]]</f>
        <v>#N/A</v>
      </c>
    </row>
    <row r="791" spans="1:14" ht="23.25" customHeight="1" x14ac:dyDescent="0.25">
      <c r="A791" s="59">
        <f t="shared" si="88"/>
        <v>1900</v>
      </c>
      <c r="B791" s="59">
        <f t="shared" si="89"/>
        <v>1</v>
      </c>
      <c r="C791" s="60"/>
      <c r="D791" s="61"/>
      <c r="F791" s="23" t="e">
        <f>VLOOKUP(E791,Customers[],2,FALSE)</f>
        <v>#N/A</v>
      </c>
      <c r="G791" s="23" t="e">
        <f>VLOOKUP(E791,Customers[],3,FALSE)</f>
        <v>#N/A</v>
      </c>
      <c r="H791" s="23" t="e">
        <f>VLOOKUP(E791,Customers[],4,FALSE)</f>
        <v>#N/A</v>
      </c>
      <c r="J791" s="29" t="e">
        <f>VLOOKUP(I791,PGStock[],2,FALSE)</f>
        <v>#N/A</v>
      </c>
      <c r="K791" s="30" t="e">
        <f>VLOOKUP(I791,PGStock[],3,FALSE)</f>
        <v>#N/A</v>
      </c>
      <c r="M791" s="62" t="e">
        <f>VLOOKUP(I791,PGStock[],6,FALSE)</f>
        <v>#N/A</v>
      </c>
      <c r="N791" s="62" t="e">
        <f>+Table8[[#This Row],[SalesBot]]*Table8[[#This Row],[Bonus]]</f>
        <v>#N/A</v>
      </c>
    </row>
    <row r="792" spans="1:14" ht="23.25" customHeight="1" x14ac:dyDescent="0.25">
      <c r="A792" s="59">
        <f t="shared" si="88"/>
        <v>1900</v>
      </c>
      <c r="B792" s="59">
        <f t="shared" si="89"/>
        <v>1</v>
      </c>
      <c r="C792" s="60"/>
      <c r="D792" s="61"/>
      <c r="F792" s="23" t="e">
        <f>VLOOKUP(E792,Customers[],2,FALSE)</f>
        <v>#N/A</v>
      </c>
      <c r="G792" s="23" t="e">
        <f>VLOOKUP(E792,Customers[],3,FALSE)</f>
        <v>#N/A</v>
      </c>
      <c r="H792" s="23" t="e">
        <f>VLOOKUP(E792,Customers[],4,FALSE)</f>
        <v>#N/A</v>
      </c>
      <c r="J792" s="29" t="e">
        <f>VLOOKUP(I792,PGStock[],2,FALSE)</f>
        <v>#N/A</v>
      </c>
      <c r="K792" s="30" t="e">
        <f>VLOOKUP(I792,PGStock[],3,FALSE)</f>
        <v>#N/A</v>
      </c>
      <c r="M792" s="62" t="e">
        <f>VLOOKUP(I792,PGStock[],6,FALSE)</f>
        <v>#N/A</v>
      </c>
      <c r="N792" s="62" t="e">
        <f>+Table8[[#This Row],[SalesBot]]*Table8[[#This Row],[Bonus]]</f>
        <v>#N/A</v>
      </c>
    </row>
    <row r="793" spans="1:14" ht="23.25" customHeight="1" x14ac:dyDescent="0.25">
      <c r="A793" s="59">
        <f t="shared" si="88"/>
        <v>1900</v>
      </c>
      <c r="B793" s="59">
        <f t="shared" si="89"/>
        <v>1</v>
      </c>
      <c r="C793" s="60"/>
      <c r="D793" s="61"/>
      <c r="F793" s="23" t="e">
        <f>VLOOKUP(E793,Customers[],2,FALSE)</f>
        <v>#N/A</v>
      </c>
      <c r="G793" s="23" t="e">
        <f>VLOOKUP(E793,Customers[],3,FALSE)</f>
        <v>#N/A</v>
      </c>
      <c r="H793" s="23" t="e">
        <f>VLOOKUP(E793,Customers[],4,FALSE)</f>
        <v>#N/A</v>
      </c>
      <c r="J793" s="29" t="e">
        <f>VLOOKUP(I793,PGStock[],2,FALSE)</f>
        <v>#N/A</v>
      </c>
      <c r="K793" s="30" t="e">
        <f>VLOOKUP(I793,PGStock[],3,FALSE)</f>
        <v>#N/A</v>
      </c>
      <c r="M793" s="62" t="e">
        <f>VLOOKUP(I793,PGStock[],6,FALSE)</f>
        <v>#N/A</v>
      </c>
      <c r="N793" s="62" t="e">
        <f>+Table8[[#This Row],[SalesBot]]*Table8[[#This Row],[Bonus]]</f>
        <v>#N/A</v>
      </c>
    </row>
    <row r="794" spans="1:14" ht="23.25" customHeight="1" x14ac:dyDescent="0.25">
      <c r="A794" s="59">
        <f t="shared" si="88"/>
        <v>1900</v>
      </c>
      <c r="B794" s="59">
        <f t="shared" si="89"/>
        <v>1</v>
      </c>
      <c r="C794" s="60"/>
      <c r="D794" s="61"/>
      <c r="F794" s="23" t="e">
        <f>VLOOKUP(E794,Customers[],2,FALSE)</f>
        <v>#N/A</v>
      </c>
      <c r="G794" s="23" t="e">
        <f>VLOOKUP(E794,Customers[],3,FALSE)</f>
        <v>#N/A</v>
      </c>
      <c r="H794" s="23" t="e">
        <f>VLOOKUP(E794,Customers[],4,FALSE)</f>
        <v>#N/A</v>
      </c>
      <c r="J794" s="29" t="e">
        <f>VLOOKUP(I794,PGStock[],2,FALSE)</f>
        <v>#N/A</v>
      </c>
      <c r="K794" s="30" t="e">
        <f>VLOOKUP(I794,PGStock[],3,FALSE)</f>
        <v>#N/A</v>
      </c>
      <c r="M794" s="62" t="e">
        <f>VLOOKUP(I794,PGStock[],6,FALSE)</f>
        <v>#N/A</v>
      </c>
      <c r="N794" s="62" t="e">
        <f>+Table8[[#This Row],[SalesBot]]*Table8[[#This Row],[Bonus]]</f>
        <v>#N/A</v>
      </c>
    </row>
    <row r="795" spans="1:14" ht="23.25" customHeight="1" x14ac:dyDescent="0.25">
      <c r="A795" s="59">
        <f t="shared" si="88"/>
        <v>1900</v>
      </c>
      <c r="B795" s="59">
        <f t="shared" si="89"/>
        <v>1</v>
      </c>
      <c r="C795" s="60"/>
      <c r="D795" s="61"/>
      <c r="F795" s="23" t="e">
        <f>VLOOKUP(E795,Customers[],2,FALSE)</f>
        <v>#N/A</v>
      </c>
      <c r="G795" s="23" t="e">
        <f>VLOOKUP(E795,Customers[],3,FALSE)</f>
        <v>#N/A</v>
      </c>
      <c r="H795" s="23" t="e">
        <f>VLOOKUP(E795,Customers[],4,FALSE)</f>
        <v>#N/A</v>
      </c>
      <c r="J795" s="29" t="e">
        <f>VLOOKUP(I795,PGStock[],2,FALSE)</f>
        <v>#N/A</v>
      </c>
      <c r="K795" s="30" t="e">
        <f>VLOOKUP(I795,PGStock[],3,FALSE)</f>
        <v>#N/A</v>
      </c>
      <c r="M795" s="62" t="e">
        <f>VLOOKUP(I795,PGStock[],6,FALSE)</f>
        <v>#N/A</v>
      </c>
      <c r="N795" s="62" t="e">
        <f>+Table8[[#This Row],[SalesBot]]*Table8[[#This Row],[Bonus]]</f>
        <v>#N/A</v>
      </c>
    </row>
    <row r="796" spans="1:14" ht="23.25" customHeight="1" x14ac:dyDescent="0.25">
      <c r="A796" s="59">
        <f t="shared" si="88"/>
        <v>1900</v>
      </c>
      <c r="B796" s="59">
        <f t="shared" si="89"/>
        <v>1</v>
      </c>
      <c r="C796" s="60"/>
      <c r="D796" s="61"/>
      <c r="F796" s="23" t="e">
        <f>VLOOKUP(E796,Customers[],2,FALSE)</f>
        <v>#N/A</v>
      </c>
      <c r="G796" s="23" t="e">
        <f>VLOOKUP(E796,Customers[],3,FALSE)</f>
        <v>#N/A</v>
      </c>
      <c r="H796" s="23" t="e">
        <f>VLOOKUP(E796,Customers[],4,FALSE)</f>
        <v>#N/A</v>
      </c>
      <c r="J796" s="29" t="e">
        <f>VLOOKUP(I796,PGStock[],2,FALSE)</f>
        <v>#N/A</v>
      </c>
      <c r="K796" s="30" t="e">
        <f>VLOOKUP(I796,PGStock[],3,FALSE)</f>
        <v>#N/A</v>
      </c>
      <c r="M796" s="62" t="e">
        <f>VLOOKUP(I796,PGStock[],6,FALSE)</f>
        <v>#N/A</v>
      </c>
      <c r="N796" s="62" t="e">
        <f>+Table8[[#This Row],[SalesBot]]*Table8[[#This Row],[Bonus]]</f>
        <v>#N/A</v>
      </c>
    </row>
    <row r="797" spans="1:14" ht="23.25" customHeight="1" x14ac:dyDescent="0.25">
      <c r="A797" s="59">
        <f t="shared" si="88"/>
        <v>1900</v>
      </c>
      <c r="B797" s="59">
        <f t="shared" si="89"/>
        <v>1</v>
      </c>
      <c r="C797" s="60"/>
      <c r="D797" s="61"/>
      <c r="F797" s="23" t="e">
        <f>VLOOKUP(E797,Customers[],2,FALSE)</f>
        <v>#N/A</v>
      </c>
      <c r="G797" s="23" t="e">
        <f>VLOOKUP(E797,Customers[],3,FALSE)</f>
        <v>#N/A</v>
      </c>
      <c r="H797" s="23" t="e">
        <f>VLOOKUP(E797,Customers[],4,FALSE)</f>
        <v>#N/A</v>
      </c>
      <c r="J797" s="29" t="e">
        <f>VLOOKUP(I797,PGStock[],2,FALSE)</f>
        <v>#N/A</v>
      </c>
      <c r="K797" s="30" t="e">
        <f>VLOOKUP(I797,PGStock[],3,FALSE)</f>
        <v>#N/A</v>
      </c>
      <c r="M797" s="62" t="e">
        <f>VLOOKUP(I797,PGStock[],6,FALSE)</f>
        <v>#N/A</v>
      </c>
      <c r="N797" s="62" t="e">
        <f>+Table8[[#This Row],[SalesBot]]*Table8[[#This Row],[Bonus]]</f>
        <v>#N/A</v>
      </c>
    </row>
    <row r="798" spans="1:14" ht="23.25" customHeight="1" x14ac:dyDescent="0.25">
      <c r="A798" s="59">
        <f t="shared" si="88"/>
        <v>1900</v>
      </c>
      <c r="B798" s="59">
        <f t="shared" si="89"/>
        <v>1</v>
      </c>
      <c r="C798" s="60"/>
      <c r="D798" s="61"/>
      <c r="F798" s="23" t="e">
        <f>VLOOKUP(E798,Customers[],2,FALSE)</f>
        <v>#N/A</v>
      </c>
      <c r="G798" s="23" t="e">
        <f>VLOOKUP(E798,Customers[],3,FALSE)</f>
        <v>#N/A</v>
      </c>
      <c r="H798" s="23" t="e">
        <f>VLOOKUP(E798,Customers[],4,FALSE)</f>
        <v>#N/A</v>
      </c>
      <c r="J798" s="29" t="e">
        <f>VLOOKUP(I798,PGStock[],2,FALSE)</f>
        <v>#N/A</v>
      </c>
      <c r="K798" s="30" t="e">
        <f>VLOOKUP(I798,PGStock[],3,FALSE)</f>
        <v>#N/A</v>
      </c>
      <c r="M798" s="62" t="e">
        <f>VLOOKUP(I798,PGStock[],6,FALSE)</f>
        <v>#N/A</v>
      </c>
      <c r="N798" s="62" t="e">
        <f>+Table8[[#This Row],[SalesBot]]*Table8[[#This Row],[Bonus]]</f>
        <v>#N/A</v>
      </c>
    </row>
    <row r="799" spans="1:14" ht="23.25" customHeight="1" x14ac:dyDescent="0.25">
      <c r="A799" s="59">
        <f t="shared" si="88"/>
        <v>1900</v>
      </c>
      <c r="B799" s="59">
        <f t="shared" si="89"/>
        <v>1</v>
      </c>
      <c r="C799" s="60"/>
      <c r="D799" s="61"/>
      <c r="F799" s="23" t="e">
        <f>VLOOKUP(E799,Customers[],2,FALSE)</f>
        <v>#N/A</v>
      </c>
      <c r="G799" s="23" t="e">
        <f>VLOOKUP(E799,Customers[],3,FALSE)</f>
        <v>#N/A</v>
      </c>
      <c r="H799" s="23" t="e">
        <f>VLOOKUP(E799,Customers[],4,FALSE)</f>
        <v>#N/A</v>
      </c>
      <c r="J799" s="29" t="e">
        <f>VLOOKUP(I799,PGStock[],2,FALSE)</f>
        <v>#N/A</v>
      </c>
      <c r="K799" s="30" t="e">
        <f>VLOOKUP(I799,PGStock[],3,FALSE)</f>
        <v>#N/A</v>
      </c>
      <c r="M799" s="62" t="e">
        <f>VLOOKUP(I799,PGStock[],6,FALSE)</f>
        <v>#N/A</v>
      </c>
      <c r="N799" s="62" t="e">
        <f>+Table8[[#This Row],[SalesBot]]*Table8[[#This Row],[Bonus]]</f>
        <v>#N/A</v>
      </c>
    </row>
    <row r="800" spans="1:14" ht="23.25" customHeight="1" x14ac:dyDescent="0.25">
      <c r="A800" s="59">
        <f t="shared" si="88"/>
        <v>1900</v>
      </c>
      <c r="B800" s="59">
        <f t="shared" si="89"/>
        <v>1</v>
      </c>
      <c r="C800" s="60"/>
      <c r="D800" s="61"/>
      <c r="F800" s="23" t="e">
        <f>VLOOKUP(E800,Customers[],2,FALSE)</f>
        <v>#N/A</v>
      </c>
      <c r="G800" s="23" t="e">
        <f>VLOOKUP(E800,Customers[],3,FALSE)</f>
        <v>#N/A</v>
      </c>
      <c r="H800" s="23" t="e">
        <f>VLOOKUP(E800,Customers[],4,FALSE)</f>
        <v>#N/A</v>
      </c>
      <c r="J800" s="29" t="e">
        <f>VLOOKUP(I800,PGStock[],2,FALSE)</f>
        <v>#N/A</v>
      </c>
      <c r="K800" s="30" t="e">
        <f>VLOOKUP(I800,PGStock[],3,FALSE)</f>
        <v>#N/A</v>
      </c>
      <c r="M800" s="62" t="e">
        <f>VLOOKUP(I800,PGStock[],6,FALSE)</f>
        <v>#N/A</v>
      </c>
      <c r="N800" s="62" t="e">
        <f>+Table8[[#This Row],[SalesBot]]*Table8[[#This Row],[Bonus]]</f>
        <v>#N/A</v>
      </c>
    </row>
    <row r="801" spans="1:14" ht="23.25" customHeight="1" x14ac:dyDescent="0.25">
      <c r="A801" s="59">
        <f t="shared" si="88"/>
        <v>1900</v>
      </c>
      <c r="B801" s="59">
        <f t="shared" si="89"/>
        <v>1</v>
      </c>
      <c r="C801" s="60"/>
      <c r="D801" s="61"/>
      <c r="F801" s="23" t="e">
        <f>VLOOKUP(E801,Customers[],2,FALSE)</f>
        <v>#N/A</v>
      </c>
      <c r="G801" s="23" t="e">
        <f>VLOOKUP(E801,Customers[],3,FALSE)</f>
        <v>#N/A</v>
      </c>
      <c r="H801" s="23" t="e">
        <f>VLOOKUP(E801,Customers[],4,FALSE)</f>
        <v>#N/A</v>
      </c>
      <c r="J801" s="29" t="e">
        <f>VLOOKUP(I801,PGStock[],2,FALSE)</f>
        <v>#N/A</v>
      </c>
      <c r="K801" s="30" t="e">
        <f>VLOOKUP(I801,PGStock[],3,FALSE)</f>
        <v>#N/A</v>
      </c>
      <c r="M801" s="62" t="e">
        <f>VLOOKUP(I801,PGStock[],6,FALSE)</f>
        <v>#N/A</v>
      </c>
      <c r="N801" s="62" t="e">
        <f>+Table8[[#This Row],[SalesBot]]*Table8[[#This Row],[Bonus]]</f>
        <v>#N/A</v>
      </c>
    </row>
    <row r="802" spans="1:14" ht="23.25" customHeight="1" x14ac:dyDescent="0.25">
      <c r="A802" s="59">
        <f t="shared" si="88"/>
        <v>1900</v>
      </c>
      <c r="B802" s="59">
        <f t="shared" si="89"/>
        <v>1</v>
      </c>
      <c r="C802" s="60"/>
      <c r="D802" s="61"/>
      <c r="F802" s="23" t="e">
        <f>VLOOKUP(E802,Customers[],2,FALSE)</f>
        <v>#N/A</v>
      </c>
      <c r="G802" s="23" t="e">
        <f>VLOOKUP(E802,Customers[],3,FALSE)</f>
        <v>#N/A</v>
      </c>
      <c r="H802" s="23" t="e">
        <f>VLOOKUP(E802,Customers[],4,FALSE)</f>
        <v>#N/A</v>
      </c>
      <c r="J802" s="29" t="e">
        <f>VLOOKUP(I802,PGStock[],2,FALSE)</f>
        <v>#N/A</v>
      </c>
      <c r="K802" s="30" t="e">
        <f>VLOOKUP(I802,PGStock[],3,FALSE)</f>
        <v>#N/A</v>
      </c>
      <c r="M802" s="62" t="e">
        <f>VLOOKUP(I802,PGStock[],6,FALSE)</f>
        <v>#N/A</v>
      </c>
      <c r="N802" s="62" t="e">
        <f>+Table8[[#This Row],[SalesBot]]*Table8[[#This Row],[Bonus]]</f>
        <v>#N/A</v>
      </c>
    </row>
    <row r="803" spans="1:14" ht="23.25" customHeight="1" x14ac:dyDescent="0.25">
      <c r="A803" s="59">
        <f t="shared" si="88"/>
        <v>1900</v>
      </c>
      <c r="B803" s="59">
        <f t="shared" si="89"/>
        <v>1</v>
      </c>
      <c r="C803" s="60"/>
      <c r="D803" s="61"/>
      <c r="F803" s="23" t="e">
        <f>VLOOKUP(E803,Customers[],2,FALSE)</f>
        <v>#N/A</v>
      </c>
      <c r="G803" s="23" t="e">
        <f>VLOOKUP(E803,Customers[],3,FALSE)</f>
        <v>#N/A</v>
      </c>
      <c r="H803" s="23" t="e">
        <f>VLOOKUP(E803,Customers[],4,FALSE)</f>
        <v>#N/A</v>
      </c>
      <c r="J803" s="29" t="e">
        <f>VLOOKUP(I803,PGStock[],2,FALSE)</f>
        <v>#N/A</v>
      </c>
      <c r="K803" s="30" t="e">
        <f>VLOOKUP(I803,PGStock[],3,FALSE)</f>
        <v>#N/A</v>
      </c>
      <c r="M803" s="62" t="e">
        <f>VLOOKUP(I803,PGStock[],6,FALSE)</f>
        <v>#N/A</v>
      </c>
      <c r="N803" s="62" t="e">
        <f>+Table8[[#This Row],[SalesBot]]*Table8[[#This Row],[Bonus]]</f>
        <v>#N/A</v>
      </c>
    </row>
    <row r="804" spans="1:14" ht="23.25" customHeight="1" x14ac:dyDescent="0.25">
      <c r="A804" s="59">
        <f t="shared" si="88"/>
        <v>1900</v>
      </c>
      <c r="B804" s="59">
        <f t="shared" si="89"/>
        <v>1</v>
      </c>
      <c r="C804" s="60"/>
      <c r="D804" s="61"/>
      <c r="F804" s="23" t="e">
        <f>VLOOKUP(E804,Customers[],2,FALSE)</f>
        <v>#N/A</v>
      </c>
      <c r="G804" s="23" t="e">
        <f>VLOOKUP(E804,Customers[],3,FALSE)</f>
        <v>#N/A</v>
      </c>
      <c r="H804" s="23" t="e">
        <f>VLOOKUP(E804,Customers[],4,FALSE)</f>
        <v>#N/A</v>
      </c>
      <c r="J804" s="29" t="e">
        <f>VLOOKUP(I804,PGStock[],2,FALSE)</f>
        <v>#N/A</v>
      </c>
      <c r="K804" s="30" t="e">
        <f>VLOOKUP(I804,PGStock[],3,FALSE)</f>
        <v>#N/A</v>
      </c>
      <c r="M804" s="62" t="e">
        <f>VLOOKUP(I804,PGStock[],6,FALSE)</f>
        <v>#N/A</v>
      </c>
      <c r="N804" s="62" t="e">
        <f>+Table8[[#This Row],[SalesBot]]*Table8[[#This Row],[Bonus]]</f>
        <v>#N/A</v>
      </c>
    </row>
    <row r="805" spans="1:14" ht="23.25" customHeight="1" x14ac:dyDescent="0.25">
      <c r="A805" s="59">
        <f t="shared" si="88"/>
        <v>1900</v>
      </c>
      <c r="B805" s="59">
        <f t="shared" si="89"/>
        <v>1</v>
      </c>
      <c r="C805" s="60"/>
      <c r="D805" s="61"/>
      <c r="F805" s="23" t="e">
        <f>VLOOKUP(E805,Customers[],2,FALSE)</f>
        <v>#N/A</v>
      </c>
      <c r="G805" s="23" t="e">
        <f>VLOOKUP(E805,Customers[],3,FALSE)</f>
        <v>#N/A</v>
      </c>
      <c r="H805" s="23" t="e">
        <f>VLOOKUP(E805,Customers[],4,FALSE)</f>
        <v>#N/A</v>
      </c>
      <c r="J805" s="29" t="e">
        <f>VLOOKUP(I805,PGStock[],2,FALSE)</f>
        <v>#N/A</v>
      </c>
      <c r="K805" s="30" t="e">
        <f>VLOOKUP(I805,PGStock[],3,FALSE)</f>
        <v>#N/A</v>
      </c>
      <c r="M805" s="62" t="e">
        <f>VLOOKUP(I805,PGStock[],6,FALSE)</f>
        <v>#N/A</v>
      </c>
      <c r="N805" s="62" t="e">
        <f>+Table8[[#This Row],[SalesBot]]*Table8[[#This Row],[Bonus]]</f>
        <v>#N/A</v>
      </c>
    </row>
    <row r="806" spans="1:14" ht="23.25" customHeight="1" x14ac:dyDescent="0.25">
      <c r="A806" s="59">
        <f t="shared" si="88"/>
        <v>1900</v>
      </c>
      <c r="B806" s="59">
        <f t="shared" si="89"/>
        <v>1</v>
      </c>
      <c r="C806" s="60"/>
      <c r="D806" s="61"/>
      <c r="F806" s="23" t="e">
        <f>VLOOKUP(E806,Customers[],2,FALSE)</f>
        <v>#N/A</v>
      </c>
      <c r="G806" s="23" t="e">
        <f>VLOOKUP(E806,Customers[],3,FALSE)</f>
        <v>#N/A</v>
      </c>
      <c r="H806" s="23" t="e">
        <f>VLOOKUP(E806,Customers[],4,FALSE)</f>
        <v>#N/A</v>
      </c>
      <c r="J806" s="29" t="e">
        <f>VLOOKUP(I806,PGStock[],2,FALSE)</f>
        <v>#N/A</v>
      </c>
      <c r="K806" s="30" t="e">
        <f>VLOOKUP(I806,PGStock[],3,FALSE)</f>
        <v>#N/A</v>
      </c>
      <c r="M806" s="62" t="e">
        <f>VLOOKUP(I806,PGStock[],6,FALSE)</f>
        <v>#N/A</v>
      </c>
      <c r="N806" s="62" t="e">
        <f>+Table8[[#This Row],[SalesBot]]*Table8[[#This Row],[Bonus]]</f>
        <v>#N/A</v>
      </c>
    </row>
    <row r="807" spans="1:14" ht="23.25" customHeight="1" x14ac:dyDescent="0.25">
      <c r="A807" s="59">
        <f t="shared" si="88"/>
        <v>1900</v>
      </c>
      <c r="B807" s="59">
        <f t="shared" si="89"/>
        <v>1</v>
      </c>
      <c r="C807" s="60"/>
      <c r="D807" s="61"/>
      <c r="F807" s="23" t="e">
        <f>VLOOKUP(E807,Customers[],2,FALSE)</f>
        <v>#N/A</v>
      </c>
      <c r="G807" s="23" t="e">
        <f>VLOOKUP(E807,Customers[],3,FALSE)</f>
        <v>#N/A</v>
      </c>
      <c r="H807" s="23" t="e">
        <f>VLOOKUP(E807,Customers[],4,FALSE)</f>
        <v>#N/A</v>
      </c>
      <c r="J807" s="29" t="e">
        <f>VLOOKUP(I807,PGStock[],2,FALSE)</f>
        <v>#N/A</v>
      </c>
      <c r="K807" s="30" t="e">
        <f>VLOOKUP(I807,PGStock[],3,FALSE)</f>
        <v>#N/A</v>
      </c>
      <c r="M807" s="62" t="e">
        <f>VLOOKUP(I807,PGStock[],6,FALSE)</f>
        <v>#N/A</v>
      </c>
      <c r="N807" s="62" t="e">
        <f>+Table8[[#This Row],[SalesBot]]*Table8[[#This Row],[Bonus]]</f>
        <v>#N/A</v>
      </c>
    </row>
    <row r="808" spans="1:14" ht="23.25" customHeight="1" x14ac:dyDescent="0.25">
      <c r="A808" s="59">
        <f t="shared" si="88"/>
        <v>1900</v>
      </c>
      <c r="B808" s="59">
        <f t="shared" si="89"/>
        <v>1</v>
      </c>
      <c r="C808" s="60"/>
      <c r="D808" s="61"/>
      <c r="F808" s="23" t="e">
        <f>VLOOKUP(E808,Customers[],2,FALSE)</f>
        <v>#N/A</v>
      </c>
      <c r="G808" s="23" t="e">
        <f>VLOOKUP(E808,Customers[],3,FALSE)</f>
        <v>#N/A</v>
      </c>
      <c r="H808" s="23" t="e">
        <f>VLOOKUP(E808,Customers[],4,FALSE)</f>
        <v>#N/A</v>
      </c>
      <c r="J808" s="29" t="e">
        <f>VLOOKUP(I808,PGStock[],2,FALSE)</f>
        <v>#N/A</v>
      </c>
      <c r="K808" s="30" t="e">
        <f>VLOOKUP(I808,PGStock[],3,FALSE)</f>
        <v>#N/A</v>
      </c>
      <c r="M808" s="62" t="e">
        <f>VLOOKUP(I808,PGStock[],6,FALSE)</f>
        <v>#N/A</v>
      </c>
      <c r="N808" s="62" t="e">
        <f>+Table8[[#This Row],[SalesBot]]*Table8[[#This Row],[Bonus]]</f>
        <v>#N/A</v>
      </c>
    </row>
    <row r="809" spans="1:14" ht="23.25" customHeight="1" x14ac:dyDescent="0.25">
      <c r="A809" s="59">
        <f t="shared" si="88"/>
        <v>1900</v>
      </c>
      <c r="B809" s="59">
        <f t="shared" si="89"/>
        <v>1</v>
      </c>
      <c r="C809" s="60"/>
      <c r="D809" s="61"/>
      <c r="F809" s="23" t="e">
        <f>VLOOKUP(E809,Customers[],2,FALSE)</f>
        <v>#N/A</v>
      </c>
      <c r="G809" s="23" t="e">
        <f>VLOOKUP(E809,Customers[],3,FALSE)</f>
        <v>#N/A</v>
      </c>
      <c r="H809" s="23" t="e">
        <f>VLOOKUP(E809,Customers[],4,FALSE)</f>
        <v>#N/A</v>
      </c>
      <c r="J809" s="29" t="e">
        <f>VLOOKUP(I809,PGStock[],2,FALSE)</f>
        <v>#N/A</v>
      </c>
      <c r="K809" s="30" t="e">
        <f>VLOOKUP(I809,PGStock[],3,FALSE)</f>
        <v>#N/A</v>
      </c>
      <c r="M809" s="62" t="e">
        <f>VLOOKUP(I809,PGStock[],6,FALSE)</f>
        <v>#N/A</v>
      </c>
      <c r="N809" s="62" t="e">
        <f>+Table8[[#This Row],[SalesBot]]*Table8[[#This Row],[Bonus]]</f>
        <v>#N/A</v>
      </c>
    </row>
    <row r="810" spans="1:14" ht="23.25" customHeight="1" x14ac:dyDescent="0.25">
      <c r="A810" s="59">
        <f t="shared" si="88"/>
        <v>1900</v>
      </c>
      <c r="B810" s="59">
        <f t="shared" si="89"/>
        <v>1</v>
      </c>
      <c r="C810" s="60"/>
      <c r="D810" s="61"/>
      <c r="F810" s="23" t="e">
        <f>VLOOKUP(E810,Customers[],2,FALSE)</f>
        <v>#N/A</v>
      </c>
      <c r="G810" s="23" t="e">
        <f>VLOOKUP(E810,Customers[],3,FALSE)</f>
        <v>#N/A</v>
      </c>
      <c r="H810" s="23" t="e">
        <f>VLOOKUP(E810,Customers[],4,FALSE)</f>
        <v>#N/A</v>
      </c>
      <c r="J810" s="29" t="e">
        <f>VLOOKUP(I810,PGStock[],2,FALSE)</f>
        <v>#N/A</v>
      </c>
      <c r="K810" s="30" t="e">
        <f>VLOOKUP(I810,PGStock[],3,FALSE)</f>
        <v>#N/A</v>
      </c>
      <c r="M810" s="62" t="e">
        <f>VLOOKUP(I810,PGStock[],6,FALSE)</f>
        <v>#N/A</v>
      </c>
      <c r="N810" s="62" t="e">
        <f>+Table8[[#This Row],[SalesBot]]*Table8[[#This Row],[Bonus]]</f>
        <v>#N/A</v>
      </c>
    </row>
    <row r="811" spans="1:14" ht="23.25" customHeight="1" x14ac:dyDescent="0.25">
      <c r="A811" s="59">
        <f t="shared" si="88"/>
        <v>1900</v>
      </c>
      <c r="B811" s="59">
        <f t="shared" si="89"/>
        <v>1</v>
      </c>
      <c r="C811" s="60"/>
      <c r="D811" s="61"/>
      <c r="F811" s="23" t="e">
        <f>VLOOKUP(E811,Customers[],2,FALSE)</f>
        <v>#N/A</v>
      </c>
      <c r="G811" s="23" t="e">
        <f>VLOOKUP(E811,Customers[],3,FALSE)</f>
        <v>#N/A</v>
      </c>
      <c r="H811" s="23" t="e">
        <f>VLOOKUP(E811,Customers[],4,FALSE)</f>
        <v>#N/A</v>
      </c>
      <c r="J811" s="29" t="e">
        <f>VLOOKUP(I811,PGStock[],2,FALSE)</f>
        <v>#N/A</v>
      </c>
      <c r="K811" s="30" t="e">
        <f>VLOOKUP(I811,PGStock[],3,FALSE)</f>
        <v>#N/A</v>
      </c>
      <c r="M811" s="62" t="e">
        <f>VLOOKUP(I811,PGStock[],6,FALSE)</f>
        <v>#N/A</v>
      </c>
      <c r="N811" s="62" t="e">
        <f>+Table8[[#This Row],[SalesBot]]*Table8[[#This Row],[Bonus]]</f>
        <v>#N/A</v>
      </c>
    </row>
    <row r="812" spans="1:14" ht="23.25" customHeight="1" x14ac:dyDescent="0.25">
      <c r="A812" s="59">
        <f t="shared" si="88"/>
        <v>1900</v>
      </c>
      <c r="B812" s="59">
        <f t="shared" si="89"/>
        <v>1</v>
      </c>
      <c r="C812" s="60"/>
      <c r="D812" s="61"/>
      <c r="F812" s="23" t="e">
        <f>VLOOKUP(E812,Customers[],2,FALSE)</f>
        <v>#N/A</v>
      </c>
      <c r="G812" s="23" t="e">
        <f>VLOOKUP(E812,Customers[],3,FALSE)</f>
        <v>#N/A</v>
      </c>
      <c r="H812" s="23" t="e">
        <f>VLOOKUP(E812,Customers[],4,FALSE)</f>
        <v>#N/A</v>
      </c>
      <c r="J812" s="29" t="e">
        <f>VLOOKUP(I812,PGStock[],2,FALSE)</f>
        <v>#N/A</v>
      </c>
      <c r="K812" s="30" t="e">
        <f>VLOOKUP(I812,PGStock[],3,FALSE)</f>
        <v>#N/A</v>
      </c>
      <c r="M812" s="62" t="e">
        <f>VLOOKUP(I812,PGStock[],6,FALSE)</f>
        <v>#N/A</v>
      </c>
      <c r="N812" s="62" t="e">
        <f>+Table8[[#This Row],[SalesBot]]*Table8[[#This Row],[Bonus]]</f>
        <v>#N/A</v>
      </c>
    </row>
    <row r="813" spans="1:14" ht="23.25" customHeight="1" x14ac:dyDescent="0.25">
      <c r="A813" s="59">
        <f t="shared" si="88"/>
        <v>1900</v>
      </c>
      <c r="B813" s="59">
        <f t="shared" si="89"/>
        <v>1</v>
      </c>
      <c r="C813" s="60"/>
      <c r="D813" s="61"/>
      <c r="F813" s="23" t="e">
        <f>VLOOKUP(E813,Customers[],2,FALSE)</f>
        <v>#N/A</v>
      </c>
      <c r="G813" s="23" t="e">
        <f>VLOOKUP(E813,Customers[],3,FALSE)</f>
        <v>#N/A</v>
      </c>
      <c r="H813" s="23" t="e">
        <f>VLOOKUP(E813,Customers[],4,FALSE)</f>
        <v>#N/A</v>
      </c>
      <c r="J813" s="29" t="e">
        <f>VLOOKUP(I813,PGStock[],2,FALSE)</f>
        <v>#N/A</v>
      </c>
      <c r="K813" s="30" t="e">
        <f>VLOOKUP(I813,PGStock[],3,FALSE)</f>
        <v>#N/A</v>
      </c>
      <c r="M813" s="62" t="e">
        <f>VLOOKUP(I813,PGStock[],6,FALSE)</f>
        <v>#N/A</v>
      </c>
      <c r="N813" s="62" t="e">
        <f>+Table8[[#This Row],[SalesBot]]*Table8[[#This Row],[Bonus]]</f>
        <v>#N/A</v>
      </c>
    </row>
    <row r="814" spans="1:14" ht="23.25" customHeight="1" x14ac:dyDescent="0.25">
      <c r="A814" s="59">
        <f t="shared" ref="A814:A914" si="90">YEAR(C814)</f>
        <v>1900</v>
      </c>
      <c r="B814" s="59">
        <f t="shared" ref="B814:B914" si="91">MONTH(C814)</f>
        <v>1</v>
      </c>
      <c r="C814" s="60"/>
      <c r="D814" s="61"/>
      <c r="F814" s="23" t="e">
        <f>VLOOKUP(E814,Customers[],2,FALSE)</f>
        <v>#N/A</v>
      </c>
      <c r="G814" s="23" t="e">
        <f>VLOOKUP(E814,Customers[],3,FALSE)</f>
        <v>#N/A</v>
      </c>
      <c r="H814" s="23" t="e">
        <f>VLOOKUP(E814,Customers[],4,FALSE)</f>
        <v>#N/A</v>
      </c>
      <c r="J814" s="29" t="e">
        <f>VLOOKUP(I814,PGStock[],2,FALSE)</f>
        <v>#N/A</v>
      </c>
      <c r="K814" s="30" t="e">
        <f>VLOOKUP(I814,PGStock[],3,FALSE)</f>
        <v>#N/A</v>
      </c>
      <c r="M814" s="62" t="e">
        <f>VLOOKUP(I814,PGStock[],6,FALSE)</f>
        <v>#N/A</v>
      </c>
      <c r="N814" s="62" t="e">
        <f>+Table8[[#This Row],[SalesBot]]*Table8[[#This Row],[Bonus]]</f>
        <v>#N/A</v>
      </c>
    </row>
    <row r="815" spans="1:14" ht="23.25" customHeight="1" x14ac:dyDescent="0.25">
      <c r="A815" s="59">
        <f t="shared" si="90"/>
        <v>1900</v>
      </c>
      <c r="B815" s="59">
        <f t="shared" si="91"/>
        <v>1</v>
      </c>
      <c r="C815" s="60"/>
      <c r="D815" s="61"/>
      <c r="F815" s="23" t="e">
        <f>VLOOKUP(E815,Customers[],2,FALSE)</f>
        <v>#N/A</v>
      </c>
      <c r="G815" s="23" t="e">
        <f>VLOOKUP(E815,Customers[],3,FALSE)</f>
        <v>#N/A</v>
      </c>
      <c r="H815" s="23" t="e">
        <f>VLOOKUP(E815,Customers[],4,FALSE)</f>
        <v>#N/A</v>
      </c>
      <c r="J815" s="29" t="e">
        <f>VLOOKUP(I815,PGStock[],2,FALSE)</f>
        <v>#N/A</v>
      </c>
      <c r="K815" s="30" t="e">
        <f>VLOOKUP(I815,PGStock[],3,FALSE)</f>
        <v>#N/A</v>
      </c>
      <c r="M815" s="62" t="e">
        <f>VLOOKUP(I815,PGStock[],6,FALSE)</f>
        <v>#N/A</v>
      </c>
      <c r="N815" s="62" t="e">
        <f>+Table8[[#This Row],[SalesBot]]*Table8[[#This Row],[Bonus]]</f>
        <v>#N/A</v>
      </c>
    </row>
    <row r="816" spans="1:14" ht="23.25" customHeight="1" x14ac:dyDescent="0.25">
      <c r="A816" s="59">
        <f t="shared" si="90"/>
        <v>1900</v>
      </c>
      <c r="B816" s="59">
        <f t="shared" si="91"/>
        <v>1</v>
      </c>
      <c r="C816" s="60"/>
      <c r="D816" s="61"/>
      <c r="F816" s="23" t="e">
        <f>VLOOKUP(E816,Customers[],2,FALSE)</f>
        <v>#N/A</v>
      </c>
      <c r="G816" s="23" t="e">
        <f>VLOOKUP(E816,Customers[],3,FALSE)</f>
        <v>#N/A</v>
      </c>
      <c r="H816" s="23" t="e">
        <f>VLOOKUP(E816,Customers[],4,FALSE)</f>
        <v>#N/A</v>
      </c>
      <c r="J816" s="29" t="e">
        <f>VLOOKUP(I816,PGStock[],2,FALSE)</f>
        <v>#N/A</v>
      </c>
      <c r="K816" s="30" t="e">
        <f>VLOOKUP(I816,PGStock[],3,FALSE)</f>
        <v>#N/A</v>
      </c>
      <c r="M816" s="62" t="e">
        <f>VLOOKUP(I816,PGStock[],6,FALSE)</f>
        <v>#N/A</v>
      </c>
      <c r="N816" s="62" t="e">
        <f>+Table8[[#This Row],[SalesBot]]*Table8[[#This Row],[Bonus]]</f>
        <v>#N/A</v>
      </c>
    </row>
    <row r="817" spans="1:14" ht="23.25" customHeight="1" x14ac:dyDescent="0.25">
      <c r="A817" s="59">
        <f t="shared" si="90"/>
        <v>1900</v>
      </c>
      <c r="B817" s="59">
        <f t="shared" si="91"/>
        <v>1</v>
      </c>
      <c r="C817" s="60"/>
      <c r="D817" s="61"/>
      <c r="F817" s="23" t="e">
        <f>VLOOKUP(E817,Customers[],2,FALSE)</f>
        <v>#N/A</v>
      </c>
      <c r="G817" s="23" t="e">
        <f>VLOOKUP(E817,Customers[],3,FALSE)</f>
        <v>#N/A</v>
      </c>
      <c r="H817" s="23" t="e">
        <f>VLOOKUP(E817,Customers[],4,FALSE)</f>
        <v>#N/A</v>
      </c>
      <c r="J817" s="29" t="e">
        <f>VLOOKUP(I817,PGStock[],2,FALSE)</f>
        <v>#N/A</v>
      </c>
      <c r="K817" s="30" t="e">
        <f>VLOOKUP(I817,PGStock[],3,FALSE)</f>
        <v>#N/A</v>
      </c>
      <c r="M817" s="62" t="e">
        <f>VLOOKUP(I817,PGStock[],6,FALSE)</f>
        <v>#N/A</v>
      </c>
      <c r="N817" s="62" t="e">
        <f>+Table8[[#This Row],[SalesBot]]*Table8[[#This Row],[Bonus]]</f>
        <v>#N/A</v>
      </c>
    </row>
    <row r="818" spans="1:14" ht="23.25" customHeight="1" x14ac:dyDescent="0.25">
      <c r="A818" s="59">
        <f t="shared" si="90"/>
        <v>1900</v>
      </c>
      <c r="B818" s="59">
        <f t="shared" si="91"/>
        <v>1</v>
      </c>
      <c r="C818" s="60"/>
      <c r="D818" s="61"/>
      <c r="F818" s="23" t="e">
        <f>VLOOKUP(E818,Customers[],2,FALSE)</f>
        <v>#N/A</v>
      </c>
      <c r="G818" s="23" t="e">
        <f>VLOOKUP(E818,Customers[],3,FALSE)</f>
        <v>#N/A</v>
      </c>
      <c r="H818" s="23" t="e">
        <f>VLOOKUP(E818,Customers[],4,FALSE)</f>
        <v>#N/A</v>
      </c>
      <c r="J818" s="29" t="e">
        <f>VLOOKUP(I818,PGStock[],2,FALSE)</f>
        <v>#N/A</v>
      </c>
      <c r="K818" s="30" t="e">
        <f>VLOOKUP(I818,PGStock[],3,FALSE)</f>
        <v>#N/A</v>
      </c>
      <c r="M818" s="62" t="e">
        <f>VLOOKUP(I818,PGStock[],6,FALSE)</f>
        <v>#N/A</v>
      </c>
      <c r="N818" s="62" t="e">
        <f>+Table8[[#This Row],[SalesBot]]*Table8[[#This Row],[Bonus]]</f>
        <v>#N/A</v>
      </c>
    </row>
    <row r="819" spans="1:14" ht="23.25" customHeight="1" x14ac:dyDescent="0.25">
      <c r="A819" s="59">
        <f t="shared" si="90"/>
        <v>1900</v>
      </c>
      <c r="B819" s="59">
        <f t="shared" si="91"/>
        <v>1</v>
      </c>
      <c r="C819" s="60"/>
      <c r="D819" s="61"/>
      <c r="F819" s="23" t="e">
        <f>VLOOKUP(E819,Customers[],2,FALSE)</f>
        <v>#N/A</v>
      </c>
      <c r="G819" s="23" t="e">
        <f>VLOOKUP(E819,Customers[],3,FALSE)</f>
        <v>#N/A</v>
      </c>
      <c r="H819" s="23" t="e">
        <f>VLOOKUP(E819,Customers[],4,FALSE)</f>
        <v>#N/A</v>
      </c>
      <c r="J819" s="29" t="e">
        <f>VLOOKUP(I819,PGStock[],2,FALSE)</f>
        <v>#N/A</v>
      </c>
      <c r="K819" s="30" t="e">
        <f>VLOOKUP(I819,PGStock[],3,FALSE)</f>
        <v>#N/A</v>
      </c>
      <c r="M819" s="62" t="e">
        <f>VLOOKUP(I819,PGStock[],6,FALSE)</f>
        <v>#N/A</v>
      </c>
      <c r="N819" s="62" t="e">
        <f>+Table8[[#This Row],[SalesBot]]*Table8[[#This Row],[Bonus]]</f>
        <v>#N/A</v>
      </c>
    </row>
    <row r="820" spans="1:14" ht="23.25" customHeight="1" x14ac:dyDescent="0.25">
      <c r="A820" s="59">
        <f t="shared" si="90"/>
        <v>1900</v>
      </c>
      <c r="B820" s="59">
        <f t="shared" si="91"/>
        <v>1</v>
      </c>
      <c r="C820" s="60"/>
      <c r="D820" s="61"/>
      <c r="F820" s="23" t="e">
        <f>VLOOKUP(E820,Customers[],2,FALSE)</f>
        <v>#N/A</v>
      </c>
      <c r="G820" s="23" t="e">
        <f>VLOOKUP(E820,Customers[],3,FALSE)</f>
        <v>#N/A</v>
      </c>
      <c r="H820" s="23" t="e">
        <f>VLOOKUP(E820,Customers[],4,FALSE)</f>
        <v>#N/A</v>
      </c>
      <c r="J820" s="29" t="e">
        <f>VLOOKUP(I820,PGStock[],2,FALSE)</f>
        <v>#N/A</v>
      </c>
      <c r="K820" s="30" t="e">
        <f>VLOOKUP(I820,PGStock[],3,FALSE)</f>
        <v>#N/A</v>
      </c>
      <c r="M820" s="62" t="e">
        <f>VLOOKUP(I820,PGStock[],6,FALSE)</f>
        <v>#N/A</v>
      </c>
      <c r="N820" s="62" t="e">
        <f>+Table8[[#This Row],[SalesBot]]*Table8[[#This Row],[Bonus]]</f>
        <v>#N/A</v>
      </c>
    </row>
    <row r="821" spans="1:14" ht="23.25" customHeight="1" x14ac:dyDescent="0.25">
      <c r="A821" s="59">
        <f t="shared" si="90"/>
        <v>1900</v>
      </c>
      <c r="B821" s="59">
        <f t="shared" si="91"/>
        <v>1</v>
      </c>
      <c r="C821" s="60"/>
      <c r="D821" s="61"/>
      <c r="F821" s="23" t="e">
        <f>VLOOKUP(E821,Customers[],2,FALSE)</f>
        <v>#N/A</v>
      </c>
      <c r="G821" s="23" t="e">
        <f>VLOOKUP(E821,Customers[],3,FALSE)</f>
        <v>#N/A</v>
      </c>
      <c r="H821" s="23" t="e">
        <f>VLOOKUP(E821,Customers[],4,FALSE)</f>
        <v>#N/A</v>
      </c>
      <c r="J821" s="29" t="e">
        <f>VLOOKUP(I821,PGStock[],2,FALSE)</f>
        <v>#N/A</v>
      </c>
      <c r="K821" s="30" t="e">
        <f>VLOOKUP(I821,PGStock[],3,FALSE)</f>
        <v>#N/A</v>
      </c>
      <c r="M821" s="62" t="e">
        <f>VLOOKUP(I821,PGStock[],6,FALSE)</f>
        <v>#N/A</v>
      </c>
      <c r="N821" s="62" t="e">
        <f>+Table8[[#This Row],[SalesBot]]*Table8[[#This Row],[Bonus]]</f>
        <v>#N/A</v>
      </c>
    </row>
    <row r="822" spans="1:14" ht="23.25" customHeight="1" x14ac:dyDescent="0.25">
      <c r="A822" s="59">
        <f t="shared" si="90"/>
        <v>1900</v>
      </c>
      <c r="B822" s="59">
        <f t="shared" si="91"/>
        <v>1</v>
      </c>
      <c r="C822" s="60"/>
      <c r="D822" s="61"/>
      <c r="F822" s="23" t="e">
        <f>VLOOKUP(E822,Customers[],2,FALSE)</f>
        <v>#N/A</v>
      </c>
      <c r="G822" s="23" t="e">
        <f>VLOOKUP(E822,Customers[],3,FALSE)</f>
        <v>#N/A</v>
      </c>
      <c r="H822" s="23" t="e">
        <f>VLOOKUP(E822,Customers[],4,FALSE)</f>
        <v>#N/A</v>
      </c>
      <c r="J822" s="29" t="e">
        <f>VLOOKUP(I822,PGStock[],2,FALSE)</f>
        <v>#N/A</v>
      </c>
      <c r="K822" s="30" t="e">
        <f>VLOOKUP(I822,PGStock[],3,FALSE)</f>
        <v>#N/A</v>
      </c>
      <c r="M822" s="62" t="e">
        <f>VLOOKUP(I822,PGStock[],6,FALSE)</f>
        <v>#N/A</v>
      </c>
      <c r="N822" s="62" t="e">
        <f>+Table8[[#This Row],[SalesBot]]*Table8[[#This Row],[Bonus]]</f>
        <v>#N/A</v>
      </c>
    </row>
    <row r="823" spans="1:14" ht="23.25" customHeight="1" x14ac:dyDescent="0.25">
      <c r="A823" s="59">
        <f t="shared" si="90"/>
        <v>1900</v>
      </c>
      <c r="B823" s="59">
        <f t="shared" si="91"/>
        <v>1</v>
      </c>
      <c r="C823" s="60"/>
      <c r="D823" s="61"/>
      <c r="F823" s="23" t="e">
        <f>VLOOKUP(E823,Customers[],2,FALSE)</f>
        <v>#N/A</v>
      </c>
      <c r="G823" s="23" t="e">
        <f>VLOOKUP(E823,Customers[],3,FALSE)</f>
        <v>#N/A</v>
      </c>
      <c r="H823" s="23" t="e">
        <f>VLOOKUP(E823,Customers[],4,FALSE)</f>
        <v>#N/A</v>
      </c>
      <c r="J823" s="29" t="e">
        <f>VLOOKUP(I823,PGStock[],2,FALSE)</f>
        <v>#N/A</v>
      </c>
      <c r="K823" s="30" t="e">
        <f>VLOOKUP(I823,PGStock[],3,FALSE)</f>
        <v>#N/A</v>
      </c>
      <c r="M823" s="62" t="e">
        <f>VLOOKUP(I823,PGStock[],6,FALSE)</f>
        <v>#N/A</v>
      </c>
      <c r="N823" s="62" t="e">
        <f>+Table8[[#This Row],[SalesBot]]*Table8[[#This Row],[Bonus]]</f>
        <v>#N/A</v>
      </c>
    </row>
    <row r="824" spans="1:14" ht="23.25" customHeight="1" x14ac:dyDescent="0.25">
      <c r="A824" s="59">
        <f t="shared" si="90"/>
        <v>1900</v>
      </c>
      <c r="B824" s="59">
        <f t="shared" si="91"/>
        <v>1</v>
      </c>
      <c r="C824" s="60"/>
      <c r="D824" s="61"/>
      <c r="F824" s="23" t="e">
        <f>VLOOKUP(E824,Customers[],2,FALSE)</f>
        <v>#N/A</v>
      </c>
      <c r="G824" s="23" t="e">
        <f>VLOOKUP(E824,Customers[],3,FALSE)</f>
        <v>#N/A</v>
      </c>
      <c r="H824" s="23" t="e">
        <f>VLOOKUP(E824,Customers[],4,FALSE)</f>
        <v>#N/A</v>
      </c>
      <c r="J824" s="29" t="e">
        <f>VLOOKUP(I824,PGStock[],2,FALSE)</f>
        <v>#N/A</v>
      </c>
      <c r="K824" s="30" t="e">
        <f>VLOOKUP(I824,PGStock[],3,FALSE)</f>
        <v>#N/A</v>
      </c>
      <c r="M824" s="62" t="e">
        <f>VLOOKUP(I824,PGStock[],6,FALSE)</f>
        <v>#N/A</v>
      </c>
      <c r="N824" s="62" t="e">
        <f>+Table8[[#This Row],[SalesBot]]*Table8[[#This Row],[Bonus]]</f>
        <v>#N/A</v>
      </c>
    </row>
    <row r="825" spans="1:14" ht="23.25" customHeight="1" x14ac:dyDescent="0.25">
      <c r="A825" s="59">
        <f t="shared" si="90"/>
        <v>1900</v>
      </c>
      <c r="B825" s="59">
        <f t="shared" si="91"/>
        <v>1</v>
      </c>
      <c r="C825" s="60"/>
      <c r="D825" s="61"/>
      <c r="F825" s="23" t="e">
        <f>VLOOKUP(E825,Customers[],2,FALSE)</f>
        <v>#N/A</v>
      </c>
      <c r="G825" s="23" t="e">
        <f>VLOOKUP(E825,Customers[],3,FALSE)</f>
        <v>#N/A</v>
      </c>
      <c r="H825" s="23" t="e">
        <f>VLOOKUP(E825,Customers[],4,FALSE)</f>
        <v>#N/A</v>
      </c>
      <c r="J825" s="29" t="e">
        <f>VLOOKUP(I825,PGStock[],2,FALSE)</f>
        <v>#N/A</v>
      </c>
      <c r="K825" s="30" t="e">
        <f>VLOOKUP(I825,PGStock[],3,FALSE)</f>
        <v>#N/A</v>
      </c>
      <c r="M825" s="62" t="e">
        <f>VLOOKUP(I825,PGStock[],6,FALSE)</f>
        <v>#N/A</v>
      </c>
      <c r="N825" s="62" t="e">
        <f>+Table8[[#This Row],[SalesBot]]*Table8[[#This Row],[Bonus]]</f>
        <v>#N/A</v>
      </c>
    </row>
    <row r="826" spans="1:14" ht="23.25" customHeight="1" x14ac:dyDescent="0.25">
      <c r="A826" s="59">
        <f t="shared" si="90"/>
        <v>1900</v>
      </c>
      <c r="B826" s="59">
        <f t="shared" si="91"/>
        <v>1</v>
      </c>
      <c r="C826" s="60"/>
      <c r="D826" s="61"/>
      <c r="F826" s="23" t="e">
        <f>VLOOKUP(E826,Customers[],2,FALSE)</f>
        <v>#N/A</v>
      </c>
      <c r="G826" s="23" t="e">
        <f>VLOOKUP(E826,Customers[],3,FALSE)</f>
        <v>#N/A</v>
      </c>
      <c r="H826" s="23" t="e">
        <f>VLOOKUP(E826,Customers[],4,FALSE)</f>
        <v>#N/A</v>
      </c>
      <c r="J826" s="29" t="e">
        <f>VLOOKUP(I826,PGStock[],2,FALSE)</f>
        <v>#N/A</v>
      </c>
      <c r="K826" s="30" t="e">
        <f>VLOOKUP(I826,PGStock[],3,FALSE)</f>
        <v>#N/A</v>
      </c>
      <c r="M826" s="62" t="e">
        <f>VLOOKUP(I826,PGStock[],6,FALSE)</f>
        <v>#N/A</v>
      </c>
      <c r="N826" s="62" t="e">
        <f>+Table8[[#This Row],[SalesBot]]*Table8[[#This Row],[Bonus]]</f>
        <v>#N/A</v>
      </c>
    </row>
    <row r="827" spans="1:14" ht="23.25" customHeight="1" x14ac:dyDescent="0.25">
      <c r="A827" s="59">
        <f t="shared" si="90"/>
        <v>1900</v>
      </c>
      <c r="B827" s="59">
        <f t="shared" si="91"/>
        <v>1</v>
      </c>
      <c r="C827" s="60"/>
      <c r="D827" s="61"/>
      <c r="F827" s="23" t="e">
        <f>VLOOKUP(E827,Customers[],2,FALSE)</f>
        <v>#N/A</v>
      </c>
      <c r="G827" s="23" t="e">
        <f>VLOOKUP(E827,Customers[],3,FALSE)</f>
        <v>#N/A</v>
      </c>
      <c r="H827" s="23" t="e">
        <f>VLOOKUP(E827,Customers[],4,FALSE)</f>
        <v>#N/A</v>
      </c>
      <c r="J827" s="29" t="e">
        <f>VLOOKUP(I827,PGStock[],2,FALSE)</f>
        <v>#N/A</v>
      </c>
      <c r="K827" s="30" t="e">
        <f>VLOOKUP(I827,PGStock[],3,FALSE)</f>
        <v>#N/A</v>
      </c>
      <c r="M827" s="62" t="e">
        <f>VLOOKUP(I827,PGStock[],6,FALSE)</f>
        <v>#N/A</v>
      </c>
      <c r="N827" s="62" t="e">
        <f>+Table8[[#This Row],[SalesBot]]*Table8[[#This Row],[Bonus]]</f>
        <v>#N/A</v>
      </c>
    </row>
    <row r="828" spans="1:14" ht="23.25" customHeight="1" x14ac:dyDescent="0.25">
      <c r="A828" s="59">
        <f t="shared" si="90"/>
        <v>1900</v>
      </c>
      <c r="B828" s="59">
        <f t="shared" si="91"/>
        <v>1</v>
      </c>
      <c r="C828" s="60"/>
      <c r="D828" s="61"/>
      <c r="F828" s="23" t="e">
        <f>VLOOKUP(E828,Customers[],2,FALSE)</f>
        <v>#N/A</v>
      </c>
      <c r="G828" s="23" t="e">
        <f>VLOOKUP(E828,Customers[],3,FALSE)</f>
        <v>#N/A</v>
      </c>
      <c r="H828" s="23" t="e">
        <f>VLOOKUP(E828,Customers[],4,FALSE)</f>
        <v>#N/A</v>
      </c>
      <c r="J828" s="29" t="e">
        <f>VLOOKUP(I828,PGStock[],2,FALSE)</f>
        <v>#N/A</v>
      </c>
      <c r="K828" s="30" t="e">
        <f>VLOOKUP(I828,PGStock[],3,FALSE)</f>
        <v>#N/A</v>
      </c>
      <c r="M828" s="62" t="e">
        <f>VLOOKUP(I828,PGStock[],6,FALSE)</f>
        <v>#N/A</v>
      </c>
      <c r="N828" s="62" t="e">
        <f>+Table8[[#This Row],[SalesBot]]*Table8[[#This Row],[Bonus]]</f>
        <v>#N/A</v>
      </c>
    </row>
    <row r="829" spans="1:14" ht="23.25" customHeight="1" x14ac:dyDescent="0.25">
      <c r="A829" s="59">
        <f t="shared" si="90"/>
        <v>1900</v>
      </c>
      <c r="B829" s="59">
        <f t="shared" si="91"/>
        <v>1</v>
      </c>
      <c r="C829" s="60"/>
      <c r="D829" s="61"/>
      <c r="F829" s="23" t="e">
        <f>VLOOKUP(E829,Customers[],2,FALSE)</f>
        <v>#N/A</v>
      </c>
      <c r="G829" s="23" t="e">
        <f>VLOOKUP(E829,Customers[],3,FALSE)</f>
        <v>#N/A</v>
      </c>
      <c r="H829" s="23" t="e">
        <f>VLOOKUP(E829,Customers[],4,FALSE)</f>
        <v>#N/A</v>
      </c>
      <c r="J829" s="29" t="e">
        <f>VLOOKUP(I829,PGStock[],2,FALSE)</f>
        <v>#N/A</v>
      </c>
      <c r="K829" s="30" t="e">
        <f>VLOOKUP(I829,PGStock[],3,FALSE)</f>
        <v>#N/A</v>
      </c>
      <c r="M829" s="62" t="e">
        <f>VLOOKUP(I829,PGStock[],6,FALSE)</f>
        <v>#N/A</v>
      </c>
      <c r="N829" s="62" t="e">
        <f>+Table8[[#This Row],[SalesBot]]*Table8[[#This Row],[Bonus]]</f>
        <v>#N/A</v>
      </c>
    </row>
    <row r="830" spans="1:14" ht="23.25" customHeight="1" x14ac:dyDescent="0.25">
      <c r="A830" s="59">
        <f t="shared" si="90"/>
        <v>1900</v>
      </c>
      <c r="B830" s="59">
        <f t="shared" si="91"/>
        <v>1</v>
      </c>
      <c r="C830" s="60"/>
      <c r="D830" s="61"/>
      <c r="F830" s="23" t="e">
        <f>VLOOKUP(E830,Customers[],2,FALSE)</f>
        <v>#N/A</v>
      </c>
      <c r="G830" s="23" t="e">
        <f>VLOOKUP(E830,Customers[],3,FALSE)</f>
        <v>#N/A</v>
      </c>
      <c r="H830" s="23" t="e">
        <f>VLOOKUP(E830,Customers[],4,FALSE)</f>
        <v>#N/A</v>
      </c>
      <c r="J830" s="29" t="e">
        <f>VLOOKUP(I830,PGStock[],2,FALSE)</f>
        <v>#N/A</v>
      </c>
      <c r="K830" s="30" t="e">
        <f>VLOOKUP(I830,PGStock[],3,FALSE)</f>
        <v>#N/A</v>
      </c>
      <c r="M830" s="62" t="e">
        <f>VLOOKUP(I830,PGStock[],6,FALSE)</f>
        <v>#N/A</v>
      </c>
      <c r="N830" s="62" t="e">
        <f>+Table8[[#This Row],[SalesBot]]*Table8[[#This Row],[Bonus]]</f>
        <v>#N/A</v>
      </c>
    </row>
    <row r="831" spans="1:14" ht="23.25" customHeight="1" x14ac:dyDescent="0.25">
      <c r="A831" s="59">
        <f t="shared" si="90"/>
        <v>1900</v>
      </c>
      <c r="B831" s="59">
        <f t="shared" si="91"/>
        <v>1</v>
      </c>
      <c r="C831" s="60"/>
      <c r="D831" s="61"/>
      <c r="F831" s="23" t="e">
        <f>VLOOKUP(E831,Customers[],2,FALSE)</f>
        <v>#N/A</v>
      </c>
      <c r="G831" s="23" t="e">
        <f>VLOOKUP(E831,Customers[],3,FALSE)</f>
        <v>#N/A</v>
      </c>
      <c r="H831" s="23" t="e">
        <f>VLOOKUP(E831,Customers[],4,FALSE)</f>
        <v>#N/A</v>
      </c>
      <c r="J831" s="29" t="e">
        <f>VLOOKUP(I831,PGStock[],2,FALSE)</f>
        <v>#N/A</v>
      </c>
      <c r="K831" s="30" t="e">
        <f>VLOOKUP(I831,PGStock[],3,FALSE)</f>
        <v>#N/A</v>
      </c>
      <c r="M831" s="62" t="e">
        <f>VLOOKUP(I831,PGStock[],6,FALSE)</f>
        <v>#N/A</v>
      </c>
      <c r="N831" s="62" t="e">
        <f>+Table8[[#This Row],[SalesBot]]*Table8[[#This Row],[Bonus]]</f>
        <v>#N/A</v>
      </c>
    </row>
    <row r="832" spans="1:14" ht="23.25" customHeight="1" x14ac:dyDescent="0.25">
      <c r="A832" s="59">
        <f t="shared" si="90"/>
        <v>1900</v>
      </c>
      <c r="B832" s="59">
        <f t="shared" si="91"/>
        <v>1</v>
      </c>
      <c r="C832" s="60"/>
      <c r="D832" s="61"/>
      <c r="F832" s="23" t="e">
        <f>VLOOKUP(E832,Customers[],2,FALSE)</f>
        <v>#N/A</v>
      </c>
      <c r="G832" s="23" t="e">
        <f>VLOOKUP(E832,Customers[],3,FALSE)</f>
        <v>#N/A</v>
      </c>
      <c r="H832" s="23" t="e">
        <f>VLOOKUP(E832,Customers[],4,FALSE)</f>
        <v>#N/A</v>
      </c>
      <c r="J832" s="29" t="e">
        <f>VLOOKUP(I832,PGStock[],2,FALSE)</f>
        <v>#N/A</v>
      </c>
      <c r="K832" s="30" t="e">
        <f>VLOOKUP(I832,PGStock[],3,FALSE)</f>
        <v>#N/A</v>
      </c>
      <c r="M832" s="62" t="e">
        <f>VLOOKUP(I832,PGStock[],6,FALSE)</f>
        <v>#N/A</v>
      </c>
      <c r="N832" s="62" t="e">
        <f>+Table8[[#This Row],[SalesBot]]*Table8[[#This Row],[Bonus]]</f>
        <v>#N/A</v>
      </c>
    </row>
    <row r="833" spans="1:14" ht="23.25" customHeight="1" x14ac:dyDescent="0.25">
      <c r="A833" s="59">
        <f t="shared" si="90"/>
        <v>1900</v>
      </c>
      <c r="B833" s="59">
        <f t="shared" si="91"/>
        <v>1</v>
      </c>
      <c r="C833" s="60"/>
      <c r="D833" s="61"/>
      <c r="F833" s="23" t="e">
        <f>VLOOKUP(E833,Customers[],2,FALSE)</f>
        <v>#N/A</v>
      </c>
      <c r="G833" s="23" t="e">
        <f>VLOOKUP(E833,Customers[],3,FALSE)</f>
        <v>#N/A</v>
      </c>
      <c r="H833" s="23" t="e">
        <f>VLOOKUP(E833,Customers[],4,FALSE)</f>
        <v>#N/A</v>
      </c>
      <c r="J833" s="29" t="e">
        <f>VLOOKUP(I833,PGStock[],2,FALSE)</f>
        <v>#N/A</v>
      </c>
      <c r="K833" s="30" t="e">
        <f>VLOOKUP(I833,PGStock[],3,FALSE)</f>
        <v>#N/A</v>
      </c>
      <c r="M833" s="62" t="e">
        <f>VLOOKUP(I833,PGStock[],6,FALSE)</f>
        <v>#N/A</v>
      </c>
      <c r="N833" s="62" t="e">
        <f>+Table8[[#This Row],[SalesBot]]*Table8[[#This Row],[Bonus]]</f>
        <v>#N/A</v>
      </c>
    </row>
    <row r="834" spans="1:14" ht="23.25" customHeight="1" x14ac:dyDescent="0.25">
      <c r="A834" s="59">
        <f t="shared" si="90"/>
        <v>1900</v>
      </c>
      <c r="B834" s="59">
        <f t="shared" si="91"/>
        <v>1</v>
      </c>
      <c r="C834" s="60"/>
      <c r="D834" s="61"/>
      <c r="F834" s="23" t="e">
        <f>VLOOKUP(E834,Customers[],2,FALSE)</f>
        <v>#N/A</v>
      </c>
      <c r="G834" s="23" t="e">
        <f>VLOOKUP(E834,Customers[],3,FALSE)</f>
        <v>#N/A</v>
      </c>
      <c r="H834" s="23" t="e">
        <f>VLOOKUP(E834,Customers[],4,FALSE)</f>
        <v>#N/A</v>
      </c>
      <c r="J834" s="29" t="e">
        <f>VLOOKUP(I834,PGStock[],2,FALSE)</f>
        <v>#N/A</v>
      </c>
      <c r="K834" s="30" t="e">
        <f>VLOOKUP(I834,PGStock[],3,FALSE)</f>
        <v>#N/A</v>
      </c>
      <c r="M834" s="62" t="e">
        <f>VLOOKUP(I834,PGStock[],6,FALSE)</f>
        <v>#N/A</v>
      </c>
      <c r="N834" s="62" t="e">
        <f>+Table8[[#This Row],[SalesBot]]*Table8[[#This Row],[Bonus]]</f>
        <v>#N/A</v>
      </c>
    </row>
    <row r="835" spans="1:14" ht="23.25" customHeight="1" x14ac:dyDescent="0.25">
      <c r="A835" s="59">
        <f t="shared" si="90"/>
        <v>1900</v>
      </c>
      <c r="B835" s="59">
        <f t="shared" si="91"/>
        <v>1</v>
      </c>
      <c r="C835" s="60"/>
      <c r="D835" s="61"/>
      <c r="F835" s="23" t="e">
        <f>VLOOKUP(E835,Customers[],2,FALSE)</f>
        <v>#N/A</v>
      </c>
      <c r="G835" s="23" t="e">
        <f>VLOOKUP(E835,Customers[],3,FALSE)</f>
        <v>#N/A</v>
      </c>
      <c r="H835" s="23" t="e">
        <f>VLOOKUP(E835,Customers[],4,FALSE)</f>
        <v>#N/A</v>
      </c>
      <c r="J835" s="29" t="e">
        <f>VLOOKUP(I835,PGStock[],2,FALSE)</f>
        <v>#N/A</v>
      </c>
      <c r="K835" s="30" t="e">
        <f>VLOOKUP(I835,PGStock[],3,FALSE)</f>
        <v>#N/A</v>
      </c>
      <c r="M835" s="62" t="e">
        <f>VLOOKUP(I835,PGStock[],6,FALSE)</f>
        <v>#N/A</v>
      </c>
      <c r="N835" s="62" t="e">
        <f>+Table8[[#This Row],[SalesBot]]*Table8[[#This Row],[Bonus]]</f>
        <v>#N/A</v>
      </c>
    </row>
    <row r="836" spans="1:14" ht="23.25" customHeight="1" x14ac:dyDescent="0.25">
      <c r="A836" s="59">
        <f t="shared" ref="A836:A851" si="92">YEAR(C836)</f>
        <v>1900</v>
      </c>
      <c r="B836" s="59">
        <f t="shared" ref="B836:B851" si="93">MONTH(C836)</f>
        <v>1</v>
      </c>
      <c r="C836" s="60"/>
      <c r="D836" s="61"/>
      <c r="F836" s="23" t="e">
        <f>VLOOKUP(E836,Customers[],2,FALSE)</f>
        <v>#N/A</v>
      </c>
      <c r="G836" s="23" t="e">
        <f>VLOOKUP(E836,Customers[],3,FALSE)</f>
        <v>#N/A</v>
      </c>
      <c r="H836" s="23" t="e">
        <f>VLOOKUP(E836,Customers[],4,FALSE)</f>
        <v>#N/A</v>
      </c>
      <c r="J836" s="29" t="e">
        <f>VLOOKUP(I836,PGStock[],2,FALSE)</f>
        <v>#N/A</v>
      </c>
      <c r="K836" s="30" t="e">
        <f>VLOOKUP(I836,PGStock[],3,FALSE)</f>
        <v>#N/A</v>
      </c>
      <c r="M836" s="62" t="e">
        <f>VLOOKUP(I836,PGStock[],6,FALSE)</f>
        <v>#N/A</v>
      </c>
      <c r="N836" s="62" t="e">
        <f>+Table8[[#This Row],[SalesBot]]*Table8[[#This Row],[Bonus]]</f>
        <v>#N/A</v>
      </c>
    </row>
    <row r="837" spans="1:14" ht="23.25" customHeight="1" x14ac:dyDescent="0.25">
      <c r="A837" s="59">
        <f t="shared" si="92"/>
        <v>1900</v>
      </c>
      <c r="B837" s="59">
        <f t="shared" si="93"/>
        <v>1</v>
      </c>
      <c r="C837" s="60"/>
      <c r="D837" s="61"/>
      <c r="F837" s="23" t="e">
        <f>VLOOKUP(E837,Customers[],2,FALSE)</f>
        <v>#N/A</v>
      </c>
      <c r="G837" s="23" t="e">
        <f>VLOOKUP(E837,Customers[],3,FALSE)</f>
        <v>#N/A</v>
      </c>
      <c r="H837" s="23" t="e">
        <f>VLOOKUP(E837,Customers[],4,FALSE)</f>
        <v>#N/A</v>
      </c>
      <c r="J837" s="29" t="e">
        <f>VLOOKUP(I837,PGStock[],2,FALSE)</f>
        <v>#N/A</v>
      </c>
      <c r="K837" s="30" t="e">
        <f>VLOOKUP(I837,PGStock[],3,FALSE)</f>
        <v>#N/A</v>
      </c>
      <c r="M837" s="62" t="e">
        <f>VLOOKUP(I837,PGStock[],6,FALSE)</f>
        <v>#N/A</v>
      </c>
      <c r="N837" s="62" t="e">
        <f>+Table8[[#This Row],[SalesBot]]*Table8[[#This Row],[Bonus]]</f>
        <v>#N/A</v>
      </c>
    </row>
    <row r="838" spans="1:14" ht="23.25" customHeight="1" x14ac:dyDescent="0.25">
      <c r="A838" s="59">
        <f t="shared" si="92"/>
        <v>1900</v>
      </c>
      <c r="B838" s="59">
        <f t="shared" si="93"/>
        <v>1</v>
      </c>
      <c r="C838" s="60"/>
      <c r="D838" s="61"/>
      <c r="F838" s="23" t="e">
        <f>VLOOKUP(E838,Customers[],2,FALSE)</f>
        <v>#N/A</v>
      </c>
      <c r="G838" s="23" t="e">
        <f>VLOOKUP(E838,Customers[],3,FALSE)</f>
        <v>#N/A</v>
      </c>
      <c r="H838" s="23" t="e">
        <f>VLOOKUP(E838,Customers[],4,FALSE)</f>
        <v>#N/A</v>
      </c>
      <c r="J838" s="29" t="e">
        <f>VLOOKUP(I838,PGStock[],2,FALSE)</f>
        <v>#N/A</v>
      </c>
      <c r="K838" s="30" t="e">
        <f>VLOOKUP(I838,PGStock[],3,FALSE)</f>
        <v>#N/A</v>
      </c>
      <c r="M838" s="62" t="e">
        <f>VLOOKUP(I838,PGStock[],6,FALSE)</f>
        <v>#N/A</v>
      </c>
      <c r="N838" s="62" t="e">
        <f>+Table8[[#This Row],[SalesBot]]*Table8[[#This Row],[Bonus]]</f>
        <v>#N/A</v>
      </c>
    </row>
    <row r="839" spans="1:14" ht="23.25" customHeight="1" x14ac:dyDescent="0.25">
      <c r="A839" s="59">
        <f t="shared" si="92"/>
        <v>1900</v>
      </c>
      <c r="B839" s="59">
        <f t="shared" si="93"/>
        <v>1</v>
      </c>
      <c r="C839" s="60"/>
      <c r="D839" s="61"/>
      <c r="F839" s="23" t="e">
        <f>VLOOKUP(E839,Customers[],2,FALSE)</f>
        <v>#N/A</v>
      </c>
      <c r="G839" s="23" t="e">
        <f>VLOOKUP(E839,Customers[],3,FALSE)</f>
        <v>#N/A</v>
      </c>
      <c r="H839" s="23" t="e">
        <f>VLOOKUP(E839,Customers[],4,FALSE)</f>
        <v>#N/A</v>
      </c>
      <c r="J839" s="29" t="e">
        <f>VLOOKUP(I839,PGStock[],2,FALSE)</f>
        <v>#N/A</v>
      </c>
      <c r="K839" s="30" t="e">
        <f>VLOOKUP(I839,PGStock[],3,FALSE)</f>
        <v>#N/A</v>
      </c>
      <c r="M839" s="62" t="e">
        <f>VLOOKUP(I839,PGStock[],6,FALSE)</f>
        <v>#N/A</v>
      </c>
      <c r="N839" s="62" t="e">
        <f>+Table8[[#This Row],[SalesBot]]*Table8[[#This Row],[Bonus]]</f>
        <v>#N/A</v>
      </c>
    </row>
    <row r="840" spans="1:14" ht="23.25" customHeight="1" x14ac:dyDescent="0.25">
      <c r="A840" s="59">
        <f t="shared" si="92"/>
        <v>1900</v>
      </c>
      <c r="B840" s="59">
        <f t="shared" si="93"/>
        <v>1</v>
      </c>
      <c r="C840" s="60"/>
      <c r="D840" s="61"/>
      <c r="F840" s="23" t="e">
        <f>VLOOKUP(E840,Customers[],2,FALSE)</f>
        <v>#N/A</v>
      </c>
      <c r="G840" s="23" t="e">
        <f>VLOOKUP(E840,Customers[],3,FALSE)</f>
        <v>#N/A</v>
      </c>
      <c r="H840" s="23" t="e">
        <f>VLOOKUP(E840,Customers[],4,FALSE)</f>
        <v>#N/A</v>
      </c>
      <c r="J840" s="29" t="e">
        <f>VLOOKUP(I840,PGStock[],2,FALSE)</f>
        <v>#N/A</v>
      </c>
      <c r="K840" s="30" t="e">
        <f>VLOOKUP(I840,PGStock[],3,FALSE)</f>
        <v>#N/A</v>
      </c>
      <c r="M840" s="62" t="e">
        <f>VLOOKUP(I840,PGStock[],6,FALSE)</f>
        <v>#N/A</v>
      </c>
      <c r="N840" s="62" t="e">
        <f>+Table8[[#This Row],[SalesBot]]*Table8[[#This Row],[Bonus]]</f>
        <v>#N/A</v>
      </c>
    </row>
    <row r="841" spans="1:14" ht="23.25" customHeight="1" x14ac:dyDescent="0.25">
      <c r="A841" s="59">
        <f t="shared" si="92"/>
        <v>1900</v>
      </c>
      <c r="B841" s="59">
        <f t="shared" si="93"/>
        <v>1</v>
      </c>
      <c r="C841" s="60"/>
      <c r="D841" s="61"/>
      <c r="F841" s="23" t="e">
        <f>VLOOKUP(E841,Customers[],2,FALSE)</f>
        <v>#N/A</v>
      </c>
      <c r="G841" s="23" t="e">
        <f>VLOOKUP(E841,Customers[],3,FALSE)</f>
        <v>#N/A</v>
      </c>
      <c r="H841" s="23" t="e">
        <f>VLOOKUP(E841,Customers[],4,FALSE)</f>
        <v>#N/A</v>
      </c>
      <c r="J841" s="29" t="e">
        <f>VLOOKUP(I841,PGStock[],2,FALSE)</f>
        <v>#N/A</v>
      </c>
      <c r="K841" s="30" t="e">
        <f>VLOOKUP(I841,PGStock[],3,FALSE)</f>
        <v>#N/A</v>
      </c>
      <c r="M841" s="62" t="e">
        <f>VLOOKUP(I841,PGStock[],6,FALSE)</f>
        <v>#N/A</v>
      </c>
      <c r="N841" s="62" t="e">
        <f>+Table8[[#This Row],[SalesBot]]*Table8[[#This Row],[Bonus]]</f>
        <v>#N/A</v>
      </c>
    </row>
    <row r="842" spans="1:14" ht="23.25" customHeight="1" x14ac:dyDescent="0.25">
      <c r="A842" s="59">
        <f t="shared" si="92"/>
        <v>1900</v>
      </c>
      <c r="B842" s="59">
        <f t="shared" si="93"/>
        <v>1</v>
      </c>
      <c r="C842" s="60"/>
      <c r="D842" s="61"/>
      <c r="F842" s="23" t="e">
        <f>VLOOKUP(E842,Customers[],2,FALSE)</f>
        <v>#N/A</v>
      </c>
      <c r="G842" s="23" t="e">
        <f>VLOOKUP(E842,Customers[],3,FALSE)</f>
        <v>#N/A</v>
      </c>
      <c r="H842" s="23" t="e">
        <f>VLOOKUP(E842,Customers[],4,FALSE)</f>
        <v>#N/A</v>
      </c>
      <c r="J842" s="29" t="e">
        <f>VLOOKUP(I842,PGStock[],2,FALSE)</f>
        <v>#N/A</v>
      </c>
      <c r="K842" s="30" t="e">
        <f>VLOOKUP(I842,PGStock[],3,FALSE)</f>
        <v>#N/A</v>
      </c>
      <c r="M842" s="62" t="e">
        <f>VLOOKUP(I842,PGStock[],6,FALSE)</f>
        <v>#N/A</v>
      </c>
      <c r="N842" s="62" t="e">
        <f>+Table8[[#This Row],[SalesBot]]*Table8[[#This Row],[Bonus]]</f>
        <v>#N/A</v>
      </c>
    </row>
    <row r="843" spans="1:14" ht="23.25" customHeight="1" x14ac:dyDescent="0.25">
      <c r="A843" s="59">
        <f t="shared" si="92"/>
        <v>1900</v>
      </c>
      <c r="B843" s="59">
        <f t="shared" si="93"/>
        <v>1</v>
      </c>
      <c r="C843" s="60"/>
      <c r="D843" s="61"/>
      <c r="F843" s="23" t="e">
        <f>VLOOKUP(E843,Customers[],2,FALSE)</f>
        <v>#N/A</v>
      </c>
      <c r="G843" s="23" t="e">
        <f>VLOOKUP(E843,Customers[],3,FALSE)</f>
        <v>#N/A</v>
      </c>
      <c r="H843" s="23" t="e">
        <f>VLOOKUP(E843,Customers[],4,FALSE)</f>
        <v>#N/A</v>
      </c>
      <c r="J843" s="29" t="e">
        <f>VLOOKUP(I843,PGStock[],2,FALSE)</f>
        <v>#N/A</v>
      </c>
      <c r="K843" s="30" t="e">
        <f>VLOOKUP(I843,PGStock[],3,FALSE)</f>
        <v>#N/A</v>
      </c>
      <c r="M843" s="62" t="e">
        <f>VLOOKUP(I843,PGStock[],6,FALSE)</f>
        <v>#N/A</v>
      </c>
      <c r="N843" s="62" t="e">
        <f>+Table8[[#This Row],[SalesBot]]*Table8[[#This Row],[Bonus]]</f>
        <v>#N/A</v>
      </c>
    </row>
    <row r="844" spans="1:14" ht="23.25" customHeight="1" x14ac:dyDescent="0.25">
      <c r="A844" s="59">
        <f t="shared" si="92"/>
        <v>1900</v>
      </c>
      <c r="B844" s="59">
        <f t="shared" si="93"/>
        <v>1</v>
      </c>
      <c r="C844" s="60"/>
      <c r="D844" s="61"/>
      <c r="F844" s="23" t="e">
        <f>VLOOKUP(E844,Customers[],2,FALSE)</f>
        <v>#N/A</v>
      </c>
      <c r="G844" s="23" t="e">
        <f>VLOOKUP(E844,Customers[],3,FALSE)</f>
        <v>#N/A</v>
      </c>
      <c r="H844" s="23" t="e">
        <f>VLOOKUP(E844,Customers[],4,FALSE)</f>
        <v>#N/A</v>
      </c>
      <c r="J844" s="29" t="e">
        <f>VLOOKUP(I844,PGStock[],2,FALSE)</f>
        <v>#N/A</v>
      </c>
      <c r="K844" s="30" t="e">
        <f>VLOOKUP(I844,PGStock[],3,FALSE)</f>
        <v>#N/A</v>
      </c>
      <c r="M844" s="62" t="e">
        <f>VLOOKUP(I844,PGStock[],6,FALSE)</f>
        <v>#N/A</v>
      </c>
      <c r="N844" s="62" t="e">
        <f>+Table8[[#This Row],[SalesBot]]*Table8[[#This Row],[Bonus]]</f>
        <v>#N/A</v>
      </c>
    </row>
    <row r="845" spans="1:14" ht="23.25" customHeight="1" x14ac:dyDescent="0.25">
      <c r="A845" s="59">
        <f t="shared" si="92"/>
        <v>1900</v>
      </c>
      <c r="B845" s="59">
        <f t="shared" si="93"/>
        <v>1</v>
      </c>
      <c r="C845" s="60"/>
      <c r="D845" s="61"/>
      <c r="F845" s="23" t="e">
        <f>VLOOKUP(E845,Customers[],2,FALSE)</f>
        <v>#N/A</v>
      </c>
      <c r="G845" s="23" t="e">
        <f>VLOOKUP(E845,Customers[],3,FALSE)</f>
        <v>#N/A</v>
      </c>
      <c r="H845" s="23" t="e">
        <f>VLOOKUP(E845,Customers[],4,FALSE)</f>
        <v>#N/A</v>
      </c>
      <c r="J845" s="29" t="e">
        <f>VLOOKUP(I845,PGStock[],2,FALSE)</f>
        <v>#N/A</v>
      </c>
      <c r="K845" s="30" t="e">
        <f>VLOOKUP(I845,PGStock[],3,FALSE)</f>
        <v>#N/A</v>
      </c>
      <c r="M845" s="62" t="e">
        <f>VLOOKUP(I845,PGStock[],6,FALSE)</f>
        <v>#N/A</v>
      </c>
      <c r="N845" s="62" t="e">
        <f>+Table8[[#This Row],[SalesBot]]*Table8[[#This Row],[Bonus]]</f>
        <v>#N/A</v>
      </c>
    </row>
    <row r="846" spans="1:14" ht="23.25" customHeight="1" x14ac:dyDescent="0.25">
      <c r="A846" s="59">
        <f t="shared" si="92"/>
        <v>1900</v>
      </c>
      <c r="B846" s="59">
        <f t="shared" si="93"/>
        <v>1</v>
      </c>
      <c r="C846" s="60"/>
      <c r="D846" s="61"/>
      <c r="F846" s="23" t="e">
        <f>VLOOKUP(E846,Customers[],2,FALSE)</f>
        <v>#N/A</v>
      </c>
      <c r="G846" s="23" t="e">
        <f>VLOOKUP(E846,Customers[],3,FALSE)</f>
        <v>#N/A</v>
      </c>
      <c r="H846" s="23" t="e">
        <f>VLOOKUP(E846,Customers[],4,FALSE)</f>
        <v>#N/A</v>
      </c>
      <c r="J846" s="29" t="e">
        <f>VLOOKUP(I846,PGStock[],2,FALSE)</f>
        <v>#N/A</v>
      </c>
      <c r="K846" s="30" t="e">
        <f>VLOOKUP(I846,PGStock[],3,FALSE)</f>
        <v>#N/A</v>
      </c>
      <c r="M846" s="62" t="e">
        <f>VLOOKUP(I846,PGStock[],6,FALSE)</f>
        <v>#N/A</v>
      </c>
      <c r="N846" s="62" t="e">
        <f>+Table8[[#This Row],[SalesBot]]*Table8[[#This Row],[Bonus]]</f>
        <v>#N/A</v>
      </c>
    </row>
    <row r="847" spans="1:14" ht="23.25" customHeight="1" x14ac:dyDescent="0.25">
      <c r="A847" s="59">
        <f t="shared" si="92"/>
        <v>1900</v>
      </c>
      <c r="B847" s="59">
        <f t="shared" si="93"/>
        <v>1</v>
      </c>
      <c r="C847" s="60"/>
      <c r="D847" s="61"/>
      <c r="F847" s="23" t="e">
        <f>VLOOKUP(E847,Customers[],2,FALSE)</f>
        <v>#N/A</v>
      </c>
      <c r="G847" s="23" t="e">
        <f>VLOOKUP(E847,Customers[],3,FALSE)</f>
        <v>#N/A</v>
      </c>
      <c r="H847" s="23" t="e">
        <f>VLOOKUP(E847,Customers[],4,FALSE)</f>
        <v>#N/A</v>
      </c>
      <c r="J847" s="29" t="e">
        <f>VLOOKUP(I847,PGStock[],2,FALSE)</f>
        <v>#N/A</v>
      </c>
      <c r="K847" s="30" t="e">
        <f>VLOOKUP(I847,PGStock[],3,FALSE)</f>
        <v>#N/A</v>
      </c>
      <c r="M847" s="62" t="e">
        <f>VLOOKUP(I847,PGStock[],6,FALSE)</f>
        <v>#N/A</v>
      </c>
      <c r="N847" s="62" t="e">
        <f>+Table8[[#This Row],[SalesBot]]*Table8[[#This Row],[Bonus]]</f>
        <v>#N/A</v>
      </c>
    </row>
    <row r="848" spans="1:14" ht="23.25" customHeight="1" x14ac:dyDescent="0.25">
      <c r="A848" s="59">
        <f t="shared" si="92"/>
        <v>1900</v>
      </c>
      <c r="B848" s="59">
        <f t="shared" si="93"/>
        <v>1</v>
      </c>
      <c r="C848" s="60"/>
      <c r="D848" s="61"/>
      <c r="F848" s="23" t="e">
        <f>VLOOKUP(E848,Customers[],2,FALSE)</f>
        <v>#N/A</v>
      </c>
      <c r="G848" s="23" t="e">
        <f>VLOOKUP(E848,Customers[],3,FALSE)</f>
        <v>#N/A</v>
      </c>
      <c r="H848" s="23" t="e">
        <f>VLOOKUP(E848,Customers[],4,FALSE)</f>
        <v>#N/A</v>
      </c>
      <c r="J848" s="29" t="e">
        <f>VLOOKUP(I848,PGStock[],2,FALSE)</f>
        <v>#N/A</v>
      </c>
      <c r="K848" s="30" t="e">
        <f>VLOOKUP(I848,PGStock[],3,FALSE)</f>
        <v>#N/A</v>
      </c>
      <c r="M848" s="62" t="e">
        <f>VLOOKUP(I848,PGStock[],6,FALSE)</f>
        <v>#N/A</v>
      </c>
      <c r="N848" s="62" t="e">
        <f>+Table8[[#This Row],[SalesBot]]*Table8[[#This Row],[Bonus]]</f>
        <v>#N/A</v>
      </c>
    </row>
    <row r="849" spans="1:14" ht="23.25" customHeight="1" x14ac:dyDescent="0.25">
      <c r="A849" s="59">
        <f t="shared" si="92"/>
        <v>1900</v>
      </c>
      <c r="B849" s="59">
        <f t="shared" si="93"/>
        <v>1</v>
      </c>
      <c r="C849" s="60"/>
      <c r="D849" s="61"/>
      <c r="F849" s="23" t="e">
        <f>VLOOKUP(E849,Customers[],2,FALSE)</f>
        <v>#N/A</v>
      </c>
      <c r="G849" s="23" t="e">
        <f>VLOOKUP(E849,Customers[],3,FALSE)</f>
        <v>#N/A</v>
      </c>
      <c r="H849" s="23" t="e">
        <f>VLOOKUP(E849,Customers[],4,FALSE)</f>
        <v>#N/A</v>
      </c>
      <c r="J849" s="29" t="e">
        <f>VLOOKUP(I849,PGStock[],2,FALSE)</f>
        <v>#N/A</v>
      </c>
      <c r="K849" s="30" t="e">
        <f>VLOOKUP(I849,PGStock[],3,FALSE)</f>
        <v>#N/A</v>
      </c>
      <c r="M849" s="62" t="e">
        <f>VLOOKUP(I849,PGStock[],6,FALSE)</f>
        <v>#N/A</v>
      </c>
      <c r="N849" s="62" t="e">
        <f>+Table8[[#This Row],[SalesBot]]*Table8[[#This Row],[Bonus]]</f>
        <v>#N/A</v>
      </c>
    </row>
    <row r="850" spans="1:14" ht="23.25" customHeight="1" x14ac:dyDescent="0.25">
      <c r="A850" s="59">
        <f t="shared" si="92"/>
        <v>1900</v>
      </c>
      <c r="B850" s="59">
        <f t="shared" si="93"/>
        <v>1</v>
      </c>
      <c r="C850" s="60"/>
      <c r="D850" s="61"/>
      <c r="F850" s="23" t="e">
        <f>VLOOKUP(E850,Customers[],2,FALSE)</f>
        <v>#N/A</v>
      </c>
      <c r="G850" s="23" t="e">
        <f>VLOOKUP(E850,Customers[],3,FALSE)</f>
        <v>#N/A</v>
      </c>
      <c r="H850" s="23" t="e">
        <f>VLOOKUP(E850,Customers[],4,FALSE)</f>
        <v>#N/A</v>
      </c>
      <c r="J850" s="29" t="e">
        <f>VLOOKUP(I850,PGStock[],2,FALSE)</f>
        <v>#N/A</v>
      </c>
      <c r="K850" s="30" t="e">
        <f>VLOOKUP(I850,PGStock[],3,FALSE)</f>
        <v>#N/A</v>
      </c>
      <c r="M850" s="62" t="e">
        <f>VLOOKUP(I850,PGStock[],6,FALSE)</f>
        <v>#N/A</v>
      </c>
      <c r="N850" s="62" t="e">
        <f>+Table8[[#This Row],[SalesBot]]*Table8[[#This Row],[Bonus]]</f>
        <v>#N/A</v>
      </c>
    </row>
    <row r="851" spans="1:14" ht="23.25" customHeight="1" x14ac:dyDescent="0.25">
      <c r="A851" s="59">
        <f t="shared" si="92"/>
        <v>1900</v>
      </c>
      <c r="B851" s="59">
        <f t="shared" si="93"/>
        <v>1</v>
      </c>
      <c r="C851" s="60"/>
      <c r="D851" s="61"/>
      <c r="F851" s="23" t="e">
        <f>VLOOKUP(E851,Customers[],2,FALSE)</f>
        <v>#N/A</v>
      </c>
      <c r="G851" s="23" t="e">
        <f>VLOOKUP(E851,Customers[],3,FALSE)</f>
        <v>#N/A</v>
      </c>
      <c r="H851" s="23" t="e">
        <f>VLOOKUP(E851,Customers[],4,FALSE)</f>
        <v>#N/A</v>
      </c>
      <c r="J851" s="29" t="e">
        <f>VLOOKUP(I851,PGStock[],2,FALSE)</f>
        <v>#N/A</v>
      </c>
      <c r="K851" s="30" t="e">
        <f>VLOOKUP(I851,PGStock[],3,FALSE)</f>
        <v>#N/A</v>
      </c>
      <c r="M851" s="62" t="e">
        <f>VLOOKUP(I851,PGStock[],6,FALSE)</f>
        <v>#N/A</v>
      </c>
      <c r="N851" s="62" t="e">
        <f>+Table8[[#This Row],[SalesBot]]*Table8[[#This Row],[Bonus]]</f>
        <v>#N/A</v>
      </c>
    </row>
    <row r="852" spans="1:14" ht="23.25" customHeight="1" x14ac:dyDescent="0.25">
      <c r="A852" s="59">
        <f t="shared" ref="A852:A865" si="94">YEAR(C852)</f>
        <v>1900</v>
      </c>
      <c r="B852" s="59">
        <f t="shared" ref="B852:B865" si="95">MONTH(C852)</f>
        <v>1</v>
      </c>
      <c r="C852" s="60"/>
      <c r="D852" s="61"/>
      <c r="F852" s="23" t="e">
        <f>VLOOKUP(E852,Customers[],2,FALSE)</f>
        <v>#N/A</v>
      </c>
      <c r="G852" s="23" t="e">
        <f>VLOOKUP(E852,Customers[],3,FALSE)</f>
        <v>#N/A</v>
      </c>
      <c r="H852" s="23" t="e">
        <f>VLOOKUP(E852,Customers[],4,FALSE)</f>
        <v>#N/A</v>
      </c>
      <c r="J852" s="29" t="e">
        <f>VLOOKUP(I852,PGStock[],2,FALSE)</f>
        <v>#N/A</v>
      </c>
      <c r="K852" s="30" t="e">
        <f>VLOOKUP(I852,PGStock[],3,FALSE)</f>
        <v>#N/A</v>
      </c>
      <c r="M852" s="62" t="e">
        <f>VLOOKUP(I852,PGStock[],6,FALSE)</f>
        <v>#N/A</v>
      </c>
      <c r="N852" s="62" t="e">
        <f>+Table8[[#This Row],[SalesBot]]*Table8[[#This Row],[Bonus]]</f>
        <v>#N/A</v>
      </c>
    </row>
    <row r="853" spans="1:14" ht="23.25" customHeight="1" x14ac:dyDescent="0.25">
      <c r="A853" s="59">
        <f t="shared" si="94"/>
        <v>1900</v>
      </c>
      <c r="B853" s="59">
        <f t="shared" si="95"/>
        <v>1</v>
      </c>
      <c r="C853" s="60"/>
      <c r="D853" s="61"/>
      <c r="F853" s="23" t="e">
        <f>VLOOKUP(E853,Customers[],2,FALSE)</f>
        <v>#N/A</v>
      </c>
      <c r="G853" s="23" t="e">
        <f>VLOOKUP(E853,Customers[],3,FALSE)</f>
        <v>#N/A</v>
      </c>
      <c r="H853" s="23" t="e">
        <f>VLOOKUP(E853,Customers[],4,FALSE)</f>
        <v>#N/A</v>
      </c>
      <c r="J853" s="29" t="e">
        <f>VLOOKUP(I853,PGStock[],2,FALSE)</f>
        <v>#N/A</v>
      </c>
      <c r="K853" s="30" t="e">
        <f>VLOOKUP(I853,PGStock[],3,FALSE)</f>
        <v>#N/A</v>
      </c>
      <c r="M853" s="62" t="e">
        <f>VLOOKUP(I853,PGStock[],6,FALSE)</f>
        <v>#N/A</v>
      </c>
      <c r="N853" s="62" t="e">
        <f>+Table8[[#This Row],[SalesBot]]*Table8[[#This Row],[Bonus]]</f>
        <v>#N/A</v>
      </c>
    </row>
    <row r="854" spans="1:14" ht="23.25" customHeight="1" x14ac:dyDescent="0.25">
      <c r="A854" s="59">
        <f t="shared" si="94"/>
        <v>1900</v>
      </c>
      <c r="B854" s="59">
        <f t="shared" si="95"/>
        <v>1</v>
      </c>
      <c r="C854" s="60"/>
      <c r="D854" s="61"/>
      <c r="F854" s="23" t="e">
        <f>VLOOKUP(E854,Customers[],2,FALSE)</f>
        <v>#N/A</v>
      </c>
      <c r="G854" s="23" t="e">
        <f>VLOOKUP(E854,Customers[],3,FALSE)</f>
        <v>#N/A</v>
      </c>
      <c r="H854" s="23" t="e">
        <f>VLOOKUP(E854,Customers[],4,FALSE)</f>
        <v>#N/A</v>
      </c>
      <c r="J854" s="29" t="e">
        <f>VLOOKUP(I854,PGStock[],2,FALSE)</f>
        <v>#N/A</v>
      </c>
      <c r="K854" s="30" t="e">
        <f>VLOOKUP(I854,PGStock[],3,FALSE)</f>
        <v>#N/A</v>
      </c>
      <c r="M854" s="62" t="e">
        <f>VLOOKUP(I854,PGStock[],6,FALSE)</f>
        <v>#N/A</v>
      </c>
      <c r="N854" s="62" t="e">
        <f>+Table8[[#This Row],[SalesBot]]*Table8[[#This Row],[Bonus]]</f>
        <v>#N/A</v>
      </c>
    </row>
    <row r="855" spans="1:14" ht="23.25" customHeight="1" x14ac:dyDescent="0.25">
      <c r="A855" s="59">
        <f t="shared" si="94"/>
        <v>1900</v>
      </c>
      <c r="B855" s="59">
        <f t="shared" si="95"/>
        <v>1</v>
      </c>
      <c r="C855" s="60"/>
      <c r="D855" s="61"/>
      <c r="F855" s="23" t="e">
        <f>VLOOKUP(E855,Customers[],2,FALSE)</f>
        <v>#N/A</v>
      </c>
      <c r="G855" s="23" t="e">
        <f>VLOOKUP(E855,Customers[],3,FALSE)</f>
        <v>#N/A</v>
      </c>
      <c r="H855" s="23" t="e">
        <f>VLOOKUP(E855,Customers[],4,FALSE)</f>
        <v>#N/A</v>
      </c>
      <c r="J855" s="29" t="e">
        <f>VLOOKUP(I855,PGStock[],2,FALSE)</f>
        <v>#N/A</v>
      </c>
      <c r="K855" s="30" t="e">
        <f>VLOOKUP(I855,PGStock[],3,FALSE)</f>
        <v>#N/A</v>
      </c>
      <c r="M855" s="62" t="e">
        <f>VLOOKUP(I855,PGStock[],6,FALSE)</f>
        <v>#N/A</v>
      </c>
      <c r="N855" s="62" t="e">
        <f>+Table8[[#This Row],[SalesBot]]*Table8[[#This Row],[Bonus]]</f>
        <v>#N/A</v>
      </c>
    </row>
    <row r="856" spans="1:14" ht="23.25" customHeight="1" x14ac:dyDescent="0.25">
      <c r="A856" s="59">
        <f t="shared" si="94"/>
        <v>1900</v>
      </c>
      <c r="B856" s="59">
        <f t="shared" si="95"/>
        <v>1</v>
      </c>
      <c r="C856" s="60"/>
      <c r="D856" s="61"/>
      <c r="F856" s="23" t="e">
        <f>VLOOKUP(E856,Customers[],2,FALSE)</f>
        <v>#N/A</v>
      </c>
      <c r="G856" s="23" t="e">
        <f>VLOOKUP(E856,Customers[],3,FALSE)</f>
        <v>#N/A</v>
      </c>
      <c r="H856" s="23" t="e">
        <f>VLOOKUP(E856,Customers[],4,FALSE)</f>
        <v>#N/A</v>
      </c>
      <c r="J856" s="29" t="e">
        <f>VLOOKUP(I856,PGStock[],2,FALSE)</f>
        <v>#N/A</v>
      </c>
      <c r="K856" s="30" t="e">
        <f>VLOOKUP(I856,PGStock[],3,FALSE)</f>
        <v>#N/A</v>
      </c>
      <c r="M856" s="62" t="e">
        <f>VLOOKUP(I856,PGStock[],6,FALSE)</f>
        <v>#N/A</v>
      </c>
      <c r="N856" s="62" t="e">
        <f>+Table8[[#This Row],[SalesBot]]*Table8[[#This Row],[Bonus]]</f>
        <v>#N/A</v>
      </c>
    </row>
    <row r="857" spans="1:14" ht="23.25" customHeight="1" x14ac:dyDescent="0.25">
      <c r="A857" s="59">
        <f t="shared" si="94"/>
        <v>1900</v>
      </c>
      <c r="B857" s="59">
        <f t="shared" si="95"/>
        <v>1</v>
      </c>
      <c r="C857" s="60"/>
      <c r="D857" s="61"/>
      <c r="F857" s="23" t="e">
        <f>VLOOKUP(E857,Customers[],2,FALSE)</f>
        <v>#N/A</v>
      </c>
      <c r="G857" s="23" t="e">
        <f>VLOOKUP(E857,Customers[],3,FALSE)</f>
        <v>#N/A</v>
      </c>
      <c r="H857" s="23" t="e">
        <f>VLOOKUP(E857,Customers[],4,FALSE)</f>
        <v>#N/A</v>
      </c>
      <c r="J857" s="29" t="e">
        <f>VLOOKUP(I857,PGStock[],2,FALSE)</f>
        <v>#N/A</v>
      </c>
      <c r="K857" s="30" t="e">
        <f>VLOOKUP(I857,PGStock[],3,FALSE)</f>
        <v>#N/A</v>
      </c>
      <c r="M857" s="62" t="e">
        <f>VLOOKUP(I857,PGStock[],6,FALSE)</f>
        <v>#N/A</v>
      </c>
      <c r="N857" s="62" t="e">
        <f>+Table8[[#This Row],[SalesBot]]*Table8[[#This Row],[Bonus]]</f>
        <v>#N/A</v>
      </c>
    </row>
    <row r="858" spans="1:14" ht="23.25" customHeight="1" x14ac:dyDescent="0.25">
      <c r="A858" s="59">
        <f t="shared" si="94"/>
        <v>1900</v>
      </c>
      <c r="B858" s="59">
        <f t="shared" si="95"/>
        <v>1</v>
      </c>
      <c r="C858" s="60"/>
      <c r="D858" s="61"/>
      <c r="F858" s="23" t="e">
        <f>VLOOKUP(E858,Customers[],2,FALSE)</f>
        <v>#N/A</v>
      </c>
      <c r="G858" s="23" t="e">
        <f>VLOOKUP(E858,Customers[],3,FALSE)</f>
        <v>#N/A</v>
      </c>
      <c r="H858" s="23" t="e">
        <f>VLOOKUP(E858,Customers[],4,FALSE)</f>
        <v>#N/A</v>
      </c>
      <c r="J858" s="29" t="e">
        <f>VLOOKUP(I858,PGStock[],2,FALSE)</f>
        <v>#N/A</v>
      </c>
      <c r="K858" s="30" t="e">
        <f>VLOOKUP(I858,PGStock[],3,FALSE)</f>
        <v>#N/A</v>
      </c>
      <c r="M858" s="62" t="e">
        <f>VLOOKUP(I858,PGStock[],6,FALSE)</f>
        <v>#N/A</v>
      </c>
      <c r="N858" s="62" t="e">
        <f>+Table8[[#This Row],[SalesBot]]*Table8[[#This Row],[Bonus]]</f>
        <v>#N/A</v>
      </c>
    </row>
    <row r="859" spans="1:14" ht="23.25" customHeight="1" x14ac:dyDescent="0.25">
      <c r="A859" s="59">
        <f t="shared" si="94"/>
        <v>1900</v>
      </c>
      <c r="B859" s="59">
        <f t="shared" si="95"/>
        <v>1</v>
      </c>
      <c r="C859" s="60"/>
      <c r="D859" s="61"/>
      <c r="F859" s="23" t="e">
        <f>VLOOKUP(E859,Customers[],2,FALSE)</f>
        <v>#N/A</v>
      </c>
      <c r="G859" s="23" t="e">
        <f>VLOOKUP(E859,Customers[],3,FALSE)</f>
        <v>#N/A</v>
      </c>
      <c r="H859" s="23" t="e">
        <f>VLOOKUP(E859,Customers[],4,FALSE)</f>
        <v>#N/A</v>
      </c>
      <c r="J859" s="29" t="e">
        <f>VLOOKUP(I859,PGStock[],2,FALSE)</f>
        <v>#N/A</v>
      </c>
      <c r="K859" s="30" t="e">
        <f>VLOOKUP(I859,PGStock[],3,FALSE)</f>
        <v>#N/A</v>
      </c>
      <c r="M859" s="62" t="e">
        <f>VLOOKUP(I859,PGStock[],6,FALSE)</f>
        <v>#N/A</v>
      </c>
      <c r="N859" s="62" t="e">
        <f>+Table8[[#This Row],[SalesBot]]*Table8[[#This Row],[Bonus]]</f>
        <v>#N/A</v>
      </c>
    </row>
    <row r="860" spans="1:14" ht="23.25" customHeight="1" x14ac:dyDescent="0.25">
      <c r="A860" s="59">
        <f t="shared" si="94"/>
        <v>1900</v>
      </c>
      <c r="B860" s="59">
        <f t="shared" si="95"/>
        <v>1</v>
      </c>
      <c r="C860" s="60"/>
      <c r="D860" s="61"/>
      <c r="F860" s="23" t="e">
        <f>VLOOKUP(E860,Customers[],2,FALSE)</f>
        <v>#N/A</v>
      </c>
      <c r="G860" s="23" t="e">
        <f>VLOOKUP(E860,Customers[],3,FALSE)</f>
        <v>#N/A</v>
      </c>
      <c r="H860" s="23" t="e">
        <f>VLOOKUP(E860,Customers[],4,FALSE)</f>
        <v>#N/A</v>
      </c>
      <c r="J860" s="29" t="e">
        <f>VLOOKUP(I860,PGStock[],2,FALSE)</f>
        <v>#N/A</v>
      </c>
      <c r="K860" s="30" t="e">
        <f>VLOOKUP(I860,PGStock[],3,FALSE)</f>
        <v>#N/A</v>
      </c>
      <c r="M860" s="62" t="e">
        <f>VLOOKUP(I860,PGStock[],6,FALSE)</f>
        <v>#N/A</v>
      </c>
      <c r="N860" s="62" t="e">
        <f>+Table8[[#This Row],[SalesBot]]*Table8[[#This Row],[Bonus]]</f>
        <v>#N/A</v>
      </c>
    </row>
    <row r="861" spans="1:14" ht="23.25" customHeight="1" x14ac:dyDescent="0.25">
      <c r="A861" s="59">
        <f t="shared" si="94"/>
        <v>1900</v>
      </c>
      <c r="B861" s="59">
        <f t="shared" si="95"/>
        <v>1</v>
      </c>
      <c r="C861" s="60"/>
      <c r="D861" s="61"/>
      <c r="F861" s="23" t="e">
        <f>VLOOKUP(E861,Customers[],2,FALSE)</f>
        <v>#N/A</v>
      </c>
      <c r="G861" s="23" t="e">
        <f>VLOOKUP(E861,Customers[],3,FALSE)</f>
        <v>#N/A</v>
      </c>
      <c r="H861" s="23" t="e">
        <f>VLOOKUP(E861,Customers[],4,FALSE)</f>
        <v>#N/A</v>
      </c>
      <c r="J861" s="29" t="e">
        <f>VLOOKUP(I861,PGStock[],2,FALSE)</f>
        <v>#N/A</v>
      </c>
      <c r="K861" s="30" t="e">
        <f>VLOOKUP(I861,PGStock[],3,FALSE)</f>
        <v>#N/A</v>
      </c>
      <c r="M861" s="62" t="e">
        <f>VLOOKUP(I861,PGStock[],6,FALSE)</f>
        <v>#N/A</v>
      </c>
      <c r="N861" s="62" t="e">
        <f>+Table8[[#This Row],[SalesBot]]*Table8[[#This Row],[Bonus]]</f>
        <v>#N/A</v>
      </c>
    </row>
    <row r="862" spans="1:14" ht="23.25" customHeight="1" x14ac:dyDescent="0.25">
      <c r="A862" s="59">
        <f t="shared" si="94"/>
        <v>1900</v>
      </c>
      <c r="B862" s="59">
        <f t="shared" si="95"/>
        <v>1</v>
      </c>
      <c r="C862" s="60"/>
      <c r="D862" s="61"/>
      <c r="F862" s="23" t="e">
        <f>VLOOKUP(E862,Customers[],2,FALSE)</f>
        <v>#N/A</v>
      </c>
      <c r="G862" s="23" t="e">
        <f>VLOOKUP(E862,Customers[],3,FALSE)</f>
        <v>#N/A</v>
      </c>
      <c r="H862" s="23" t="e">
        <f>VLOOKUP(E862,Customers[],4,FALSE)</f>
        <v>#N/A</v>
      </c>
      <c r="J862" s="29" t="e">
        <f>VLOOKUP(I862,PGStock[],2,FALSE)</f>
        <v>#N/A</v>
      </c>
      <c r="K862" s="30" t="e">
        <f>VLOOKUP(I862,PGStock[],3,FALSE)</f>
        <v>#N/A</v>
      </c>
      <c r="M862" s="62" t="e">
        <f>VLOOKUP(I862,PGStock[],6,FALSE)</f>
        <v>#N/A</v>
      </c>
      <c r="N862" s="62" t="e">
        <f>+Table8[[#This Row],[SalesBot]]*Table8[[#This Row],[Bonus]]</f>
        <v>#N/A</v>
      </c>
    </row>
    <row r="863" spans="1:14" ht="23.25" customHeight="1" x14ac:dyDescent="0.25">
      <c r="A863" s="59">
        <f t="shared" si="94"/>
        <v>1900</v>
      </c>
      <c r="B863" s="59">
        <f t="shared" si="95"/>
        <v>1</v>
      </c>
      <c r="C863" s="60"/>
      <c r="D863" s="61"/>
      <c r="F863" s="23" t="e">
        <f>VLOOKUP(E863,Customers[],2,FALSE)</f>
        <v>#N/A</v>
      </c>
      <c r="G863" s="23" t="e">
        <f>VLOOKUP(E863,Customers[],3,FALSE)</f>
        <v>#N/A</v>
      </c>
      <c r="H863" s="23" t="e">
        <f>VLOOKUP(E863,Customers[],4,FALSE)</f>
        <v>#N/A</v>
      </c>
      <c r="J863" s="29" t="e">
        <f>VLOOKUP(I863,PGStock[],2,FALSE)</f>
        <v>#N/A</v>
      </c>
      <c r="K863" s="30" t="e">
        <f>VLOOKUP(I863,PGStock[],3,FALSE)</f>
        <v>#N/A</v>
      </c>
      <c r="M863" s="62" t="e">
        <f>VLOOKUP(I863,PGStock[],6,FALSE)</f>
        <v>#N/A</v>
      </c>
      <c r="N863" s="62" t="e">
        <f>+Table8[[#This Row],[SalesBot]]*Table8[[#This Row],[Bonus]]</f>
        <v>#N/A</v>
      </c>
    </row>
    <row r="864" spans="1:14" ht="23.25" customHeight="1" x14ac:dyDescent="0.25">
      <c r="A864" s="59">
        <f t="shared" si="94"/>
        <v>1900</v>
      </c>
      <c r="B864" s="59">
        <f t="shared" si="95"/>
        <v>1</v>
      </c>
      <c r="C864" s="60"/>
      <c r="D864" s="61"/>
      <c r="F864" s="23" t="e">
        <f>VLOOKUP(E864,Customers[],2,FALSE)</f>
        <v>#N/A</v>
      </c>
      <c r="G864" s="23" t="e">
        <f>VLOOKUP(E864,Customers[],3,FALSE)</f>
        <v>#N/A</v>
      </c>
      <c r="H864" s="23" t="e">
        <f>VLOOKUP(E864,Customers[],4,FALSE)</f>
        <v>#N/A</v>
      </c>
      <c r="J864" s="29" t="e">
        <f>VLOOKUP(I864,PGStock[],2,FALSE)</f>
        <v>#N/A</v>
      </c>
      <c r="K864" s="30" t="e">
        <f>VLOOKUP(I864,PGStock[],3,FALSE)</f>
        <v>#N/A</v>
      </c>
      <c r="M864" s="62" t="e">
        <f>VLOOKUP(I864,PGStock[],6,FALSE)</f>
        <v>#N/A</v>
      </c>
      <c r="N864" s="62" t="e">
        <f>+Table8[[#This Row],[SalesBot]]*Table8[[#This Row],[Bonus]]</f>
        <v>#N/A</v>
      </c>
    </row>
    <row r="865" spans="1:14" ht="23.25" customHeight="1" x14ac:dyDescent="0.25">
      <c r="A865" s="59">
        <f t="shared" si="94"/>
        <v>1900</v>
      </c>
      <c r="B865" s="59">
        <f t="shared" si="95"/>
        <v>1</v>
      </c>
      <c r="C865" s="60"/>
      <c r="D865" s="61"/>
      <c r="F865" s="23" t="e">
        <f>VLOOKUP(E865,Customers[],2,FALSE)</f>
        <v>#N/A</v>
      </c>
      <c r="G865" s="23" t="e">
        <f>VLOOKUP(E865,Customers[],3,FALSE)</f>
        <v>#N/A</v>
      </c>
      <c r="H865" s="23" t="e">
        <f>VLOOKUP(E865,Customers[],4,FALSE)</f>
        <v>#N/A</v>
      </c>
      <c r="J865" s="29" t="e">
        <f>VLOOKUP(I865,PGStock[],2,FALSE)</f>
        <v>#N/A</v>
      </c>
      <c r="K865" s="30" t="e">
        <f>VLOOKUP(I865,PGStock[],3,FALSE)</f>
        <v>#N/A</v>
      </c>
      <c r="M865" s="62" t="e">
        <f>VLOOKUP(I865,PGStock[],6,FALSE)</f>
        <v>#N/A</v>
      </c>
      <c r="N865" s="62" t="e">
        <f>+Table8[[#This Row],[SalesBot]]*Table8[[#This Row],[Bonus]]</f>
        <v>#N/A</v>
      </c>
    </row>
    <row r="866" spans="1:14" ht="23.25" customHeight="1" x14ac:dyDescent="0.25">
      <c r="A866" s="59">
        <f t="shared" si="90"/>
        <v>1900</v>
      </c>
      <c r="B866" s="59">
        <f t="shared" si="91"/>
        <v>1</v>
      </c>
      <c r="C866" s="60"/>
      <c r="D866" s="61"/>
      <c r="F866" s="23" t="e">
        <f>VLOOKUP(E866,Customers[],2,FALSE)</f>
        <v>#N/A</v>
      </c>
      <c r="G866" s="23" t="e">
        <f>VLOOKUP(E866,Customers[],3,FALSE)</f>
        <v>#N/A</v>
      </c>
      <c r="H866" s="23" t="e">
        <f>VLOOKUP(E866,Customers[],4,FALSE)</f>
        <v>#N/A</v>
      </c>
      <c r="J866" s="29" t="e">
        <f>VLOOKUP(I866,PGStock[],2,FALSE)</f>
        <v>#N/A</v>
      </c>
      <c r="K866" s="30" t="e">
        <f>VLOOKUP(I866,PGStock[],3,FALSE)</f>
        <v>#N/A</v>
      </c>
      <c r="M866" s="62" t="e">
        <f>VLOOKUP(I866,PGStock[],6,FALSE)</f>
        <v>#N/A</v>
      </c>
      <c r="N866" s="62" t="e">
        <f>+Table8[[#This Row],[SalesBot]]*Table8[[#This Row],[Bonus]]</f>
        <v>#N/A</v>
      </c>
    </row>
    <row r="867" spans="1:14" ht="23.25" customHeight="1" x14ac:dyDescent="0.25">
      <c r="A867" s="59">
        <f t="shared" si="90"/>
        <v>1900</v>
      </c>
      <c r="B867" s="59">
        <f t="shared" si="91"/>
        <v>1</v>
      </c>
      <c r="C867" s="60"/>
      <c r="D867" s="61"/>
      <c r="F867" s="23" t="e">
        <f>VLOOKUP(E867,Customers[],2,FALSE)</f>
        <v>#N/A</v>
      </c>
      <c r="G867" s="23" t="e">
        <f>VLOOKUP(E867,Customers[],3,FALSE)</f>
        <v>#N/A</v>
      </c>
      <c r="H867" s="23" t="e">
        <f>VLOOKUP(E867,Customers[],4,FALSE)</f>
        <v>#N/A</v>
      </c>
      <c r="J867" s="29" t="e">
        <f>VLOOKUP(I867,PGStock[],2,FALSE)</f>
        <v>#N/A</v>
      </c>
      <c r="K867" s="30" t="e">
        <f>VLOOKUP(I867,PGStock[],3,FALSE)</f>
        <v>#N/A</v>
      </c>
      <c r="M867" s="62" t="e">
        <f>VLOOKUP(I867,PGStock[],6,FALSE)</f>
        <v>#N/A</v>
      </c>
      <c r="N867" s="62" t="e">
        <f>+Table8[[#This Row],[SalesBot]]*Table8[[#This Row],[Bonus]]</f>
        <v>#N/A</v>
      </c>
    </row>
    <row r="868" spans="1:14" ht="23.25" customHeight="1" x14ac:dyDescent="0.25">
      <c r="A868" s="59">
        <f t="shared" si="90"/>
        <v>1900</v>
      </c>
      <c r="B868" s="59">
        <f t="shared" si="91"/>
        <v>1</v>
      </c>
      <c r="C868" s="60"/>
      <c r="D868" s="61"/>
      <c r="F868" s="23" t="e">
        <f>VLOOKUP(E868,Customers[],2,FALSE)</f>
        <v>#N/A</v>
      </c>
      <c r="G868" s="23" t="e">
        <f>VLOOKUP(E868,Customers[],3,FALSE)</f>
        <v>#N/A</v>
      </c>
      <c r="H868" s="23" t="e">
        <f>VLOOKUP(E868,Customers[],4,FALSE)</f>
        <v>#N/A</v>
      </c>
      <c r="J868" s="29" t="e">
        <f>VLOOKUP(I868,PGStock[],2,FALSE)</f>
        <v>#N/A</v>
      </c>
      <c r="K868" s="30" t="e">
        <f>VLOOKUP(I868,PGStock[],3,FALSE)</f>
        <v>#N/A</v>
      </c>
      <c r="M868" s="62" t="e">
        <f>VLOOKUP(I868,PGStock[],6,FALSE)</f>
        <v>#N/A</v>
      </c>
      <c r="N868" s="62" t="e">
        <f>+Table8[[#This Row],[SalesBot]]*Table8[[#This Row],[Bonus]]</f>
        <v>#N/A</v>
      </c>
    </row>
    <row r="869" spans="1:14" ht="23.25" customHeight="1" x14ac:dyDescent="0.25">
      <c r="A869" s="59">
        <f t="shared" si="90"/>
        <v>1900</v>
      </c>
      <c r="B869" s="59">
        <f t="shared" si="91"/>
        <v>1</v>
      </c>
      <c r="C869" s="60"/>
      <c r="D869" s="61"/>
      <c r="F869" s="23" t="e">
        <f>VLOOKUP(E869,Customers[],2,FALSE)</f>
        <v>#N/A</v>
      </c>
      <c r="G869" s="23" t="e">
        <f>VLOOKUP(E869,Customers[],3,FALSE)</f>
        <v>#N/A</v>
      </c>
      <c r="H869" s="23" t="e">
        <f>VLOOKUP(E869,Customers[],4,FALSE)</f>
        <v>#N/A</v>
      </c>
      <c r="J869" s="29" t="e">
        <f>VLOOKUP(I869,PGStock[],2,FALSE)</f>
        <v>#N/A</v>
      </c>
      <c r="K869" s="30" t="e">
        <f>VLOOKUP(I869,PGStock[],3,FALSE)</f>
        <v>#N/A</v>
      </c>
      <c r="M869" s="62" t="e">
        <f>VLOOKUP(I869,PGStock[],6,FALSE)</f>
        <v>#N/A</v>
      </c>
      <c r="N869" s="62" t="e">
        <f>+Table8[[#This Row],[SalesBot]]*Table8[[#This Row],[Bonus]]</f>
        <v>#N/A</v>
      </c>
    </row>
    <row r="870" spans="1:14" ht="23.25" customHeight="1" x14ac:dyDescent="0.25">
      <c r="A870" s="59">
        <f t="shared" si="90"/>
        <v>1900</v>
      </c>
      <c r="B870" s="59">
        <f t="shared" si="91"/>
        <v>1</v>
      </c>
      <c r="C870" s="60"/>
      <c r="D870" s="61"/>
      <c r="F870" s="23" t="e">
        <f>VLOOKUP(E870,Customers[],2,FALSE)</f>
        <v>#N/A</v>
      </c>
      <c r="G870" s="23" t="e">
        <f>VLOOKUP(E870,Customers[],3,FALSE)</f>
        <v>#N/A</v>
      </c>
      <c r="H870" s="23" t="e">
        <f>VLOOKUP(E870,Customers[],4,FALSE)</f>
        <v>#N/A</v>
      </c>
      <c r="J870" s="29" t="e">
        <f>VLOOKUP(I870,PGStock[],2,FALSE)</f>
        <v>#N/A</v>
      </c>
      <c r="K870" s="30" t="e">
        <f>VLOOKUP(I870,PGStock[],3,FALSE)</f>
        <v>#N/A</v>
      </c>
      <c r="M870" s="62" t="e">
        <f>VLOOKUP(I870,PGStock[],6,FALSE)</f>
        <v>#N/A</v>
      </c>
      <c r="N870" s="62" t="e">
        <f>+Table8[[#This Row],[SalesBot]]*Table8[[#This Row],[Bonus]]</f>
        <v>#N/A</v>
      </c>
    </row>
    <row r="871" spans="1:14" ht="23.25" customHeight="1" x14ac:dyDescent="0.25">
      <c r="A871" s="59">
        <f t="shared" si="90"/>
        <v>1900</v>
      </c>
      <c r="B871" s="59">
        <f t="shared" si="91"/>
        <v>1</v>
      </c>
      <c r="C871" s="60"/>
      <c r="D871" s="61"/>
      <c r="F871" s="23" t="e">
        <f>VLOOKUP(E871,Customers[],2,FALSE)</f>
        <v>#N/A</v>
      </c>
      <c r="G871" s="23" t="e">
        <f>VLOOKUP(E871,Customers[],3,FALSE)</f>
        <v>#N/A</v>
      </c>
      <c r="H871" s="23" t="e">
        <f>VLOOKUP(E871,Customers[],4,FALSE)</f>
        <v>#N/A</v>
      </c>
      <c r="J871" s="29" t="e">
        <f>VLOOKUP(I871,PGStock[],2,FALSE)</f>
        <v>#N/A</v>
      </c>
      <c r="K871" s="30" t="e">
        <f>VLOOKUP(I871,PGStock[],3,FALSE)</f>
        <v>#N/A</v>
      </c>
      <c r="M871" s="62" t="e">
        <f>VLOOKUP(I871,PGStock[],6,FALSE)</f>
        <v>#N/A</v>
      </c>
      <c r="N871" s="62" t="e">
        <f>+Table8[[#This Row],[SalesBot]]*Table8[[#This Row],[Bonus]]</f>
        <v>#N/A</v>
      </c>
    </row>
    <row r="872" spans="1:14" ht="23.25" customHeight="1" x14ac:dyDescent="0.25">
      <c r="A872" s="59">
        <f t="shared" si="90"/>
        <v>1900</v>
      </c>
      <c r="B872" s="59">
        <f t="shared" si="91"/>
        <v>1</v>
      </c>
      <c r="C872" s="60"/>
      <c r="D872" s="61"/>
      <c r="F872" s="23" t="e">
        <f>VLOOKUP(E872,Customers[],2,FALSE)</f>
        <v>#N/A</v>
      </c>
      <c r="G872" s="23" t="e">
        <f>VLOOKUP(E872,Customers[],3,FALSE)</f>
        <v>#N/A</v>
      </c>
      <c r="H872" s="23" t="e">
        <f>VLOOKUP(E872,Customers[],4,FALSE)</f>
        <v>#N/A</v>
      </c>
      <c r="J872" s="29" t="e">
        <f>VLOOKUP(I872,PGStock[],2,FALSE)</f>
        <v>#N/A</v>
      </c>
      <c r="K872" s="30" t="e">
        <f>VLOOKUP(I872,PGStock[],3,FALSE)</f>
        <v>#N/A</v>
      </c>
      <c r="M872" s="62" t="e">
        <f>VLOOKUP(I872,PGStock[],6,FALSE)</f>
        <v>#N/A</v>
      </c>
      <c r="N872" s="62" t="e">
        <f>+Table8[[#This Row],[SalesBot]]*Table8[[#This Row],[Bonus]]</f>
        <v>#N/A</v>
      </c>
    </row>
    <row r="873" spans="1:14" ht="23.25" customHeight="1" x14ac:dyDescent="0.25">
      <c r="A873" s="59">
        <f t="shared" si="90"/>
        <v>1900</v>
      </c>
      <c r="B873" s="59">
        <f t="shared" si="91"/>
        <v>1</v>
      </c>
      <c r="C873" s="60"/>
      <c r="D873" s="61"/>
      <c r="F873" s="23" t="e">
        <f>VLOOKUP(E873,Customers[],2,FALSE)</f>
        <v>#N/A</v>
      </c>
      <c r="G873" s="23" t="e">
        <f>VLOOKUP(E873,Customers[],3,FALSE)</f>
        <v>#N/A</v>
      </c>
      <c r="H873" s="23" t="e">
        <f>VLOOKUP(E873,Customers[],4,FALSE)</f>
        <v>#N/A</v>
      </c>
      <c r="J873" s="29" t="e">
        <f>VLOOKUP(I873,PGStock[],2,FALSE)</f>
        <v>#N/A</v>
      </c>
      <c r="K873" s="30" t="e">
        <f>VLOOKUP(I873,PGStock[],3,FALSE)</f>
        <v>#N/A</v>
      </c>
      <c r="M873" s="62" t="e">
        <f>VLOOKUP(I873,PGStock[],6,FALSE)</f>
        <v>#N/A</v>
      </c>
      <c r="N873" s="62" t="e">
        <f>+Table8[[#This Row],[SalesBot]]*Table8[[#This Row],[Bonus]]</f>
        <v>#N/A</v>
      </c>
    </row>
    <row r="874" spans="1:14" ht="23.25" customHeight="1" x14ac:dyDescent="0.25">
      <c r="A874" s="59">
        <f t="shared" ref="A874:A913" si="96">YEAR(C874)</f>
        <v>1900</v>
      </c>
      <c r="B874" s="59">
        <f t="shared" ref="B874:B913" si="97">MONTH(C874)</f>
        <v>1</v>
      </c>
      <c r="C874" s="60"/>
      <c r="D874" s="61"/>
      <c r="F874" s="23" t="e">
        <f>VLOOKUP(E874,Customers[],2,FALSE)</f>
        <v>#N/A</v>
      </c>
      <c r="G874" s="23" t="e">
        <f>VLOOKUP(E874,Customers[],3,FALSE)</f>
        <v>#N/A</v>
      </c>
      <c r="H874" s="23" t="e">
        <f>VLOOKUP(E874,Customers[],4,FALSE)</f>
        <v>#N/A</v>
      </c>
      <c r="J874" s="29" t="e">
        <f>VLOOKUP(I874,PGStock[],2,FALSE)</f>
        <v>#N/A</v>
      </c>
      <c r="K874" s="30" t="e">
        <f>VLOOKUP(I874,PGStock[],3,FALSE)</f>
        <v>#N/A</v>
      </c>
      <c r="M874" s="62" t="e">
        <f>VLOOKUP(I874,PGStock[],6,FALSE)</f>
        <v>#N/A</v>
      </c>
      <c r="N874" s="62" t="e">
        <f>+Table8[[#This Row],[SalesBot]]*Table8[[#This Row],[Bonus]]</f>
        <v>#N/A</v>
      </c>
    </row>
    <row r="875" spans="1:14" ht="23.25" customHeight="1" x14ac:dyDescent="0.25">
      <c r="A875" s="59">
        <f t="shared" si="96"/>
        <v>1900</v>
      </c>
      <c r="B875" s="59">
        <f t="shared" si="97"/>
        <v>1</v>
      </c>
      <c r="C875" s="60"/>
      <c r="D875" s="61"/>
      <c r="F875" s="23" t="e">
        <f>VLOOKUP(E875,Customers[],2,FALSE)</f>
        <v>#N/A</v>
      </c>
      <c r="G875" s="23" t="e">
        <f>VLOOKUP(E875,Customers[],3,FALSE)</f>
        <v>#N/A</v>
      </c>
      <c r="H875" s="23" t="e">
        <f>VLOOKUP(E875,Customers[],4,FALSE)</f>
        <v>#N/A</v>
      </c>
      <c r="J875" s="29" t="e">
        <f>VLOOKUP(I875,PGStock[],2,FALSE)</f>
        <v>#N/A</v>
      </c>
      <c r="K875" s="30" t="e">
        <f>VLOOKUP(I875,PGStock[],3,FALSE)</f>
        <v>#N/A</v>
      </c>
      <c r="M875" s="62" t="e">
        <f>VLOOKUP(I875,PGStock[],6,FALSE)</f>
        <v>#N/A</v>
      </c>
      <c r="N875" s="62" t="e">
        <f>+Table8[[#This Row],[SalesBot]]*Table8[[#This Row],[Bonus]]</f>
        <v>#N/A</v>
      </c>
    </row>
    <row r="876" spans="1:14" ht="23.25" customHeight="1" x14ac:dyDescent="0.25">
      <c r="A876" s="59">
        <f t="shared" si="96"/>
        <v>1900</v>
      </c>
      <c r="B876" s="59">
        <f t="shared" si="97"/>
        <v>1</v>
      </c>
      <c r="C876" s="60"/>
      <c r="D876" s="61"/>
      <c r="F876" s="23" t="e">
        <f>VLOOKUP(E876,Customers[],2,FALSE)</f>
        <v>#N/A</v>
      </c>
      <c r="G876" s="23" t="e">
        <f>VLOOKUP(E876,Customers[],3,FALSE)</f>
        <v>#N/A</v>
      </c>
      <c r="H876" s="23" t="e">
        <f>VLOOKUP(E876,Customers[],4,FALSE)</f>
        <v>#N/A</v>
      </c>
      <c r="J876" s="29" t="e">
        <f>VLOOKUP(I876,PGStock[],2,FALSE)</f>
        <v>#N/A</v>
      </c>
      <c r="K876" s="30" t="e">
        <f>VLOOKUP(I876,PGStock[],3,FALSE)</f>
        <v>#N/A</v>
      </c>
      <c r="M876" s="62" t="e">
        <f>VLOOKUP(I876,PGStock[],6,FALSE)</f>
        <v>#N/A</v>
      </c>
      <c r="N876" s="62" t="e">
        <f>+Table8[[#This Row],[SalesBot]]*Table8[[#This Row],[Bonus]]</f>
        <v>#N/A</v>
      </c>
    </row>
    <row r="877" spans="1:14" ht="23.25" customHeight="1" x14ac:dyDescent="0.25">
      <c r="A877" s="59">
        <f t="shared" si="96"/>
        <v>1900</v>
      </c>
      <c r="B877" s="59">
        <f t="shared" si="97"/>
        <v>1</v>
      </c>
      <c r="C877" s="60"/>
      <c r="D877" s="61"/>
      <c r="F877" s="23" t="e">
        <f>VLOOKUP(E877,Customers[],2,FALSE)</f>
        <v>#N/A</v>
      </c>
      <c r="G877" s="23" t="e">
        <f>VLOOKUP(E877,Customers[],3,FALSE)</f>
        <v>#N/A</v>
      </c>
      <c r="H877" s="23" t="e">
        <f>VLOOKUP(E877,Customers[],4,FALSE)</f>
        <v>#N/A</v>
      </c>
      <c r="J877" s="29" t="e">
        <f>VLOOKUP(I877,PGStock[],2,FALSE)</f>
        <v>#N/A</v>
      </c>
      <c r="K877" s="30" t="e">
        <f>VLOOKUP(I877,PGStock[],3,FALSE)</f>
        <v>#N/A</v>
      </c>
      <c r="M877" s="62" t="e">
        <f>VLOOKUP(I877,PGStock[],6,FALSE)</f>
        <v>#N/A</v>
      </c>
      <c r="N877" s="62" t="e">
        <f>+Table8[[#This Row],[SalesBot]]*Table8[[#This Row],[Bonus]]</f>
        <v>#N/A</v>
      </c>
    </row>
    <row r="878" spans="1:14" ht="23.25" customHeight="1" x14ac:dyDescent="0.25">
      <c r="A878" s="59">
        <f t="shared" si="96"/>
        <v>1900</v>
      </c>
      <c r="B878" s="59">
        <f t="shared" si="97"/>
        <v>1</v>
      </c>
      <c r="C878" s="60"/>
      <c r="D878" s="61"/>
      <c r="F878" s="23" t="e">
        <f>VLOOKUP(E878,Customers[],2,FALSE)</f>
        <v>#N/A</v>
      </c>
      <c r="G878" s="23" t="e">
        <f>VLOOKUP(E878,Customers[],3,FALSE)</f>
        <v>#N/A</v>
      </c>
      <c r="H878" s="23" t="e">
        <f>VLOOKUP(E878,Customers[],4,FALSE)</f>
        <v>#N/A</v>
      </c>
      <c r="J878" s="29" t="e">
        <f>VLOOKUP(I878,PGStock[],2,FALSE)</f>
        <v>#N/A</v>
      </c>
      <c r="K878" s="30" t="e">
        <f>VLOOKUP(I878,PGStock[],3,FALSE)</f>
        <v>#N/A</v>
      </c>
      <c r="M878" s="62" t="e">
        <f>VLOOKUP(I878,PGStock[],6,FALSE)</f>
        <v>#N/A</v>
      </c>
      <c r="N878" s="62" t="e">
        <f>+Table8[[#This Row],[SalesBot]]*Table8[[#This Row],[Bonus]]</f>
        <v>#N/A</v>
      </c>
    </row>
    <row r="879" spans="1:14" ht="23.25" customHeight="1" x14ac:dyDescent="0.25">
      <c r="A879" s="59">
        <f t="shared" ref="A879:A906" si="98">YEAR(C879)</f>
        <v>1900</v>
      </c>
      <c r="B879" s="59">
        <f t="shared" ref="B879:B906" si="99">MONTH(C879)</f>
        <v>1</v>
      </c>
      <c r="C879" s="60"/>
      <c r="D879" s="61"/>
      <c r="F879" s="23" t="e">
        <f>VLOOKUP(E879,Customers[],2,FALSE)</f>
        <v>#N/A</v>
      </c>
      <c r="G879" s="23" t="e">
        <f>VLOOKUP(E879,Customers[],3,FALSE)</f>
        <v>#N/A</v>
      </c>
      <c r="H879" s="23" t="e">
        <f>VLOOKUP(E879,Customers[],4,FALSE)</f>
        <v>#N/A</v>
      </c>
      <c r="J879" s="29" t="e">
        <f>VLOOKUP(I879,PGStock[],2,FALSE)</f>
        <v>#N/A</v>
      </c>
      <c r="K879" s="30" t="e">
        <f>VLOOKUP(I879,PGStock[],3,FALSE)</f>
        <v>#N/A</v>
      </c>
      <c r="M879" s="62" t="e">
        <f>VLOOKUP(I879,PGStock[],6,FALSE)</f>
        <v>#N/A</v>
      </c>
      <c r="N879" s="62" t="e">
        <f>+Table8[[#This Row],[SalesBot]]*Table8[[#This Row],[Bonus]]</f>
        <v>#N/A</v>
      </c>
    </row>
    <row r="880" spans="1:14" ht="23.25" customHeight="1" x14ac:dyDescent="0.25">
      <c r="A880" s="59">
        <f t="shared" si="98"/>
        <v>1900</v>
      </c>
      <c r="B880" s="59">
        <f t="shared" si="99"/>
        <v>1</v>
      </c>
      <c r="C880" s="60"/>
      <c r="D880" s="61"/>
      <c r="F880" s="23" t="e">
        <f>VLOOKUP(E880,Customers[],2,FALSE)</f>
        <v>#N/A</v>
      </c>
      <c r="G880" s="23" t="e">
        <f>VLOOKUP(E880,Customers[],3,FALSE)</f>
        <v>#N/A</v>
      </c>
      <c r="H880" s="23" t="e">
        <f>VLOOKUP(E880,Customers[],4,FALSE)</f>
        <v>#N/A</v>
      </c>
      <c r="J880" s="29" t="e">
        <f>VLOOKUP(I880,PGStock[],2,FALSE)</f>
        <v>#N/A</v>
      </c>
      <c r="K880" s="30" t="e">
        <f>VLOOKUP(I880,PGStock[],3,FALSE)</f>
        <v>#N/A</v>
      </c>
      <c r="M880" s="62" t="e">
        <f>VLOOKUP(I880,PGStock[],6,FALSE)</f>
        <v>#N/A</v>
      </c>
      <c r="N880" s="62" t="e">
        <f>+Table8[[#This Row],[SalesBot]]*Table8[[#This Row],[Bonus]]</f>
        <v>#N/A</v>
      </c>
    </row>
    <row r="881" spans="1:14" ht="23.25" customHeight="1" x14ac:dyDescent="0.25">
      <c r="A881" s="59">
        <f t="shared" si="98"/>
        <v>1900</v>
      </c>
      <c r="B881" s="59">
        <f t="shared" si="99"/>
        <v>1</v>
      </c>
      <c r="C881" s="60"/>
      <c r="D881" s="61"/>
      <c r="F881" s="23" t="e">
        <f>VLOOKUP(E881,Customers[],2,FALSE)</f>
        <v>#N/A</v>
      </c>
      <c r="G881" s="23" t="e">
        <f>VLOOKUP(E881,Customers[],3,FALSE)</f>
        <v>#N/A</v>
      </c>
      <c r="H881" s="23" t="e">
        <f>VLOOKUP(E881,Customers[],4,FALSE)</f>
        <v>#N/A</v>
      </c>
      <c r="J881" s="29" t="e">
        <f>VLOOKUP(I881,PGStock[],2,FALSE)</f>
        <v>#N/A</v>
      </c>
      <c r="K881" s="30" t="e">
        <f>VLOOKUP(I881,PGStock[],3,FALSE)</f>
        <v>#N/A</v>
      </c>
      <c r="M881" s="62" t="e">
        <f>VLOOKUP(I881,PGStock[],6,FALSE)</f>
        <v>#N/A</v>
      </c>
      <c r="N881" s="62" t="e">
        <f>+Table8[[#This Row],[SalesBot]]*Table8[[#This Row],[Bonus]]</f>
        <v>#N/A</v>
      </c>
    </row>
    <row r="882" spans="1:14" ht="23.25" customHeight="1" x14ac:dyDescent="0.25">
      <c r="A882" s="59">
        <f t="shared" si="98"/>
        <v>1900</v>
      </c>
      <c r="B882" s="59">
        <f t="shared" si="99"/>
        <v>1</v>
      </c>
      <c r="C882" s="60"/>
      <c r="D882" s="61"/>
      <c r="F882" s="23" t="e">
        <f>VLOOKUP(E882,Customers[],2,FALSE)</f>
        <v>#N/A</v>
      </c>
      <c r="G882" s="23" t="e">
        <f>VLOOKUP(E882,Customers[],3,FALSE)</f>
        <v>#N/A</v>
      </c>
      <c r="H882" s="23" t="e">
        <f>VLOOKUP(E882,Customers[],4,FALSE)</f>
        <v>#N/A</v>
      </c>
      <c r="J882" s="29" t="e">
        <f>VLOOKUP(I882,PGStock[],2,FALSE)</f>
        <v>#N/A</v>
      </c>
      <c r="K882" s="30" t="e">
        <f>VLOOKUP(I882,PGStock[],3,FALSE)</f>
        <v>#N/A</v>
      </c>
      <c r="M882" s="62" t="e">
        <f>VLOOKUP(I882,PGStock[],6,FALSE)</f>
        <v>#N/A</v>
      </c>
      <c r="N882" s="62" t="e">
        <f>+Table8[[#This Row],[SalesBot]]*Table8[[#This Row],[Bonus]]</f>
        <v>#N/A</v>
      </c>
    </row>
    <row r="883" spans="1:14" ht="23.25" customHeight="1" x14ac:dyDescent="0.25">
      <c r="A883" s="59">
        <f t="shared" si="98"/>
        <v>1900</v>
      </c>
      <c r="B883" s="59">
        <f t="shared" si="99"/>
        <v>1</v>
      </c>
      <c r="C883" s="60"/>
      <c r="D883" s="61"/>
      <c r="F883" s="23" t="e">
        <f>VLOOKUP(E883,Customers[],2,FALSE)</f>
        <v>#N/A</v>
      </c>
      <c r="G883" s="23" t="e">
        <f>VLOOKUP(E883,Customers[],3,FALSE)</f>
        <v>#N/A</v>
      </c>
      <c r="H883" s="23" t="e">
        <f>VLOOKUP(E883,Customers[],4,FALSE)</f>
        <v>#N/A</v>
      </c>
      <c r="J883" s="29" t="e">
        <f>VLOOKUP(I883,PGStock[],2,FALSE)</f>
        <v>#N/A</v>
      </c>
      <c r="K883" s="30" t="e">
        <f>VLOOKUP(I883,PGStock[],3,FALSE)</f>
        <v>#N/A</v>
      </c>
      <c r="M883" s="62" t="e">
        <f>VLOOKUP(I883,PGStock[],6,FALSE)</f>
        <v>#N/A</v>
      </c>
      <c r="N883" s="62" t="e">
        <f>+Table8[[#This Row],[SalesBot]]*Table8[[#This Row],[Bonus]]</f>
        <v>#N/A</v>
      </c>
    </row>
    <row r="884" spans="1:14" ht="23.25" customHeight="1" x14ac:dyDescent="0.25">
      <c r="A884" s="59">
        <f t="shared" si="98"/>
        <v>1900</v>
      </c>
      <c r="B884" s="59">
        <f t="shared" si="99"/>
        <v>1</v>
      </c>
      <c r="C884" s="60"/>
      <c r="D884" s="61"/>
      <c r="F884" s="23" t="e">
        <f>VLOOKUP(E884,Customers[],2,FALSE)</f>
        <v>#N/A</v>
      </c>
      <c r="G884" s="23" t="e">
        <f>VLOOKUP(E884,Customers[],3,FALSE)</f>
        <v>#N/A</v>
      </c>
      <c r="H884" s="23" t="e">
        <f>VLOOKUP(E884,Customers[],4,FALSE)</f>
        <v>#N/A</v>
      </c>
      <c r="J884" s="29" t="e">
        <f>VLOOKUP(I884,PGStock[],2,FALSE)</f>
        <v>#N/A</v>
      </c>
      <c r="K884" s="30" t="e">
        <f>VLOOKUP(I884,PGStock[],3,FALSE)</f>
        <v>#N/A</v>
      </c>
      <c r="M884" s="62" t="e">
        <f>VLOOKUP(I884,PGStock[],6,FALSE)</f>
        <v>#N/A</v>
      </c>
      <c r="N884" s="62" t="e">
        <f>+Table8[[#This Row],[SalesBot]]*Table8[[#This Row],[Bonus]]</f>
        <v>#N/A</v>
      </c>
    </row>
    <row r="885" spans="1:14" ht="23.25" customHeight="1" x14ac:dyDescent="0.25">
      <c r="A885" s="59">
        <f t="shared" si="98"/>
        <v>1900</v>
      </c>
      <c r="B885" s="59">
        <f t="shared" si="99"/>
        <v>1</v>
      </c>
      <c r="C885" s="60"/>
      <c r="D885" s="61"/>
      <c r="F885" s="23" t="e">
        <f>VLOOKUP(E885,Customers[],2,FALSE)</f>
        <v>#N/A</v>
      </c>
      <c r="G885" s="23" t="e">
        <f>VLOOKUP(E885,Customers[],3,FALSE)</f>
        <v>#N/A</v>
      </c>
      <c r="H885" s="23" t="e">
        <f>VLOOKUP(E885,Customers[],4,FALSE)</f>
        <v>#N/A</v>
      </c>
      <c r="J885" s="29" t="e">
        <f>VLOOKUP(I885,PGStock[],2,FALSE)</f>
        <v>#N/A</v>
      </c>
      <c r="K885" s="30" t="e">
        <f>VLOOKUP(I885,PGStock[],3,FALSE)</f>
        <v>#N/A</v>
      </c>
      <c r="M885" s="62" t="e">
        <f>VLOOKUP(I885,PGStock[],6,FALSE)</f>
        <v>#N/A</v>
      </c>
      <c r="N885" s="62" t="e">
        <f>+Table8[[#This Row],[SalesBot]]*Table8[[#This Row],[Bonus]]</f>
        <v>#N/A</v>
      </c>
    </row>
    <row r="886" spans="1:14" ht="23.25" customHeight="1" x14ac:dyDescent="0.25">
      <c r="A886" s="59">
        <f t="shared" si="98"/>
        <v>1900</v>
      </c>
      <c r="B886" s="59">
        <f t="shared" si="99"/>
        <v>1</v>
      </c>
      <c r="C886" s="60"/>
      <c r="D886" s="61"/>
      <c r="F886" s="23" t="e">
        <f>VLOOKUP(E886,Customers[],2,FALSE)</f>
        <v>#N/A</v>
      </c>
      <c r="G886" s="23" t="e">
        <f>VLOOKUP(E886,Customers[],3,FALSE)</f>
        <v>#N/A</v>
      </c>
      <c r="H886" s="23" t="e">
        <f>VLOOKUP(E886,Customers[],4,FALSE)</f>
        <v>#N/A</v>
      </c>
      <c r="J886" s="29" t="e">
        <f>VLOOKUP(I886,PGStock[],2,FALSE)</f>
        <v>#N/A</v>
      </c>
      <c r="K886" s="30" t="e">
        <f>VLOOKUP(I886,PGStock[],3,FALSE)</f>
        <v>#N/A</v>
      </c>
      <c r="M886" s="62" t="e">
        <f>VLOOKUP(I886,PGStock[],6,FALSE)</f>
        <v>#N/A</v>
      </c>
      <c r="N886" s="62" t="e">
        <f>+Table8[[#This Row],[SalesBot]]*Table8[[#This Row],[Bonus]]</f>
        <v>#N/A</v>
      </c>
    </row>
    <row r="887" spans="1:14" ht="23.25" customHeight="1" x14ac:dyDescent="0.25">
      <c r="A887" s="59">
        <f t="shared" si="98"/>
        <v>1900</v>
      </c>
      <c r="B887" s="59">
        <f t="shared" si="99"/>
        <v>1</v>
      </c>
      <c r="C887" s="60"/>
      <c r="D887" s="61"/>
      <c r="F887" s="23" t="e">
        <f>VLOOKUP(E887,Customers[],2,FALSE)</f>
        <v>#N/A</v>
      </c>
      <c r="G887" s="23" t="e">
        <f>VLOOKUP(E887,Customers[],3,FALSE)</f>
        <v>#N/A</v>
      </c>
      <c r="H887" s="23" t="e">
        <f>VLOOKUP(E887,Customers[],4,FALSE)</f>
        <v>#N/A</v>
      </c>
      <c r="J887" s="29" t="e">
        <f>VLOOKUP(I887,PGStock[],2,FALSE)</f>
        <v>#N/A</v>
      </c>
      <c r="K887" s="30" t="e">
        <f>VLOOKUP(I887,PGStock[],3,FALSE)</f>
        <v>#N/A</v>
      </c>
      <c r="M887" s="62" t="e">
        <f>VLOOKUP(I887,PGStock[],6,FALSE)</f>
        <v>#N/A</v>
      </c>
      <c r="N887" s="62" t="e">
        <f>+Table8[[#This Row],[SalesBot]]*Table8[[#This Row],[Bonus]]</f>
        <v>#N/A</v>
      </c>
    </row>
    <row r="888" spans="1:14" ht="23.25" customHeight="1" x14ac:dyDescent="0.25">
      <c r="A888" s="59">
        <f t="shared" si="98"/>
        <v>1900</v>
      </c>
      <c r="B888" s="59">
        <f t="shared" si="99"/>
        <v>1</v>
      </c>
      <c r="C888" s="60"/>
      <c r="D888" s="61"/>
      <c r="F888" s="23" t="e">
        <f>VLOOKUP(E888,Customers[],2,FALSE)</f>
        <v>#N/A</v>
      </c>
      <c r="G888" s="23" t="e">
        <f>VLOOKUP(E888,Customers[],3,FALSE)</f>
        <v>#N/A</v>
      </c>
      <c r="H888" s="23" t="e">
        <f>VLOOKUP(E888,Customers[],4,FALSE)</f>
        <v>#N/A</v>
      </c>
      <c r="J888" s="29" t="e">
        <f>VLOOKUP(I888,PGStock[],2,FALSE)</f>
        <v>#N/A</v>
      </c>
      <c r="K888" s="30" t="e">
        <f>VLOOKUP(I888,PGStock[],3,FALSE)</f>
        <v>#N/A</v>
      </c>
      <c r="M888" s="62" t="e">
        <f>VLOOKUP(I888,PGStock[],6,FALSE)</f>
        <v>#N/A</v>
      </c>
      <c r="N888" s="62" t="e">
        <f>+Table8[[#This Row],[SalesBot]]*Table8[[#This Row],[Bonus]]</f>
        <v>#N/A</v>
      </c>
    </row>
    <row r="889" spans="1:14" ht="23.25" customHeight="1" x14ac:dyDescent="0.25">
      <c r="A889" s="59">
        <f t="shared" si="98"/>
        <v>1900</v>
      </c>
      <c r="B889" s="59">
        <f t="shared" si="99"/>
        <v>1</v>
      </c>
      <c r="C889" s="60"/>
      <c r="D889" s="61"/>
      <c r="F889" s="23" t="e">
        <f>VLOOKUP(E889,Customers[],2,FALSE)</f>
        <v>#N/A</v>
      </c>
      <c r="G889" s="23" t="e">
        <f>VLOOKUP(E889,Customers[],3,FALSE)</f>
        <v>#N/A</v>
      </c>
      <c r="H889" s="23" t="e">
        <f>VLOOKUP(E889,Customers[],4,FALSE)</f>
        <v>#N/A</v>
      </c>
      <c r="J889" s="29" t="e">
        <f>VLOOKUP(I889,PGStock[],2,FALSE)</f>
        <v>#N/A</v>
      </c>
      <c r="K889" s="30" t="e">
        <f>VLOOKUP(I889,PGStock[],3,FALSE)</f>
        <v>#N/A</v>
      </c>
      <c r="M889" s="62" t="e">
        <f>VLOOKUP(I889,PGStock[],6,FALSE)</f>
        <v>#N/A</v>
      </c>
      <c r="N889" s="62" t="e">
        <f>+Table8[[#This Row],[SalesBot]]*Table8[[#This Row],[Bonus]]</f>
        <v>#N/A</v>
      </c>
    </row>
    <row r="890" spans="1:14" ht="23.25" customHeight="1" x14ac:dyDescent="0.25">
      <c r="A890" s="59">
        <f t="shared" si="98"/>
        <v>1900</v>
      </c>
      <c r="B890" s="59">
        <f t="shared" si="99"/>
        <v>1</v>
      </c>
      <c r="C890" s="60"/>
      <c r="D890" s="61"/>
      <c r="F890" s="23" t="e">
        <f>VLOOKUP(E890,Customers[],2,FALSE)</f>
        <v>#N/A</v>
      </c>
      <c r="G890" s="23" t="e">
        <f>VLOOKUP(E890,Customers[],3,FALSE)</f>
        <v>#N/A</v>
      </c>
      <c r="H890" s="23" t="e">
        <f>VLOOKUP(E890,Customers[],4,FALSE)</f>
        <v>#N/A</v>
      </c>
      <c r="J890" s="29" t="e">
        <f>VLOOKUP(I890,PGStock[],2,FALSE)</f>
        <v>#N/A</v>
      </c>
      <c r="K890" s="30" t="e">
        <f>VLOOKUP(I890,PGStock[],3,FALSE)</f>
        <v>#N/A</v>
      </c>
      <c r="M890" s="62" t="e">
        <f>VLOOKUP(I890,PGStock[],6,FALSE)</f>
        <v>#N/A</v>
      </c>
      <c r="N890" s="62" t="e">
        <f>+Table8[[#This Row],[SalesBot]]*Table8[[#This Row],[Bonus]]</f>
        <v>#N/A</v>
      </c>
    </row>
    <row r="891" spans="1:14" ht="23.25" customHeight="1" x14ac:dyDescent="0.25">
      <c r="A891" s="59">
        <f t="shared" si="98"/>
        <v>1900</v>
      </c>
      <c r="B891" s="59">
        <f t="shared" si="99"/>
        <v>1</v>
      </c>
      <c r="C891" s="60"/>
      <c r="D891" s="61"/>
      <c r="F891" s="23" t="e">
        <f>VLOOKUP(E891,Customers[],2,FALSE)</f>
        <v>#N/A</v>
      </c>
      <c r="G891" s="23" t="e">
        <f>VLOOKUP(E891,Customers[],3,FALSE)</f>
        <v>#N/A</v>
      </c>
      <c r="H891" s="23" t="e">
        <f>VLOOKUP(E891,Customers[],4,FALSE)</f>
        <v>#N/A</v>
      </c>
      <c r="J891" s="29" t="e">
        <f>VLOOKUP(I891,PGStock[],2,FALSE)</f>
        <v>#N/A</v>
      </c>
      <c r="K891" s="30" t="e">
        <f>VLOOKUP(I891,PGStock[],3,FALSE)</f>
        <v>#N/A</v>
      </c>
      <c r="M891" s="62" t="e">
        <f>VLOOKUP(I891,PGStock[],6,FALSE)</f>
        <v>#N/A</v>
      </c>
      <c r="N891" s="62" t="e">
        <f>+Table8[[#This Row],[SalesBot]]*Table8[[#This Row],[Bonus]]</f>
        <v>#N/A</v>
      </c>
    </row>
    <row r="892" spans="1:14" ht="23.25" customHeight="1" x14ac:dyDescent="0.25">
      <c r="A892" s="59">
        <f t="shared" si="98"/>
        <v>1900</v>
      </c>
      <c r="B892" s="59">
        <f t="shared" si="99"/>
        <v>1</v>
      </c>
      <c r="C892" s="60"/>
      <c r="D892" s="61"/>
      <c r="F892" s="23" t="e">
        <f>VLOOKUP(E892,Customers[],2,FALSE)</f>
        <v>#N/A</v>
      </c>
      <c r="G892" s="23" t="e">
        <f>VLOOKUP(E892,Customers[],3,FALSE)</f>
        <v>#N/A</v>
      </c>
      <c r="H892" s="23" t="e">
        <f>VLOOKUP(E892,Customers[],4,FALSE)</f>
        <v>#N/A</v>
      </c>
      <c r="J892" s="29" t="e">
        <f>VLOOKUP(I892,PGStock[],2,FALSE)</f>
        <v>#N/A</v>
      </c>
      <c r="K892" s="30" t="e">
        <f>VLOOKUP(I892,PGStock[],3,FALSE)</f>
        <v>#N/A</v>
      </c>
      <c r="M892" s="62" t="e">
        <f>VLOOKUP(I892,PGStock[],6,FALSE)</f>
        <v>#N/A</v>
      </c>
      <c r="N892" s="62" t="e">
        <f>+Table8[[#This Row],[SalesBot]]*Table8[[#This Row],[Bonus]]</f>
        <v>#N/A</v>
      </c>
    </row>
    <row r="893" spans="1:14" ht="23.25" customHeight="1" x14ac:dyDescent="0.25">
      <c r="A893" s="59">
        <f t="shared" si="98"/>
        <v>1900</v>
      </c>
      <c r="B893" s="59">
        <f t="shared" si="99"/>
        <v>1</v>
      </c>
      <c r="C893" s="60"/>
      <c r="D893" s="61"/>
      <c r="F893" s="23" t="e">
        <f>VLOOKUP(E893,Customers[],2,FALSE)</f>
        <v>#N/A</v>
      </c>
      <c r="G893" s="23" t="e">
        <f>VLOOKUP(E893,Customers[],3,FALSE)</f>
        <v>#N/A</v>
      </c>
      <c r="H893" s="23" t="e">
        <f>VLOOKUP(E893,Customers[],4,FALSE)</f>
        <v>#N/A</v>
      </c>
      <c r="J893" s="29" t="e">
        <f>VLOOKUP(I893,PGStock[],2,FALSE)</f>
        <v>#N/A</v>
      </c>
      <c r="K893" s="30" t="e">
        <f>VLOOKUP(I893,PGStock[],3,FALSE)</f>
        <v>#N/A</v>
      </c>
      <c r="M893" s="62" t="e">
        <f>VLOOKUP(I893,PGStock[],6,FALSE)</f>
        <v>#N/A</v>
      </c>
      <c r="N893" s="62" t="e">
        <f>+Table8[[#This Row],[SalesBot]]*Table8[[#This Row],[Bonus]]</f>
        <v>#N/A</v>
      </c>
    </row>
    <row r="894" spans="1:14" ht="23.25" customHeight="1" x14ac:dyDescent="0.25">
      <c r="A894" s="59">
        <f t="shared" si="98"/>
        <v>1900</v>
      </c>
      <c r="B894" s="59">
        <f t="shared" si="99"/>
        <v>1</v>
      </c>
      <c r="C894" s="60"/>
      <c r="D894" s="61"/>
      <c r="F894" s="23" t="e">
        <f>VLOOKUP(E894,Customers[],2,FALSE)</f>
        <v>#N/A</v>
      </c>
      <c r="G894" s="23" t="e">
        <f>VLOOKUP(E894,Customers[],3,FALSE)</f>
        <v>#N/A</v>
      </c>
      <c r="H894" s="23" t="e">
        <f>VLOOKUP(E894,Customers[],4,FALSE)</f>
        <v>#N/A</v>
      </c>
      <c r="J894" s="29" t="e">
        <f>VLOOKUP(I894,PGStock[],2,FALSE)</f>
        <v>#N/A</v>
      </c>
      <c r="K894" s="30" t="e">
        <f>VLOOKUP(I894,PGStock[],3,FALSE)</f>
        <v>#N/A</v>
      </c>
      <c r="M894" s="62" t="e">
        <f>VLOOKUP(I894,PGStock[],6,FALSE)</f>
        <v>#N/A</v>
      </c>
      <c r="N894" s="62" t="e">
        <f>+Table8[[#This Row],[SalesBot]]*Table8[[#This Row],[Bonus]]</f>
        <v>#N/A</v>
      </c>
    </row>
    <row r="895" spans="1:14" ht="23.25" customHeight="1" x14ac:dyDescent="0.25">
      <c r="A895" s="59">
        <f t="shared" si="98"/>
        <v>1900</v>
      </c>
      <c r="B895" s="59">
        <f t="shared" si="99"/>
        <v>1</v>
      </c>
      <c r="C895" s="60"/>
      <c r="D895" s="61"/>
      <c r="F895" s="23" t="e">
        <f>VLOOKUP(E895,Customers[],2,FALSE)</f>
        <v>#N/A</v>
      </c>
      <c r="G895" s="23" t="e">
        <f>VLOOKUP(E895,Customers[],3,FALSE)</f>
        <v>#N/A</v>
      </c>
      <c r="H895" s="23" t="e">
        <f>VLOOKUP(E895,Customers[],4,FALSE)</f>
        <v>#N/A</v>
      </c>
      <c r="J895" s="29" t="e">
        <f>VLOOKUP(I895,PGStock[],2,FALSE)</f>
        <v>#N/A</v>
      </c>
      <c r="K895" s="30" t="e">
        <f>VLOOKUP(I895,PGStock[],3,FALSE)</f>
        <v>#N/A</v>
      </c>
      <c r="M895" s="62" t="e">
        <f>VLOOKUP(I895,PGStock[],6,FALSE)</f>
        <v>#N/A</v>
      </c>
      <c r="N895" s="62" t="e">
        <f>+Table8[[#This Row],[SalesBot]]*Table8[[#This Row],[Bonus]]</f>
        <v>#N/A</v>
      </c>
    </row>
    <row r="896" spans="1:14" ht="23.25" customHeight="1" x14ac:dyDescent="0.25">
      <c r="A896" s="59">
        <f t="shared" si="98"/>
        <v>1900</v>
      </c>
      <c r="B896" s="59">
        <f t="shared" si="99"/>
        <v>1</v>
      </c>
      <c r="C896" s="60"/>
      <c r="D896" s="61"/>
      <c r="F896" s="23" t="e">
        <f>VLOOKUP(E896,Customers[],2,FALSE)</f>
        <v>#N/A</v>
      </c>
      <c r="G896" s="23" t="e">
        <f>VLOOKUP(E896,Customers[],3,FALSE)</f>
        <v>#N/A</v>
      </c>
      <c r="H896" s="23" t="e">
        <f>VLOOKUP(E896,Customers[],4,FALSE)</f>
        <v>#N/A</v>
      </c>
      <c r="J896" s="29" t="e">
        <f>VLOOKUP(I896,PGStock[],2,FALSE)</f>
        <v>#N/A</v>
      </c>
      <c r="K896" s="30" t="e">
        <f>VLOOKUP(I896,PGStock[],3,FALSE)</f>
        <v>#N/A</v>
      </c>
      <c r="M896" s="62" t="e">
        <f>VLOOKUP(I896,PGStock[],6,FALSE)</f>
        <v>#N/A</v>
      </c>
      <c r="N896" s="62" t="e">
        <f>+Table8[[#This Row],[SalesBot]]*Table8[[#This Row],[Bonus]]</f>
        <v>#N/A</v>
      </c>
    </row>
    <row r="897" spans="1:14" ht="23.25" customHeight="1" x14ac:dyDescent="0.25">
      <c r="A897" s="59">
        <f t="shared" si="98"/>
        <v>1900</v>
      </c>
      <c r="B897" s="59">
        <f t="shared" si="99"/>
        <v>1</v>
      </c>
      <c r="C897" s="60"/>
      <c r="D897" s="61"/>
      <c r="F897" s="23" t="e">
        <f>VLOOKUP(E897,Customers[],2,FALSE)</f>
        <v>#N/A</v>
      </c>
      <c r="G897" s="23" t="e">
        <f>VLOOKUP(E897,Customers[],3,FALSE)</f>
        <v>#N/A</v>
      </c>
      <c r="H897" s="23" t="e">
        <f>VLOOKUP(E897,Customers[],4,FALSE)</f>
        <v>#N/A</v>
      </c>
      <c r="J897" s="29" t="e">
        <f>VLOOKUP(I897,PGStock[],2,FALSE)</f>
        <v>#N/A</v>
      </c>
      <c r="K897" s="30" t="e">
        <f>VLOOKUP(I897,PGStock[],3,FALSE)</f>
        <v>#N/A</v>
      </c>
      <c r="M897" s="62" t="e">
        <f>VLOOKUP(I897,PGStock[],6,FALSE)</f>
        <v>#N/A</v>
      </c>
      <c r="N897" s="62" t="e">
        <f>+Table8[[#This Row],[SalesBot]]*Table8[[#This Row],[Bonus]]</f>
        <v>#N/A</v>
      </c>
    </row>
    <row r="898" spans="1:14" ht="23.25" customHeight="1" x14ac:dyDescent="0.25">
      <c r="A898" s="59">
        <f t="shared" si="98"/>
        <v>1900</v>
      </c>
      <c r="B898" s="59">
        <f t="shared" si="99"/>
        <v>1</v>
      </c>
      <c r="C898" s="60"/>
      <c r="D898" s="61"/>
      <c r="F898" s="23" t="e">
        <f>VLOOKUP(E898,Customers[],2,FALSE)</f>
        <v>#N/A</v>
      </c>
      <c r="G898" s="23" t="e">
        <f>VLOOKUP(E898,Customers[],3,FALSE)</f>
        <v>#N/A</v>
      </c>
      <c r="H898" s="23" t="e">
        <f>VLOOKUP(E898,Customers[],4,FALSE)</f>
        <v>#N/A</v>
      </c>
      <c r="J898" s="29" t="e">
        <f>VLOOKUP(I898,PGStock[],2,FALSE)</f>
        <v>#N/A</v>
      </c>
      <c r="K898" s="30" t="e">
        <f>VLOOKUP(I898,PGStock[],3,FALSE)</f>
        <v>#N/A</v>
      </c>
      <c r="M898" s="62" t="e">
        <f>VLOOKUP(I898,PGStock[],6,FALSE)</f>
        <v>#N/A</v>
      </c>
      <c r="N898" s="62" t="e">
        <f>+Table8[[#This Row],[SalesBot]]*Table8[[#This Row],[Bonus]]</f>
        <v>#N/A</v>
      </c>
    </row>
    <row r="899" spans="1:14" ht="23.25" customHeight="1" x14ac:dyDescent="0.25">
      <c r="A899" s="59">
        <f t="shared" si="98"/>
        <v>1900</v>
      </c>
      <c r="B899" s="59">
        <f t="shared" si="99"/>
        <v>1</v>
      </c>
      <c r="C899" s="60"/>
      <c r="D899" s="61"/>
      <c r="F899" s="23" t="e">
        <f>VLOOKUP(E899,Customers[],2,FALSE)</f>
        <v>#N/A</v>
      </c>
      <c r="G899" s="23" t="e">
        <f>VLOOKUP(E899,Customers[],3,FALSE)</f>
        <v>#N/A</v>
      </c>
      <c r="H899" s="23" t="e">
        <f>VLOOKUP(E899,Customers[],4,FALSE)</f>
        <v>#N/A</v>
      </c>
      <c r="J899" s="29" t="e">
        <f>VLOOKUP(I899,PGStock[],2,FALSE)</f>
        <v>#N/A</v>
      </c>
      <c r="K899" s="30" t="e">
        <f>VLOOKUP(I899,PGStock[],3,FALSE)</f>
        <v>#N/A</v>
      </c>
      <c r="M899" s="62" t="e">
        <f>VLOOKUP(I899,PGStock[],6,FALSE)</f>
        <v>#N/A</v>
      </c>
      <c r="N899" s="62" t="e">
        <f>+Table8[[#This Row],[SalesBot]]*Table8[[#This Row],[Bonus]]</f>
        <v>#N/A</v>
      </c>
    </row>
    <row r="900" spans="1:14" ht="23.25" customHeight="1" x14ac:dyDescent="0.25">
      <c r="A900" s="59">
        <f t="shared" si="98"/>
        <v>1900</v>
      </c>
      <c r="B900" s="59">
        <f t="shared" si="99"/>
        <v>1</v>
      </c>
      <c r="C900" s="60"/>
      <c r="D900" s="61"/>
      <c r="F900" s="23" t="e">
        <f>VLOOKUP(E900,Customers[],2,FALSE)</f>
        <v>#N/A</v>
      </c>
      <c r="G900" s="23" t="e">
        <f>VLOOKUP(E900,Customers[],3,FALSE)</f>
        <v>#N/A</v>
      </c>
      <c r="H900" s="23" t="e">
        <f>VLOOKUP(E900,Customers[],4,FALSE)</f>
        <v>#N/A</v>
      </c>
      <c r="J900" s="29" t="e">
        <f>VLOOKUP(I900,PGStock[],2,FALSE)</f>
        <v>#N/A</v>
      </c>
      <c r="K900" s="30" t="e">
        <f>VLOOKUP(I900,PGStock[],3,FALSE)</f>
        <v>#N/A</v>
      </c>
      <c r="M900" s="62" t="e">
        <f>VLOOKUP(I900,PGStock[],6,FALSE)</f>
        <v>#N/A</v>
      </c>
      <c r="N900" s="62" t="e">
        <f>+Table8[[#This Row],[SalesBot]]*Table8[[#This Row],[Bonus]]</f>
        <v>#N/A</v>
      </c>
    </row>
    <row r="901" spans="1:14" ht="23.25" customHeight="1" x14ac:dyDescent="0.25">
      <c r="A901" s="59">
        <f t="shared" si="98"/>
        <v>1900</v>
      </c>
      <c r="B901" s="59">
        <f t="shared" si="99"/>
        <v>1</v>
      </c>
      <c r="C901" s="60"/>
      <c r="D901" s="61"/>
      <c r="F901" s="23" t="e">
        <f>VLOOKUP(E901,Customers[],2,FALSE)</f>
        <v>#N/A</v>
      </c>
      <c r="G901" s="23" t="e">
        <f>VLOOKUP(E901,Customers[],3,FALSE)</f>
        <v>#N/A</v>
      </c>
      <c r="H901" s="23" t="e">
        <f>VLOOKUP(E901,Customers[],4,FALSE)</f>
        <v>#N/A</v>
      </c>
      <c r="J901" s="29" t="e">
        <f>VLOOKUP(I901,PGStock[],2,FALSE)</f>
        <v>#N/A</v>
      </c>
      <c r="K901" s="30" t="e">
        <f>VLOOKUP(I901,PGStock[],3,FALSE)</f>
        <v>#N/A</v>
      </c>
      <c r="M901" s="62" t="e">
        <f>VLOOKUP(I901,PGStock[],6,FALSE)</f>
        <v>#N/A</v>
      </c>
      <c r="N901" s="62" t="e">
        <f>+Table8[[#This Row],[SalesBot]]*Table8[[#This Row],[Bonus]]</f>
        <v>#N/A</v>
      </c>
    </row>
    <row r="902" spans="1:14" ht="23.25" customHeight="1" x14ac:dyDescent="0.25">
      <c r="A902" s="59">
        <f t="shared" si="98"/>
        <v>1900</v>
      </c>
      <c r="B902" s="59">
        <f t="shared" si="99"/>
        <v>1</v>
      </c>
      <c r="C902" s="60"/>
      <c r="D902" s="61"/>
      <c r="F902" s="23" t="e">
        <f>VLOOKUP(E902,Customers[],2,FALSE)</f>
        <v>#N/A</v>
      </c>
      <c r="G902" s="23" t="e">
        <f>VLOOKUP(E902,Customers[],3,FALSE)</f>
        <v>#N/A</v>
      </c>
      <c r="H902" s="23" t="e">
        <f>VLOOKUP(E902,Customers[],4,FALSE)</f>
        <v>#N/A</v>
      </c>
      <c r="J902" s="29" t="e">
        <f>VLOOKUP(I902,PGStock[],2,FALSE)</f>
        <v>#N/A</v>
      </c>
      <c r="K902" s="30" t="e">
        <f>VLOOKUP(I902,PGStock[],3,FALSE)</f>
        <v>#N/A</v>
      </c>
      <c r="M902" s="62" t="e">
        <f>VLOOKUP(I902,PGStock[],6,FALSE)</f>
        <v>#N/A</v>
      </c>
      <c r="N902" s="62" t="e">
        <f>+Table8[[#This Row],[SalesBot]]*Table8[[#This Row],[Bonus]]</f>
        <v>#N/A</v>
      </c>
    </row>
    <row r="903" spans="1:14" ht="23.25" customHeight="1" x14ac:dyDescent="0.25">
      <c r="A903" s="59">
        <f t="shared" si="98"/>
        <v>1900</v>
      </c>
      <c r="B903" s="59">
        <f t="shared" si="99"/>
        <v>1</v>
      </c>
      <c r="C903" s="60"/>
      <c r="D903" s="61"/>
      <c r="F903" s="23" t="e">
        <f>VLOOKUP(E903,Customers[],2,FALSE)</f>
        <v>#N/A</v>
      </c>
      <c r="G903" s="23" t="e">
        <f>VLOOKUP(E903,Customers[],3,FALSE)</f>
        <v>#N/A</v>
      </c>
      <c r="H903" s="23" t="e">
        <f>VLOOKUP(E903,Customers[],4,FALSE)</f>
        <v>#N/A</v>
      </c>
      <c r="J903" s="29" t="e">
        <f>VLOOKUP(I903,PGStock[],2,FALSE)</f>
        <v>#N/A</v>
      </c>
      <c r="K903" s="30" t="e">
        <f>VLOOKUP(I903,PGStock[],3,FALSE)</f>
        <v>#N/A</v>
      </c>
      <c r="M903" s="62" t="e">
        <f>VLOOKUP(I903,PGStock[],6,FALSE)</f>
        <v>#N/A</v>
      </c>
      <c r="N903" s="62" t="e">
        <f>+Table8[[#This Row],[SalesBot]]*Table8[[#This Row],[Bonus]]</f>
        <v>#N/A</v>
      </c>
    </row>
    <row r="904" spans="1:14" ht="23.25" customHeight="1" x14ac:dyDescent="0.25">
      <c r="A904" s="59">
        <f t="shared" si="98"/>
        <v>1900</v>
      </c>
      <c r="B904" s="59">
        <f t="shared" si="99"/>
        <v>1</v>
      </c>
      <c r="C904" s="60"/>
      <c r="D904" s="61"/>
      <c r="F904" s="23" t="e">
        <f>VLOOKUP(E904,Customers[],2,FALSE)</f>
        <v>#N/A</v>
      </c>
      <c r="G904" s="23" t="e">
        <f>VLOOKUP(E904,Customers[],3,FALSE)</f>
        <v>#N/A</v>
      </c>
      <c r="H904" s="23" t="e">
        <f>VLOOKUP(E904,Customers[],4,FALSE)</f>
        <v>#N/A</v>
      </c>
      <c r="J904" s="29" t="e">
        <f>VLOOKUP(I904,PGStock[],2,FALSE)</f>
        <v>#N/A</v>
      </c>
      <c r="K904" s="30" t="e">
        <f>VLOOKUP(I904,PGStock[],3,FALSE)</f>
        <v>#N/A</v>
      </c>
      <c r="M904" s="62" t="e">
        <f>VLOOKUP(I904,PGStock[],6,FALSE)</f>
        <v>#N/A</v>
      </c>
      <c r="N904" s="62" t="e">
        <f>+Table8[[#This Row],[SalesBot]]*Table8[[#This Row],[Bonus]]</f>
        <v>#N/A</v>
      </c>
    </row>
    <row r="905" spans="1:14" ht="23.25" customHeight="1" x14ac:dyDescent="0.25">
      <c r="A905" s="59">
        <f t="shared" si="98"/>
        <v>1900</v>
      </c>
      <c r="B905" s="59">
        <f t="shared" si="99"/>
        <v>1</v>
      </c>
      <c r="C905" s="60"/>
      <c r="D905" s="61"/>
      <c r="F905" s="23" t="e">
        <f>VLOOKUP(E905,Customers[],2,FALSE)</f>
        <v>#N/A</v>
      </c>
      <c r="G905" s="23" t="e">
        <f>VLOOKUP(E905,Customers[],3,FALSE)</f>
        <v>#N/A</v>
      </c>
      <c r="H905" s="23" t="e">
        <f>VLOOKUP(E905,Customers[],4,FALSE)</f>
        <v>#N/A</v>
      </c>
      <c r="J905" s="29" t="e">
        <f>VLOOKUP(I905,PGStock[],2,FALSE)</f>
        <v>#N/A</v>
      </c>
      <c r="K905" s="30" t="e">
        <f>VLOOKUP(I905,PGStock[],3,FALSE)</f>
        <v>#N/A</v>
      </c>
      <c r="M905" s="62" t="e">
        <f>VLOOKUP(I905,PGStock[],6,FALSE)</f>
        <v>#N/A</v>
      </c>
      <c r="N905" s="62" t="e">
        <f>+Table8[[#This Row],[SalesBot]]*Table8[[#This Row],[Bonus]]</f>
        <v>#N/A</v>
      </c>
    </row>
    <row r="906" spans="1:14" ht="23.25" customHeight="1" x14ac:dyDescent="0.25">
      <c r="A906" s="59">
        <f t="shared" si="98"/>
        <v>1900</v>
      </c>
      <c r="B906" s="59">
        <f t="shared" si="99"/>
        <v>1</v>
      </c>
      <c r="C906" s="60"/>
      <c r="D906" s="61"/>
      <c r="F906" s="23" t="e">
        <f>VLOOKUP(E906,Customers[],2,FALSE)</f>
        <v>#N/A</v>
      </c>
      <c r="G906" s="23" t="e">
        <f>VLOOKUP(E906,Customers[],3,FALSE)</f>
        <v>#N/A</v>
      </c>
      <c r="H906" s="23" t="e">
        <f>VLOOKUP(E906,Customers[],4,FALSE)</f>
        <v>#N/A</v>
      </c>
      <c r="J906" s="29" t="e">
        <f>VLOOKUP(I906,PGStock[],2,FALSE)</f>
        <v>#N/A</v>
      </c>
      <c r="K906" s="30" t="e">
        <f>VLOOKUP(I906,PGStock[],3,FALSE)</f>
        <v>#N/A</v>
      </c>
      <c r="M906" s="62" t="e">
        <f>VLOOKUP(I906,PGStock[],6,FALSE)</f>
        <v>#N/A</v>
      </c>
      <c r="N906" s="62" t="e">
        <f>+Table8[[#This Row],[SalesBot]]*Table8[[#This Row],[Bonus]]</f>
        <v>#N/A</v>
      </c>
    </row>
    <row r="907" spans="1:14" ht="23.25" customHeight="1" x14ac:dyDescent="0.25">
      <c r="A907" s="59">
        <f t="shared" si="96"/>
        <v>1900</v>
      </c>
      <c r="B907" s="59">
        <f t="shared" si="97"/>
        <v>1</v>
      </c>
      <c r="C907" s="60"/>
      <c r="D907" s="61"/>
      <c r="F907" s="23" t="e">
        <f>VLOOKUP(E907,Customers[],2,FALSE)</f>
        <v>#N/A</v>
      </c>
      <c r="G907" s="23" t="e">
        <f>VLOOKUP(E907,Customers[],3,FALSE)</f>
        <v>#N/A</v>
      </c>
      <c r="H907" s="23" t="e">
        <f>VLOOKUP(E907,Customers[],4,FALSE)</f>
        <v>#N/A</v>
      </c>
      <c r="J907" s="29" t="e">
        <f>VLOOKUP(I907,PGStock[],2,FALSE)</f>
        <v>#N/A</v>
      </c>
      <c r="K907" s="30" t="e">
        <f>VLOOKUP(I907,PGStock[],3,FALSE)</f>
        <v>#N/A</v>
      </c>
      <c r="M907" s="62" t="e">
        <f>VLOOKUP(I907,PGStock[],6,FALSE)</f>
        <v>#N/A</v>
      </c>
      <c r="N907" s="62" t="e">
        <f>+Table8[[#This Row],[SalesBot]]*Table8[[#This Row],[Bonus]]</f>
        <v>#N/A</v>
      </c>
    </row>
    <row r="908" spans="1:14" ht="23.25" customHeight="1" x14ac:dyDescent="0.25">
      <c r="A908" s="59">
        <f t="shared" si="96"/>
        <v>1900</v>
      </c>
      <c r="B908" s="59">
        <f t="shared" si="97"/>
        <v>1</v>
      </c>
      <c r="C908" s="60"/>
      <c r="D908" s="61"/>
      <c r="F908" s="23" t="e">
        <f>VLOOKUP(E908,Customers[],2,FALSE)</f>
        <v>#N/A</v>
      </c>
      <c r="G908" s="23" t="e">
        <f>VLOOKUP(E908,Customers[],3,FALSE)</f>
        <v>#N/A</v>
      </c>
      <c r="H908" s="23" t="e">
        <f>VLOOKUP(E908,Customers[],4,FALSE)</f>
        <v>#N/A</v>
      </c>
      <c r="J908" s="29" t="e">
        <f>VLOOKUP(I908,PGStock[],2,FALSE)</f>
        <v>#N/A</v>
      </c>
      <c r="K908" s="30" t="e">
        <f>VLOOKUP(I908,PGStock[],3,FALSE)</f>
        <v>#N/A</v>
      </c>
      <c r="M908" s="62" t="e">
        <f>VLOOKUP(I908,PGStock[],6,FALSE)</f>
        <v>#N/A</v>
      </c>
      <c r="N908" s="62" t="e">
        <f>+Table8[[#This Row],[SalesBot]]*Table8[[#This Row],[Bonus]]</f>
        <v>#N/A</v>
      </c>
    </row>
    <row r="909" spans="1:14" ht="23.25" customHeight="1" x14ac:dyDescent="0.25">
      <c r="A909" s="59">
        <f t="shared" si="96"/>
        <v>1900</v>
      </c>
      <c r="B909" s="59">
        <f t="shared" si="97"/>
        <v>1</v>
      </c>
      <c r="C909" s="60"/>
      <c r="D909" s="61"/>
      <c r="F909" s="23" t="e">
        <f>VLOOKUP(E909,Customers[],2,FALSE)</f>
        <v>#N/A</v>
      </c>
      <c r="G909" s="23" t="e">
        <f>VLOOKUP(E909,Customers[],3,FALSE)</f>
        <v>#N/A</v>
      </c>
      <c r="H909" s="23" t="e">
        <f>VLOOKUP(E909,Customers[],4,FALSE)</f>
        <v>#N/A</v>
      </c>
      <c r="J909" s="29" t="e">
        <f>VLOOKUP(I909,PGStock[],2,FALSE)</f>
        <v>#N/A</v>
      </c>
      <c r="K909" s="30" t="e">
        <f>VLOOKUP(I909,PGStock[],3,FALSE)</f>
        <v>#N/A</v>
      </c>
      <c r="M909" s="62" t="e">
        <f>VLOOKUP(I909,PGStock[],6,FALSE)</f>
        <v>#N/A</v>
      </c>
      <c r="N909" s="62" t="e">
        <f>+Table8[[#This Row],[SalesBot]]*Table8[[#This Row],[Bonus]]</f>
        <v>#N/A</v>
      </c>
    </row>
    <row r="910" spans="1:14" ht="23.25" customHeight="1" x14ac:dyDescent="0.25">
      <c r="A910" s="59">
        <f t="shared" si="96"/>
        <v>1900</v>
      </c>
      <c r="B910" s="59">
        <f t="shared" si="97"/>
        <v>1</v>
      </c>
      <c r="C910" s="60"/>
      <c r="D910" s="61"/>
      <c r="F910" s="23" t="e">
        <f>VLOOKUP(E910,Customers[],2,FALSE)</f>
        <v>#N/A</v>
      </c>
      <c r="G910" s="23" t="e">
        <f>VLOOKUP(E910,Customers[],3,FALSE)</f>
        <v>#N/A</v>
      </c>
      <c r="H910" s="23" t="e">
        <f>VLOOKUP(E910,Customers[],4,FALSE)</f>
        <v>#N/A</v>
      </c>
      <c r="J910" s="29" t="e">
        <f>VLOOKUP(I910,PGStock[],2,FALSE)</f>
        <v>#N/A</v>
      </c>
      <c r="K910" s="30" t="e">
        <f>VLOOKUP(I910,PGStock[],3,FALSE)</f>
        <v>#N/A</v>
      </c>
      <c r="M910" s="62" t="e">
        <f>VLOOKUP(I910,PGStock[],6,FALSE)</f>
        <v>#N/A</v>
      </c>
      <c r="N910" s="62" t="e">
        <f>+Table8[[#This Row],[SalesBot]]*Table8[[#This Row],[Bonus]]</f>
        <v>#N/A</v>
      </c>
    </row>
    <row r="911" spans="1:14" ht="23.25" customHeight="1" x14ac:dyDescent="0.25">
      <c r="A911" s="59">
        <f t="shared" si="96"/>
        <v>1900</v>
      </c>
      <c r="B911" s="59">
        <f t="shared" si="97"/>
        <v>1</v>
      </c>
      <c r="C911" s="60"/>
      <c r="D911" s="61"/>
      <c r="F911" s="23" t="e">
        <f>VLOOKUP(E911,Customers[],2,FALSE)</f>
        <v>#N/A</v>
      </c>
      <c r="G911" s="23" t="e">
        <f>VLOOKUP(E911,Customers[],3,FALSE)</f>
        <v>#N/A</v>
      </c>
      <c r="H911" s="23" t="e">
        <f>VLOOKUP(E911,Customers[],4,FALSE)</f>
        <v>#N/A</v>
      </c>
      <c r="J911" s="29" t="e">
        <f>VLOOKUP(I911,PGStock[],2,FALSE)</f>
        <v>#N/A</v>
      </c>
      <c r="K911" s="30" t="e">
        <f>VLOOKUP(I911,PGStock[],3,FALSE)</f>
        <v>#N/A</v>
      </c>
      <c r="M911" s="62" t="e">
        <f>VLOOKUP(I911,PGStock[],6,FALSE)</f>
        <v>#N/A</v>
      </c>
      <c r="N911" s="62" t="e">
        <f>+Table8[[#This Row],[SalesBot]]*Table8[[#This Row],[Bonus]]</f>
        <v>#N/A</v>
      </c>
    </row>
    <row r="912" spans="1:14" ht="23.25" customHeight="1" x14ac:dyDescent="0.25">
      <c r="A912" s="59">
        <f t="shared" si="96"/>
        <v>1900</v>
      </c>
      <c r="B912" s="59">
        <f t="shared" si="97"/>
        <v>1</v>
      </c>
      <c r="C912" s="60"/>
      <c r="D912" s="61"/>
      <c r="F912" s="23" t="e">
        <f>VLOOKUP(E912,Customers[],2,FALSE)</f>
        <v>#N/A</v>
      </c>
      <c r="G912" s="23" t="e">
        <f>VLOOKUP(E912,Customers[],3,FALSE)</f>
        <v>#N/A</v>
      </c>
      <c r="H912" s="23" t="e">
        <f>VLOOKUP(E912,Customers[],4,FALSE)</f>
        <v>#N/A</v>
      </c>
      <c r="J912" s="29" t="e">
        <f>VLOOKUP(I912,PGStock[],2,FALSE)</f>
        <v>#N/A</v>
      </c>
      <c r="K912" s="30" t="e">
        <f>VLOOKUP(I912,PGStock[],3,FALSE)</f>
        <v>#N/A</v>
      </c>
      <c r="M912" s="62" t="e">
        <f>VLOOKUP(I912,PGStock[],6,FALSE)</f>
        <v>#N/A</v>
      </c>
      <c r="N912" s="62" t="e">
        <f>+Table8[[#This Row],[SalesBot]]*Table8[[#This Row],[Bonus]]</f>
        <v>#N/A</v>
      </c>
    </row>
    <row r="913" spans="1:14" ht="23.25" customHeight="1" x14ac:dyDescent="0.25">
      <c r="A913" s="59">
        <f t="shared" si="96"/>
        <v>1900</v>
      </c>
      <c r="B913" s="59">
        <f t="shared" si="97"/>
        <v>1</v>
      </c>
      <c r="C913" s="60"/>
      <c r="D913" s="61"/>
      <c r="F913" s="23" t="e">
        <f>VLOOKUP(E913,Customers[],2,FALSE)</f>
        <v>#N/A</v>
      </c>
      <c r="G913" s="23" t="e">
        <f>VLOOKUP(E913,Customers[],3,FALSE)</f>
        <v>#N/A</v>
      </c>
      <c r="H913" s="23" t="e">
        <f>VLOOKUP(E913,Customers[],4,FALSE)</f>
        <v>#N/A</v>
      </c>
      <c r="J913" s="29" t="e">
        <f>VLOOKUP(I913,PGStock[],2,FALSE)</f>
        <v>#N/A</v>
      </c>
      <c r="K913" s="30" t="e">
        <f>VLOOKUP(I913,PGStock[],3,FALSE)</f>
        <v>#N/A</v>
      </c>
      <c r="M913" s="62" t="e">
        <f>VLOOKUP(I913,PGStock[],6,FALSE)</f>
        <v>#N/A</v>
      </c>
      <c r="N913" s="62" t="e">
        <f>+Table8[[#This Row],[SalesBot]]*Table8[[#This Row],[Bonus]]</f>
        <v>#N/A</v>
      </c>
    </row>
    <row r="914" spans="1:14" ht="23.25" customHeight="1" x14ac:dyDescent="0.25">
      <c r="A914" s="59">
        <f t="shared" si="90"/>
        <v>1900</v>
      </c>
      <c r="B914" s="59">
        <f t="shared" si="91"/>
        <v>1</v>
      </c>
      <c r="C914" s="60"/>
      <c r="D914" s="61"/>
      <c r="F914" s="23" t="e">
        <f>VLOOKUP(E914,Customers[],2,FALSE)</f>
        <v>#N/A</v>
      </c>
      <c r="G914" s="23" t="e">
        <f>VLOOKUP(E914,Customers[],3,FALSE)</f>
        <v>#N/A</v>
      </c>
      <c r="H914" s="23" t="e">
        <f>VLOOKUP(E914,Customers[],4,FALSE)</f>
        <v>#N/A</v>
      </c>
      <c r="J914" s="29" t="e">
        <f>VLOOKUP(I914,PGStock[],2,FALSE)</f>
        <v>#N/A</v>
      </c>
      <c r="K914" s="30" t="e">
        <f>VLOOKUP(I914,PGStock[],3,FALSE)</f>
        <v>#N/A</v>
      </c>
      <c r="M914" s="62" t="e">
        <f>VLOOKUP(I914,PGStock[],6,FALSE)</f>
        <v>#N/A</v>
      </c>
      <c r="N914" s="62" t="e">
        <f>+Table8[[#This Row],[SalesBot]]*Table8[[#This Row],[Bonus]]</f>
        <v>#N/A</v>
      </c>
    </row>
    <row r="915" spans="1:14" ht="23.25" customHeight="1" x14ac:dyDescent="0.25">
      <c r="A915" s="59">
        <f t="shared" ref="A915:A1025" si="100">YEAR(C915)</f>
        <v>1900</v>
      </c>
      <c r="B915" s="59">
        <f t="shared" ref="B915:B1025" si="101">MONTH(C915)</f>
        <v>1</v>
      </c>
      <c r="C915" s="60"/>
      <c r="D915" s="61"/>
      <c r="F915" s="23" t="e">
        <f>VLOOKUP(E915,Customers[],2,FALSE)</f>
        <v>#N/A</v>
      </c>
      <c r="G915" s="23" t="e">
        <f>VLOOKUP(E915,Customers[],3,FALSE)</f>
        <v>#N/A</v>
      </c>
      <c r="H915" s="23" t="e">
        <f>VLOOKUP(E915,Customers[],4,FALSE)</f>
        <v>#N/A</v>
      </c>
      <c r="J915" s="29" t="e">
        <f>VLOOKUP(I915,PGStock[],2,FALSE)</f>
        <v>#N/A</v>
      </c>
      <c r="K915" s="30" t="e">
        <f>VLOOKUP(I915,PGStock[],3,FALSE)</f>
        <v>#N/A</v>
      </c>
      <c r="M915" s="62" t="e">
        <f>VLOOKUP(I915,PGStock[],6,FALSE)</f>
        <v>#N/A</v>
      </c>
      <c r="N915" s="62" t="e">
        <f>+Table8[[#This Row],[SalesBot]]*Table8[[#This Row],[Bonus]]</f>
        <v>#N/A</v>
      </c>
    </row>
    <row r="916" spans="1:14" ht="23.25" customHeight="1" x14ac:dyDescent="0.25">
      <c r="A916" s="59">
        <f t="shared" si="100"/>
        <v>1900</v>
      </c>
      <c r="B916" s="59">
        <f t="shared" si="101"/>
        <v>1</v>
      </c>
      <c r="C916" s="60"/>
      <c r="D916" s="61"/>
      <c r="F916" s="23" t="e">
        <f>VLOOKUP(E916,Customers[],2,FALSE)</f>
        <v>#N/A</v>
      </c>
      <c r="G916" s="23" t="e">
        <f>VLOOKUP(E916,Customers[],3,FALSE)</f>
        <v>#N/A</v>
      </c>
      <c r="H916" s="23" t="e">
        <f>VLOOKUP(E916,Customers[],4,FALSE)</f>
        <v>#N/A</v>
      </c>
      <c r="J916" s="29" t="e">
        <f>VLOOKUP(I916,PGStock[],2,FALSE)</f>
        <v>#N/A</v>
      </c>
      <c r="K916" s="30" t="e">
        <f>VLOOKUP(I916,PGStock[],3,FALSE)</f>
        <v>#N/A</v>
      </c>
      <c r="M916" s="62" t="e">
        <f>VLOOKUP(I916,PGStock[],6,FALSE)</f>
        <v>#N/A</v>
      </c>
      <c r="N916" s="62" t="e">
        <f>+Table8[[#This Row],[SalesBot]]*Table8[[#This Row],[Bonus]]</f>
        <v>#N/A</v>
      </c>
    </row>
    <row r="917" spans="1:14" ht="23.25" customHeight="1" x14ac:dyDescent="0.25">
      <c r="A917" s="59">
        <f t="shared" si="100"/>
        <v>1900</v>
      </c>
      <c r="B917" s="59">
        <f t="shared" si="101"/>
        <v>1</v>
      </c>
      <c r="C917" s="60"/>
      <c r="D917" s="61"/>
      <c r="F917" s="23" t="e">
        <f>VLOOKUP(E917,Customers[],2,FALSE)</f>
        <v>#N/A</v>
      </c>
      <c r="G917" s="23" t="e">
        <f>VLOOKUP(E917,Customers[],3,FALSE)</f>
        <v>#N/A</v>
      </c>
      <c r="H917" s="23" t="e">
        <f>VLOOKUP(E917,Customers[],4,FALSE)</f>
        <v>#N/A</v>
      </c>
      <c r="J917" s="29" t="e">
        <f>VLOOKUP(I917,PGStock[],2,FALSE)</f>
        <v>#N/A</v>
      </c>
      <c r="K917" s="30" t="e">
        <f>VLOOKUP(I917,PGStock[],3,FALSE)</f>
        <v>#N/A</v>
      </c>
      <c r="M917" s="62" t="e">
        <f>VLOOKUP(I917,PGStock[],6,FALSE)</f>
        <v>#N/A</v>
      </c>
      <c r="N917" s="62" t="e">
        <f>+Table8[[#This Row],[SalesBot]]*Table8[[#This Row],[Bonus]]</f>
        <v>#N/A</v>
      </c>
    </row>
    <row r="918" spans="1:14" ht="23.25" customHeight="1" x14ac:dyDescent="0.25">
      <c r="A918" s="59">
        <f t="shared" si="100"/>
        <v>1900</v>
      </c>
      <c r="B918" s="59">
        <f t="shared" si="101"/>
        <v>1</v>
      </c>
      <c r="C918" s="60"/>
      <c r="D918" s="61"/>
      <c r="F918" s="23" t="e">
        <f>VLOOKUP(E918,Customers[],2,FALSE)</f>
        <v>#N/A</v>
      </c>
      <c r="G918" s="23" t="e">
        <f>VLOOKUP(E918,Customers[],3,FALSE)</f>
        <v>#N/A</v>
      </c>
      <c r="H918" s="23" t="e">
        <f>VLOOKUP(E918,Customers[],4,FALSE)</f>
        <v>#N/A</v>
      </c>
      <c r="J918" s="29" t="e">
        <f>VLOOKUP(I918,PGStock[],2,FALSE)</f>
        <v>#N/A</v>
      </c>
      <c r="K918" s="30" t="e">
        <f>VLOOKUP(I918,PGStock[],3,FALSE)</f>
        <v>#N/A</v>
      </c>
      <c r="M918" s="62" t="e">
        <f>VLOOKUP(I918,PGStock[],6,FALSE)</f>
        <v>#N/A</v>
      </c>
      <c r="N918" s="62" t="e">
        <f>+Table8[[#This Row],[SalesBot]]*Table8[[#This Row],[Bonus]]</f>
        <v>#N/A</v>
      </c>
    </row>
    <row r="919" spans="1:14" ht="23.25" customHeight="1" x14ac:dyDescent="0.25">
      <c r="A919" s="59">
        <f t="shared" si="100"/>
        <v>1900</v>
      </c>
      <c r="B919" s="59">
        <f t="shared" si="101"/>
        <v>1</v>
      </c>
      <c r="C919" s="60"/>
      <c r="D919" s="61"/>
      <c r="F919" s="23" t="e">
        <f>VLOOKUP(E919,Customers[],2,FALSE)</f>
        <v>#N/A</v>
      </c>
      <c r="G919" s="23" t="e">
        <f>VLOOKUP(E919,Customers[],3,FALSE)</f>
        <v>#N/A</v>
      </c>
      <c r="H919" s="23" t="e">
        <f>VLOOKUP(E919,Customers[],4,FALSE)</f>
        <v>#N/A</v>
      </c>
      <c r="J919" s="29" t="e">
        <f>VLOOKUP(I919,PGStock[],2,FALSE)</f>
        <v>#N/A</v>
      </c>
      <c r="K919" s="30" t="e">
        <f>VLOOKUP(I919,PGStock[],3,FALSE)</f>
        <v>#N/A</v>
      </c>
      <c r="M919" s="62" t="e">
        <f>VLOOKUP(I919,PGStock[],6,FALSE)</f>
        <v>#N/A</v>
      </c>
      <c r="N919" s="62" t="e">
        <f>+Table8[[#This Row],[SalesBot]]*Table8[[#This Row],[Bonus]]</f>
        <v>#N/A</v>
      </c>
    </row>
    <row r="920" spans="1:14" ht="23.25" customHeight="1" x14ac:dyDescent="0.25">
      <c r="A920" s="59">
        <f t="shared" si="100"/>
        <v>1900</v>
      </c>
      <c r="B920" s="59">
        <f t="shared" si="101"/>
        <v>1</v>
      </c>
      <c r="C920" s="60"/>
      <c r="D920" s="61"/>
      <c r="F920" s="23" t="e">
        <f>VLOOKUP(E920,Customers[],2,FALSE)</f>
        <v>#N/A</v>
      </c>
      <c r="G920" s="23" t="e">
        <f>VLOOKUP(E920,Customers[],3,FALSE)</f>
        <v>#N/A</v>
      </c>
      <c r="H920" s="23" t="e">
        <f>VLOOKUP(E920,Customers[],4,FALSE)</f>
        <v>#N/A</v>
      </c>
      <c r="J920" s="29" t="e">
        <f>VLOOKUP(I920,PGStock[],2,FALSE)</f>
        <v>#N/A</v>
      </c>
      <c r="K920" s="30" t="e">
        <f>VLOOKUP(I920,PGStock[],3,FALSE)</f>
        <v>#N/A</v>
      </c>
      <c r="M920" s="62" t="e">
        <f>VLOOKUP(I920,PGStock[],6,FALSE)</f>
        <v>#N/A</v>
      </c>
      <c r="N920" s="62" t="e">
        <f>+Table8[[#This Row],[SalesBot]]*Table8[[#This Row],[Bonus]]</f>
        <v>#N/A</v>
      </c>
    </row>
    <row r="921" spans="1:14" ht="23.25" customHeight="1" x14ac:dyDescent="0.25">
      <c r="A921" s="59">
        <f t="shared" si="100"/>
        <v>1900</v>
      </c>
      <c r="B921" s="59">
        <f t="shared" si="101"/>
        <v>1</v>
      </c>
      <c r="C921" s="60"/>
      <c r="D921" s="61"/>
      <c r="F921" s="23" t="e">
        <f>VLOOKUP(E921,Customers[],2,FALSE)</f>
        <v>#N/A</v>
      </c>
      <c r="G921" s="23" t="e">
        <f>VLOOKUP(E921,Customers[],3,FALSE)</f>
        <v>#N/A</v>
      </c>
      <c r="H921" s="23" t="e">
        <f>VLOOKUP(E921,Customers[],4,FALSE)</f>
        <v>#N/A</v>
      </c>
      <c r="J921" s="29" t="e">
        <f>VLOOKUP(I921,PGStock[],2,FALSE)</f>
        <v>#N/A</v>
      </c>
      <c r="K921" s="30" t="e">
        <f>VLOOKUP(I921,PGStock[],3,FALSE)</f>
        <v>#N/A</v>
      </c>
      <c r="M921" s="62" t="e">
        <f>VLOOKUP(I921,PGStock[],6,FALSE)</f>
        <v>#N/A</v>
      </c>
      <c r="N921" s="62" t="e">
        <f>+Table8[[#This Row],[SalesBot]]*Table8[[#This Row],[Bonus]]</f>
        <v>#N/A</v>
      </c>
    </row>
    <row r="922" spans="1:14" ht="23.25" customHeight="1" x14ac:dyDescent="0.25">
      <c r="A922" s="59">
        <f t="shared" si="100"/>
        <v>1900</v>
      </c>
      <c r="B922" s="59">
        <f t="shared" si="101"/>
        <v>1</v>
      </c>
      <c r="C922" s="60"/>
      <c r="D922" s="61"/>
      <c r="F922" s="23" t="e">
        <f>VLOOKUP(E922,Customers[],2,FALSE)</f>
        <v>#N/A</v>
      </c>
      <c r="G922" s="23" t="e">
        <f>VLOOKUP(E922,Customers[],3,FALSE)</f>
        <v>#N/A</v>
      </c>
      <c r="H922" s="23" t="e">
        <f>VLOOKUP(E922,Customers[],4,FALSE)</f>
        <v>#N/A</v>
      </c>
      <c r="J922" s="29" t="e">
        <f>VLOOKUP(I922,PGStock[],2,FALSE)</f>
        <v>#N/A</v>
      </c>
      <c r="K922" s="30" t="e">
        <f>VLOOKUP(I922,PGStock[],3,FALSE)</f>
        <v>#N/A</v>
      </c>
      <c r="M922" s="62" t="e">
        <f>VLOOKUP(I922,PGStock[],6,FALSE)</f>
        <v>#N/A</v>
      </c>
      <c r="N922" s="62" t="e">
        <f>+Table8[[#This Row],[SalesBot]]*Table8[[#This Row],[Bonus]]</f>
        <v>#N/A</v>
      </c>
    </row>
    <row r="923" spans="1:14" ht="23.25" customHeight="1" x14ac:dyDescent="0.25">
      <c r="A923" s="59">
        <f t="shared" si="100"/>
        <v>1900</v>
      </c>
      <c r="B923" s="59">
        <f t="shared" si="101"/>
        <v>1</v>
      </c>
      <c r="C923" s="60"/>
      <c r="D923" s="61"/>
      <c r="F923" s="23" t="e">
        <f>VLOOKUP(E923,Customers[],2,FALSE)</f>
        <v>#N/A</v>
      </c>
      <c r="G923" s="23" t="e">
        <f>VLOOKUP(E923,Customers[],3,FALSE)</f>
        <v>#N/A</v>
      </c>
      <c r="H923" s="23" t="e">
        <f>VLOOKUP(E923,Customers[],4,FALSE)</f>
        <v>#N/A</v>
      </c>
      <c r="J923" s="29" t="e">
        <f>VLOOKUP(I923,PGStock[],2,FALSE)</f>
        <v>#N/A</v>
      </c>
      <c r="K923" s="30" t="e">
        <f>VLOOKUP(I923,PGStock[],3,FALSE)</f>
        <v>#N/A</v>
      </c>
      <c r="M923" s="62" t="e">
        <f>VLOOKUP(I923,PGStock[],6,FALSE)</f>
        <v>#N/A</v>
      </c>
      <c r="N923" s="62" t="e">
        <f>+Table8[[#This Row],[SalesBot]]*Table8[[#This Row],[Bonus]]</f>
        <v>#N/A</v>
      </c>
    </row>
    <row r="924" spans="1:14" ht="23.25" customHeight="1" x14ac:dyDescent="0.25">
      <c r="A924" s="59">
        <f t="shared" si="100"/>
        <v>1900</v>
      </c>
      <c r="B924" s="59">
        <f t="shared" si="101"/>
        <v>1</v>
      </c>
      <c r="C924" s="60"/>
      <c r="D924" s="61"/>
      <c r="F924" s="23" t="e">
        <f>VLOOKUP(E924,Customers[],2,FALSE)</f>
        <v>#N/A</v>
      </c>
      <c r="G924" s="23" t="e">
        <f>VLOOKUP(E924,Customers[],3,FALSE)</f>
        <v>#N/A</v>
      </c>
      <c r="H924" s="23" t="e">
        <f>VLOOKUP(E924,Customers[],4,FALSE)</f>
        <v>#N/A</v>
      </c>
      <c r="J924" s="29" t="e">
        <f>VLOOKUP(I924,PGStock[],2,FALSE)</f>
        <v>#N/A</v>
      </c>
      <c r="K924" s="30" t="e">
        <f>VLOOKUP(I924,PGStock[],3,FALSE)</f>
        <v>#N/A</v>
      </c>
      <c r="M924" s="62" t="e">
        <f>VLOOKUP(I924,PGStock[],6,FALSE)</f>
        <v>#N/A</v>
      </c>
      <c r="N924" s="62" t="e">
        <f>+Table8[[#This Row],[SalesBot]]*Table8[[#This Row],[Bonus]]</f>
        <v>#N/A</v>
      </c>
    </row>
    <row r="925" spans="1:14" ht="23.25" customHeight="1" x14ac:dyDescent="0.25">
      <c r="A925" s="59">
        <f>YEAR(C925)</f>
        <v>1900</v>
      </c>
      <c r="B925" s="59">
        <f>MONTH(C925)</f>
        <v>1</v>
      </c>
      <c r="C925" s="60"/>
      <c r="D925" s="61"/>
      <c r="F925" s="23" t="e">
        <f>VLOOKUP(E925,Customers[],2,FALSE)</f>
        <v>#N/A</v>
      </c>
      <c r="G925" s="23" t="e">
        <f>VLOOKUP(E925,Customers[],3,FALSE)</f>
        <v>#N/A</v>
      </c>
      <c r="H925" s="23" t="e">
        <f>VLOOKUP(E925,Customers[],4,FALSE)</f>
        <v>#N/A</v>
      </c>
      <c r="J925" s="29" t="e">
        <f>VLOOKUP(I925,PGStock[],2,FALSE)</f>
        <v>#N/A</v>
      </c>
      <c r="K925" s="30" t="e">
        <f>VLOOKUP(I925,PGStock[],3,FALSE)</f>
        <v>#N/A</v>
      </c>
      <c r="M925" s="62" t="e">
        <f>VLOOKUP(I925,PGStock[],6,FALSE)</f>
        <v>#N/A</v>
      </c>
      <c r="N925" s="62" t="e">
        <f>+Table8[[#This Row],[SalesBot]]*Table8[[#This Row],[Bonus]]</f>
        <v>#N/A</v>
      </c>
    </row>
    <row r="926" spans="1:14" ht="23.25" customHeight="1" x14ac:dyDescent="0.25">
      <c r="A926" s="59">
        <f>YEAR(C926)</f>
        <v>1900</v>
      </c>
      <c r="B926" s="59">
        <f>MONTH(C926)</f>
        <v>1</v>
      </c>
      <c r="C926" s="60"/>
      <c r="D926" s="61"/>
      <c r="F926" s="23" t="e">
        <f>VLOOKUP(E926,Customers[],2,FALSE)</f>
        <v>#N/A</v>
      </c>
      <c r="G926" s="23" t="e">
        <f>VLOOKUP(E926,Customers[],3,FALSE)</f>
        <v>#N/A</v>
      </c>
      <c r="H926" s="23" t="e">
        <f>VLOOKUP(E926,Customers[],4,FALSE)</f>
        <v>#N/A</v>
      </c>
      <c r="J926" s="29" t="e">
        <f>VLOOKUP(I926,PGStock[],2,FALSE)</f>
        <v>#N/A</v>
      </c>
      <c r="K926" s="30" t="e">
        <f>VLOOKUP(I926,PGStock[],3,FALSE)</f>
        <v>#N/A</v>
      </c>
      <c r="M926" s="62" t="e">
        <f>VLOOKUP(I926,PGStock[],6,FALSE)</f>
        <v>#N/A</v>
      </c>
      <c r="N926" s="62" t="e">
        <f>+Table8[[#This Row],[SalesBot]]*Table8[[#This Row],[Bonus]]</f>
        <v>#N/A</v>
      </c>
    </row>
    <row r="927" spans="1:14" ht="23.25" customHeight="1" x14ac:dyDescent="0.25">
      <c r="A927" s="59">
        <f t="shared" si="100"/>
        <v>1900</v>
      </c>
      <c r="B927" s="59">
        <f t="shared" si="101"/>
        <v>1</v>
      </c>
      <c r="C927" s="60"/>
      <c r="D927" s="61"/>
      <c r="F927" s="23" t="e">
        <f>VLOOKUP(E927,Customers[],2,FALSE)</f>
        <v>#N/A</v>
      </c>
      <c r="G927" s="23" t="e">
        <f>VLOOKUP(E927,Customers[],3,FALSE)</f>
        <v>#N/A</v>
      </c>
      <c r="H927" s="23" t="e">
        <f>VLOOKUP(E927,Customers[],4,FALSE)</f>
        <v>#N/A</v>
      </c>
      <c r="J927" s="29" t="e">
        <f>VLOOKUP(I927,PGStock[],2,FALSE)</f>
        <v>#N/A</v>
      </c>
      <c r="K927" s="30" t="e">
        <f>VLOOKUP(I927,PGStock[],3,FALSE)</f>
        <v>#N/A</v>
      </c>
      <c r="M927" s="62" t="e">
        <f>VLOOKUP(I927,PGStock[],6,FALSE)</f>
        <v>#N/A</v>
      </c>
      <c r="N927" s="62" t="e">
        <f>+Table8[[#This Row],[SalesBot]]*Table8[[#This Row],[Bonus]]</f>
        <v>#N/A</v>
      </c>
    </row>
    <row r="928" spans="1:14" ht="23.25" customHeight="1" x14ac:dyDescent="0.25">
      <c r="A928" s="59">
        <f t="shared" si="100"/>
        <v>1900</v>
      </c>
      <c r="B928" s="59">
        <f t="shared" si="101"/>
        <v>1</v>
      </c>
      <c r="C928" s="60"/>
      <c r="D928" s="61"/>
      <c r="F928" s="23" t="e">
        <f>VLOOKUP(E928,Customers[],2,FALSE)</f>
        <v>#N/A</v>
      </c>
      <c r="G928" s="23" t="e">
        <f>VLOOKUP(E928,Customers[],3,FALSE)</f>
        <v>#N/A</v>
      </c>
      <c r="H928" s="23" t="e">
        <f>VLOOKUP(E928,Customers[],4,FALSE)</f>
        <v>#N/A</v>
      </c>
      <c r="J928" s="29" t="e">
        <f>VLOOKUP(I928,PGStock[],2,FALSE)</f>
        <v>#N/A</v>
      </c>
      <c r="K928" s="30" t="e">
        <f>VLOOKUP(I928,PGStock[],3,FALSE)</f>
        <v>#N/A</v>
      </c>
      <c r="M928" s="62" t="e">
        <f>VLOOKUP(I928,PGStock[],6,FALSE)</f>
        <v>#N/A</v>
      </c>
      <c r="N928" s="62" t="e">
        <f>+Table8[[#This Row],[SalesBot]]*Table8[[#This Row],[Bonus]]</f>
        <v>#N/A</v>
      </c>
    </row>
    <row r="929" spans="1:14" ht="23.25" customHeight="1" x14ac:dyDescent="0.25">
      <c r="A929" s="59">
        <f t="shared" si="100"/>
        <v>1900</v>
      </c>
      <c r="B929" s="59">
        <f t="shared" si="101"/>
        <v>1</v>
      </c>
      <c r="C929" s="60"/>
      <c r="D929" s="61"/>
      <c r="F929" s="23" t="e">
        <f>VLOOKUP(E929,Customers[],2,FALSE)</f>
        <v>#N/A</v>
      </c>
      <c r="G929" s="23" t="e">
        <f>VLOOKUP(E929,Customers[],3,FALSE)</f>
        <v>#N/A</v>
      </c>
      <c r="H929" s="23" t="e">
        <f>VLOOKUP(E929,Customers[],4,FALSE)</f>
        <v>#N/A</v>
      </c>
      <c r="J929" s="29" t="e">
        <f>VLOOKUP(I929,PGStock[],2,FALSE)</f>
        <v>#N/A</v>
      </c>
      <c r="K929" s="30" t="e">
        <f>VLOOKUP(I929,PGStock[],3,FALSE)</f>
        <v>#N/A</v>
      </c>
      <c r="M929" s="62" t="e">
        <f>VLOOKUP(I929,PGStock[],6,FALSE)</f>
        <v>#N/A</v>
      </c>
      <c r="N929" s="62" t="e">
        <f>+Table8[[#This Row],[SalesBot]]*Table8[[#This Row],[Bonus]]</f>
        <v>#N/A</v>
      </c>
    </row>
    <row r="930" spans="1:14" ht="23.25" customHeight="1" x14ac:dyDescent="0.25">
      <c r="A930" s="59">
        <f t="shared" si="100"/>
        <v>1900</v>
      </c>
      <c r="B930" s="59">
        <f t="shared" si="101"/>
        <v>1</v>
      </c>
      <c r="C930" s="60"/>
      <c r="D930" s="61"/>
      <c r="F930" s="23" t="e">
        <f>VLOOKUP(E930,Customers[],2,FALSE)</f>
        <v>#N/A</v>
      </c>
      <c r="G930" s="23" t="e">
        <f>VLOOKUP(E930,Customers[],3,FALSE)</f>
        <v>#N/A</v>
      </c>
      <c r="H930" s="23" t="e">
        <f>VLOOKUP(E930,Customers[],4,FALSE)</f>
        <v>#N/A</v>
      </c>
      <c r="J930" s="29" t="e">
        <f>VLOOKUP(I930,PGStock[],2,FALSE)</f>
        <v>#N/A</v>
      </c>
      <c r="K930" s="30" t="e">
        <f>VLOOKUP(I930,PGStock[],3,FALSE)</f>
        <v>#N/A</v>
      </c>
      <c r="M930" s="62" t="e">
        <f>VLOOKUP(I930,PGStock[],6,FALSE)</f>
        <v>#N/A</v>
      </c>
      <c r="N930" s="62" t="e">
        <f>+Table8[[#This Row],[SalesBot]]*Table8[[#This Row],[Bonus]]</f>
        <v>#N/A</v>
      </c>
    </row>
    <row r="931" spans="1:14" ht="23.25" customHeight="1" x14ac:dyDescent="0.25">
      <c r="A931" s="59">
        <f t="shared" si="100"/>
        <v>1900</v>
      </c>
      <c r="B931" s="59">
        <f t="shared" si="101"/>
        <v>1</v>
      </c>
      <c r="C931" s="60"/>
      <c r="D931" s="61"/>
      <c r="F931" s="23" t="e">
        <f>VLOOKUP(E931,Customers[],2,FALSE)</f>
        <v>#N/A</v>
      </c>
      <c r="G931" s="23" t="e">
        <f>VLOOKUP(E931,Customers[],3,FALSE)</f>
        <v>#N/A</v>
      </c>
      <c r="H931" s="23" t="e">
        <f>VLOOKUP(E931,Customers[],4,FALSE)</f>
        <v>#N/A</v>
      </c>
      <c r="J931" s="29" t="e">
        <f>VLOOKUP(I931,PGStock[],2,FALSE)</f>
        <v>#N/A</v>
      </c>
      <c r="K931" s="30" t="e">
        <f>VLOOKUP(I931,PGStock[],3,FALSE)</f>
        <v>#N/A</v>
      </c>
      <c r="M931" s="62" t="e">
        <f>VLOOKUP(I931,PGStock[],6,FALSE)</f>
        <v>#N/A</v>
      </c>
      <c r="N931" s="62" t="e">
        <f>+Table8[[#This Row],[SalesBot]]*Table8[[#This Row],[Bonus]]</f>
        <v>#N/A</v>
      </c>
    </row>
    <row r="932" spans="1:14" ht="23.25" customHeight="1" x14ac:dyDescent="0.25">
      <c r="A932" s="59">
        <f t="shared" si="100"/>
        <v>1900</v>
      </c>
      <c r="B932" s="59">
        <f t="shared" si="101"/>
        <v>1</v>
      </c>
      <c r="C932" s="60"/>
      <c r="D932" s="61"/>
      <c r="F932" s="23" t="e">
        <f>VLOOKUP(E932,Customers[],2,FALSE)</f>
        <v>#N/A</v>
      </c>
      <c r="G932" s="23" t="e">
        <f>VLOOKUP(E932,Customers[],3,FALSE)</f>
        <v>#N/A</v>
      </c>
      <c r="H932" s="23" t="e">
        <f>VLOOKUP(E932,Customers[],4,FALSE)</f>
        <v>#N/A</v>
      </c>
      <c r="J932" s="29" t="e">
        <f>VLOOKUP(I932,PGStock[],2,FALSE)</f>
        <v>#N/A</v>
      </c>
      <c r="K932" s="30" t="e">
        <f>VLOOKUP(I932,PGStock[],3,FALSE)</f>
        <v>#N/A</v>
      </c>
      <c r="M932" s="62" t="e">
        <f>VLOOKUP(I932,PGStock[],6,FALSE)</f>
        <v>#N/A</v>
      </c>
      <c r="N932" s="62" t="e">
        <f>+Table8[[#This Row],[SalesBot]]*Table8[[#This Row],[Bonus]]</f>
        <v>#N/A</v>
      </c>
    </row>
    <row r="933" spans="1:14" ht="23.25" customHeight="1" x14ac:dyDescent="0.25">
      <c r="A933" s="59">
        <f t="shared" ref="A933:A964" si="102">YEAR(C933)</f>
        <v>1900</v>
      </c>
      <c r="B933" s="59">
        <f t="shared" ref="B933:B964" si="103">MONTH(C933)</f>
        <v>1</v>
      </c>
      <c r="C933" s="60"/>
      <c r="D933" s="61"/>
      <c r="F933" s="23" t="e">
        <f>VLOOKUP(E933,Customers[],2,FALSE)</f>
        <v>#N/A</v>
      </c>
      <c r="G933" s="23" t="e">
        <f>VLOOKUP(E933,Customers[],3,FALSE)</f>
        <v>#N/A</v>
      </c>
      <c r="H933" s="23" t="e">
        <f>VLOOKUP(E933,Customers[],4,FALSE)</f>
        <v>#N/A</v>
      </c>
      <c r="J933" s="29" t="e">
        <f>VLOOKUP(I933,PGStock[],2,FALSE)</f>
        <v>#N/A</v>
      </c>
      <c r="K933" s="30" t="e">
        <f>VLOOKUP(I933,PGStock[],3,FALSE)</f>
        <v>#N/A</v>
      </c>
      <c r="M933" s="62" t="e">
        <f>VLOOKUP(I933,PGStock[],6,FALSE)</f>
        <v>#N/A</v>
      </c>
      <c r="N933" s="62" t="e">
        <f>+Table8[[#This Row],[SalesBot]]*Table8[[#This Row],[Bonus]]</f>
        <v>#N/A</v>
      </c>
    </row>
    <row r="934" spans="1:14" ht="23.25" customHeight="1" x14ac:dyDescent="0.25">
      <c r="A934" s="59">
        <f t="shared" si="102"/>
        <v>1900</v>
      </c>
      <c r="B934" s="59">
        <f t="shared" si="103"/>
        <v>1</v>
      </c>
      <c r="C934" s="60"/>
      <c r="D934" s="61"/>
      <c r="F934" s="23" t="e">
        <f>VLOOKUP(E934,Customers[],2,FALSE)</f>
        <v>#N/A</v>
      </c>
      <c r="G934" s="23" t="e">
        <f>VLOOKUP(E934,Customers[],3,FALSE)</f>
        <v>#N/A</v>
      </c>
      <c r="H934" s="23" t="e">
        <f>VLOOKUP(E934,Customers[],4,FALSE)</f>
        <v>#N/A</v>
      </c>
      <c r="J934" s="29" t="e">
        <f>VLOOKUP(I934,PGStock[],2,FALSE)</f>
        <v>#N/A</v>
      </c>
      <c r="K934" s="30" t="e">
        <f>VLOOKUP(I934,PGStock[],3,FALSE)</f>
        <v>#N/A</v>
      </c>
      <c r="M934" s="62" t="e">
        <f>VLOOKUP(I934,PGStock[],6,FALSE)</f>
        <v>#N/A</v>
      </c>
      <c r="N934" s="62" t="e">
        <f>+Table8[[#This Row],[SalesBot]]*Table8[[#This Row],[Bonus]]</f>
        <v>#N/A</v>
      </c>
    </row>
    <row r="935" spans="1:14" ht="23.25" customHeight="1" x14ac:dyDescent="0.25">
      <c r="A935" s="59">
        <f t="shared" si="102"/>
        <v>1900</v>
      </c>
      <c r="B935" s="59">
        <f t="shared" si="103"/>
        <v>1</v>
      </c>
      <c r="C935" s="60"/>
      <c r="D935" s="61"/>
      <c r="F935" s="23" t="e">
        <f>VLOOKUP(E935,Customers[],2,FALSE)</f>
        <v>#N/A</v>
      </c>
      <c r="G935" s="23" t="e">
        <f>VLOOKUP(E935,Customers[],3,FALSE)</f>
        <v>#N/A</v>
      </c>
      <c r="H935" s="23" t="e">
        <f>VLOOKUP(E935,Customers[],4,FALSE)</f>
        <v>#N/A</v>
      </c>
      <c r="J935" s="29" t="e">
        <f>VLOOKUP(I935,PGStock[],2,FALSE)</f>
        <v>#N/A</v>
      </c>
      <c r="K935" s="30" t="e">
        <f>VLOOKUP(I935,PGStock[],3,FALSE)</f>
        <v>#N/A</v>
      </c>
      <c r="M935" s="62" t="e">
        <f>VLOOKUP(I935,PGStock[],6,FALSE)</f>
        <v>#N/A</v>
      </c>
      <c r="N935" s="62" t="e">
        <f>+Table8[[#This Row],[SalesBot]]*Table8[[#This Row],[Bonus]]</f>
        <v>#N/A</v>
      </c>
    </row>
    <row r="936" spans="1:14" ht="23.25" customHeight="1" x14ac:dyDescent="0.25">
      <c r="A936" s="59">
        <f t="shared" si="102"/>
        <v>1900</v>
      </c>
      <c r="B936" s="59">
        <f t="shared" si="103"/>
        <v>1</v>
      </c>
      <c r="C936" s="60"/>
      <c r="D936" s="61"/>
      <c r="F936" s="23" t="e">
        <f>VLOOKUP(E936,Customers[],2,FALSE)</f>
        <v>#N/A</v>
      </c>
      <c r="G936" s="23" t="e">
        <f>VLOOKUP(E936,Customers[],3,FALSE)</f>
        <v>#N/A</v>
      </c>
      <c r="H936" s="23" t="e">
        <f>VLOOKUP(E936,Customers[],4,FALSE)</f>
        <v>#N/A</v>
      </c>
      <c r="J936" s="29" t="e">
        <f>VLOOKUP(I936,PGStock[],2,FALSE)</f>
        <v>#N/A</v>
      </c>
      <c r="K936" s="30" t="e">
        <f>VLOOKUP(I936,PGStock[],3,FALSE)</f>
        <v>#N/A</v>
      </c>
      <c r="M936" s="62" t="e">
        <f>VLOOKUP(I936,PGStock[],6,FALSE)</f>
        <v>#N/A</v>
      </c>
      <c r="N936" s="62" t="e">
        <f>+Table8[[#This Row],[SalesBot]]*Table8[[#This Row],[Bonus]]</f>
        <v>#N/A</v>
      </c>
    </row>
    <row r="937" spans="1:14" ht="23.25" customHeight="1" x14ac:dyDescent="0.25">
      <c r="A937" s="59">
        <f t="shared" si="102"/>
        <v>1900</v>
      </c>
      <c r="B937" s="59">
        <f t="shared" si="103"/>
        <v>1</v>
      </c>
      <c r="C937" s="60"/>
      <c r="D937" s="61"/>
      <c r="F937" s="23" t="e">
        <f>VLOOKUP(E937,Customers[],2,FALSE)</f>
        <v>#N/A</v>
      </c>
      <c r="G937" s="23" t="e">
        <f>VLOOKUP(E937,Customers[],3,FALSE)</f>
        <v>#N/A</v>
      </c>
      <c r="H937" s="23" t="e">
        <f>VLOOKUP(E937,Customers[],4,FALSE)</f>
        <v>#N/A</v>
      </c>
      <c r="J937" s="29" t="e">
        <f>VLOOKUP(I937,PGStock[],2,FALSE)</f>
        <v>#N/A</v>
      </c>
      <c r="K937" s="30" t="e">
        <f>VLOOKUP(I937,PGStock[],3,FALSE)</f>
        <v>#N/A</v>
      </c>
      <c r="M937" s="62" t="e">
        <f>VLOOKUP(I937,PGStock[],6,FALSE)</f>
        <v>#N/A</v>
      </c>
      <c r="N937" s="62" t="e">
        <f>+Table8[[#This Row],[SalesBot]]*Table8[[#This Row],[Bonus]]</f>
        <v>#N/A</v>
      </c>
    </row>
    <row r="938" spans="1:14" ht="23.25" customHeight="1" x14ac:dyDescent="0.25">
      <c r="A938" s="59">
        <f t="shared" si="102"/>
        <v>1900</v>
      </c>
      <c r="B938" s="59">
        <f t="shared" si="103"/>
        <v>1</v>
      </c>
      <c r="C938" s="60"/>
      <c r="D938" s="61"/>
      <c r="F938" s="23" t="e">
        <f>VLOOKUP(E938,Customers[],2,FALSE)</f>
        <v>#N/A</v>
      </c>
      <c r="G938" s="23" t="e">
        <f>VLOOKUP(E938,Customers[],3,FALSE)</f>
        <v>#N/A</v>
      </c>
      <c r="H938" s="23" t="e">
        <f>VLOOKUP(E938,Customers[],4,FALSE)</f>
        <v>#N/A</v>
      </c>
      <c r="J938" s="29" t="e">
        <f>VLOOKUP(I938,PGStock[],2,FALSE)</f>
        <v>#N/A</v>
      </c>
      <c r="K938" s="30" t="e">
        <f>VLOOKUP(I938,PGStock[],3,FALSE)</f>
        <v>#N/A</v>
      </c>
      <c r="M938" s="62" t="e">
        <f>VLOOKUP(I938,PGStock[],6,FALSE)</f>
        <v>#N/A</v>
      </c>
      <c r="N938" s="62" t="e">
        <f>+Table8[[#This Row],[SalesBot]]*Table8[[#This Row],[Bonus]]</f>
        <v>#N/A</v>
      </c>
    </row>
    <row r="939" spans="1:14" ht="23.25" customHeight="1" x14ac:dyDescent="0.25">
      <c r="A939" s="59">
        <f t="shared" si="102"/>
        <v>1900</v>
      </c>
      <c r="B939" s="59">
        <f t="shared" si="103"/>
        <v>1</v>
      </c>
      <c r="C939" s="60"/>
      <c r="D939" s="61"/>
      <c r="F939" s="23" t="e">
        <f>VLOOKUP(E939,Customers[],2,FALSE)</f>
        <v>#N/A</v>
      </c>
      <c r="G939" s="23" t="e">
        <f>VLOOKUP(E939,Customers[],3,FALSE)</f>
        <v>#N/A</v>
      </c>
      <c r="H939" s="23" t="e">
        <f>VLOOKUP(E939,Customers[],4,FALSE)</f>
        <v>#N/A</v>
      </c>
      <c r="J939" s="29" t="e">
        <f>VLOOKUP(I939,PGStock[],2,FALSE)</f>
        <v>#N/A</v>
      </c>
      <c r="K939" s="30" t="e">
        <f>VLOOKUP(I939,PGStock[],3,FALSE)</f>
        <v>#N/A</v>
      </c>
      <c r="M939" s="62" t="e">
        <f>VLOOKUP(I939,PGStock[],6,FALSE)</f>
        <v>#N/A</v>
      </c>
      <c r="N939" s="62" t="e">
        <f>+Table8[[#This Row],[SalesBot]]*Table8[[#This Row],[Bonus]]</f>
        <v>#N/A</v>
      </c>
    </row>
    <row r="940" spans="1:14" ht="23.25" customHeight="1" x14ac:dyDescent="0.25">
      <c r="A940" s="59">
        <f t="shared" si="102"/>
        <v>1900</v>
      </c>
      <c r="B940" s="59">
        <f t="shared" si="103"/>
        <v>1</v>
      </c>
      <c r="C940" s="60"/>
      <c r="D940" s="61"/>
      <c r="F940" s="23" t="e">
        <f>VLOOKUP(E940,Customers[],2,FALSE)</f>
        <v>#N/A</v>
      </c>
      <c r="G940" s="23" t="e">
        <f>VLOOKUP(E940,Customers[],3,FALSE)</f>
        <v>#N/A</v>
      </c>
      <c r="H940" s="23" t="e">
        <f>VLOOKUP(E940,Customers[],4,FALSE)</f>
        <v>#N/A</v>
      </c>
      <c r="J940" s="29" t="e">
        <f>VLOOKUP(I940,PGStock[],2,FALSE)</f>
        <v>#N/A</v>
      </c>
      <c r="K940" s="30" t="e">
        <f>VLOOKUP(I940,PGStock[],3,FALSE)</f>
        <v>#N/A</v>
      </c>
      <c r="M940" s="62" t="e">
        <f>VLOOKUP(I940,PGStock[],6,FALSE)</f>
        <v>#N/A</v>
      </c>
      <c r="N940" s="62" t="e">
        <f>+Table8[[#This Row],[SalesBot]]*Table8[[#This Row],[Bonus]]</f>
        <v>#N/A</v>
      </c>
    </row>
    <row r="941" spans="1:14" ht="23.25" customHeight="1" x14ac:dyDescent="0.25">
      <c r="A941" s="59">
        <f t="shared" si="102"/>
        <v>1900</v>
      </c>
      <c r="B941" s="59">
        <f t="shared" si="103"/>
        <v>1</v>
      </c>
      <c r="C941" s="60"/>
      <c r="D941" s="61"/>
      <c r="F941" s="23" t="e">
        <f>VLOOKUP(E941,Customers[],2,FALSE)</f>
        <v>#N/A</v>
      </c>
      <c r="G941" s="23" t="e">
        <f>VLOOKUP(E941,Customers[],3,FALSE)</f>
        <v>#N/A</v>
      </c>
      <c r="H941" s="23" t="e">
        <f>VLOOKUP(E941,Customers[],4,FALSE)</f>
        <v>#N/A</v>
      </c>
      <c r="J941" s="29" t="e">
        <f>VLOOKUP(I941,PGStock[],2,FALSE)</f>
        <v>#N/A</v>
      </c>
      <c r="K941" s="30" t="e">
        <f>VLOOKUP(I941,PGStock[],3,FALSE)</f>
        <v>#N/A</v>
      </c>
      <c r="M941" s="62" t="e">
        <f>VLOOKUP(I941,PGStock[],6,FALSE)</f>
        <v>#N/A</v>
      </c>
      <c r="N941" s="62" t="e">
        <f>+Table8[[#This Row],[SalesBot]]*Table8[[#This Row],[Bonus]]</f>
        <v>#N/A</v>
      </c>
    </row>
    <row r="942" spans="1:14" ht="23.25" customHeight="1" x14ac:dyDescent="0.25">
      <c r="A942" s="59">
        <f t="shared" si="102"/>
        <v>1900</v>
      </c>
      <c r="B942" s="59">
        <f t="shared" si="103"/>
        <v>1</v>
      </c>
      <c r="C942" s="60"/>
      <c r="D942" s="61"/>
      <c r="F942" s="23" t="e">
        <f>VLOOKUP(E942,Customers[],2,FALSE)</f>
        <v>#N/A</v>
      </c>
      <c r="G942" s="23" t="e">
        <f>VLOOKUP(E942,Customers[],3,FALSE)</f>
        <v>#N/A</v>
      </c>
      <c r="H942" s="23" t="e">
        <f>VLOOKUP(E942,Customers[],4,FALSE)</f>
        <v>#N/A</v>
      </c>
      <c r="J942" s="29" t="e">
        <f>VLOOKUP(I942,PGStock[],2,FALSE)</f>
        <v>#N/A</v>
      </c>
      <c r="K942" s="30" t="e">
        <f>VLOOKUP(I942,PGStock[],3,FALSE)</f>
        <v>#N/A</v>
      </c>
      <c r="M942" s="62" t="e">
        <f>VLOOKUP(I942,PGStock[],6,FALSE)</f>
        <v>#N/A</v>
      </c>
      <c r="N942" s="62" t="e">
        <f>+Table8[[#This Row],[SalesBot]]*Table8[[#This Row],[Bonus]]</f>
        <v>#N/A</v>
      </c>
    </row>
    <row r="943" spans="1:14" ht="23.25" customHeight="1" x14ac:dyDescent="0.25">
      <c r="A943" s="59">
        <f t="shared" si="102"/>
        <v>1900</v>
      </c>
      <c r="B943" s="59">
        <f t="shared" si="103"/>
        <v>1</v>
      </c>
      <c r="C943" s="60"/>
      <c r="D943" s="61"/>
      <c r="F943" s="23" t="e">
        <f>VLOOKUP(E943,Customers[],2,FALSE)</f>
        <v>#N/A</v>
      </c>
      <c r="G943" s="23" t="e">
        <f>VLOOKUP(E943,Customers[],3,FALSE)</f>
        <v>#N/A</v>
      </c>
      <c r="H943" s="23" t="e">
        <f>VLOOKUP(E943,Customers[],4,FALSE)</f>
        <v>#N/A</v>
      </c>
      <c r="J943" s="29" t="e">
        <f>VLOOKUP(I943,PGStock[],2,FALSE)</f>
        <v>#N/A</v>
      </c>
      <c r="K943" s="30" t="e">
        <f>VLOOKUP(I943,PGStock[],3,FALSE)</f>
        <v>#N/A</v>
      </c>
      <c r="M943" s="62" t="e">
        <f>VLOOKUP(I943,PGStock[],6,FALSE)</f>
        <v>#N/A</v>
      </c>
      <c r="N943" s="62" t="e">
        <f>+Table8[[#This Row],[SalesBot]]*Table8[[#This Row],[Bonus]]</f>
        <v>#N/A</v>
      </c>
    </row>
    <row r="944" spans="1:14" ht="23.25" customHeight="1" x14ac:dyDescent="0.25">
      <c r="A944" s="59">
        <f t="shared" si="102"/>
        <v>1900</v>
      </c>
      <c r="B944" s="59">
        <f t="shared" si="103"/>
        <v>1</v>
      </c>
      <c r="C944" s="60"/>
      <c r="D944" s="61"/>
      <c r="F944" s="23" t="e">
        <f>VLOOKUP(E944,Customers[],2,FALSE)</f>
        <v>#N/A</v>
      </c>
      <c r="G944" s="23" t="e">
        <f>VLOOKUP(E944,Customers[],3,FALSE)</f>
        <v>#N/A</v>
      </c>
      <c r="H944" s="23" t="e">
        <f>VLOOKUP(E944,Customers[],4,FALSE)</f>
        <v>#N/A</v>
      </c>
      <c r="J944" s="29" t="e">
        <f>VLOOKUP(I944,PGStock[],2,FALSE)</f>
        <v>#N/A</v>
      </c>
      <c r="K944" s="30" t="e">
        <f>VLOOKUP(I944,PGStock[],3,FALSE)</f>
        <v>#N/A</v>
      </c>
      <c r="M944" s="62" t="e">
        <f>VLOOKUP(I944,PGStock[],6,FALSE)</f>
        <v>#N/A</v>
      </c>
      <c r="N944" s="62" t="e">
        <f>+Table8[[#This Row],[SalesBot]]*Table8[[#This Row],[Bonus]]</f>
        <v>#N/A</v>
      </c>
    </row>
    <row r="945" spans="1:14" ht="23.25" customHeight="1" x14ac:dyDescent="0.25">
      <c r="A945" s="59">
        <f t="shared" si="102"/>
        <v>1900</v>
      </c>
      <c r="B945" s="59">
        <f t="shared" si="103"/>
        <v>1</v>
      </c>
      <c r="C945" s="60"/>
      <c r="D945" s="61"/>
      <c r="F945" s="23" t="e">
        <f>VLOOKUP(E945,Customers[],2,FALSE)</f>
        <v>#N/A</v>
      </c>
      <c r="G945" s="23" t="e">
        <f>VLOOKUP(E945,Customers[],3,FALSE)</f>
        <v>#N/A</v>
      </c>
      <c r="H945" s="23" t="e">
        <f>VLOOKUP(E945,Customers[],4,FALSE)</f>
        <v>#N/A</v>
      </c>
      <c r="J945" s="29" t="e">
        <f>VLOOKUP(I945,PGStock[],2,FALSE)</f>
        <v>#N/A</v>
      </c>
      <c r="K945" s="30" t="e">
        <f>VLOOKUP(I945,PGStock[],3,FALSE)</f>
        <v>#N/A</v>
      </c>
      <c r="M945" s="62" t="e">
        <f>VLOOKUP(I945,PGStock[],6,FALSE)</f>
        <v>#N/A</v>
      </c>
      <c r="N945" s="62" t="e">
        <f>+Table8[[#This Row],[SalesBot]]*Table8[[#This Row],[Bonus]]</f>
        <v>#N/A</v>
      </c>
    </row>
    <row r="946" spans="1:14" ht="23.25" customHeight="1" x14ac:dyDescent="0.25">
      <c r="A946" s="59">
        <f t="shared" si="102"/>
        <v>1900</v>
      </c>
      <c r="B946" s="59">
        <f t="shared" si="103"/>
        <v>1</v>
      </c>
      <c r="C946" s="60"/>
      <c r="D946" s="61"/>
      <c r="F946" s="23" t="e">
        <f>VLOOKUP(E946,Customers[],2,FALSE)</f>
        <v>#N/A</v>
      </c>
      <c r="G946" s="23" t="e">
        <f>VLOOKUP(E946,Customers[],3,FALSE)</f>
        <v>#N/A</v>
      </c>
      <c r="H946" s="23" t="e">
        <f>VLOOKUP(E946,Customers[],4,FALSE)</f>
        <v>#N/A</v>
      </c>
      <c r="J946" s="29" t="e">
        <f>VLOOKUP(I946,PGStock[],2,FALSE)</f>
        <v>#N/A</v>
      </c>
      <c r="K946" s="30" t="e">
        <f>VLOOKUP(I946,PGStock[],3,FALSE)</f>
        <v>#N/A</v>
      </c>
      <c r="M946" s="62" t="e">
        <f>VLOOKUP(I946,PGStock[],6,FALSE)</f>
        <v>#N/A</v>
      </c>
      <c r="N946" s="62" t="e">
        <f>+Table8[[#This Row],[SalesBot]]*Table8[[#This Row],[Bonus]]</f>
        <v>#N/A</v>
      </c>
    </row>
    <row r="947" spans="1:14" ht="23.25" customHeight="1" x14ac:dyDescent="0.25">
      <c r="A947" s="59">
        <f t="shared" si="102"/>
        <v>1900</v>
      </c>
      <c r="B947" s="59">
        <f t="shared" si="103"/>
        <v>1</v>
      </c>
      <c r="C947" s="60"/>
      <c r="D947" s="61"/>
      <c r="F947" s="23" t="e">
        <f>VLOOKUP(E947,Customers[],2,FALSE)</f>
        <v>#N/A</v>
      </c>
      <c r="G947" s="23" t="e">
        <f>VLOOKUP(E947,Customers[],3,FALSE)</f>
        <v>#N/A</v>
      </c>
      <c r="H947" s="23" t="e">
        <f>VLOOKUP(E947,Customers[],4,FALSE)</f>
        <v>#N/A</v>
      </c>
      <c r="J947" s="29" t="e">
        <f>VLOOKUP(I947,PGStock[],2,FALSE)</f>
        <v>#N/A</v>
      </c>
      <c r="K947" s="30" t="e">
        <f>VLOOKUP(I947,PGStock[],3,FALSE)</f>
        <v>#N/A</v>
      </c>
      <c r="M947" s="62" t="e">
        <f>VLOOKUP(I947,PGStock[],6,FALSE)</f>
        <v>#N/A</v>
      </c>
      <c r="N947" s="62" t="e">
        <f>+Table8[[#This Row],[SalesBot]]*Table8[[#This Row],[Bonus]]</f>
        <v>#N/A</v>
      </c>
    </row>
    <row r="948" spans="1:14" ht="23.25" customHeight="1" x14ac:dyDescent="0.25">
      <c r="A948" s="59">
        <f t="shared" si="102"/>
        <v>1900</v>
      </c>
      <c r="B948" s="59">
        <f t="shared" si="103"/>
        <v>1</v>
      </c>
      <c r="C948" s="60"/>
      <c r="D948" s="61"/>
      <c r="F948" s="23" t="e">
        <f>VLOOKUP(E948,Customers[],2,FALSE)</f>
        <v>#N/A</v>
      </c>
      <c r="G948" s="23" t="e">
        <f>VLOOKUP(E948,Customers[],3,FALSE)</f>
        <v>#N/A</v>
      </c>
      <c r="H948" s="23" t="e">
        <f>VLOOKUP(E948,Customers[],4,FALSE)</f>
        <v>#N/A</v>
      </c>
      <c r="J948" s="29" t="e">
        <f>VLOOKUP(I948,PGStock[],2,FALSE)</f>
        <v>#N/A</v>
      </c>
      <c r="K948" s="30" t="e">
        <f>VLOOKUP(I948,PGStock[],3,FALSE)</f>
        <v>#N/A</v>
      </c>
      <c r="M948" s="62" t="e">
        <f>VLOOKUP(I948,PGStock[],6,FALSE)</f>
        <v>#N/A</v>
      </c>
      <c r="N948" s="62" t="e">
        <f>+Table8[[#This Row],[SalesBot]]*Table8[[#This Row],[Bonus]]</f>
        <v>#N/A</v>
      </c>
    </row>
    <row r="949" spans="1:14" ht="23.25" customHeight="1" x14ac:dyDescent="0.25">
      <c r="A949" s="59">
        <f t="shared" si="102"/>
        <v>1900</v>
      </c>
      <c r="B949" s="59">
        <f t="shared" si="103"/>
        <v>1</v>
      </c>
      <c r="C949" s="60"/>
      <c r="D949" s="61"/>
      <c r="F949" s="23" t="e">
        <f>VLOOKUP(E949,Customers[],2,FALSE)</f>
        <v>#N/A</v>
      </c>
      <c r="G949" s="23" t="e">
        <f>VLOOKUP(E949,Customers[],3,FALSE)</f>
        <v>#N/A</v>
      </c>
      <c r="H949" s="23" t="e">
        <f>VLOOKUP(E949,Customers[],4,FALSE)</f>
        <v>#N/A</v>
      </c>
      <c r="J949" s="29" t="e">
        <f>VLOOKUP(I949,PGStock[],2,FALSE)</f>
        <v>#N/A</v>
      </c>
      <c r="K949" s="30" t="e">
        <f>VLOOKUP(I949,PGStock[],3,FALSE)</f>
        <v>#N/A</v>
      </c>
      <c r="M949" s="62" t="e">
        <f>VLOOKUP(I949,PGStock[],6,FALSE)</f>
        <v>#N/A</v>
      </c>
      <c r="N949" s="62" t="e">
        <f>+Table8[[#This Row],[SalesBot]]*Table8[[#This Row],[Bonus]]</f>
        <v>#N/A</v>
      </c>
    </row>
    <row r="950" spans="1:14" ht="23.25" customHeight="1" x14ac:dyDescent="0.25">
      <c r="A950" s="59">
        <f t="shared" si="102"/>
        <v>1900</v>
      </c>
      <c r="B950" s="59">
        <f t="shared" si="103"/>
        <v>1</v>
      </c>
      <c r="C950" s="60"/>
      <c r="D950" s="61"/>
      <c r="F950" s="23" t="e">
        <f>VLOOKUP(E950,Customers[],2,FALSE)</f>
        <v>#N/A</v>
      </c>
      <c r="G950" s="23" t="e">
        <f>VLOOKUP(E950,Customers[],3,FALSE)</f>
        <v>#N/A</v>
      </c>
      <c r="H950" s="23" t="e">
        <f>VLOOKUP(E950,Customers[],4,FALSE)</f>
        <v>#N/A</v>
      </c>
      <c r="J950" s="29" t="e">
        <f>VLOOKUP(I950,PGStock[],2,FALSE)</f>
        <v>#N/A</v>
      </c>
      <c r="K950" s="30" t="e">
        <f>VLOOKUP(I950,PGStock[],3,FALSE)</f>
        <v>#N/A</v>
      </c>
      <c r="M950" s="62" t="e">
        <f>VLOOKUP(I950,PGStock[],6,FALSE)</f>
        <v>#N/A</v>
      </c>
      <c r="N950" s="62" t="e">
        <f>+Table8[[#This Row],[SalesBot]]*Table8[[#This Row],[Bonus]]</f>
        <v>#N/A</v>
      </c>
    </row>
    <row r="951" spans="1:14" ht="23.25" customHeight="1" x14ac:dyDescent="0.25">
      <c r="A951" s="59">
        <f t="shared" si="102"/>
        <v>1900</v>
      </c>
      <c r="B951" s="59">
        <f t="shared" si="103"/>
        <v>1</v>
      </c>
      <c r="C951" s="60"/>
      <c r="D951" s="61"/>
      <c r="F951" s="23" t="e">
        <f>VLOOKUP(E951,Customers[],2,FALSE)</f>
        <v>#N/A</v>
      </c>
      <c r="G951" s="23" t="e">
        <f>VLOOKUP(E951,Customers[],3,FALSE)</f>
        <v>#N/A</v>
      </c>
      <c r="H951" s="23" t="e">
        <f>VLOOKUP(E951,Customers[],4,FALSE)</f>
        <v>#N/A</v>
      </c>
      <c r="J951" s="29" t="e">
        <f>VLOOKUP(I951,PGStock[],2,FALSE)</f>
        <v>#N/A</v>
      </c>
      <c r="K951" s="30" t="e">
        <f>VLOOKUP(I951,PGStock[],3,FALSE)</f>
        <v>#N/A</v>
      </c>
      <c r="M951" s="62" t="e">
        <f>VLOOKUP(I951,PGStock[],6,FALSE)</f>
        <v>#N/A</v>
      </c>
      <c r="N951" s="62" t="e">
        <f>+Table8[[#This Row],[SalesBot]]*Table8[[#This Row],[Bonus]]</f>
        <v>#N/A</v>
      </c>
    </row>
    <row r="952" spans="1:14" ht="23.25" customHeight="1" x14ac:dyDescent="0.25">
      <c r="A952" s="59">
        <f t="shared" si="102"/>
        <v>1900</v>
      </c>
      <c r="B952" s="59">
        <f t="shared" si="103"/>
        <v>1</v>
      </c>
      <c r="C952" s="60"/>
      <c r="D952" s="61"/>
      <c r="F952" s="23" t="e">
        <f>VLOOKUP(E952,Customers[],2,FALSE)</f>
        <v>#N/A</v>
      </c>
      <c r="G952" s="23" t="e">
        <f>VLOOKUP(E952,Customers[],3,FALSE)</f>
        <v>#N/A</v>
      </c>
      <c r="H952" s="23" t="e">
        <f>VLOOKUP(E952,Customers[],4,FALSE)</f>
        <v>#N/A</v>
      </c>
      <c r="J952" s="29" t="e">
        <f>VLOOKUP(I952,PGStock[],2,FALSE)</f>
        <v>#N/A</v>
      </c>
      <c r="K952" s="30" t="e">
        <f>VLOOKUP(I952,PGStock[],3,FALSE)</f>
        <v>#N/A</v>
      </c>
      <c r="M952" s="62" t="e">
        <f>VLOOKUP(I952,PGStock[],6,FALSE)</f>
        <v>#N/A</v>
      </c>
      <c r="N952" s="62" t="e">
        <f>+Table8[[#This Row],[SalesBot]]*Table8[[#This Row],[Bonus]]</f>
        <v>#N/A</v>
      </c>
    </row>
    <row r="953" spans="1:14" ht="23.25" customHeight="1" x14ac:dyDescent="0.25">
      <c r="A953" s="59">
        <f t="shared" si="102"/>
        <v>1900</v>
      </c>
      <c r="B953" s="59">
        <f t="shared" si="103"/>
        <v>1</v>
      </c>
      <c r="C953" s="60"/>
      <c r="D953" s="61"/>
      <c r="F953" s="23" t="e">
        <f>VLOOKUP(E953,Customers[],2,FALSE)</f>
        <v>#N/A</v>
      </c>
      <c r="G953" s="23" t="e">
        <f>VLOOKUP(E953,Customers[],3,FALSE)</f>
        <v>#N/A</v>
      </c>
      <c r="H953" s="23" t="e">
        <f>VLOOKUP(E953,Customers[],4,FALSE)</f>
        <v>#N/A</v>
      </c>
      <c r="J953" s="29" t="e">
        <f>VLOOKUP(I953,PGStock[],2,FALSE)</f>
        <v>#N/A</v>
      </c>
      <c r="K953" s="30" t="e">
        <f>VLOOKUP(I953,PGStock[],3,FALSE)</f>
        <v>#N/A</v>
      </c>
      <c r="M953" s="62" t="e">
        <f>VLOOKUP(I953,PGStock[],6,FALSE)</f>
        <v>#N/A</v>
      </c>
      <c r="N953" s="62" t="e">
        <f>+Table8[[#This Row],[SalesBot]]*Table8[[#This Row],[Bonus]]</f>
        <v>#N/A</v>
      </c>
    </row>
    <row r="954" spans="1:14" ht="23.25" customHeight="1" x14ac:dyDescent="0.25">
      <c r="A954" s="59">
        <f t="shared" si="102"/>
        <v>1900</v>
      </c>
      <c r="B954" s="59">
        <f t="shared" si="103"/>
        <v>1</v>
      </c>
      <c r="C954" s="60"/>
      <c r="D954" s="61"/>
      <c r="F954" s="23" t="e">
        <f>VLOOKUP(E954,Customers[],2,FALSE)</f>
        <v>#N/A</v>
      </c>
      <c r="G954" s="23" t="e">
        <f>VLOOKUP(E954,Customers[],3,FALSE)</f>
        <v>#N/A</v>
      </c>
      <c r="H954" s="23" t="e">
        <f>VLOOKUP(E954,Customers[],4,FALSE)</f>
        <v>#N/A</v>
      </c>
      <c r="J954" s="29" t="e">
        <f>VLOOKUP(I954,PGStock[],2,FALSE)</f>
        <v>#N/A</v>
      </c>
      <c r="K954" s="30" t="e">
        <f>VLOOKUP(I954,PGStock[],3,FALSE)</f>
        <v>#N/A</v>
      </c>
      <c r="M954" s="62" t="e">
        <f>VLOOKUP(I954,PGStock[],6,FALSE)</f>
        <v>#N/A</v>
      </c>
      <c r="N954" s="62" t="e">
        <f>+Table8[[#This Row],[SalesBot]]*Table8[[#This Row],[Bonus]]</f>
        <v>#N/A</v>
      </c>
    </row>
    <row r="955" spans="1:14" ht="23.25" customHeight="1" x14ac:dyDescent="0.25">
      <c r="A955" s="59">
        <f t="shared" si="102"/>
        <v>1900</v>
      </c>
      <c r="B955" s="59">
        <f t="shared" si="103"/>
        <v>1</v>
      </c>
      <c r="C955" s="60"/>
      <c r="D955" s="61"/>
      <c r="F955" s="23" t="e">
        <f>VLOOKUP(E955,Customers[],2,FALSE)</f>
        <v>#N/A</v>
      </c>
      <c r="G955" s="23" t="e">
        <f>VLOOKUP(E955,Customers[],3,FALSE)</f>
        <v>#N/A</v>
      </c>
      <c r="H955" s="23" t="e">
        <f>VLOOKUP(E955,Customers[],4,FALSE)</f>
        <v>#N/A</v>
      </c>
      <c r="J955" s="29" t="e">
        <f>VLOOKUP(I955,PGStock[],2,FALSE)</f>
        <v>#N/A</v>
      </c>
      <c r="K955" s="30" t="e">
        <f>VLOOKUP(I955,PGStock[],3,FALSE)</f>
        <v>#N/A</v>
      </c>
      <c r="M955" s="62" t="e">
        <f>VLOOKUP(I955,PGStock[],6,FALSE)</f>
        <v>#N/A</v>
      </c>
      <c r="N955" s="62" t="e">
        <f>+Table8[[#This Row],[SalesBot]]*Table8[[#This Row],[Bonus]]</f>
        <v>#N/A</v>
      </c>
    </row>
    <row r="956" spans="1:14" ht="23.25" customHeight="1" x14ac:dyDescent="0.25">
      <c r="A956" s="59">
        <f t="shared" si="102"/>
        <v>1900</v>
      </c>
      <c r="B956" s="59">
        <f t="shared" si="103"/>
        <v>1</v>
      </c>
      <c r="C956" s="60"/>
      <c r="D956" s="61"/>
      <c r="F956" s="23" t="e">
        <f>VLOOKUP(E956,Customers[],2,FALSE)</f>
        <v>#N/A</v>
      </c>
      <c r="G956" s="23" t="e">
        <f>VLOOKUP(E956,Customers[],3,FALSE)</f>
        <v>#N/A</v>
      </c>
      <c r="H956" s="23" t="e">
        <f>VLOOKUP(E956,Customers[],4,FALSE)</f>
        <v>#N/A</v>
      </c>
      <c r="J956" s="29" t="e">
        <f>VLOOKUP(I956,PGStock[],2,FALSE)</f>
        <v>#N/A</v>
      </c>
      <c r="K956" s="30" t="e">
        <f>VLOOKUP(I956,PGStock[],3,FALSE)</f>
        <v>#N/A</v>
      </c>
      <c r="M956" s="62" t="e">
        <f>VLOOKUP(I956,PGStock[],6,FALSE)</f>
        <v>#N/A</v>
      </c>
      <c r="N956" s="62" t="e">
        <f>+Table8[[#This Row],[SalesBot]]*Table8[[#This Row],[Bonus]]</f>
        <v>#N/A</v>
      </c>
    </row>
    <row r="957" spans="1:14" ht="23.25" customHeight="1" x14ac:dyDescent="0.25">
      <c r="A957" s="59">
        <f t="shared" si="102"/>
        <v>1900</v>
      </c>
      <c r="B957" s="59">
        <f t="shared" si="103"/>
        <v>1</v>
      </c>
      <c r="C957" s="60"/>
      <c r="D957" s="61"/>
      <c r="F957" s="23" t="e">
        <f>VLOOKUP(E957,Customers[],2,FALSE)</f>
        <v>#N/A</v>
      </c>
      <c r="G957" s="23" t="e">
        <f>VLOOKUP(E957,Customers[],3,FALSE)</f>
        <v>#N/A</v>
      </c>
      <c r="H957" s="23" t="e">
        <f>VLOOKUP(E957,Customers[],4,FALSE)</f>
        <v>#N/A</v>
      </c>
      <c r="J957" s="29" t="e">
        <f>VLOOKUP(I957,PGStock[],2,FALSE)</f>
        <v>#N/A</v>
      </c>
      <c r="K957" s="30" t="e">
        <f>VLOOKUP(I957,PGStock[],3,FALSE)</f>
        <v>#N/A</v>
      </c>
      <c r="M957" s="62" t="e">
        <f>VLOOKUP(I957,PGStock[],6,FALSE)</f>
        <v>#N/A</v>
      </c>
      <c r="N957" s="62" t="e">
        <f>+Table8[[#This Row],[SalesBot]]*Table8[[#This Row],[Bonus]]</f>
        <v>#N/A</v>
      </c>
    </row>
    <row r="958" spans="1:14" ht="23.25" customHeight="1" x14ac:dyDescent="0.25">
      <c r="A958" s="59">
        <f t="shared" si="102"/>
        <v>1900</v>
      </c>
      <c r="B958" s="59">
        <f t="shared" si="103"/>
        <v>1</v>
      </c>
      <c r="C958" s="60"/>
      <c r="D958" s="61"/>
      <c r="F958" s="23" t="e">
        <f>VLOOKUP(E958,Customers[],2,FALSE)</f>
        <v>#N/A</v>
      </c>
      <c r="G958" s="23" t="e">
        <f>VLOOKUP(E958,Customers[],3,FALSE)</f>
        <v>#N/A</v>
      </c>
      <c r="H958" s="23" t="e">
        <f>VLOOKUP(E958,Customers[],4,FALSE)</f>
        <v>#N/A</v>
      </c>
      <c r="J958" s="29" t="e">
        <f>VLOOKUP(I958,PGStock[],2,FALSE)</f>
        <v>#N/A</v>
      </c>
      <c r="K958" s="30" t="e">
        <f>VLOOKUP(I958,PGStock[],3,FALSE)</f>
        <v>#N/A</v>
      </c>
      <c r="M958" s="62" t="e">
        <f>VLOOKUP(I958,PGStock[],6,FALSE)</f>
        <v>#N/A</v>
      </c>
      <c r="N958" s="62" t="e">
        <f>+Table8[[#This Row],[SalesBot]]*Table8[[#This Row],[Bonus]]</f>
        <v>#N/A</v>
      </c>
    </row>
    <row r="959" spans="1:14" ht="23.25" customHeight="1" x14ac:dyDescent="0.25">
      <c r="A959" s="59">
        <f t="shared" si="102"/>
        <v>1900</v>
      </c>
      <c r="B959" s="59">
        <f t="shared" si="103"/>
        <v>1</v>
      </c>
      <c r="C959" s="60"/>
      <c r="D959" s="61"/>
      <c r="F959" s="23" t="e">
        <f>VLOOKUP(E959,Customers[],2,FALSE)</f>
        <v>#N/A</v>
      </c>
      <c r="G959" s="23" t="e">
        <f>VLOOKUP(E959,Customers[],3,FALSE)</f>
        <v>#N/A</v>
      </c>
      <c r="H959" s="23" t="e">
        <f>VLOOKUP(E959,Customers[],4,FALSE)</f>
        <v>#N/A</v>
      </c>
      <c r="J959" s="29" t="e">
        <f>VLOOKUP(I959,PGStock[],2,FALSE)</f>
        <v>#N/A</v>
      </c>
      <c r="K959" s="30" t="e">
        <f>VLOOKUP(I959,PGStock[],3,FALSE)</f>
        <v>#N/A</v>
      </c>
      <c r="M959" s="62" t="e">
        <f>VLOOKUP(I959,PGStock[],6,FALSE)</f>
        <v>#N/A</v>
      </c>
      <c r="N959" s="62" t="e">
        <f>+Table8[[#This Row],[SalesBot]]*Table8[[#This Row],[Bonus]]</f>
        <v>#N/A</v>
      </c>
    </row>
    <row r="960" spans="1:14" ht="23.25" customHeight="1" x14ac:dyDescent="0.25">
      <c r="A960" s="59">
        <f t="shared" si="102"/>
        <v>1900</v>
      </c>
      <c r="B960" s="59">
        <f t="shared" si="103"/>
        <v>1</v>
      </c>
      <c r="C960" s="60"/>
      <c r="D960" s="61"/>
      <c r="F960" s="23" t="e">
        <f>VLOOKUP(E960,Customers[],2,FALSE)</f>
        <v>#N/A</v>
      </c>
      <c r="G960" s="23" t="e">
        <f>VLOOKUP(E960,Customers[],3,FALSE)</f>
        <v>#N/A</v>
      </c>
      <c r="H960" s="23" t="e">
        <f>VLOOKUP(E960,Customers[],4,FALSE)</f>
        <v>#N/A</v>
      </c>
      <c r="J960" s="29" t="e">
        <f>VLOOKUP(I960,PGStock[],2,FALSE)</f>
        <v>#N/A</v>
      </c>
      <c r="K960" s="30" t="e">
        <f>VLOOKUP(I960,PGStock[],3,FALSE)</f>
        <v>#N/A</v>
      </c>
      <c r="M960" s="62" t="e">
        <f>VLOOKUP(I960,PGStock[],6,FALSE)</f>
        <v>#N/A</v>
      </c>
      <c r="N960" s="62" t="e">
        <f>+Table8[[#This Row],[SalesBot]]*Table8[[#This Row],[Bonus]]</f>
        <v>#N/A</v>
      </c>
    </row>
    <row r="961" spans="1:14" ht="23.25" customHeight="1" x14ac:dyDescent="0.25">
      <c r="A961" s="59">
        <f t="shared" si="102"/>
        <v>1900</v>
      </c>
      <c r="B961" s="59">
        <f t="shared" si="103"/>
        <v>1</v>
      </c>
      <c r="C961" s="60"/>
      <c r="D961" s="61"/>
      <c r="F961" s="23" t="e">
        <f>VLOOKUP(E961,Customers[],2,FALSE)</f>
        <v>#N/A</v>
      </c>
      <c r="G961" s="23" t="e">
        <f>VLOOKUP(E961,Customers[],3,FALSE)</f>
        <v>#N/A</v>
      </c>
      <c r="H961" s="23" t="e">
        <f>VLOOKUP(E961,Customers[],4,FALSE)</f>
        <v>#N/A</v>
      </c>
      <c r="J961" s="29" t="e">
        <f>VLOOKUP(I961,PGStock[],2,FALSE)</f>
        <v>#N/A</v>
      </c>
      <c r="K961" s="30" t="e">
        <f>VLOOKUP(I961,PGStock[],3,FALSE)</f>
        <v>#N/A</v>
      </c>
      <c r="M961" s="62" t="e">
        <f>VLOOKUP(I961,PGStock[],6,FALSE)</f>
        <v>#N/A</v>
      </c>
      <c r="N961" s="62" t="e">
        <f>+Table8[[#This Row],[SalesBot]]*Table8[[#This Row],[Bonus]]</f>
        <v>#N/A</v>
      </c>
    </row>
    <row r="962" spans="1:14" ht="23.25" customHeight="1" x14ac:dyDescent="0.25">
      <c r="A962" s="59">
        <f t="shared" si="102"/>
        <v>1900</v>
      </c>
      <c r="B962" s="59">
        <f t="shared" si="103"/>
        <v>1</v>
      </c>
      <c r="C962" s="60"/>
      <c r="D962" s="61"/>
      <c r="F962" s="23" t="e">
        <f>VLOOKUP(E962,Customers[],2,FALSE)</f>
        <v>#N/A</v>
      </c>
      <c r="G962" s="23" t="e">
        <f>VLOOKUP(E962,Customers[],3,FALSE)</f>
        <v>#N/A</v>
      </c>
      <c r="H962" s="23" t="e">
        <f>VLOOKUP(E962,Customers[],4,FALSE)</f>
        <v>#N/A</v>
      </c>
      <c r="J962" s="29" t="e">
        <f>VLOOKUP(I962,PGStock[],2,FALSE)</f>
        <v>#N/A</v>
      </c>
      <c r="K962" s="30" t="e">
        <f>VLOOKUP(I962,PGStock[],3,FALSE)</f>
        <v>#N/A</v>
      </c>
      <c r="M962" s="62" t="e">
        <f>VLOOKUP(I962,PGStock[],6,FALSE)</f>
        <v>#N/A</v>
      </c>
      <c r="N962" s="62" t="e">
        <f>+Table8[[#This Row],[SalesBot]]*Table8[[#This Row],[Bonus]]</f>
        <v>#N/A</v>
      </c>
    </row>
    <row r="963" spans="1:14" ht="23.25" customHeight="1" x14ac:dyDescent="0.25">
      <c r="A963" s="59">
        <f t="shared" si="102"/>
        <v>1900</v>
      </c>
      <c r="B963" s="59">
        <f t="shared" si="103"/>
        <v>1</v>
      </c>
      <c r="C963" s="60"/>
      <c r="D963" s="61"/>
      <c r="F963" s="23" t="e">
        <f>VLOOKUP(E963,Customers[],2,FALSE)</f>
        <v>#N/A</v>
      </c>
      <c r="G963" s="23" t="e">
        <f>VLOOKUP(E963,Customers[],3,FALSE)</f>
        <v>#N/A</v>
      </c>
      <c r="H963" s="23" t="e">
        <f>VLOOKUP(E963,Customers[],4,FALSE)</f>
        <v>#N/A</v>
      </c>
      <c r="J963" s="29" t="e">
        <f>VLOOKUP(I963,PGStock[],2,FALSE)</f>
        <v>#N/A</v>
      </c>
      <c r="K963" s="30" t="e">
        <f>VLOOKUP(I963,PGStock[],3,FALSE)</f>
        <v>#N/A</v>
      </c>
      <c r="M963" s="62" t="e">
        <f>VLOOKUP(I963,PGStock[],6,FALSE)</f>
        <v>#N/A</v>
      </c>
      <c r="N963" s="62" t="e">
        <f>+Table8[[#This Row],[SalesBot]]*Table8[[#This Row],[Bonus]]</f>
        <v>#N/A</v>
      </c>
    </row>
    <row r="964" spans="1:14" ht="23.25" customHeight="1" x14ac:dyDescent="0.25">
      <c r="A964" s="59">
        <f t="shared" si="102"/>
        <v>1900</v>
      </c>
      <c r="B964" s="59">
        <f t="shared" si="103"/>
        <v>1</v>
      </c>
      <c r="C964" s="60"/>
      <c r="D964" s="61"/>
      <c r="F964" s="23" t="e">
        <f>VLOOKUP(E964,Customers[],2,FALSE)</f>
        <v>#N/A</v>
      </c>
      <c r="G964" s="23" t="e">
        <f>VLOOKUP(E964,Customers[],3,FALSE)</f>
        <v>#N/A</v>
      </c>
      <c r="H964" s="23" t="e">
        <f>VLOOKUP(E964,Customers[],4,FALSE)</f>
        <v>#N/A</v>
      </c>
      <c r="J964" s="29" t="e">
        <f>VLOOKUP(I964,PGStock[],2,FALSE)</f>
        <v>#N/A</v>
      </c>
      <c r="K964" s="30" t="e">
        <f>VLOOKUP(I964,PGStock[],3,FALSE)</f>
        <v>#N/A</v>
      </c>
      <c r="M964" s="62" t="e">
        <f>VLOOKUP(I964,PGStock[],6,FALSE)</f>
        <v>#N/A</v>
      </c>
      <c r="N964" s="62" t="e">
        <f>+Table8[[#This Row],[SalesBot]]*Table8[[#This Row],[Bonus]]</f>
        <v>#N/A</v>
      </c>
    </row>
    <row r="965" spans="1:14" ht="23.25" customHeight="1" x14ac:dyDescent="0.25">
      <c r="A965" s="59">
        <f t="shared" ref="A965:A996" si="104">YEAR(C965)</f>
        <v>1900</v>
      </c>
      <c r="B965" s="59">
        <f t="shared" ref="B965:B996" si="105">MONTH(C965)</f>
        <v>1</v>
      </c>
      <c r="C965" s="60"/>
      <c r="D965" s="61"/>
      <c r="F965" s="23" t="e">
        <f>VLOOKUP(E965,Customers[],2,FALSE)</f>
        <v>#N/A</v>
      </c>
      <c r="G965" s="23" t="e">
        <f>VLOOKUP(E965,Customers[],3,FALSE)</f>
        <v>#N/A</v>
      </c>
      <c r="H965" s="23" t="e">
        <f>VLOOKUP(E965,Customers[],4,FALSE)</f>
        <v>#N/A</v>
      </c>
      <c r="J965" s="29" t="e">
        <f>VLOOKUP(I965,PGStock[],2,FALSE)</f>
        <v>#N/A</v>
      </c>
      <c r="K965" s="30" t="e">
        <f>VLOOKUP(I965,PGStock[],3,FALSE)</f>
        <v>#N/A</v>
      </c>
      <c r="M965" s="62" t="e">
        <f>VLOOKUP(I965,PGStock[],6,FALSE)</f>
        <v>#N/A</v>
      </c>
      <c r="N965" s="62" t="e">
        <f>+Table8[[#This Row],[SalesBot]]*Table8[[#This Row],[Bonus]]</f>
        <v>#N/A</v>
      </c>
    </row>
    <row r="966" spans="1:14" ht="23.25" customHeight="1" x14ac:dyDescent="0.25">
      <c r="A966" s="59">
        <f t="shared" si="104"/>
        <v>1900</v>
      </c>
      <c r="B966" s="59">
        <f t="shared" si="105"/>
        <v>1</v>
      </c>
      <c r="C966" s="60"/>
      <c r="D966" s="61"/>
      <c r="F966" s="23" t="e">
        <f>VLOOKUP(E966,Customers[],2,FALSE)</f>
        <v>#N/A</v>
      </c>
      <c r="G966" s="23" t="e">
        <f>VLOOKUP(E966,Customers[],3,FALSE)</f>
        <v>#N/A</v>
      </c>
      <c r="H966" s="23" t="e">
        <f>VLOOKUP(E966,Customers[],4,FALSE)</f>
        <v>#N/A</v>
      </c>
      <c r="J966" s="29" t="e">
        <f>VLOOKUP(I966,PGStock[],2,FALSE)</f>
        <v>#N/A</v>
      </c>
      <c r="K966" s="30" t="e">
        <f>VLOOKUP(I966,PGStock[],3,FALSE)</f>
        <v>#N/A</v>
      </c>
      <c r="M966" s="62" t="e">
        <f>VLOOKUP(I966,PGStock[],6,FALSE)</f>
        <v>#N/A</v>
      </c>
      <c r="N966" s="62" t="e">
        <f>+Table8[[#This Row],[SalesBot]]*Table8[[#This Row],[Bonus]]</f>
        <v>#N/A</v>
      </c>
    </row>
    <row r="967" spans="1:14" ht="23.25" customHeight="1" x14ac:dyDescent="0.25">
      <c r="A967" s="59">
        <f t="shared" si="104"/>
        <v>1900</v>
      </c>
      <c r="B967" s="59">
        <f t="shared" si="105"/>
        <v>1</v>
      </c>
      <c r="C967" s="60"/>
      <c r="D967" s="61"/>
      <c r="F967" s="23" t="e">
        <f>VLOOKUP(E967,Customers[],2,FALSE)</f>
        <v>#N/A</v>
      </c>
      <c r="G967" s="23" t="e">
        <f>VLOOKUP(E967,Customers[],3,FALSE)</f>
        <v>#N/A</v>
      </c>
      <c r="H967" s="23" t="e">
        <f>VLOOKUP(E967,Customers[],4,FALSE)</f>
        <v>#N/A</v>
      </c>
      <c r="J967" s="29" t="e">
        <f>VLOOKUP(I967,PGStock[],2,FALSE)</f>
        <v>#N/A</v>
      </c>
      <c r="K967" s="30" t="e">
        <f>VLOOKUP(I967,PGStock[],3,FALSE)</f>
        <v>#N/A</v>
      </c>
      <c r="M967" s="62" t="e">
        <f>VLOOKUP(I967,PGStock[],6,FALSE)</f>
        <v>#N/A</v>
      </c>
      <c r="N967" s="62" t="e">
        <f>+Table8[[#This Row],[SalesBot]]*Table8[[#This Row],[Bonus]]</f>
        <v>#N/A</v>
      </c>
    </row>
    <row r="968" spans="1:14" ht="23.25" customHeight="1" x14ac:dyDescent="0.25">
      <c r="A968" s="59">
        <f t="shared" si="104"/>
        <v>1900</v>
      </c>
      <c r="B968" s="59">
        <f t="shared" si="105"/>
        <v>1</v>
      </c>
      <c r="C968" s="60"/>
      <c r="D968" s="61"/>
      <c r="F968" s="23" t="e">
        <f>VLOOKUP(E968,Customers[],2,FALSE)</f>
        <v>#N/A</v>
      </c>
      <c r="G968" s="23" t="e">
        <f>VLOOKUP(E968,Customers[],3,FALSE)</f>
        <v>#N/A</v>
      </c>
      <c r="H968" s="23" t="e">
        <f>VLOOKUP(E968,Customers[],4,FALSE)</f>
        <v>#N/A</v>
      </c>
      <c r="J968" s="29" t="e">
        <f>VLOOKUP(I968,PGStock[],2,FALSE)</f>
        <v>#N/A</v>
      </c>
      <c r="K968" s="30" t="e">
        <f>VLOOKUP(I968,PGStock[],3,FALSE)</f>
        <v>#N/A</v>
      </c>
      <c r="M968" s="62" t="e">
        <f>VLOOKUP(I968,PGStock[],6,FALSE)</f>
        <v>#N/A</v>
      </c>
      <c r="N968" s="62" t="e">
        <f>+Table8[[#This Row],[SalesBot]]*Table8[[#This Row],[Bonus]]</f>
        <v>#N/A</v>
      </c>
    </row>
    <row r="969" spans="1:14" ht="23.25" customHeight="1" x14ac:dyDescent="0.25">
      <c r="A969" s="59">
        <f t="shared" si="104"/>
        <v>1900</v>
      </c>
      <c r="B969" s="59">
        <f t="shared" si="105"/>
        <v>1</v>
      </c>
      <c r="C969" s="60"/>
      <c r="D969" s="61"/>
      <c r="F969" s="23" t="e">
        <f>VLOOKUP(E969,Customers[],2,FALSE)</f>
        <v>#N/A</v>
      </c>
      <c r="G969" s="23" t="e">
        <f>VLOOKUP(E969,Customers[],3,FALSE)</f>
        <v>#N/A</v>
      </c>
      <c r="H969" s="23" t="e">
        <f>VLOOKUP(E969,Customers[],4,FALSE)</f>
        <v>#N/A</v>
      </c>
      <c r="J969" s="29" t="e">
        <f>VLOOKUP(I969,PGStock[],2,FALSE)</f>
        <v>#N/A</v>
      </c>
      <c r="K969" s="30" t="e">
        <f>VLOOKUP(I969,PGStock[],3,FALSE)</f>
        <v>#N/A</v>
      </c>
      <c r="M969" s="62" t="e">
        <f>VLOOKUP(I969,PGStock[],6,FALSE)</f>
        <v>#N/A</v>
      </c>
      <c r="N969" s="62" t="e">
        <f>+Table8[[#This Row],[SalesBot]]*Table8[[#This Row],[Bonus]]</f>
        <v>#N/A</v>
      </c>
    </row>
    <row r="970" spans="1:14" ht="23.25" customHeight="1" x14ac:dyDescent="0.25">
      <c r="A970" s="59">
        <f t="shared" si="104"/>
        <v>1900</v>
      </c>
      <c r="B970" s="59">
        <f t="shared" si="105"/>
        <v>1</v>
      </c>
      <c r="C970" s="60"/>
      <c r="D970" s="61"/>
      <c r="F970" s="23" t="e">
        <f>VLOOKUP(E970,Customers[],2,FALSE)</f>
        <v>#N/A</v>
      </c>
      <c r="G970" s="23" t="e">
        <f>VLOOKUP(E970,Customers[],3,FALSE)</f>
        <v>#N/A</v>
      </c>
      <c r="H970" s="23" t="e">
        <f>VLOOKUP(E970,Customers[],4,FALSE)</f>
        <v>#N/A</v>
      </c>
      <c r="J970" s="29" t="e">
        <f>VLOOKUP(I970,PGStock[],2,FALSE)</f>
        <v>#N/A</v>
      </c>
      <c r="K970" s="30" t="e">
        <f>VLOOKUP(I970,PGStock[],3,FALSE)</f>
        <v>#N/A</v>
      </c>
      <c r="M970" s="62" t="e">
        <f>VLOOKUP(I970,PGStock[],6,FALSE)</f>
        <v>#N/A</v>
      </c>
      <c r="N970" s="62" t="e">
        <f>+Table8[[#This Row],[SalesBot]]*Table8[[#This Row],[Bonus]]</f>
        <v>#N/A</v>
      </c>
    </row>
    <row r="971" spans="1:14" ht="23.25" customHeight="1" x14ac:dyDescent="0.25">
      <c r="A971" s="59">
        <f t="shared" si="104"/>
        <v>1900</v>
      </c>
      <c r="B971" s="59">
        <f t="shared" si="105"/>
        <v>1</v>
      </c>
      <c r="C971" s="60"/>
      <c r="D971" s="61"/>
      <c r="F971" s="23" t="e">
        <f>VLOOKUP(E971,Customers[],2,FALSE)</f>
        <v>#N/A</v>
      </c>
      <c r="G971" s="23" t="e">
        <f>VLOOKUP(E971,Customers[],3,FALSE)</f>
        <v>#N/A</v>
      </c>
      <c r="H971" s="23" t="e">
        <f>VLOOKUP(E971,Customers[],4,FALSE)</f>
        <v>#N/A</v>
      </c>
      <c r="J971" s="29" t="e">
        <f>VLOOKUP(I971,PGStock[],2,FALSE)</f>
        <v>#N/A</v>
      </c>
      <c r="K971" s="30" t="e">
        <f>VLOOKUP(I971,PGStock[],3,FALSE)</f>
        <v>#N/A</v>
      </c>
      <c r="M971" s="62" t="e">
        <f>VLOOKUP(I971,PGStock[],6,FALSE)</f>
        <v>#N/A</v>
      </c>
      <c r="N971" s="62" t="e">
        <f>+Table8[[#This Row],[SalesBot]]*Table8[[#This Row],[Bonus]]</f>
        <v>#N/A</v>
      </c>
    </row>
    <row r="972" spans="1:14" ht="23.25" customHeight="1" x14ac:dyDescent="0.25">
      <c r="A972" s="59">
        <f t="shared" si="104"/>
        <v>1900</v>
      </c>
      <c r="B972" s="59">
        <f t="shared" si="105"/>
        <v>1</v>
      </c>
      <c r="C972" s="60"/>
      <c r="D972" s="61"/>
      <c r="F972" s="23" t="e">
        <f>VLOOKUP(E972,Customers[],2,FALSE)</f>
        <v>#N/A</v>
      </c>
      <c r="G972" s="23" t="e">
        <f>VLOOKUP(E972,Customers[],3,FALSE)</f>
        <v>#N/A</v>
      </c>
      <c r="H972" s="23" t="e">
        <f>VLOOKUP(E972,Customers[],4,FALSE)</f>
        <v>#N/A</v>
      </c>
      <c r="J972" s="29" t="e">
        <f>VLOOKUP(I972,PGStock[],2,FALSE)</f>
        <v>#N/A</v>
      </c>
      <c r="K972" s="30" t="e">
        <f>VLOOKUP(I972,PGStock[],3,FALSE)</f>
        <v>#N/A</v>
      </c>
      <c r="M972" s="62" t="e">
        <f>VLOOKUP(I972,PGStock[],6,FALSE)</f>
        <v>#N/A</v>
      </c>
      <c r="N972" s="62" t="e">
        <f>+Table8[[#This Row],[SalesBot]]*Table8[[#This Row],[Bonus]]</f>
        <v>#N/A</v>
      </c>
    </row>
    <row r="973" spans="1:14" ht="23.25" customHeight="1" x14ac:dyDescent="0.25">
      <c r="A973" s="59">
        <f t="shared" si="104"/>
        <v>1900</v>
      </c>
      <c r="B973" s="59">
        <f t="shared" si="105"/>
        <v>1</v>
      </c>
      <c r="C973" s="60"/>
      <c r="D973" s="61"/>
      <c r="F973" s="23" t="e">
        <f>VLOOKUP(E973,Customers[],2,FALSE)</f>
        <v>#N/A</v>
      </c>
      <c r="G973" s="23" t="e">
        <f>VLOOKUP(E973,Customers[],3,FALSE)</f>
        <v>#N/A</v>
      </c>
      <c r="H973" s="23" t="e">
        <f>VLOOKUP(E973,Customers[],4,FALSE)</f>
        <v>#N/A</v>
      </c>
      <c r="J973" s="29" t="e">
        <f>VLOOKUP(I973,PGStock[],2,FALSE)</f>
        <v>#N/A</v>
      </c>
      <c r="K973" s="30" t="e">
        <f>VLOOKUP(I973,PGStock[],3,FALSE)</f>
        <v>#N/A</v>
      </c>
      <c r="M973" s="62" t="e">
        <f>VLOOKUP(I973,PGStock[],6,FALSE)</f>
        <v>#N/A</v>
      </c>
      <c r="N973" s="62" t="e">
        <f>+Table8[[#This Row],[SalesBot]]*Table8[[#This Row],[Bonus]]</f>
        <v>#N/A</v>
      </c>
    </row>
    <row r="974" spans="1:14" ht="23.25" customHeight="1" x14ac:dyDescent="0.25">
      <c r="A974" s="59">
        <f t="shared" si="104"/>
        <v>1900</v>
      </c>
      <c r="B974" s="59">
        <f t="shared" si="105"/>
        <v>1</v>
      </c>
      <c r="C974" s="60"/>
      <c r="D974" s="61"/>
      <c r="F974" s="23" t="e">
        <f>VLOOKUP(E974,Customers[],2,FALSE)</f>
        <v>#N/A</v>
      </c>
      <c r="G974" s="23" t="e">
        <f>VLOOKUP(E974,Customers[],3,FALSE)</f>
        <v>#N/A</v>
      </c>
      <c r="H974" s="23" t="e">
        <f>VLOOKUP(E974,Customers[],4,FALSE)</f>
        <v>#N/A</v>
      </c>
      <c r="J974" s="29" t="e">
        <f>VLOOKUP(I974,PGStock[],2,FALSE)</f>
        <v>#N/A</v>
      </c>
      <c r="K974" s="30" t="e">
        <f>VLOOKUP(I974,PGStock[],3,FALSE)</f>
        <v>#N/A</v>
      </c>
      <c r="M974" s="62" t="e">
        <f>VLOOKUP(I974,PGStock[],6,FALSE)</f>
        <v>#N/A</v>
      </c>
      <c r="N974" s="62" t="e">
        <f>+Table8[[#This Row],[SalesBot]]*Table8[[#This Row],[Bonus]]</f>
        <v>#N/A</v>
      </c>
    </row>
    <row r="975" spans="1:14" ht="23.25" customHeight="1" x14ac:dyDescent="0.25">
      <c r="A975" s="59">
        <f t="shared" si="104"/>
        <v>1900</v>
      </c>
      <c r="B975" s="59">
        <f t="shared" si="105"/>
        <v>1</v>
      </c>
      <c r="C975" s="60"/>
      <c r="D975" s="61"/>
      <c r="F975" s="23" t="e">
        <f>VLOOKUP(E975,Customers[],2,FALSE)</f>
        <v>#N/A</v>
      </c>
      <c r="G975" s="23" t="e">
        <f>VLOOKUP(E975,Customers[],3,FALSE)</f>
        <v>#N/A</v>
      </c>
      <c r="H975" s="23" t="e">
        <f>VLOOKUP(E975,Customers[],4,FALSE)</f>
        <v>#N/A</v>
      </c>
      <c r="J975" s="29" t="e">
        <f>VLOOKUP(I975,PGStock[],2,FALSE)</f>
        <v>#N/A</v>
      </c>
      <c r="K975" s="30" t="e">
        <f>VLOOKUP(I975,PGStock[],3,FALSE)</f>
        <v>#N/A</v>
      </c>
      <c r="M975" s="62" t="e">
        <f>VLOOKUP(I975,PGStock[],6,FALSE)</f>
        <v>#N/A</v>
      </c>
      <c r="N975" s="62" t="e">
        <f>+Table8[[#This Row],[SalesBot]]*Table8[[#This Row],[Bonus]]</f>
        <v>#N/A</v>
      </c>
    </row>
    <row r="976" spans="1:14" ht="23.25" customHeight="1" x14ac:dyDescent="0.25">
      <c r="A976" s="59">
        <f t="shared" si="104"/>
        <v>1900</v>
      </c>
      <c r="B976" s="59">
        <f t="shared" si="105"/>
        <v>1</v>
      </c>
      <c r="C976" s="60"/>
      <c r="D976" s="61"/>
      <c r="F976" s="23" t="e">
        <f>VLOOKUP(E976,Customers[],2,FALSE)</f>
        <v>#N/A</v>
      </c>
      <c r="G976" s="23" t="e">
        <f>VLOOKUP(E976,Customers[],3,FALSE)</f>
        <v>#N/A</v>
      </c>
      <c r="H976" s="23" t="e">
        <f>VLOOKUP(E976,Customers[],4,FALSE)</f>
        <v>#N/A</v>
      </c>
      <c r="J976" s="29" t="e">
        <f>VLOOKUP(I976,PGStock[],2,FALSE)</f>
        <v>#N/A</v>
      </c>
      <c r="K976" s="30" t="e">
        <f>VLOOKUP(I976,PGStock[],3,FALSE)</f>
        <v>#N/A</v>
      </c>
      <c r="M976" s="62" t="e">
        <f>VLOOKUP(I976,PGStock[],6,FALSE)</f>
        <v>#N/A</v>
      </c>
      <c r="N976" s="62" t="e">
        <f>+Table8[[#This Row],[SalesBot]]*Table8[[#This Row],[Bonus]]</f>
        <v>#N/A</v>
      </c>
    </row>
    <row r="977" spans="1:14" ht="23.25" customHeight="1" x14ac:dyDescent="0.25">
      <c r="A977" s="59">
        <f t="shared" si="104"/>
        <v>1900</v>
      </c>
      <c r="B977" s="59">
        <f t="shared" si="105"/>
        <v>1</v>
      </c>
      <c r="C977" s="60"/>
      <c r="D977" s="61"/>
      <c r="F977" s="23" t="e">
        <f>VLOOKUP(E977,Customers[],2,FALSE)</f>
        <v>#N/A</v>
      </c>
      <c r="G977" s="23" t="e">
        <f>VLOOKUP(E977,Customers[],3,FALSE)</f>
        <v>#N/A</v>
      </c>
      <c r="H977" s="23" t="e">
        <f>VLOOKUP(E977,Customers[],4,FALSE)</f>
        <v>#N/A</v>
      </c>
      <c r="J977" s="29" t="e">
        <f>VLOOKUP(I977,PGStock[],2,FALSE)</f>
        <v>#N/A</v>
      </c>
      <c r="K977" s="30" t="e">
        <f>VLOOKUP(I977,PGStock[],3,FALSE)</f>
        <v>#N/A</v>
      </c>
      <c r="M977" s="62" t="e">
        <f>VLOOKUP(I977,PGStock[],6,FALSE)</f>
        <v>#N/A</v>
      </c>
      <c r="N977" s="62" t="e">
        <f>+Table8[[#This Row],[SalesBot]]*Table8[[#This Row],[Bonus]]</f>
        <v>#N/A</v>
      </c>
    </row>
    <row r="978" spans="1:14" ht="23.25" customHeight="1" x14ac:dyDescent="0.25">
      <c r="A978" s="59">
        <f t="shared" si="104"/>
        <v>1900</v>
      </c>
      <c r="B978" s="59">
        <f t="shared" si="105"/>
        <v>1</v>
      </c>
      <c r="C978" s="60"/>
      <c r="D978" s="61"/>
      <c r="F978" s="23" t="e">
        <f>VLOOKUP(E978,Customers[],2,FALSE)</f>
        <v>#N/A</v>
      </c>
      <c r="G978" s="23" t="e">
        <f>VLOOKUP(E978,Customers[],3,FALSE)</f>
        <v>#N/A</v>
      </c>
      <c r="H978" s="23" t="e">
        <f>VLOOKUP(E978,Customers[],4,FALSE)</f>
        <v>#N/A</v>
      </c>
      <c r="J978" s="29" t="e">
        <f>VLOOKUP(I978,PGStock[],2,FALSE)</f>
        <v>#N/A</v>
      </c>
      <c r="K978" s="30" t="e">
        <f>VLOOKUP(I978,PGStock[],3,FALSE)</f>
        <v>#N/A</v>
      </c>
      <c r="M978" s="62" t="e">
        <f>VLOOKUP(I978,PGStock[],6,FALSE)</f>
        <v>#N/A</v>
      </c>
      <c r="N978" s="62" t="e">
        <f>+Table8[[#This Row],[SalesBot]]*Table8[[#This Row],[Bonus]]</f>
        <v>#N/A</v>
      </c>
    </row>
    <row r="979" spans="1:14" ht="23.25" customHeight="1" x14ac:dyDescent="0.25">
      <c r="A979" s="59">
        <f t="shared" si="104"/>
        <v>1900</v>
      </c>
      <c r="B979" s="59">
        <f t="shared" si="105"/>
        <v>1</v>
      </c>
      <c r="C979" s="60"/>
      <c r="D979" s="61"/>
      <c r="F979" s="23" t="e">
        <f>VLOOKUP(E979,Customers[],2,FALSE)</f>
        <v>#N/A</v>
      </c>
      <c r="G979" s="23" t="e">
        <f>VLOOKUP(E979,Customers[],3,FALSE)</f>
        <v>#N/A</v>
      </c>
      <c r="H979" s="23" t="e">
        <f>VLOOKUP(E979,Customers[],4,FALSE)</f>
        <v>#N/A</v>
      </c>
      <c r="J979" s="29" t="e">
        <f>VLOOKUP(I979,PGStock[],2,FALSE)</f>
        <v>#N/A</v>
      </c>
      <c r="K979" s="30" t="e">
        <f>VLOOKUP(I979,PGStock[],3,FALSE)</f>
        <v>#N/A</v>
      </c>
      <c r="M979" s="62" t="e">
        <f>VLOOKUP(I979,PGStock[],6,FALSE)</f>
        <v>#N/A</v>
      </c>
      <c r="N979" s="62" t="e">
        <f>+Table8[[#This Row],[SalesBot]]*Table8[[#This Row],[Bonus]]</f>
        <v>#N/A</v>
      </c>
    </row>
    <row r="980" spans="1:14" ht="23.25" customHeight="1" x14ac:dyDescent="0.25">
      <c r="A980" s="59">
        <f t="shared" si="104"/>
        <v>1900</v>
      </c>
      <c r="B980" s="59">
        <f t="shared" si="105"/>
        <v>1</v>
      </c>
      <c r="C980" s="60"/>
      <c r="D980" s="61"/>
      <c r="F980" s="23" t="e">
        <f>VLOOKUP(E980,Customers[],2,FALSE)</f>
        <v>#N/A</v>
      </c>
      <c r="G980" s="23" t="e">
        <f>VLOOKUP(E980,Customers[],3,FALSE)</f>
        <v>#N/A</v>
      </c>
      <c r="H980" s="23" t="e">
        <f>VLOOKUP(E980,Customers[],4,FALSE)</f>
        <v>#N/A</v>
      </c>
      <c r="J980" s="29" t="e">
        <f>VLOOKUP(I980,PGStock[],2,FALSE)</f>
        <v>#N/A</v>
      </c>
      <c r="K980" s="30" t="e">
        <f>VLOOKUP(I980,PGStock[],3,FALSE)</f>
        <v>#N/A</v>
      </c>
      <c r="M980" s="62" t="e">
        <f>VLOOKUP(I980,PGStock[],6,FALSE)</f>
        <v>#N/A</v>
      </c>
      <c r="N980" s="62" t="e">
        <f>+Table8[[#This Row],[SalesBot]]*Table8[[#This Row],[Bonus]]</f>
        <v>#N/A</v>
      </c>
    </row>
    <row r="981" spans="1:14" ht="23.25" customHeight="1" x14ac:dyDescent="0.25">
      <c r="A981" s="59">
        <f t="shared" si="104"/>
        <v>1900</v>
      </c>
      <c r="B981" s="59">
        <f t="shared" si="105"/>
        <v>1</v>
      </c>
      <c r="C981" s="60"/>
      <c r="D981" s="61"/>
      <c r="F981" s="23" t="e">
        <f>VLOOKUP(E981,Customers[],2,FALSE)</f>
        <v>#N/A</v>
      </c>
      <c r="G981" s="23" t="e">
        <f>VLOOKUP(E981,Customers[],3,FALSE)</f>
        <v>#N/A</v>
      </c>
      <c r="H981" s="23" t="e">
        <f>VLOOKUP(E981,Customers[],4,FALSE)</f>
        <v>#N/A</v>
      </c>
      <c r="J981" s="29" t="e">
        <f>VLOOKUP(I981,PGStock[],2,FALSE)</f>
        <v>#N/A</v>
      </c>
      <c r="K981" s="30" t="e">
        <f>VLOOKUP(I981,PGStock[],3,FALSE)</f>
        <v>#N/A</v>
      </c>
      <c r="M981" s="62" t="e">
        <f>VLOOKUP(I981,PGStock[],6,FALSE)</f>
        <v>#N/A</v>
      </c>
      <c r="N981" s="62" t="e">
        <f>+Table8[[#This Row],[SalesBot]]*Table8[[#This Row],[Bonus]]</f>
        <v>#N/A</v>
      </c>
    </row>
    <row r="982" spans="1:14" ht="23.25" customHeight="1" x14ac:dyDescent="0.25">
      <c r="A982" s="59">
        <f t="shared" si="104"/>
        <v>1900</v>
      </c>
      <c r="B982" s="59">
        <f t="shared" si="105"/>
        <v>1</v>
      </c>
      <c r="C982" s="60"/>
      <c r="D982" s="61"/>
      <c r="F982" s="23" t="e">
        <f>VLOOKUP(E982,Customers[],2,FALSE)</f>
        <v>#N/A</v>
      </c>
      <c r="G982" s="23" t="e">
        <f>VLOOKUP(E982,Customers[],3,FALSE)</f>
        <v>#N/A</v>
      </c>
      <c r="H982" s="23" t="e">
        <f>VLOOKUP(E982,Customers[],4,FALSE)</f>
        <v>#N/A</v>
      </c>
      <c r="J982" s="29" t="e">
        <f>VLOOKUP(I982,PGStock[],2,FALSE)</f>
        <v>#N/A</v>
      </c>
      <c r="K982" s="30" t="e">
        <f>VLOOKUP(I982,PGStock[],3,FALSE)</f>
        <v>#N/A</v>
      </c>
      <c r="M982" s="62" t="e">
        <f>VLOOKUP(I982,PGStock[],6,FALSE)</f>
        <v>#N/A</v>
      </c>
      <c r="N982" s="62" t="e">
        <f>+Table8[[#This Row],[SalesBot]]*Table8[[#This Row],[Bonus]]</f>
        <v>#N/A</v>
      </c>
    </row>
    <row r="983" spans="1:14" ht="23.25" customHeight="1" x14ac:dyDescent="0.25">
      <c r="A983" s="59">
        <f t="shared" si="104"/>
        <v>1900</v>
      </c>
      <c r="B983" s="59">
        <f t="shared" si="105"/>
        <v>1</v>
      </c>
      <c r="C983" s="60"/>
      <c r="D983" s="61"/>
      <c r="F983" s="23" t="e">
        <f>VLOOKUP(E983,Customers[],2,FALSE)</f>
        <v>#N/A</v>
      </c>
      <c r="G983" s="23" t="e">
        <f>VLOOKUP(E983,Customers[],3,FALSE)</f>
        <v>#N/A</v>
      </c>
      <c r="H983" s="23" t="e">
        <f>VLOOKUP(E983,Customers[],4,FALSE)</f>
        <v>#N/A</v>
      </c>
      <c r="J983" s="29" t="e">
        <f>VLOOKUP(I983,PGStock[],2,FALSE)</f>
        <v>#N/A</v>
      </c>
      <c r="K983" s="30" t="e">
        <f>VLOOKUP(I983,PGStock[],3,FALSE)</f>
        <v>#N/A</v>
      </c>
      <c r="M983" s="62" t="e">
        <f>VLOOKUP(I983,PGStock[],6,FALSE)</f>
        <v>#N/A</v>
      </c>
      <c r="N983" s="62" t="e">
        <f>+Table8[[#This Row],[SalesBot]]*Table8[[#This Row],[Bonus]]</f>
        <v>#N/A</v>
      </c>
    </row>
    <row r="984" spans="1:14" ht="23.25" customHeight="1" x14ac:dyDescent="0.25">
      <c r="A984" s="59">
        <f t="shared" si="104"/>
        <v>1900</v>
      </c>
      <c r="B984" s="59">
        <f t="shared" si="105"/>
        <v>1</v>
      </c>
      <c r="C984" s="60"/>
      <c r="D984" s="61"/>
      <c r="F984" s="23" t="e">
        <f>VLOOKUP(E984,Customers[],2,FALSE)</f>
        <v>#N/A</v>
      </c>
      <c r="G984" s="23" t="e">
        <f>VLOOKUP(E984,Customers[],3,FALSE)</f>
        <v>#N/A</v>
      </c>
      <c r="H984" s="23" t="e">
        <f>VLOOKUP(E984,Customers[],4,FALSE)</f>
        <v>#N/A</v>
      </c>
      <c r="J984" s="29" t="e">
        <f>VLOOKUP(I984,PGStock[],2,FALSE)</f>
        <v>#N/A</v>
      </c>
      <c r="K984" s="30" t="e">
        <f>VLOOKUP(I984,PGStock[],3,FALSE)</f>
        <v>#N/A</v>
      </c>
      <c r="M984" s="62" t="e">
        <f>VLOOKUP(I984,PGStock[],6,FALSE)</f>
        <v>#N/A</v>
      </c>
      <c r="N984" s="62" t="e">
        <f>+Table8[[#This Row],[SalesBot]]*Table8[[#This Row],[Bonus]]</f>
        <v>#N/A</v>
      </c>
    </row>
    <row r="985" spans="1:14" ht="23.25" customHeight="1" x14ac:dyDescent="0.25">
      <c r="A985" s="59">
        <f t="shared" si="104"/>
        <v>1900</v>
      </c>
      <c r="B985" s="59">
        <f t="shared" si="105"/>
        <v>1</v>
      </c>
      <c r="C985" s="60"/>
      <c r="D985" s="61"/>
      <c r="F985" s="23" t="e">
        <f>VLOOKUP(E985,Customers[],2,FALSE)</f>
        <v>#N/A</v>
      </c>
      <c r="G985" s="23" t="e">
        <f>VLOOKUP(E985,Customers[],3,FALSE)</f>
        <v>#N/A</v>
      </c>
      <c r="H985" s="23" t="e">
        <f>VLOOKUP(E985,Customers[],4,FALSE)</f>
        <v>#N/A</v>
      </c>
      <c r="J985" s="29" t="e">
        <f>VLOOKUP(I985,PGStock[],2,FALSE)</f>
        <v>#N/A</v>
      </c>
      <c r="K985" s="30" t="e">
        <f>VLOOKUP(I985,PGStock[],3,FALSE)</f>
        <v>#N/A</v>
      </c>
      <c r="M985" s="62" t="e">
        <f>VLOOKUP(I985,PGStock[],6,FALSE)</f>
        <v>#N/A</v>
      </c>
      <c r="N985" s="62" t="e">
        <f>+Table8[[#This Row],[SalesBot]]*Table8[[#This Row],[Bonus]]</f>
        <v>#N/A</v>
      </c>
    </row>
    <row r="986" spans="1:14" ht="23.25" customHeight="1" x14ac:dyDescent="0.25">
      <c r="A986" s="59">
        <f t="shared" si="104"/>
        <v>1900</v>
      </c>
      <c r="B986" s="59">
        <f t="shared" si="105"/>
        <v>1</v>
      </c>
      <c r="C986" s="60"/>
      <c r="D986" s="61"/>
      <c r="F986" s="23" t="e">
        <f>VLOOKUP(E986,Customers[],2,FALSE)</f>
        <v>#N/A</v>
      </c>
      <c r="G986" s="23" t="e">
        <f>VLOOKUP(E986,Customers[],3,FALSE)</f>
        <v>#N/A</v>
      </c>
      <c r="H986" s="23" t="e">
        <f>VLOOKUP(E986,Customers[],4,FALSE)</f>
        <v>#N/A</v>
      </c>
      <c r="J986" s="29" t="e">
        <f>VLOOKUP(I986,PGStock[],2,FALSE)</f>
        <v>#N/A</v>
      </c>
      <c r="K986" s="30" t="e">
        <f>VLOOKUP(I986,PGStock[],3,FALSE)</f>
        <v>#N/A</v>
      </c>
      <c r="M986" s="62" t="e">
        <f>VLOOKUP(I986,PGStock[],6,FALSE)</f>
        <v>#N/A</v>
      </c>
      <c r="N986" s="62" t="e">
        <f>+Table8[[#This Row],[SalesBot]]*Table8[[#This Row],[Bonus]]</f>
        <v>#N/A</v>
      </c>
    </row>
    <row r="987" spans="1:14" ht="23.25" customHeight="1" x14ac:dyDescent="0.25">
      <c r="A987" s="59">
        <f t="shared" si="104"/>
        <v>1900</v>
      </c>
      <c r="B987" s="59">
        <f t="shared" si="105"/>
        <v>1</v>
      </c>
      <c r="C987" s="60"/>
      <c r="D987" s="61"/>
      <c r="F987" s="23" t="e">
        <f>VLOOKUP(E987,Customers[],2,FALSE)</f>
        <v>#N/A</v>
      </c>
      <c r="G987" s="23" t="e">
        <f>VLOOKUP(E987,Customers[],3,FALSE)</f>
        <v>#N/A</v>
      </c>
      <c r="H987" s="23" t="e">
        <f>VLOOKUP(E987,Customers[],4,FALSE)</f>
        <v>#N/A</v>
      </c>
      <c r="J987" s="29" t="e">
        <f>VLOOKUP(I987,PGStock[],2,FALSE)</f>
        <v>#N/A</v>
      </c>
      <c r="K987" s="30" t="e">
        <f>VLOOKUP(I987,PGStock[],3,FALSE)</f>
        <v>#N/A</v>
      </c>
      <c r="M987" s="62" t="e">
        <f>VLOOKUP(I987,PGStock[],6,FALSE)</f>
        <v>#N/A</v>
      </c>
      <c r="N987" s="62" t="e">
        <f>+Table8[[#This Row],[SalesBot]]*Table8[[#This Row],[Bonus]]</f>
        <v>#N/A</v>
      </c>
    </row>
    <row r="988" spans="1:14" ht="23.25" customHeight="1" x14ac:dyDescent="0.25">
      <c r="A988" s="59">
        <f t="shared" si="104"/>
        <v>1900</v>
      </c>
      <c r="B988" s="59">
        <f t="shared" si="105"/>
        <v>1</v>
      </c>
      <c r="C988" s="60"/>
      <c r="D988" s="61"/>
      <c r="F988" s="23" t="e">
        <f>VLOOKUP(E988,Customers[],2,FALSE)</f>
        <v>#N/A</v>
      </c>
      <c r="G988" s="23" t="e">
        <f>VLOOKUP(E988,Customers[],3,FALSE)</f>
        <v>#N/A</v>
      </c>
      <c r="H988" s="23" t="e">
        <f>VLOOKUP(E988,Customers[],4,FALSE)</f>
        <v>#N/A</v>
      </c>
      <c r="J988" s="29" t="e">
        <f>VLOOKUP(I988,PGStock[],2,FALSE)</f>
        <v>#N/A</v>
      </c>
      <c r="K988" s="30" t="e">
        <f>VLOOKUP(I988,PGStock[],3,FALSE)</f>
        <v>#N/A</v>
      </c>
      <c r="M988" s="62" t="e">
        <f>VLOOKUP(I988,PGStock[],6,FALSE)</f>
        <v>#N/A</v>
      </c>
      <c r="N988" s="62" t="e">
        <f>+Table8[[#This Row],[SalesBot]]*Table8[[#This Row],[Bonus]]</f>
        <v>#N/A</v>
      </c>
    </row>
    <row r="989" spans="1:14" ht="23.25" customHeight="1" x14ac:dyDescent="0.25">
      <c r="A989" s="59">
        <f t="shared" si="104"/>
        <v>1900</v>
      </c>
      <c r="B989" s="59">
        <f t="shared" si="105"/>
        <v>1</v>
      </c>
      <c r="C989" s="60"/>
      <c r="D989" s="61"/>
      <c r="F989" s="23" t="e">
        <f>VLOOKUP(E989,Customers[],2,FALSE)</f>
        <v>#N/A</v>
      </c>
      <c r="G989" s="23" t="e">
        <f>VLOOKUP(E989,Customers[],3,FALSE)</f>
        <v>#N/A</v>
      </c>
      <c r="H989" s="23" t="e">
        <f>VLOOKUP(E989,Customers[],4,FALSE)</f>
        <v>#N/A</v>
      </c>
      <c r="J989" s="29" t="e">
        <f>VLOOKUP(I989,PGStock[],2,FALSE)</f>
        <v>#N/A</v>
      </c>
      <c r="K989" s="30" t="e">
        <f>VLOOKUP(I989,PGStock[],3,FALSE)</f>
        <v>#N/A</v>
      </c>
      <c r="M989" s="62" t="e">
        <f>VLOOKUP(I989,PGStock[],6,FALSE)</f>
        <v>#N/A</v>
      </c>
      <c r="N989" s="62" t="e">
        <f>+Table8[[#This Row],[SalesBot]]*Table8[[#This Row],[Bonus]]</f>
        <v>#N/A</v>
      </c>
    </row>
    <row r="990" spans="1:14" ht="23.25" customHeight="1" x14ac:dyDescent="0.25">
      <c r="A990" s="59">
        <f t="shared" si="104"/>
        <v>1900</v>
      </c>
      <c r="B990" s="59">
        <f t="shared" si="105"/>
        <v>1</v>
      </c>
      <c r="C990" s="60"/>
      <c r="D990" s="61"/>
      <c r="F990" s="23" t="e">
        <f>VLOOKUP(E990,Customers[],2,FALSE)</f>
        <v>#N/A</v>
      </c>
      <c r="G990" s="23" t="e">
        <f>VLOOKUP(E990,Customers[],3,FALSE)</f>
        <v>#N/A</v>
      </c>
      <c r="H990" s="23" t="e">
        <f>VLOOKUP(E990,Customers[],4,FALSE)</f>
        <v>#N/A</v>
      </c>
      <c r="J990" s="29" t="e">
        <f>VLOOKUP(I990,PGStock[],2,FALSE)</f>
        <v>#N/A</v>
      </c>
      <c r="K990" s="30" t="e">
        <f>VLOOKUP(I990,PGStock[],3,FALSE)</f>
        <v>#N/A</v>
      </c>
      <c r="M990" s="62" t="e">
        <f>VLOOKUP(I990,PGStock[],6,FALSE)</f>
        <v>#N/A</v>
      </c>
      <c r="N990" s="62" t="e">
        <f>+Table8[[#This Row],[SalesBot]]*Table8[[#This Row],[Bonus]]</f>
        <v>#N/A</v>
      </c>
    </row>
    <row r="991" spans="1:14" ht="23.25" customHeight="1" x14ac:dyDescent="0.25">
      <c r="A991" s="59">
        <f t="shared" si="104"/>
        <v>1900</v>
      </c>
      <c r="B991" s="59">
        <f t="shared" si="105"/>
        <v>1</v>
      </c>
      <c r="C991" s="60"/>
      <c r="D991" s="61"/>
      <c r="F991" s="23" t="e">
        <f>VLOOKUP(E991,Customers[],2,FALSE)</f>
        <v>#N/A</v>
      </c>
      <c r="G991" s="23" t="e">
        <f>VLOOKUP(E991,Customers[],3,FALSE)</f>
        <v>#N/A</v>
      </c>
      <c r="H991" s="23" t="e">
        <f>VLOOKUP(E991,Customers[],4,FALSE)</f>
        <v>#N/A</v>
      </c>
      <c r="J991" s="29" t="e">
        <f>VLOOKUP(I991,PGStock[],2,FALSE)</f>
        <v>#N/A</v>
      </c>
      <c r="K991" s="30" t="e">
        <f>VLOOKUP(I991,PGStock[],3,FALSE)</f>
        <v>#N/A</v>
      </c>
      <c r="M991" s="62" t="e">
        <f>VLOOKUP(I991,PGStock[],6,FALSE)</f>
        <v>#N/A</v>
      </c>
      <c r="N991" s="62" t="e">
        <f>+Table8[[#This Row],[SalesBot]]*Table8[[#This Row],[Bonus]]</f>
        <v>#N/A</v>
      </c>
    </row>
    <row r="992" spans="1:14" ht="23.25" customHeight="1" x14ac:dyDescent="0.25">
      <c r="A992" s="59">
        <f t="shared" si="104"/>
        <v>1900</v>
      </c>
      <c r="B992" s="59">
        <f t="shared" si="105"/>
        <v>1</v>
      </c>
      <c r="C992" s="60"/>
      <c r="D992" s="61"/>
      <c r="F992" s="23" t="e">
        <f>VLOOKUP(E992,Customers[],2,FALSE)</f>
        <v>#N/A</v>
      </c>
      <c r="G992" s="23" t="e">
        <f>VLOOKUP(E992,Customers[],3,FALSE)</f>
        <v>#N/A</v>
      </c>
      <c r="H992" s="23" t="e">
        <f>VLOOKUP(E992,Customers[],4,FALSE)</f>
        <v>#N/A</v>
      </c>
      <c r="J992" s="29" t="e">
        <f>VLOOKUP(I992,PGStock[],2,FALSE)</f>
        <v>#N/A</v>
      </c>
      <c r="K992" s="30" t="e">
        <f>VLOOKUP(I992,PGStock[],3,FALSE)</f>
        <v>#N/A</v>
      </c>
      <c r="M992" s="62" t="e">
        <f>VLOOKUP(I992,PGStock[],6,FALSE)</f>
        <v>#N/A</v>
      </c>
      <c r="N992" s="62" t="e">
        <f>+Table8[[#This Row],[SalesBot]]*Table8[[#This Row],[Bonus]]</f>
        <v>#N/A</v>
      </c>
    </row>
    <row r="993" spans="1:14" ht="23.25" customHeight="1" x14ac:dyDescent="0.25">
      <c r="A993" s="59">
        <f t="shared" si="104"/>
        <v>1900</v>
      </c>
      <c r="B993" s="59">
        <f t="shared" si="105"/>
        <v>1</v>
      </c>
      <c r="C993" s="60"/>
      <c r="D993" s="61"/>
      <c r="F993" s="23" t="e">
        <f>VLOOKUP(E993,Customers[],2,FALSE)</f>
        <v>#N/A</v>
      </c>
      <c r="G993" s="23" t="e">
        <f>VLOOKUP(E993,Customers[],3,FALSE)</f>
        <v>#N/A</v>
      </c>
      <c r="H993" s="23" t="e">
        <f>VLOOKUP(E993,Customers[],4,FALSE)</f>
        <v>#N/A</v>
      </c>
      <c r="J993" s="29" t="e">
        <f>VLOOKUP(I993,PGStock[],2,FALSE)</f>
        <v>#N/A</v>
      </c>
      <c r="K993" s="30" t="e">
        <f>VLOOKUP(I993,PGStock[],3,FALSE)</f>
        <v>#N/A</v>
      </c>
      <c r="M993" s="62" t="e">
        <f>VLOOKUP(I993,PGStock[],6,FALSE)</f>
        <v>#N/A</v>
      </c>
      <c r="N993" s="62" t="e">
        <f>+Table8[[#This Row],[SalesBot]]*Table8[[#This Row],[Bonus]]</f>
        <v>#N/A</v>
      </c>
    </row>
    <row r="994" spans="1:14" ht="23.25" customHeight="1" x14ac:dyDescent="0.25">
      <c r="A994" s="59">
        <f t="shared" si="104"/>
        <v>1900</v>
      </c>
      <c r="B994" s="59">
        <f t="shared" si="105"/>
        <v>1</v>
      </c>
      <c r="C994" s="60"/>
      <c r="D994" s="61"/>
      <c r="F994" s="23" t="e">
        <f>VLOOKUP(E994,Customers[],2,FALSE)</f>
        <v>#N/A</v>
      </c>
      <c r="G994" s="23" t="e">
        <f>VLOOKUP(E994,Customers[],3,FALSE)</f>
        <v>#N/A</v>
      </c>
      <c r="H994" s="23" t="e">
        <f>VLOOKUP(E994,Customers[],4,FALSE)</f>
        <v>#N/A</v>
      </c>
      <c r="J994" s="29" t="e">
        <f>VLOOKUP(I994,PGStock[],2,FALSE)</f>
        <v>#N/A</v>
      </c>
      <c r="K994" s="30" t="e">
        <f>VLOOKUP(I994,PGStock[],3,FALSE)</f>
        <v>#N/A</v>
      </c>
      <c r="M994" s="62" t="e">
        <f>VLOOKUP(I994,PGStock[],6,FALSE)</f>
        <v>#N/A</v>
      </c>
      <c r="N994" s="62" t="e">
        <f>+Table8[[#This Row],[SalesBot]]*Table8[[#This Row],[Bonus]]</f>
        <v>#N/A</v>
      </c>
    </row>
    <row r="995" spans="1:14" ht="23.25" customHeight="1" x14ac:dyDescent="0.25">
      <c r="A995" s="59">
        <f t="shared" si="104"/>
        <v>1900</v>
      </c>
      <c r="B995" s="59">
        <f t="shared" si="105"/>
        <v>1</v>
      </c>
      <c r="C995" s="60"/>
      <c r="D995" s="61"/>
      <c r="F995" s="23" t="e">
        <f>VLOOKUP(E995,Customers[],2,FALSE)</f>
        <v>#N/A</v>
      </c>
      <c r="G995" s="23" t="e">
        <f>VLOOKUP(E995,Customers[],3,FALSE)</f>
        <v>#N/A</v>
      </c>
      <c r="H995" s="23" t="e">
        <f>VLOOKUP(E995,Customers[],4,FALSE)</f>
        <v>#N/A</v>
      </c>
      <c r="J995" s="29" t="e">
        <f>VLOOKUP(I995,PGStock[],2,FALSE)</f>
        <v>#N/A</v>
      </c>
      <c r="K995" s="30" t="e">
        <f>VLOOKUP(I995,PGStock[],3,FALSE)</f>
        <v>#N/A</v>
      </c>
      <c r="M995" s="62" t="e">
        <f>VLOOKUP(I995,PGStock[],6,FALSE)</f>
        <v>#N/A</v>
      </c>
      <c r="N995" s="62" t="e">
        <f>+Table8[[#This Row],[SalesBot]]*Table8[[#This Row],[Bonus]]</f>
        <v>#N/A</v>
      </c>
    </row>
    <row r="996" spans="1:14" ht="23.25" customHeight="1" x14ac:dyDescent="0.25">
      <c r="A996" s="59">
        <f t="shared" si="104"/>
        <v>1900</v>
      </c>
      <c r="B996" s="59">
        <f t="shared" si="105"/>
        <v>1</v>
      </c>
      <c r="C996" s="60"/>
      <c r="D996" s="61"/>
      <c r="F996" s="23" t="e">
        <f>VLOOKUP(E996,Customers[],2,FALSE)</f>
        <v>#N/A</v>
      </c>
      <c r="G996" s="23" t="e">
        <f>VLOOKUP(E996,Customers[],3,FALSE)</f>
        <v>#N/A</v>
      </c>
      <c r="H996" s="23" t="e">
        <f>VLOOKUP(E996,Customers[],4,FALSE)</f>
        <v>#N/A</v>
      </c>
      <c r="J996" s="29" t="e">
        <f>VLOOKUP(I996,PGStock[],2,FALSE)</f>
        <v>#N/A</v>
      </c>
      <c r="K996" s="30" t="e">
        <f>VLOOKUP(I996,PGStock[],3,FALSE)</f>
        <v>#N/A</v>
      </c>
      <c r="M996" s="62" t="e">
        <f>VLOOKUP(I996,PGStock[],6,FALSE)</f>
        <v>#N/A</v>
      </c>
      <c r="N996" s="62" t="e">
        <f>+Table8[[#This Row],[SalesBot]]*Table8[[#This Row],[Bonus]]</f>
        <v>#N/A</v>
      </c>
    </row>
    <row r="997" spans="1:14" ht="23.25" customHeight="1" x14ac:dyDescent="0.25">
      <c r="A997" s="59">
        <f t="shared" ref="A997:A1009" si="106">YEAR(C997)</f>
        <v>1900</v>
      </c>
      <c r="B997" s="59">
        <f t="shared" ref="B997:B1009" si="107">MONTH(C997)</f>
        <v>1</v>
      </c>
      <c r="C997" s="60"/>
      <c r="D997" s="61"/>
      <c r="F997" s="23" t="e">
        <f>VLOOKUP(E997,Customers[],2,FALSE)</f>
        <v>#N/A</v>
      </c>
      <c r="G997" s="23" t="e">
        <f>VLOOKUP(E997,Customers[],3,FALSE)</f>
        <v>#N/A</v>
      </c>
      <c r="H997" s="23" t="e">
        <f>VLOOKUP(E997,Customers[],4,FALSE)</f>
        <v>#N/A</v>
      </c>
      <c r="J997" s="29" t="e">
        <f>VLOOKUP(I997,PGStock[],2,FALSE)</f>
        <v>#N/A</v>
      </c>
      <c r="K997" s="30" t="e">
        <f>VLOOKUP(I997,PGStock[],3,FALSE)</f>
        <v>#N/A</v>
      </c>
      <c r="M997" s="62" t="e">
        <f>VLOOKUP(I997,PGStock[],6,FALSE)</f>
        <v>#N/A</v>
      </c>
      <c r="N997" s="62" t="e">
        <f>+Table8[[#This Row],[SalesBot]]*Table8[[#This Row],[Bonus]]</f>
        <v>#N/A</v>
      </c>
    </row>
    <row r="998" spans="1:14" ht="23.25" customHeight="1" x14ac:dyDescent="0.25">
      <c r="A998" s="59">
        <f t="shared" si="106"/>
        <v>1900</v>
      </c>
      <c r="B998" s="59">
        <f t="shared" si="107"/>
        <v>1</v>
      </c>
      <c r="C998" s="60"/>
      <c r="D998" s="61"/>
      <c r="F998" s="23" t="e">
        <f>VLOOKUP(E998,Customers[],2,FALSE)</f>
        <v>#N/A</v>
      </c>
      <c r="G998" s="23" t="e">
        <f>VLOOKUP(E998,Customers[],3,FALSE)</f>
        <v>#N/A</v>
      </c>
      <c r="H998" s="23" t="e">
        <f>VLOOKUP(E998,Customers[],4,FALSE)</f>
        <v>#N/A</v>
      </c>
      <c r="J998" s="29" t="e">
        <f>VLOOKUP(I998,PGStock[],2,FALSE)</f>
        <v>#N/A</v>
      </c>
      <c r="K998" s="30" t="e">
        <f>VLOOKUP(I998,PGStock[],3,FALSE)</f>
        <v>#N/A</v>
      </c>
      <c r="M998" s="62" t="e">
        <f>VLOOKUP(I998,PGStock[],6,FALSE)</f>
        <v>#N/A</v>
      </c>
      <c r="N998" s="62" t="e">
        <f>+Table8[[#This Row],[SalesBot]]*Table8[[#This Row],[Bonus]]</f>
        <v>#N/A</v>
      </c>
    </row>
    <row r="999" spans="1:14" ht="23.25" customHeight="1" x14ac:dyDescent="0.25">
      <c r="A999" s="59">
        <f t="shared" si="106"/>
        <v>1900</v>
      </c>
      <c r="B999" s="59">
        <f t="shared" si="107"/>
        <v>1</v>
      </c>
      <c r="C999" s="60"/>
      <c r="D999" s="61"/>
      <c r="F999" s="23" t="e">
        <f>VLOOKUP(E999,Customers[],2,FALSE)</f>
        <v>#N/A</v>
      </c>
      <c r="G999" s="23" t="e">
        <f>VLOOKUP(E999,Customers[],3,FALSE)</f>
        <v>#N/A</v>
      </c>
      <c r="H999" s="23" t="e">
        <f>VLOOKUP(E999,Customers[],4,FALSE)</f>
        <v>#N/A</v>
      </c>
      <c r="J999" s="29" t="e">
        <f>VLOOKUP(I999,PGStock[],2,FALSE)</f>
        <v>#N/A</v>
      </c>
      <c r="K999" s="30" t="e">
        <f>VLOOKUP(I999,PGStock[],3,FALSE)</f>
        <v>#N/A</v>
      </c>
      <c r="M999" s="62" t="e">
        <f>VLOOKUP(I999,PGStock[],6,FALSE)</f>
        <v>#N/A</v>
      </c>
      <c r="N999" s="62" t="e">
        <f>+Table8[[#This Row],[SalesBot]]*Table8[[#This Row],[Bonus]]</f>
        <v>#N/A</v>
      </c>
    </row>
    <row r="1000" spans="1:14" ht="23.25" customHeight="1" x14ac:dyDescent="0.25">
      <c r="A1000" s="59">
        <f t="shared" si="106"/>
        <v>1900</v>
      </c>
      <c r="B1000" s="59">
        <f t="shared" si="107"/>
        <v>1</v>
      </c>
      <c r="C1000" s="60"/>
      <c r="D1000" s="61"/>
      <c r="F1000" s="23" t="e">
        <f>VLOOKUP(E1000,Customers[],2,FALSE)</f>
        <v>#N/A</v>
      </c>
      <c r="G1000" s="23" t="e">
        <f>VLOOKUP(E1000,Customers[],3,FALSE)</f>
        <v>#N/A</v>
      </c>
      <c r="H1000" s="23" t="e">
        <f>VLOOKUP(E1000,Customers[],4,FALSE)</f>
        <v>#N/A</v>
      </c>
      <c r="J1000" s="29" t="e">
        <f>VLOOKUP(I1000,PGStock[],2,FALSE)</f>
        <v>#N/A</v>
      </c>
      <c r="K1000" s="30" t="e">
        <f>VLOOKUP(I1000,PGStock[],3,FALSE)</f>
        <v>#N/A</v>
      </c>
      <c r="M1000" s="62" t="e">
        <f>VLOOKUP(I1000,PGStock[],6,FALSE)</f>
        <v>#N/A</v>
      </c>
      <c r="N1000" s="62" t="e">
        <f>+Table8[[#This Row],[SalesBot]]*Table8[[#This Row],[Bonus]]</f>
        <v>#N/A</v>
      </c>
    </row>
    <row r="1001" spans="1:14" ht="23.25" customHeight="1" x14ac:dyDescent="0.25">
      <c r="A1001" s="59">
        <f t="shared" si="106"/>
        <v>1900</v>
      </c>
      <c r="B1001" s="59">
        <f t="shared" si="107"/>
        <v>1</v>
      </c>
      <c r="C1001" s="60"/>
      <c r="D1001" s="61"/>
      <c r="F1001" s="23" t="e">
        <f>VLOOKUP(E1001,Customers[],2,FALSE)</f>
        <v>#N/A</v>
      </c>
      <c r="G1001" s="23" t="e">
        <f>VLOOKUP(E1001,Customers[],3,FALSE)</f>
        <v>#N/A</v>
      </c>
      <c r="H1001" s="23" t="e">
        <f>VLOOKUP(E1001,Customers[],4,FALSE)</f>
        <v>#N/A</v>
      </c>
      <c r="J1001" s="29" t="e">
        <f>VLOOKUP(I1001,PGStock[],2,FALSE)</f>
        <v>#N/A</v>
      </c>
      <c r="K1001" s="30" t="e">
        <f>VLOOKUP(I1001,PGStock[],3,FALSE)</f>
        <v>#N/A</v>
      </c>
      <c r="M1001" s="62" t="e">
        <f>VLOOKUP(I1001,PGStock[],6,FALSE)</f>
        <v>#N/A</v>
      </c>
      <c r="N1001" s="62" t="e">
        <f>+Table8[[#This Row],[SalesBot]]*Table8[[#This Row],[Bonus]]</f>
        <v>#N/A</v>
      </c>
    </row>
    <row r="1002" spans="1:14" ht="23.25" customHeight="1" x14ac:dyDescent="0.25">
      <c r="A1002" s="59">
        <f t="shared" si="106"/>
        <v>1900</v>
      </c>
      <c r="B1002" s="59">
        <f t="shared" si="107"/>
        <v>1</v>
      </c>
      <c r="C1002" s="60"/>
      <c r="D1002" s="61"/>
      <c r="F1002" s="23" t="e">
        <f>VLOOKUP(E1002,Customers[],2,FALSE)</f>
        <v>#N/A</v>
      </c>
      <c r="G1002" s="23" t="e">
        <f>VLOOKUP(E1002,Customers[],3,FALSE)</f>
        <v>#N/A</v>
      </c>
      <c r="H1002" s="23" t="e">
        <f>VLOOKUP(E1002,Customers[],4,FALSE)</f>
        <v>#N/A</v>
      </c>
      <c r="J1002" s="29" t="e">
        <f>VLOOKUP(I1002,PGStock[],2,FALSE)</f>
        <v>#N/A</v>
      </c>
      <c r="K1002" s="30" t="e">
        <f>VLOOKUP(I1002,PGStock[],3,FALSE)</f>
        <v>#N/A</v>
      </c>
      <c r="M1002" s="62" t="e">
        <f>VLOOKUP(I1002,PGStock[],6,FALSE)</f>
        <v>#N/A</v>
      </c>
      <c r="N1002" s="62" t="e">
        <f>+Table8[[#This Row],[SalesBot]]*Table8[[#This Row],[Bonus]]</f>
        <v>#N/A</v>
      </c>
    </row>
    <row r="1003" spans="1:14" ht="23.25" customHeight="1" x14ac:dyDescent="0.25">
      <c r="A1003" s="59">
        <f t="shared" si="106"/>
        <v>1900</v>
      </c>
      <c r="B1003" s="59">
        <f t="shared" si="107"/>
        <v>1</v>
      </c>
      <c r="C1003" s="60"/>
      <c r="D1003" s="61"/>
      <c r="F1003" s="23" t="e">
        <f>VLOOKUP(E1003,Customers[],2,FALSE)</f>
        <v>#N/A</v>
      </c>
      <c r="G1003" s="23" t="e">
        <f>VLOOKUP(E1003,Customers[],3,FALSE)</f>
        <v>#N/A</v>
      </c>
      <c r="H1003" s="23" t="e">
        <f>VLOOKUP(E1003,Customers[],4,FALSE)</f>
        <v>#N/A</v>
      </c>
      <c r="J1003" s="29" t="e">
        <f>VLOOKUP(I1003,PGStock[],2,FALSE)</f>
        <v>#N/A</v>
      </c>
      <c r="K1003" s="30" t="e">
        <f>VLOOKUP(I1003,PGStock[],3,FALSE)</f>
        <v>#N/A</v>
      </c>
      <c r="M1003" s="62" t="e">
        <f>VLOOKUP(I1003,PGStock[],6,FALSE)</f>
        <v>#N/A</v>
      </c>
      <c r="N1003" s="62" t="e">
        <f>+Table8[[#This Row],[SalesBot]]*Table8[[#This Row],[Bonus]]</f>
        <v>#N/A</v>
      </c>
    </row>
    <row r="1004" spans="1:14" ht="23.25" customHeight="1" x14ac:dyDescent="0.25">
      <c r="A1004" s="59">
        <f t="shared" si="106"/>
        <v>1900</v>
      </c>
      <c r="B1004" s="59">
        <f t="shared" si="107"/>
        <v>1</v>
      </c>
      <c r="C1004" s="60"/>
      <c r="D1004" s="61"/>
      <c r="F1004" s="23" t="e">
        <f>VLOOKUP(E1004,Customers[],2,FALSE)</f>
        <v>#N/A</v>
      </c>
      <c r="G1004" s="23" t="e">
        <f>VLOOKUP(E1004,Customers[],3,FALSE)</f>
        <v>#N/A</v>
      </c>
      <c r="H1004" s="23" t="e">
        <f>VLOOKUP(E1004,Customers[],4,FALSE)</f>
        <v>#N/A</v>
      </c>
      <c r="J1004" s="29" t="e">
        <f>VLOOKUP(I1004,PGStock[],2,FALSE)</f>
        <v>#N/A</v>
      </c>
      <c r="K1004" s="30" t="e">
        <f>VLOOKUP(I1004,PGStock[],3,FALSE)</f>
        <v>#N/A</v>
      </c>
      <c r="M1004" s="62" t="e">
        <f>VLOOKUP(I1004,PGStock[],6,FALSE)</f>
        <v>#N/A</v>
      </c>
      <c r="N1004" s="62" t="e">
        <f>+Table8[[#This Row],[SalesBot]]*Table8[[#This Row],[Bonus]]</f>
        <v>#N/A</v>
      </c>
    </row>
    <row r="1005" spans="1:14" ht="23.25" customHeight="1" x14ac:dyDescent="0.25">
      <c r="A1005" s="59">
        <f t="shared" si="106"/>
        <v>1900</v>
      </c>
      <c r="B1005" s="59">
        <f t="shared" si="107"/>
        <v>1</v>
      </c>
      <c r="C1005" s="60"/>
      <c r="D1005" s="61"/>
      <c r="F1005" s="23" t="e">
        <f>VLOOKUP(E1005,Customers[],2,FALSE)</f>
        <v>#N/A</v>
      </c>
      <c r="G1005" s="23" t="e">
        <f>VLOOKUP(E1005,Customers[],3,FALSE)</f>
        <v>#N/A</v>
      </c>
      <c r="H1005" s="23" t="e">
        <f>VLOOKUP(E1005,Customers[],4,FALSE)</f>
        <v>#N/A</v>
      </c>
      <c r="J1005" s="29" t="e">
        <f>VLOOKUP(I1005,PGStock[],2,FALSE)</f>
        <v>#N/A</v>
      </c>
      <c r="K1005" s="30" t="e">
        <f>VLOOKUP(I1005,PGStock[],3,FALSE)</f>
        <v>#N/A</v>
      </c>
      <c r="M1005" s="62" t="e">
        <f>VLOOKUP(I1005,PGStock[],6,FALSE)</f>
        <v>#N/A</v>
      </c>
      <c r="N1005" s="62" t="e">
        <f>+Table8[[#This Row],[SalesBot]]*Table8[[#This Row],[Bonus]]</f>
        <v>#N/A</v>
      </c>
    </row>
    <row r="1006" spans="1:14" ht="23.25" customHeight="1" x14ac:dyDescent="0.25">
      <c r="A1006" s="59">
        <f t="shared" si="106"/>
        <v>1900</v>
      </c>
      <c r="B1006" s="59">
        <f t="shared" si="107"/>
        <v>1</v>
      </c>
      <c r="C1006" s="60"/>
      <c r="D1006" s="61"/>
      <c r="F1006" s="23" t="e">
        <f>VLOOKUP(E1006,Customers[],2,FALSE)</f>
        <v>#N/A</v>
      </c>
      <c r="G1006" s="23" t="e">
        <f>VLOOKUP(E1006,Customers[],3,FALSE)</f>
        <v>#N/A</v>
      </c>
      <c r="H1006" s="23" t="e">
        <f>VLOOKUP(E1006,Customers[],4,FALSE)</f>
        <v>#N/A</v>
      </c>
      <c r="J1006" s="29" t="e">
        <f>VLOOKUP(I1006,PGStock[],2,FALSE)</f>
        <v>#N/A</v>
      </c>
      <c r="K1006" s="30" t="e">
        <f>VLOOKUP(I1006,PGStock[],3,FALSE)</f>
        <v>#N/A</v>
      </c>
      <c r="M1006" s="62" t="e">
        <f>VLOOKUP(I1006,PGStock[],6,FALSE)</f>
        <v>#N/A</v>
      </c>
      <c r="N1006" s="62" t="e">
        <f>+Table8[[#This Row],[SalesBot]]*Table8[[#This Row],[Bonus]]</f>
        <v>#N/A</v>
      </c>
    </row>
    <row r="1007" spans="1:14" ht="23.25" customHeight="1" x14ac:dyDescent="0.25">
      <c r="A1007" s="59">
        <f t="shared" si="106"/>
        <v>1900</v>
      </c>
      <c r="B1007" s="59">
        <f t="shared" si="107"/>
        <v>1</v>
      </c>
      <c r="C1007" s="60"/>
      <c r="D1007" s="61"/>
      <c r="F1007" s="23" t="e">
        <f>VLOOKUP(E1007,Customers[],2,FALSE)</f>
        <v>#N/A</v>
      </c>
      <c r="G1007" s="23" t="e">
        <f>VLOOKUP(E1007,Customers[],3,FALSE)</f>
        <v>#N/A</v>
      </c>
      <c r="H1007" s="23" t="e">
        <f>VLOOKUP(E1007,Customers[],4,FALSE)</f>
        <v>#N/A</v>
      </c>
      <c r="J1007" s="29" t="e">
        <f>VLOOKUP(I1007,PGStock[],2,FALSE)</f>
        <v>#N/A</v>
      </c>
      <c r="K1007" s="30" t="e">
        <f>VLOOKUP(I1007,PGStock[],3,FALSE)</f>
        <v>#N/A</v>
      </c>
      <c r="M1007" s="62" t="e">
        <f>VLOOKUP(I1007,PGStock[],6,FALSE)</f>
        <v>#N/A</v>
      </c>
      <c r="N1007" s="62" t="e">
        <f>+Table8[[#This Row],[SalesBot]]*Table8[[#This Row],[Bonus]]</f>
        <v>#N/A</v>
      </c>
    </row>
    <row r="1008" spans="1:14" ht="23.25" customHeight="1" x14ac:dyDescent="0.25">
      <c r="A1008" s="59">
        <f t="shared" si="106"/>
        <v>1900</v>
      </c>
      <c r="B1008" s="59">
        <f t="shared" si="107"/>
        <v>1</v>
      </c>
      <c r="C1008" s="60"/>
      <c r="D1008" s="61"/>
      <c r="F1008" s="23" t="e">
        <f>VLOOKUP(E1008,Customers[],2,FALSE)</f>
        <v>#N/A</v>
      </c>
      <c r="G1008" s="23" t="e">
        <f>VLOOKUP(E1008,Customers[],3,FALSE)</f>
        <v>#N/A</v>
      </c>
      <c r="H1008" s="23" t="e">
        <f>VLOOKUP(E1008,Customers[],4,FALSE)</f>
        <v>#N/A</v>
      </c>
      <c r="J1008" s="29" t="e">
        <f>VLOOKUP(I1008,PGStock[],2,FALSE)</f>
        <v>#N/A</v>
      </c>
      <c r="K1008" s="30" t="e">
        <f>VLOOKUP(I1008,PGStock[],3,FALSE)</f>
        <v>#N/A</v>
      </c>
      <c r="M1008" s="62" t="e">
        <f>VLOOKUP(I1008,PGStock[],6,FALSE)</f>
        <v>#N/A</v>
      </c>
      <c r="N1008" s="62" t="e">
        <f>+Table8[[#This Row],[SalesBot]]*Table8[[#This Row],[Bonus]]</f>
        <v>#N/A</v>
      </c>
    </row>
    <row r="1009" spans="1:14" ht="23.25" customHeight="1" x14ac:dyDescent="0.25">
      <c r="A1009" s="59">
        <f t="shared" si="106"/>
        <v>1900</v>
      </c>
      <c r="B1009" s="59">
        <f t="shared" si="107"/>
        <v>1</v>
      </c>
      <c r="C1009" s="60"/>
      <c r="D1009" s="61"/>
      <c r="F1009" s="23" t="e">
        <f>VLOOKUP(E1009,Customers[],2,FALSE)</f>
        <v>#N/A</v>
      </c>
      <c r="G1009" s="23" t="e">
        <f>VLOOKUP(E1009,Customers[],3,FALSE)</f>
        <v>#N/A</v>
      </c>
      <c r="H1009" s="23" t="e">
        <f>VLOOKUP(E1009,Customers[],4,FALSE)</f>
        <v>#N/A</v>
      </c>
      <c r="J1009" s="29" t="e">
        <f>VLOOKUP(I1009,PGStock[],2,FALSE)</f>
        <v>#N/A</v>
      </c>
      <c r="K1009" s="30" t="e">
        <f>VLOOKUP(I1009,PGStock[],3,FALSE)</f>
        <v>#N/A</v>
      </c>
      <c r="M1009" s="62" t="e">
        <f>VLOOKUP(I1009,PGStock[],6,FALSE)</f>
        <v>#N/A</v>
      </c>
      <c r="N1009" s="62" t="e">
        <f>+Table8[[#This Row],[SalesBot]]*Table8[[#This Row],[Bonus]]</f>
        <v>#N/A</v>
      </c>
    </row>
    <row r="1010" spans="1:14" ht="23.25" customHeight="1" x14ac:dyDescent="0.25">
      <c r="A1010" s="59">
        <f t="shared" si="100"/>
        <v>1900</v>
      </c>
      <c r="B1010" s="59">
        <f t="shared" si="101"/>
        <v>1</v>
      </c>
      <c r="C1010" s="60"/>
      <c r="D1010" s="61"/>
      <c r="F1010" s="23" t="e">
        <f>VLOOKUP(E1010,Customers[],2,FALSE)</f>
        <v>#N/A</v>
      </c>
      <c r="G1010" s="23" t="e">
        <f>VLOOKUP(E1010,Customers[],3,FALSE)</f>
        <v>#N/A</v>
      </c>
      <c r="H1010" s="23" t="e">
        <f>VLOOKUP(E1010,Customers[],4,FALSE)</f>
        <v>#N/A</v>
      </c>
      <c r="J1010" s="29" t="e">
        <f>VLOOKUP(I1010,PGStock[],2,FALSE)</f>
        <v>#N/A</v>
      </c>
      <c r="K1010" s="30" t="e">
        <f>VLOOKUP(I1010,PGStock[],3,FALSE)</f>
        <v>#N/A</v>
      </c>
      <c r="M1010" s="62" t="e">
        <f>VLOOKUP(I1010,PGStock[],6,FALSE)</f>
        <v>#N/A</v>
      </c>
      <c r="N1010" s="62" t="e">
        <f>+Table8[[#This Row],[SalesBot]]*Table8[[#This Row],[Bonus]]</f>
        <v>#N/A</v>
      </c>
    </row>
    <row r="1011" spans="1:14" ht="23.25" customHeight="1" x14ac:dyDescent="0.25">
      <c r="A1011" s="59">
        <f t="shared" si="100"/>
        <v>1900</v>
      </c>
      <c r="B1011" s="59">
        <f t="shared" si="101"/>
        <v>1</v>
      </c>
      <c r="C1011" s="60"/>
      <c r="D1011" s="61"/>
      <c r="F1011" s="23" t="e">
        <f>VLOOKUP(E1011,Customers[],2,FALSE)</f>
        <v>#N/A</v>
      </c>
      <c r="G1011" s="23" t="e">
        <f>VLOOKUP(E1011,Customers[],3,FALSE)</f>
        <v>#N/A</v>
      </c>
      <c r="H1011" s="23" t="e">
        <f>VLOOKUP(E1011,Customers[],4,FALSE)</f>
        <v>#N/A</v>
      </c>
      <c r="J1011" s="29" t="e">
        <f>VLOOKUP(I1011,PGStock[],2,FALSE)</f>
        <v>#N/A</v>
      </c>
      <c r="K1011" s="30" t="e">
        <f>VLOOKUP(I1011,PGStock[],3,FALSE)</f>
        <v>#N/A</v>
      </c>
      <c r="M1011" s="62" t="e">
        <f>VLOOKUP(I1011,PGStock[],6,FALSE)</f>
        <v>#N/A</v>
      </c>
      <c r="N1011" s="62" t="e">
        <f>+Table8[[#This Row],[SalesBot]]*Table8[[#This Row],[Bonus]]</f>
        <v>#N/A</v>
      </c>
    </row>
    <row r="1012" spans="1:14" ht="23.25" customHeight="1" x14ac:dyDescent="0.25">
      <c r="A1012" s="59">
        <f t="shared" si="100"/>
        <v>1900</v>
      </c>
      <c r="B1012" s="59">
        <f t="shared" si="101"/>
        <v>1</v>
      </c>
      <c r="C1012" s="60"/>
      <c r="D1012" s="61"/>
      <c r="F1012" s="23" t="e">
        <f>VLOOKUP(E1012,Customers[],2,FALSE)</f>
        <v>#N/A</v>
      </c>
      <c r="G1012" s="23" t="e">
        <f>VLOOKUP(E1012,Customers[],3,FALSE)</f>
        <v>#N/A</v>
      </c>
      <c r="H1012" s="23" t="e">
        <f>VLOOKUP(E1012,Customers[],4,FALSE)</f>
        <v>#N/A</v>
      </c>
      <c r="J1012" s="29" t="e">
        <f>VLOOKUP(I1012,PGStock[],2,FALSE)</f>
        <v>#N/A</v>
      </c>
      <c r="K1012" s="30" t="e">
        <f>VLOOKUP(I1012,PGStock[],3,FALSE)</f>
        <v>#N/A</v>
      </c>
      <c r="M1012" s="62" t="e">
        <f>VLOOKUP(I1012,PGStock[],6,FALSE)</f>
        <v>#N/A</v>
      </c>
      <c r="N1012" s="62" t="e">
        <f>+Table8[[#This Row],[SalesBot]]*Table8[[#This Row],[Bonus]]</f>
        <v>#N/A</v>
      </c>
    </row>
    <row r="1013" spans="1:14" ht="23.25" customHeight="1" x14ac:dyDescent="0.25">
      <c r="A1013" s="59">
        <f t="shared" si="100"/>
        <v>1900</v>
      </c>
      <c r="B1013" s="59">
        <f t="shared" si="101"/>
        <v>1</v>
      </c>
      <c r="C1013" s="60"/>
      <c r="D1013" s="61"/>
      <c r="F1013" s="23" t="e">
        <f>VLOOKUP(E1013,Customers[],2,FALSE)</f>
        <v>#N/A</v>
      </c>
      <c r="G1013" s="23" t="e">
        <f>VLOOKUP(E1013,Customers[],3,FALSE)</f>
        <v>#N/A</v>
      </c>
      <c r="H1013" s="23" t="e">
        <f>VLOOKUP(E1013,Customers[],4,FALSE)</f>
        <v>#N/A</v>
      </c>
      <c r="J1013" s="29" t="e">
        <f>VLOOKUP(I1013,PGStock[],2,FALSE)</f>
        <v>#N/A</v>
      </c>
      <c r="K1013" s="30" t="e">
        <f>VLOOKUP(I1013,PGStock[],3,FALSE)</f>
        <v>#N/A</v>
      </c>
      <c r="M1013" s="62" t="e">
        <f>VLOOKUP(I1013,PGStock[],6,FALSE)</f>
        <v>#N/A</v>
      </c>
      <c r="N1013" s="62" t="e">
        <f>+Table8[[#This Row],[SalesBot]]*Table8[[#This Row],[Bonus]]</f>
        <v>#N/A</v>
      </c>
    </row>
    <row r="1014" spans="1:14" ht="23.25" customHeight="1" x14ac:dyDescent="0.25">
      <c r="A1014" s="59">
        <f t="shared" si="100"/>
        <v>1900</v>
      </c>
      <c r="B1014" s="59">
        <f t="shared" si="101"/>
        <v>1</v>
      </c>
      <c r="C1014" s="60"/>
      <c r="D1014" s="61"/>
      <c r="F1014" s="23" t="e">
        <f>VLOOKUP(E1014,Customers[],2,FALSE)</f>
        <v>#N/A</v>
      </c>
      <c r="G1014" s="23" t="e">
        <f>VLOOKUP(E1014,Customers[],3,FALSE)</f>
        <v>#N/A</v>
      </c>
      <c r="H1014" s="23" t="e">
        <f>VLOOKUP(E1014,Customers[],4,FALSE)</f>
        <v>#N/A</v>
      </c>
      <c r="J1014" s="29" t="e">
        <f>VLOOKUP(I1014,PGStock[],2,FALSE)</f>
        <v>#N/A</v>
      </c>
      <c r="K1014" s="30" t="e">
        <f>VLOOKUP(I1014,PGStock[],3,FALSE)</f>
        <v>#N/A</v>
      </c>
      <c r="M1014" s="62" t="e">
        <f>VLOOKUP(I1014,PGStock[],6,FALSE)</f>
        <v>#N/A</v>
      </c>
      <c r="N1014" s="62" t="e">
        <f>+Table8[[#This Row],[SalesBot]]*Table8[[#This Row],[Bonus]]</f>
        <v>#N/A</v>
      </c>
    </row>
    <row r="1015" spans="1:14" ht="23.25" customHeight="1" x14ac:dyDescent="0.25">
      <c r="A1015" s="59">
        <f t="shared" si="100"/>
        <v>1900</v>
      </c>
      <c r="B1015" s="59">
        <f t="shared" si="101"/>
        <v>1</v>
      </c>
      <c r="C1015" s="60"/>
      <c r="D1015" s="61"/>
      <c r="F1015" s="23" t="e">
        <f>VLOOKUP(E1015,Customers[],2,FALSE)</f>
        <v>#N/A</v>
      </c>
      <c r="G1015" s="23" t="e">
        <f>VLOOKUP(E1015,Customers[],3,FALSE)</f>
        <v>#N/A</v>
      </c>
      <c r="H1015" s="23" t="e">
        <f>VLOOKUP(E1015,Customers[],4,FALSE)</f>
        <v>#N/A</v>
      </c>
      <c r="J1015" s="29" t="e">
        <f>VLOOKUP(I1015,PGStock[],2,FALSE)</f>
        <v>#N/A</v>
      </c>
      <c r="K1015" s="30" t="e">
        <f>VLOOKUP(I1015,PGStock[],3,FALSE)</f>
        <v>#N/A</v>
      </c>
      <c r="M1015" s="62" t="e">
        <f>VLOOKUP(I1015,PGStock[],6,FALSE)</f>
        <v>#N/A</v>
      </c>
      <c r="N1015" s="62" t="e">
        <f>+Table8[[#This Row],[SalesBot]]*Table8[[#This Row],[Bonus]]</f>
        <v>#N/A</v>
      </c>
    </row>
    <row r="1016" spans="1:14" ht="23.25" customHeight="1" x14ac:dyDescent="0.25">
      <c r="A1016" s="59">
        <f t="shared" si="100"/>
        <v>1900</v>
      </c>
      <c r="B1016" s="59">
        <f t="shared" si="101"/>
        <v>1</v>
      </c>
      <c r="C1016" s="60"/>
      <c r="D1016" s="61"/>
      <c r="F1016" s="23" t="e">
        <f>VLOOKUP(E1016,Customers[],2,FALSE)</f>
        <v>#N/A</v>
      </c>
      <c r="G1016" s="23" t="e">
        <f>VLOOKUP(E1016,Customers[],3,FALSE)</f>
        <v>#N/A</v>
      </c>
      <c r="H1016" s="23" t="e">
        <f>VLOOKUP(E1016,Customers[],4,FALSE)</f>
        <v>#N/A</v>
      </c>
      <c r="J1016" s="29" t="e">
        <f>VLOOKUP(I1016,PGStock[],2,FALSE)</f>
        <v>#N/A</v>
      </c>
      <c r="K1016" s="30" t="e">
        <f>VLOOKUP(I1016,PGStock[],3,FALSE)</f>
        <v>#N/A</v>
      </c>
      <c r="M1016" s="62" t="e">
        <f>VLOOKUP(I1016,PGStock[],6,FALSE)</f>
        <v>#N/A</v>
      </c>
      <c r="N1016" s="62" t="e">
        <f>+Table8[[#This Row],[SalesBot]]*Table8[[#This Row],[Bonus]]</f>
        <v>#N/A</v>
      </c>
    </row>
    <row r="1017" spans="1:14" ht="23.25" customHeight="1" x14ac:dyDescent="0.25">
      <c r="A1017" s="59">
        <f t="shared" si="100"/>
        <v>1900</v>
      </c>
      <c r="B1017" s="59">
        <f t="shared" si="101"/>
        <v>1</v>
      </c>
      <c r="C1017" s="60"/>
      <c r="D1017" s="61"/>
      <c r="F1017" s="23" t="e">
        <f>VLOOKUP(E1017,Customers[],2,FALSE)</f>
        <v>#N/A</v>
      </c>
      <c r="G1017" s="23" t="e">
        <f>VLOOKUP(E1017,Customers[],3,FALSE)</f>
        <v>#N/A</v>
      </c>
      <c r="H1017" s="23" t="e">
        <f>VLOOKUP(E1017,Customers[],4,FALSE)</f>
        <v>#N/A</v>
      </c>
      <c r="J1017" s="29" t="e">
        <f>VLOOKUP(I1017,PGStock[],2,FALSE)</f>
        <v>#N/A</v>
      </c>
      <c r="K1017" s="30" t="e">
        <f>VLOOKUP(I1017,PGStock[],3,FALSE)</f>
        <v>#N/A</v>
      </c>
      <c r="M1017" s="62" t="e">
        <f>VLOOKUP(I1017,PGStock[],6,FALSE)</f>
        <v>#N/A</v>
      </c>
      <c r="N1017" s="62" t="e">
        <f>+Table8[[#This Row],[SalesBot]]*Table8[[#This Row],[Bonus]]</f>
        <v>#N/A</v>
      </c>
    </row>
    <row r="1018" spans="1:14" ht="23.25" customHeight="1" x14ac:dyDescent="0.25">
      <c r="A1018" s="59">
        <f t="shared" si="100"/>
        <v>1900</v>
      </c>
      <c r="B1018" s="59">
        <f t="shared" si="101"/>
        <v>1</v>
      </c>
      <c r="C1018" s="60"/>
      <c r="D1018" s="61"/>
      <c r="F1018" s="23" t="e">
        <f>VLOOKUP(E1018,Customers[],2,FALSE)</f>
        <v>#N/A</v>
      </c>
      <c r="G1018" s="23" t="e">
        <f>VLOOKUP(E1018,Customers[],3,FALSE)</f>
        <v>#N/A</v>
      </c>
      <c r="H1018" s="23" t="e">
        <f>VLOOKUP(E1018,Customers[],4,FALSE)</f>
        <v>#N/A</v>
      </c>
      <c r="J1018" s="29" t="e">
        <f>VLOOKUP(I1018,PGStock[],2,FALSE)</f>
        <v>#N/A</v>
      </c>
      <c r="K1018" s="30" t="e">
        <f>VLOOKUP(I1018,PGStock[],3,FALSE)</f>
        <v>#N/A</v>
      </c>
      <c r="M1018" s="62" t="e">
        <f>VLOOKUP(I1018,PGStock[],6,FALSE)</f>
        <v>#N/A</v>
      </c>
      <c r="N1018" s="62" t="e">
        <f>+Table8[[#This Row],[SalesBot]]*Table8[[#This Row],[Bonus]]</f>
        <v>#N/A</v>
      </c>
    </row>
    <row r="1019" spans="1:14" ht="23.25" customHeight="1" x14ac:dyDescent="0.25">
      <c r="A1019" s="59">
        <f t="shared" si="100"/>
        <v>1900</v>
      </c>
      <c r="B1019" s="59">
        <f t="shared" si="101"/>
        <v>1</v>
      </c>
      <c r="C1019" s="60"/>
      <c r="D1019" s="61"/>
      <c r="F1019" s="23" t="e">
        <f>VLOOKUP(E1019,Customers[],2,FALSE)</f>
        <v>#N/A</v>
      </c>
      <c r="G1019" s="23" t="e">
        <f>VLOOKUP(E1019,Customers[],3,FALSE)</f>
        <v>#N/A</v>
      </c>
      <c r="H1019" s="23" t="e">
        <f>VLOOKUP(E1019,Customers[],4,FALSE)</f>
        <v>#N/A</v>
      </c>
      <c r="J1019" s="29" t="e">
        <f>VLOOKUP(I1019,PGStock[],2,FALSE)</f>
        <v>#N/A</v>
      </c>
      <c r="K1019" s="30" t="e">
        <f>VLOOKUP(I1019,PGStock[],3,FALSE)</f>
        <v>#N/A</v>
      </c>
      <c r="M1019" s="62" t="e">
        <f>VLOOKUP(I1019,PGStock[],6,FALSE)</f>
        <v>#N/A</v>
      </c>
      <c r="N1019" s="62" t="e">
        <f>+Table8[[#This Row],[SalesBot]]*Table8[[#This Row],[Bonus]]</f>
        <v>#N/A</v>
      </c>
    </row>
    <row r="1020" spans="1:14" ht="23.25" customHeight="1" x14ac:dyDescent="0.25">
      <c r="A1020" s="59">
        <f t="shared" si="100"/>
        <v>1900</v>
      </c>
      <c r="B1020" s="59">
        <f t="shared" si="101"/>
        <v>1</v>
      </c>
      <c r="C1020" s="60"/>
      <c r="D1020" s="61"/>
      <c r="F1020" s="23" t="e">
        <f>VLOOKUP(E1020,Customers[],2,FALSE)</f>
        <v>#N/A</v>
      </c>
      <c r="G1020" s="23" t="e">
        <f>VLOOKUP(E1020,Customers[],3,FALSE)</f>
        <v>#N/A</v>
      </c>
      <c r="H1020" s="23" t="e">
        <f>VLOOKUP(E1020,Customers[],4,FALSE)</f>
        <v>#N/A</v>
      </c>
      <c r="J1020" s="29" t="e">
        <f>VLOOKUP(I1020,PGStock[],2,FALSE)</f>
        <v>#N/A</v>
      </c>
      <c r="K1020" s="30" t="e">
        <f>VLOOKUP(I1020,PGStock[],3,FALSE)</f>
        <v>#N/A</v>
      </c>
      <c r="M1020" s="62" t="e">
        <f>VLOOKUP(I1020,PGStock[],6,FALSE)</f>
        <v>#N/A</v>
      </c>
      <c r="N1020" s="62" t="e">
        <f>+Table8[[#This Row],[SalesBot]]*Table8[[#This Row],[Bonus]]</f>
        <v>#N/A</v>
      </c>
    </row>
    <row r="1021" spans="1:14" ht="23.25" customHeight="1" x14ac:dyDescent="0.25">
      <c r="A1021" s="59">
        <f t="shared" si="100"/>
        <v>1900</v>
      </c>
      <c r="B1021" s="59">
        <f t="shared" si="101"/>
        <v>1</v>
      </c>
      <c r="C1021" s="60"/>
      <c r="D1021" s="61"/>
      <c r="F1021" s="23" t="e">
        <f>VLOOKUP(E1021,Customers[],2,FALSE)</f>
        <v>#N/A</v>
      </c>
      <c r="G1021" s="23" t="e">
        <f>VLOOKUP(E1021,Customers[],3,FALSE)</f>
        <v>#N/A</v>
      </c>
      <c r="H1021" s="23" t="e">
        <f>VLOOKUP(E1021,Customers[],4,FALSE)</f>
        <v>#N/A</v>
      </c>
      <c r="J1021" s="29" t="e">
        <f>VLOOKUP(I1021,PGStock[],2,FALSE)</f>
        <v>#N/A</v>
      </c>
      <c r="K1021" s="30" t="e">
        <f>VLOOKUP(I1021,PGStock[],3,FALSE)</f>
        <v>#N/A</v>
      </c>
      <c r="M1021" s="62" t="e">
        <f>VLOOKUP(I1021,PGStock[],6,FALSE)</f>
        <v>#N/A</v>
      </c>
      <c r="N1021" s="62" t="e">
        <f>+Table8[[#This Row],[SalesBot]]*Table8[[#This Row],[Bonus]]</f>
        <v>#N/A</v>
      </c>
    </row>
    <row r="1022" spans="1:14" ht="23.25" customHeight="1" x14ac:dyDescent="0.25">
      <c r="A1022" s="59">
        <f t="shared" si="100"/>
        <v>1900</v>
      </c>
      <c r="B1022" s="59">
        <f t="shared" si="101"/>
        <v>1</v>
      </c>
      <c r="C1022" s="60"/>
      <c r="D1022" s="61"/>
      <c r="F1022" s="23" t="e">
        <f>VLOOKUP(E1022,Customers[],2,FALSE)</f>
        <v>#N/A</v>
      </c>
      <c r="G1022" s="23" t="e">
        <f>VLOOKUP(E1022,Customers[],3,FALSE)</f>
        <v>#N/A</v>
      </c>
      <c r="H1022" s="23" t="e">
        <f>VLOOKUP(E1022,Customers[],4,FALSE)</f>
        <v>#N/A</v>
      </c>
      <c r="J1022" s="29" t="e">
        <f>VLOOKUP(I1022,PGStock[],2,FALSE)</f>
        <v>#N/A</v>
      </c>
      <c r="K1022" s="30" t="e">
        <f>VLOOKUP(I1022,PGStock[],3,FALSE)</f>
        <v>#N/A</v>
      </c>
      <c r="M1022" s="62" t="e">
        <f>VLOOKUP(I1022,PGStock[],6,FALSE)</f>
        <v>#N/A</v>
      </c>
      <c r="N1022" s="62" t="e">
        <f>+Table8[[#This Row],[SalesBot]]*Table8[[#This Row],[Bonus]]</f>
        <v>#N/A</v>
      </c>
    </row>
    <row r="1023" spans="1:14" ht="23.25" customHeight="1" x14ac:dyDescent="0.25">
      <c r="A1023" s="59">
        <f t="shared" si="100"/>
        <v>1900</v>
      </c>
      <c r="B1023" s="59">
        <f t="shared" si="101"/>
        <v>1</v>
      </c>
      <c r="C1023" s="60"/>
      <c r="D1023" s="61"/>
      <c r="F1023" s="23" t="e">
        <f>VLOOKUP(E1023,Customers[],2,FALSE)</f>
        <v>#N/A</v>
      </c>
      <c r="G1023" s="23" t="e">
        <f>VLOOKUP(E1023,Customers[],3,FALSE)</f>
        <v>#N/A</v>
      </c>
      <c r="H1023" s="23" t="e">
        <f>VLOOKUP(E1023,Customers[],4,FALSE)</f>
        <v>#N/A</v>
      </c>
      <c r="J1023" s="29" t="e">
        <f>VLOOKUP(I1023,PGStock[],2,FALSE)</f>
        <v>#N/A</v>
      </c>
      <c r="K1023" s="30" t="e">
        <f>VLOOKUP(I1023,PGStock[],3,FALSE)</f>
        <v>#N/A</v>
      </c>
      <c r="M1023" s="62" t="e">
        <f>VLOOKUP(I1023,PGStock[],6,FALSE)</f>
        <v>#N/A</v>
      </c>
      <c r="N1023" s="62" t="e">
        <f>+Table8[[#This Row],[SalesBot]]*Table8[[#This Row],[Bonus]]</f>
        <v>#N/A</v>
      </c>
    </row>
    <row r="1024" spans="1:14" ht="23.25" customHeight="1" x14ac:dyDescent="0.25">
      <c r="A1024" s="59">
        <f t="shared" si="100"/>
        <v>1900</v>
      </c>
      <c r="B1024" s="59">
        <f t="shared" si="101"/>
        <v>1</v>
      </c>
      <c r="C1024" s="60"/>
      <c r="D1024" s="61"/>
      <c r="F1024" s="23" t="e">
        <f>VLOOKUP(E1024,Customers[],2,FALSE)</f>
        <v>#N/A</v>
      </c>
      <c r="G1024" s="23" t="e">
        <f>VLOOKUP(E1024,Customers[],3,FALSE)</f>
        <v>#N/A</v>
      </c>
      <c r="H1024" s="23" t="e">
        <f>VLOOKUP(E1024,Customers[],4,FALSE)</f>
        <v>#N/A</v>
      </c>
      <c r="J1024" s="29" t="e">
        <f>VLOOKUP(I1024,PGStock[],2,FALSE)</f>
        <v>#N/A</v>
      </c>
      <c r="K1024" s="30" t="e">
        <f>VLOOKUP(I1024,PGStock[],3,FALSE)</f>
        <v>#N/A</v>
      </c>
      <c r="M1024" s="62" t="e">
        <f>VLOOKUP(I1024,PGStock[],6,FALSE)</f>
        <v>#N/A</v>
      </c>
      <c r="N1024" s="62" t="e">
        <f>+Table8[[#This Row],[SalesBot]]*Table8[[#This Row],[Bonus]]</f>
        <v>#N/A</v>
      </c>
    </row>
    <row r="1025" spans="1:14" ht="23.25" customHeight="1" x14ac:dyDescent="0.25">
      <c r="A1025" s="59">
        <f t="shared" si="100"/>
        <v>1900</v>
      </c>
      <c r="B1025" s="59">
        <f t="shared" si="101"/>
        <v>1</v>
      </c>
      <c r="C1025" s="60"/>
      <c r="D1025" s="61"/>
      <c r="F1025" s="23" t="e">
        <f>VLOOKUP(E1025,Customers[],2,FALSE)</f>
        <v>#N/A</v>
      </c>
      <c r="G1025" s="23" t="e">
        <f>VLOOKUP(E1025,Customers[],3,FALSE)</f>
        <v>#N/A</v>
      </c>
      <c r="H1025" s="23" t="e">
        <f>VLOOKUP(E1025,Customers[],4,FALSE)</f>
        <v>#N/A</v>
      </c>
      <c r="J1025" s="29" t="e">
        <f>VLOOKUP(I1025,PGStock[],2,FALSE)</f>
        <v>#N/A</v>
      </c>
      <c r="K1025" s="30" t="e">
        <f>VLOOKUP(I1025,PGStock[],3,FALSE)</f>
        <v>#N/A</v>
      </c>
      <c r="M1025" s="62" t="e">
        <f>VLOOKUP(I1025,PGStock[],6,FALSE)</f>
        <v>#N/A</v>
      </c>
      <c r="N1025" s="62" t="e">
        <f>+Table8[[#This Row],[SalesBot]]*Table8[[#This Row],[Bonus]]</f>
        <v>#N/A</v>
      </c>
    </row>
    <row r="1026" spans="1:14" ht="23.25" customHeight="1" x14ac:dyDescent="0.25">
      <c r="A1026" s="59">
        <f t="shared" ref="A1026:A1054" si="108">YEAR(C1026)</f>
        <v>1900</v>
      </c>
      <c r="B1026" s="59">
        <f t="shared" ref="B1026:B1054" si="109">MONTH(C1026)</f>
        <v>1</v>
      </c>
      <c r="C1026" s="60"/>
      <c r="D1026" s="61"/>
      <c r="F1026" s="23" t="e">
        <f>VLOOKUP(E1026,Customers[],2,FALSE)</f>
        <v>#N/A</v>
      </c>
      <c r="G1026" s="23" t="e">
        <f>VLOOKUP(E1026,Customers[],3,FALSE)</f>
        <v>#N/A</v>
      </c>
      <c r="H1026" s="23" t="e">
        <f>VLOOKUP(E1026,Customers[],4,FALSE)</f>
        <v>#N/A</v>
      </c>
      <c r="J1026" s="29" t="e">
        <f>VLOOKUP(I1026,PGStock[],2,FALSE)</f>
        <v>#N/A</v>
      </c>
      <c r="K1026" s="30" t="e">
        <f>VLOOKUP(I1026,PGStock[],3,FALSE)</f>
        <v>#N/A</v>
      </c>
      <c r="M1026" s="62" t="e">
        <f>VLOOKUP(I1026,PGStock[],6,FALSE)</f>
        <v>#N/A</v>
      </c>
      <c r="N1026" s="62" t="e">
        <f>+Table8[[#This Row],[SalesBot]]*Table8[[#This Row],[Bonus]]</f>
        <v>#N/A</v>
      </c>
    </row>
    <row r="1027" spans="1:14" ht="23.25" customHeight="1" x14ac:dyDescent="0.25">
      <c r="A1027" s="59">
        <f t="shared" si="108"/>
        <v>1900</v>
      </c>
      <c r="B1027" s="59">
        <f t="shared" si="109"/>
        <v>1</v>
      </c>
      <c r="C1027" s="60"/>
      <c r="D1027" s="61"/>
      <c r="F1027" s="23" t="e">
        <f>VLOOKUP(E1027,Customers[],2,FALSE)</f>
        <v>#N/A</v>
      </c>
      <c r="G1027" s="23" t="e">
        <f>VLOOKUP(E1027,Customers[],3,FALSE)</f>
        <v>#N/A</v>
      </c>
      <c r="H1027" s="23" t="e">
        <f>VLOOKUP(E1027,Customers[],4,FALSE)</f>
        <v>#N/A</v>
      </c>
      <c r="J1027" s="29" t="e">
        <f>VLOOKUP(I1027,PGStock[],2,FALSE)</f>
        <v>#N/A</v>
      </c>
      <c r="K1027" s="30" t="e">
        <f>VLOOKUP(I1027,PGStock[],3,FALSE)</f>
        <v>#N/A</v>
      </c>
      <c r="M1027" s="62" t="e">
        <f>VLOOKUP(I1027,PGStock[],6,FALSE)</f>
        <v>#N/A</v>
      </c>
      <c r="N1027" s="62" t="e">
        <f>+Table8[[#This Row],[SalesBot]]*Table8[[#This Row],[Bonus]]</f>
        <v>#N/A</v>
      </c>
    </row>
    <row r="1028" spans="1:14" ht="23.25" customHeight="1" x14ac:dyDescent="0.25">
      <c r="A1028" s="59">
        <f t="shared" si="108"/>
        <v>1900</v>
      </c>
      <c r="B1028" s="59">
        <f t="shared" si="109"/>
        <v>1</v>
      </c>
      <c r="C1028" s="60"/>
      <c r="D1028" s="61"/>
      <c r="F1028" s="23" t="e">
        <f>VLOOKUP(E1028,Customers[],2,FALSE)</f>
        <v>#N/A</v>
      </c>
      <c r="G1028" s="23" t="e">
        <f>VLOOKUP(E1028,Customers[],3,FALSE)</f>
        <v>#N/A</v>
      </c>
      <c r="H1028" s="23" t="e">
        <f>VLOOKUP(E1028,Customers[],4,FALSE)</f>
        <v>#N/A</v>
      </c>
      <c r="J1028" s="29" t="e">
        <f>VLOOKUP(I1028,PGStock[],2,FALSE)</f>
        <v>#N/A</v>
      </c>
      <c r="K1028" s="30" t="e">
        <f>VLOOKUP(I1028,PGStock[],3,FALSE)</f>
        <v>#N/A</v>
      </c>
      <c r="M1028" s="62" t="e">
        <f>VLOOKUP(I1028,PGStock[],6,FALSE)</f>
        <v>#N/A</v>
      </c>
      <c r="N1028" s="62" t="e">
        <f>+Table8[[#This Row],[SalesBot]]*Table8[[#This Row],[Bonus]]</f>
        <v>#N/A</v>
      </c>
    </row>
    <row r="1029" spans="1:14" ht="23.25" customHeight="1" x14ac:dyDescent="0.25">
      <c r="A1029" s="59">
        <f t="shared" si="108"/>
        <v>1900</v>
      </c>
      <c r="B1029" s="59">
        <f t="shared" si="109"/>
        <v>1</v>
      </c>
      <c r="C1029" s="60"/>
      <c r="D1029" s="61"/>
      <c r="F1029" s="23" t="e">
        <f>VLOOKUP(E1029,Customers[],2,FALSE)</f>
        <v>#N/A</v>
      </c>
      <c r="G1029" s="23" t="e">
        <f>VLOOKUP(E1029,Customers[],3,FALSE)</f>
        <v>#N/A</v>
      </c>
      <c r="H1029" s="23" t="e">
        <f>VLOOKUP(E1029,Customers[],4,FALSE)</f>
        <v>#N/A</v>
      </c>
      <c r="J1029" s="29" t="e">
        <f>VLOOKUP(I1029,PGStock[],2,FALSE)</f>
        <v>#N/A</v>
      </c>
      <c r="K1029" s="30" t="e">
        <f>VLOOKUP(I1029,PGStock[],3,FALSE)</f>
        <v>#N/A</v>
      </c>
      <c r="M1029" s="62" t="e">
        <f>VLOOKUP(I1029,PGStock[],6,FALSE)</f>
        <v>#N/A</v>
      </c>
      <c r="N1029" s="62" t="e">
        <f>+Table8[[#This Row],[SalesBot]]*Table8[[#This Row],[Bonus]]</f>
        <v>#N/A</v>
      </c>
    </row>
    <row r="1030" spans="1:14" ht="23.25" customHeight="1" x14ac:dyDescent="0.25">
      <c r="A1030" s="59">
        <f t="shared" si="108"/>
        <v>1900</v>
      </c>
      <c r="B1030" s="59">
        <f t="shared" si="109"/>
        <v>1</v>
      </c>
      <c r="C1030" s="60"/>
      <c r="D1030" s="61"/>
      <c r="F1030" s="23" t="e">
        <f>VLOOKUP(E1030,Customers[],2,FALSE)</f>
        <v>#N/A</v>
      </c>
      <c r="G1030" s="23" t="e">
        <f>VLOOKUP(E1030,Customers[],3,FALSE)</f>
        <v>#N/A</v>
      </c>
      <c r="H1030" s="23" t="e">
        <f>VLOOKUP(E1030,Customers[],4,FALSE)</f>
        <v>#N/A</v>
      </c>
      <c r="J1030" s="29" t="e">
        <f>VLOOKUP(I1030,PGStock[],2,FALSE)</f>
        <v>#N/A</v>
      </c>
      <c r="K1030" s="30" t="e">
        <f>VLOOKUP(I1030,PGStock[],3,FALSE)</f>
        <v>#N/A</v>
      </c>
      <c r="M1030" s="62" t="e">
        <f>VLOOKUP(I1030,PGStock[],6,FALSE)</f>
        <v>#N/A</v>
      </c>
      <c r="N1030" s="62" t="e">
        <f>+Table8[[#This Row],[SalesBot]]*Table8[[#This Row],[Bonus]]</f>
        <v>#N/A</v>
      </c>
    </row>
    <row r="1031" spans="1:14" ht="23.25" customHeight="1" x14ac:dyDescent="0.25">
      <c r="A1031" s="59">
        <f t="shared" si="108"/>
        <v>1900</v>
      </c>
      <c r="B1031" s="59">
        <f t="shared" si="109"/>
        <v>1</v>
      </c>
      <c r="C1031" s="60"/>
      <c r="D1031" s="61"/>
      <c r="F1031" s="23" t="e">
        <f>VLOOKUP(E1031,Customers[],2,FALSE)</f>
        <v>#N/A</v>
      </c>
      <c r="G1031" s="23" t="e">
        <f>VLOOKUP(E1031,Customers[],3,FALSE)</f>
        <v>#N/A</v>
      </c>
      <c r="H1031" s="23" t="e">
        <f>VLOOKUP(E1031,Customers[],4,FALSE)</f>
        <v>#N/A</v>
      </c>
      <c r="J1031" s="29" t="e">
        <f>VLOOKUP(I1031,PGStock[],2,FALSE)</f>
        <v>#N/A</v>
      </c>
      <c r="K1031" s="30" t="e">
        <f>VLOOKUP(I1031,PGStock[],3,FALSE)</f>
        <v>#N/A</v>
      </c>
      <c r="M1031" s="62" t="e">
        <f>VLOOKUP(I1031,PGStock[],6,FALSE)</f>
        <v>#N/A</v>
      </c>
      <c r="N1031" s="62" t="e">
        <f>+Table8[[#This Row],[SalesBot]]*Table8[[#This Row],[Bonus]]</f>
        <v>#N/A</v>
      </c>
    </row>
    <row r="1032" spans="1:14" ht="23.25" customHeight="1" x14ac:dyDescent="0.25">
      <c r="A1032" s="59">
        <f t="shared" si="108"/>
        <v>1900</v>
      </c>
      <c r="B1032" s="59">
        <f t="shared" si="109"/>
        <v>1</v>
      </c>
      <c r="C1032" s="60"/>
      <c r="D1032" s="61"/>
      <c r="F1032" s="23" t="e">
        <f>VLOOKUP(E1032,Customers[],2,FALSE)</f>
        <v>#N/A</v>
      </c>
      <c r="G1032" s="23" t="e">
        <f>VLOOKUP(E1032,Customers[],3,FALSE)</f>
        <v>#N/A</v>
      </c>
      <c r="H1032" s="23" t="e">
        <f>VLOOKUP(E1032,Customers[],4,FALSE)</f>
        <v>#N/A</v>
      </c>
      <c r="J1032" s="29" t="e">
        <f>VLOOKUP(I1032,PGStock[],2,FALSE)</f>
        <v>#N/A</v>
      </c>
      <c r="K1032" s="30" t="e">
        <f>VLOOKUP(I1032,PGStock[],3,FALSE)</f>
        <v>#N/A</v>
      </c>
      <c r="M1032" s="62" t="e">
        <f>VLOOKUP(I1032,PGStock[],6,FALSE)</f>
        <v>#N/A</v>
      </c>
      <c r="N1032" s="62" t="e">
        <f>+Table8[[#This Row],[SalesBot]]*Table8[[#This Row],[Bonus]]</f>
        <v>#N/A</v>
      </c>
    </row>
    <row r="1033" spans="1:14" ht="23.25" customHeight="1" x14ac:dyDescent="0.25">
      <c r="A1033" s="59">
        <f t="shared" si="108"/>
        <v>1900</v>
      </c>
      <c r="B1033" s="59">
        <f t="shared" si="109"/>
        <v>1</v>
      </c>
      <c r="C1033" s="60"/>
      <c r="D1033" s="61"/>
      <c r="F1033" s="23" t="e">
        <f>VLOOKUP(E1033,Customers[],2,FALSE)</f>
        <v>#N/A</v>
      </c>
      <c r="G1033" s="23" t="e">
        <f>VLOOKUP(E1033,Customers[],3,FALSE)</f>
        <v>#N/A</v>
      </c>
      <c r="H1033" s="23" t="e">
        <f>VLOOKUP(E1033,Customers[],4,FALSE)</f>
        <v>#N/A</v>
      </c>
      <c r="J1033" s="29" t="e">
        <f>VLOOKUP(I1033,PGStock[],2,FALSE)</f>
        <v>#N/A</v>
      </c>
      <c r="K1033" s="30" t="e">
        <f>VLOOKUP(I1033,PGStock[],3,FALSE)</f>
        <v>#N/A</v>
      </c>
      <c r="M1033" s="62" t="e">
        <f>VLOOKUP(I1033,PGStock[],6,FALSE)</f>
        <v>#N/A</v>
      </c>
      <c r="N1033" s="62" t="e">
        <f>+Table8[[#This Row],[SalesBot]]*Table8[[#This Row],[Bonus]]</f>
        <v>#N/A</v>
      </c>
    </row>
    <row r="1034" spans="1:14" ht="23.25" customHeight="1" x14ac:dyDescent="0.25">
      <c r="A1034" s="59">
        <f t="shared" si="108"/>
        <v>1900</v>
      </c>
      <c r="B1034" s="59">
        <f t="shared" si="109"/>
        <v>1</v>
      </c>
      <c r="C1034" s="60"/>
      <c r="D1034" s="61"/>
      <c r="F1034" s="23" t="e">
        <f>VLOOKUP(E1034,Customers[],2,FALSE)</f>
        <v>#N/A</v>
      </c>
      <c r="G1034" s="23" t="e">
        <f>VLOOKUP(E1034,Customers[],3,FALSE)</f>
        <v>#N/A</v>
      </c>
      <c r="H1034" s="23" t="e">
        <f>VLOOKUP(E1034,Customers[],4,FALSE)</f>
        <v>#N/A</v>
      </c>
      <c r="J1034" s="29" t="e">
        <f>VLOOKUP(I1034,PGStock[],2,FALSE)</f>
        <v>#N/A</v>
      </c>
      <c r="K1034" s="30" t="e">
        <f>VLOOKUP(I1034,PGStock[],3,FALSE)</f>
        <v>#N/A</v>
      </c>
      <c r="M1034" s="62" t="e">
        <f>VLOOKUP(I1034,PGStock[],6,FALSE)</f>
        <v>#N/A</v>
      </c>
      <c r="N1034" s="62" t="e">
        <f>+Table8[[#This Row],[SalesBot]]*Table8[[#This Row],[Bonus]]</f>
        <v>#N/A</v>
      </c>
    </row>
    <row r="1035" spans="1:14" ht="23.25" customHeight="1" x14ac:dyDescent="0.25">
      <c r="A1035" s="59">
        <f t="shared" si="108"/>
        <v>1900</v>
      </c>
      <c r="B1035" s="59">
        <f t="shared" si="109"/>
        <v>1</v>
      </c>
      <c r="C1035" s="60"/>
      <c r="D1035" s="61"/>
      <c r="F1035" s="23" t="e">
        <f>VLOOKUP(E1035,Customers[],2,FALSE)</f>
        <v>#N/A</v>
      </c>
      <c r="G1035" s="23" t="e">
        <f>VLOOKUP(E1035,Customers[],3,FALSE)</f>
        <v>#N/A</v>
      </c>
      <c r="H1035" s="23" t="e">
        <f>VLOOKUP(E1035,Customers[],4,FALSE)</f>
        <v>#N/A</v>
      </c>
      <c r="J1035" s="29" t="e">
        <f>VLOOKUP(I1035,PGStock[],2,FALSE)</f>
        <v>#N/A</v>
      </c>
      <c r="K1035" s="30" t="e">
        <f>VLOOKUP(I1035,PGStock[],3,FALSE)</f>
        <v>#N/A</v>
      </c>
      <c r="M1035" s="62" t="e">
        <f>VLOOKUP(I1035,PGStock[],6,FALSE)</f>
        <v>#N/A</v>
      </c>
      <c r="N1035" s="62" t="e">
        <f>+Table8[[#This Row],[SalesBot]]*Table8[[#This Row],[Bonus]]</f>
        <v>#N/A</v>
      </c>
    </row>
    <row r="1036" spans="1:14" ht="23.25" customHeight="1" x14ac:dyDescent="0.25">
      <c r="A1036" s="59">
        <f t="shared" si="108"/>
        <v>1900</v>
      </c>
      <c r="B1036" s="59">
        <f t="shared" si="109"/>
        <v>1</v>
      </c>
      <c r="C1036" s="60"/>
      <c r="D1036" s="61"/>
      <c r="F1036" s="23" t="e">
        <f>VLOOKUP(E1036,Customers[],2,FALSE)</f>
        <v>#N/A</v>
      </c>
      <c r="G1036" s="23" t="e">
        <f>VLOOKUP(E1036,Customers[],3,FALSE)</f>
        <v>#N/A</v>
      </c>
      <c r="H1036" s="23" t="e">
        <f>VLOOKUP(E1036,Customers[],4,FALSE)</f>
        <v>#N/A</v>
      </c>
      <c r="J1036" s="29" t="e">
        <f>VLOOKUP(I1036,PGStock[],2,FALSE)</f>
        <v>#N/A</v>
      </c>
      <c r="K1036" s="30" t="e">
        <f>VLOOKUP(I1036,PGStock[],3,FALSE)</f>
        <v>#N/A</v>
      </c>
      <c r="M1036" s="62" t="e">
        <f>VLOOKUP(I1036,PGStock[],6,FALSE)</f>
        <v>#N/A</v>
      </c>
      <c r="N1036" s="62" t="e">
        <f>+Table8[[#This Row],[SalesBot]]*Table8[[#This Row],[Bonus]]</f>
        <v>#N/A</v>
      </c>
    </row>
    <row r="1037" spans="1:14" ht="23.25" customHeight="1" x14ac:dyDescent="0.25">
      <c r="A1037" s="59">
        <f t="shared" si="108"/>
        <v>1900</v>
      </c>
      <c r="B1037" s="59">
        <f t="shared" si="109"/>
        <v>1</v>
      </c>
      <c r="C1037" s="60"/>
      <c r="D1037" s="61"/>
      <c r="F1037" s="23" t="e">
        <f>VLOOKUP(E1037,Customers[],2,FALSE)</f>
        <v>#N/A</v>
      </c>
      <c r="G1037" s="23" t="e">
        <f>VLOOKUP(E1037,Customers[],3,FALSE)</f>
        <v>#N/A</v>
      </c>
      <c r="H1037" s="23" t="e">
        <f>VLOOKUP(E1037,Customers[],4,FALSE)</f>
        <v>#N/A</v>
      </c>
      <c r="J1037" s="29" t="e">
        <f>VLOOKUP(I1037,PGStock[],2,FALSE)</f>
        <v>#N/A</v>
      </c>
      <c r="K1037" s="30" t="e">
        <f>VLOOKUP(I1037,PGStock[],3,FALSE)</f>
        <v>#N/A</v>
      </c>
      <c r="M1037" s="62" t="e">
        <f>VLOOKUP(I1037,PGStock[],6,FALSE)</f>
        <v>#N/A</v>
      </c>
      <c r="N1037" s="62" t="e">
        <f>+Table8[[#This Row],[SalesBot]]*Table8[[#This Row],[Bonus]]</f>
        <v>#N/A</v>
      </c>
    </row>
    <row r="1038" spans="1:14" ht="23.25" customHeight="1" x14ac:dyDescent="0.25">
      <c r="A1038" s="59">
        <f t="shared" si="108"/>
        <v>1900</v>
      </c>
      <c r="B1038" s="59">
        <f t="shared" si="109"/>
        <v>1</v>
      </c>
      <c r="C1038" s="60"/>
      <c r="D1038" s="61"/>
      <c r="F1038" s="23" t="e">
        <f>VLOOKUP(E1038,Customers[],2,FALSE)</f>
        <v>#N/A</v>
      </c>
      <c r="G1038" s="23" t="e">
        <f>VLOOKUP(E1038,Customers[],3,FALSE)</f>
        <v>#N/A</v>
      </c>
      <c r="H1038" s="23" t="e">
        <f>VLOOKUP(E1038,Customers[],4,FALSE)</f>
        <v>#N/A</v>
      </c>
      <c r="J1038" s="29" t="e">
        <f>VLOOKUP(I1038,PGStock[],2,FALSE)</f>
        <v>#N/A</v>
      </c>
      <c r="K1038" s="30" t="e">
        <f>VLOOKUP(I1038,PGStock[],3,FALSE)</f>
        <v>#N/A</v>
      </c>
      <c r="M1038" s="62" t="e">
        <f>VLOOKUP(I1038,PGStock[],6,FALSE)</f>
        <v>#N/A</v>
      </c>
      <c r="N1038" s="62" t="e">
        <f>+Table8[[#This Row],[SalesBot]]*Table8[[#This Row],[Bonus]]</f>
        <v>#N/A</v>
      </c>
    </row>
    <row r="1039" spans="1:14" ht="23.25" customHeight="1" x14ac:dyDescent="0.25">
      <c r="A1039" s="59">
        <f t="shared" si="108"/>
        <v>1900</v>
      </c>
      <c r="B1039" s="59">
        <f t="shared" si="109"/>
        <v>1</v>
      </c>
      <c r="C1039" s="60"/>
      <c r="D1039" s="61"/>
      <c r="F1039" s="23" t="e">
        <f>VLOOKUP(E1039,Customers[],2,FALSE)</f>
        <v>#N/A</v>
      </c>
      <c r="G1039" s="23" t="e">
        <f>VLOOKUP(E1039,Customers[],3,FALSE)</f>
        <v>#N/A</v>
      </c>
      <c r="H1039" s="23" t="e">
        <f>VLOOKUP(E1039,Customers[],4,FALSE)</f>
        <v>#N/A</v>
      </c>
      <c r="J1039" s="29" t="e">
        <f>VLOOKUP(I1039,PGStock[],2,FALSE)</f>
        <v>#N/A</v>
      </c>
      <c r="K1039" s="30" t="e">
        <f>VLOOKUP(I1039,PGStock[],3,FALSE)</f>
        <v>#N/A</v>
      </c>
      <c r="M1039" s="62" t="e">
        <f>VLOOKUP(I1039,PGStock[],6,FALSE)</f>
        <v>#N/A</v>
      </c>
      <c r="N1039" s="62" t="e">
        <f>+Table8[[#This Row],[SalesBot]]*Table8[[#This Row],[Bonus]]</f>
        <v>#N/A</v>
      </c>
    </row>
    <row r="1040" spans="1:14" ht="23.25" customHeight="1" x14ac:dyDescent="0.25">
      <c r="A1040" s="59">
        <f t="shared" si="108"/>
        <v>1900</v>
      </c>
      <c r="B1040" s="59">
        <f t="shared" si="109"/>
        <v>1</v>
      </c>
      <c r="C1040" s="60"/>
      <c r="D1040" s="61"/>
      <c r="F1040" s="23" t="e">
        <f>VLOOKUP(E1040,Customers[],2,FALSE)</f>
        <v>#N/A</v>
      </c>
      <c r="G1040" s="23" t="e">
        <f>VLOOKUP(E1040,Customers[],3,FALSE)</f>
        <v>#N/A</v>
      </c>
      <c r="H1040" s="23" t="e">
        <f>VLOOKUP(E1040,Customers[],4,FALSE)</f>
        <v>#N/A</v>
      </c>
      <c r="J1040" s="29" t="e">
        <f>VLOOKUP(I1040,PGStock[],2,FALSE)</f>
        <v>#N/A</v>
      </c>
      <c r="K1040" s="30" t="e">
        <f>VLOOKUP(I1040,PGStock[],3,FALSE)</f>
        <v>#N/A</v>
      </c>
      <c r="M1040" s="62" t="e">
        <f>VLOOKUP(I1040,PGStock[],6,FALSE)</f>
        <v>#N/A</v>
      </c>
      <c r="N1040" s="62" t="e">
        <f>+Table8[[#This Row],[SalesBot]]*Table8[[#This Row],[Bonus]]</f>
        <v>#N/A</v>
      </c>
    </row>
    <row r="1041" spans="1:14" ht="23.25" customHeight="1" x14ac:dyDescent="0.25">
      <c r="A1041" s="59">
        <f t="shared" si="108"/>
        <v>1900</v>
      </c>
      <c r="B1041" s="59">
        <f t="shared" si="109"/>
        <v>1</v>
      </c>
      <c r="C1041" s="60"/>
      <c r="D1041" s="61"/>
      <c r="F1041" s="23" t="e">
        <f>VLOOKUP(E1041,Customers[],2,FALSE)</f>
        <v>#N/A</v>
      </c>
      <c r="G1041" s="23" t="e">
        <f>VLOOKUP(E1041,Customers[],3,FALSE)</f>
        <v>#N/A</v>
      </c>
      <c r="H1041" s="23" t="e">
        <f>VLOOKUP(E1041,Customers[],4,FALSE)</f>
        <v>#N/A</v>
      </c>
      <c r="J1041" s="29" t="e">
        <f>VLOOKUP(I1041,PGStock[],2,FALSE)</f>
        <v>#N/A</v>
      </c>
      <c r="K1041" s="30" t="e">
        <f>VLOOKUP(I1041,PGStock[],3,FALSE)</f>
        <v>#N/A</v>
      </c>
      <c r="M1041" s="62" t="e">
        <f>VLOOKUP(I1041,PGStock[],6,FALSE)</f>
        <v>#N/A</v>
      </c>
      <c r="N1041" s="62" t="e">
        <f>+Table8[[#This Row],[SalesBot]]*Table8[[#This Row],[Bonus]]</f>
        <v>#N/A</v>
      </c>
    </row>
    <row r="1042" spans="1:14" ht="23.25" customHeight="1" x14ac:dyDescent="0.25">
      <c r="A1042" s="59">
        <f t="shared" si="108"/>
        <v>1900</v>
      </c>
      <c r="B1042" s="59">
        <f t="shared" si="109"/>
        <v>1</v>
      </c>
      <c r="C1042" s="60"/>
      <c r="D1042" s="61"/>
      <c r="F1042" s="23" t="e">
        <f>VLOOKUP(E1042,Customers[],2,FALSE)</f>
        <v>#N/A</v>
      </c>
      <c r="G1042" s="23" t="e">
        <f>VLOOKUP(E1042,Customers[],3,FALSE)</f>
        <v>#N/A</v>
      </c>
      <c r="H1042" s="23" t="e">
        <f>VLOOKUP(E1042,Customers[],4,FALSE)</f>
        <v>#N/A</v>
      </c>
      <c r="J1042" s="29" t="e">
        <f>VLOOKUP(I1042,PGStock[],2,FALSE)</f>
        <v>#N/A</v>
      </c>
      <c r="K1042" s="30" t="e">
        <f>VLOOKUP(I1042,PGStock[],3,FALSE)</f>
        <v>#N/A</v>
      </c>
      <c r="M1042" s="62" t="e">
        <f>VLOOKUP(I1042,PGStock[],6,FALSE)</f>
        <v>#N/A</v>
      </c>
      <c r="N1042" s="62" t="e">
        <f>+Table8[[#This Row],[SalesBot]]*Table8[[#This Row],[Bonus]]</f>
        <v>#N/A</v>
      </c>
    </row>
    <row r="1043" spans="1:14" ht="23.25" customHeight="1" x14ac:dyDescent="0.25">
      <c r="A1043" s="59">
        <f t="shared" si="108"/>
        <v>1900</v>
      </c>
      <c r="B1043" s="59">
        <f t="shared" si="109"/>
        <v>1</v>
      </c>
      <c r="C1043" s="60"/>
      <c r="D1043" s="61"/>
      <c r="F1043" s="23" t="e">
        <f>VLOOKUP(E1043,Customers[],2,FALSE)</f>
        <v>#N/A</v>
      </c>
      <c r="G1043" s="23" t="e">
        <f>VLOOKUP(E1043,Customers[],3,FALSE)</f>
        <v>#N/A</v>
      </c>
      <c r="H1043" s="23" t="e">
        <f>VLOOKUP(E1043,Customers[],4,FALSE)</f>
        <v>#N/A</v>
      </c>
      <c r="J1043" s="29" t="e">
        <f>VLOOKUP(I1043,PGStock[],2,FALSE)</f>
        <v>#N/A</v>
      </c>
      <c r="K1043" s="30" t="e">
        <f>VLOOKUP(I1043,PGStock[],3,FALSE)</f>
        <v>#N/A</v>
      </c>
      <c r="M1043" s="62" t="e">
        <f>VLOOKUP(I1043,PGStock[],6,FALSE)</f>
        <v>#N/A</v>
      </c>
      <c r="N1043" s="62" t="e">
        <f>+Table8[[#This Row],[SalesBot]]*Table8[[#This Row],[Bonus]]</f>
        <v>#N/A</v>
      </c>
    </row>
    <row r="1044" spans="1:14" ht="23.25" customHeight="1" x14ac:dyDescent="0.25">
      <c r="A1044" s="59">
        <f t="shared" si="108"/>
        <v>1900</v>
      </c>
      <c r="B1044" s="59">
        <f t="shared" si="109"/>
        <v>1</v>
      </c>
      <c r="C1044" s="60"/>
      <c r="D1044" s="61"/>
      <c r="F1044" s="23" t="e">
        <f>VLOOKUP(E1044,Customers[],2,FALSE)</f>
        <v>#N/A</v>
      </c>
      <c r="G1044" s="23" t="e">
        <f>VLOOKUP(E1044,Customers[],3,FALSE)</f>
        <v>#N/A</v>
      </c>
      <c r="H1044" s="23" t="e">
        <f>VLOOKUP(E1044,Customers[],4,FALSE)</f>
        <v>#N/A</v>
      </c>
      <c r="J1044" s="29" t="e">
        <f>VLOOKUP(I1044,PGStock[],2,FALSE)</f>
        <v>#N/A</v>
      </c>
      <c r="K1044" s="30" t="e">
        <f>VLOOKUP(I1044,PGStock[],3,FALSE)</f>
        <v>#N/A</v>
      </c>
      <c r="M1044" s="62" t="e">
        <f>VLOOKUP(I1044,PGStock[],6,FALSE)</f>
        <v>#N/A</v>
      </c>
      <c r="N1044" s="62" t="e">
        <f>+Table8[[#This Row],[SalesBot]]*Table8[[#This Row],[Bonus]]</f>
        <v>#N/A</v>
      </c>
    </row>
    <row r="1045" spans="1:14" ht="23.25" customHeight="1" x14ac:dyDescent="0.25">
      <c r="A1045" s="59">
        <f t="shared" si="108"/>
        <v>1900</v>
      </c>
      <c r="B1045" s="59">
        <f t="shared" si="109"/>
        <v>1</v>
      </c>
      <c r="C1045" s="60"/>
      <c r="D1045" s="61"/>
      <c r="F1045" s="23" t="e">
        <f>VLOOKUP(E1045,Customers[],2,FALSE)</f>
        <v>#N/A</v>
      </c>
      <c r="G1045" s="23" t="e">
        <f>VLOOKUP(E1045,Customers[],3,FALSE)</f>
        <v>#N/A</v>
      </c>
      <c r="H1045" s="23" t="e">
        <f>VLOOKUP(E1045,Customers[],4,FALSE)</f>
        <v>#N/A</v>
      </c>
      <c r="J1045" s="29" t="e">
        <f>VLOOKUP(I1045,PGStock[],2,FALSE)</f>
        <v>#N/A</v>
      </c>
      <c r="K1045" s="30" t="e">
        <f>VLOOKUP(I1045,PGStock[],3,FALSE)</f>
        <v>#N/A</v>
      </c>
      <c r="M1045" s="62" t="e">
        <f>VLOOKUP(I1045,PGStock[],6,FALSE)</f>
        <v>#N/A</v>
      </c>
      <c r="N1045" s="62" t="e">
        <f>+Table8[[#This Row],[SalesBot]]*Table8[[#This Row],[Bonus]]</f>
        <v>#N/A</v>
      </c>
    </row>
    <row r="1046" spans="1:14" ht="23.25" customHeight="1" x14ac:dyDescent="0.25">
      <c r="A1046" s="59">
        <f t="shared" si="108"/>
        <v>1900</v>
      </c>
      <c r="B1046" s="59">
        <f t="shared" si="109"/>
        <v>1</v>
      </c>
      <c r="C1046" s="60"/>
      <c r="D1046" s="61"/>
      <c r="F1046" s="23" t="e">
        <f>VLOOKUP(E1046,Customers[],2,FALSE)</f>
        <v>#N/A</v>
      </c>
      <c r="G1046" s="23" t="e">
        <f>VLOOKUP(E1046,Customers[],3,FALSE)</f>
        <v>#N/A</v>
      </c>
      <c r="H1046" s="23" t="e">
        <f>VLOOKUP(E1046,Customers[],4,FALSE)</f>
        <v>#N/A</v>
      </c>
      <c r="J1046" s="29" t="e">
        <f>VLOOKUP(I1046,PGStock[],2,FALSE)</f>
        <v>#N/A</v>
      </c>
      <c r="K1046" s="30" t="e">
        <f>VLOOKUP(I1046,PGStock[],3,FALSE)</f>
        <v>#N/A</v>
      </c>
      <c r="M1046" s="62" t="e">
        <f>VLOOKUP(I1046,PGStock[],6,FALSE)</f>
        <v>#N/A</v>
      </c>
      <c r="N1046" s="62" t="e">
        <f>+Table8[[#This Row],[SalesBot]]*Table8[[#This Row],[Bonus]]</f>
        <v>#N/A</v>
      </c>
    </row>
    <row r="1047" spans="1:14" ht="23.25" customHeight="1" x14ac:dyDescent="0.25">
      <c r="A1047" s="59">
        <f t="shared" si="108"/>
        <v>1900</v>
      </c>
      <c r="B1047" s="59">
        <f t="shared" si="109"/>
        <v>1</v>
      </c>
      <c r="C1047" s="60"/>
      <c r="D1047" s="61"/>
      <c r="F1047" s="23" t="e">
        <f>VLOOKUP(E1047,Customers[],2,FALSE)</f>
        <v>#N/A</v>
      </c>
      <c r="G1047" s="23" t="e">
        <f>VLOOKUP(E1047,Customers[],3,FALSE)</f>
        <v>#N/A</v>
      </c>
      <c r="H1047" s="23" t="e">
        <f>VLOOKUP(E1047,Customers[],4,FALSE)</f>
        <v>#N/A</v>
      </c>
      <c r="J1047" s="29" t="e">
        <f>VLOOKUP(I1047,PGStock[],2,FALSE)</f>
        <v>#N/A</v>
      </c>
      <c r="K1047" s="30" t="e">
        <f>VLOOKUP(I1047,PGStock[],3,FALSE)</f>
        <v>#N/A</v>
      </c>
      <c r="M1047" s="62" t="e">
        <f>VLOOKUP(I1047,PGStock[],6,FALSE)</f>
        <v>#N/A</v>
      </c>
      <c r="N1047" s="62" t="e">
        <f>+Table8[[#This Row],[SalesBot]]*Table8[[#This Row],[Bonus]]</f>
        <v>#N/A</v>
      </c>
    </row>
    <row r="1048" spans="1:14" ht="23.25" customHeight="1" x14ac:dyDescent="0.25">
      <c r="A1048" s="59">
        <f t="shared" si="108"/>
        <v>1900</v>
      </c>
      <c r="B1048" s="59">
        <f t="shared" si="109"/>
        <v>1</v>
      </c>
      <c r="C1048" s="60"/>
      <c r="D1048" s="61"/>
      <c r="F1048" s="23" t="e">
        <f>VLOOKUP(E1048,Customers[],2,FALSE)</f>
        <v>#N/A</v>
      </c>
      <c r="G1048" s="23" t="e">
        <f>VLOOKUP(E1048,Customers[],3,FALSE)</f>
        <v>#N/A</v>
      </c>
      <c r="H1048" s="23" t="e">
        <f>VLOOKUP(E1048,Customers[],4,FALSE)</f>
        <v>#N/A</v>
      </c>
      <c r="J1048" s="29" t="e">
        <f>VLOOKUP(I1048,PGStock[],2,FALSE)</f>
        <v>#N/A</v>
      </c>
      <c r="K1048" s="30" t="e">
        <f>VLOOKUP(I1048,PGStock[],3,FALSE)</f>
        <v>#N/A</v>
      </c>
      <c r="M1048" s="62" t="e">
        <f>VLOOKUP(I1048,PGStock[],6,FALSE)</f>
        <v>#N/A</v>
      </c>
      <c r="N1048" s="62" t="e">
        <f>+Table8[[#This Row],[SalesBot]]*Table8[[#This Row],[Bonus]]</f>
        <v>#N/A</v>
      </c>
    </row>
    <row r="1049" spans="1:14" ht="23.25" customHeight="1" x14ac:dyDescent="0.25">
      <c r="A1049" s="59">
        <f t="shared" si="108"/>
        <v>1900</v>
      </c>
      <c r="B1049" s="59">
        <f t="shared" si="109"/>
        <v>1</v>
      </c>
      <c r="C1049" s="60"/>
      <c r="D1049" s="61"/>
      <c r="F1049" s="23" t="e">
        <f>VLOOKUP(E1049,Customers[],2,FALSE)</f>
        <v>#N/A</v>
      </c>
      <c r="G1049" s="23" t="e">
        <f>VLOOKUP(E1049,Customers[],3,FALSE)</f>
        <v>#N/A</v>
      </c>
      <c r="H1049" s="23" t="e">
        <f>VLOOKUP(E1049,Customers[],4,FALSE)</f>
        <v>#N/A</v>
      </c>
      <c r="J1049" s="29" t="e">
        <f>VLOOKUP(I1049,PGStock[],2,FALSE)</f>
        <v>#N/A</v>
      </c>
      <c r="K1049" s="30" t="e">
        <f>VLOOKUP(I1049,PGStock[],3,FALSE)</f>
        <v>#N/A</v>
      </c>
      <c r="M1049" s="62" t="e">
        <f>VLOOKUP(I1049,PGStock[],6,FALSE)</f>
        <v>#N/A</v>
      </c>
      <c r="N1049" s="62" t="e">
        <f>+Table8[[#This Row],[SalesBot]]*Table8[[#This Row],[Bonus]]</f>
        <v>#N/A</v>
      </c>
    </row>
    <row r="1050" spans="1:14" ht="23.25" customHeight="1" x14ac:dyDescent="0.25">
      <c r="A1050" s="59">
        <f t="shared" si="108"/>
        <v>1900</v>
      </c>
      <c r="B1050" s="59">
        <f t="shared" si="109"/>
        <v>1</v>
      </c>
      <c r="C1050" s="60"/>
      <c r="D1050" s="61"/>
      <c r="F1050" s="23" t="e">
        <f>VLOOKUP(E1050,Customers[],2,FALSE)</f>
        <v>#N/A</v>
      </c>
      <c r="G1050" s="23" t="e">
        <f>VLOOKUP(E1050,Customers[],3,FALSE)</f>
        <v>#N/A</v>
      </c>
      <c r="H1050" s="23" t="e">
        <f>VLOOKUP(E1050,Customers[],4,FALSE)</f>
        <v>#N/A</v>
      </c>
      <c r="J1050" s="29" t="e">
        <f>VLOOKUP(I1050,PGStock[],2,FALSE)</f>
        <v>#N/A</v>
      </c>
      <c r="K1050" s="30" t="e">
        <f>VLOOKUP(I1050,PGStock[],3,FALSE)</f>
        <v>#N/A</v>
      </c>
      <c r="M1050" s="62" t="e">
        <f>VLOOKUP(I1050,PGStock[],6,FALSE)</f>
        <v>#N/A</v>
      </c>
      <c r="N1050" s="62" t="e">
        <f>+Table8[[#This Row],[SalesBot]]*Table8[[#This Row],[Bonus]]</f>
        <v>#N/A</v>
      </c>
    </row>
    <row r="1051" spans="1:14" ht="23.25" customHeight="1" x14ac:dyDescent="0.25">
      <c r="A1051" s="59">
        <f t="shared" si="108"/>
        <v>1900</v>
      </c>
      <c r="B1051" s="59">
        <f t="shared" si="109"/>
        <v>1</v>
      </c>
      <c r="C1051" s="60"/>
      <c r="D1051" s="61"/>
      <c r="F1051" s="23" t="e">
        <f>VLOOKUP(E1051,Customers[],2,FALSE)</f>
        <v>#N/A</v>
      </c>
      <c r="G1051" s="23" t="e">
        <f>VLOOKUP(E1051,Customers[],3,FALSE)</f>
        <v>#N/A</v>
      </c>
      <c r="H1051" s="23" t="e">
        <f>VLOOKUP(E1051,Customers[],4,FALSE)</f>
        <v>#N/A</v>
      </c>
      <c r="J1051" s="29" t="e">
        <f>VLOOKUP(I1051,PGStock[],2,FALSE)</f>
        <v>#N/A</v>
      </c>
      <c r="K1051" s="30" t="e">
        <f>VLOOKUP(I1051,PGStock[],3,FALSE)</f>
        <v>#N/A</v>
      </c>
      <c r="M1051" s="62" t="e">
        <f>VLOOKUP(I1051,PGStock[],6,FALSE)</f>
        <v>#N/A</v>
      </c>
      <c r="N1051" s="62" t="e">
        <f>+Table8[[#This Row],[SalesBot]]*Table8[[#This Row],[Bonus]]</f>
        <v>#N/A</v>
      </c>
    </row>
    <row r="1052" spans="1:14" ht="23.25" customHeight="1" x14ac:dyDescent="0.25">
      <c r="A1052" s="59">
        <f t="shared" si="108"/>
        <v>1900</v>
      </c>
      <c r="B1052" s="59">
        <f t="shared" si="109"/>
        <v>1</v>
      </c>
      <c r="C1052" s="60"/>
      <c r="D1052" s="61"/>
      <c r="F1052" s="23" t="e">
        <f>VLOOKUP(E1052,Customers[],2,FALSE)</f>
        <v>#N/A</v>
      </c>
      <c r="G1052" s="23" t="e">
        <f>VLOOKUP(E1052,Customers[],3,FALSE)</f>
        <v>#N/A</v>
      </c>
      <c r="H1052" s="23" t="e">
        <f>VLOOKUP(E1052,Customers[],4,FALSE)</f>
        <v>#N/A</v>
      </c>
      <c r="J1052" s="29" t="e">
        <f>VLOOKUP(I1052,PGStock[],2,FALSE)</f>
        <v>#N/A</v>
      </c>
      <c r="K1052" s="30" t="e">
        <f>VLOOKUP(I1052,PGStock[],3,FALSE)</f>
        <v>#N/A</v>
      </c>
      <c r="M1052" s="62" t="e">
        <f>VLOOKUP(I1052,PGStock[],6,FALSE)</f>
        <v>#N/A</v>
      </c>
      <c r="N1052" s="62" t="e">
        <f>+Table8[[#This Row],[SalesBot]]*Table8[[#This Row],[Bonus]]</f>
        <v>#N/A</v>
      </c>
    </row>
    <row r="1053" spans="1:14" ht="23.25" customHeight="1" x14ac:dyDescent="0.25">
      <c r="A1053" s="59">
        <f t="shared" si="108"/>
        <v>1900</v>
      </c>
      <c r="B1053" s="59">
        <f t="shared" si="109"/>
        <v>1</v>
      </c>
      <c r="C1053" s="60"/>
      <c r="D1053" s="61"/>
      <c r="F1053" s="23" t="e">
        <f>VLOOKUP(E1053,Customers[],2,FALSE)</f>
        <v>#N/A</v>
      </c>
      <c r="G1053" s="23" t="e">
        <f>VLOOKUP(E1053,Customers[],3,FALSE)</f>
        <v>#N/A</v>
      </c>
      <c r="H1053" s="23" t="e">
        <f>VLOOKUP(E1053,Customers[],4,FALSE)</f>
        <v>#N/A</v>
      </c>
      <c r="J1053" s="29" t="e">
        <f>VLOOKUP(I1053,PGStock[],2,FALSE)</f>
        <v>#N/A</v>
      </c>
      <c r="K1053" s="30" t="e">
        <f>VLOOKUP(I1053,PGStock[],3,FALSE)</f>
        <v>#N/A</v>
      </c>
      <c r="M1053" s="62" t="e">
        <f>VLOOKUP(I1053,PGStock[],6,FALSE)</f>
        <v>#N/A</v>
      </c>
      <c r="N1053" s="62" t="e">
        <f>+Table8[[#This Row],[SalesBot]]*Table8[[#This Row],[Bonus]]</f>
        <v>#N/A</v>
      </c>
    </row>
    <row r="1054" spans="1:14" ht="23.25" customHeight="1" x14ac:dyDescent="0.25">
      <c r="A1054" s="59">
        <f t="shared" si="108"/>
        <v>1900</v>
      </c>
      <c r="B1054" s="59">
        <f t="shared" si="109"/>
        <v>1</v>
      </c>
      <c r="C1054" s="60"/>
      <c r="D1054" s="61"/>
      <c r="F1054" s="23" t="e">
        <f>VLOOKUP(E1054,Customers[],2,FALSE)</f>
        <v>#N/A</v>
      </c>
      <c r="G1054" s="23" t="e">
        <f>VLOOKUP(E1054,Customers[],3,FALSE)</f>
        <v>#N/A</v>
      </c>
      <c r="H1054" s="23" t="e">
        <f>VLOOKUP(E1054,Customers[],4,FALSE)</f>
        <v>#N/A</v>
      </c>
      <c r="J1054" s="29" t="e">
        <f>VLOOKUP(I1054,PGStock[],2,FALSE)</f>
        <v>#N/A</v>
      </c>
      <c r="K1054" s="30" t="e">
        <f>VLOOKUP(I1054,PGStock[],3,FALSE)</f>
        <v>#N/A</v>
      </c>
      <c r="M1054" s="62" t="e">
        <f>VLOOKUP(I1054,PGStock[],6,FALSE)</f>
        <v>#N/A</v>
      </c>
      <c r="N1054" s="62" t="e">
        <f>+Table8[[#This Row],[SalesBot]]*Table8[[#This Row],[Bonus]]</f>
        <v>#N/A</v>
      </c>
    </row>
    <row r="1055" spans="1:14" ht="23.25" customHeight="1" x14ac:dyDescent="0.25">
      <c r="A1055" s="59">
        <f t="shared" si="82"/>
        <v>1900</v>
      </c>
      <c r="B1055" s="59">
        <f t="shared" si="83"/>
        <v>1</v>
      </c>
      <c r="C1055" s="60"/>
      <c r="D1055" s="61"/>
      <c r="F1055" s="23" t="e">
        <f>VLOOKUP(E1055,Customers[],2,FALSE)</f>
        <v>#N/A</v>
      </c>
      <c r="G1055" s="23" t="e">
        <f>VLOOKUP(E1055,Customers[],3,FALSE)</f>
        <v>#N/A</v>
      </c>
      <c r="H1055" s="23" t="e">
        <f>VLOOKUP(E1055,Customers[],4,FALSE)</f>
        <v>#N/A</v>
      </c>
      <c r="J1055" s="29" t="e">
        <f>VLOOKUP(I1055,PGStock[],2,FALSE)</f>
        <v>#N/A</v>
      </c>
      <c r="K1055" s="30" t="e">
        <f>VLOOKUP(I1055,PGStock[],3,FALSE)</f>
        <v>#N/A</v>
      </c>
      <c r="M1055" s="62" t="e">
        <f>VLOOKUP(I1055,PGStock[],6,FALSE)</f>
        <v>#N/A</v>
      </c>
      <c r="N1055" s="62" t="e">
        <f>+Table8[[#This Row],[SalesBot]]*Table8[[#This Row],[Bonus]]</f>
        <v>#N/A</v>
      </c>
    </row>
    <row r="1056" spans="1:14" ht="23.25" customHeight="1" x14ac:dyDescent="0.25">
      <c r="A1056" s="59">
        <f t="shared" si="82"/>
        <v>1900</v>
      </c>
      <c r="B1056" s="59">
        <f t="shared" si="83"/>
        <v>1</v>
      </c>
      <c r="C1056" s="60"/>
      <c r="D1056" s="61"/>
      <c r="F1056" s="23" t="e">
        <f>VLOOKUP(E1056,Customers[],2,FALSE)</f>
        <v>#N/A</v>
      </c>
      <c r="G1056" s="23" t="e">
        <f>VLOOKUP(E1056,Customers[],3,FALSE)</f>
        <v>#N/A</v>
      </c>
      <c r="H1056" s="23" t="e">
        <f>VLOOKUP(E1056,Customers[],4,FALSE)</f>
        <v>#N/A</v>
      </c>
      <c r="J1056" s="29" t="e">
        <f>VLOOKUP(I1056,PGStock[],2,FALSE)</f>
        <v>#N/A</v>
      </c>
      <c r="K1056" s="30" t="e">
        <f>VLOOKUP(I1056,PGStock[],3,FALSE)</f>
        <v>#N/A</v>
      </c>
      <c r="M1056" s="62" t="e">
        <f>VLOOKUP(I1056,PGStock[],6,FALSE)</f>
        <v>#N/A</v>
      </c>
      <c r="N1056" s="62" t="e">
        <f>+Table8[[#This Row],[SalesBot]]*Table8[[#This Row],[Bonus]]</f>
        <v>#N/A</v>
      </c>
    </row>
    <row r="1057" spans="1:14" ht="23.25" customHeight="1" x14ac:dyDescent="0.25">
      <c r="A1057" s="59">
        <f t="shared" si="82"/>
        <v>1900</v>
      </c>
      <c r="B1057" s="59">
        <f t="shared" si="83"/>
        <v>1</v>
      </c>
      <c r="C1057" s="60"/>
      <c r="D1057" s="61"/>
      <c r="F1057" s="23" t="e">
        <f>VLOOKUP(E1057,Customers[],2,FALSE)</f>
        <v>#N/A</v>
      </c>
      <c r="G1057" s="23" t="e">
        <f>VLOOKUP(E1057,Customers[],3,FALSE)</f>
        <v>#N/A</v>
      </c>
      <c r="H1057" s="23" t="e">
        <f>VLOOKUP(E1057,Customers[],4,FALSE)</f>
        <v>#N/A</v>
      </c>
      <c r="J1057" s="29" t="e">
        <f>VLOOKUP(I1057,PGStock[],2,FALSE)</f>
        <v>#N/A</v>
      </c>
      <c r="K1057" s="30" t="e">
        <f>VLOOKUP(I1057,PGStock[],3,FALSE)</f>
        <v>#N/A</v>
      </c>
      <c r="M1057" s="62" t="e">
        <f>VLOOKUP(I1057,PGStock[],6,FALSE)</f>
        <v>#N/A</v>
      </c>
      <c r="N1057" s="62" t="e">
        <f>+Table8[[#This Row],[SalesBot]]*Table8[[#This Row],[Bonus]]</f>
        <v>#N/A</v>
      </c>
    </row>
    <row r="1058" spans="1:14" ht="23.25" customHeight="1" x14ac:dyDescent="0.25">
      <c r="A1058" s="59">
        <f t="shared" ref="A1058:A2225" si="110">YEAR(C1058)</f>
        <v>1900</v>
      </c>
      <c r="B1058" s="59">
        <f t="shared" si="83"/>
        <v>1</v>
      </c>
      <c r="C1058" s="60"/>
      <c r="D1058" s="61"/>
      <c r="F1058" s="23" t="e">
        <f>VLOOKUP(E1058,Customers[],2,FALSE)</f>
        <v>#N/A</v>
      </c>
      <c r="G1058" s="23" t="e">
        <f>VLOOKUP(E1058,Customers[],3,FALSE)</f>
        <v>#N/A</v>
      </c>
      <c r="H1058" s="23" t="e">
        <f>VLOOKUP(E1058,Customers[],4,FALSE)</f>
        <v>#N/A</v>
      </c>
      <c r="J1058" s="29" t="e">
        <f>VLOOKUP(I1058,PGStock[],2,FALSE)</f>
        <v>#N/A</v>
      </c>
      <c r="K1058" s="30" t="e">
        <f>VLOOKUP(I1058,PGStock[],3,FALSE)</f>
        <v>#N/A</v>
      </c>
      <c r="M1058" s="62" t="e">
        <f>VLOOKUP(I1058,PGStock[],6,FALSE)</f>
        <v>#N/A</v>
      </c>
      <c r="N1058" s="62" t="e">
        <f>+Table8[[#This Row],[SalesBot]]*Table8[[#This Row],[Bonus]]</f>
        <v>#N/A</v>
      </c>
    </row>
    <row r="1059" spans="1:14" ht="23.25" customHeight="1" x14ac:dyDescent="0.25">
      <c r="A1059" s="59">
        <f t="shared" si="110"/>
        <v>1900</v>
      </c>
      <c r="B1059" s="59">
        <f t="shared" si="83"/>
        <v>1</v>
      </c>
      <c r="C1059" s="60"/>
      <c r="D1059" s="61"/>
      <c r="F1059" s="23" t="e">
        <f>VLOOKUP(E1059,Customers[],2,FALSE)</f>
        <v>#N/A</v>
      </c>
      <c r="G1059" s="23" t="e">
        <f>VLOOKUP(E1059,Customers[],3,FALSE)</f>
        <v>#N/A</v>
      </c>
      <c r="H1059" s="23" t="e">
        <f>VLOOKUP(E1059,Customers[],4,FALSE)</f>
        <v>#N/A</v>
      </c>
      <c r="J1059" s="29" t="e">
        <f>VLOOKUP(I1059,PGStock[],2,FALSE)</f>
        <v>#N/A</v>
      </c>
      <c r="K1059" s="30" t="e">
        <f>VLOOKUP(I1059,PGStock[],3,FALSE)</f>
        <v>#N/A</v>
      </c>
      <c r="M1059" s="62" t="e">
        <f>VLOOKUP(I1059,PGStock[],6,FALSE)</f>
        <v>#N/A</v>
      </c>
      <c r="N1059" s="62" t="e">
        <f>+Table8[[#This Row],[SalesBot]]*Table8[[#This Row],[Bonus]]</f>
        <v>#N/A</v>
      </c>
    </row>
    <row r="1060" spans="1:14" ht="23.25" customHeight="1" x14ac:dyDescent="0.25">
      <c r="A1060" s="59">
        <f t="shared" si="110"/>
        <v>1900</v>
      </c>
      <c r="B1060" s="59">
        <f t="shared" si="83"/>
        <v>1</v>
      </c>
      <c r="C1060" s="60"/>
      <c r="D1060" s="61"/>
      <c r="F1060" s="23" t="e">
        <f>VLOOKUP(E1060,Customers[],2,FALSE)</f>
        <v>#N/A</v>
      </c>
      <c r="G1060" s="23" t="e">
        <f>VLOOKUP(E1060,Customers[],3,FALSE)</f>
        <v>#N/A</v>
      </c>
      <c r="H1060" s="23" t="e">
        <f>VLOOKUP(E1060,Customers[],4,FALSE)</f>
        <v>#N/A</v>
      </c>
      <c r="J1060" s="29" t="e">
        <f>VLOOKUP(I1060,PGStock[],2,FALSE)</f>
        <v>#N/A</v>
      </c>
      <c r="K1060" s="30" t="e">
        <f>VLOOKUP(I1060,PGStock[],3,FALSE)</f>
        <v>#N/A</v>
      </c>
      <c r="M1060" s="62" t="e">
        <f>VLOOKUP(I1060,PGStock[],6,FALSE)</f>
        <v>#N/A</v>
      </c>
      <c r="N1060" s="62" t="e">
        <f>+Table8[[#This Row],[SalesBot]]*Table8[[#This Row],[Bonus]]</f>
        <v>#N/A</v>
      </c>
    </row>
    <row r="1061" spans="1:14" ht="23.25" customHeight="1" x14ac:dyDescent="0.25">
      <c r="A1061" s="59">
        <f t="shared" si="110"/>
        <v>1900</v>
      </c>
      <c r="B1061" s="59">
        <f t="shared" si="83"/>
        <v>1</v>
      </c>
      <c r="C1061" s="60"/>
      <c r="D1061" s="61"/>
      <c r="F1061" s="23" t="e">
        <f>VLOOKUP(E1061,Customers[],2,FALSE)</f>
        <v>#N/A</v>
      </c>
      <c r="G1061" s="23" t="e">
        <f>VLOOKUP(E1061,Customers[],3,FALSE)</f>
        <v>#N/A</v>
      </c>
      <c r="H1061" s="23" t="e">
        <f>VLOOKUP(E1061,Customers[],4,FALSE)</f>
        <v>#N/A</v>
      </c>
      <c r="J1061" s="29" t="e">
        <f>VLOOKUP(I1061,PGStock[],2,FALSE)</f>
        <v>#N/A</v>
      </c>
      <c r="K1061" s="30" t="e">
        <f>VLOOKUP(I1061,PGStock[],3,FALSE)</f>
        <v>#N/A</v>
      </c>
      <c r="M1061" s="62" t="e">
        <f>VLOOKUP(I1061,PGStock[],6,FALSE)</f>
        <v>#N/A</v>
      </c>
      <c r="N1061" s="62" t="e">
        <f>+Table8[[#This Row],[SalesBot]]*Table8[[#This Row],[Bonus]]</f>
        <v>#N/A</v>
      </c>
    </row>
    <row r="1062" spans="1:14" ht="23.25" customHeight="1" x14ac:dyDescent="0.25">
      <c r="A1062" s="59">
        <f t="shared" si="110"/>
        <v>1900</v>
      </c>
      <c r="B1062" s="59">
        <f t="shared" si="83"/>
        <v>1</v>
      </c>
      <c r="C1062" s="60"/>
      <c r="D1062" s="61"/>
      <c r="F1062" s="23" t="e">
        <f>VLOOKUP(E1062,Customers[],2,FALSE)</f>
        <v>#N/A</v>
      </c>
      <c r="G1062" s="23" t="e">
        <f>VLOOKUP(E1062,Customers[],3,FALSE)</f>
        <v>#N/A</v>
      </c>
      <c r="H1062" s="23" t="e">
        <f>VLOOKUP(E1062,Customers[],4,FALSE)</f>
        <v>#N/A</v>
      </c>
      <c r="J1062" s="29" t="e">
        <f>VLOOKUP(I1062,PGStock[],2,FALSE)</f>
        <v>#N/A</v>
      </c>
      <c r="K1062" s="30" t="e">
        <f>VLOOKUP(I1062,PGStock[],3,FALSE)</f>
        <v>#N/A</v>
      </c>
      <c r="M1062" s="62" t="e">
        <f>VLOOKUP(I1062,PGStock[],6,FALSE)</f>
        <v>#N/A</v>
      </c>
      <c r="N1062" s="62" t="e">
        <f>+Table8[[#This Row],[SalesBot]]*Table8[[#This Row],[Bonus]]</f>
        <v>#N/A</v>
      </c>
    </row>
    <row r="1063" spans="1:14" ht="23.25" customHeight="1" x14ac:dyDescent="0.25">
      <c r="A1063" s="59">
        <f t="shared" si="110"/>
        <v>1900</v>
      </c>
      <c r="B1063" s="59">
        <f t="shared" si="83"/>
        <v>1</v>
      </c>
      <c r="C1063" s="60"/>
      <c r="D1063" s="61"/>
      <c r="F1063" s="23" t="e">
        <f>VLOOKUP(E1063,Customers[],2,FALSE)</f>
        <v>#N/A</v>
      </c>
      <c r="G1063" s="23" t="e">
        <f>VLOOKUP(E1063,Customers[],3,FALSE)</f>
        <v>#N/A</v>
      </c>
      <c r="H1063" s="23" t="e">
        <f>VLOOKUP(E1063,Customers[],4,FALSE)</f>
        <v>#N/A</v>
      </c>
      <c r="J1063" s="29" t="e">
        <f>VLOOKUP(I1063,PGStock[],2,FALSE)</f>
        <v>#N/A</v>
      </c>
      <c r="K1063" s="30" t="e">
        <f>VLOOKUP(I1063,PGStock[],3,FALSE)</f>
        <v>#N/A</v>
      </c>
      <c r="M1063" s="62" t="e">
        <f>VLOOKUP(I1063,PGStock[],6,FALSE)</f>
        <v>#N/A</v>
      </c>
      <c r="N1063" s="62" t="e">
        <f>+Table8[[#This Row],[SalesBot]]*Table8[[#This Row],[Bonus]]</f>
        <v>#N/A</v>
      </c>
    </row>
    <row r="1064" spans="1:14" ht="23.25" customHeight="1" x14ac:dyDescent="0.25">
      <c r="A1064" s="59">
        <f t="shared" si="110"/>
        <v>1900</v>
      </c>
      <c r="B1064" s="59">
        <f t="shared" si="83"/>
        <v>1</v>
      </c>
      <c r="C1064" s="60"/>
      <c r="D1064" s="61"/>
      <c r="F1064" s="23" t="e">
        <f>VLOOKUP(E1064,Customers[],2,FALSE)</f>
        <v>#N/A</v>
      </c>
      <c r="G1064" s="23" t="e">
        <f>VLOOKUP(E1064,Customers[],3,FALSE)</f>
        <v>#N/A</v>
      </c>
      <c r="H1064" s="23" t="e">
        <f>VLOOKUP(E1064,Customers[],4,FALSE)</f>
        <v>#N/A</v>
      </c>
      <c r="J1064" s="29" t="e">
        <f>VLOOKUP(I1064,PGStock[],2,FALSE)</f>
        <v>#N/A</v>
      </c>
      <c r="K1064" s="30" t="e">
        <f>VLOOKUP(I1064,PGStock[],3,FALSE)</f>
        <v>#N/A</v>
      </c>
      <c r="M1064" s="62" t="e">
        <f>VLOOKUP(I1064,PGStock[],6,FALSE)</f>
        <v>#N/A</v>
      </c>
      <c r="N1064" s="62" t="e">
        <f>+Table8[[#This Row],[SalesBot]]*Table8[[#This Row],[Bonus]]</f>
        <v>#N/A</v>
      </c>
    </row>
    <row r="1065" spans="1:14" ht="23.25" customHeight="1" x14ac:dyDescent="0.25">
      <c r="A1065" s="59">
        <f t="shared" si="110"/>
        <v>1900</v>
      </c>
      <c r="B1065" s="59">
        <f t="shared" si="83"/>
        <v>1</v>
      </c>
      <c r="C1065" s="60"/>
      <c r="D1065" s="61"/>
      <c r="F1065" s="23" t="e">
        <f>VLOOKUP(E1065,Customers[],2,FALSE)</f>
        <v>#N/A</v>
      </c>
      <c r="G1065" s="23" t="e">
        <f>VLOOKUP(E1065,Customers[],3,FALSE)</f>
        <v>#N/A</v>
      </c>
      <c r="H1065" s="23" t="e">
        <f>VLOOKUP(E1065,Customers[],4,FALSE)</f>
        <v>#N/A</v>
      </c>
      <c r="J1065" s="29" t="e">
        <f>VLOOKUP(I1065,PGStock[],2,FALSE)</f>
        <v>#N/A</v>
      </c>
      <c r="K1065" s="30" t="e">
        <f>VLOOKUP(I1065,PGStock[],3,FALSE)</f>
        <v>#N/A</v>
      </c>
      <c r="M1065" s="62" t="e">
        <f>VLOOKUP(I1065,PGStock[],6,FALSE)</f>
        <v>#N/A</v>
      </c>
      <c r="N1065" s="62" t="e">
        <f>+Table8[[#This Row],[SalesBot]]*Table8[[#This Row],[Bonus]]</f>
        <v>#N/A</v>
      </c>
    </row>
    <row r="1066" spans="1:14" ht="23.25" customHeight="1" x14ac:dyDescent="0.25">
      <c r="A1066" s="59">
        <f t="shared" si="110"/>
        <v>1900</v>
      </c>
      <c r="B1066" s="59">
        <f t="shared" si="83"/>
        <v>1</v>
      </c>
      <c r="C1066" s="60"/>
      <c r="D1066" s="61"/>
      <c r="F1066" s="23" t="e">
        <f>VLOOKUP(E1066,Customers[],2,FALSE)</f>
        <v>#N/A</v>
      </c>
      <c r="G1066" s="23" t="e">
        <f>VLOOKUP(E1066,Customers[],3,FALSE)</f>
        <v>#N/A</v>
      </c>
      <c r="H1066" s="23" t="e">
        <f>VLOOKUP(E1066,Customers[],4,FALSE)</f>
        <v>#N/A</v>
      </c>
      <c r="J1066" s="29" t="e">
        <f>VLOOKUP(I1066,PGStock[],2,FALSE)</f>
        <v>#N/A</v>
      </c>
      <c r="K1066" s="30" t="e">
        <f>VLOOKUP(I1066,PGStock[],3,FALSE)</f>
        <v>#N/A</v>
      </c>
      <c r="M1066" s="62" t="e">
        <f>VLOOKUP(I1066,PGStock[],6,FALSE)</f>
        <v>#N/A</v>
      </c>
      <c r="N1066" s="62" t="e">
        <f>+Table8[[#This Row],[SalesBot]]*Table8[[#This Row],[Bonus]]</f>
        <v>#N/A</v>
      </c>
    </row>
    <row r="1067" spans="1:14" ht="23.25" customHeight="1" x14ac:dyDescent="0.25">
      <c r="A1067" s="59">
        <f t="shared" si="110"/>
        <v>1900</v>
      </c>
      <c r="B1067" s="59">
        <f t="shared" si="83"/>
        <v>1</v>
      </c>
      <c r="C1067" s="60"/>
      <c r="D1067" s="61"/>
      <c r="F1067" s="23" t="e">
        <f>VLOOKUP(E1067,Customers[],2,FALSE)</f>
        <v>#N/A</v>
      </c>
      <c r="G1067" s="23" t="e">
        <f>VLOOKUP(E1067,Customers[],3,FALSE)</f>
        <v>#N/A</v>
      </c>
      <c r="H1067" s="23" t="e">
        <f>VLOOKUP(E1067,Customers[],4,FALSE)</f>
        <v>#N/A</v>
      </c>
      <c r="J1067" s="29" t="e">
        <f>VLOOKUP(I1067,PGStock[],2,FALSE)</f>
        <v>#N/A</v>
      </c>
      <c r="K1067" s="30" t="e">
        <f>VLOOKUP(I1067,PGStock[],3,FALSE)</f>
        <v>#N/A</v>
      </c>
      <c r="M1067" s="62" t="e">
        <f>VLOOKUP(I1067,PGStock[],6,FALSE)</f>
        <v>#N/A</v>
      </c>
      <c r="N1067" s="62" t="e">
        <f>+Table8[[#This Row],[SalesBot]]*Table8[[#This Row],[Bonus]]</f>
        <v>#N/A</v>
      </c>
    </row>
    <row r="1068" spans="1:14" ht="23.25" customHeight="1" x14ac:dyDescent="0.25">
      <c r="A1068" s="59">
        <f t="shared" si="110"/>
        <v>1900</v>
      </c>
      <c r="B1068" s="59">
        <f t="shared" si="83"/>
        <v>1</v>
      </c>
      <c r="C1068" s="60"/>
      <c r="D1068" s="61"/>
      <c r="F1068" s="23" t="e">
        <f>VLOOKUP(E1068,Customers[],2,FALSE)</f>
        <v>#N/A</v>
      </c>
      <c r="G1068" s="23" t="e">
        <f>VLOOKUP(E1068,Customers[],3,FALSE)</f>
        <v>#N/A</v>
      </c>
      <c r="H1068" s="23" t="e">
        <f>VLOOKUP(E1068,Customers[],4,FALSE)</f>
        <v>#N/A</v>
      </c>
      <c r="J1068" s="29" t="e">
        <f>VLOOKUP(I1068,PGStock[],2,FALSE)</f>
        <v>#N/A</v>
      </c>
      <c r="K1068" s="30" t="e">
        <f>VLOOKUP(I1068,PGStock[],3,FALSE)</f>
        <v>#N/A</v>
      </c>
      <c r="M1068" s="62" t="e">
        <f>VLOOKUP(I1068,PGStock[],6,FALSE)</f>
        <v>#N/A</v>
      </c>
      <c r="N1068" s="62" t="e">
        <f>+Table8[[#This Row],[SalesBot]]*Table8[[#This Row],[Bonus]]</f>
        <v>#N/A</v>
      </c>
    </row>
    <row r="1069" spans="1:14" ht="23.25" customHeight="1" x14ac:dyDescent="0.25">
      <c r="A1069" s="59">
        <f t="shared" si="110"/>
        <v>1900</v>
      </c>
      <c r="B1069" s="59">
        <f t="shared" si="83"/>
        <v>1</v>
      </c>
      <c r="C1069" s="60"/>
      <c r="D1069" s="61"/>
      <c r="F1069" s="23" t="e">
        <f>VLOOKUP(E1069,Customers[],2,FALSE)</f>
        <v>#N/A</v>
      </c>
      <c r="G1069" s="23" t="e">
        <f>VLOOKUP(E1069,Customers[],3,FALSE)</f>
        <v>#N/A</v>
      </c>
      <c r="H1069" s="23" t="e">
        <f>VLOOKUP(E1069,Customers[],4,FALSE)</f>
        <v>#N/A</v>
      </c>
      <c r="J1069" s="29" t="e">
        <f>VLOOKUP(I1069,PGStock[],2,FALSE)</f>
        <v>#N/A</v>
      </c>
      <c r="K1069" s="30" t="e">
        <f>VLOOKUP(I1069,PGStock[],3,FALSE)</f>
        <v>#N/A</v>
      </c>
      <c r="M1069" s="62" t="e">
        <f>VLOOKUP(I1069,PGStock[],6,FALSE)</f>
        <v>#N/A</v>
      </c>
      <c r="N1069" s="62" t="e">
        <f>+Table8[[#This Row],[SalesBot]]*Table8[[#This Row],[Bonus]]</f>
        <v>#N/A</v>
      </c>
    </row>
    <row r="1070" spans="1:14" ht="23.25" customHeight="1" x14ac:dyDescent="0.25">
      <c r="A1070" s="59">
        <f t="shared" si="110"/>
        <v>1900</v>
      </c>
      <c r="B1070" s="59">
        <f t="shared" si="83"/>
        <v>1</v>
      </c>
      <c r="C1070" s="60"/>
      <c r="D1070" s="61"/>
      <c r="F1070" s="23" t="e">
        <f>VLOOKUP(E1070,Customers[],2,FALSE)</f>
        <v>#N/A</v>
      </c>
      <c r="G1070" s="23" t="e">
        <f>VLOOKUP(E1070,Customers[],3,FALSE)</f>
        <v>#N/A</v>
      </c>
      <c r="H1070" s="23" t="e">
        <f>VLOOKUP(E1070,Customers[],4,FALSE)</f>
        <v>#N/A</v>
      </c>
      <c r="J1070" s="29" t="e">
        <f>VLOOKUP(I1070,PGStock[],2,FALSE)</f>
        <v>#N/A</v>
      </c>
      <c r="K1070" s="30" t="e">
        <f>VLOOKUP(I1070,PGStock[],3,FALSE)</f>
        <v>#N/A</v>
      </c>
      <c r="M1070" s="62" t="e">
        <f>VLOOKUP(I1070,PGStock[],6,FALSE)</f>
        <v>#N/A</v>
      </c>
      <c r="N1070" s="62" t="e">
        <f>+Table8[[#This Row],[SalesBot]]*Table8[[#This Row],[Bonus]]</f>
        <v>#N/A</v>
      </c>
    </row>
    <row r="1071" spans="1:14" ht="23.25" customHeight="1" x14ac:dyDescent="0.25">
      <c r="A1071" s="59">
        <f t="shared" si="110"/>
        <v>1900</v>
      </c>
      <c r="B1071" s="59">
        <f t="shared" si="83"/>
        <v>1</v>
      </c>
      <c r="C1071" s="60"/>
      <c r="D1071" s="61"/>
      <c r="F1071" s="23" t="e">
        <f>VLOOKUP(E1071,Customers[],2,FALSE)</f>
        <v>#N/A</v>
      </c>
      <c r="G1071" s="23" t="e">
        <f>VLOOKUP(E1071,Customers[],3,FALSE)</f>
        <v>#N/A</v>
      </c>
      <c r="H1071" s="23" t="e">
        <f>VLOOKUP(E1071,Customers[],4,FALSE)</f>
        <v>#N/A</v>
      </c>
      <c r="J1071" s="29" t="e">
        <f>VLOOKUP(I1071,PGStock[],2,FALSE)</f>
        <v>#N/A</v>
      </c>
      <c r="K1071" s="30" t="e">
        <f>VLOOKUP(I1071,PGStock[],3,FALSE)</f>
        <v>#N/A</v>
      </c>
      <c r="M1071" s="62" t="e">
        <f>VLOOKUP(I1071,PGStock[],6,FALSE)</f>
        <v>#N/A</v>
      </c>
      <c r="N1071" s="62" t="e">
        <f>+Table8[[#This Row],[SalesBot]]*Table8[[#This Row],[Bonus]]</f>
        <v>#N/A</v>
      </c>
    </row>
    <row r="1072" spans="1:14" ht="23.25" customHeight="1" x14ac:dyDescent="0.25">
      <c r="A1072" s="59">
        <f t="shared" si="110"/>
        <v>1900</v>
      </c>
      <c r="B1072" s="59">
        <f t="shared" si="83"/>
        <v>1</v>
      </c>
      <c r="C1072" s="60"/>
      <c r="D1072" s="61"/>
      <c r="F1072" s="23" t="e">
        <f>VLOOKUP(E1072,Customers[],2,FALSE)</f>
        <v>#N/A</v>
      </c>
      <c r="G1072" s="23" t="e">
        <f>VLOOKUP(E1072,Customers[],3,FALSE)</f>
        <v>#N/A</v>
      </c>
      <c r="H1072" s="23" t="e">
        <f>VLOOKUP(E1072,Customers[],4,FALSE)</f>
        <v>#N/A</v>
      </c>
      <c r="J1072" s="29" t="e">
        <f>VLOOKUP(I1072,PGStock[],2,FALSE)</f>
        <v>#N/A</v>
      </c>
      <c r="K1072" s="30" t="e">
        <f>VLOOKUP(I1072,PGStock[],3,FALSE)</f>
        <v>#N/A</v>
      </c>
      <c r="M1072" s="62" t="e">
        <f>VLOOKUP(I1072,PGStock[],6,FALSE)</f>
        <v>#N/A</v>
      </c>
      <c r="N1072" s="62" t="e">
        <f>+Table8[[#This Row],[SalesBot]]*Table8[[#This Row],[Bonus]]</f>
        <v>#N/A</v>
      </c>
    </row>
    <row r="1073" spans="1:14" ht="23.25" customHeight="1" x14ac:dyDescent="0.25">
      <c r="A1073" s="59">
        <f t="shared" si="110"/>
        <v>1900</v>
      </c>
      <c r="B1073" s="59">
        <f t="shared" si="83"/>
        <v>1</v>
      </c>
      <c r="C1073" s="60"/>
      <c r="D1073" s="61"/>
      <c r="F1073" s="23" t="e">
        <f>VLOOKUP(E1073,Customers[],2,FALSE)</f>
        <v>#N/A</v>
      </c>
      <c r="G1073" s="23" t="e">
        <f>VLOOKUP(E1073,Customers[],3,FALSE)</f>
        <v>#N/A</v>
      </c>
      <c r="H1073" s="23" t="e">
        <f>VLOOKUP(E1073,Customers[],4,FALSE)</f>
        <v>#N/A</v>
      </c>
      <c r="J1073" s="29" t="e">
        <f>VLOOKUP(I1073,PGStock[],2,FALSE)</f>
        <v>#N/A</v>
      </c>
      <c r="K1073" s="30" t="e">
        <f>VLOOKUP(I1073,PGStock[],3,FALSE)</f>
        <v>#N/A</v>
      </c>
      <c r="M1073" s="62" t="e">
        <f>VLOOKUP(I1073,PGStock[],6,FALSE)</f>
        <v>#N/A</v>
      </c>
      <c r="N1073" s="62" t="e">
        <f>+Table8[[#This Row],[SalesBot]]*Table8[[#This Row],[Bonus]]</f>
        <v>#N/A</v>
      </c>
    </row>
    <row r="1074" spans="1:14" ht="23.25" customHeight="1" x14ac:dyDescent="0.25">
      <c r="A1074" s="59">
        <f t="shared" si="110"/>
        <v>1900</v>
      </c>
      <c r="B1074" s="59">
        <f t="shared" si="83"/>
        <v>1</v>
      </c>
      <c r="C1074" s="60"/>
      <c r="D1074" s="61"/>
      <c r="F1074" s="23" t="e">
        <f>VLOOKUP(E1074,Customers[],2,FALSE)</f>
        <v>#N/A</v>
      </c>
      <c r="G1074" s="23" t="e">
        <f>VLOOKUP(E1074,Customers[],3,FALSE)</f>
        <v>#N/A</v>
      </c>
      <c r="H1074" s="23" t="e">
        <f>VLOOKUP(E1074,Customers[],4,FALSE)</f>
        <v>#N/A</v>
      </c>
      <c r="J1074" s="29" t="e">
        <f>VLOOKUP(I1074,PGStock[],2,FALSE)</f>
        <v>#N/A</v>
      </c>
      <c r="K1074" s="30" t="e">
        <f>VLOOKUP(I1074,PGStock[],3,FALSE)</f>
        <v>#N/A</v>
      </c>
      <c r="M1074" s="62" t="e">
        <f>VLOOKUP(I1074,PGStock[],6,FALSE)</f>
        <v>#N/A</v>
      </c>
      <c r="N1074" s="62" t="e">
        <f>+Table8[[#This Row],[SalesBot]]*Table8[[#This Row],[Bonus]]</f>
        <v>#N/A</v>
      </c>
    </row>
    <row r="1075" spans="1:14" ht="23.25" customHeight="1" x14ac:dyDescent="0.25">
      <c r="A1075" s="59">
        <f t="shared" si="110"/>
        <v>1900</v>
      </c>
      <c r="B1075" s="59">
        <f t="shared" si="83"/>
        <v>1</v>
      </c>
      <c r="C1075" s="60"/>
      <c r="D1075" s="61"/>
      <c r="F1075" s="23" t="e">
        <f>VLOOKUP(E1075,Customers[],2,FALSE)</f>
        <v>#N/A</v>
      </c>
      <c r="G1075" s="23" t="e">
        <f>VLOOKUP(E1075,Customers[],3,FALSE)</f>
        <v>#N/A</v>
      </c>
      <c r="H1075" s="23" t="e">
        <f>VLOOKUP(E1075,Customers[],4,FALSE)</f>
        <v>#N/A</v>
      </c>
      <c r="J1075" s="29" t="e">
        <f>VLOOKUP(I1075,PGStock[],2,FALSE)</f>
        <v>#N/A</v>
      </c>
      <c r="K1075" s="30" t="e">
        <f>VLOOKUP(I1075,PGStock[],3,FALSE)</f>
        <v>#N/A</v>
      </c>
      <c r="M1075" s="62" t="e">
        <f>VLOOKUP(I1075,PGStock[],6,FALSE)</f>
        <v>#N/A</v>
      </c>
      <c r="N1075" s="62" t="e">
        <f>+Table8[[#This Row],[SalesBot]]*Table8[[#This Row],[Bonus]]</f>
        <v>#N/A</v>
      </c>
    </row>
    <row r="1076" spans="1:14" ht="23.25" customHeight="1" x14ac:dyDescent="0.25">
      <c r="A1076" s="59">
        <f t="shared" ref="A1076:A1902" si="111">YEAR(C1076)</f>
        <v>1900</v>
      </c>
      <c r="B1076" s="59">
        <f t="shared" ref="B1076:B1902" si="112">MONTH(C1076)</f>
        <v>1</v>
      </c>
      <c r="C1076" s="60"/>
      <c r="D1076" s="61"/>
      <c r="F1076" s="23" t="e">
        <f>VLOOKUP(E1076,Customers[],2,FALSE)</f>
        <v>#N/A</v>
      </c>
      <c r="G1076" s="23" t="e">
        <f>VLOOKUP(E1076,Customers[],3,FALSE)</f>
        <v>#N/A</v>
      </c>
      <c r="H1076" s="23" t="e">
        <f>VLOOKUP(E1076,Customers[],4,FALSE)</f>
        <v>#N/A</v>
      </c>
      <c r="J1076" s="29" t="e">
        <f>VLOOKUP(I1076,PGStock[],2,FALSE)</f>
        <v>#N/A</v>
      </c>
      <c r="K1076" s="30" t="e">
        <f>VLOOKUP(I1076,PGStock[],3,FALSE)</f>
        <v>#N/A</v>
      </c>
      <c r="M1076" s="62" t="e">
        <f>VLOOKUP(I1076,PGStock[],6,FALSE)</f>
        <v>#N/A</v>
      </c>
      <c r="N1076" s="62" t="e">
        <f>+Table8[[#This Row],[SalesBot]]*Table8[[#This Row],[Bonus]]</f>
        <v>#N/A</v>
      </c>
    </row>
    <row r="1077" spans="1:14" ht="23.25" customHeight="1" x14ac:dyDescent="0.25">
      <c r="A1077" s="59">
        <f t="shared" si="111"/>
        <v>1900</v>
      </c>
      <c r="B1077" s="59">
        <f t="shared" si="112"/>
        <v>1</v>
      </c>
      <c r="C1077" s="60"/>
      <c r="D1077" s="61"/>
      <c r="F1077" s="23" t="e">
        <f>VLOOKUP(E1077,Customers[],2,FALSE)</f>
        <v>#N/A</v>
      </c>
      <c r="G1077" s="23" t="e">
        <f>VLOOKUP(E1077,Customers[],3,FALSE)</f>
        <v>#N/A</v>
      </c>
      <c r="H1077" s="23" t="e">
        <f>VLOOKUP(E1077,Customers[],4,FALSE)</f>
        <v>#N/A</v>
      </c>
      <c r="J1077" s="29" t="e">
        <f>VLOOKUP(I1077,PGStock[],2,FALSE)</f>
        <v>#N/A</v>
      </c>
      <c r="K1077" s="30" t="e">
        <f>VLOOKUP(I1077,PGStock[],3,FALSE)</f>
        <v>#N/A</v>
      </c>
      <c r="M1077" s="62" t="e">
        <f>VLOOKUP(I1077,PGStock[],6,FALSE)</f>
        <v>#N/A</v>
      </c>
      <c r="N1077" s="62" t="e">
        <f>+Table8[[#This Row],[SalesBot]]*Table8[[#This Row],[Bonus]]</f>
        <v>#N/A</v>
      </c>
    </row>
    <row r="1078" spans="1:14" ht="23.25" customHeight="1" x14ac:dyDescent="0.25">
      <c r="A1078" s="59">
        <f t="shared" si="111"/>
        <v>1900</v>
      </c>
      <c r="B1078" s="59">
        <f t="shared" si="112"/>
        <v>1</v>
      </c>
      <c r="C1078" s="60"/>
      <c r="D1078" s="61"/>
      <c r="F1078" s="23" t="e">
        <f>VLOOKUP(E1078,Customers[],2,FALSE)</f>
        <v>#N/A</v>
      </c>
      <c r="G1078" s="23" t="e">
        <f>VLOOKUP(E1078,Customers[],3,FALSE)</f>
        <v>#N/A</v>
      </c>
      <c r="H1078" s="23" t="e">
        <f>VLOOKUP(E1078,Customers[],4,FALSE)</f>
        <v>#N/A</v>
      </c>
      <c r="J1078" s="29" t="e">
        <f>VLOOKUP(I1078,PGStock[],2,FALSE)</f>
        <v>#N/A</v>
      </c>
      <c r="K1078" s="30" t="e">
        <f>VLOOKUP(I1078,PGStock[],3,FALSE)</f>
        <v>#N/A</v>
      </c>
      <c r="M1078" s="62" t="e">
        <f>VLOOKUP(I1078,PGStock[],6,FALSE)</f>
        <v>#N/A</v>
      </c>
      <c r="N1078" s="62" t="e">
        <f>+Table8[[#This Row],[SalesBot]]*Table8[[#This Row],[Bonus]]</f>
        <v>#N/A</v>
      </c>
    </row>
    <row r="1079" spans="1:14" ht="23.25" customHeight="1" x14ac:dyDescent="0.25">
      <c r="A1079" s="59">
        <f t="shared" si="111"/>
        <v>1900</v>
      </c>
      <c r="B1079" s="59">
        <f t="shared" si="112"/>
        <v>1</v>
      </c>
      <c r="C1079" s="60"/>
      <c r="D1079" s="61"/>
      <c r="F1079" s="23" t="e">
        <f>VLOOKUP(E1079,Customers[],2,FALSE)</f>
        <v>#N/A</v>
      </c>
      <c r="G1079" s="23" t="e">
        <f>VLOOKUP(E1079,Customers[],3,FALSE)</f>
        <v>#N/A</v>
      </c>
      <c r="H1079" s="23" t="e">
        <f>VLOOKUP(E1079,Customers[],4,FALSE)</f>
        <v>#N/A</v>
      </c>
      <c r="J1079" s="29" t="e">
        <f>VLOOKUP(I1079,PGStock[],2,FALSE)</f>
        <v>#N/A</v>
      </c>
      <c r="K1079" s="30" t="e">
        <f>VLOOKUP(I1079,PGStock[],3,FALSE)</f>
        <v>#N/A</v>
      </c>
      <c r="M1079" s="62" t="e">
        <f>VLOOKUP(I1079,PGStock[],6,FALSE)</f>
        <v>#N/A</v>
      </c>
      <c r="N1079" s="62" t="e">
        <f>+Table8[[#This Row],[SalesBot]]*Table8[[#This Row],[Bonus]]</f>
        <v>#N/A</v>
      </c>
    </row>
    <row r="1080" spans="1:14" ht="23.25" customHeight="1" x14ac:dyDescent="0.25">
      <c r="A1080" s="59">
        <f t="shared" si="111"/>
        <v>1900</v>
      </c>
      <c r="B1080" s="59">
        <f t="shared" si="112"/>
        <v>1</v>
      </c>
      <c r="C1080" s="60"/>
      <c r="D1080" s="61"/>
      <c r="F1080" s="23" t="e">
        <f>VLOOKUP(E1080,Customers[],2,FALSE)</f>
        <v>#N/A</v>
      </c>
      <c r="G1080" s="23" t="e">
        <f>VLOOKUP(E1080,Customers[],3,FALSE)</f>
        <v>#N/A</v>
      </c>
      <c r="H1080" s="23" t="e">
        <f>VLOOKUP(E1080,Customers[],4,FALSE)</f>
        <v>#N/A</v>
      </c>
      <c r="J1080" s="29" t="e">
        <f>VLOOKUP(I1080,PGStock[],2,FALSE)</f>
        <v>#N/A</v>
      </c>
      <c r="K1080" s="30" t="e">
        <f>VLOOKUP(I1080,PGStock[],3,FALSE)</f>
        <v>#N/A</v>
      </c>
      <c r="M1080" s="62" t="e">
        <f>VLOOKUP(I1080,PGStock[],6,FALSE)</f>
        <v>#N/A</v>
      </c>
      <c r="N1080" s="62" t="e">
        <f>+Table8[[#This Row],[SalesBot]]*Table8[[#This Row],[Bonus]]</f>
        <v>#N/A</v>
      </c>
    </row>
    <row r="1081" spans="1:14" ht="23.25" customHeight="1" x14ac:dyDescent="0.25">
      <c r="A1081" s="59">
        <f t="shared" si="111"/>
        <v>1900</v>
      </c>
      <c r="B1081" s="59">
        <f t="shared" si="112"/>
        <v>1</v>
      </c>
      <c r="C1081" s="60"/>
      <c r="D1081" s="61"/>
      <c r="F1081" s="23" t="e">
        <f>VLOOKUP(E1081,Customers[],2,FALSE)</f>
        <v>#N/A</v>
      </c>
      <c r="G1081" s="23" t="e">
        <f>VLOOKUP(E1081,Customers[],3,FALSE)</f>
        <v>#N/A</v>
      </c>
      <c r="H1081" s="23" t="e">
        <f>VLOOKUP(E1081,Customers[],4,FALSE)</f>
        <v>#N/A</v>
      </c>
      <c r="J1081" s="29" t="e">
        <f>VLOOKUP(I1081,PGStock[],2,FALSE)</f>
        <v>#N/A</v>
      </c>
      <c r="K1081" s="30" t="e">
        <f>VLOOKUP(I1081,PGStock[],3,FALSE)</f>
        <v>#N/A</v>
      </c>
      <c r="M1081" s="62" t="e">
        <f>VLOOKUP(I1081,PGStock[],6,FALSE)</f>
        <v>#N/A</v>
      </c>
      <c r="N1081" s="62" t="e">
        <f>+Table8[[#This Row],[SalesBot]]*Table8[[#This Row],[Bonus]]</f>
        <v>#N/A</v>
      </c>
    </row>
    <row r="1082" spans="1:14" ht="23.25" customHeight="1" x14ac:dyDescent="0.25">
      <c r="A1082" s="59">
        <f t="shared" si="111"/>
        <v>1900</v>
      </c>
      <c r="B1082" s="59">
        <f t="shared" si="112"/>
        <v>1</v>
      </c>
      <c r="C1082" s="60"/>
      <c r="D1082" s="61"/>
      <c r="F1082" s="23" t="e">
        <f>VLOOKUP(E1082,Customers[],2,FALSE)</f>
        <v>#N/A</v>
      </c>
      <c r="G1082" s="23" t="e">
        <f>VLOOKUP(E1082,Customers[],3,FALSE)</f>
        <v>#N/A</v>
      </c>
      <c r="H1082" s="23" t="e">
        <f>VLOOKUP(E1082,Customers[],4,FALSE)</f>
        <v>#N/A</v>
      </c>
      <c r="J1082" s="29" t="e">
        <f>VLOOKUP(I1082,PGStock[],2,FALSE)</f>
        <v>#N/A</v>
      </c>
      <c r="K1082" s="30" t="e">
        <f>VLOOKUP(I1082,PGStock[],3,FALSE)</f>
        <v>#N/A</v>
      </c>
      <c r="M1082" s="62" t="e">
        <f>VLOOKUP(I1082,PGStock[],6,FALSE)</f>
        <v>#N/A</v>
      </c>
      <c r="N1082" s="62" t="e">
        <f>+Table8[[#This Row],[SalesBot]]*Table8[[#This Row],[Bonus]]</f>
        <v>#N/A</v>
      </c>
    </row>
    <row r="1083" spans="1:14" ht="23.25" customHeight="1" x14ac:dyDescent="0.25">
      <c r="A1083" s="59">
        <f t="shared" si="111"/>
        <v>1900</v>
      </c>
      <c r="B1083" s="59">
        <f t="shared" si="112"/>
        <v>1</v>
      </c>
      <c r="C1083" s="60"/>
      <c r="D1083" s="61"/>
      <c r="F1083" s="23" t="e">
        <f>VLOOKUP(E1083,Customers[],2,FALSE)</f>
        <v>#N/A</v>
      </c>
      <c r="G1083" s="23" t="e">
        <f>VLOOKUP(E1083,Customers[],3,FALSE)</f>
        <v>#N/A</v>
      </c>
      <c r="H1083" s="23" t="e">
        <f>VLOOKUP(E1083,Customers[],4,FALSE)</f>
        <v>#N/A</v>
      </c>
      <c r="J1083" s="29" t="e">
        <f>VLOOKUP(I1083,PGStock[],2,FALSE)</f>
        <v>#N/A</v>
      </c>
      <c r="K1083" s="30" t="e">
        <f>VLOOKUP(I1083,PGStock[],3,FALSE)</f>
        <v>#N/A</v>
      </c>
      <c r="M1083" s="62" t="e">
        <f>VLOOKUP(I1083,PGStock[],6,FALSE)</f>
        <v>#N/A</v>
      </c>
      <c r="N1083" s="62" t="e">
        <f>+Table8[[#This Row],[SalesBot]]*Table8[[#This Row],[Bonus]]</f>
        <v>#N/A</v>
      </c>
    </row>
    <row r="1084" spans="1:14" ht="23.25" customHeight="1" x14ac:dyDescent="0.25">
      <c r="A1084" s="59">
        <f t="shared" si="111"/>
        <v>1900</v>
      </c>
      <c r="B1084" s="59">
        <f t="shared" si="112"/>
        <v>1</v>
      </c>
      <c r="C1084" s="60"/>
      <c r="D1084" s="61"/>
      <c r="F1084" s="23" t="e">
        <f>VLOOKUP(E1084,Customers[],2,FALSE)</f>
        <v>#N/A</v>
      </c>
      <c r="G1084" s="23" t="e">
        <f>VLOOKUP(E1084,Customers[],3,FALSE)</f>
        <v>#N/A</v>
      </c>
      <c r="H1084" s="23" t="e">
        <f>VLOOKUP(E1084,Customers[],4,FALSE)</f>
        <v>#N/A</v>
      </c>
      <c r="J1084" s="29" t="e">
        <f>VLOOKUP(I1084,PGStock[],2,FALSE)</f>
        <v>#N/A</v>
      </c>
      <c r="K1084" s="30" t="e">
        <f>VLOOKUP(I1084,PGStock[],3,FALSE)</f>
        <v>#N/A</v>
      </c>
      <c r="M1084" s="62" t="e">
        <f>VLOOKUP(I1084,PGStock[],6,FALSE)</f>
        <v>#N/A</v>
      </c>
      <c r="N1084" s="62" t="e">
        <f>+Table8[[#This Row],[SalesBot]]*Table8[[#This Row],[Bonus]]</f>
        <v>#N/A</v>
      </c>
    </row>
    <row r="1085" spans="1:14" ht="23.25" customHeight="1" x14ac:dyDescent="0.25">
      <c r="A1085" s="59">
        <f t="shared" si="111"/>
        <v>1900</v>
      </c>
      <c r="B1085" s="59">
        <f t="shared" si="112"/>
        <v>1</v>
      </c>
      <c r="C1085" s="60"/>
      <c r="D1085" s="61"/>
      <c r="F1085" s="23" t="e">
        <f>VLOOKUP(E1085,Customers[],2,FALSE)</f>
        <v>#N/A</v>
      </c>
      <c r="G1085" s="23" t="e">
        <f>VLOOKUP(E1085,Customers[],3,FALSE)</f>
        <v>#N/A</v>
      </c>
      <c r="H1085" s="23" t="e">
        <f>VLOOKUP(E1085,Customers[],4,FALSE)</f>
        <v>#N/A</v>
      </c>
      <c r="J1085" s="29" t="e">
        <f>VLOOKUP(I1085,PGStock[],2,FALSE)</f>
        <v>#N/A</v>
      </c>
      <c r="K1085" s="30" t="e">
        <f>VLOOKUP(I1085,PGStock[],3,FALSE)</f>
        <v>#N/A</v>
      </c>
      <c r="M1085" s="62" t="e">
        <f>VLOOKUP(I1085,PGStock[],6,FALSE)</f>
        <v>#N/A</v>
      </c>
      <c r="N1085" s="62" t="e">
        <f>+Table8[[#This Row],[SalesBot]]*Table8[[#This Row],[Bonus]]</f>
        <v>#N/A</v>
      </c>
    </row>
    <row r="1086" spans="1:14" ht="23.25" customHeight="1" x14ac:dyDescent="0.25">
      <c r="A1086" s="59">
        <f t="shared" si="111"/>
        <v>1900</v>
      </c>
      <c r="B1086" s="59">
        <f t="shared" si="112"/>
        <v>1</v>
      </c>
      <c r="C1086" s="60"/>
      <c r="D1086" s="61"/>
      <c r="F1086" s="23" t="e">
        <f>VLOOKUP(E1086,Customers[],2,FALSE)</f>
        <v>#N/A</v>
      </c>
      <c r="G1086" s="23" t="e">
        <f>VLOOKUP(E1086,Customers[],3,FALSE)</f>
        <v>#N/A</v>
      </c>
      <c r="H1086" s="23" t="e">
        <f>VLOOKUP(E1086,Customers[],4,FALSE)</f>
        <v>#N/A</v>
      </c>
      <c r="J1086" s="29" t="e">
        <f>VLOOKUP(I1086,PGStock[],2,FALSE)</f>
        <v>#N/A</v>
      </c>
      <c r="K1086" s="30" t="e">
        <f>VLOOKUP(I1086,PGStock[],3,FALSE)</f>
        <v>#N/A</v>
      </c>
      <c r="M1086" s="62" t="e">
        <f>VLOOKUP(I1086,PGStock[],6,FALSE)</f>
        <v>#N/A</v>
      </c>
      <c r="N1086" s="62" t="e">
        <f>+Table8[[#This Row],[SalesBot]]*Table8[[#This Row],[Bonus]]</f>
        <v>#N/A</v>
      </c>
    </row>
    <row r="1087" spans="1:14" ht="23.25" customHeight="1" x14ac:dyDescent="0.25">
      <c r="A1087" s="59">
        <f t="shared" si="111"/>
        <v>1900</v>
      </c>
      <c r="B1087" s="59">
        <f t="shared" si="112"/>
        <v>1</v>
      </c>
      <c r="C1087" s="60"/>
      <c r="D1087" s="61"/>
      <c r="F1087" s="23" t="e">
        <f>VLOOKUP(E1087,Customers[],2,FALSE)</f>
        <v>#N/A</v>
      </c>
      <c r="G1087" s="23" t="e">
        <f>VLOOKUP(E1087,Customers[],3,FALSE)</f>
        <v>#N/A</v>
      </c>
      <c r="H1087" s="23" t="e">
        <f>VLOOKUP(E1087,Customers[],4,FALSE)</f>
        <v>#N/A</v>
      </c>
      <c r="J1087" s="29" t="e">
        <f>VLOOKUP(I1087,PGStock[],2,FALSE)</f>
        <v>#N/A</v>
      </c>
      <c r="K1087" s="30" t="e">
        <f>VLOOKUP(I1087,PGStock[],3,FALSE)</f>
        <v>#N/A</v>
      </c>
      <c r="M1087" s="62" t="e">
        <f>VLOOKUP(I1087,PGStock[],6,FALSE)</f>
        <v>#N/A</v>
      </c>
      <c r="N1087" s="62" t="e">
        <f>+Table8[[#This Row],[SalesBot]]*Table8[[#This Row],[Bonus]]</f>
        <v>#N/A</v>
      </c>
    </row>
    <row r="1088" spans="1:14" ht="23.25" customHeight="1" x14ac:dyDescent="0.25">
      <c r="A1088" s="59">
        <f t="shared" si="111"/>
        <v>1900</v>
      </c>
      <c r="B1088" s="59">
        <f t="shared" si="112"/>
        <v>1</v>
      </c>
      <c r="C1088" s="60"/>
      <c r="D1088" s="61"/>
      <c r="F1088" s="23" t="e">
        <f>VLOOKUP(E1088,Customers[],2,FALSE)</f>
        <v>#N/A</v>
      </c>
      <c r="G1088" s="23" t="e">
        <f>VLOOKUP(E1088,Customers[],3,FALSE)</f>
        <v>#N/A</v>
      </c>
      <c r="H1088" s="23" t="e">
        <f>VLOOKUP(E1088,Customers[],4,FALSE)</f>
        <v>#N/A</v>
      </c>
      <c r="J1088" s="29" t="e">
        <f>VLOOKUP(I1088,PGStock[],2,FALSE)</f>
        <v>#N/A</v>
      </c>
      <c r="K1088" s="30" t="e">
        <f>VLOOKUP(I1088,PGStock[],3,FALSE)</f>
        <v>#N/A</v>
      </c>
      <c r="M1088" s="62" t="e">
        <f>VLOOKUP(I1088,PGStock[],6,FALSE)</f>
        <v>#N/A</v>
      </c>
      <c r="N1088" s="62" t="e">
        <f>+Table8[[#This Row],[SalesBot]]*Table8[[#This Row],[Bonus]]</f>
        <v>#N/A</v>
      </c>
    </row>
    <row r="1089" spans="1:14" ht="23.25" customHeight="1" x14ac:dyDescent="0.25">
      <c r="A1089" s="59">
        <f t="shared" si="111"/>
        <v>1900</v>
      </c>
      <c r="B1089" s="59">
        <f t="shared" si="112"/>
        <v>1</v>
      </c>
      <c r="C1089" s="60"/>
      <c r="D1089" s="61"/>
      <c r="F1089" s="23" t="e">
        <f>VLOOKUP(E1089,Customers[],2,FALSE)</f>
        <v>#N/A</v>
      </c>
      <c r="G1089" s="23" t="e">
        <f>VLOOKUP(E1089,Customers[],3,FALSE)</f>
        <v>#N/A</v>
      </c>
      <c r="H1089" s="23" t="e">
        <f>VLOOKUP(E1089,Customers[],4,FALSE)</f>
        <v>#N/A</v>
      </c>
      <c r="J1089" s="29" t="e">
        <f>VLOOKUP(I1089,PGStock[],2,FALSE)</f>
        <v>#N/A</v>
      </c>
      <c r="K1089" s="30" t="e">
        <f>VLOOKUP(I1089,PGStock[],3,FALSE)</f>
        <v>#N/A</v>
      </c>
      <c r="M1089" s="62" t="e">
        <f>VLOOKUP(I1089,PGStock[],6,FALSE)</f>
        <v>#N/A</v>
      </c>
      <c r="N1089" s="62" t="e">
        <f>+Table8[[#This Row],[SalesBot]]*Table8[[#This Row],[Bonus]]</f>
        <v>#N/A</v>
      </c>
    </row>
    <row r="1090" spans="1:14" ht="23.25" customHeight="1" x14ac:dyDescent="0.25">
      <c r="A1090" s="59">
        <f t="shared" si="111"/>
        <v>1900</v>
      </c>
      <c r="B1090" s="59">
        <f t="shared" si="112"/>
        <v>1</v>
      </c>
      <c r="C1090" s="60"/>
      <c r="D1090" s="61"/>
      <c r="F1090" s="23" t="e">
        <f>VLOOKUP(E1090,Customers[],2,FALSE)</f>
        <v>#N/A</v>
      </c>
      <c r="G1090" s="23" t="e">
        <f>VLOOKUP(E1090,Customers[],3,FALSE)</f>
        <v>#N/A</v>
      </c>
      <c r="H1090" s="23" t="e">
        <f>VLOOKUP(E1090,Customers[],4,FALSE)</f>
        <v>#N/A</v>
      </c>
      <c r="J1090" s="29" t="e">
        <f>VLOOKUP(I1090,PGStock[],2,FALSE)</f>
        <v>#N/A</v>
      </c>
      <c r="K1090" s="30" t="e">
        <f>VLOOKUP(I1090,PGStock[],3,FALSE)</f>
        <v>#N/A</v>
      </c>
      <c r="M1090" s="62" t="e">
        <f>VLOOKUP(I1090,PGStock[],6,FALSE)</f>
        <v>#N/A</v>
      </c>
      <c r="N1090" s="62" t="e">
        <f>+Table8[[#This Row],[SalesBot]]*Table8[[#This Row],[Bonus]]</f>
        <v>#N/A</v>
      </c>
    </row>
    <row r="1091" spans="1:14" ht="23.25" customHeight="1" x14ac:dyDescent="0.25">
      <c r="A1091" s="59">
        <f t="shared" si="111"/>
        <v>1900</v>
      </c>
      <c r="B1091" s="59">
        <f t="shared" si="112"/>
        <v>1</v>
      </c>
      <c r="C1091" s="60"/>
      <c r="D1091" s="61"/>
      <c r="F1091" s="23" t="e">
        <f>VLOOKUP(E1091,Customers[],2,FALSE)</f>
        <v>#N/A</v>
      </c>
      <c r="G1091" s="23" t="e">
        <f>VLOOKUP(E1091,Customers[],3,FALSE)</f>
        <v>#N/A</v>
      </c>
      <c r="H1091" s="23" t="e">
        <f>VLOOKUP(E1091,Customers[],4,FALSE)</f>
        <v>#N/A</v>
      </c>
      <c r="J1091" s="29" t="e">
        <f>VLOOKUP(I1091,PGStock[],2,FALSE)</f>
        <v>#N/A</v>
      </c>
      <c r="K1091" s="30" t="e">
        <f>VLOOKUP(I1091,PGStock[],3,FALSE)</f>
        <v>#N/A</v>
      </c>
      <c r="M1091" s="62" t="e">
        <f>VLOOKUP(I1091,PGStock[],6,FALSE)</f>
        <v>#N/A</v>
      </c>
      <c r="N1091" s="62" t="e">
        <f>+Table8[[#This Row],[SalesBot]]*Table8[[#This Row],[Bonus]]</f>
        <v>#N/A</v>
      </c>
    </row>
    <row r="1092" spans="1:14" ht="23.25" customHeight="1" x14ac:dyDescent="0.25">
      <c r="A1092" s="59">
        <f t="shared" si="111"/>
        <v>1900</v>
      </c>
      <c r="B1092" s="59">
        <f t="shared" si="112"/>
        <v>1</v>
      </c>
      <c r="C1092" s="60"/>
      <c r="D1092" s="61"/>
      <c r="F1092" s="23" t="e">
        <f>VLOOKUP(E1092,Customers[],2,FALSE)</f>
        <v>#N/A</v>
      </c>
      <c r="G1092" s="23" t="e">
        <f>VLOOKUP(E1092,Customers[],3,FALSE)</f>
        <v>#N/A</v>
      </c>
      <c r="H1092" s="23" t="e">
        <f>VLOOKUP(E1092,Customers[],4,FALSE)</f>
        <v>#N/A</v>
      </c>
      <c r="J1092" s="29" t="e">
        <f>VLOOKUP(I1092,PGStock[],2,FALSE)</f>
        <v>#N/A</v>
      </c>
      <c r="K1092" s="30" t="e">
        <f>VLOOKUP(I1092,PGStock[],3,FALSE)</f>
        <v>#N/A</v>
      </c>
      <c r="M1092" s="62" t="e">
        <f>VLOOKUP(I1092,PGStock[],6,FALSE)</f>
        <v>#N/A</v>
      </c>
      <c r="N1092" s="62" t="e">
        <f>+Table8[[#This Row],[SalesBot]]*Table8[[#This Row],[Bonus]]</f>
        <v>#N/A</v>
      </c>
    </row>
    <row r="1093" spans="1:14" ht="23.25" customHeight="1" x14ac:dyDescent="0.25">
      <c r="A1093" s="59">
        <f t="shared" si="111"/>
        <v>1900</v>
      </c>
      <c r="B1093" s="59">
        <f t="shared" si="112"/>
        <v>1</v>
      </c>
      <c r="C1093" s="60"/>
      <c r="D1093" s="61"/>
      <c r="F1093" s="23" t="e">
        <f>VLOOKUP(E1093,Customers[],2,FALSE)</f>
        <v>#N/A</v>
      </c>
      <c r="G1093" s="23" t="e">
        <f>VLOOKUP(E1093,Customers[],3,FALSE)</f>
        <v>#N/A</v>
      </c>
      <c r="H1093" s="23" t="e">
        <f>VLOOKUP(E1093,Customers[],4,FALSE)</f>
        <v>#N/A</v>
      </c>
      <c r="J1093" s="29" t="e">
        <f>VLOOKUP(I1093,PGStock[],2,FALSE)</f>
        <v>#N/A</v>
      </c>
      <c r="K1093" s="30" t="e">
        <f>VLOOKUP(I1093,PGStock[],3,FALSE)</f>
        <v>#N/A</v>
      </c>
      <c r="M1093" s="62" t="e">
        <f>VLOOKUP(I1093,PGStock[],6,FALSE)</f>
        <v>#N/A</v>
      </c>
      <c r="N1093" s="62" t="e">
        <f>+Table8[[#This Row],[SalesBot]]*Table8[[#This Row],[Bonus]]</f>
        <v>#N/A</v>
      </c>
    </row>
    <row r="1094" spans="1:14" ht="23.25" customHeight="1" x14ac:dyDescent="0.25">
      <c r="A1094" s="59">
        <f t="shared" si="111"/>
        <v>1900</v>
      </c>
      <c r="B1094" s="59">
        <f t="shared" si="112"/>
        <v>1</v>
      </c>
      <c r="C1094" s="60"/>
      <c r="D1094" s="61"/>
      <c r="F1094" s="23" t="e">
        <f>VLOOKUP(E1094,Customers[],2,FALSE)</f>
        <v>#N/A</v>
      </c>
      <c r="G1094" s="23" t="e">
        <f>VLOOKUP(E1094,Customers[],3,FALSE)</f>
        <v>#N/A</v>
      </c>
      <c r="H1094" s="23" t="e">
        <f>VLOOKUP(E1094,Customers[],4,FALSE)</f>
        <v>#N/A</v>
      </c>
      <c r="J1094" s="29" t="e">
        <f>VLOOKUP(I1094,PGStock[],2,FALSE)</f>
        <v>#N/A</v>
      </c>
      <c r="K1094" s="30" t="e">
        <f>VLOOKUP(I1094,PGStock[],3,FALSE)</f>
        <v>#N/A</v>
      </c>
      <c r="M1094" s="62" t="e">
        <f>VLOOKUP(I1094,PGStock[],6,FALSE)</f>
        <v>#N/A</v>
      </c>
      <c r="N1094" s="62" t="e">
        <f>+Table8[[#This Row],[SalesBot]]*Table8[[#This Row],[Bonus]]</f>
        <v>#N/A</v>
      </c>
    </row>
    <row r="1095" spans="1:14" ht="23.25" customHeight="1" x14ac:dyDescent="0.25">
      <c r="A1095" s="59">
        <f t="shared" si="111"/>
        <v>1900</v>
      </c>
      <c r="B1095" s="59">
        <f t="shared" si="112"/>
        <v>1</v>
      </c>
      <c r="C1095" s="60"/>
      <c r="D1095" s="61"/>
      <c r="F1095" s="23" t="e">
        <f>VLOOKUP(E1095,Customers[],2,FALSE)</f>
        <v>#N/A</v>
      </c>
      <c r="G1095" s="23" t="e">
        <f>VLOOKUP(E1095,Customers[],3,FALSE)</f>
        <v>#N/A</v>
      </c>
      <c r="H1095" s="23" t="e">
        <f>VLOOKUP(E1095,Customers[],4,FALSE)</f>
        <v>#N/A</v>
      </c>
      <c r="J1095" s="29" t="e">
        <f>VLOOKUP(I1095,PGStock[],2,FALSE)</f>
        <v>#N/A</v>
      </c>
      <c r="K1095" s="30" t="e">
        <f>VLOOKUP(I1095,PGStock[],3,FALSE)</f>
        <v>#N/A</v>
      </c>
      <c r="M1095" s="62" t="e">
        <f>VLOOKUP(I1095,PGStock[],6,FALSE)</f>
        <v>#N/A</v>
      </c>
      <c r="N1095" s="62" t="e">
        <f>+Table8[[#This Row],[SalesBot]]*Table8[[#This Row],[Bonus]]</f>
        <v>#N/A</v>
      </c>
    </row>
    <row r="1096" spans="1:14" ht="23.25" customHeight="1" x14ac:dyDescent="0.25">
      <c r="A1096" s="59">
        <f t="shared" si="111"/>
        <v>1900</v>
      </c>
      <c r="B1096" s="59">
        <f t="shared" si="112"/>
        <v>1</v>
      </c>
      <c r="C1096" s="60"/>
      <c r="D1096" s="61"/>
      <c r="F1096" s="23" t="e">
        <f>VLOOKUP(E1096,Customers[],2,FALSE)</f>
        <v>#N/A</v>
      </c>
      <c r="G1096" s="23" t="e">
        <f>VLOOKUP(E1096,Customers[],3,FALSE)</f>
        <v>#N/A</v>
      </c>
      <c r="H1096" s="23" t="e">
        <f>VLOOKUP(E1096,Customers[],4,FALSE)</f>
        <v>#N/A</v>
      </c>
      <c r="J1096" s="29" t="e">
        <f>VLOOKUP(I1096,PGStock[],2,FALSE)</f>
        <v>#N/A</v>
      </c>
      <c r="K1096" s="30" t="e">
        <f>VLOOKUP(I1096,PGStock[],3,FALSE)</f>
        <v>#N/A</v>
      </c>
      <c r="M1096" s="62" t="e">
        <f>VLOOKUP(I1096,PGStock[],6,FALSE)</f>
        <v>#N/A</v>
      </c>
      <c r="N1096" s="62" t="e">
        <f>+Table8[[#This Row],[SalesBot]]*Table8[[#This Row],[Bonus]]</f>
        <v>#N/A</v>
      </c>
    </row>
    <row r="1097" spans="1:14" ht="23.25" customHeight="1" x14ac:dyDescent="0.25">
      <c r="A1097" s="59">
        <f t="shared" si="111"/>
        <v>1900</v>
      </c>
      <c r="B1097" s="59">
        <f t="shared" si="112"/>
        <v>1</v>
      </c>
      <c r="C1097" s="60"/>
      <c r="D1097" s="61"/>
      <c r="F1097" s="23" t="e">
        <f>VLOOKUP(E1097,Customers[],2,FALSE)</f>
        <v>#N/A</v>
      </c>
      <c r="G1097" s="23" t="e">
        <f>VLOOKUP(E1097,Customers[],3,FALSE)</f>
        <v>#N/A</v>
      </c>
      <c r="H1097" s="23" t="e">
        <f>VLOOKUP(E1097,Customers[],4,FALSE)</f>
        <v>#N/A</v>
      </c>
      <c r="J1097" s="29" t="e">
        <f>VLOOKUP(I1097,PGStock[],2,FALSE)</f>
        <v>#N/A</v>
      </c>
      <c r="K1097" s="30" t="e">
        <f>VLOOKUP(I1097,PGStock[],3,FALSE)</f>
        <v>#N/A</v>
      </c>
      <c r="M1097" s="62" t="e">
        <f>VLOOKUP(I1097,PGStock[],6,FALSE)</f>
        <v>#N/A</v>
      </c>
      <c r="N1097" s="62" t="e">
        <f>+Table8[[#This Row],[SalesBot]]*Table8[[#This Row],[Bonus]]</f>
        <v>#N/A</v>
      </c>
    </row>
    <row r="1098" spans="1:14" ht="23.25" customHeight="1" x14ac:dyDescent="0.25">
      <c r="A1098" s="59">
        <f t="shared" si="111"/>
        <v>1900</v>
      </c>
      <c r="B1098" s="59">
        <f t="shared" si="112"/>
        <v>1</v>
      </c>
      <c r="C1098" s="60"/>
      <c r="D1098" s="61"/>
      <c r="F1098" s="23" t="e">
        <f>VLOOKUP(E1098,Customers[],2,FALSE)</f>
        <v>#N/A</v>
      </c>
      <c r="G1098" s="23" t="e">
        <f>VLOOKUP(E1098,Customers[],3,FALSE)</f>
        <v>#N/A</v>
      </c>
      <c r="H1098" s="23" t="e">
        <f>VLOOKUP(E1098,Customers[],4,FALSE)</f>
        <v>#N/A</v>
      </c>
      <c r="J1098" s="29" t="e">
        <f>VLOOKUP(I1098,PGStock[],2,FALSE)</f>
        <v>#N/A</v>
      </c>
      <c r="K1098" s="30" t="e">
        <f>VLOOKUP(I1098,PGStock[],3,FALSE)</f>
        <v>#N/A</v>
      </c>
      <c r="M1098" s="62" t="e">
        <f>VLOOKUP(I1098,PGStock[],6,FALSE)</f>
        <v>#N/A</v>
      </c>
      <c r="N1098" s="62" t="e">
        <f>+Table8[[#This Row],[SalesBot]]*Table8[[#This Row],[Bonus]]</f>
        <v>#N/A</v>
      </c>
    </row>
    <row r="1099" spans="1:14" ht="23.25" customHeight="1" x14ac:dyDescent="0.25">
      <c r="A1099" s="59">
        <f t="shared" si="111"/>
        <v>1900</v>
      </c>
      <c r="B1099" s="59">
        <f t="shared" si="112"/>
        <v>1</v>
      </c>
      <c r="C1099" s="60"/>
      <c r="D1099" s="61"/>
      <c r="F1099" s="23" t="e">
        <f>VLOOKUP(E1099,Customers[],2,FALSE)</f>
        <v>#N/A</v>
      </c>
      <c r="G1099" s="23" t="e">
        <f>VLOOKUP(E1099,Customers[],3,FALSE)</f>
        <v>#N/A</v>
      </c>
      <c r="H1099" s="23" t="e">
        <f>VLOOKUP(E1099,Customers[],4,FALSE)</f>
        <v>#N/A</v>
      </c>
      <c r="J1099" s="29" t="e">
        <f>VLOOKUP(I1099,PGStock[],2,FALSE)</f>
        <v>#N/A</v>
      </c>
      <c r="K1099" s="30" t="e">
        <f>VLOOKUP(I1099,PGStock[],3,FALSE)</f>
        <v>#N/A</v>
      </c>
      <c r="M1099" s="62" t="e">
        <f>VLOOKUP(I1099,PGStock[],6,FALSE)</f>
        <v>#N/A</v>
      </c>
      <c r="N1099" s="62" t="e">
        <f>+Table8[[#This Row],[SalesBot]]*Table8[[#This Row],[Bonus]]</f>
        <v>#N/A</v>
      </c>
    </row>
    <row r="1100" spans="1:14" ht="23.25" customHeight="1" x14ac:dyDescent="0.25">
      <c r="A1100" s="59">
        <f t="shared" si="111"/>
        <v>1900</v>
      </c>
      <c r="B1100" s="59">
        <f t="shared" si="112"/>
        <v>1</v>
      </c>
      <c r="C1100" s="60"/>
      <c r="D1100" s="61"/>
      <c r="F1100" s="23" t="e">
        <f>VLOOKUP(E1100,Customers[],2,FALSE)</f>
        <v>#N/A</v>
      </c>
      <c r="G1100" s="23" t="e">
        <f>VLOOKUP(E1100,Customers[],3,FALSE)</f>
        <v>#N/A</v>
      </c>
      <c r="H1100" s="23" t="e">
        <f>VLOOKUP(E1100,Customers[],4,FALSE)</f>
        <v>#N/A</v>
      </c>
      <c r="J1100" s="29" t="e">
        <f>VLOOKUP(I1100,PGStock[],2,FALSE)</f>
        <v>#N/A</v>
      </c>
      <c r="K1100" s="30" t="e">
        <f>VLOOKUP(I1100,PGStock[],3,FALSE)</f>
        <v>#N/A</v>
      </c>
      <c r="M1100" s="62" t="e">
        <f>VLOOKUP(I1100,PGStock[],6,FALSE)</f>
        <v>#N/A</v>
      </c>
      <c r="N1100" s="62" t="e">
        <f>+Table8[[#This Row],[SalesBot]]*Table8[[#This Row],[Bonus]]</f>
        <v>#N/A</v>
      </c>
    </row>
    <row r="1101" spans="1:14" ht="23.25" customHeight="1" x14ac:dyDescent="0.25">
      <c r="A1101" s="59">
        <f t="shared" si="111"/>
        <v>1900</v>
      </c>
      <c r="B1101" s="59">
        <f t="shared" si="112"/>
        <v>1</v>
      </c>
      <c r="C1101" s="60"/>
      <c r="D1101" s="61"/>
      <c r="F1101" s="23" t="e">
        <f>VLOOKUP(E1101,Customers[],2,FALSE)</f>
        <v>#N/A</v>
      </c>
      <c r="G1101" s="23" t="e">
        <f>VLOOKUP(E1101,Customers[],3,FALSE)</f>
        <v>#N/A</v>
      </c>
      <c r="H1101" s="23" t="e">
        <f>VLOOKUP(E1101,Customers[],4,FALSE)</f>
        <v>#N/A</v>
      </c>
      <c r="J1101" s="29" t="e">
        <f>VLOOKUP(I1101,PGStock[],2,FALSE)</f>
        <v>#N/A</v>
      </c>
      <c r="K1101" s="30" t="e">
        <f>VLOOKUP(I1101,PGStock[],3,FALSE)</f>
        <v>#N/A</v>
      </c>
      <c r="M1101" s="62" t="e">
        <f>VLOOKUP(I1101,PGStock[],6,FALSE)</f>
        <v>#N/A</v>
      </c>
      <c r="N1101" s="62" t="e">
        <f>+Table8[[#This Row],[SalesBot]]*Table8[[#This Row],[Bonus]]</f>
        <v>#N/A</v>
      </c>
    </row>
    <row r="1102" spans="1:14" ht="23.25" customHeight="1" x14ac:dyDescent="0.25">
      <c r="A1102" s="59">
        <f t="shared" si="111"/>
        <v>1900</v>
      </c>
      <c r="B1102" s="59">
        <f t="shared" si="112"/>
        <v>1</v>
      </c>
      <c r="C1102" s="60"/>
      <c r="D1102" s="61"/>
      <c r="F1102" s="23" t="e">
        <f>VLOOKUP(E1102,Customers[],2,FALSE)</f>
        <v>#N/A</v>
      </c>
      <c r="G1102" s="23" t="e">
        <f>VLOOKUP(E1102,Customers[],3,FALSE)</f>
        <v>#N/A</v>
      </c>
      <c r="H1102" s="23" t="e">
        <f>VLOOKUP(E1102,Customers[],4,FALSE)</f>
        <v>#N/A</v>
      </c>
      <c r="J1102" s="29" t="e">
        <f>VLOOKUP(I1102,PGStock[],2,FALSE)</f>
        <v>#N/A</v>
      </c>
      <c r="K1102" s="30" t="e">
        <f>VLOOKUP(I1102,PGStock[],3,FALSE)</f>
        <v>#N/A</v>
      </c>
      <c r="M1102" s="62" t="e">
        <f>VLOOKUP(I1102,PGStock[],6,FALSE)</f>
        <v>#N/A</v>
      </c>
      <c r="N1102" s="62" t="e">
        <f>+Table8[[#This Row],[SalesBot]]*Table8[[#This Row],[Bonus]]</f>
        <v>#N/A</v>
      </c>
    </row>
    <row r="1103" spans="1:14" ht="23.25" customHeight="1" x14ac:dyDescent="0.25">
      <c r="A1103" s="59">
        <f t="shared" si="111"/>
        <v>1900</v>
      </c>
      <c r="B1103" s="59">
        <f t="shared" si="112"/>
        <v>1</v>
      </c>
      <c r="C1103" s="60"/>
      <c r="D1103" s="61"/>
      <c r="F1103" s="23" t="e">
        <f>VLOOKUP(E1103,Customers[],2,FALSE)</f>
        <v>#N/A</v>
      </c>
      <c r="G1103" s="23" t="e">
        <f>VLOOKUP(E1103,Customers[],3,FALSE)</f>
        <v>#N/A</v>
      </c>
      <c r="H1103" s="23" t="e">
        <f>VLOOKUP(E1103,Customers[],4,FALSE)</f>
        <v>#N/A</v>
      </c>
      <c r="J1103" s="29" t="e">
        <f>VLOOKUP(I1103,PGStock[],2,FALSE)</f>
        <v>#N/A</v>
      </c>
      <c r="K1103" s="30" t="e">
        <f>VLOOKUP(I1103,PGStock[],3,FALSE)</f>
        <v>#N/A</v>
      </c>
      <c r="M1103" s="62" t="e">
        <f>VLOOKUP(I1103,PGStock[],6,FALSE)</f>
        <v>#N/A</v>
      </c>
      <c r="N1103" s="62" t="e">
        <f>+Table8[[#This Row],[SalesBot]]*Table8[[#This Row],[Bonus]]</f>
        <v>#N/A</v>
      </c>
    </row>
    <row r="1104" spans="1:14" ht="23.25" customHeight="1" x14ac:dyDescent="0.25">
      <c r="A1104" s="59">
        <f t="shared" si="111"/>
        <v>1900</v>
      </c>
      <c r="B1104" s="59">
        <f t="shared" si="112"/>
        <v>1</v>
      </c>
      <c r="C1104" s="60"/>
      <c r="D1104" s="61"/>
      <c r="F1104" s="23" t="e">
        <f>VLOOKUP(E1104,Customers[],2,FALSE)</f>
        <v>#N/A</v>
      </c>
      <c r="G1104" s="23" t="e">
        <f>VLOOKUP(E1104,Customers[],3,FALSE)</f>
        <v>#N/A</v>
      </c>
      <c r="H1104" s="23" t="e">
        <f>VLOOKUP(E1104,Customers[],4,FALSE)</f>
        <v>#N/A</v>
      </c>
      <c r="J1104" s="29" t="e">
        <f>VLOOKUP(I1104,PGStock[],2,FALSE)</f>
        <v>#N/A</v>
      </c>
      <c r="K1104" s="30" t="e">
        <f>VLOOKUP(I1104,PGStock[],3,FALSE)</f>
        <v>#N/A</v>
      </c>
      <c r="M1104" s="62" t="e">
        <f>VLOOKUP(I1104,PGStock[],6,FALSE)</f>
        <v>#N/A</v>
      </c>
      <c r="N1104" s="62" t="e">
        <f>+Table8[[#This Row],[SalesBot]]*Table8[[#This Row],[Bonus]]</f>
        <v>#N/A</v>
      </c>
    </row>
    <row r="1105" spans="1:14" ht="23.25" customHeight="1" x14ac:dyDescent="0.25">
      <c r="A1105" s="59">
        <f t="shared" si="111"/>
        <v>1900</v>
      </c>
      <c r="B1105" s="59">
        <f t="shared" si="112"/>
        <v>1</v>
      </c>
      <c r="C1105" s="60"/>
      <c r="D1105" s="61"/>
      <c r="F1105" s="23" t="e">
        <f>VLOOKUP(E1105,Customers[],2,FALSE)</f>
        <v>#N/A</v>
      </c>
      <c r="G1105" s="23" t="e">
        <f>VLOOKUP(E1105,Customers[],3,FALSE)</f>
        <v>#N/A</v>
      </c>
      <c r="H1105" s="23" t="e">
        <f>VLOOKUP(E1105,Customers[],4,FALSE)</f>
        <v>#N/A</v>
      </c>
      <c r="J1105" s="29" t="e">
        <f>VLOOKUP(I1105,PGStock[],2,FALSE)</f>
        <v>#N/A</v>
      </c>
      <c r="K1105" s="30" t="e">
        <f>VLOOKUP(I1105,PGStock[],3,FALSE)</f>
        <v>#N/A</v>
      </c>
      <c r="M1105" s="62" t="e">
        <f>VLOOKUP(I1105,PGStock[],6,FALSE)</f>
        <v>#N/A</v>
      </c>
      <c r="N1105" s="62" t="e">
        <f>+Table8[[#This Row],[SalesBot]]*Table8[[#This Row],[Bonus]]</f>
        <v>#N/A</v>
      </c>
    </row>
    <row r="1106" spans="1:14" ht="23.25" customHeight="1" x14ac:dyDescent="0.25">
      <c r="A1106" s="59">
        <f t="shared" si="111"/>
        <v>1900</v>
      </c>
      <c r="B1106" s="59">
        <f t="shared" si="112"/>
        <v>1</v>
      </c>
      <c r="C1106" s="60"/>
      <c r="D1106" s="61"/>
      <c r="F1106" s="23" t="e">
        <f>VLOOKUP(E1106,Customers[],2,FALSE)</f>
        <v>#N/A</v>
      </c>
      <c r="G1106" s="23" t="e">
        <f>VLOOKUP(E1106,Customers[],3,FALSE)</f>
        <v>#N/A</v>
      </c>
      <c r="H1106" s="23" t="e">
        <f>VLOOKUP(E1106,Customers[],4,FALSE)</f>
        <v>#N/A</v>
      </c>
      <c r="J1106" s="29" t="e">
        <f>VLOOKUP(I1106,PGStock[],2,FALSE)</f>
        <v>#N/A</v>
      </c>
      <c r="K1106" s="30" t="e">
        <f>VLOOKUP(I1106,PGStock[],3,FALSE)</f>
        <v>#N/A</v>
      </c>
      <c r="M1106" s="62" t="e">
        <f>VLOOKUP(I1106,PGStock[],6,FALSE)</f>
        <v>#N/A</v>
      </c>
      <c r="N1106" s="62" t="e">
        <f>+Table8[[#This Row],[SalesBot]]*Table8[[#This Row],[Bonus]]</f>
        <v>#N/A</v>
      </c>
    </row>
    <row r="1107" spans="1:14" ht="23.25" customHeight="1" x14ac:dyDescent="0.25">
      <c r="A1107" s="59">
        <f t="shared" si="111"/>
        <v>1900</v>
      </c>
      <c r="B1107" s="59">
        <f t="shared" si="112"/>
        <v>1</v>
      </c>
      <c r="C1107" s="60"/>
      <c r="D1107" s="61"/>
      <c r="F1107" s="23" t="e">
        <f>VLOOKUP(E1107,Customers[],2,FALSE)</f>
        <v>#N/A</v>
      </c>
      <c r="G1107" s="23" t="e">
        <f>VLOOKUP(E1107,Customers[],3,FALSE)</f>
        <v>#N/A</v>
      </c>
      <c r="H1107" s="23" t="e">
        <f>VLOOKUP(E1107,Customers[],4,FALSE)</f>
        <v>#N/A</v>
      </c>
      <c r="J1107" s="29" t="e">
        <f>VLOOKUP(I1107,PGStock[],2,FALSE)</f>
        <v>#N/A</v>
      </c>
      <c r="K1107" s="30" t="e">
        <f>VLOOKUP(I1107,PGStock[],3,FALSE)</f>
        <v>#N/A</v>
      </c>
      <c r="M1107" s="62" t="e">
        <f>VLOOKUP(I1107,PGStock[],6,FALSE)</f>
        <v>#N/A</v>
      </c>
      <c r="N1107" s="62" t="e">
        <f>+Table8[[#This Row],[SalesBot]]*Table8[[#This Row],[Bonus]]</f>
        <v>#N/A</v>
      </c>
    </row>
    <row r="1108" spans="1:14" ht="23.25" customHeight="1" x14ac:dyDescent="0.25">
      <c r="A1108" s="59">
        <f t="shared" si="111"/>
        <v>1900</v>
      </c>
      <c r="B1108" s="59">
        <f t="shared" si="112"/>
        <v>1</v>
      </c>
      <c r="C1108" s="60"/>
      <c r="D1108" s="61"/>
      <c r="F1108" s="23" t="e">
        <f>VLOOKUP(E1108,Customers[],2,FALSE)</f>
        <v>#N/A</v>
      </c>
      <c r="G1108" s="23" t="e">
        <f>VLOOKUP(E1108,Customers[],3,FALSE)</f>
        <v>#N/A</v>
      </c>
      <c r="H1108" s="23" t="e">
        <f>VLOOKUP(E1108,Customers[],4,FALSE)</f>
        <v>#N/A</v>
      </c>
      <c r="J1108" s="29" t="e">
        <f>VLOOKUP(I1108,PGStock[],2,FALSE)</f>
        <v>#N/A</v>
      </c>
      <c r="K1108" s="30" t="e">
        <f>VLOOKUP(I1108,PGStock[],3,FALSE)</f>
        <v>#N/A</v>
      </c>
      <c r="M1108" s="62" t="e">
        <f>VLOOKUP(I1108,PGStock[],6,FALSE)</f>
        <v>#N/A</v>
      </c>
      <c r="N1108" s="62" t="e">
        <f>+Table8[[#This Row],[SalesBot]]*Table8[[#This Row],[Bonus]]</f>
        <v>#N/A</v>
      </c>
    </row>
    <row r="1109" spans="1:14" ht="23.25" customHeight="1" x14ac:dyDescent="0.25">
      <c r="A1109" s="59">
        <f t="shared" si="111"/>
        <v>1900</v>
      </c>
      <c r="B1109" s="59">
        <f t="shared" si="112"/>
        <v>1</v>
      </c>
      <c r="C1109" s="60"/>
      <c r="D1109" s="61"/>
      <c r="F1109" s="23" t="e">
        <f>VLOOKUP(E1109,Customers[],2,FALSE)</f>
        <v>#N/A</v>
      </c>
      <c r="G1109" s="23" t="e">
        <f>VLOOKUP(E1109,Customers[],3,FALSE)</f>
        <v>#N/A</v>
      </c>
      <c r="H1109" s="23" t="e">
        <f>VLOOKUP(E1109,Customers[],4,FALSE)</f>
        <v>#N/A</v>
      </c>
      <c r="J1109" s="29" t="e">
        <f>VLOOKUP(I1109,PGStock[],2,FALSE)</f>
        <v>#N/A</v>
      </c>
      <c r="K1109" s="30" t="e">
        <f>VLOOKUP(I1109,PGStock[],3,FALSE)</f>
        <v>#N/A</v>
      </c>
      <c r="M1109" s="62" t="e">
        <f>VLOOKUP(I1109,PGStock[],6,FALSE)</f>
        <v>#N/A</v>
      </c>
      <c r="N1109" s="62" t="e">
        <f>+Table8[[#This Row],[SalesBot]]*Table8[[#This Row],[Bonus]]</f>
        <v>#N/A</v>
      </c>
    </row>
    <row r="1110" spans="1:14" ht="23.25" customHeight="1" x14ac:dyDescent="0.25">
      <c r="A1110" s="59">
        <f t="shared" si="111"/>
        <v>1900</v>
      </c>
      <c r="B1110" s="59">
        <f t="shared" si="112"/>
        <v>1</v>
      </c>
      <c r="C1110" s="60"/>
      <c r="D1110" s="61"/>
      <c r="F1110" s="23" t="e">
        <f>VLOOKUP(E1110,Customers[],2,FALSE)</f>
        <v>#N/A</v>
      </c>
      <c r="G1110" s="23" t="e">
        <f>VLOOKUP(E1110,Customers[],3,FALSE)</f>
        <v>#N/A</v>
      </c>
      <c r="H1110" s="23" t="e">
        <f>VLOOKUP(E1110,Customers[],4,FALSE)</f>
        <v>#N/A</v>
      </c>
      <c r="J1110" s="29" t="e">
        <f>VLOOKUP(I1110,PGStock[],2,FALSE)</f>
        <v>#N/A</v>
      </c>
      <c r="K1110" s="30" t="e">
        <f>VLOOKUP(I1110,PGStock[],3,FALSE)</f>
        <v>#N/A</v>
      </c>
      <c r="M1110" s="62" t="e">
        <f>VLOOKUP(I1110,PGStock[],6,FALSE)</f>
        <v>#N/A</v>
      </c>
      <c r="N1110" s="62" t="e">
        <f>+Table8[[#This Row],[SalesBot]]*Table8[[#This Row],[Bonus]]</f>
        <v>#N/A</v>
      </c>
    </row>
    <row r="1111" spans="1:14" ht="23.25" customHeight="1" x14ac:dyDescent="0.25">
      <c r="A1111" s="59">
        <f t="shared" ref="A1111:A1181" si="113">YEAR(C1111)</f>
        <v>1900</v>
      </c>
      <c r="B1111" s="59">
        <f t="shared" ref="B1111:B1181" si="114">MONTH(C1111)</f>
        <v>1</v>
      </c>
      <c r="C1111" s="60"/>
      <c r="D1111" s="61"/>
      <c r="F1111" s="23" t="e">
        <f>VLOOKUP(E1111,Customers[],2,FALSE)</f>
        <v>#N/A</v>
      </c>
      <c r="G1111" s="23" t="e">
        <f>VLOOKUP(E1111,Customers[],3,FALSE)</f>
        <v>#N/A</v>
      </c>
      <c r="H1111" s="23" t="e">
        <f>VLOOKUP(E1111,Customers[],4,FALSE)</f>
        <v>#N/A</v>
      </c>
      <c r="J1111" s="29" t="e">
        <f>VLOOKUP(I1111,PGStock[],2,FALSE)</f>
        <v>#N/A</v>
      </c>
      <c r="K1111" s="30" t="e">
        <f>VLOOKUP(I1111,PGStock[],3,FALSE)</f>
        <v>#N/A</v>
      </c>
      <c r="M1111" s="62" t="e">
        <f>VLOOKUP(I1111,PGStock[],6,FALSE)</f>
        <v>#N/A</v>
      </c>
      <c r="N1111" s="62" t="e">
        <f>+Table8[[#This Row],[SalesBot]]*Table8[[#This Row],[Bonus]]</f>
        <v>#N/A</v>
      </c>
    </row>
    <row r="1112" spans="1:14" ht="23.25" customHeight="1" x14ac:dyDescent="0.25">
      <c r="A1112" s="59">
        <f t="shared" si="113"/>
        <v>1900</v>
      </c>
      <c r="B1112" s="59">
        <f t="shared" si="114"/>
        <v>1</v>
      </c>
      <c r="C1112" s="60"/>
      <c r="D1112" s="61"/>
      <c r="F1112" s="23" t="e">
        <f>VLOOKUP(E1112,Customers[],2,FALSE)</f>
        <v>#N/A</v>
      </c>
      <c r="G1112" s="23" t="e">
        <f>VLOOKUP(E1112,Customers[],3,FALSE)</f>
        <v>#N/A</v>
      </c>
      <c r="H1112" s="23" t="e">
        <f>VLOOKUP(E1112,Customers[],4,FALSE)</f>
        <v>#N/A</v>
      </c>
      <c r="J1112" s="29" t="e">
        <f>VLOOKUP(I1112,PGStock[],2,FALSE)</f>
        <v>#N/A</v>
      </c>
      <c r="K1112" s="30" t="e">
        <f>VLOOKUP(I1112,PGStock[],3,FALSE)</f>
        <v>#N/A</v>
      </c>
      <c r="M1112" s="62" t="e">
        <f>VLOOKUP(I1112,PGStock[],6,FALSE)</f>
        <v>#N/A</v>
      </c>
      <c r="N1112" s="62" t="e">
        <f>+Table8[[#This Row],[SalesBot]]*Table8[[#This Row],[Bonus]]</f>
        <v>#N/A</v>
      </c>
    </row>
    <row r="1113" spans="1:14" ht="23.25" customHeight="1" x14ac:dyDescent="0.25">
      <c r="A1113" s="59">
        <f t="shared" si="113"/>
        <v>1900</v>
      </c>
      <c r="B1113" s="59">
        <f t="shared" si="114"/>
        <v>1</v>
      </c>
      <c r="C1113" s="60"/>
      <c r="D1113" s="61"/>
      <c r="F1113" s="23" t="e">
        <f>VLOOKUP(E1113,Customers[],2,FALSE)</f>
        <v>#N/A</v>
      </c>
      <c r="G1113" s="23" t="e">
        <f>VLOOKUP(E1113,Customers[],3,FALSE)</f>
        <v>#N/A</v>
      </c>
      <c r="H1113" s="23" t="e">
        <f>VLOOKUP(E1113,Customers[],4,FALSE)</f>
        <v>#N/A</v>
      </c>
      <c r="J1113" s="29" t="e">
        <f>VLOOKUP(I1113,PGStock[],2,FALSE)</f>
        <v>#N/A</v>
      </c>
      <c r="K1113" s="30" t="e">
        <f>VLOOKUP(I1113,PGStock[],3,FALSE)</f>
        <v>#N/A</v>
      </c>
      <c r="M1113" s="62" t="e">
        <f>VLOOKUP(I1113,PGStock[],6,FALSE)</f>
        <v>#N/A</v>
      </c>
      <c r="N1113" s="62" t="e">
        <f>+Table8[[#This Row],[SalesBot]]*Table8[[#This Row],[Bonus]]</f>
        <v>#N/A</v>
      </c>
    </row>
    <row r="1114" spans="1:14" ht="23.25" customHeight="1" x14ac:dyDescent="0.25">
      <c r="A1114" s="59">
        <f t="shared" si="113"/>
        <v>1900</v>
      </c>
      <c r="B1114" s="59">
        <f t="shared" si="114"/>
        <v>1</v>
      </c>
      <c r="C1114" s="60"/>
      <c r="D1114" s="61"/>
      <c r="F1114" s="23" t="e">
        <f>VLOOKUP(E1114,Customers[],2,FALSE)</f>
        <v>#N/A</v>
      </c>
      <c r="G1114" s="23" t="e">
        <f>VLOOKUP(E1114,Customers[],3,FALSE)</f>
        <v>#N/A</v>
      </c>
      <c r="H1114" s="23" t="e">
        <f>VLOOKUP(E1114,Customers[],4,FALSE)</f>
        <v>#N/A</v>
      </c>
      <c r="J1114" s="29" t="e">
        <f>VLOOKUP(I1114,PGStock[],2,FALSE)</f>
        <v>#N/A</v>
      </c>
      <c r="K1114" s="30" t="e">
        <f>VLOOKUP(I1114,PGStock[],3,FALSE)</f>
        <v>#N/A</v>
      </c>
      <c r="M1114" s="62" t="e">
        <f>VLOOKUP(I1114,PGStock[],6,FALSE)</f>
        <v>#N/A</v>
      </c>
      <c r="N1114" s="62" t="e">
        <f>+Table8[[#This Row],[SalesBot]]*Table8[[#This Row],[Bonus]]</f>
        <v>#N/A</v>
      </c>
    </row>
    <row r="1115" spans="1:14" ht="23.25" customHeight="1" x14ac:dyDescent="0.25">
      <c r="A1115" s="59">
        <f t="shared" si="113"/>
        <v>1900</v>
      </c>
      <c r="B1115" s="59">
        <f t="shared" si="114"/>
        <v>1</v>
      </c>
      <c r="C1115" s="60"/>
      <c r="D1115" s="61"/>
      <c r="F1115" s="23" t="e">
        <f>VLOOKUP(E1115,Customers[],2,FALSE)</f>
        <v>#N/A</v>
      </c>
      <c r="G1115" s="23" t="e">
        <f>VLOOKUP(E1115,Customers[],3,FALSE)</f>
        <v>#N/A</v>
      </c>
      <c r="H1115" s="23" t="e">
        <f>VLOOKUP(E1115,Customers[],4,FALSE)</f>
        <v>#N/A</v>
      </c>
      <c r="J1115" s="29" t="e">
        <f>VLOOKUP(I1115,PGStock[],2,FALSE)</f>
        <v>#N/A</v>
      </c>
      <c r="K1115" s="30" t="e">
        <f>VLOOKUP(I1115,PGStock[],3,FALSE)</f>
        <v>#N/A</v>
      </c>
      <c r="M1115" s="62" t="e">
        <f>VLOOKUP(I1115,PGStock[],6,FALSE)</f>
        <v>#N/A</v>
      </c>
      <c r="N1115" s="62" t="e">
        <f>+Table8[[#This Row],[SalesBot]]*Table8[[#This Row],[Bonus]]</f>
        <v>#N/A</v>
      </c>
    </row>
    <row r="1116" spans="1:14" ht="23.25" customHeight="1" x14ac:dyDescent="0.25">
      <c r="A1116" s="59">
        <f t="shared" si="113"/>
        <v>1900</v>
      </c>
      <c r="B1116" s="59">
        <f t="shared" si="114"/>
        <v>1</v>
      </c>
      <c r="C1116" s="60"/>
      <c r="D1116" s="61"/>
      <c r="F1116" s="23" t="e">
        <f>VLOOKUP(E1116,Customers[],2,FALSE)</f>
        <v>#N/A</v>
      </c>
      <c r="G1116" s="23" t="e">
        <f>VLOOKUP(E1116,Customers[],3,FALSE)</f>
        <v>#N/A</v>
      </c>
      <c r="H1116" s="23" t="e">
        <f>VLOOKUP(E1116,Customers[],4,FALSE)</f>
        <v>#N/A</v>
      </c>
      <c r="J1116" s="29" t="e">
        <f>VLOOKUP(I1116,PGStock[],2,FALSE)</f>
        <v>#N/A</v>
      </c>
      <c r="K1116" s="30" t="e">
        <f>VLOOKUP(I1116,PGStock[],3,FALSE)</f>
        <v>#N/A</v>
      </c>
      <c r="M1116" s="62" t="e">
        <f>VLOOKUP(I1116,PGStock[],6,FALSE)</f>
        <v>#N/A</v>
      </c>
      <c r="N1116" s="62" t="e">
        <f>+Table8[[#This Row],[SalesBot]]*Table8[[#This Row],[Bonus]]</f>
        <v>#N/A</v>
      </c>
    </row>
    <row r="1117" spans="1:14" ht="23.25" customHeight="1" x14ac:dyDescent="0.25">
      <c r="A1117" s="59">
        <f t="shared" si="113"/>
        <v>1900</v>
      </c>
      <c r="B1117" s="59">
        <f t="shared" si="114"/>
        <v>1</v>
      </c>
      <c r="C1117" s="60"/>
      <c r="D1117" s="61"/>
      <c r="F1117" s="23" t="e">
        <f>VLOOKUP(E1117,Customers[],2,FALSE)</f>
        <v>#N/A</v>
      </c>
      <c r="G1117" s="23" t="e">
        <f>VLOOKUP(E1117,Customers[],3,FALSE)</f>
        <v>#N/A</v>
      </c>
      <c r="H1117" s="23" t="e">
        <f>VLOOKUP(E1117,Customers[],4,FALSE)</f>
        <v>#N/A</v>
      </c>
      <c r="J1117" s="29" t="e">
        <f>VLOOKUP(I1117,PGStock[],2,FALSE)</f>
        <v>#N/A</v>
      </c>
      <c r="K1117" s="30" t="e">
        <f>VLOOKUP(I1117,PGStock[],3,FALSE)</f>
        <v>#N/A</v>
      </c>
      <c r="M1117" s="62" t="e">
        <f>VLOOKUP(I1117,PGStock[],6,FALSE)</f>
        <v>#N/A</v>
      </c>
      <c r="N1117" s="62" t="e">
        <f>+Table8[[#This Row],[SalesBot]]*Table8[[#This Row],[Bonus]]</f>
        <v>#N/A</v>
      </c>
    </row>
    <row r="1118" spans="1:14" ht="23.25" customHeight="1" x14ac:dyDescent="0.25">
      <c r="A1118" s="59">
        <f t="shared" si="113"/>
        <v>1900</v>
      </c>
      <c r="B1118" s="59">
        <f t="shared" si="114"/>
        <v>1</v>
      </c>
      <c r="C1118" s="60"/>
      <c r="D1118" s="61"/>
      <c r="F1118" s="23" t="e">
        <f>VLOOKUP(E1118,Customers[],2,FALSE)</f>
        <v>#N/A</v>
      </c>
      <c r="G1118" s="23" t="e">
        <f>VLOOKUP(E1118,Customers[],3,FALSE)</f>
        <v>#N/A</v>
      </c>
      <c r="H1118" s="23" t="e">
        <f>VLOOKUP(E1118,Customers[],4,FALSE)</f>
        <v>#N/A</v>
      </c>
      <c r="J1118" s="29" t="e">
        <f>VLOOKUP(I1118,PGStock[],2,FALSE)</f>
        <v>#N/A</v>
      </c>
      <c r="K1118" s="30" t="e">
        <f>VLOOKUP(I1118,PGStock[],3,FALSE)</f>
        <v>#N/A</v>
      </c>
      <c r="M1118" s="62" t="e">
        <f>VLOOKUP(I1118,PGStock[],6,FALSE)</f>
        <v>#N/A</v>
      </c>
      <c r="N1118" s="62" t="e">
        <f>+Table8[[#This Row],[SalesBot]]*Table8[[#This Row],[Bonus]]</f>
        <v>#N/A</v>
      </c>
    </row>
    <row r="1119" spans="1:14" ht="23.25" customHeight="1" x14ac:dyDescent="0.25">
      <c r="A1119" s="59">
        <f t="shared" si="113"/>
        <v>1900</v>
      </c>
      <c r="B1119" s="59">
        <f t="shared" si="114"/>
        <v>1</v>
      </c>
      <c r="C1119" s="60"/>
      <c r="D1119" s="61"/>
      <c r="F1119" s="23" t="e">
        <f>VLOOKUP(E1119,Customers[],2,FALSE)</f>
        <v>#N/A</v>
      </c>
      <c r="G1119" s="23" t="e">
        <f>VLOOKUP(E1119,Customers[],3,FALSE)</f>
        <v>#N/A</v>
      </c>
      <c r="H1119" s="23" t="e">
        <f>VLOOKUP(E1119,Customers[],4,FALSE)</f>
        <v>#N/A</v>
      </c>
      <c r="J1119" s="29" t="e">
        <f>VLOOKUP(I1119,PGStock[],2,FALSE)</f>
        <v>#N/A</v>
      </c>
      <c r="K1119" s="30" t="e">
        <f>VLOOKUP(I1119,PGStock[],3,FALSE)</f>
        <v>#N/A</v>
      </c>
      <c r="M1119" s="62" t="e">
        <f>VLOOKUP(I1119,PGStock[],6,FALSE)</f>
        <v>#N/A</v>
      </c>
      <c r="N1119" s="62" t="e">
        <f>+Table8[[#This Row],[SalesBot]]*Table8[[#This Row],[Bonus]]</f>
        <v>#N/A</v>
      </c>
    </row>
    <row r="1120" spans="1:14" ht="23.25" customHeight="1" x14ac:dyDescent="0.25">
      <c r="A1120" s="59">
        <f t="shared" si="113"/>
        <v>1900</v>
      </c>
      <c r="B1120" s="59">
        <f t="shared" si="114"/>
        <v>1</v>
      </c>
      <c r="C1120" s="60"/>
      <c r="D1120" s="61"/>
      <c r="F1120" s="23" t="e">
        <f>VLOOKUP(E1120,Customers[],2,FALSE)</f>
        <v>#N/A</v>
      </c>
      <c r="G1120" s="23" t="e">
        <f>VLOOKUP(E1120,Customers[],3,FALSE)</f>
        <v>#N/A</v>
      </c>
      <c r="H1120" s="23" t="e">
        <f>VLOOKUP(E1120,Customers[],4,FALSE)</f>
        <v>#N/A</v>
      </c>
      <c r="J1120" s="29" t="e">
        <f>VLOOKUP(I1120,PGStock[],2,FALSE)</f>
        <v>#N/A</v>
      </c>
      <c r="K1120" s="30" t="e">
        <f>VLOOKUP(I1120,PGStock[],3,FALSE)</f>
        <v>#N/A</v>
      </c>
      <c r="M1120" s="62" t="e">
        <f>VLOOKUP(I1120,PGStock[],6,FALSE)</f>
        <v>#N/A</v>
      </c>
      <c r="N1120" s="62" t="e">
        <f>+Table8[[#This Row],[SalesBot]]*Table8[[#This Row],[Bonus]]</f>
        <v>#N/A</v>
      </c>
    </row>
    <row r="1121" spans="1:14" ht="23.25" customHeight="1" x14ac:dyDescent="0.25">
      <c r="A1121" s="59">
        <f t="shared" si="113"/>
        <v>1900</v>
      </c>
      <c r="B1121" s="59">
        <f t="shared" si="114"/>
        <v>1</v>
      </c>
      <c r="C1121" s="60"/>
      <c r="D1121" s="61"/>
      <c r="F1121" s="23" t="e">
        <f>VLOOKUP(E1121,Customers[],2,FALSE)</f>
        <v>#N/A</v>
      </c>
      <c r="G1121" s="23" t="e">
        <f>VLOOKUP(E1121,Customers[],3,FALSE)</f>
        <v>#N/A</v>
      </c>
      <c r="H1121" s="23" t="e">
        <f>VLOOKUP(E1121,Customers[],4,FALSE)</f>
        <v>#N/A</v>
      </c>
      <c r="J1121" s="29" t="e">
        <f>VLOOKUP(I1121,PGStock[],2,FALSE)</f>
        <v>#N/A</v>
      </c>
      <c r="K1121" s="30" t="e">
        <f>VLOOKUP(I1121,PGStock[],3,FALSE)</f>
        <v>#N/A</v>
      </c>
      <c r="M1121" s="62" t="e">
        <f>VLOOKUP(I1121,PGStock[],6,FALSE)</f>
        <v>#N/A</v>
      </c>
      <c r="N1121" s="62" t="e">
        <f>+Table8[[#This Row],[SalesBot]]*Table8[[#This Row],[Bonus]]</f>
        <v>#N/A</v>
      </c>
    </row>
    <row r="1122" spans="1:14" ht="23.25" customHeight="1" x14ac:dyDescent="0.25">
      <c r="A1122" s="59">
        <f t="shared" si="113"/>
        <v>1900</v>
      </c>
      <c r="B1122" s="59">
        <f t="shared" si="114"/>
        <v>1</v>
      </c>
      <c r="C1122" s="60"/>
      <c r="D1122" s="61"/>
      <c r="F1122" s="23" t="e">
        <f>VLOOKUP(E1122,Customers[],2,FALSE)</f>
        <v>#N/A</v>
      </c>
      <c r="G1122" s="23" t="e">
        <f>VLOOKUP(E1122,Customers[],3,FALSE)</f>
        <v>#N/A</v>
      </c>
      <c r="H1122" s="23" t="e">
        <f>VLOOKUP(E1122,Customers[],4,FALSE)</f>
        <v>#N/A</v>
      </c>
      <c r="J1122" s="29" t="e">
        <f>VLOOKUP(I1122,PGStock[],2,FALSE)</f>
        <v>#N/A</v>
      </c>
      <c r="K1122" s="30" t="e">
        <f>VLOOKUP(I1122,PGStock[],3,FALSE)</f>
        <v>#N/A</v>
      </c>
      <c r="M1122" s="62" t="e">
        <f>VLOOKUP(I1122,PGStock[],6,FALSE)</f>
        <v>#N/A</v>
      </c>
      <c r="N1122" s="62" t="e">
        <f>+Table8[[#This Row],[SalesBot]]*Table8[[#This Row],[Bonus]]</f>
        <v>#N/A</v>
      </c>
    </row>
    <row r="1123" spans="1:14" ht="23.25" customHeight="1" x14ac:dyDescent="0.25">
      <c r="A1123" s="59">
        <f t="shared" si="113"/>
        <v>1900</v>
      </c>
      <c r="B1123" s="59">
        <f t="shared" si="114"/>
        <v>1</v>
      </c>
      <c r="C1123" s="60"/>
      <c r="D1123" s="61"/>
      <c r="F1123" s="23" t="e">
        <f>VLOOKUP(E1123,Customers[],2,FALSE)</f>
        <v>#N/A</v>
      </c>
      <c r="G1123" s="23" t="e">
        <f>VLOOKUP(E1123,Customers[],3,FALSE)</f>
        <v>#N/A</v>
      </c>
      <c r="H1123" s="23" t="e">
        <f>VLOOKUP(E1123,Customers[],4,FALSE)</f>
        <v>#N/A</v>
      </c>
      <c r="J1123" s="29" t="e">
        <f>VLOOKUP(I1123,PGStock[],2,FALSE)</f>
        <v>#N/A</v>
      </c>
      <c r="K1123" s="30" t="e">
        <f>VLOOKUP(I1123,PGStock[],3,FALSE)</f>
        <v>#N/A</v>
      </c>
      <c r="M1123" s="62" t="e">
        <f>VLOOKUP(I1123,PGStock[],6,FALSE)</f>
        <v>#N/A</v>
      </c>
      <c r="N1123" s="62" t="e">
        <f>+Table8[[#This Row],[SalesBot]]*Table8[[#This Row],[Bonus]]</f>
        <v>#N/A</v>
      </c>
    </row>
    <row r="1124" spans="1:14" ht="23.25" customHeight="1" x14ac:dyDescent="0.25">
      <c r="A1124" s="59">
        <f t="shared" si="113"/>
        <v>1900</v>
      </c>
      <c r="B1124" s="59">
        <f t="shared" si="114"/>
        <v>1</v>
      </c>
      <c r="C1124" s="60"/>
      <c r="D1124" s="61"/>
      <c r="F1124" s="23" t="e">
        <f>VLOOKUP(E1124,Customers[],2,FALSE)</f>
        <v>#N/A</v>
      </c>
      <c r="G1124" s="23" t="e">
        <f>VLOOKUP(E1124,Customers[],3,FALSE)</f>
        <v>#N/A</v>
      </c>
      <c r="H1124" s="23" t="e">
        <f>VLOOKUP(E1124,Customers[],4,FALSE)</f>
        <v>#N/A</v>
      </c>
      <c r="J1124" s="29" t="e">
        <f>VLOOKUP(I1124,PGStock[],2,FALSE)</f>
        <v>#N/A</v>
      </c>
      <c r="K1124" s="30" t="e">
        <f>VLOOKUP(I1124,PGStock[],3,FALSE)</f>
        <v>#N/A</v>
      </c>
      <c r="M1124" s="62" t="e">
        <f>VLOOKUP(I1124,PGStock[],6,FALSE)</f>
        <v>#N/A</v>
      </c>
      <c r="N1124" s="62" t="e">
        <f>+Table8[[#This Row],[SalesBot]]*Table8[[#This Row],[Bonus]]</f>
        <v>#N/A</v>
      </c>
    </row>
    <row r="1125" spans="1:14" ht="23.25" customHeight="1" x14ac:dyDescent="0.25">
      <c r="A1125" s="59">
        <f t="shared" si="113"/>
        <v>1900</v>
      </c>
      <c r="B1125" s="59">
        <f t="shared" si="114"/>
        <v>1</v>
      </c>
      <c r="C1125" s="60"/>
      <c r="D1125" s="61"/>
      <c r="F1125" s="23" t="e">
        <f>VLOOKUP(E1125,Customers[],2,FALSE)</f>
        <v>#N/A</v>
      </c>
      <c r="G1125" s="23" t="e">
        <f>VLOOKUP(E1125,Customers[],3,FALSE)</f>
        <v>#N/A</v>
      </c>
      <c r="H1125" s="23" t="e">
        <f>VLOOKUP(E1125,Customers[],4,FALSE)</f>
        <v>#N/A</v>
      </c>
      <c r="J1125" s="29" t="e">
        <f>VLOOKUP(I1125,PGStock[],2,FALSE)</f>
        <v>#N/A</v>
      </c>
      <c r="K1125" s="30" t="e">
        <f>VLOOKUP(I1125,PGStock[],3,FALSE)</f>
        <v>#N/A</v>
      </c>
      <c r="M1125" s="62" t="e">
        <f>VLOOKUP(I1125,PGStock[],6,FALSE)</f>
        <v>#N/A</v>
      </c>
      <c r="N1125" s="62" t="e">
        <f>+Table8[[#This Row],[SalesBot]]*Table8[[#This Row],[Bonus]]</f>
        <v>#N/A</v>
      </c>
    </row>
    <row r="1126" spans="1:14" ht="23.25" customHeight="1" x14ac:dyDescent="0.25">
      <c r="A1126" s="59">
        <f t="shared" ref="A1126:A1164" si="115">YEAR(C1126)</f>
        <v>1900</v>
      </c>
      <c r="B1126" s="59">
        <f t="shared" ref="B1126:B1164" si="116">MONTH(C1126)</f>
        <v>1</v>
      </c>
      <c r="C1126" s="60"/>
      <c r="D1126" s="61"/>
      <c r="F1126" s="23" t="e">
        <f>VLOOKUP(E1126,Customers[],2,FALSE)</f>
        <v>#N/A</v>
      </c>
      <c r="G1126" s="23" t="e">
        <f>VLOOKUP(E1126,Customers[],3,FALSE)</f>
        <v>#N/A</v>
      </c>
      <c r="H1126" s="23" t="e">
        <f>VLOOKUP(E1126,Customers[],4,FALSE)</f>
        <v>#N/A</v>
      </c>
      <c r="J1126" s="29" t="e">
        <f>VLOOKUP(I1126,PGStock[],2,FALSE)</f>
        <v>#N/A</v>
      </c>
      <c r="K1126" s="30" t="e">
        <f>VLOOKUP(I1126,PGStock[],3,FALSE)</f>
        <v>#N/A</v>
      </c>
      <c r="M1126" s="62" t="e">
        <f>VLOOKUP(I1126,PGStock[],6,FALSE)</f>
        <v>#N/A</v>
      </c>
      <c r="N1126" s="62" t="e">
        <f>+Table8[[#This Row],[SalesBot]]*Table8[[#This Row],[Bonus]]</f>
        <v>#N/A</v>
      </c>
    </row>
    <row r="1127" spans="1:14" ht="23.25" customHeight="1" x14ac:dyDescent="0.25">
      <c r="A1127" s="59">
        <f t="shared" si="115"/>
        <v>1900</v>
      </c>
      <c r="B1127" s="59">
        <f t="shared" si="116"/>
        <v>1</v>
      </c>
      <c r="C1127" s="60"/>
      <c r="D1127" s="61"/>
      <c r="F1127" s="23" t="e">
        <f>VLOOKUP(E1127,Customers[],2,FALSE)</f>
        <v>#N/A</v>
      </c>
      <c r="G1127" s="23" t="e">
        <f>VLOOKUP(E1127,Customers[],3,FALSE)</f>
        <v>#N/A</v>
      </c>
      <c r="H1127" s="23" t="e">
        <f>VLOOKUP(E1127,Customers[],4,FALSE)</f>
        <v>#N/A</v>
      </c>
      <c r="J1127" s="29" t="e">
        <f>VLOOKUP(I1127,PGStock[],2,FALSE)</f>
        <v>#N/A</v>
      </c>
      <c r="K1127" s="30" t="e">
        <f>VLOOKUP(I1127,PGStock[],3,FALSE)</f>
        <v>#N/A</v>
      </c>
      <c r="M1127" s="62" t="e">
        <f>VLOOKUP(I1127,PGStock[],6,FALSE)</f>
        <v>#N/A</v>
      </c>
      <c r="N1127" s="62" t="e">
        <f>+Table8[[#This Row],[SalesBot]]*Table8[[#This Row],[Bonus]]</f>
        <v>#N/A</v>
      </c>
    </row>
    <row r="1128" spans="1:14" ht="23.25" customHeight="1" x14ac:dyDescent="0.25">
      <c r="A1128" s="59">
        <f t="shared" si="115"/>
        <v>1900</v>
      </c>
      <c r="B1128" s="59">
        <f t="shared" si="116"/>
        <v>1</v>
      </c>
      <c r="C1128" s="60"/>
      <c r="D1128" s="61"/>
      <c r="F1128" s="23" t="e">
        <f>VLOOKUP(E1128,Customers[],2,FALSE)</f>
        <v>#N/A</v>
      </c>
      <c r="G1128" s="23" t="e">
        <f>VLOOKUP(E1128,Customers[],3,FALSE)</f>
        <v>#N/A</v>
      </c>
      <c r="H1128" s="23" t="e">
        <f>VLOOKUP(E1128,Customers[],4,FALSE)</f>
        <v>#N/A</v>
      </c>
      <c r="J1128" s="29" t="e">
        <f>VLOOKUP(I1128,PGStock[],2,FALSE)</f>
        <v>#N/A</v>
      </c>
      <c r="K1128" s="30" t="e">
        <f>VLOOKUP(I1128,PGStock[],3,FALSE)</f>
        <v>#N/A</v>
      </c>
      <c r="M1128" s="62" t="e">
        <f>VLOOKUP(I1128,PGStock[],6,FALSE)</f>
        <v>#N/A</v>
      </c>
      <c r="N1128" s="62" t="e">
        <f>+Table8[[#This Row],[SalesBot]]*Table8[[#This Row],[Bonus]]</f>
        <v>#N/A</v>
      </c>
    </row>
    <row r="1129" spans="1:14" ht="23.25" customHeight="1" x14ac:dyDescent="0.25">
      <c r="A1129" s="59">
        <f t="shared" si="115"/>
        <v>1900</v>
      </c>
      <c r="B1129" s="59">
        <f t="shared" si="116"/>
        <v>1</v>
      </c>
      <c r="C1129" s="60"/>
      <c r="D1129" s="61"/>
      <c r="F1129" s="23" t="e">
        <f>VLOOKUP(E1129,Customers[],2,FALSE)</f>
        <v>#N/A</v>
      </c>
      <c r="G1129" s="23" t="e">
        <f>VLOOKUP(E1129,Customers[],3,FALSE)</f>
        <v>#N/A</v>
      </c>
      <c r="H1129" s="23" t="e">
        <f>VLOOKUP(E1129,Customers[],4,FALSE)</f>
        <v>#N/A</v>
      </c>
      <c r="J1129" s="29" t="e">
        <f>VLOOKUP(I1129,PGStock[],2,FALSE)</f>
        <v>#N/A</v>
      </c>
      <c r="K1129" s="30" t="e">
        <f>VLOOKUP(I1129,PGStock[],3,FALSE)</f>
        <v>#N/A</v>
      </c>
      <c r="M1129" s="62" t="e">
        <f>VLOOKUP(I1129,PGStock[],6,FALSE)</f>
        <v>#N/A</v>
      </c>
      <c r="N1129" s="62" t="e">
        <f>+Table8[[#This Row],[SalesBot]]*Table8[[#This Row],[Bonus]]</f>
        <v>#N/A</v>
      </c>
    </row>
    <row r="1130" spans="1:14" ht="23.25" customHeight="1" x14ac:dyDescent="0.25">
      <c r="A1130" s="59">
        <f t="shared" si="115"/>
        <v>1900</v>
      </c>
      <c r="B1130" s="59">
        <f t="shared" si="116"/>
        <v>1</v>
      </c>
      <c r="C1130" s="60"/>
      <c r="D1130" s="61"/>
      <c r="F1130" s="23" t="e">
        <f>VLOOKUP(E1130,Customers[],2,FALSE)</f>
        <v>#N/A</v>
      </c>
      <c r="G1130" s="23" t="e">
        <f>VLOOKUP(E1130,Customers[],3,FALSE)</f>
        <v>#N/A</v>
      </c>
      <c r="H1130" s="23" t="e">
        <f>VLOOKUP(E1130,Customers[],4,FALSE)</f>
        <v>#N/A</v>
      </c>
      <c r="J1130" s="29" t="e">
        <f>VLOOKUP(I1130,PGStock[],2,FALSE)</f>
        <v>#N/A</v>
      </c>
      <c r="K1130" s="30" t="e">
        <f>VLOOKUP(I1130,PGStock[],3,FALSE)</f>
        <v>#N/A</v>
      </c>
      <c r="M1130" s="62" t="e">
        <f>VLOOKUP(I1130,PGStock[],6,FALSE)</f>
        <v>#N/A</v>
      </c>
      <c r="N1130" s="62" t="e">
        <f>+Table8[[#This Row],[SalesBot]]*Table8[[#This Row],[Bonus]]</f>
        <v>#N/A</v>
      </c>
    </row>
    <row r="1131" spans="1:14" ht="23.25" customHeight="1" x14ac:dyDescent="0.25">
      <c r="A1131" s="59">
        <f t="shared" si="115"/>
        <v>1900</v>
      </c>
      <c r="B1131" s="59">
        <f t="shared" si="116"/>
        <v>1</v>
      </c>
      <c r="C1131" s="60"/>
      <c r="D1131" s="61"/>
      <c r="F1131" s="23" t="e">
        <f>VLOOKUP(E1131,Customers[],2,FALSE)</f>
        <v>#N/A</v>
      </c>
      <c r="G1131" s="23" t="e">
        <f>VLOOKUP(E1131,Customers[],3,FALSE)</f>
        <v>#N/A</v>
      </c>
      <c r="H1131" s="23" t="e">
        <f>VLOOKUP(E1131,Customers[],4,FALSE)</f>
        <v>#N/A</v>
      </c>
      <c r="J1131" s="29" t="e">
        <f>VLOOKUP(I1131,PGStock[],2,FALSE)</f>
        <v>#N/A</v>
      </c>
      <c r="K1131" s="30" t="e">
        <f>VLOOKUP(I1131,PGStock[],3,FALSE)</f>
        <v>#N/A</v>
      </c>
      <c r="M1131" s="62" t="e">
        <f>VLOOKUP(I1131,PGStock[],6,FALSE)</f>
        <v>#N/A</v>
      </c>
      <c r="N1131" s="62" t="e">
        <f>+Table8[[#This Row],[SalesBot]]*Table8[[#This Row],[Bonus]]</f>
        <v>#N/A</v>
      </c>
    </row>
    <row r="1132" spans="1:14" ht="23.25" customHeight="1" x14ac:dyDescent="0.25">
      <c r="A1132" s="59">
        <f t="shared" si="115"/>
        <v>1900</v>
      </c>
      <c r="B1132" s="59">
        <f t="shared" si="116"/>
        <v>1</v>
      </c>
      <c r="C1132" s="60"/>
      <c r="D1132" s="61"/>
      <c r="F1132" s="23" t="e">
        <f>VLOOKUP(E1132,Customers[],2,FALSE)</f>
        <v>#N/A</v>
      </c>
      <c r="G1132" s="23" t="e">
        <f>VLOOKUP(E1132,Customers[],3,FALSE)</f>
        <v>#N/A</v>
      </c>
      <c r="H1132" s="23" t="e">
        <f>VLOOKUP(E1132,Customers[],4,FALSE)</f>
        <v>#N/A</v>
      </c>
      <c r="J1132" s="29" t="e">
        <f>VLOOKUP(I1132,PGStock[],2,FALSE)</f>
        <v>#N/A</v>
      </c>
      <c r="K1132" s="30" t="e">
        <f>VLOOKUP(I1132,PGStock[],3,FALSE)</f>
        <v>#N/A</v>
      </c>
      <c r="M1132" s="62" t="e">
        <f>VLOOKUP(I1132,PGStock[],6,FALSE)</f>
        <v>#N/A</v>
      </c>
      <c r="N1132" s="62" t="e">
        <f>+Table8[[#This Row],[SalesBot]]*Table8[[#This Row],[Bonus]]</f>
        <v>#N/A</v>
      </c>
    </row>
    <row r="1133" spans="1:14" ht="23.25" customHeight="1" x14ac:dyDescent="0.25">
      <c r="A1133" s="59">
        <f t="shared" si="115"/>
        <v>1900</v>
      </c>
      <c r="B1133" s="59">
        <f t="shared" si="116"/>
        <v>1</v>
      </c>
      <c r="C1133" s="60"/>
      <c r="D1133" s="61"/>
      <c r="F1133" s="23" t="e">
        <f>VLOOKUP(E1133,Customers[],2,FALSE)</f>
        <v>#N/A</v>
      </c>
      <c r="G1133" s="23" t="e">
        <f>VLOOKUP(E1133,Customers[],3,FALSE)</f>
        <v>#N/A</v>
      </c>
      <c r="H1133" s="23" t="e">
        <f>VLOOKUP(E1133,Customers[],4,FALSE)</f>
        <v>#N/A</v>
      </c>
      <c r="J1133" s="29" t="e">
        <f>VLOOKUP(I1133,PGStock[],2,FALSE)</f>
        <v>#N/A</v>
      </c>
      <c r="K1133" s="30" t="e">
        <f>VLOOKUP(I1133,PGStock[],3,FALSE)</f>
        <v>#N/A</v>
      </c>
      <c r="M1133" s="62" t="e">
        <f>VLOOKUP(I1133,PGStock[],6,FALSE)</f>
        <v>#N/A</v>
      </c>
      <c r="N1133" s="62" t="e">
        <f>+Table8[[#This Row],[SalesBot]]*Table8[[#This Row],[Bonus]]</f>
        <v>#N/A</v>
      </c>
    </row>
    <row r="1134" spans="1:14" ht="23.25" customHeight="1" x14ac:dyDescent="0.25">
      <c r="A1134" s="59">
        <f t="shared" si="115"/>
        <v>1900</v>
      </c>
      <c r="B1134" s="59">
        <f t="shared" si="116"/>
        <v>1</v>
      </c>
      <c r="C1134" s="60"/>
      <c r="D1134" s="61"/>
      <c r="F1134" s="23" t="e">
        <f>VLOOKUP(E1134,Customers[],2,FALSE)</f>
        <v>#N/A</v>
      </c>
      <c r="G1134" s="23" t="e">
        <f>VLOOKUP(E1134,Customers[],3,FALSE)</f>
        <v>#N/A</v>
      </c>
      <c r="H1134" s="23" t="e">
        <f>VLOOKUP(E1134,Customers[],4,FALSE)</f>
        <v>#N/A</v>
      </c>
      <c r="J1134" s="29" t="e">
        <f>VLOOKUP(I1134,PGStock[],2,FALSE)</f>
        <v>#N/A</v>
      </c>
      <c r="K1134" s="30" t="e">
        <f>VLOOKUP(I1134,PGStock[],3,FALSE)</f>
        <v>#N/A</v>
      </c>
      <c r="M1134" s="62" t="e">
        <f>VLOOKUP(I1134,PGStock[],6,FALSE)</f>
        <v>#N/A</v>
      </c>
      <c r="N1134" s="62" t="e">
        <f>+Table8[[#This Row],[SalesBot]]*Table8[[#This Row],[Bonus]]</f>
        <v>#N/A</v>
      </c>
    </row>
    <row r="1135" spans="1:14" ht="23.25" customHeight="1" x14ac:dyDescent="0.25">
      <c r="A1135" s="59">
        <f t="shared" si="115"/>
        <v>1900</v>
      </c>
      <c r="B1135" s="59">
        <f t="shared" si="116"/>
        <v>1</v>
      </c>
      <c r="C1135" s="60"/>
      <c r="D1135" s="61"/>
      <c r="F1135" s="23" t="e">
        <f>VLOOKUP(E1135,Customers[],2,FALSE)</f>
        <v>#N/A</v>
      </c>
      <c r="G1135" s="23" t="e">
        <f>VLOOKUP(E1135,Customers[],3,FALSE)</f>
        <v>#N/A</v>
      </c>
      <c r="H1135" s="23" t="e">
        <f>VLOOKUP(E1135,Customers[],4,FALSE)</f>
        <v>#N/A</v>
      </c>
      <c r="J1135" s="29" t="e">
        <f>VLOOKUP(I1135,PGStock[],2,FALSE)</f>
        <v>#N/A</v>
      </c>
      <c r="K1135" s="30" t="e">
        <f>VLOOKUP(I1135,PGStock[],3,FALSE)</f>
        <v>#N/A</v>
      </c>
      <c r="M1135" s="62" t="e">
        <f>VLOOKUP(I1135,PGStock[],6,FALSE)</f>
        <v>#N/A</v>
      </c>
      <c r="N1135" s="62" t="e">
        <f>+Table8[[#This Row],[SalesBot]]*Table8[[#This Row],[Bonus]]</f>
        <v>#N/A</v>
      </c>
    </row>
    <row r="1136" spans="1:14" ht="23.25" customHeight="1" x14ac:dyDescent="0.25">
      <c r="A1136" s="59">
        <f t="shared" si="115"/>
        <v>1900</v>
      </c>
      <c r="B1136" s="59">
        <f t="shared" si="116"/>
        <v>1</v>
      </c>
      <c r="C1136" s="60"/>
      <c r="D1136" s="61"/>
      <c r="F1136" s="23" t="e">
        <f>VLOOKUP(E1136,Customers[],2,FALSE)</f>
        <v>#N/A</v>
      </c>
      <c r="G1136" s="23" t="e">
        <f>VLOOKUP(E1136,Customers[],3,FALSE)</f>
        <v>#N/A</v>
      </c>
      <c r="H1136" s="23" t="e">
        <f>VLOOKUP(E1136,Customers[],4,FALSE)</f>
        <v>#N/A</v>
      </c>
      <c r="J1136" s="29" t="e">
        <f>VLOOKUP(I1136,PGStock[],2,FALSE)</f>
        <v>#N/A</v>
      </c>
      <c r="K1136" s="30" t="e">
        <f>VLOOKUP(I1136,PGStock[],3,FALSE)</f>
        <v>#N/A</v>
      </c>
      <c r="M1136" s="62" t="e">
        <f>VLOOKUP(I1136,PGStock[],6,FALSE)</f>
        <v>#N/A</v>
      </c>
      <c r="N1136" s="62" t="e">
        <f>+Table8[[#This Row],[SalesBot]]*Table8[[#This Row],[Bonus]]</f>
        <v>#N/A</v>
      </c>
    </row>
    <row r="1137" spans="1:14" ht="23.25" customHeight="1" x14ac:dyDescent="0.25">
      <c r="A1137" s="59">
        <f t="shared" si="115"/>
        <v>1900</v>
      </c>
      <c r="B1137" s="59">
        <f t="shared" si="116"/>
        <v>1</v>
      </c>
      <c r="C1137" s="60"/>
      <c r="D1137" s="61"/>
      <c r="F1137" s="23" t="e">
        <f>VLOOKUP(E1137,Customers[],2,FALSE)</f>
        <v>#N/A</v>
      </c>
      <c r="G1137" s="23" t="e">
        <f>VLOOKUP(E1137,Customers[],3,FALSE)</f>
        <v>#N/A</v>
      </c>
      <c r="H1137" s="23" t="e">
        <f>VLOOKUP(E1137,Customers[],4,FALSE)</f>
        <v>#N/A</v>
      </c>
      <c r="J1137" s="29" t="e">
        <f>VLOOKUP(I1137,PGStock[],2,FALSE)</f>
        <v>#N/A</v>
      </c>
      <c r="K1137" s="30" t="e">
        <f>VLOOKUP(I1137,PGStock[],3,FALSE)</f>
        <v>#N/A</v>
      </c>
      <c r="M1137" s="62" t="e">
        <f>VLOOKUP(I1137,PGStock[],6,FALSE)</f>
        <v>#N/A</v>
      </c>
      <c r="N1137" s="62" t="e">
        <f>+Table8[[#This Row],[SalesBot]]*Table8[[#This Row],[Bonus]]</f>
        <v>#N/A</v>
      </c>
    </row>
    <row r="1138" spans="1:14" ht="23.25" customHeight="1" x14ac:dyDescent="0.25">
      <c r="A1138" s="59">
        <f t="shared" si="115"/>
        <v>1900</v>
      </c>
      <c r="B1138" s="59">
        <f t="shared" si="116"/>
        <v>1</v>
      </c>
      <c r="C1138" s="60"/>
      <c r="D1138" s="61"/>
      <c r="F1138" s="23" t="e">
        <f>VLOOKUP(E1138,Customers[],2,FALSE)</f>
        <v>#N/A</v>
      </c>
      <c r="G1138" s="23" t="e">
        <f>VLOOKUP(E1138,Customers[],3,FALSE)</f>
        <v>#N/A</v>
      </c>
      <c r="H1138" s="23" t="e">
        <f>VLOOKUP(E1138,Customers[],4,FALSE)</f>
        <v>#N/A</v>
      </c>
      <c r="J1138" s="29" t="e">
        <f>VLOOKUP(I1138,PGStock[],2,FALSE)</f>
        <v>#N/A</v>
      </c>
      <c r="K1138" s="30" t="e">
        <f>VLOOKUP(I1138,PGStock[],3,FALSE)</f>
        <v>#N/A</v>
      </c>
      <c r="M1138" s="62" t="e">
        <f>VLOOKUP(I1138,PGStock[],6,FALSE)</f>
        <v>#N/A</v>
      </c>
      <c r="N1138" s="62" t="e">
        <f>+Table8[[#This Row],[SalesBot]]*Table8[[#This Row],[Bonus]]</f>
        <v>#N/A</v>
      </c>
    </row>
    <row r="1139" spans="1:14" ht="23.25" customHeight="1" x14ac:dyDescent="0.25">
      <c r="A1139" s="59">
        <f t="shared" si="115"/>
        <v>1900</v>
      </c>
      <c r="B1139" s="59">
        <f t="shared" si="116"/>
        <v>1</v>
      </c>
      <c r="C1139" s="60"/>
      <c r="D1139" s="61"/>
      <c r="F1139" s="23" t="e">
        <f>VLOOKUP(E1139,Customers[],2,FALSE)</f>
        <v>#N/A</v>
      </c>
      <c r="G1139" s="23" t="e">
        <f>VLOOKUP(E1139,Customers[],3,FALSE)</f>
        <v>#N/A</v>
      </c>
      <c r="H1139" s="23" t="e">
        <f>VLOOKUP(E1139,Customers[],4,FALSE)</f>
        <v>#N/A</v>
      </c>
      <c r="J1139" s="29" t="e">
        <f>VLOOKUP(I1139,PGStock[],2,FALSE)</f>
        <v>#N/A</v>
      </c>
      <c r="K1139" s="30" t="e">
        <f>VLOOKUP(I1139,PGStock[],3,FALSE)</f>
        <v>#N/A</v>
      </c>
      <c r="M1139" s="62" t="e">
        <f>VLOOKUP(I1139,PGStock[],6,FALSE)</f>
        <v>#N/A</v>
      </c>
      <c r="N1139" s="62" t="e">
        <f>+Table8[[#This Row],[SalesBot]]*Table8[[#This Row],[Bonus]]</f>
        <v>#N/A</v>
      </c>
    </row>
    <row r="1140" spans="1:14" ht="23.25" customHeight="1" x14ac:dyDescent="0.25">
      <c r="A1140" s="59">
        <f t="shared" si="115"/>
        <v>1900</v>
      </c>
      <c r="B1140" s="59">
        <f t="shared" si="116"/>
        <v>1</v>
      </c>
      <c r="C1140" s="60"/>
      <c r="D1140" s="61"/>
      <c r="F1140" s="23" t="e">
        <f>VLOOKUP(E1140,Customers[],2,FALSE)</f>
        <v>#N/A</v>
      </c>
      <c r="G1140" s="23" t="e">
        <f>VLOOKUP(E1140,Customers[],3,FALSE)</f>
        <v>#N/A</v>
      </c>
      <c r="H1140" s="23" t="e">
        <f>VLOOKUP(E1140,Customers[],4,FALSE)</f>
        <v>#N/A</v>
      </c>
      <c r="J1140" s="29" t="e">
        <f>VLOOKUP(I1140,PGStock[],2,FALSE)</f>
        <v>#N/A</v>
      </c>
      <c r="K1140" s="30" t="e">
        <f>VLOOKUP(I1140,PGStock[],3,FALSE)</f>
        <v>#N/A</v>
      </c>
      <c r="M1140" s="62" t="e">
        <f>VLOOKUP(I1140,PGStock[],6,FALSE)</f>
        <v>#N/A</v>
      </c>
      <c r="N1140" s="62" t="e">
        <f>+Table8[[#This Row],[SalesBot]]*Table8[[#This Row],[Bonus]]</f>
        <v>#N/A</v>
      </c>
    </row>
    <row r="1141" spans="1:14" ht="23.25" customHeight="1" x14ac:dyDescent="0.25">
      <c r="A1141" s="59">
        <f t="shared" si="115"/>
        <v>1900</v>
      </c>
      <c r="B1141" s="59">
        <f t="shared" si="116"/>
        <v>1</v>
      </c>
      <c r="C1141" s="60"/>
      <c r="D1141" s="61"/>
      <c r="F1141" s="23" t="e">
        <f>VLOOKUP(E1141,Customers[],2,FALSE)</f>
        <v>#N/A</v>
      </c>
      <c r="G1141" s="23" t="e">
        <f>VLOOKUP(E1141,Customers[],3,FALSE)</f>
        <v>#N/A</v>
      </c>
      <c r="H1141" s="23" t="e">
        <f>VLOOKUP(E1141,Customers[],4,FALSE)</f>
        <v>#N/A</v>
      </c>
      <c r="J1141" s="29" t="e">
        <f>VLOOKUP(I1141,PGStock[],2,FALSE)</f>
        <v>#N/A</v>
      </c>
      <c r="K1141" s="30" t="e">
        <f>VLOOKUP(I1141,PGStock[],3,FALSE)</f>
        <v>#N/A</v>
      </c>
      <c r="M1141" s="62" t="e">
        <f>VLOOKUP(I1141,PGStock[],6,FALSE)</f>
        <v>#N/A</v>
      </c>
      <c r="N1141" s="62" t="e">
        <f>+Table8[[#This Row],[SalesBot]]*Table8[[#This Row],[Bonus]]</f>
        <v>#N/A</v>
      </c>
    </row>
    <row r="1142" spans="1:14" ht="23.25" customHeight="1" x14ac:dyDescent="0.25">
      <c r="A1142" s="59">
        <f t="shared" si="115"/>
        <v>1900</v>
      </c>
      <c r="B1142" s="59">
        <f t="shared" si="116"/>
        <v>1</v>
      </c>
      <c r="C1142" s="60"/>
      <c r="D1142" s="61"/>
      <c r="F1142" s="23" t="e">
        <f>VLOOKUP(E1142,Customers[],2,FALSE)</f>
        <v>#N/A</v>
      </c>
      <c r="G1142" s="23" t="e">
        <f>VLOOKUP(E1142,Customers[],3,FALSE)</f>
        <v>#N/A</v>
      </c>
      <c r="H1142" s="23" t="e">
        <f>VLOOKUP(E1142,Customers[],4,FALSE)</f>
        <v>#N/A</v>
      </c>
      <c r="J1142" s="29" t="e">
        <f>VLOOKUP(I1142,PGStock[],2,FALSE)</f>
        <v>#N/A</v>
      </c>
      <c r="K1142" s="30" t="e">
        <f>VLOOKUP(I1142,PGStock[],3,FALSE)</f>
        <v>#N/A</v>
      </c>
      <c r="M1142" s="62" t="e">
        <f>VLOOKUP(I1142,PGStock[],6,FALSE)</f>
        <v>#N/A</v>
      </c>
      <c r="N1142" s="62" t="e">
        <f>+Table8[[#This Row],[SalesBot]]*Table8[[#This Row],[Bonus]]</f>
        <v>#N/A</v>
      </c>
    </row>
    <row r="1143" spans="1:14" ht="23.25" customHeight="1" x14ac:dyDescent="0.25">
      <c r="A1143" s="59">
        <f t="shared" si="115"/>
        <v>1900</v>
      </c>
      <c r="B1143" s="59">
        <f t="shared" si="116"/>
        <v>1</v>
      </c>
      <c r="C1143" s="60"/>
      <c r="D1143" s="61"/>
      <c r="F1143" s="23" t="e">
        <f>VLOOKUP(E1143,Customers[],2,FALSE)</f>
        <v>#N/A</v>
      </c>
      <c r="G1143" s="23" t="e">
        <f>VLOOKUP(E1143,Customers[],3,FALSE)</f>
        <v>#N/A</v>
      </c>
      <c r="H1143" s="23" t="e">
        <f>VLOOKUP(E1143,Customers[],4,FALSE)</f>
        <v>#N/A</v>
      </c>
      <c r="J1143" s="29" t="e">
        <f>VLOOKUP(I1143,PGStock[],2,FALSE)</f>
        <v>#N/A</v>
      </c>
      <c r="K1143" s="30" t="e">
        <f>VLOOKUP(I1143,PGStock[],3,FALSE)</f>
        <v>#N/A</v>
      </c>
      <c r="M1143" s="62" t="e">
        <f>VLOOKUP(I1143,PGStock[],6,FALSE)</f>
        <v>#N/A</v>
      </c>
      <c r="N1143" s="62" t="e">
        <f>+Table8[[#This Row],[SalesBot]]*Table8[[#This Row],[Bonus]]</f>
        <v>#N/A</v>
      </c>
    </row>
    <row r="1144" spans="1:14" ht="23.25" customHeight="1" x14ac:dyDescent="0.25">
      <c r="A1144" s="59">
        <f t="shared" si="115"/>
        <v>1900</v>
      </c>
      <c r="B1144" s="59">
        <f t="shared" si="116"/>
        <v>1</v>
      </c>
      <c r="C1144" s="60"/>
      <c r="D1144" s="61"/>
      <c r="F1144" s="23" t="e">
        <f>VLOOKUP(E1144,Customers[],2,FALSE)</f>
        <v>#N/A</v>
      </c>
      <c r="G1144" s="23" t="e">
        <f>VLOOKUP(E1144,Customers[],3,FALSE)</f>
        <v>#N/A</v>
      </c>
      <c r="H1144" s="23" t="e">
        <f>VLOOKUP(E1144,Customers[],4,FALSE)</f>
        <v>#N/A</v>
      </c>
      <c r="J1144" s="29" t="e">
        <f>VLOOKUP(I1144,PGStock[],2,FALSE)</f>
        <v>#N/A</v>
      </c>
      <c r="K1144" s="30" t="e">
        <f>VLOOKUP(I1144,PGStock[],3,FALSE)</f>
        <v>#N/A</v>
      </c>
      <c r="M1144" s="62" t="e">
        <f>VLOOKUP(I1144,PGStock[],6,FALSE)</f>
        <v>#N/A</v>
      </c>
      <c r="N1144" s="62" t="e">
        <f>+Table8[[#This Row],[SalesBot]]*Table8[[#This Row],[Bonus]]</f>
        <v>#N/A</v>
      </c>
    </row>
    <row r="1145" spans="1:14" ht="23.25" customHeight="1" x14ac:dyDescent="0.25">
      <c r="A1145" s="59">
        <f t="shared" si="115"/>
        <v>1900</v>
      </c>
      <c r="B1145" s="59">
        <f t="shared" si="116"/>
        <v>1</v>
      </c>
      <c r="C1145" s="60"/>
      <c r="D1145" s="61"/>
      <c r="F1145" s="23" t="e">
        <f>VLOOKUP(E1145,Customers[],2,FALSE)</f>
        <v>#N/A</v>
      </c>
      <c r="G1145" s="23" t="e">
        <f>VLOOKUP(E1145,Customers[],3,FALSE)</f>
        <v>#N/A</v>
      </c>
      <c r="H1145" s="23" t="e">
        <f>VLOOKUP(E1145,Customers[],4,FALSE)</f>
        <v>#N/A</v>
      </c>
      <c r="J1145" s="29" t="e">
        <f>VLOOKUP(I1145,PGStock[],2,FALSE)</f>
        <v>#N/A</v>
      </c>
      <c r="K1145" s="30" t="e">
        <f>VLOOKUP(I1145,PGStock[],3,FALSE)</f>
        <v>#N/A</v>
      </c>
      <c r="M1145" s="62" t="e">
        <f>VLOOKUP(I1145,PGStock[],6,FALSE)</f>
        <v>#N/A</v>
      </c>
      <c r="N1145" s="62" t="e">
        <f>+Table8[[#This Row],[SalesBot]]*Table8[[#This Row],[Bonus]]</f>
        <v>#N/A</v>
      </c>
    </row>
    <row r="1146" spans="1:14" ht="23.25" customHeight="1" x14ac:dyDescent="0.25">
      <c r="A1146" s="59">
        <f t="shared" si="115"/>
        <v>1900</v>
      </c>
      <c r="B1146" s="59">
        <f t="shared" si="116"/>
        <v>1</v>
      </c>
      <c r="C1146" s="60"/>
      <c r="D1146" s="61"/>
      <c r="F1146" s="23" t="e">
        <f>VLOOKUP(E1146,Customers[],2,FALSE)</f>
        <v>#N/A</v>
      </c>
      <c r="G1146" s="23" t="e">
        <f>VLOOKUP(E1146,Customers[],3,FALSE)</f>
        <v>#N/A</v>
      </c>
      <c r="H1146" s="23" t="e">
        <f>VLOOKUP(E1146,Customers[],4,FALSE)</f>
        <v>#N/A</v>
      </c>
      <c r="J1146" s="29" t="e">
        <f>VLOOKUP(I1146,PGStock[],2,FALSE)</f>
        <v>#N/A</v>
      </c>
      <c r="K1146" s="30" t="e">
        <f>VLOOKUP(I1146,PGStock[],3,FALSE)</f>
        <v>#N/A</v>
      </c>
      <c r="M1146" s="62" t="e">
        <f>VLOOKUP(I1146,PGStock[],6,FALSE)</f>
        <v>#N/A</v>
      </c>
      <c r="N1146" s="62" t="e">
        <f>+Table8[[#This Row],[SalesBot]]*Table8[[#This Row],[Bonus]]</f>
        <v>#N/A</v>
      </c>
    </row>
    <row r="1147" spans="1:14" ht="23.25" customHeight="1" x14ac:dyDescent="0.25">
      <c r="A1147" s="59">
        <f t="shared" si="115"/>
        <v>1900</v>
      </c>
      <c r="B1147" s="59">
        <f t="shared" si="116"/>
        <v>1</v>
      </c>
      <c r="C1147" s="60"/>
      <c r="D1147" s="61"/>
      <c r="F1147" s="23" t="e">
        <f>VLOOKUP(E1147,Customers[],2,FALSE)</f>
        <v>#N/A</v>
      </c>
      <c r="G1147" s="23" t="e">
        <f>VLOOKUP(E1147,Customers[],3,FALSE)</f>
        <v>#N/A</v>
      </c>
      <c r="H1147" s="23" t="e">
        <f>VLOOKUP(E1147,Customers[],4,FALSE)</f>
        <v>#N/A</v>
      </c>
      <c r="J1147" s="29" t="e">
        <f>VLOOKUP(I1147,PGStock[],2,FALSE)</f>
        <v>#N/A</v>
      </c>
      <c r="K1147" s="30" t="e">
        <f>VLOOKUP(I1147,PGStock[],3,FALSE)</f>
        <v>#N/A</v>
      </c>
      <c r="M1147" s="62" t="e">
        <f>VLOOKUP(I1147,PGStock[],6,FALSE)</f>
        <v>#N/A</v>
      </c>
      <c r="N1147" s="62" t="e">
        <f>+Table8[[#This Row],[SalesBot]]*Table8[[#This Row],[Bonus]]</f>
        <v>#N/A</v>
      </c>
    </row>
    <row r="1148" spans="1:14" ht="23.25" customHeight="1" x14ac:dyDescent="0.25">
      <c r="A1148" s="59">
        <f t="shared" si="115"/>
        <v>1900</v>
      </c>
      <c r="B1148" s="59">
        <f t="shared" si="116"/>
        <v>1</v>
      </c>
      <c r="C1148" s="60"/>
      <c r="D1148" s="61"/>
      <c r="F1148" s="23" t="e">
        <f>VLOOKUP(E1148,Customers[],2,FALSE)</f>
        <v>#N/A</v>
      </c>
      <c r="G1148" s="23" t="e">
        <f>VLOOKUP(E1148,Customers[],3,FALSE)</f>
        <v>#N/A</v>
      </c>
      <c r="H1148" s="23" t="e">
        <f>VLOOKUP(E1148,Customers[],4,FALSE)</f>
        <v>#N/A</v>
      </c>
      <c r="J1148" s="29" t="e">
        <f>VLOOKUP(I1148,PGStock[],2,FALSE)</f>
        <v>#N/A</v>
      </c>
      <c r="K1148" s="30" t="e">
        <f>VLOOKUP(I1148,PGStock[],3,FALSE)</f>
        <v>#N/A</v>
      </c>
      <c r="M1148" s="62" t="e">
        <f>VLOOKUP(I1148,PGStock[],6,FALSE)</f>
        <v>#N/A</v>
      </c>
      <c r="N1148" s="62" t="e">
        <f>+Table8[[#This Row],[SalesBot]]*Table8[[#This Row],[Bonus]]</f>
        <v>#N/A</v>
      </c>
    </row>
    <row r="1149" spans="1:14" ht="23.25" customHeight="1" x14ac:dyDescent="0.25">
      <c r="A1149" s="59">
        <f t="shared" si="115"/>
        <v>1900</v>
      </c>
      <c r="B1149" s="59">
        <f t="shared" si="116"/>
        <v>1</v>
      </c>
      <c r="C1149" s="60"/>
      <c r="D1149" s="61"/>
      <c r="F1149" s="23" t="e">
        <f>VLOOKUP(E1149,Customers[],2,FALSE)</f>
        <v>#N/A</v>
      </c>
      <c r="G1149" s="23" t="e">
        <f>VLOOKUP(E1149,Customers[],3,FALSE)</f>
        <v>#N/A</v>
      </c>
      <c r="H1149" s="23" t="e">
        <f>VLOOKUP(E1149,Customers[],4,FALSE)</f>
        <v>#N/A</v>
      </c>
      <c r="J1149" s="29" t="e">
        <f>VLOOKUP(I1149,PGStock[],2,FALSE)</f>
        <v>#N/A</v>
      </c>
      <c r="K1149" s="30" t="e">
        <f>VLOOKUP(I1149,PGStock[],3,FALSE)</f>
        <v>#N/A</v>
      </c>
      <c r="M1149" s="62" t="e">
        <f>VLOOKUP(I1149,PGStock[],6,FALSE)</f>
        <v>#N/A</v>
      </c>
      <c r="N1149" s="62" t="e">
        <f>+Table8[[#This Row],[SalesBot]]*Table8[[#This Row],[Bonus]]</f>
        <v>#N/A</v>
      </c>
    </row>
    <row r="1150" spans="1:14" ht="23.25" customHeight="1" x14ac:dyDescent="0.25">
      <c r="A1150" s="59">
        <f t="shared" si="115"/>
        <v>1900</v>
      </c>
      <c r="B1150" s="59">
        <f t="shared" si="116"/>
        <v>1</v>
      </c>
      <c r="C1150" s="60"/>
      <c r="D1150" s="61"/>
      <c r="F1150" s="23" t="e">
        <f>VLOOKUP(E1150,Customers[],2,FALSE)</f>
        <v>#N/A</v>
      </c>
      <c r="G1150" s="23" t="e">
        <f>VLOOKUP(E1150,Customers[],3,FALSE)</f>
        <v>#N/A</v>
      </c>
      <c r="H1150" s="23" t="e">
        <f>VLOOKUP(E1150,Customers[],4,FALSE)</f>
        <v>#N/A</v>
      </c>
      <c r="J1150" s="29" t="e">
        <f>VLOOKUP(I1150,PGStock[],2,FALSE)</f>
        <v>#N/A</v>
      </c>
      <c r="K1150" s="30" t="e">
        <f>VLOOKUP(I1150,PGStock[],3,FALSE)</f>
        <v>#N/A</v>
      </c>
      <c r="M1150" s="62" t="e">
        <f>VLOOKUP(I1150,PGStock[],6,FALSE)</f>
        <v>#N/A</v>
      </c>
      <c r="N1150" s="62" t="e">
        <f>+Table8[[#This Row],[SalesBot]]*Table8[[#This Row],[Bonus]]</f>
        <v>#N/A</v>
      </c>
    </row>
    <row r="1151" spans="1:14" ht="23.25" customHeight="1" x14ac:dyDescent="0.25">
      <c r="A1151" s="59">
        <f t="shared" si="115"/>
        <v>1900</v>
      </c>
      <c r="B1151" s="59">
        <f t="shared" si="116"/>
        <v>1</v>
      </c>
      <c r="C1151" s="60"/>
      <c r="D1151" s="61"/>
      <c r="F1151" s="23" t="e">
        <f>VLOOKUP(E1151,Customers[],2,FALSE)</f>
        <v>#N/A</v>
      </c>
      <c r="G1151" s="23" t="e">
        <f>VLOOKUP(E1151,Customers[],3,FALSE)</f>
        <v>#N/A</v>
      </c>
      <c r="H1151" s="23" t="e">
        <f>VLOOKUP(E1151,Customers[],4,FALSE)</f>
        <v>#N/A</v>
      </c>
      <c r="J1151" s="29" t="e">
        <f>VLOOKUP(I1151,PGStock[],2,FALSE)</f>
        <v>#N/A</v>
      </c>
      <c r="K1151" s="30" t="e">
        <f>VLOOKUP(I1151,PGStock[],3,FALSE)</f>
        <v>#N/A</v>
      </c>
      <c r="M1151" s="62" t="e">
        <f>VLOOKUP(I1151,PGStock[],6,FALSE)</f>
        <v>#N/A</v>
      </c>
      <c r="N1151" s="62" t="e">
        <f>+Table8[[#This Row],[SalesBot]]*Table8[[#This Row],[Bonus]]</f>
        <v>#N/A</v>
      </c>
    </row>
    <row r="1152" spans="1:14" ht="23.25" customHeight="1" x14ac:dyDescent="0.25">
      <c r="A1152" s="59">
        <f t="shared" si="115"/>
        <v>1900</v>
      </c>
      <c r="B1152" s="59">
        <f t="shared" si="116"/>
        <v>1</v>
      </c>
      <c r="C1152" s="60"/>
      <c r="D1152" s="61"/>
      <c r="F1152" s="23" t="e">
        <f>VLOOKUP(E1152,Customers[],2,FALSE)</f>
        <v>#N/A</v>
      </c>
      <c r="G1152" s="23" t="e">
        <f>VLOOKUP(E1152,Customers[],3,FALSE)</f>
        <v>#N/A</v>
      </c>
      <c r="H1152" s="23" t="e">
        <f>VLOOKUP(E1152,Customers[],4,FALSE)</f>
        <v>#N/A</v>
      </c>
      <c r="J1152" s="29" t="e">
        <f>VLOOKUP(I1152,PGStock[],2,FALSE)</f>
        <v>#N/A</v>
      </c>
      <c r="K1152" s="30" t="e">
        <f>VLOOKUP(I1152,PGStock[],3,FALSE)</f>
        <v>#N/A</v>
      </c>
      <c r="M1152" s="62" t="e">
        <f>VLOOKUP(I1152,PGStock[],6,FALSE)</f>
        <v>#N/A</v>
      </c>
      <c r="N1152" s="62" t="e">
        <f>+Table8[[#This Row],[SalesBot]]*Table8[[#This Row],[Bonus]]</f>
        <v>#N/A</v>
      </c>
    </row>
    <row r="1153" spans="1:14" ht="23.25" customHeight="1" x14ac:dyDescent="0.25">
      <c r="A1153" s="59">
        <f t="shared" si="115"/>
        <v>1900</v>
      </c>
      <c r="B1153" s="59">
        <f t="shared" si="116"/>
        <v>1</v>
      </c>
      <c r="C1153" s="60"/>
      <c r="D1153" s="61"/>
      <c r="F1153" s="23" t="e">
        <f>VLOOKUP(E1153,Customers[],2,FALSE)</f>
        <v>#N/A</v>
      </c>
      <c r="G1153" s="23" t="e">
        <f>VLOOKUP(E1153,Customers[],3,FALSE)</f>
        <v>#N/A</v>
      </c>
      <c r="H1153" s="23" t="e">
        <f>VLOOKUP(E1153,Customers[],4,FALSE)</f>
        <v>#N/A</v>
      </c>
      <c r="J1153" s="29" t="e">
        <f>VLOOKUP(I1153,PGStock[],2,FALSE)</f>
        <v>#N/A</v>
      </c>
      <c r="K1153" s="30" t="e">
        <f>VLOOKUP(I1153,PGStock[],3,FALSE)</f>
        <v>#N/A</v>
      </c>
      <c r="M1153" s="62" t="e">
        <f>VLOOKUP(I1153,PGStock[],6,FALSE)</f>
        <v>#N/A</v>
      </c>
      <c r="N1153" s="62" t="e">
        <f>+Table8[[#This Row],[SalesBot]]*Table8[[#This Row],[Bonus]]</f>
        <v>#N/A</v>
      </c>
    </row>
    <row r="1154" spans="1:14" ht="23.25" customHeight="1" x14ac:dyDescent="0.25">
      <c r="A1154" s="59">
        <f t="shared" si="115"/>
        <v>1900</v>
      </c>
      <c r="B1154" s="59">
        <f t="shared" si="116"/>
        <v>1</v>
      </c>
      <c r="C1154" s="60"/>
      <c r="D1154" s="61"/>
      <c r="F1154" s="23" t="e">
        <f>VLOOKUP(E1154,Customers[],2,FALSE)</f>
        <v>#N/A</v>
      </c>
      <c r="G1154" s="23" t="e">
        <f>VLOOKUP(E1154,Customers[],3,FALSE)</f>
        <v>#N/A</v>
      </c>
      <c r="H1154" s="23" t="e">
        <f>VLOOKUP(E1154,Customers[],4,FALSE)</f>
        <v>#N/A</v>
      </c>
      <c r="J1154" s="29" t="e">
        <f>VLOOKUP(I1154,PGStock[],2,FALSE)</f>
        <v>#N/A</v>
      </c>
      <c r="K1154" s="30" t="e">
        <f>VLOOKUP(I1154,PGStock[],3,FALSE)</f>
        <v>#N/A</v>
      </c>
      <c r="M1154" s="62" t="e">
        <f>VLOOKUP(I1154,PGStock[],6,FALSE)</f>
        <v>#N/A</v>
      </c>
      <c r="N1154" s="62" t="e">
        <f>+Table8[[#This Row],[SalesBot]]*Table8[[#This Row],[Bonus]]</f>
        <v>#N/A</v>
      </c>
    </row>
    <row r="1155" spans="1:14" ht="23.25" customHeight="1" x14ac:dyDescent="0.25">
      <c r="A1155" s="59">
        <f t="shared" si="115"/>
        <v>1900</v>
      </c>
      <c r="B1155" s="59">
        <f t="shared" si="116"/>
        <v>1</v>
      </c>
      <c r="C1155" s="60"/>
      <c r="D1155" s="61"/>
      <c r="F1155" s="23" t="e">
        <f>VLOOKUP(E1155,Customers[],2,FALSE)</f>
        <v>#N/A</v>
      </c>
      <c r="G1155" s="23" t="e">
        <f>VLOOKUP(E1155,Customers[],3,FALSE)</f>
        <v>#N/A</v>
      </c>
      <c r="H1155" s="23" t="e">
        <f>VLOOKUP(E1155,Customers[],4,FALSE)</f>
        <v>#N/A</v>
      </c>
      <c r="J1155" s="29" t="e">
        <f>VLOOKUP(I1155,PGStock[],2,FALSE)</f>
        <v>#N/A</v>
      </c>
      <c r="K1155" s="30" t="e">
        <f>VLOOKUP(I1155,PGStock[],3,FALSE)</f>
        <v>#N/A</v>
      </c>
      <c r="M1155" s="62" t="e">
        <f>VLOOKUP(I1155,PGStock[],6,FALSE)</f>
        <v>#N/A</v>
      </c>
      <c r="N1155" s="62" t="e">
        <f>+Table8[[#This Row],[SalesBot]]*Table8[[#This Row],[Bonus]]</f>
        <v>#N/A</v>
      </c>
    </row>
    <row r="1156" spans="1:14" ht="23.25" customHeight="1" x14ac:dyDescent="0.25">
      <c r="A1156" s="59">
        <f t="shared" si="115"/>
        <v>1900</v>
      </c>
      <c r="B1156" s="59">
        <f t="shared" si="116"/>
        <v>1</v>
      </c>
      <c r="C1156" s="60"/>
      <c r="D1156" s="61"/>
      <c r="F1156" s="23" t="e">
        <f>VLOOKUP(E1156,Customers[],2,FALSE)</f>
        <v>#N/A</v>
      </c>
      <c r="G1156" s="23" t="e">
        <f>VLOOKUP(E1156,Customers[],3,FALSE)</f>
        <v>#N/A</v>
      </c>
      <c r="H1156" s="23" t="e">
        <f>VLOOKUP(E1156,Customers[],4,FALSE)</f>
        <v>#N/A</v>
      </c>
      <c r="J1156" s="29" t="e">
        <f>VLOOKUP(I1156,PGStock[],2,FALSE)</f>
        <v>#N/A</v>
      </c>
      <c r="K1156" s="30" t="e">
        <f>VLOOKUP(I1156,PGStock[],3,FALSE)</f>
        <v>#N/A</v>
      </c>
      <c r="M1156" s="62" t="e">
        <f>VLOOKUP(I1156,PGStock[],6,FALSE)</f>
        <v>#N/A</v>
      </c>
      <c r="N1156" s="62" t="e">
        <f>+Table8[[#This Row],[SalesBot]]*Table8[[#This Row],[Bonus]]</f>
        <v>#N/A</v>
      </c>
    </row>
    <row r="1157" spans="1:14" ht="23.25" customHeight="1" x14ac:dyDescent="0.25">
      <c r="A1157" s="59">
        <f t="shared" si="115"/>
        <v>1900</v>
      </c>
      <c r="B1157" s="59">
        <f t="shared" si="116"/>
        <v>1</v>
      </c>
      <c r="C1157" s="60"/>
      <c r="D1157" s="61"/>
      <c r="F1157" s="23" t="e">
        <f>VLOOKUP(E1157,Customers[],2,FALSE)</f>
        <v>#N/A</v>
      </c>
      <c r="G1157" s="23" t="e">
        <f>VLOOKUP(E1157,Customers[],3,FALSE)</f>
        <v>#N/A</v>
      </c>
      <c r="H1157" s="23" t="e">
        <f>VLOOKUP(E1157,Customers[],4,FALSE)</f>
        <v>#N/A</v>
      </c>
      <c r="J1157" s="29" t="e">
        <f>VLOOKUP(I1157,PGStock[],2,FALSE)</f>
        <v>#N/A</v>
      </c>
      <c r="K1157" s="30" t="e">
        <f>VLOOKUP(I1157,PGStock[],3,FALSE)</f>
        <v>#N/A</v>
      </c>
      <c r="M1157" s="62" t="e">
        <f>VLOOKUP(I1157,PGStock[],6,FALSE)</f>
        <v>#N/A</v>
      </c>
      <c r="N1157" s="62" t="e">
        <f>+Table8[[#This Row],[SalesBot]]*Table8[[#This Row],[Bonus]]</f>
        <v>#N/A</v>
      </c>
    </row>
    <row r="1158" spans="1:14" ht="23.25" customHeight="1" x14ac:dyDescent="0.25">
      <c r="A1158" s="59">
        <f t="shared" si="115"/>
        <v>1900</v>
      </c>
      <c r="B1158" s="59">
        <f t="shared" si="116"/>
        <v>1</v>
      </c>
      <c r="C1158" s="60"/>
      <c r="D1158" s="61"/>
      <c r="F1158" s="23" t="e">
        <f>VLOOKUP(E1158,Customers[],2,FALSE)</f>
        <v>#N/A</v>
      </c>
      <c r="G1158" s="23" t="e">
        <f>VLOOKUP(E1158,Customers[],3,FALSE)</f>
        <v>#N/A</v>
      </c>
      <c r="H1158" s="23" t="e">
        <f>VLOOKUP(E1158,Customers[],4,FALSE)</f>
        <v>#N/A</v>
      </c>
      <c r="J1158" s="29" t="e">
        <f>VLOOKUP(I1158,PGStock[],2,FALSE)</f>
        <v>#N/A</v>
      </c>
      <c r="K1158" s="30" t="e">
        <f>VLOOKUP(I1158,PGStock[],3,FALSE)</f>
        <v>#N/A</v>
      </c>
      <c r="M1158" s="62" t="e">
        <f>VLOOKUP(I1158,PGStock[],6,FALSE)</f>
        <v>#N/A</v>
      </c>
      <c r="N1158" s="62" t="e">
        <f>+Table8[[#This Row],[SalesBot]]*Table8[[#This Row],[Bonus]]</f>
        <v>#N/A</v>
      </c>
    </row>
    <row r="1159" spans="1:14" ht="23.25" customHeight="1" x14ac:dyDescent="0.25">
      <c r="A1159" s="59">
        <f t="shared" si="115"/>
        <v>1900</v>
      </c>
      <c r="B1159" s="59">
        <f t="shared" si="116"/>
        <v>1</v>
      </c>
      <c r="C1159" s="60"/>
      <c r="D1159" s="61"/>
      <c r="F1159" s="23" t="e">
        <f>VLOOKUP(E1159,Customers[],2,FALSE)</f>
        <v>#N/A</v>
      </c>
      <c r="G1159" s="23" t="e">
        <f>VLOOKUP(E1159,Customers[],3,FALSE)</f>
        <v>#N/A</v>
      </c>
      <c r="H1159" s="23" t="e">
        <f>VLOOKUP(E1159,Customers[],4,FALSE)</f>
        <v>#N/A</v>
      </c>
      <c r="J1159" s="29" t="e">
        <f>VLOOKUP(I1159,PGStock[],2,FALSE)</f>
        <v>#N/A</v>
      </c>
      <c r="K1159" s="30" t="e">
        <f>VLOOKUP(I1159,PGStock[],3,FALSE)</f>
        <v>#N/A</v>
      </c>
      <c r="M1159" s="62" t="e">
        <f>VLOOKUP(I1159,PGStock[],6,FALSE)</f>
        <v>#N/A</v>
      </c>
      <c r="N1159" s="62" t="e">
        <f>+Table8[[#This Row],[SalesBot]]*Table8[[#This Row],[Bonus]]</f>
        <v>#N/A</v>
      </c>
    </row>
    <row r="1160" spans="1:14" ht="23.25" customHeight="1" x14ac:dyDescent="0.25">
      <c r="A1160" s="59">
        <f t="shared" si="115"/>
        <v>1900</v>
      </c>
      <c r="B1160" s="59">
        <f t="shared" si="116"/>
        <v>1</v>
      </c>
      <c r="C1160" s="60"/>
      <c r="D1160" s="61"/>
      <c r="F1160" s="23" t="e">
        <f>VLOOKUP(E1160,Customers[],2,FALSE)</f>
        <v>#N/A</v>
      </c>
      <c r="G1160" s="23" t="e">
        <f>VLOOKUP(E1160,Customers[],3,FALSE)</f>
        <v>#N/A</v>
      </c>
      <c r="H1160" s="23" t="e">
        <f>VLOOKUP(E1160,Customers[],4,FALSE)</f>
        <v>#N/A</v>
      </c>
      <c r="J1160" s="29" t="e">
        <f>VLOOKUP(I1160,PGStock[],2,FALSE)</f>
        <v>#N/A</v>
      </c>
      <c r="K1160" s="30" t="e">
        <f>VLOOKUP(I1160,PGStock[],3,FALSE)</f>
        <v>#N/A</v>
      </c>
      <c r="M1160" s="62" t="e">
        <f>VLOOKUP(I1160,PGStock[],6,FALSE)</f>
        <v>#N/A</v>
      </c>
      <c r="N1160" s="62" t="e">
        <f>+Table8[[#This Row],[SalesBot]]*Table8[[#This Row],[Bonus]]</f>
        <v>#N/A</v>
      </c>
    </row>
    <row r="1161" spans="1:14" ht="23.25" customHeight="1" x14ac:dyDescent="0.25">
      <c r="A1161" s="59">
        <f t="shared" si="115"/>
        <v>1900</v>
      </c>
      <c r="B1161" s="59">
        <f t="shared" si="116"/>
        <v>1</v>
      </c>
      <c r="C1161" s="60"/>
      <c r="D1161" s="61"/>
      <c r="F1161" s="23" t="e">
        <f>VLOOKUP(E1161,Customers[],2,FALSE)</f>
        <v>#N/A</v>
      </c>
      <c r="G1161" s="23" t="e">
        <f>VLOOKUP(E1161,Customers[],3,FALSE)</f>
        <v>#N/A</v>
      </c>
      <c r="H1161" s="23" t="e">
        <f>VLOOKUP(E1161,Customers[],4,FALSE)</f>
        <v>#N/A</v>
      </c>
      <c r="J1161" s="29" t="e">
        <f>VLOOKUP(I1161,PGStock[],2,FALSE)</f>
        <v>#N/A</v>
      </c>
      <c r="K1161" s="30" t="e">
        <f>VLOOKUP(I1161,PGStock[],3,FALSE)</f>
        <v>#N/A</v>
      </c>
      <c r="M1161" s="62" t="e">
        <f>VLOOKUP(I1161,PGStock[],6,FALSE)</f>
        <v>#N/A</v>
      </c>
      <c r="N1161" s="62" t="e">
        <f>+Table8[[#This Row],[SalesBot]]*Table8[[#This Row],[Bonus]]</f>
        <v>#N/A</v>
      </c>
    </row>
    <row r="1162" spans="1:14" ht="23.25" customHeight="1" x14ac:dyDescent="0.25">
      <c r="A1162" s="59">
        <f t="shared" si="115"/>
        <v>1900</v>
      </c>
      <c r="B1162" s="59">
        <f t="shared" si="116"/>
        <v>1</v>
      </c>
      <c r="C1162" s="60"/>
      <c r="D1162" s="61"/>
      <c r="F1162" s="23" t="e">
        <f>VLOOKUP(E1162,Customers[],2,FALSE)</f>
        <v>#N/A</v>
      </c>
      <c r="G1162" s="23" t="e">
        <f>VLOOKUP(E1162,Customers[],3,FALSE)</f>
        <v>#N/A</v>
      </c>
      <c r="H1162" s="23" t="e">
        <f>VLOOKUP(E1162,Customers[],4,FALSE)</f>
        <v>#N/A</v>
      </c>
      <c r="J1162" s="29" t="e">
        <f>VLOOKUP(I1162,PGStock[],2,FALSE)</f>
        <v>#N/A</v>
      </c>
      <c r="K1162" s="30" t="e">
        <f>VLOOKUP(I1162,PGStock[],3,FALSE)</f>
        <v>#N/A</v>
      </c>
      <c r="M1162" s="62" t="e">
        <f>VLOOKUP(I1162,PGStock[],6,FALSE)</f>
        <v>#N/A</v>
      </c>
      <c r="N1162" s="62" t="e">
        <f>+Table8[[#This Row],[SalesBot]]*Table8[[#This Row],[Bonus]]</f>
        <v>#N/A</v>
      </c>
    </row>
    <row r="1163" spans="1:14" ht="23.25" customHeight="1" x14ac:dyDescent="0.25">
      <c r="A1163" s="59">
        <f t="shared" si="115"/>
        <v>1900</v>
      </c>
      <c r="B1163" s="59">
        <f t="shared" si="116"/>
        <v>1</v>
      </c>
      <c r="C1163" s="60"/>
      <c r="D1163" s="61"/>
      <c r="F1163" s="23" t="e">
        <f>VLOOKUP(E1163,Customers[],2,FALSE)</f>
        <v>#N/A</v>
      </c>
      <c r="G1163" s="23" t="e">
        <f>VLOOKUP(E1163,Customers[],3,FALSE)</f>
        <v>#N/A</v>
      </c>
      <c r="H1163" s="23" t="e">
        <f>VLOOKUP(E1163,Customers[],4,FALSE)</f>
        <v>#N/A</v>
      </c>
      <c r="J1163" s="29" t="e">
        <f>VLOOKUP(I1163,PGStock[],2,FALSE)</f>
        <v>#N/A</v>
      </c>
      <c r="K1163" s="30" t="e">
        <f>VLOOKUP(I1163,PGStock[],3,FALSE)</f>
        <v>#N/A</v>
      </c>
      <c r="M1163" s="62" t="e">
        <f>VLOOKUP(I1163,PGStock[],6,FALSE)</f>
        <v>#N/A</v>
      </c>
      <c r="N1163" s="62" t="e">
        <f>+Table8[[#This Row],[SalesBot]]*Table8[[#This Row],[Bonus]]</f>
        <v>#N/A</v>
      </c>
    </row>
    <row r="1164" spans="1:14" ht="23.25" customHeight="1" x14ac:dyDescent="0.25">
      <c r="A1164" s="59">
        <f t="shared" si="115"/>
        <v>1900</v>
      </c>
      <c r="B1164" s="59">
        <f t="shared" si="116"/>
        <v>1</v>
      </c>
      <c r="C1164" s="60"/>
      <c r="D1164" s="61"/>
      <c r="F1164" s="23" t="e">
        <f>VLOOKUP(E1164,Customers[],2,FALSE)</f>
        <v>#N/A</v>
      </c>
      <c r="G1164" s="23" t="e">
        <f>VLOOKUP(E1164,Customers[],3,FALSE)</f>
        <v>#N/A</v>
      </c>
      <c r="H1164" s="23" t="e">
        <f>VLOOKUP(E1164,Customers[],4,FALSE)</f>
        <v>#N/A</v>
      </c>
      <c r="J1164" s="29" t="e">
        <f>VLOOKUP(I1164,PGStock[],2,FALSE)</f>
        <v>#N/A</v>
      </c>
      <c r="K1164" s="30" t="e">
        <f>VLOOKUP(I1164,PGStock[],3,FALSE)</f>
        <v>#N/A</v>
      </c>
      <c r="M1164" s="62" t="e">
        <f>VLOOKUP(I1164,PGStock[],6,FALSE)</f>
        <v>#N/A</v>
      </c>
      <c r="N1164" s="62" t="e">
        <f>+Table8[[#This Row],[SalesBot]]*Table8[[#This Row],[Bonus]]</f>
        <v>#N/A</v>
      </c>
    </row>
    <row r="1165" spans="1:14" ht="23.25" customHeight="1" x14ac:dyDescent="0.25">
      <c r="A1165" s="59">
        <f t="shared" si="113"/>
        <v>1900</v>
      </c>
      <c r="B1165" s="59">
        <f t="shared" si="114"/>
        <v>1</v>
      </c>
      <c r="C1165" s="60"/>
      <c r="D1165" s="61"/>
      <c r="F1165" s="23" t="e">
        <f>VLOOKUP(E1165,Customers[],2,FALSE)</f>
        <v>#N/A</v>
      </c>
      <c r="G1165" s="23" t="e">
        <f>VLOOKUP(E1165,Customers[],3,FALSE)</f>
        <v>#N/A</v>
      </c>
      <c r="H1165" s="23" t="e">
        <f>VLOOKUP(E1165,Customers[],4,FALSE)</f>
        <v>#N/A</v>
      </c>
      <c r="J1165" s="29" t="e">
        <f>VLOOKUP(I1165,PGStock[],2,FALSE)</f>
        <v>#N/A</v>
      </c>
      <c r="K1165" s="30" t="e">
        <f>VLOOKUP(I1165,PGStock[],3,FALSE)</f>
        <v>#N/A</v>
      </c>
      <c r="M1165" s="62" t="e">
        <f>VLOOKUP(I1165,PGStock[],6,FALSE)</f>
        <v>#N/A</v>
      </c>
      <c r="N1165" s="62" t="e">
        <f>+Table8[[#This Row],[SalesBot]]*Table8[[#This Row],[Bonus]]</f>
        <v>#N/A</v>
      </c>
    </row>
    <row r="1166" spans="1:14" ht="23.25" customHeight="1" x14ac:dyDescent="0.25">
      <c r="A1166" s="59">
        <f t="shared" si="113"/>
        <v>1900</v>
      </c>
      <c r="B1166" s="59">
        <f t="shared" si="114"/>
        <v>1</v>
      </c>
      <c r="C1166" s="60"/>
      <c r="D1166" s="61"/>
      <c r="F1166" s="23" t="e">
        <f>VLOOKUP(E1166,Customers[],2,FALSE)</f>
        <v>#N/A</v>
      </c>
      <c r="G1166" s="23" t="e">
        <f>VLOOKUP(E1166,Customers[],3,FALSE)</f>
        <v>#N/A</v>
      </c>
      <c r="H1166" s="23" t="e">
        <f>VLOOKUP(E1166,Customers[],4,FALSE)</f>
        <v>#N/A</v>
      </c>
      <c r="J1166" s="29" t="e">
        <f>VLOOKUP(I1166,PGStock[],2,FALSE)</f>
        <v>#N/A</v>
      </c>
      <c r="K1166" s="30" t="e">
        <f>VLOOKUP(I1166,PGStock[],3,FALSE)</f>
        <v>#N/A</v>
      </c>
      <c r="M1166" s="62" t="e">
        <f>VLOOKUP(I1166,PGStock[],6,FALSE)</f>
        <v>#N/A</v>
      </c>
      <c r="N1166" s="62" t="e">
        <f>+Table8[[#This Row],[SalesBot]]*Table8[[#This Row],[Bonus]]</f>
        <v>#N/A</v>
      </c>
    </row>
    <row r="1167" spans="1:14" ht="23.25" customHeight="1" x14ac:dyDescent="0.25">
      <c r="A1167" s="59">
        <f t="shared" si="113"/>
        <v>1900</v>
      </c>
      <c r="B1167" s="59">
        <f t="shared" si="114"/>
        <v>1</v>
      </c>
      <c r="C1167" s="60"/>
      <c r="D1167" s="61"/>
      <c r="F1167" s="23" t="e">
        <f>VLOOKUP(E1167,Customers[],2,FALSE)</f>
        <v>#N/A</v>
      </c>
      <c r="G1167" s="23" t="e">
        <f>VLOOKUP(E1167,Customers[],3,FALSE)</f>
        <v>#N/A</v>
      </c>
      <c r="H1167" s="23" t="e">
        <f>VLOOKUP(E1167,Customers[],4,FALSE)</f>
        <v>#N/A</v>
      </c>
      <c r="J1167" s="29" t="e">
        <f>VLOOKUP(I1167,PGStock[],2,FALSE)</f>
        <v>#N/A</v>
      </c>
      <c r="K1167" s="30" t="e">
        <f>VLOOKUP(I1167,PGStock[],3,FALSE)</f>
        <v>#N/A</v>
      </c>
      <c r="M1167" s="62" t="e">
        <f>VLOOKUP(I1167,PGStock[],6,FALSE)</f>
        <v>#N/A</v>
      </c>
      <c r="N1167" s="62" t="e">
        <f>+Table8[[#This Row],[SalesBot]]*Table8[[#This Row],[Bonus]]</f>
        <v>#N/A</v>
      </c>
    </row>
    <row r="1168" spans="1:14" ht="23.25" customHeight="1" x14ac:dyDescent="0.25">
      <c r="A1168" s="59">
        <f t="shared" si="113"/>
        <v>1900</v>
      </c>
      <c r="B1168" s="59">
        <f t="shared" si="114"/>
        <v>1</v>
      </c>
      <c r="C1168" s="60"/>
      <c r="D1168" s="61"/>
      <c r="F1168" s="23" t="e">
        <f>VLOOKUP(E1168,Customers[],2,FALSE)</f>
        <v>#N/A</v>
      </c>
      <c r="G1168" s="23" t="e">
        <f>VLOOKUP(E1168,Customers[],3,FALSE)</f>
        <v>#N/A</v>
      </c>
      <c r="H1168" s="23" t="e">
        <f>VLOOKUP(E1168,Customers[],4,FALSE)</f>
        <v>#N/A</v>
      </c>
      <c r="J1168" s="29" t="e">
        <f>VLOOKUP(I1168,PGStock[],2,FALSE)</f>
        <v>#N/A</v>
      </c>
      <c r="K1168" s="30" t="e">
        <f>VLOOKUP(I1168,PGStock[],3,FALSE)</f>
        <v>#N/A</v>
      </c>
      <c r="M1168" s="62" t="e">
        <f>VLOOKUP(I1168,PGStock[],6,FALSE)</f>
        <v>#N/A</v>
      </c>
      <c r="N1168" s="62" t="e">
        <f>+Table8[[#This Row],[SalesBot]]*Table8[[#This Row],[Bonus]]</f>
        <v>#N/A</v>
      </c>
    </row>
    <row r="1169" spans="1:14" ht="23.25" customHeight="1" x14ac:dyDescent="0.25">
      <c r="A1169" s="59">
        <f t="shared" si="113"/>
        <v>1900</v>
      </c>
      <c r="B1169" s="59">
        <f t="shared" si="114"/>
        <v>1</v>
      </c>
      <c r="C1169" s="60"/>
      <c r="D1169" s="61"/>
      <c r="F1169" s="23" t="e">
        <f>VLOOKUP(E1169,Customers[],2,FALSE)</f>
        <v>#N/A</v>
      </c>
      <c r="G1169" s="23" t="e">
        <f>VLOOKUP(E1169,Customers[],3,FALSE)</f>
        <v>#N/A</v>
      </c>
      <c r="H1169" s="23" t="e">
        <f>VLOOKUP(E1169,Customers[],4,FALSE)</f>
        <v>#N/A</v>
      </c>
      <c r="J1169" s="29" t="e">
        <f>VLOOKUP(I1169,PGStock[],2,FALSE)</f>
        <v>#N/A</v>
      </c>
      <c r="K1169" s="30" t="e">
        <f>VLOOKUP(I1169,PGStock[],3,FALSE)</f>
        <v>#N/A</v>
      </c>
      <c r="M1169" s="62" t="e">
        <f>VLOOKUP(I1169,PGStock[],6,FALSE)</f>
        <v>#N/A</v>
      </c>
      <c r="N1169" s="62" t="e">
        <f>+Table8[[#This Row],[SalesBot]]*Table8[[#This Row],[Bonus]]</f>
        <v>#N/A</v>
      </c>
    </row>
    <row r="1170" spans="1:14" ht="23.25" customHeight="1" x14ac:dyDescent="0.25">
      <c r="A1170" s="59">
        <f t="shared" si="113"/>
        <v>1900</v>
      </c>
      <c r="B1170" s="59">
        <f t="shared" si="114"/>
        <v>1</v>
      </c>
      <c r="C1170" s="60"/>
      <c r="D1170" s="61"/>
      <c r="F1170" s="23" t="e">
        <f>VLOOKUP(E1170,Customers[],2,FALSE)</f>
        <v>#N/A</v>
      </c>
      <c r="G1170" s="23" t="e">
        <f>VLOOKUP(E1170,Customers[],3,FALSE)</f>
        <v>#N/A</v>
      </c>
      <c r="H1170" s="23" t="e">
        <f>VLOOKUP(E1170,Customers[],4,FALSE)</f>
        <v>#N/A</v>
      </c>
      <c r="J1170" s="29" t="e">
        <f>VLOOKUP(I1170,PGStock[],2,FALSE)</f>
        <v>#N/A</v>
      </c>
      <c r="K1170" s="30" t="e">
        <f>VLOOKUP(I1170,PGStock[],3,FALSE)</f>
        <v>#N/A</v>
      </c>
      <c r="M1170" s="62" t="e">
        <f>VLOOKUP(I1170,PGStock[],6,FALSE)</f>
        <v>#N/A</v>
      </c>
      <c r="N1170" s="62" t="e">
        <f>+Table8[[#This Row],[SalesBot]]*Table8[[#This Row],[Bonus]]</f>
        <v>#N/A</v>
      </c>
    </row>
    <row r="1171" spans="1:14" ht="23.25" customHeight="1" x14ac:dyDescent="0.25">
      <c r="A1171" s="59">
        <f t="shared" si="113"/>
        <v>1900</v>
      </c>
      <c r="B1171" s="59">
        <f t="shared" si="114"/>
        <v>1</v>
      </c>
      <c r="C1171" s="60"/>
      <c r="D1171" s="61"/>
      <c r="F1171" s="23" t="e">
        <f>VLOOKUP(E1171,Customers[],2,FALSE)</f>
        <v>#N/A</v>
      </c>
      <c r="G1171" s="23" t="e">
        <f>VLOOKUP(E1171,Customers[],3,FALSE)</f>
        <v>#N/A</v>
      </c>
      <c r="H1171" s="23" t="e">
        <f>VLOOKUP(E1171,Customers[],4,FALSE)</f>
        <v>#N/A</v>
      </c>
      <c r="J1171" s="29" t="e">
        <f>VLOOKUP(I1171,PGStock[],2,FALSE)</f>
        <v>#N/A</v>
      </c>
      <c r="K1171" s="30" t="e">
        <f>VLOOKUP(I1171,PGStock[],3,FALSE)</f>
        <v>#N/A</v>
      </c>
      <c r="M1171" s="62" t="e">
        <f>VLOOKUP(I1171,PGStock[],6,FALSE)</f>
        <v>#N/A</v>
      </c>
      <c r="N1171" s="62" t="e">
        <f>+Table8[[#This Row],[SalesBot]]*Table8[[#This Row],[Bonus]]</f>
        <v>#N/A</v>
      </c>
    </row>
    <row r="1172" spans="1:14" ht="23.25" customHeight="1" x14ac:dyDescent="0.25">
      <c r="A1172" s="59">
        <f t="shared" si="113"/>
        <v>1900</v>
      </c>
      <c r="B1172" s="59">
        <f t="shared" si="114"/>
        <v>1</v>
      </c>
      <c r="C1172" s="60"/>
      <c r="D1172" s="61"/>
      <c r="F1172" s="23" t="e">
        <f>VLOOKUP(E1172,Customers[],2,FALSE)</f>
        <v>#N/A</v>
      </c>
      <c r="G1172" s="23" t="e">
        <f>VLOOKUP(E1172,Customers[],3,FALSE)</f>
        <v>#N/A</v>
      </c>
      <c r="H1172" s="23" t="e">
        <f>VLOOKUP(E1172,Customers[],4,FALSE)</f>
        <v>#N/A</v>
      </c>
      <c r="J1172" s="29" t="e">
        <f>VLOOKUP(I1172,PGStock[],2,FALSE)</f>
        <v>#N/A</v>
      </c>
      <c r="K1172" s="30" t="e">
        <f>VLOOKUP(I1172,PGStock[],3,FALSE)</f>
        <v>#N/A</v>
      </c>
      <c r="M1172" s="62" t="e">
        <f>VLOOKUP(I1172,PGStock[],6,FALSE)</f>
        <v>#N/A</v>
      </c>
      <c r="N1172" s="62" t="e">
        <f>+Table8[[#This Row],[SalesBot]]*Table8[[#This Row],[Bonus]]</f>
        <v>#N/A</v>
      </c>
    </row>
    <row r="1173" spans="1:14" ht="23.25" customHeight="1" x14ac:dyDescent="0.25">
      <c r="A1173" s="59">
        <f t="shared" si="113"/>
        <v>1900</v>
      </c>
      <c r="B1173" s="59">
        <f t="shared" si="114"/>
        <v>1</v>
      </c>
      <c r="C1173" s="60"/>
      <c r="D1173" s="61"/>
      <c r="F1173" s="23" t="e">
        <f>VLOOKUP(E1173,Customers[],2,FALSE)</f>
        <v>#N/A</v>
      </c>
      <c r="G1173" s="23" t="e">
        <f>VLOOKUP(E1173,Customers[],3,FALSE)</f>
        <v>#N/A</v>
      </c>
      <c r="H1173" s="23" t="e">
        <f>VLOOKUP(E1173,Customers[],4,FALSE)</f>
        <v>#N/A</v>
      </c>
      <c r="J1173" s="29" t="e">
        <f>VLOOKUP(I1173,PGStock[],2,FALSE)</f>
        <v>#N/A</v>
      </c>
      <c r="K1173" s="30" t="e">
        <f>VLOOKUP(I1173,PGStock[],3,FALSE)</f>
        <v>#N/A</v>
      </c>
      <c r="M1173" s="62" t="e">
        <f>VLOOKUP(I1173,PGStock[],6,FALSE)</f>
        <v>#N/A</v>
      </c>
      <c r="N1173" s="62" t="e">
        <f>+Table8[[#This Row],[SalesBot]]*Table8[[#This Row],[Bonus]]</f>
        <v>#N/A</v>
      </c>
    </row>
    <row r="1174" spans="1:14" ht="23.25" customHeight="1" x14ac:dyDescent="0.25">
      <c r="A1174" s="59">
        <f t="shared" si="113"/>
        <v>1900</v>
      </c>
      <c r="B1174" s="59">
        <f t="shared" si="114"/>
        <v>1</v>
      </c>
      <c r="C1174" s="60"/>
      <c r="D1174" s="61"/>
      <c r="F1174" s="23" t="e">
        <f>VLOOKUP(E1174,Customers[],2,FALSE)</f>
        <v>#N/A</v>
      </c>
      <c r="G1174" s="23" t="e">
        <f>VLOOKUP(E1174,Customers[],3,FALSE)</f>
        <v>#N/A</v>
      </c>
      <c r="H1174" s="23" t="e">
        <f>VLOOKUP(E1174,Customers[],4,FALSE)</f>
        <v>#N/A</v>
      </c>
      <c r="J1174" s="29" t="e">
        <f>VLOOKUP(I1174,PGStock[],2,FALSE)</f>
        <v>#N/A</v>
      </c>
      <c r="K1174" s="30" t="e">
        <f>VLOOKUP(I1174,PGStock[],3,FALSE)</f>
        <v>#N/A</v>
      </c>
      <c r="M1174" s="62" t="e">
        <f>VLOOKUP(I1174,PGStock[],6,FALSE)</f>
        <v>#N/A</v>
      </c>
      <c r="N1174" s="62" t="e">
        <f>+Table8[[#This Row],[SalesBot]]*Table8[[#This Row],[Bonus]]</f>
        <v>#N/A</v>
      </c>
    </row>
    <row r="1175" spans="1:14" ht="23.25" customHeight="1" x14ac:dyDescent="0.25">
      <c r="A1175" s="59">
        <f t="shared" si="113"/>
        <v>1900</v>
      </c>
      <c r="B1175" s="59">
        <f t="shared" si="114"/>
        <v>1</v>
      </c>
      <c r="C1175" s="60"/>
      <c r="D1175" s="61"/>
      <c r="F1175" s="23" t="e">
        <f>VLOOKUP(E1175,Customers[],2,FALSE)</f>
        <v>#N/A</v>
      </c>
      <c r="G1175" s="23" t="e">
        <f>VLOOKUP(E1175,Customers[],3,FALSE)</f>
        <v>#N/A</v>
      </c>
      <c r="H1175" s="23" t="e">
        <f>VLOOKUP(E1175,Customers[],4,FALSE)</f>
        <v>#N/A</v>
      </c>
      <c r="J1175" s="29" t="e">
        <f>VLOOKUP(I1175,PGStock[],2,FALSE)</f>
        <v>#N/A</v>
      </c>
      <c r="K1175" s="30" t="e">
        <f>VLOOKUP(I1175,PGStock[],3,FALSE)</f>
        <v>#N/A</v>
      </c>
      <c r="M1175" s="62" t="e">
        <f>VLOOKUP(I1175,PGStock[],6,FALSE)</f>
        <v>#N/A</v>
      </c>
      <c r="N1175" s="62" t="e">
        <f>+Table8[[#This Row],[SalesBot]]*Table8[[#This Row],[Bonus]]</f>
        <v>#N/A</v>
      </c>
    </row>
    <row r="1176" spans="1:14" ht="23.25" customHeight="1" x14ac:dyDescent="0.25">
      <c r="A1176" s="59">
        <f t="shared" si="113"/>
        <v>1900</v>
      </c>
      <c r="B1176" s="59">
        <f t="shared" si="114"/>
        <v>1</v>
      </c>
      <c r="C1176" s="60"/>
      <c r="D1176" s="61"/>
      <c r="F1176" s="23" t="e">
        <f>VLOOKUP(E1176,Customers[],2,FALSE)</f>
        <v>#N/A</v>
      </c>
      <c r="G1176" s="23" t="e">
        <f>VLOOKUP(E1176,Customers[],3,FALSE)</f>
        <v>#N/A</v>
      </c>
      <c r="H1176" s="23" t="e">
        <f>VLOOKUP(E1176,Customers[],4,FALSE)</f>
        <v>#N/A</v>
      </c>
      <c r="J1176" s="29" t="e">
        <f>VLOOKUP(I1176,PGStock[],2,FALSE)</f>
        <v>#N/A</v>
      </c>
      <c r="K1176" s="30" t="e">
        <f>VLOOKUP(I1176,PGStock[],3,FALSE)</f>
        <v>#N/A</v>
      </c>
      <c r="M1176" s="62" t="e">
        <f>VLOOKUP(I1176,PGStock[],6,FALSE)</f>
        <v>#N/A</v>
      </c>
      <c r="N1176" s="62" t="e">
        <f>+Table8[[#This Row],[SalesBot]]*Table8[[#This Row],[Bonus]]</f>
        <v>#N/A</v>
      </c>
    </row>
    <row r="1177" spans="1:14" ht="23.25" customHeight="1" x14ac:dyDescent="0.25">
      <c r="A1177" s="59">
        <f t="shared" si="113"/>
        <v>1900</v>
      </c>
      <c r="B1177" s="59">
        <f t="shared" si="114"/>
        <v>1</v>
      </c>
      <c r="C1177" s="60"/>
      <c r="D1177" s="61"/>
      <c r="F1177" s="23" t="e">
        <f>VLOOKUP(E1177,Customers[],2,FALSE)</f>
        <v>#N/A</v>
      </c>
      <c r="G1177" s="23" t="e">
        <f>VLOOKUP(E1177,Customers[],3,FALSE)</f>
        <v>#N/A</v>
      </c>
      <c r="H1177" s="23" t="e">
        <f>VLOOKUP(E1177,Customers[],4,FALSE)</f>
        <v>#N/A</v>
      </c>
      <c r="J1177" s="29" t="e">
        <f>VLOOKUP(I1177,PGStock[],2,FALSE)</f>
        <v>#N/A</v>
      </c>
      <c r="K1177" s="30" t="e">
        <f>VLOOKUP(I1177,PGStock[],3,FALSE)</f>
        <v>#N/A</v>
      </c>
      <c r="M1177" s="62" t="e">
        <f>VLOOKUP(I1177,PGStock[],6,FALSE)</f>
        <v>#N/A</v>
      </c>
      <c r="N1177" s="62" t="e">
        <f>+Table8[[#This Row],[SalesBot]]*Table8[[#This Row],[Bonus]]</f>
        <v>#N/A</v>
      </c>
    </row>
    <row r="1178" spans="1:14" ht="23.25" customHeight="1" x14ac:dyDescent="0.25">
      <c r="A1178" s="59">
        <f t="shared" si="113"/>
        <v>1900</v>
      </c>
      <c r="B1178" s="59">
        <f t="shared" si="114"/>
        <v>1</v>
      </c>
      <c r="C1178" s="60"/>
      <c r="D1178" s="61"/>
      <c r="F1178" s="23" t="e">
        <f>VLOOKUP(E1178,Customers[],2,FALSE)</f>
        <v>#N/A</v>
      </c>
      <c r="G1178" s="23" t="e">
        <f>VLOOKUP(E1178,Customers[],3,FALSE)</f>
        <v>#N/A</v>
      </c>
      <c r="H1178" s="23" t="e">
        <f>VLOOKUP(E1178,Customers[],4,FALSE)</f>
        <v>#N/A</v>
      </c>
      <c r="J1178" s="29" t="e">
        <f>VLOOKUP(I1178,PGStock[],2,FALSE)</f>
        <v>#N/A</v>
      </c>
      <c r="K1178" s="30" t="e">
        <f>VLOOKUP(I1178,PGStock[],3,FALSE)</f>
        <v>#N/A</v>
      </c>
      <c r="M1178" s="62" t="e">
        <f>VLOOKUP(I1178,PGStock[],6,FALSE)</f>
        <v>#N/A</v>
      </c>
      <c r="N1178" s="62" t="e">
        <f>+Table8[[#This Row],[SalesBot]]*Table8[[#This Row],[Bonus]]</f>
        <v>#N/A</v>
      </c>
    </row>
    <row r="1179" spans="1:14" ht="23.25" customHeight="1" x14ac:dyDescent="0.25">
      <c r="A1179" s="59">
        <f t="shared" si="113"/>
        <v>1900</v>
      </c>
      <c r="B1179" s="59">
        <f t="shared" si="114"/>
        <v>1</v>
      </c>
      <c r="C1179" s="60"/>
      <c r="D1179" s="61"/>
      <c r="F1179" s="23" t="e">
        <f>VLOOKUP(E1179,Customers[],2,FALSE)</f>
        <v>#N/A</v>
      </c>
      <c r="G1179" s="23" t="e">
        <f>VLOOKUP(E1179,Customers[],3,FALSE)</f>
        <v>#N/A</v>
      </c>
      <c r="H1179" s="23" t="e">
        <f>VLOOKUP(E1179,Customers[],4,FALSE)</f>
        <v>#N/A</v>
      </c>
      <c r="J1179" s="29" t="e">
        <f>VLOOKUP(I1179,PGStock[],2,FALSE)</f>
        <v>#N/A</v>
      </c>
      <c r="K1179" s="30" t="e">
        <f>VLOOKUP(I1179,PGStock[],3,FALSE)</f>
        <v>#N/A</v>
      </c>
      <c r="M1179" s="62" t="e">
        <f>VLOOKUP(I1179,PGStock[],6,FALSE)</f>
        <v>#N/A</v>
      </c>
      <c r="N1179" s="62" t="e">
        <f>+Table8[[#This Row],[SalesBot]]*Table8[[#This Row],[Bonus]]</f>
        <v>#N/A</v>
      </c>
    </row>
    <row r="1180" spans="1:14" ht="23.25" customHeight="1" x14ac:dyDescent="0.25">
      <c r="A1180" s="59">
        <f t="shared" si="113"/>
        <v>1900</v>
      </c>
      <c r="B1180" s="59">
        <f t="shared" si="114"/>
        <v>1</v>
      </c>
      <c r="C1180" s="60"/>
      <c r="D1180" s="61"/>
      <c r="F1180" s="23" t="e">
        <f>VLOOKUP(E1180,Customers[],2,FALSE)</f>
        <v>#N/A</v>
      </c>
      <c r="G1180" s="23" t="e">
        <f>VLOOKUP(E1180,Customers[],3,FALSE)</f>
        <v>#N/A</v>
      </c>
      <c r="H1180" s="23" t="e">
        <f>VLOOKUP(E1180,Customers[],4,FALSE)</f>
        <v>#N/A</v>
      </c>
      <c r="J1180" s="29" t="e">
        <f>VLOOKUP(I1180,PGStock[],2,FALSE)</f>
        <v>#N/A</v>
      </c>
      <c r="K1180" s="30" t="e">
        <f>VLOOKUP(I1180,PGStock[],3,FALSE)</f>
        <v>#N/A</v>
      </c>
      <c r="M1180" s="62" t="e">
        <f>VLOOKUP(I1180,PGStock[],6,FALSE)</f>
        <v>#N/A</v>
      </c>
      <c r="N1180" s="62" t="e">
        <f>+Table8[[#This Row],[SalesBot]]*Table8[[#This Row],[Bonus]]</f>
        <v>#N/A</v>
      </c>
    </row>
    <row r="1181" spans="1:14" ht="23.25" customHeight="1" x14ac:dyDescent="0.25">
      <c r="A1181" s="59">
        <f t="shared" si="113"/>
        <v>1900</v>
      </c>
      <c r="B1181" s="59">
        <f t="shared" si="114"/>
        <v>1</v>
      </c>
      <c r="C1181" s="60"/>
      <c r="D1181" s="61"/>
      <c r="F1181" s="23" t="e">
        <f>VLOOKUP(E1181,Customers[],2,FALSE)</f>
        <v>#N/A</v>
      </c>
      <c r="G1181" s="23" t="e">
        <f>VLOOKUP(E1181,Customers[],3,FALSE)</f>
        <v>#N/A</v>
      </c>
      <c r="H1181" s="23" t="e">
        <f>VLOOKUP(E1181,Customers[],4,FALSE)</f>
        <v>#N/A</v>
      </c>
      <c r="J1181" s="29" t="e">
        <f>VLOOKUP(I1181,PGStock[],2,FALSE)</f>
        <v>#N/A</v>
      </c>
      <c r="K1181" s="30" t="e">
        <f>VLOOKUP(I1181,PGStock[],3,FALSE)</f>
        <v>#N/A</v>
      </c>
      <c r="M1181" s="62" t="e">
        <f>VLOOKUP(I1181,PGStock[],6,FALSE)</f>
        <v>#N/A</v>
      </c>
      <c r="N1181" s="62" t="e">
        <f>+Table8[[#This Row],[SalesBot]]*Table8[[#This Row],[Bonus]]</f>
        <v>#N/A</v>
      </c>
    </row>
    <row r="1182" spans="1:14" ht="23.25" customHeight="1" x14ac:dyDescent="0.25">
      <c r="A1182" s="59">
        <f t="shared" ref="A1182:A1202" si="117">YEAR(C1182)</f>
        <v>1900</v>
      </c>
      <c r="B1182" s="59">
        <f t="shared" ref="B1182:B1202" si="118">MONTH(C1182)</f>
        <v>1</v>
      </c>
      <c r="C1182" s="60"/>
      <c r="D1182" s="61"/>
      <c r="F1182" s="23" t="e">
        <f>VLOOKUP(E1182,Customers[],2,FALSE)</f>
        <v>#N/A</v>
      </c>
      <c r="G1182" s="23" t="e">
        <f>VLOOKUP(E1182,Customers[],3,FALSE)</f>
        <v>#N/A</v>
      </c>
      <c r="H1182" s="23" t="e">
        <f>VLOOKUP(E1182,Customers[],4,FALSE)</f>
        <v>#N/A</v>
      </c>
      <c r="J1182" s="29" t="e">
        <f>VLOOKUP(I1182,PGStock[],2,FALSE)</f>
        <v>#N/A</v>
      </c>
      <c r="K1182" s="30" t="e">
        <f>VLOOKUP(I1182,PGStock[],3,FALSE)</f>
        <v>#N/A</v>
      </c>
      <c r="M1182" s="62" t="e">
        <f>VLOOKUP(I1182,PGStock[],6,FALSE)</f>
        <v>#N/A</v>
      </c>
      <c r="N1182" s="62" t="e">
        <f>+Table8[[#This Row],[SalesBot]]*Table8[[#This Row],[Bonus]]</f>
        <v>#N/A</v>
      </c>
    </row>
    <row r="1183" spans="1:14" ht="23.25" customHeight="1" x14ac:dyDescent="0.25">
      <c r="A1183" s="59">
        <f t="shared" si="117"/>
        <v>1900</v>
      </c>
      <c r="B1183" s="59">
        <f t="shared" si="118"/>
        <v>1</v>
      </c>
      <c r="C1183" s="60"/>
      <c r="D1183" s="61"/>
      <c r="F1183" s="23" t="e">
        <f>VLOOKUP(E1183,Customers[],2,FALSE)</f>
        <v>#N/A</v>
      </c>
      <c r="G1183" s="23" t="e">
        <f>VLOOKUP(E1183,Customers[],3,FALSE)</f>
        <v>#N/A</v>
      </c>
      <c r="H1183" s="23" t="e">
        <f>VLOOKUP(E1183,Customers[],4,FALSE)</f>
        <v>#N/A</v>
      </c>
      <c r="J1183" s="29" t="e">
        <f>VLOOKUP(I1183,PGStock[],2,FALSE)</f>
        <v>#N/A</v>
      </c>
      <c r="K1183" s="30" t="e">
        <f>VLOOKUP(I1183,PGStock[],3,FALSE)</f>
        <v>#N/A</v>
      </c>
      <c r="M1183" s="62" t="e">
        <f>VLOOKUP(I1183,PGStock[],6,FALSE)</f>
        <v>#N/A</v>
      </c>
      <c r="N1183" s="62" t="e">
        <f>+Table8[[#This Row],[SalesBot]]*Table8[[#This Row],[Bonus]]</f>
        <v>#N/A</v>
      </c>
    </row>
    <row r="1184" spans="1:14" ht="23.25" customHeight="1" x14ac:dyDescent="0.25">
      <c r="A1184" s="59">
        <f t="shared" si="117"/>
        <v>1900</v>
      </c>
      <c r="B1184" s="59">
        <f t="shared" si="118"/>
        <v>1</v>
      </c>
      <c r="C1184" s="60"/>
      <c r="D1184" s="61"/>
      <c r="F1184" s="23" t="e">
        <f>VLOOKUP(E1184,Customers[],2,FALSE)</f>
        <v>#N/A</v>
      </c>
      <c r="G1184" s="23" t="e">
        <f>VLOOKUP(E1184,Customers[],3,FALSE)</f>
        <v>#N/A</v>
      </c>
      <c r="H1184" s="23" t="e">
        <f>VLOOKUP(E1184,Customers[],4,FALSE)</f>
        <v>#N/A</v>
      </c>
      <c r="J1184" s="29" t="e">
        <f>VLOOKUP(I1184,PGStock[],2,FALSE)</f>
        <v>#N/A</v>
      </c>
      <c r="K1184" s="30" t="e">
        <f>VLOOKUP(I1184,PGStock[],3,FALSE)</f>
        <v>#N/A</v>
      </c>
      <c r="M1184" s="62" t="e">
        <f>VLOOKUP(I1184,PGStock[],6,FALSE)</f>
        <v>#N/A</v>
      </c>
      <c r="N1184" s="62" t="e">
        <f>+Table8[[#This Row],[SalesBot]]*Table8[[#This Row],[Bonus]]</f>
        <v>#N/A</v>
      </c>
    </row>
    <row r="1185" spans="1:14" ht="23.25" customHeight="1" x14ac:dyDescent="0.25">
      <c r="A1185" s="59">
        <f t="shared" si="117"/>
        <v>1900</v>
      </c>
      <c r="B1185" s="59">
        <f t="shared" si="118"/>
        <v>1</v>
      </c>
      <c r="C1185" s="60"/>
      <c r="D1185" s="61"/>
      <c r="F1185" s="23" t="e">
        <f>VLOOKUP(E1185,Customers[],2,FALSE)</f>
        <v>#N/A</v>
      </c>
      <c r="G1185" s="23" t="e">
        <f>VLOOKUP(E1185,Customers[],3,FALSE)</f>
        <v>#N/A</v>
      </c>
      <c r="H1185" s="23" t="e">
        <f>VLOOKUP(E1185,Customers[],4,FALSE)</f>
        <v>#N/A</v>
      </c>
      <c r="J1185" s="29" t="e">
        <f>VLOOKUP(I1185,PGStock[],2,FALSE)</f>
        <v>#N/A</v>
      </c>
      <c r="K1185" s="30" t="e">
        <f>VLOOKUP(I1185,PGStock[],3,FALSE)</f>
        <v>#N/A</v>
      </c>
      <c r="M1185" s="62" t="e">
        <f>VLOOKUP(I1185,PGStock[],6,FALSE)</f>
        <v>#N/A</v>
      </c>
      <c r="N1185" s="62" t="e">
        <f>+Table8[[#This Row],[SalesBot]]*Table8[[#This Row],[Bonus]]</f>
        <v>#N/A</v>
      </c>
    </row>
    <row r="1186" spans="1:14" ht="23.25" customHeight="1" x14ac:dyDescent="0.25">
      <c r="A1186" s="59">
        <f t="shared" si="117"/>
        <v>1900</v>
      </c>
      <c r="B1186" s="59">
        <f t="shared" si="118"/>
        <v>1</v>
      </c>
      <c r="C1186" s="60"/>
      <c r="D1186" s="61"/>
      <c r="F1186" s="23" t="e">
        <f>VLOOKUP(E1186,Customers[],2,FALSE)</f>
        <v>#N/A</v>
      </c>
      <c r="G1186" s="23" t="e">
        <f>VLOOKUP(E1186,Customers[],3,FALSE)</f>
        <v>#N/A</v>
      </c>
      <c r="H1186" s="23" t="e">
        <f>VLOOKUP(E1186,Customers[],4,FALSE)</f>
        <v>#N/A</v>
      </c>
      <c r="J1186" s="29" t="e">
        <f>VLOOKUP(I1186,PGStock[],2,FALSE)</f>
        <v>#N/A</v>
      </c>
      <c r="K1186" s="30" t="e">
        <f>VLOOKUP(I1186,PGStock[],3,FALSE)</f>
        <v>#N/A</v>
      </c>
      <c r="M1186" s="62" t="e">
        <f>VLOOKUP(I1186,PGStock[],6,FALSE)</f>
        <v>#N/A</v>
      </c>
      <c r="N1186" s="62" t="e">
        <f>+Table8[[#This Row],[SalesBot]]*Table8[[#This Row],[Bonus]]</f>
        <v>#N/A</v>
      </c>
    </row>
    <row r="1187" spans="1:14" ht="23.25" customHeight="1" x14ac:dyDescent="0.25">
      <c r="A1187" s="59">
        <f t="shared" si="117"/>
        <v>1900</v>
      </c>
      <c r="B1187" s="59">
        <f t="shared" si="118"/>
        <v>1</v>
      </c>
      <c r="C1187" s="60"/>
      <c r="D1187" s="61"/>
      <c r="F1187" s="23" t="e">
        <f>VLOOKUP(E1187,Customers[],2,FALSE)</f>
        <v>#N/A</v>
      </c>
      <c r="G1187" s="23" t="e">
        <f>VLOOKUP(E1187,Customers[],3,FALSE)</f>
        <v>#N/A</v>
      </c>
      <c r="H1187" s="23" t="e">
        <f>VLOOKUP(E1187,Customers[],4,FALSE)</f>
        <v>#N/A</v>
      </c>
      <c r="J1187" s="29" t="e">
        <f>VLOOKUP(I1187,PGStock[],2,FALSE)</f>
        <v>#N/A</v>
      </c>
      <c r="K1187" s="30" t="e">
        <f>VLOOKUP(I1187,PGStock[],3,FALSE)</f>
        <v>#N/A</v>
      </c>
      <c r="M1187" s="62" t="e">
        <f>VLOOKUP(I1187,PGStock[],6,FALSE)</f>
        <v>#N/A</v>
      </c>
      <c r="N1187" s="62" t="e">
        <f>+Table8[[#This Row],[SalesBot]]*Table8[[#This Row],[Bonus]]</f>
        <v>#N/A</v>
      </c>
    </row>
    <row r="1188" spans="1:14" ht="23.25" customHeight="1" x14ac:dyDescent="0.25">
      <c r="A1188" s="59">
        <f t="shared" si="117"/>
        <v>1900</v>
      </c>
      <c r="B1188" s="59">
        <f t="shared" si="118"/>
        <v>1</v>
      </c>
      <c r="C1188" s="60"/>
      <c r="D1188" s="61"/>
      <c r="F1188" s="23" t="e">
        <f>VLOOKUP(E1188,Customers[],2,FALSE)</f>
        <v>#N/A</v>
      </c>
      <c r="G1188" s="23" t="e">
        <f>VLOOKUP(E1188,Customers[],3,FALSE)</f>
        <v>#N/A</v>
      </c>
      <c r="H1188" s="23" t="e">
        <f>VLOOKUP(E1188,Customers[],4,FALSE)</f>
        <v>#N/A</v>
      </c>
      <c r="J1188" s="29" t="e">
        <f>VLOOKUP(I1188,PGStock[],2,FALSE)</f>
        <v>#N/A</v>
      </c>
      <c r="K1188" s="30" t="e">
        <f>VLOOKUP(I1188,PGStock[],3,FALSE)</f>
        <v>#N/A</v>
      </c>
      <c r="M1188" s="62" t="e">
        <f>VLOOKUP(I1188,PGStock[],6,FALSE)</f>
        <v>#N/A</v>
      </c>
      <c r="N1188" s="62" t="e">
        <f>+Table8[[#This Row],[SalesBot]]*Table8[[#This Row],[Bonus]]</f>
        <v>#N/A</v>
      </c>
    </row>
    <row r="1189" spans="1:14" ht="23.25" customHeight="1" x14ac:dyDescent="0.25">
      <c r="A1189" s="59">
        <f t="shared" si="117"/>
        <v>1900</v>
      </c>
      <c r="B1189" s="59">
        <f t="shared" si="118"/>
        <v>1</v>
      </c>
      <c r="C1189" s="60"/>
      <c r="D1189" s="61"/>
      <c r="F1189" s="23" t="e">
        <f>VLOOKUP(E1189,Customers[],2,FALSE)</f>
        <v>#N/A</v>
      </c>
      <c r="G1189" s="23" t="e">
        <f>VLOOKUP(E1189,Customers[],3,FALSE)</f>
        <v>#N/A</v>
      </c>
      <c r="H1189" s="23" t="e">
        <f>VLOOKUP(E1189,Customers[],4,FALSE)</f>
        <v>#N/A</v>
      </c>
      <c r="J1189" s="29" t="e">
        <f>VLOOKUP(I1189,PGStock[],2,FALSE)</f>
        <v>#N/A</v>
      </c>
      <c r="K1189" s="30" t="e">
        <f>VLOOKUP(I1189,PGStock[],3,FALSE)</f>
        <v>#N/A</v>
      </c>
      <c r="M1189" s="62" t="e">
        <f>VLOOKUP(I1189,PGStock[],6,FALSE)</f>
        <v>#N/A</v>
      </c>
      <c r="N1189" s="62" t="e">
        <f>+Table8[[#This Row],[SalesBot]]*Table8[[#This Row],[Bonus]]</f>
        <v>#N/A</v>
      </c>
    </row>
    <row r="1190" spans="1:14" ht="23.25" customHeight="1" x14ac:dyDescent="0.25">
      <c r="A1190" s="59">
        <f t="shared" si="117"/>
        <v>1900</v>
      </c>
      <c r="B1190" s="59">
        <f t="shared" si="118"/>
        <v>1</v>
      </c>
      <c r="C1190" s="60"/>
      <c r="D1190" s="61"/>
      <c r="F1190" s="23" t="e">
        <f>VLOOKUP(E1190,Customers[],2,FALSE)</f>
        <v>#N/A</v>
      </c>
      <c r="G1190" s="23" t="e">
        <f>VLOOKUP(E1190,Customers[],3,FALSE)</f>
        <v>#N/A</v>
      </c>
      <c r="H1190" s="23" t="e">
        <f>VLOOKUP(E1190,Customers[],4,FALSE)</f>
        <v>#N/A</v>
      </c>
      <c r="J1190" s="29" t="e">
        <f>VLOOKUP(I1190,PGStock[],2,FALSE)</f>
        <v>#N/A</v>
      </c>
      <c r="K1190" s="30" t="e">
        <f>VLOOKUP(I1190,PGStock[],3,FALSE)</f>
        <v>#N/A</v>
      </c>
      <c r="M1190" s="62" t="e">
        <f>VLOOKUP(I1190,PGStock[],6,FALSE)</f>
        <v>#N/A</v>
      </c>
      <c r="N1190" s="62" t="e">
        <f>+Table8[[#This Row],[SalesBot]]*Table8[[#This Row],[Bonus]]</f>
        <v>#N/A</v>
      </c>
    </row>
    <row r="1191" spans="1:14" ht="23.25" customHeight="1" x14ac:dyDescent="0.25">
      <c r="A1191" s="59">
        <f t="shared" si="117"/>
        <v>1900</v>
      </c>
      <c r="B1191" s="59">
        <f t="shared" si="118"/>
        <v>1</v>
      </c>
      <c r="C1191" s="60"/>
      <c r="D1191" s="61"/>
      <c r="F1191" s="23" t="e">
        <f>VLOOKUP(E1191,Customers[],2,FALSE)</f>
        <v>#N/A</v>
      </c>
      <c r="G1191" s="23" t="e">
        <f>VLOOKUP(E1191,Customers[],3,FALSE)</f>
        <v>#N/A</v>
      </c>
      <c r="H1191" s="23" t="e">
        <f>VLOOKUP(E1191,Customers[],4,FALSE)</f>
        <v>#N/A</v>
      </c>
      <c r="J1191" s="29" t="e">
        <f>VLOOKUP(I1191,PGStock[],2,FALSE)</f>
        <v>#N/A</v>
      </c>
      <c r="K1191" s="30" t="e">
        <f>VLOOKUP(I1191,PGStock[],3,FALSE)</f>
        <v>#N/A</v>
      </c>
      <c r="M1191" s="62" t="e">
        <f>VLOOKUP(I1191,PGStock[],6,FALSE)</f>
        <v>#N/A</v>
      </c>
      <c r="N1191" s="62" t="e">
        <f>+Table8[[#This Row],[SalesBot]]*Table8[[#This Row],[Bonus]]</f>
        <v>#N/A</v>
      </c>
    </row>
    <row r="1192" spans="1:14" ht="23.25" customHeight="1" x14ac:dyDescent="0.25">
      <c r="A1192" s="59">
        <f t="shared" si="117"/>
        <v>1900</v>
      </c>
      <c r="B1192" s="59">
        <f t="shared" si="118"/>
        <v>1</v>
      </c>
      <c r="C1192" s="60"/>
      <c r="D1192" s="61"/>
      <c r="F1192" s="23" t="e">
        <f>VLOOKUP(E1192,Customers[],2,FALSE)</f>
        <v>#N/A</v>
      </c>
      <c r="G1192" s="23" t="e">
        <f>VLOOKUP(E1192,Customers[],3,FALSE)</f>
        <v>#N/A</v>
      </c>
      <c r="H1192" s="23" t="e">
        <f>VLOOKUP(E1192,Customers[],4,FALSE)</f>
        <v>#N/A</v>
      </c>
      <c r="J1192" s="29" t="e">
        <f>VLOOKUP(I1192,PGStock[],2,FALSE)</f>
        <v>#N/A</v>
      </c>
      <c r="K1192" s="30" t="e">
        <f>VLOOKUP(I1192,PGStock[],3,FALSE)</f>
        <v>#N/A</v>
      </c>
      <c r="M1192" s="62" t="e">
        <f>VLOOKUP(I1192,PGStock[],6,FALSE)</f>
        <v>#N/A</v>
      </c>
      <c r="N1192" s="62" t="e">
        <f>+Table8[[#This Row],[SalesBot]]*Table8[[#This Row],[Bonus]]</f>
        <v>#N/A</v>
      </c>
    </row>
    <row r="1193" spans="1:14" ht="23.25" customHeight="1" x14ac:dyDescent="0.25">
      <c r="A1193" s="59">
        <f t="shared" si="117"/>
        <v>1900</v>
      </c>
      <c r="B1193" s="59">
        <f t="shared" si="118"/>
        <v>1</v>
      </c>
      <c r="C1193" s="60"/>
      <c r="D1193" s="61"/>
      <c r="F1193" s="23" t="e">
        <f>VLOOKUP(E1193,Customers[],2,FALSE)</f>
        <v>#N/A</v>
      </c>
      <c r="G1193" s="23" t="e">
        <f>VLOOKUP(E1193,Customers[],3,FALSE)</f>
        <v>#N/A</v>
      </c>
      <c r="H1193" s="23" t="e">
        <f>VLOOKUP(E1193,Customers[],4,FALSE)</f>
        <v>#N/A</v>
      </c>
      <c r="J1193" s="29" t="e">
        <f>VLOOKUP(I1193,PGStock[],2,FALSE)</f>
        <v>#N/A</v>
      </c>
      <c r="K1193" s="30" t="e">
        <f>VLOOKUP(I1193,PGStock[],3,FALSE)</f>
        <v>#N/A</v>
      </c>
      <c r="M1193" s="62" t="e">
        <f>VLOOKUP(I1193,PGStock[],6,FALSE)</f>
        <v>#N/A</v>
      </c>
      <c r="N1193" s="62" t="e">
        <f>+Table8[[#This Row],[SalesBot]]*Table8[[#This Row],[Bonus]]</f>
        <v>#N/A</v>
      </c>
    </row>
    <row r="1194" spans="1:14" ht="23.25" customHeight="1" x14ac:dyDescent="0.25">
      <c r="A1194" s="59">
        <f t="shared" si="117"/>
        <v>1900</v>
      </c>
      <c r="B1194" s="59">
        <f t="shared" si="118"/>
        <v>1</v>
      </c>
      <c r="C1194" s="60"/>
      <c r="D1194" s="61"/>
      <c r="F1194" s="23" t="e">
        <f>VLOOKUP(E1194,Customers[],2,FALSE)</f>
        <v>#N/A</v>
      </c>
      <c r="G1194" s="23" t="e">
        <f>VLOOKUP(E1194,Customers[],3,FALSE)</f>
        <v>#N/A</v>
      </c>
      <c r="H1194" s="23" t="e">
        <f>VLOOKUP(E1194,Customers[],4,FALSE)</f>
        <v>#N/A</v>
      </c>
      <c r="J1194" s="29" t="e">
        <f>VLOOKUP(I1194,PGStock[],2,FALSE)</f>
        <v>#N/A</v>
      </c>
      <c r="K1194" s="30" t="e">
        <f>VLOOKUP(I1194,PGStock[],3,FALSE)</f>
        <v>#N/A</v>
      </c>
      <c r="M1194" s="62" t="e">
        <f>VLOOKUP(I1194,PGStock[],6,FALSE)</f>
        <v>#N/A</v>
      </c>
      <c r="N1194" s="62" t="e">
        <f>+Table8[[#This Row],[SalesBot]]*Table8[[#This Row],[Bonus]]</f>
        <v>#N/A</v>
      </c>
    </row>
    <row r="1195" spans="1:14" ht="23.25" customHeight="1" x14ac:dyDescent="0.25">
      <c r="A1195" s="59">
        <f t="shared" si="117"/>
        <v>1900</v>
      </c>
      <c r="B1195" s="59">
        <f t="shared" si="118"/>
        <v>1</v>
      </c>
      <c r="C1195" s="60"/>
      <c r="D1195" s="61"/>
      <c r="F1195" s="23" t="e">
        <f>VLOOKUP(E1195,Customers[],2,FALSE)</f>
        <v>#N/A</v>
      </c>
      <c r="G1195" s="23" t="e">
        <f>VLOOKUP(E1195,Customers[],3,FALSE)</f>
        <v>#N/A</v>
      </c>
      <c r="H1195" s="23" t="e">
        <f>VLOOKUP(E1195,Customers[],4,FALSE)</f>
        <v>#N/A</v>
      </c>
      <c r="J1195" s="29" t="e">
        <f>VLOOKUP(I1195,PGStock[],2,FALSE)</f>
        <v>#N/A</v>
      </c>
      <c r="K1195" s="30" t="e">
        <f>VLOOKUP(I1195,PGStock[],3,FALSE)</f>
        <v>#N/A</v>
      </c>
      <c r="M1195" s="62" t="e">
        <f>VLOOKUP(I1195,PGStock[],6,FALSE)</f>
        <v>#N/A</v>
      </c>
      <c r="N1195" s="62" t="e">
        <f>+Table8[[#This Row],[SalesBot]]*Table8[[#This Row],[Bonus]]</f>
        <v>#N/A</v>
      </c>
    </row>
    <row r="1196" spans="1:14" ht="23.25" customHeight="1" x14ac:dyDescent="0.25">
      <c r="A1196" s="59">
        <f t="shared" si="117"/>
        <v>1900</v>
      </c>
      <c r="B1196" s="59">
        <f t="shared" si="118"/>
        <v>1</v>
      </c>
      <c r="C1196" s="60"/>
      <c r="D1196" s="61"/>
      <c r="F1196" s="23" t="e">
        <f>VLOOKUP(E1196,Customers[],2,FALSE)</f>
        <v>#N/A</v>
      </c>
      <c r="G1196" s="23" t="e">
        <f>VLOOKUP(E1196,Customers[],3,FALSE)</f>
        <v>#N/A</v>
      </c>
      <c r="H1196" s="23" t="e">
        <f>VLOOKUP(E1196,Customers[],4,FALSE)</f>
        <v>#N/A</v>
      </c>
      <c r="J1196" s="29" t="e">
        <f>VLOOKUP(I1196,PGStock[],2,FALSE)</f>
        <v>#N/A</v>
      </c>
      <c r="K1196" s="30" t="e">
        <f>VLOOKUP(I1196,PGStock[],3,FALSE)</f>
        <v>#N/A</v>
      </c>
      <c r="M1196" s="62" t="e">
        <f>VLOOKUP(I1196,PGStock[],6,FALSE)</f>
        <v>#N/A</v>
      </c>
      <c r="N1196" s="62" t="e">
        <f>+Table8[[#This Row],[SalesBot]]*Table8[[#This Row],[Bonus]]</f>
        <v>#N/A</v>
      </c>
    </row>
    <row r="1197" spans="1:14" ht="23.25" customHeight="1" x14ac:dyDescent="0.25">
      <c r="A1197" s="59">
        <f t="shared" si="117"/>
        <v>1900</v>
      </c>
      <c r="B1197" s="59">
        <f t="shared" si="118"/>
        <v>1</v>
      </c>
      <c r="C1197" s="60"/>
      <c r="D1197" s="61"/>
      <c r="F1197" s="23" t="e">
        <f>VLOOKUP(E1197,Customers[],2,FALSE)</f>
        <v>#N/A</v>
      </c>
      <c r="G1197" s="23" t="e">
        <f>VLOOKUP(E1197,Customers[],3,FALSE)</f>
        <v>#N/A</v>
      </c>
      <c r="H1197" s="23" t="e">
        <f>VLOOKUP(E1197,Customers[],4,FALSE)</f>
        <v>#N/A</v>
      </c>
      <c r="J1197" s="29" t="e">
        <f>VLOOKUP(I1197,PGStock[],2,FALSE)</f>
        <v>#N/A</v>
      </c>
      <c r="K1197" s="30" t="e">
        <f>VLOOKUP(I1197,PGStock[],3,FALSE)</f>
        <v>#N/A</v>
      </c>
      <c r="M1197" s="62" t="e">
        <f>VLOOKUP(I1197,PGStock[],6,FALSE)</f>
        <v>#N/A</v>
      </c>
      <c r="N1197" s="62" t="e">
        <f>+Table8[[#This Row],[SalesBot]]*Table8[[#This Row],[Bonus]]</f>
        <v>#N/A</v>
      </c>
    </row>
    <row r="1198" spans="1:14" ht="23.25" customHeight="1" x14ac:dyDescent="0.25">
      <c r="A1198" s="59">
        <f t="shared" si="117"/>
        <v>1900</v>
      </c>
      <c r="B1198" s="59">
        <f t="shared" si="118"/>
        <v>1</v>
      </c>
      <c r="C1198" s="60"/>
      <c r="D1198" s="61"/>
      <c r="F1198" s="23" t="e">
        <f>VLOOKUP(E1198,Customers[],2,FALSE)</f>
        <v>#N/A</v>
      </c>
      <c r="G1198" s="23" t="e">
        <f>VLOOKUP(E1198,Customers[],3,FALSE)</f>
        <v>#N/A</v>
      </c>
      <c r="H1198" s="23" t="e">
        <f>VLOOKUP(E1198,Customers[],4,FALSE)</f>
        <v>#N/A</v>
      </c>
      <c r="J1198" s="29" t="e">
        <f>VLOOKUP(I1198,PGStock[],2,FALSE)</f>
        <v>#N/A</v>
      </c>
      <c r="K1198" s="30" t="e">
        <f>VLOOKUP(I1198,PGStock[],3,FALSE)</f>
        <v>#N/A</v>
      </c>
      <c r="M1198" s="62" t="e">
        <f>VLOOKUP(I1198,PGStock[],6,FALSE)</f>
        <v>#N/A</v>
      </c>
      <c r="N1198" s="62" t="e">
        <f>+Table8[[#This Row],[SalesBot]]*Table8[[#This Row],[Bonus]]</f>
        <v>#N/A</v>
      </c>
    </row>
    <row r="1199" spans="1:14" ht="23.25" customHeight="1" x14ac:dyDescent="0.25">
      <c r="A1199" s="59">
        <f t="shared" si="117"/>
        <v>1900</v>
      </c>
      <c r="B1199" s="59">
        <f t="shared" si="118"/>
        <v>1</v>
      </c>
      <c r="C1199" s="60"/>
      <c r="D1199" s="61"/>
      <c r="F1199" s="23" t="e">
        <f>VLOOKUP(E1199,Customers[],2,FALSE)</f>
        <v>#N/A</v>
      </c>
      <c r="G1199" s="23" t="e">
        <f>VLOOKUP(E1199,Customers[],3,FALSE)</f>
        <v>#N/A</v>
      </c>
      <c r="H1199" s="23" t="e">
        <f>VLOOKUP(E1199,Customers[],4,FALSE)</f>
        <v>#N/A</v>
      </c>
      <c r="J1199" s="29" t="e">
        <f>VLOOKUP(I1199,PGStock[],2,FALSE)</f>
        <v>#N/A</v>
      </c>
      <c r="K1199" s="30" t="e">
        <f>VLOOKUP(I1199,PGStock[],3,FALSE)</f>
        <v>#N/A</v>
      </c>
      <c r="M1199" s="62" t="e">
        <f>VLOOKUP(I1199,PGStock[],6,FALSE)</f>
        <v>#N/A</v>
      </c>
      <c r="N1199" s="62" t="e">
        <f>+Table8[[#This Row],[SalesBot]]*Table8[[#This Row],[Bonus]]</f>
        <v>#N/A</v>
      </c>
    </row>
    <row r="1200" spans="1:14" ht="23.25" customHeight="1" x14ac:dyDescent="0.25">
      <c r="A1200" s="59">
        <f t="shared" si="117"/>
        <v>1900</v>
      </c>
      <c r="B1200" s="59">
        <f t="shared" si="118"/>
        <v>1</v>
      </c>
      <c r="C1200" s="60"/>
      <c r="D1200" s="61"/>
      <c r="F1200" s="23" t="e">
        <f>VLOOKUP(E1200,Customers[],2,FALSE)</f>
        <v>#N/A</v>
      </c>
      <c r="G1200" s="23" t="e">
        <f>VLOOKUP(E1200,Customers[],3,FALSE)</f>
        <v>#N/A</v>
      </c>
      <c r="H1200" s="23" t="e">
        <f>VLOOKUP(E1200,Customers[],4,FALSE)</f>
        <v>#N/A</v>
      </c>
      <c r="J1200" s="29" t="e">
        <f>VLOOKUP(I1200,PGStock[],2,FALSE)</f>
        <v>#N/A</v>
      </c>
      <c r="K1200" s="30" t="e">
        <f>VLOOKUP(I1200,PGStock[],3,FALSE)</f>
        <v>#N/A</v>
      </c>
      <c r="M1200" s="62" t="e">
        <f>VLOOKUP(I1200,PGStock[],6,FALSE)</f>
        <v>#N/A</v>
      </c>
      <c r="N1200" s="62" t="e">
        <f>+Table8[[#This Row],[SalesBot]]*Table8[[#This Row],[Bonus]]</f>
        <v>#N/A</v>
      </c>
    </row>
    <row r="1201" spans="1:14" ht="23.25" customHeight="1" x14ac:dyDescent="0.25">
      <c r="A1201" s="59">
        <f t="shared" si="117"/>
        <v>1900</v>
      </c>
      <c r="B1201" s="59">
        <f t="shared" si="118"/>
        <v>1</v>
      </c>
      <c r="C1201" s="60"/>
      <c r="D1201" s="61"/>
      <c r="F1201" s="23" t="e">
        <f>VLOOKUP(E1201,Customers[],2,FALSE)</f>
        <v>#N/A</v>
      </c>
      <c r="G1201" s="23" t="e">
        <f>VLOOKUP(E1201,Customers[],3,FALSE)</f>
        <v>#N/A</v>
      </c>
      <c r="H1201" s="23" t="e">
        <f>VLOOKUP(E1201,Customers[],4,FALSE)</f>
        <v>#N/A</v>
      </c>
      <c r="J1201" s="29" t="e">
        <f>VLOOKUP(I1201,PGStock[],2,FALSE)</f>
        <v>#N/A</v>
      </c>
      <c r="K1201" s="30" t="e">
        <f>VLOOKUP(I1201,PGStock[],3,FALSE)</f>
        <v>#N/A</v>
      </c>
      <c r="M1201" s="62" t="e">
        <f>VLOOKUP(I1201,PGStock[],6,FALSE)</f>
        <v>#N/A</v>
      </c>
      <c r="N1201" s="62" t="e">
        <f>+Table8[[#This Row],[SalesBot]]*Table8[[#This Row],[Bonus]]</f>
        <v>#N/A</v>
      </c>
    </row>
    <row r="1202" spans="1:14" ht="23.25" customHeight="1" x14ac:dyDescent="0.25">
      <c r="A1202" s="59">
        <f t="shared" si="117"/>
        <v>1900</v>
      </c>
      <c r="B1202" s="59">
        <f t="shared" si="118"/>
        <v>1</v>
      </c>
      <c r="C1202" s="60"/>
      <c r="D1202" s="61"/>
      <c r="F1202" s="23" t="e">
        <f>VLOOKUP(E1202,Customers[],2,FALSE)</f>
        <v>#N/A</v>
      </c>
      <c r="G1202" s="23" t="e">
        <f>VLOOKUP(E1202,Customers[],3,FALSE)</f>
        <v>#N/A</v>
      </c>
      <c r="H1202" s="23" t="e">
        <f>VLOOKUP(E1202,Customers[],4,FALSE)</f>
        <v>#N/A</v>
      </c>
      <c r="J1202" s="29" t="e">
        <f>VLOOKUP(I1202,PGStock[],2,FALSE)</f>
        <v>#N/A</v>
      </c>
      <c r="K1202" s="30" t="e">
        <f>VLOOKUP(I1202,PGStock[],3,FALSE)</f>
        <v>#N/A</v>
      </c>
      <c r="M1202" s="62" t="e">
        <f>VLOOKUP(I1202,PGStock[],6,FALSE)</f>
        <v>#N/A</v>
      </c>
      <c r="N1202" s="62" t="e">
        <f>+Table8[[#This Row],[SalesBot]]*Table8[[#This Row],[Bonus]]</f>
        <v>#N/A</v>
      </c>
    </row>
    <row r="1203" spans="1:14" ht="23.25" customHeight="1" x14ac:dyDescent="0.25">
      <c r="A1203" s="59">
        <f t="shared" si="111"/>
        <v>1900</v>
      </c>
      <c r="B1203" s="59">
        <f t="shared" si="112"/>
        <v>1</v>
      </c>
      <c r="C1203" s="60"/>
      <c r="D1203" s="61"/>
      <c r="F1203" s="23" t="e">
        <f>VLOOKUP(E1203,Customers[],2,FALSE)</f>
        <v>#N/A</v>
      </c>
      <c r="G1203" s="23" t="e">
        <f>VLOOKUP(E1203,Customers[],3,FALSE)</f>
        <v>#N/A</v>
      </c>
      <c r="H1203" s="23" t="e">
        <f>VLOOKUP(E1203,Customers[],4,FALSE)</f>
        <v>#N/A</v>
      </c>
      <c r="J1203" s="29" t="e">
        <f>VLOOKUP(I1203,PGStock[],2,FALSE)</f>
        <v>#N/A</v>
      </c>
      <c r="K1203" s="30" t="e">
        <f>VLOOKUP(I1203,PGStock[],3,FALSE)</f>
        <v>#N/A</v>
      </c>
      <c r="M1203" s="62" t="e">
        <f>VLOOKUP(I1203,PGStock[],6,FALSE)</f>
        <v>#N/A</v>
      </c>
      <c r="N1203" s="62" t="e">
        <f>+Table8[[#This Row],[SalesBot]]*Table8[[#This Row],[Bonus]]</f>
        <v>#N/A</v>
      </c>
    </row>
    <row r="1204" spans="1:14" ht="23.25" customHeight="1" x14ac:dyDescent="0.25">
      <c r="A1204" s="59">
        <f t="shared" ref="A1204:A1235" si="119">YEAR(C1204)</f>
        <v>1900</v>
      </c>
      <c r="B1204" s="59">
        <f t="shared" ref="B1204:B1235" si="120">MONTH(C1204)</f>
        <v>1</v>
      </c>
      <c r="C1204" s="60"/>
      <c r="D1204" s="61"/>
      <c r="F1204" s="23" t="e">
        <f>VLOOKUP(E1204,Customers[],2,FALSE)</f>
        <v>#N/A</v>
      </c>
      <c r="G1204" s="23" t="e">
        <f>VLOOKUP(E1204,Customers[],3,FALSE)</f>
        <v>#N/A</v>
      </c>
      <c r="H1204" s="23" t="e">
        <f>VLOOKUP(E1204,Customers[],4,FALSE)</f>
        <v>#N/A</v>
      </c>
      <c r="J1204" s="29" t="e">
        <f>VLOOKUP(I1204,PGStock[],2,FALSE)</f>
        <v>#N/A</v>
      </c>
      <c r="K1204" s="30" t="e">
        <f>VLOOKUP(I1204,PGStock[],3,FALSE)</f>
        <v>#N/A</v>
      </c>
      <c r="M1204" s="62" t="e">
        <f>VLOOKUP(I1204,PGStock[],6,FALSE)</f>
        <v>#N/A</v>
      </c>
      <c r="N1204" s="62" t="e">
        <f>+Table8[[#This Row],[SalesBot]]*Table8[[#This Row],[Bonus]]</f>
        <v>#N/A</v>
      </c>
    </row>
    <row r="1205" spans="1:14" ht="23.25" customHeight="1" x14ac:dyDescent="0.25">
      <c r="A1205" s="59">
        <f t="shared" si="119"/>
        <v>1900</v>
      </c>
      <c r="B1205" s="59">
        <f t="shared" si="120"/>
        <v>1</v>
      </c>
      <c r="C1205" s="60"/>
      <c r="D1205" s="61"/>
      <c r="F1205" s="23" t="e">
        <f>VLOOKUP(E1205,Customers[],2,FALSE)</f>
        <v>#N/A</v>
      </c>
      <c r="G1205" s="23" t="e">
        <f>VLOOKUP(E1205,Customers[],3,FALSE)</f>
        <v>#N/A</v>
      </c>
      <c r="H1205" s="23" t="e">
        <f>VLOOKUP(E1205,Customers[],4,FALSE)</f>
        <v>#N/A</v>
      </c>
      <c r="J1205" s="29" t="e">
        <f>VLOOKUP(I1205,PGStock[],2,FALSE)</f>
        <v>#N/A</v>
      </c>
      <c r="K1205" s="30" t="e">
        <f>VLOOKUP(I1205,PGStock[],3,FALSE)</f>
        <v>#N/A</v>
      </c>
      <c r="M1205" s="62" t="e">
        <f>VLOOKUP(I1205,PGStock[],6,FALSE)</f>
        <v>#N/A</v>
      </c>
      <c r="N1205" s="62" t="e">
        <f>+Table8[[#This Row],[SalesBot]]*Table8[[#This Row],[Bonus]]</f>
        <v>#N/A</v>
      </c>
    </row>
    <row r="1206" spans="1:14" ht="23.25" customHeight="1" x14ac:dyDescent="0.25">
      <c r="A1206" s="59">
        <f t="shared" si="119"/>
        <v>1900</v>
      </c>
      <c r="B1206" s="59">
        <f t="shared" si="120"/>
        <v>1</v>
      </c>
      <c r="C1206" s="60"/>
      <c r="D1206" s="61"/>
      <c r="F1206" s="23" t="e">
        <f>VLOOKUP(E1206,Customers[],2,FALSE)</f>
        <v>#N/A</v>
      </c>
      <c r="G1206" s="23" t="e">
        <f>VLOOKUP(E1206,Customers[],3,FALSE)</f>
        <v>#N/A</v>
      </c>
      <c r="H1206" s="23" t="e">
        <f>VLOOKUP(E1206,Customers[],4,FALSE)</f>
        <v>#N/A</v>
      </c>
      <c r="J1206" s="29" t="e">
        <f>VLOOKUP(I1206,PGStock[],2,FALSE)</f>
        <v>#N/A</v>
      </c>
      <c r="K1206" s="30" t="e">
        <f>VLOOKUP(I1206,PGStock[],3,FALSE)</f>
        <v>#N/A</v>
      </c>
      <c r="M1206" s="62" t="e">
        <f>VLOOKUP(I1206,PGStock[],6,FALSE)</f>
        <v>#N/A</v>
      </c>
      <c r="N1206" s="62" t="e">
        <f>+Table8[[#This Row],[SalesBot]]*Table8[[#This Row],[Bonus]]</f>
        <v>#N/A</v>
      </c>
    </row>
    <row r="1207" spans="1:14" ht="23.25" customHeight="1" x14ac:dyDescent="0.25">
      <c r="A1207" s="59">
        <f t="shared" si="119"/>
        <v>1900</v>
      </c>
      <c r="B1207" s="59">
        <f t="shared" si="120"/>
        <v>1</v>
      </c>
      <c r="C1207" s="60"/>
      <c r="D1207" s="61"/>
      <c r="F1207" s="23" t="e">
        <f>VLOOKUP(E1207,Customers[],2,FALSE)</f>
        <v>#N/A</v>
      </c>
      <c r="G1207" s="23" t="e">
        <f>VLOOKUP(E1207,Customers[],3,FALSE)</f>
        <v>#N/A</v>
      </c>
      <c r="H1207" s="23" t="e">
        <f>VLOOKUP(E1207,Customers[],4,FALSE)</f>
        <v>#N/A</v>
      </c>
      <c r="J1207" s="29" t="e">
        <f>VLOOKUP(I1207,PGStock[],2,FALSE)</f>
        <v>#N/A</v>
      </c>
      <c r="K1207" s="30" t="e">
        <f>VLOOKUP(I1207,PGStock[],3,FALSE)</f>
        <v>#N/A</v>
      </c>
      <c r="M1207" s="62" t="e">
        <f>VLOOKUP(I1207,PGStock[],6,FALSE)</f>
        <v>#N/A</v>
      </c>
      <c r="N1207" s="62" t="e">
        <f>+Table8[[#This Row],[SalesBot]]*Table8[[#This Row],[Bonus]]</f>
        <v>#N/A</v>
      </c>
    </row>
    <row r="1208" spans="1:14" ht="23.25" customHeight="1" x14ac:dyDescent="0.25">
      <c r="A1208" s="59">
        <f t="shared" si="119"/>
        <v>1900</v>
      </c>
      <c r="B1208" s="59">
        <f t="shared" si="120"/>
        <v>1</v>
      </c>
      <c r="C1208" s="60"/>
      <c r="D1208" s="61"/>
      <c r="F1208" s="23" t="e">
        <f>VLOOKUP(E1208,Customers[],2,FALSE)</f>
        <v>#N/A</v>
      </c>
      <c r="G1208" s="23" t="e">
        <f>VLOOKUP(E1208,Customers[],3,FALSE)</f>
        <v>#N/A</v>
      </c>
      <c r="H1208" s="23" t="e">
        <f>VLOOKUP(E1208,Customers[],4,FALSE)</f>
        <v>#N/A</v>
      </c>
      <c r="J1208" s="29" t="e">
        <f>VLOOKUP(I1208,PGStock[],2,FALSE)</f>
        <v>#N/A</v>
      </c>
      <c r="K1208" s="30" t="e">
        <f>VLOOKUP(I1208,PGStock[],3,FALSE)</f>
        <v>#N/A</v>
      </c>
      <c r="M1208" s="62" t="e">
        <f>VLOOKUP(I1208,PGStock[],6,FALSE)</f>
        <v>#N/A</v>
      </c>
      <c r="N1208" s="62" t="e">
        <f>+Table8[[#This Row],[SalesBot]]*Table8[[#This Row],[Bonus]]</f>
        <v>#N/A</v>
      </c>
    </row>
    <row r="1209" spans="1:14" ht="23.25" customHeight="1" x14ac:dyDescent="0.25">
      <c r="A1209" s="59">
        <f t="shared" si="119"/>
        <v>1900</v>
      </c>
      <c r="B1209" s="59">
        <f t="shared" si="120"/>
        <v>1</v>
      </c>
      <c r="C1209" s="60"/>
      <c r="D1209" s="61"/>
      <c r="F1209" s="23" t="e">
        <f>VLOOKUP(E1209,Customers[],2,FALSE)</f>
        <v>#N/A</v>
      </c>
      <c r="G1209" s="23" t="e">
        <f>VLOOKUP(E1209,Customers[],3,FALSE)</f>
        <v>#N/A</v>
      </c>
      <c r="H1209" s="23" t="e">
        <f>VLOOKUP(E1209,Customers[],4,FALSE)</f>
        <v>#N/A</v>
      </c>
      <c r="J1209" s="29" t="e">
        <f>VLOOKUP(I1209,PGStock[],2,FALSE)</f>
        <v>#N/A</v>
      </c>
      <c r="K1209" s="30" t="e">
        <f>VLOOKUP(I1209,PGStock[],3,FALSE)</f>
        <v>#N/A</v>
      </c>
      <c r="M1209" s="62" t="e">
        <f>VLOOKUP(I1209,PGStock[],6,FALSE)</f>
        <v>#N/A</v>
      </c>
      <c r="N1209" s="62" t="e">
        <f>+Table8[[#This Row],[SalesBot]]*Table8[[#This Row],[Bonus]]</f>
        <v>#N/A</v>
      </c>
    </row>
    <row r="1210" spans="1:14" ht="23.25" customHeight="1" x14ac:dyDescent="0.25">
      <c r="A1210" s="59">
        <f t="shared" si="119"/>
        <v>1900</v>
      </c>
      <c r="B1210" s="59">
        <f t="shared" si="120"/>
        <v>1</v>
      </c>
      <c r="C1210" s="60"/>
      <c r="D1210" s="61"/>
      <c r="F1210" s="23" t="e">
        <f>VLOOKUP(E1210,Customers[],2,FALSE)</f>
        <v>#N/A</v>
      </c>
      <c r="G1210" s="23" t="e">
        <f>VLOOKUP(E1210,Customers[],3,FALSE)</f>
        <v>#N/A</v>
      </c>
      <c r="H1210" s="23" t="e">
        <f>VLOOKUP(E1210,Customers[],4,FALSE)</f>
        <v>#N/A</v>
      </c>
      <c r="J1210" s="29" t="e">
        <f>VLOOKUP(I1210,PGStock[],2,FALSE)</f>
        <v>#N/A</v>
      </c>
      <c r="K1210" s="30" t="e">
        <f>VLOOKUP(I1210,PGStock[],3,FALSE)</f>
        <v>#N/A</v>
      </c>
      <c r="M1210" s="62" t="e">
        <f>VLOOKUP(I1210,PGStock[],6,FALSE)</f>
        <v>#N/A</v>
      </c>
      <c r="N1210" s="62" t="e">
        <f>+Table8[[#This Row],[SalesBot]]*Table8[[#This Row],[Bonus]]</f>
        <v>#N/A</v>
      </c>
    </row>
    <row r="1211" spans="1:14" ht="23.25" customHeight="1" x14ac:dyDescent="0.25">
      <c r="A1211" s="59">
        <f t="shared" si="119"/>
        <v>1900</v>
      </c>
      <c r="B1211" s="59">
        <f t="shared" si="120"/>
        <v>1</v>
      </c>
      <c r="C1211" s="60"/>
      <c r="D1211" s="61"/>
      <c r="F1211" s="23" t="e">
        <f>VLOOKUP(E1211,Customers[],2,FALSE)</f>
        <v>#N/A</v>
      </c>
      <c r="G1211" s="23" t="e">
        <f>VLOOKUP(E1211,Customers[],3,FALSE)</f>
        <v>#N/A</v>
      </c>
      <c r="H1211" s="23" t="e">
        <f>VLOOKUP(E1211,Customers[],4,FALSE)</f>
        <v>#N/A</v>
      </c>
      <c r="J1211" s="29" t="e">
        <f>VLOOKUP(I1211,PGStock[],2,FALSE)</f>
        <v>#N/A</v>
      </c>
      <c r="K1211" s="30" t="e">
        <f>VLOOKUP(I1211,PGStock[],3,FALSE)</f>
        <v>#N/A</v>
      </c>
      <c r="M1211" s="62" t="e">
        <f>VLOOKUP(I1211,PGStock[],6,FALSE)</f>
        <v>#N/A</v>
      </c>
      <c r="N1211" s="62" t="e">
        <f>+Table8[[#This Row],[SalesBot]]*Table8[[#This Row],[Bonus]]</f>
        <v>#N/A</v>
      </c>
    </row>
    <row r="1212" spans="1:14" ht="23.25" customHeight="1" x14ac:dyDescent="0.25">
      <c r="A1212" s="59">
        <f t="shared" si="119"/>
        <v>1900</v>
      </c>
      <c r="B1212" s="59">
        <f t="shared" si="120"/>
        <v>1</v>
      </c>
      <c r="C1212" s="60"/>
      <c r="D1212" s="61"/>
      <c r="F1212" s="23" t="e">
        <f>VLOOKUP(E1212,Customers[],2,FALSE)</f>
        <v>#N/A</v>
      </c>
      <c r="G1212" s="23" t="e">
        <f>VLOOKUP(E1212,Customers[],3,FALSE)</f>
        <v>#N/A</v>
      </c>
      <c r="H1212" s="23" t="e">
        <f>VLOOKUP(E1212,Customers[],4,FALSE)</f>
        <v>#N/A</v>
      </c>
      <c r="J1212" s="29" t="e">
        <f>VLOOKUP(I1212,PGStock[],2,FALSE)</f>
        <v>#N/A</v>
      </c>
      <c r="K1212" s="30" t="e">
        <f>VLOOKUP(I1212,PGStock[],3,FALSE)</f>
        <v>#N/A</v>
      </c>
      <c r="M1212" s="62" t="e">
        <f>VLOOKUP(I1212,PGStock[],6,FALSE)</f>
        <v>#N/A</v>
      </c>
      <c r="N1212" s="62" t="e">
        <f>+Table8[[#This Row],[SalesBot]]*Table8[[#This Row],[Bonus]]</f>
        <v>#N/A</v>
      </c>
    </row>
    <row r="1213" spans="1:14" ht="23.25" customHeight="1" x14ac:dyDescent="0.25">
      <c r="A1213" s="59">
        <f t="shared" si="119"/>
        <v>1900</v>
      </c>
      <c r="B1213" s="59">
        <f t="shared" si="120"/>
        <v>1</v>
      </c>
      <c r="C1213" s="60"/>
      <c r="D1213" s="61"/>
      <c r="F1213" s="23" t="e">
        <f>VLOOKUP(E1213,Customers[],2,FALSE)</f>
        <v>#N/A</v>
      </c>
      <c r="G1213" s="23" t="e">
        <f>VLOOKUP(E1213,Customers[],3,FALSE)</f>
        <v>#N/A</v>
      </c>
      <c r="H1213" s="23" t="e">
        <f>VLOOKUP(E1213,Customers[],4,FALSE)</f>
        <v>#N/A</v>
      </c>
      <c r="J1213" s="29" t="e">
        <f>VLOOKUP(I1213,PGStock[],2,FALSE)</f>
        <v>#N/A</v>
      </c>
      <c r="K1213" s="30" t="e">
        <f>VLOOKUP(I1213,PGStock[],3,FALSE)</f>
        <v>#N/A</v>
      </c>
      <c r="M1213" s="62" t="e">
        <f>VLOOKUP(I1213,PGStock[],6,FALSE)</f>
        <v>#N/A</v>
      </c>
      <c r="N1213" s="62" t="e">
        <f>+Table8[[#This Row],[SalesBot]]*Table8[[#This Row],[Bonus]]</f>
        <v>#N/A</v>
      </c>
    </row>
    <row r="1214" spans="1:14" ht="23.25" customHeight="1" x14ac:dyDescent="0.25">
      <c r="A1214" s="59">
        <f t="shared" si="119"/>
        <v>1900</v>
      </c>
      <c r="B1214" s="59">
        <f t="shared" si="120"/>
        <v>1</v>
      </c>
      <c r="C1214" s="60"/>
      <c r="D1214" s="61"/>
      <c r="F1214" s="23" t="e">
        <f>VLOOKUP(E1214,Customers[],2,FALSE)</f>
        <v>#N/A</v>
      </c>
      <c r="G1214" s="23" t="e">
        <f>VLOOKUP(E1214,Customers[],3,FALSE)</f>
        <v>#N/A</v>
      </c>
      <c r="H1214" s="23" t="e">
        <f>VLOOKUP(E1214,Customers[],4,FALSE)</f>
        <v>#N/A</v>
      </c>
      <c r="J1214" s="29" t="e">
        <f>VLOOKUP(I1214,PGStock[],2,FALSE)</f>
        <v>#N/A</v>
      </c>
      <c r="K1214" s="30" t="e">
        <f>VLOOKUP(I1214,PGStock[],3,FALSE)</f>
        <v>#N/A</v>
      </c>
      <c r="M1214" s="62" t="e">
        <f>VLOOKUP(I1214,PGStock[],6,FALSE)</f>
        <v>#N/A</v>
      </c>
      <c r="N1214" s="62" t="e">
        <f>+Table8[[#This Row],[SalesBot]]*Table8[[#This Row],[Bonus]]</f>
        <v>#N/A</v>
      </c>
    </row>
    <row r="1215" spans="1:14" ht="23.25" customHeight="1" x14ac:dyDescent="0.25">
      <c r="A1215" s="59">
        <f t="shared" si="119"/>
        <v>1900</v>
      </c>
      <c r="B1215" s="59">
        <f t="shared" si="120"/>
        <v>1</v>
      </c>
      <c r="C1215" s="60"/>
      <c r="D1215" s="61"/>
      <c r="F1215" s="23" t="e">
        <f>VLOOKUP(E1215,Customers[],2,FALSE)</f>
        <v>#N/A</v>
      </c>
      <c r="G1215" s="23" t="e">
        <f>VLOOKUP(E1215,Customers[],3,FALSE)</f>
        <v>#N/A</v>
      </c>
      <c r="H1215" s="23" t="e">
        <f>VLOOKUP(E1215,Customers[],4,FALSE)</f>
        <v>#N/A</v>
      </c>
      <c r="J1215" s="29" t="e">
        <f>VLOOKUP(I1215,PGStock[],2,FALSE)</f>
        <v>#N/A</v>
      </c>
      <c r="K1215" s="30" t="e">
        <f>VLOOKUP(I1215,PGStock[],3,FALSE)</f>
        <v>#N/A</v>
      </c>
      <c r="M1215" s="62" t="e">
        <f>VLOOKUP(I1215,PGStock[],6,FALSE)</f>
        <v>#N/A</v>
      </c>
      <c r="N1215" s="62" t="e">
        <f>+Table8[[#This Row],[SalesBot]]*Table8[[#This Row],[Bonus]]</f>
        <v>#N/A</v>
      </c>
    </row>
    <row r="1216" spans="1:14" ht="23.25" customHeight="1" x14ac:dyDescent="0.25">
      <c r="A1216" s="59">
        <f t="shared" si="119"/>
        <v>1900</v>
      </c>
      <c r="B1216" s="59">
        <f t="shared" si="120"/>
        <v>1</v>
      </c>
      <c r="C1216" s="60"/>
      <c r="D1216" s="61"/>
      <c r="F1216" s="23" t="e">
        <f>VLOOKUP(E1216,Customers[],2,FALSE)</f>
        <v>#N/A</v>
      </c>
      <c r="G1216" s="23" t="e">
        <f>VLOOKUP(E1216,Customers[],3,FALSE)</f>
        <v>#N/A</v>
      </c>
      <c r="H1216" s="23" t="e">
        <f>VLOOKUP(E1216,Customers[],4,FALSE)</f>
        <v>#N/A</v>
      </c>
      <c r="J1216" s="29" t="e">
        <f>VLOOKUP(I1216,PGStock[],2,FALSE)</f>
        <v>#N/A</v>
      </c>
      <c r="K1216" s="30" t="e">
        <f>VLOOKUP(I1216,PGStock[],3,FALSE)</f>
        <v>#N/A</v>
      </c>
      <c r="M1216" s="62" t="e">
        <f>VLOOKUP(I1216,PGStock[],6,FALSE)</f>
        <v>#N/A</v>
      </c>
      <c r="N1216" s="62" t="e">
        <f>+Table8[[#This Row],[SalesBot]]*Table8[[#This Row],[Bonus]]</f>
        <v>#N/A</v>
      </c>
    </row>
    <row r="1217" spans="1:14" ht="23.25" customHeight="1" x14ac:dyDescent="0.25">
      <c r="A1217" s="59">
        <f t="shared" si="119"/>
        <v>1900</v>
      </c>
      <c r="B1217" s="59">
        <f t="shared" si="120"/>
        <v>1</v>
      </c>
      <c r="C1217" s="60"/>
      <c r="D1217" s="61"/>
      <c r="F1217" s="23" t="e">
        <f>VLOOKUP(E1217,Customers[],2,FALSE)</f>
        <v>#N/A</v>
      </c>
      <c r="G1217" s="23" t="e">
        <f>VLOOKUP(E1217,Customers[],3,FALSE)</f>
        <v>#N/A</v>
      </c>
      <c r="H1217" s="23" t="e">
        <f>VLOOKUP(E1217,Customers[],4,FALSE)</f>
        <v>#N/A</v>
      </c>
      <c r="J1217" s="29" t="e">
        <f>VLOOKUP(I1217,PGStock[],2,FALSE)</f>
        <v>#N/A</v>
      </c>
      <c r="K1217" s="30" t="e">
        <f>VLOOKUP(I1217,PGStock[],3,FALSE)</f>
        <v>#N/A</v>
      </c>
      <c r="M1217" s="62" t="e">
        <f>VLOOKUP(I1217,PGStock[],6,FALSE)</f>
        <v>#N/A</v>
      </c>
      <c r="N1217" s="62" t="e">
        <f>+Table8[[#This Row],[SalesBot]]*Table8[[#This Row],[Bonus]]</f>
        <v>#N/A</v>
      </c>
    </row>
    <row r="1218" spans="1:14" ht="23.25" customHeight="1" x14ac:dyDescent="0.25">
      <c r="A1218" s="59">
        <f t="shared" si="119"/>
        <v>1900</v>
      </c>
      <c r="B1218" s="59">
        <f t="shared" si="120"/>
        <v>1</v>
      </c>
      <c r="C1218" s="60"/>
      <c r="D1218" s="61"/>
      <c r="F1218" s="23" t="e">
        <f>VLOOKUP(E1218,Customers[],2,FALSE)</f>
        <v>#N/A</v>
      </c>
      <c r="G1218" s="23" t="e">
        <f>VLOOKUP(E1218,Customers[],3,FALSE)</f>
        <v>#N/A</v>
      </c>
      <c r="H1218" s="23" t="e">
        <f>VLOOKUP(E1218,Customers[],4,FALSE)</f>
        <v>#N/A</v>
      </c>
      <c r="J1218" s="29" t="e">
        <f>VLOOKUP(I1218,PGStock[],2,FALSE)</f>
        <v>#N/A</v>
      </c>
      <c r="K1218" s="30" t="e">
        <f>VLOOKUP(I1218,PGStock[],3,FALSE)</f>
        <v>#N/A</v>
      </c>
      <c r="M1218" s="62" t="e">
        <f>VLOOKUP(I1218,PGStock[],6,FALSE)</f>
        <v>#N/A</v>
      </c>
      <c r="N1218" s="62" t="e">
        <f>+Table8[[#This Row],[SalesBot]]*Table8[[#This Row],[Bonus]]</f>
        <v>#N/A</v>
      </c>
    </row>
    <row r="1219" spans="1:14" ht="23.25" customHeight="1" x14ac:dyDescent="0.25">
      <c r="A1219" s="59">
        <f t="shared" si="119"/>
        <v>1900</v>
      </c>
      <c r="B1219" s="59">
        <f t="shared" si="120"/>
        <v>1</v>
      </c>
      <c r="C1219" s="60"/>
      <c r="D1219" s="61"/>
      <c r="F1219" s="23" t="e">
        <f>VLOOKUP(E1219,Customers[],2,FALSE)</f>
        <v>#N/A</v>
      </c>
      <c r="G1219" s="23" t="e">
        <f>VLOOKUP(E1219,Customers[],3,FALSE)</f>
        <v>#N/A</v>
      </c>
      <c r="H1219" s="23" t="e">
        <f>VLOOKUP(E1219,Customers[],4,FALSE)</f>
        <v>#N/A</v>
      </c>
      <c r="J1219" s="29" t="e">
        <f>VLOOKUP(I1219,PGStock[],2,FALSE)</f>
        <v>#N/A</v>
      </c>
      <c r="K1219" s="30" t="e">
        <f>VLOOKUP(I1219,PGStock[],3,FALSE)</f>
        <v>#N/A</v>
      </c>
      <c r="M1219" s="62" t="e">
        <f>VLOOKUP(I1219,PGStock[],6,FALSE)</f>
        <v>#N/A</v>
      </c>
      <c r="N1219" s="62" t="e">
        <f>+Table8[[#This Row],[SalesBot]]*Table8[[#This Row],[Bonus]]</f>
        <v>#N/A</v>
      </c>
    </row>
    <row r="1220" spans="1:14" ht="23.25" customHeight="1" x14ac:dyDescent="0.25">
      <c r="A1220" s="59">
        <f t="shared" si="119"/>
        <v>1900</v>
      </c>
      <c r="B1220" s="59">
        <f t="shared" si="120"/>
        <v>1</v>
      </c>
      <c r="C1220" s="60"/>
      <c r="D1220" s="61"/>
      <c r="F1220" s="23" t="e">
        <f>VLOOKUP(E1220,Customers[],2,FALSE)</f>
        <v>#N/A</v>
      </c>
      <c r="G1220" s="23" t="e">
        <f>VLOOKUP(E1220,Customers[],3,FALSE)</f>
        <v>#N/A</v>
      </c>
      <c r="H1220" s="23" t="e">
        <f>VLOOKUP(E1220,Customers[],4,FALSE)</f>
        <v>#N/A</v>
      </c>
      <c r="J1220" s="29" t="e">
        <f>VLOOKUP(I1220,PGStock[],2,FALSE)</f>
        <v>#N/A</v>
      </c>
      <c r="K1220" s="30" t="e">
        <f>VLOOKUP(I1220,PGStock[],3,FALSE)</f>
        <v>#N/A</v>
      </c>
      <c r="M1220" s="62" t="e">
        <f>VLOOKUP(I1220,PGStock[],6,FALSE)</f>
        <v>#N/A</v>
      </c>
      <c r="N1220" s="62" t="e">
        <f>+Table8[[#This Row],[SalesBot]]*Table8[[#This Row],[Bonus]]</f>
        <v>#N/A</v>
      </c>
    </row>
    <row r="1221" spans="1:14" ht="23.25" customHeight="1" x14ac:dyDescent="0.25">
      <c r="A1221" s="59">
        <f t="shared" si="119"/>
        <v>1900</v>
      </c>
      <c r="B1221" s="59">
        <f t="shared" si="120"/>
        <v>1</v>
      </c>
      <c r="C1221" s="60"/>
      <c r="D1221" s="61"/>
      <c r="F1221" s="23" t="e">
        <f>VLOOKUP(E1221,Customers[],2,FALSE)</f>
        <v>#N/A</v>
      </c>
      <c r="G1221" s="23" t="e">
        <f>VLOOKUP(E1221,Customers[],3,FALSE)</f>
        <v>#N/A</v>
      </c>
      <c r="H1221" s="23" t="e">
        <f>VLOOKUP(E1221,Customers[],4,FALSE)</f>
        <v>#N/A</v>
      </c>
      <c r="J1221" s="29" t="e">
        <f>VLOOKUP(I1221,PGStock[],2,FALSE)</f>
        <v>#N/A</v>
      </c>
      <c r="K1221" s="30" t="e">
        <f>VLOOKUP(I1221,PGStock[],3,FALSE)</f>
        <v>#N/A</v>
      </c>
      <c r="M1221" s="62" t="e">
        <f>VLOOKUP(I1221,PGStock[],6,FALSE)</f>
        <v>#N/A</v>
      </c>
      <c r="N1221" s="62" t="e">
        <f>+Table8[[#This Row],[SalesBot]]*Table8[[#This Row],[Bonus]]</f>
        <v>#N/A</v>
      </c>
    </row>
    <row r="1222" spans="1:14" ht="23.25" customHeight="1" x14ac:dyDescent="0.25">
      <c r="A1222" s="59">
        <f t="shared" si="119"/>
        <v>1900</v>
      </c>
      <c r="B1222" s="59">
        <f t="shared" si="120"/>
        <v>1</v>
      </c>
      <c r="C1222" s="60"/>
      <c r="D1222" s="61"/>
      <c r="F1222" s="23" t="e">
        <f>VLOOKUP(E1222,Customers[],2,FALSE)</f>
        <v>#N/A</v>
      </c>
      <c r="G1222" s="23" t="e">
        <f>VLOOKUP(E1222,Customers[],3,FALSE)</f>
        <v>#N/A</v>
      </c>
      <c r="H1222" s="23" t="e">
        <f>VLOOKUP(E1222,Customers[],4,FALSE)</f>
        <v>#N/A</v>
      </c>
      <c r="J1222" s="29" t="e">
        <f>VLOOKUP(I1222,PGStock[],2,FALSE)</f>
        <v>#N/A</v>
      </c>
      <c r="K1222" s="30" t="e">
        <f>VLOOKUP(I1222,PGStock[],3,FALSE)</f>
        <v>#N/A</v>
      </c>
      <c r="M1222" s="62" t="e">
        <f>VLOOKUP(I1222,PGStock[],6,FALSE)</f>
        <v>#N/A</v>
      </c>
      <c r="N1222" s="62" t="e">
        <f>+Table8[[#This Row],[SalesBot]]*Table8[[#This Row],[Bonus]]</f>
        <v>#N/A</v>
      </c>
    </row>
    <row r="1223" spans="1:14" ht="23.25" customHeight="1" x14ac:dyDescent="0.25">
      <c r="A1223" s="59">
        <f t="shared" si="119"/>
        <v>1900</v>
      </c>
      <c r="B1223" s="59">
        <f t="shared" si="120"/>
        <v>1</v>
      </c>
      <c r="C1223" s="60"/>
      <c r="D1223" s="61"/>
      <c r="F1223" s="23" t="e">
        <f>VLOOKUP(E1223,Customers[],2,FALSE)</f>
        <v>#N/A</v>
      </c>
      <c r="G1223" s="23" t="e">
        <f>VLOOKUP(E1223,Customers[],3,FALSE)</f>
        <v>#N/A</v>
      </c>
      <c r="H1223" s="23" t="e">
        <f>VLOOKUP(E1223,Customers[],4,FALSE)</f>
        <v>#N/A</v>
      </c>
      <c r="J1223" s="29" t="e">
        <f>VLOOKUP(I1223,PGStock[],2,FALSE)</f>
        <v>#N/A</v>
      </c>
      <c r="K1223" s="30" t="e">
        <f>VLOOKUP(I1223,PGStock[],3,FALSE)</f>
        <v>#N/A</v>
      </c>
      <c r="M1223" s="62" t="e">
        <f>VLOOKUP(I1223,PGStock[],6,FALSE)</f>
        <v>#N/A</v>
      </c>
      <c r="N1223" s="62" t="e">
        <f>+Table8[[#This Row],[SalesBot]]*Table8[[#This Row],[Bonus]]</f>
        <v>#N/A</v>
      </c>
    </row>
    <row r="1224" spans="1:14" ht="23.25" customHeight="1" x14ac:dyDescent="0.25">
      <c r="A1224" s="59">
        <f t="shared" si="119"/>
        <v>1900</v>
      </c>
      <c r="B1224" s="59">
        <f t="shared" si="120"/>
        <v>1</v>
      </c>
      <c r="C1224" s="60"/>
      <c r="D1224" s="61"/>
      <c r="F1224" s="23" t="e">
        <f>VLOOKUP(E1224,Customers[],2,FALSE)</f>
        <v>#N/A</v>
      </c>
      <c r="G1224" s="23" t="e">
        <f>VLOOKUP(E1224,Customers[],3,FALSE)</f>
        <v>#N/A</v>
      </c>
      <c r="H1224" s="23" t="e">
        <f>VLOOKUP(E1224,Customers[],4,FALSE)</f>
        <v>#N/A</v>
      </c>
      <c r="J1224" s="29" t="e">
        <f>VLOOKUP(I1224,PGStock[],2,FALSE)</f>
        <v>#N/A</v>
      </c>
      <c r="K1224" s="30" t="e">
        <f>VLOOKUP(I1224,PGStock[],3,FALSE)</f>
        <v>#N/A</v>
      </c>
      <c r="M1224" s="62" t="e">
        <f>VLOOKUP(I1224,PGStock[],6,FALSE)</f>
        <v>#N/A</v>
      </c>
      <c r="N1224" s="62" t="e">
        <f>+Table8[[#This Row],[SalesBot]]*Table8[[#This Row],[Bonus]]</f>
        <v>#N/A</v>
      </c>
    </row>
    <row r="1225" spans="1:14" ht="23.25" customHeight="1" x14ac:dyDescent="0.25">
      <c r="A1225" s="59">
        <f t="shared" si="119"/>
        <v>1900</v>
      </c>
      <c r="B1225" s="59">
        <f t="shared" si="120"/>
        <v>1</v>
      </c>
      <c r="C1225" s="60"/>
      <c r="D1225" s="61"/>
      <c r="F1225" s="23" t="e">
        <f>VLOOKUP(E1225,Customers[],2,FALSE)</f>
        <v>#N/A</v>
      </c>
      <c r="G1225" s="23" t="e">
        <f>VLOOKUP(E1225,Customers[],3,FALSE)</f>
        <v>#N/A</v>
      </c>
      <c r="H1225" s="23" t="e">
        <f>VLOOKUP(E1225,Customers[],4,FALSE)</f>
        <v>#N/A</v>
      </c>
      <c r="J1225" s="29" t="e">
        <f>VLOOKUP(I1225,PGStock[],2,FALSE)</f>
        <v>#N/A</v>
      </c>
      <c r="K1225" s="30" t="e">
        <f>VLOOKUP(I1225,PGStock[],3,FALSE)</f>
        <v>#N/A</v>
      </c>
      <c r="M1225" s="62" t="e">
        <f>VLOOKUP(I1225,PGStock[],6,FALSE)</f>
        <v>#N/A</v>
      </c>
      <c r="N1225" s="62" t="e">
        <f>+Table8[[#This Row],[SalesBot]]*Table8[[#This Row],[Bonus]]</f>
        <v>#N/A</v>
      </c>
    </row>
    <row r="1226" spans="1:14" ht="23.25" customHeight="1" x14ac:dyDescent="0.25">
      <c r="A1226" s="59">
        <f t="shared" si="119"/>
        <v>1900</v>
      </c>
      <c r="B1226" s="59">
        <f t="shared" si="120"/>
        <v>1</v>
      </c>
      <c r="C1226" s="60"/>
      <c r="D1226" s="61"/>
      <c r="F1226" s="23" t="e">
        <f>VLOOKUP(E1226,Customers[],2,FALSE)</f>
        <v>#N/A</v>
      </c>
      <c r="G1226" s="23" t="e">
        <f>VLOOKUP(E1226,Customers[],3,FALSE)</f>
        <v>#N/A</v>
      </c>
      <c r="H1226" s="23" t="e">
        <f>VLOOKUP(E1226,Customers[],4,FALSE)</f>
        <v>#N/A</v>
      </c>
      <c r="J1226" s="29" t="e">
        <f>VLOOKUP(I1226,PGStock[],2,FALSE)</f>
        <v>#N/A</v>
      </c>
      <c r="K1226" s="30" t="e">
        <f>VLOOKUP(I1226,PGStock[],3,FALSE)</f>
        <v>#N/A</v>
      </c>
      <c r="M1226" s="62" t="e">
        <f>VLOOKUP(I1226,PGStock[],6,FALSE)</f>
        <v>#N/A</v>
      </c>
      <c r="N1226" s="62" t="e">
        <f>+Table8[[#This Row],[SalesBot]]*Table8[[#This Row],[Bonus]]</f>
        <v>#N/A</v>
      </c>
    </row>
    <row r="1227" spans="1:14" ht="23.25" customHeight="1" x14ac:dyDescent="0.25">
      <c r="A1227" s="59">
        <f t="shared" si="119"/>
        <v>1900</v>
      </c>
      <c r="B1227" s="59">
        <f t="shared" si="120"/>
        <v>1</v>
      </c>
      <c r="C1227" s="60"/>
      <c r="D1227" s="61"/>
      <c r="F1227" s="23" t="e">
        <f>VLOOKUP(E1227,Customers[],2,FALSE)</f>
        <v>#N/A</v>
      </c>
      <c r="G1227" s="23" t="e">
        <f>VLOOKUP(E1227,Customers[],3,FALSE)</f>
        <v>#N/A</v>
      </c>
      <c r="H1227" s="23" t="e">
        <f>VLOOKUP(E1227,Customers[],4,FALSE)</f>
        <v>#N/A</v>
      </c>
      <c r="J1227" s="29" t="e">
        <f>VLOOKUP(I1227,PGStock[],2,FALSE)</f>
        <v>#N/A</v>
      </c>
      <c r="K1227" s="30" t="e">
        <f>VLOOKUP(I1227,PGStock[],3,FALSE)</f>
        <v>#N/A</v>
      </c>
      <c r="M1227" s="62" t="e">
        <f>VLOOKUP(I1227,PGStock[],6,FALSE)</f>
        <v>#N/A</v>
      </c>
      <c r="N1227" s="62" t="e">
        <f>+Table8[[#This Row],[SalesBot]]*Table8[[#This Row],[Bonus]]</f>
        <v>#N/A</v>
      </c>
    </row>
    <row r="1228" spans="1:14" ht="23.25" customHeight="1" x14ac:dyDescent="0.25">
      <c r="A1228" s="59">
        <f t="shared" si="119"/>
        <v>1900</v>
      </c>
      <c r="B1228" s="59">
        <f t="shared" si="120"/>
        <v>1</v>
      </c>
      <c r="C1228" s="60"/>
      <c r="D1228" s="61"/>
      <c r="F1228" s="23" t="e">
        <f>VLOOKUP(E1228,Customers[],2,FALSE)</f>
        <v>#N/A</v>
      </c>
      <c r="G1228" s="23" t="e">
        <f>VLOOKUP(E1228,Customers[],3,FALSE)</f>
        <v>#N/A</v>
      </c>
      <c r="H1228" s="23" t="e">
        <f>VLOOKUP(E1228,Customers[],4,FALSE)</f>
        <v>#N/A</v>
      </c>
      <c r="J1228" s="29" t="e">
        <f>VLOOKUP(I1228,PGStock[],2,FALSE)</f>
        <v>#N/A</v>
      </c>
      <c r="K1228" s="30" t="e">
        <f>VLOOKUP(I1228,PGStock[],3,FALSE)</f>
        <v>#N/A</v>
      </c>
      <c r="M1228" s="62" t="e">
        <f>VLOOKUP(I1228,PGStock[],6,FALSE)</f>
        <v>#N/A</v>
      </c>
      <c r="N1228" s="62" t="e">
        <f>+Table8[[#This Row],[SalesBot]]*Table8[[#This Row],[Bonus]]</f>
        <v>#N/A</v>
      </c>
    </row>
    <row r="1229" spans="1:14" ht="23.25" customHeight="1" x14ac:dyDescent="0.25">
      <c r="A1229" s="59">
        <f t="shared" si="119"/>
        <v>1900</v>
      </c>
      <c r="B1229" s="59">
        <f t="shared" si="120"/>
        <v>1</v>
      </c>
      <c r="C1229" s="60"/>
      <c r="D1229" s="61"/>
      <c r="F1229" s="23" t="e">
        <f>VLOOKUP(E1229,Customers[],2,FALSE)</f>
        <v>#N/A</v>
      </c>
      <c r="G1229" s="23" t="e">
        <f>VLOOKUP(E1229,Customers[],3,FALSE)</f>
        <v>#N/A</v>
      </c>
      <c r="H1229" s="23" t="e">
        <f>VLOOKUP(E1229,Customers[],4,FALSE)</f>
        <v>#N/A</v>
      </c>
      <c r="J1229" s="29" t="e">
        <f>VLOOKUP(I1229,PGStock[],2,FALSE)</f>
        <v>#N/A</v>
      </c>
      <c r="K1229" s="30" t="e">
        <f>VLOOKUP(I1229,PGStock[],3,FALSE)</f>
        <v>#N/A</v>
      </c>
      <c r="M1229" s="62" t="e">
        <f>VLOOKUP(I1229,PGStock[],6,FALSE)</f>
        <v>#N/A</v>
      </c>
      <c r="N1229" s="62" t="e">
        <f>+Table8[[#This Row],[SalesBot]]*Table8[[#This Row],[Bonus]]</f>
        <v>#N/A</v>
      </c>
    </row>
    <row r="1230" spans="1:14" ht="23.25" customHeight="1" x14ac:dyDescent="0.25">
      <c r="A1230" s="59">
        <f t="shared" si="119"/>
        <v>1900</v>
      </c>
      <c r="B1230" s="59">
        <f t="shared" si="120"/>
        <v>1</v>
      </c>
      <c r="C1230" s="60"/>
      <c r="D1230" s="61"/>
      <c r="F1230" s="23" t="e">
        <f>VLOOKUP(E1230,Customers[],2,FALSE)</f>
        <v>#N/A</v>
      </c>
      <c r="G1230" s="23" t="e">
        <f>VLOOKUP(E1230,Customers[],3,FALSE)</f>
        <v>#N/A</v>
      </c>
      <c r="H1230" s="23" t="e">
        <f>VLOOKUP(E1230,Customers[],4,FALSE)</f>
        <v>#N/A</v>
      </c>
      <c r="J1230" s="29" t="e">
        <f>VLOOKUP(I1230,PGStock[],2,FALSE)</f>
        <v>#N/A</v>
      </c>
      <c r="K1230" s="30" t="e">
        <f>VLOOKUP(I1230,PGStock[],3,FALSE)</f>
        <v>#N/A</v>
      </c>
      <c r="M1230" s="62" t="e">
        <f>VLOOKUP(I1230,PGStock[],6,FALSE)</f>
        <v>#N/A</v>
      </c>
      <c r="N1230" s="62" t="e">
        <f>+Table8[[#This Row],[SalesBot]]*Table8[[#This Row],[Bonus]]</f>
        <v>#N/A</v>
      </c>
    </row>
    <row r="1231" spans="1:14" ht="23.25" customHeight="1" x14ac:dyDescent="0.25">
      <c r="A1231" s="59">
        <f t="shared" si="119"/>
        <v>1900</v>
      </c>
      <c r="B1231" s="59">
        <f t="shared" si="120"/>
        <v>1</v>
      </c>
      <c r="C1231" s="60"/>
      <c r="D1231" s="61"/>
      <c r="F1231" s="23" t="e">
        <f>VLOOKUP(E1231,Customers[],2,FALSE)</f>
        <v>#N/A</v>
      </c>
      <c r="G1231" s="23" t="e">
        <f>VLOOKUP(E1231,Customers[],3,FALSE)</f>
        <v>#N/A</v>
      </c>
      <c r="H1231" s="23" t="e">
        <f>VLOOKUP(E1231,Customers[],4,FALSE)</f>
        <v>#N/A</v>
      </c>
      <c r="J1231" s="29" t="e">
        <f>VLOOKUP(I1231,PGStock[],2,FALSE)</f>
        <v>#N/A</v>
      </c>
      <c r="K1231" s="30" t="e">
        <f>VLOOKUP(I1231,PGStock[],3,FALSE)</f>
        <v>#N/A</v>
      </c>
      <c r="M1231" s="62" t="e">
        <f>VLOOKUP(I1231,PGStock[],6,FALSE)</f>
        <v>#N/A</v>
      </c>
      <c r="N1231" s="62" t="e">
        <f>+Table8[[#This Row],[SalesBot]]*Table8[[#This Row],[Bonus]]</f>
        <v>#N/A</v>
      </c>
    </row>
    <row r="1232" spans="1:14" ht="23.25" customHeight="1" x14ac:dyDescent="0.25">
      <c r="A1232" s="59">
        <f t="shared" si="119"/>
        <v>1900</v>
      </c>
      <c r="B1232" s="59">
        <f t="shared" si="120"/>
        <v>1</v>
      </c>
      <c r="C1232" s="60"/>
      <c r="D1232" s="61"/>
      <c r="F1232" s="23" t="e">
        <f>VLOOKUP(E1232,Customers[],2,FALSE)</f>
        <v>#N/A</v>
      </c>
      <c r="G1232" s="23" t="e">
        <f>VLOOKUP(E1232,Customers[],3,FALSE)</f>
        <v>#N/A</v>
      </c>
      <c r="H1232" s="23" t="e">
        <f>VLOOKUP(E1232,Customers[],4,FALSE)</f>
        <v>#N/A</v>
      </c>
      <c r="J1232" s="29" t="e">
        <f>VLOOKUP(I1232,PGStock[],2,FALSE)</f>
        <v>#N/A</v>
      </c>
      <c r="K1232" s="30" t="e">
        <f>VLOOKUP(I1232,PGStock[],3,FALSE)</f>
        <v>#N/A</v>
      </c>
      <c r="M1232" s="62" t="e">
        <f>VLOOKUP(I1232,PGStock[],6,FALSE)</f>
        <v>#N/A</v>
      </c>
      <c r="N1232" s="62" t="e">
        <f>+Table8[[#This Row],[SalesBot]]*Table8[[#This Row],[Bonus]]</f>
        <v>#N/A</v>
      </c>
    </row>
    <row r="1233" spans="1:14" ht="23.25" customHeight="1" x14ac:dyDescent="0.25">
      <c r="A1233" s="59">
        <f t="shared" si="119"/>
        <v>1900</v>
      </c>
      <c r="B1233" s="59">
        <f t="shared" si="120"/>
        <v>1</v>
      </c>
      <c r="C1233" s="60"/>
      <c r="D1233" s="61"/>
      <c r="F1233" s="23" t="e">
        <f>VLOOKUP(E1233,Customers[],2,FALSE)</f>
        <v>#N/A</v>
      </c>
      <c r="G1233" s="23" t="e">
        <f>VLOOKUP(E1233,Customers[],3,FALSE)</f>
        <v>#N/A</v>
      </c>
      <c r="H1233" s="23" t="e">
        <f>VLOOKUP(E1233,Customers[],4,FALSE)</f>
        <v>#N/A</v>
      </c>
      <c r="J1233" s="29" t="e">
        <f>VLOOKUP(I1233,PGStock[],2,FALSE)</f>
        <v>#N/A</v>
      </c>
      <c r="K1233" s="30" t="e">
        <f>VLOOKUP(I1233,PGStock[],3,FALSE)</f>
        <v>#N/A</v>
      </c>
      <c r="M1233" s="62" t="e">
        <f>VLOOKUP(I1233,PGStock[],6,FALSE)</f>
        <v>#N/A</v>
      </c>
      <c r="N1233" s="62" t="e">
        <f>+Table8[[#This Row],[SalesBot]]*Table8[[#This Row],[Bonus]]</f>
        <v>#N/A</v>
      </c>
    </row>
    <row r="1234" spans="1:14" ht="23.25" customHeight="1" x14ac:dyDescent="0.25">
      <c r="A1234" s="59">
        <f t="shared" si="119"/>
        <v>1900</v>
      </c>
      <c r="B1234" s="59">
        <f t="shared" si="120"/>
        <v>1</v>
      </c>
      <c r="C1234" s="60"/>
      <c r="D1234" s="61"/>
      <c r="F1234" s="23" t="e">
        <f>VLOOKUP(E1234,Customers[],2,FALSE)</f>
        <v>#N/A</v>
      </c>
      <c r="G1234" s="23" t="e">
        <f>VLOOKUP(E1234,Customers[],3,FALSE)</f>
        <v>#N/A</v>
      </c>
      <c r="H1234" s="23" t="e">
        <f>VLOOKUP(E1234,Customers[],4,FALSE)</f>
        <v>#N/A</v>
      </c>
      <c r="J1234" s="29" t="e">
        <f>VLOOKUP(I1234,PGStock[],2,FALSE)</f>
        <v>#N/A</v>
      </c>
      <c r="K1234" s="30" t="e">
        <f>VLOOKUP(I1234,PGStock[],3,FALSE)</f>
        <v>#N/A</v>
      </c>
      <c r="M1234" s="62" t="e">
        <f>VLOOKUP(I1234,PGStock[],6,FALSE)</f>
        <v>#N/A</v>
      </c>
      <c r="N1234" s="62" t="e">
        <f>+Table8[[#This Row],[SalesBot]]*Table8[[#This Row],[Bonus]]</f>
        <v>#N/A</v>
      </c>
    </row>
    <row r="1235" spans="1:14" ht="23.25" customHeight="1" x14ac:dyDescent="0.25">
      <c r="A1235" s="59">
        <f t="shared" si="119"/>
        <v>1900</v>
      </c>
      <c r="B1235" s="59">
        <f t="shared" si="120"/>
        <v>1</v>
      </c>
      <c r="C1235" s="60"/>
      <c r="D1235" s="61"/>
      <c r="F1235" s="23" t="e">
        <f>VLOOKUP(E1235,Customers[],2,FALSE)</f>
        <v>#N/A</v>
      </c>
      <c r="G1235" s="23" t="e">
        <f>VLOOKUP(E1235,Customers[],3,FALSE)</f>
        <v>#N/A</v>
      </c>
      <c r="H1235" s="23" t="e">
        <f>VLOOKUP(E1235,Customers[],4,FALSE)</f>
        <v>#N/A</v>
      </c>
      <c r="J1235" s="29" t="e">
        <f>VLOOKUP(I1235,PGStock[],2,FALSE)</f>
        <v>#N/A</v>
      </c>
      <c r="K1235" s="30" t="e">
        <f>VLOOKUP(I1235,PGStock[],3,FALSE)</f>
        <v>#N/A</v>
      </c>
      <c r="M1235" s="62" t="e">
        <f>VLOOKUP(I1235,PGStock[],6,FALSE)</f>
        <v>#N/A</v>
      </c>
      <c r="N1235" s="62" t="e">
        <f>+Table8[[#This Row],[SalesBot]]*Table8[[#This Row],[Bonus]]</f>
        <v>#N/A</v>
      </c>
    </row>
    <row r="1236" spans="1:14" ht="23.25" customHeight="1" x14ac:dyDescent="0.25">
      <c r="A1236" s="59">
        <f t="shared" ref="A1236:A1455" si="121">YEAR(C1236)</f>
        <v>1900</v>
      </c>
      <c r="B1236" s="59">
        <f t="shared" ref="B1236:B1455" si="122">MONTH(C1236)</f>
        <v>1</v>
      </c>
      <c r="C1236" s="60"/>
      <c r="D1236" s="61"/>
      <c r="F1236" s="23" t="e">
        <f>VLOOKUP(E1236,Customers[],2,FALSE)</f>
        <v>#N/A</v>
      </c>
      <c r="G1236" s="23" t="e">
        <f>VLOOKUP(E1236,Customers[],3,FALSE)</f>
        <v>#N/A</v>
      </c>
      <c r="H1236" s="23" t="e">
        <f>VLOOKUP(E1236,Customers[],4,FALSE)</f>
        <v>#N/A</v>
      </c>
      <c r="J1236" s="29" t="e">
        <f>VLOOKUP(I1236,PGStock[],2,FALSE)</f>
        <v>#N/A</v>
      </c>
      <c r="K1236" s="30" t="e">
        <f>VLOOKUP(I1236,PGStock[],3,FALSE)</f>
        <v>#N/A</v>
      </c>
      <c r="M1236" s="62" t="e">
        <f>VLOOKUP(I1236,PGStock[],6,FALSE)</f>
        <v>#N/A</v>
      </c>
      <c r="N1236" s="62" t="e">
        <f>+Table8[[#This Row],[SalesBot]]*Table8[[#This Row],[Bonus]]</f>
        <v>#N/A</v>
      </c>
    </row>
    <row r="1237" spans="1:14" ht="23.25" customHeight="1" x14ac:dyDescent="0.25">
      <c r="A1237" s="59">
        <f t="shared" si="121"/>
        <v>1900</v>
      </c>
      <c r="B1237" s="59">
        <f t="shared" si="122"/>
        <v>1</v>
      </c>
      <c r="C1237" s="60"/>
      <c r="D1237" s="61"/>
      <c r="F1237" s="23" t="e">
        <f>VLOOKUP(E1237,Customers[],2,FALSE)</f>
        <v>#N/A</v>
      </c>
      <c r="G1237" s="23" t="e">
        <f>VLOOKUP(E1237,Customers[],3,FALSE)</f>
        <v>#N/A</v>
      </c>
      <c r="H1237" s="23" t="e">
        <f>VLOOKUP(E1237,Customers[],4,FALSE)</f>
        <v>#N/A</v>
      </c>
      <c r="J1237" s="29" t="e">
        <f>VLOOKUP(I1237,PGStock[],2,FALSE)</f>
        <v>#N/A</v>
      </c>
      <c r="K1237" s="30" t="e">
        <f>VLOOKUP(I1237,PGStock[],3,FALSE)</f>
        <v>#N/A</v>
      </c>
      <c r="M1237" s="62" t="e">
        <f>VLOOKUP(I1237,PGStock[],6,FALSE)</f>
        <v>#N/A</v>
      </c>
      <c r="N1237" s="62" t="e">
        <f>+Table8[[#This Row],[SalesBot]]*Table8[[#This Row],[Bonus]]</f>
        <v>#N/A</v>
      </c>
    </row>
    <row r="1238" spans="1:14" ht="23.25" customHeight="1" x14ac:dyDescent="0.25">
      <c r="A1238" s="59">
        <f t="shared" si="121"/>
        <v>1900</v>
      </c>
      <c r="B1238" s="59">
        <f t="shared" si="122"/>
        <v>1</v>
      </c>
      <c r="C1238" s="60"/>
      <c r="D1238" s="61"/>
      <c r="F1238" s="23" t="e">
        <f>VLOOKUP(E1238,Customers[],2,FALSE)</f>
        <v>#N/A</v>
      </c>
      <c r="G1238" s="23" t="e">
        <f>VLOOKUP(E1238,Customers[],3,FALSE)</f>
        <v>#N/A</v>
      </c>
      <c r="H1238" s="23" t="e">
        <f>VLOOKUP(E1238,Customers[],4,FALSE)</f>
        <v>#N/A</v>
      </c>
      <c r="J1238" s="29" t="e">
        <f>VLOOKUP(I1238,PGStock[],2,FALSE)</f>
        <v>#N/A</v>
      </c>
      <c r="K1238" s="30" t="e">
        <f>VLOOKUP(I1238,PGStock[],3,FALSE)</f>
        <v>#N/A</v>
      </c>
      <c r="M1238" s="62" t="e">
        <f>VLOOKUP(I1238,PGStock[],6,FALSE)</f>
        <v>#N/A</v>
      </c>
      <c r="N1238" s="62" t="e">
        <f>+Table8[[#This Row],[SalesBot]]*Table8[[#This Row],[Bonus]]</f>
        <v>#N/A</v>
      </c>
    </row>
    <row r="1239" spans="1:14" ht="23.25" customHeight="1" x14ac:dyDescent="0.25">
      <c r="A1239" s="59">
        <f t="shared" si="121"/>
        <v>1900</v>
      </c>
      <c r="B1239" s="59">
        <f>MONTH(C1239)</f>
        <v>1</v>
      </c>
      <c r="C1239" s="60"/>
      <c r="D1239" s="61"/>
      <c r="F1239" s="23" t="e">
        <f>VLOOKUP(E1239,Customers[],2,FALSE)</f>
        <v>#N/A</v>
      </c>
      <c r="G1239" s="23" t="e">
        <f>VLOOKUP(E1239,Customers[],3,FALSE)</f>
        <v>#N/A</v>
      </c>
      <c r="H1239" s="23" t="e">
        <f>VLOOKUP(E1239,Customers[],4,FALSE)</f>
        <v>#N/A</v>
      </c>
      <c r="J1239" s="29" t="e">
        <f>VLOOKUP(I1239,PGStock[],2,FALSE)</f>
        <v>#N/A</v>
      </c>
      <c r="K1239" s="30" t="e">
        <f>VLOOKUP(I1239,PGStock[],3,FALSE)</f>
        <v>#N/A</v>
      </c>
      <c r="M1239" s="62" t="e">
        <f>VLOOKUP(I1239,PGStock[],6,FALSE)</f>
        <v>#N/A</v>
      </c>
      <c r="N1239" s="62" t="e">
        <f>+Table8[[#This Row],[SalesBot]]*Table8[[#This Row],[Bonus]]</f>
        <v>#N/A</v>
      </c>
    </row>
    <row r="1240" spans="1:14" ht="23.25" customHeight="1" x14ac:dyDescent="0.25">
      <c r="A1240" s="59">
        <f t="shared" si="121"/>
        <v>1900</v>
      </c>
      <c r="B1240" s="59">
        <f t="shared" si="122"/>
        <v>1</v>
      </c>
      <c r="C1240" s="60"/>
      <c r="D1240" s="61"/>
      <c r="F1240" s="23" t="e">
        <f>VLOOKUP(E1240,Customers[],2,FALSE)</f>
        <v>#N/A</v>
      </c>
      <c r="G1240" s="23" t="e">
        <f>VLOOKUP(E1240,Customers[],3,FALSE)</f>
        <v>#N/A</v>
      </c>
      <c r="H1240" s="23" t="e">
        <f>VLOOKUP(E1240,Customers[],4,FALSE)</f>
        <v>#N/A</v>
      </c>
      <c r="J1240" s="29" t="e">
        <f>VLOOKUP(I1240,PGStock[],2,FALSE)</f>
        <v>#N/A</v>
      </c>
      <c r="K1240" s="30" t="e">
        <f>VLOOKUP(I1240,PGStock[],3,FALSE)</f>
        <v>#N/A</v>
      </c>
      <c r="M1240" s="62" t="e">
        <f>VLOOKUP(I1240,PGStock[],6,FALSE)</f>
        <v>#N/A</v>
      </c>
      <c r="N1240" s="62" t="e">
        <f>+Table8[[#This Row],[SalesBot]]*Table8[[#This Row],[Bonus]]</f>
        <v>#N/A</v>
      </c>
    </row>
    <row r="1241" spans="1:14" ht="23.25" customHeight="1" x14ac:dyDescent="0.25">
      <c r="A1241" s="59">
        <f t="shared" si="121"/>
        <v>1900</v>
      </c>
      <c r="B1241" s="59">
        <f t="shared" si="122"/>
        <v>1</v>
      </c>
      <c r="C1241" s="60"/>
      <c r="D1241" s="61"/>
      <c r="F1241" s="23" t="e">
        <f>VLOOKUP(E1241,Customers[],2,FALSE)</f>
        <v>#N/A</v>
      </c>
      <c r="G1241" s="23" t="e">
        <f>VLOOKUP(E1241,Customers[],3,FALSE)</f>
        <v>#N/A</v>
      </c>
      <c r="H1241" s="23" t="e">
        <f>VLOOKUP(E1241,Customers[],4,FALSE)</f>
        <v>#N/A</v>
      </c>
      <c r="J1241" s="29" t="e">
        <f>VLOOKUP(I1241,PGStock[],2,FALSE)</f>
        <v>#N/A</v>
      </c>
      <c r="K1241" s="30" t="e">
        <f>VLOOKUP(I1241,PGStock[],3,FALSE)</f>
        <v>#N/A</v>
      </c>
      <c r="M1241" s="62" t="e">
        <f>VLOOKUP(I1241,PGStock[],6,FALSE)</f>
        <v>#N/A</v>
      </c>
      <c r="N1241" s="62" t="e">
        <f>+Table8[[#This Row],[SalesBot]]*Table8[[#This Row],[Bonus]]</f>
        <v>#N/A</v>
      </c>
    </row>
    <row r="1242" spans="1:14" ht="23.25" customHeight="1" x14ac:dyDescent="0.25">
      <c r="A1242" s="59">
        <f t="shared" si="121"/>
        <v>1900</v>
      </c>
      <c r="B1242" s="59">
        <f t="shared" si="122"/>
        <v>1</v>
      </c>
      <c r="C1242" s="60"/>
      <c r="D1242" s="61"/>
      <c r="F1242" s="23" t="e">
        <f>VLOOKUP(E1242,Customers[],2,FALSE)</f>
        <v>#N/A</v>
      </c>
      <c r="G1242" s="23" t="e">
        <f>VLOOKUP(E1242,Customers[],3,FALSE)</f>
        <v>#N/A</v>
      </c>
      <c r="H1242" s="23" t="e">
        <f>VLOOKUP(E1242,Customers[],4,FALSE)</f>
        <v>#N/A</v>
      </c>
      <c r="J1242" s="29" t="e">
        <f>VLOOKUP(I1242,PGStock[],2,FALSE)</f>
        <v>#N/A</v>
      </c>
      <c r="K1242" s="30" t="e">
        <f>VLOOKUP(I1242,PGStock[],3,FALSE)</f>
        <v>#N/A</v>
      </c>
      <c r="M1242" s="62" t="e">
        <f>VLOOKUP(I1242,PGStock[],6,FALSE)</f>
        <v>#N/A</v>
      </c>
      <c r="N1242" s="62" t="e">
        <f>+Table8[[#This Row],[SalesBot]]*Table8[[#This Row],[Bonus]]</f>
        <v>#N/A</v>
      </c>
    </row>
    <row r="1243" spans="1:14" ht="23.25" customHeight="1" x14ac:dyDescent="0.25">
      <c r="A1243" s="59">
        <f t="shared" si="121"/>
        <v>1900</v>
      </c>
      <c r="B1243" s="59">
        <f t="shared" si="122"/>
        <v>1</v>
      </c>
      <c r="C1243" s="60"/>
      <c r="D1243" s="61"/>
      <c r="F1243" s="23" t="e">
        <f>VLOOKUP(E1243,Customers[],2,FALSE)</f>
        <v>#N/A</v>
      </c>
      <c r="G1243" s="23" t="e">
        <f>VLOOKUP(E1243,Customers[],3,FALSE)</f>
        <v>#N/A</v>
      </c>
      <c r="H1243" s="23" t="e">
        <f>VLOOKUP(E1243,Customers[],4,FALSE)</f>
        <v>#N/A</v>
      </c>
      <c r="J1243" s="29" t="e">
        <f>VLOOKUP(I1243,PGStock[],2,FALSE)</f>
        <v>#N/A</v>
      </c>
      <c r="K1243" s="30" t="e">
        <f>VLOOKUP(I1243,PGStock[],3,FALSE)</f>
        <v>#N/A</v>
      </c>
      <c r="M1243" s="62" t="e">
        <f>VLOOKUP(I1243,PGStock[],6,FALSE)</f>
        <v>#N/A</v>
      </c>
      <c r="N1243" s="62" t="e">
        <f>+Table8[[#This Row],[SalesBot]]*Table8[[#This Row],[Bonus]]</f>
        <v>#N/A</v>
      </c>
    </row>
    <row r="1244" spans="1:14" ht="23.25" customHeight="1" x14ac:dyDescent="0.25">
      <c r="A1244" s="59">
        <f t="shared" si="121"/>
        <v>1900</v>
      </c>
      <c r="B1244" s="59">
        <f t="shared" si="122"/>
        <v>1</v>
      </c>
      <c r="C1244" s="60"/>
      <c r="D1244" s="61"/>
      <c r="F1244" s="23" t="e">
        <f>VLOOKUP(E1244,Customers[],2,FALSE)</f>
        <v>#N/A</v>
      </c>
      <c r="G1244" s="23" t="e">
        <f>VLOOKUP(E1244,Customers[],3,FALSE)</f>
        <v>#N/A</v>
      </c>
      <c r="H1244" s="23" t="e">
        <f>VLOOKUP(E1244,Customers[],4,FALSE)</f>
        <v>#N/A</v>
      </c>
      <c r="J1244" s="29" t="e">
        <f>VLOOKUP(I1244,PGStock[],2,FALSE)</f>
        <v>#N/A</v>
      </c>
      <c r="K1244" s="30" t="e">
        <f>VLOOKUP(I1244,PGStock[],3,FALSE)</f>
        <v>#N/A</v>
      </c>
      <c r="M1244" s="62" t="e">
        <f>VLOOKUP(I1244,PGStock[],6,FALSE)</f>
        <v>#N/A</v>
      </c>
      <c r="N1244" s="62" t="e">
        <f>+Table8[[#This Row],[SalesBot]]*Table8[[#This Row],[Bonus]]</f>
        <v>#N/A</v>
      </c>
    </row>
    <row r="1245" spans="1:14" ht="23.25" customHeight="1" x14ac:dyDescent="0.25">
      <c r="A1245" s="59">
        <f t="shared" si="121"/>
        <v>1900</v>
      </c>
      <c r="B1245" s="59">
        <f t="shared" si="122"/>
        <v>1</v>
      </c>
      <c r="C1245" s="60"/>
      <c r="D1245" s="61"/>
      <c r="F1245" s="23" t="e">
        <f>VLOOKUP(E1245,Customers[],2,FALSE)</f>
        <v>#N/A</v>
      </c>
      <c r="G1245" s="23" t="e">
        <f>VLOOKUP(E1245,Customers[],3,FALSE)</f>
        <v>#N/A</v>
      </c>
      <c r="H1245" s="23" t="e">
        <f>VLOOKUP(E1245,Customers[],4,FALSE)</f>
        <v>#N/A</v>
      </c>
      <c r="J1245" s="29" t="e">
        <f>VLOOKUP(I1245,PGStock[],2,FALSE)</f>
        <v>#N/A</v>
      </c>
      <c r="K1245" s="30" t="e">
        <f>VLOOKUP(I1245,PGStock[],3,FALSE)</f>
        <v>#N/A</v>
      </c>
      <c r="M1245" s="62" t="e">
        <f>VLOOKUP(I1245,PGStock[],6,FALSE)</f>
        <v>#N/A</v>
      </c>
      <c r="N1245" s="62" t="e">
        <f>+Table8[[#This Row],[SalesBot]]*Table8[[#This Row],[Bonus]]</f>
        <v>#N/A</v>
      </c>
    </row>
    <row r="1246" spans="1:14" ht="23.25" customHeight="1" x14ac:dyDescent="0.25">
      <c r="A1246" s="59">
        <f t="shared" si="121"/>
        <v>1900</v>
      </c>
      <c r="B1246" s="59">
        <f t="shared" si="122"/>
        <v>1</v>
      </c>
      <c r="C1246" s="60"/>
      <c r="D1246" s="61"/>
      <c r="F1246" s="23" t="e">
        <f>VLOOKUP(E1246,Customers[],2,FALSE)</f>
        <v>#N/A</v>
      </c>
      <c r="G1246" s="23" t="e">
        <f>VLOOKUP(E1246,Customers[],3,FALSE)</f>
        <v>#N/A</v>
      </c>
      <c r="H1246" s="23" t="e">
        <f>VLOOKUP(E1246,Customers[],4,FALSE)</f>
        <v>#N/A</v>
      </c>
      <c r="J1246" s="29" t="e">
        <f>VLOOKUP(I1246,PGStock[],2,FALSE)</f>
        <v>#N/A</v>
      </c>
      <c r="K1246" s="30" t="e">
        <f>VLOOKUP(I1246,PGStock[],3,FALSE)</f>
        <v>#N/A</v>
      </c>
      <c r="M1246" s="62" t="e">
        <f>VLOOKUP(I1246,PGStock[],6,FALSE)</f>
        <v>#N/A</v>
      </c>
      <c r="N1246" s="62" t="e">
        <f>+Table8[[#This Row],[SalesBot]]*Table8[[#This Row],[Bonus]]</f>
        <v>#N/A</v>
      </c>
    </row>
    <row r="1247" spans="1:14" ht="23.25" customHeight="1" x14ac:dyDescent="0.25">
      <c r="A1247" s="59">
        <f t="shared" si="121"/>
        <v>1900</v>
      </c>
      <c r="B1247" s="59">
        <f t="shared" si="122"/>
        <v>1</v>
      </c>
      <c r="C1247" s="60"/>
      <c r="D1247" s="61"/>
      <c r="F1247" s="23" t="e">
        <f>VLOOKUP(E1247,Customers[],2,FALSE)</f>
        <v>#N/A</v>
      </c>
      <c r="G1247" s="23" t="e">
        <f>VLOOKUP(E1247,Customers[],3,FALSE)</f>
        <v>#N/A</v>
      </c>
      <c r="H1247" s="23" t="e">
        <f>VLOOKUP(E1247,Customers[],4,FALSE)</f>
        <v>#N/A</v>
      </c>
      <c r="J1247" s="29" t="e">
        <f>VLOOKUP(I1247,PGStock[],2,FALSE)</f>
        <v>#N/A</v>
      </c>
      <c r="K1247" s="30" t="e">
        <f>VLOOKUP(I1247,PGStock[],3,FALSE)</f>
        <v>#N/A</v>
      </c>
      <c r="M1247" s="62" t="e">
        <f>VLOOKUP(I1247,PGStock[],6,FALSE)</f>
        <v>#N/A</v>
      </c>
      <c r="N1247" s="62" t="e">
        <f>+Table8[[#This Row],[SalesBot]]*Table8[[#This Row],[Bonus]]</f>
        <v>#N/A</v>
      </c>
    </row>
    <row r="1248" spans="1:14" ht="23.25" customHeight="1" x14ac:dyDescent="0.25">
      <c r="A1248" s="59">
        <f t="shared" si="121"/>
        <v>1900</v>
      </c>
      <c r="B1248" s="59">
        <f t="shared" si="122"/>
        <v>1</v>
      </c>
      <c r="C1248" s="60"/>
      <c r="D1248" s="61"/>
      <c r="F1248" s="23" t="e">
        <f>VLOOKUP(E1248,Customers[],2,FALSE)</f>
        <v>#N/A</v>
      </c>
      <c r="G1248" s="23" t="e">
        <f>VLOOKUP(E1248,Customers[],3,FALSE)</f>
        <v>#N/A</v>
      </c>
      <c r="H1248" s="23" t="e">
        <f>VLOOKUP(E1248,Customers[],4,FALSE)</f>
        <v>#N/A</v>
      </c>
      <c r="J1248" s="29" t="e">
        <f>VLOOKUP(I1248,PGStock[],2,FALSE)</f>
        <v>#N/A</v>
      </c>
      <c r="K1248" s="30" t="e">
        <f>VLOOKUP(I1248,PGStock[],3,FALSE)</f>
        <v>#N/A</v>
      </c>
      <c r="M1248" s="62" t="e">
        <f>VLOOKUP(I1248,PGStock[],6,FALSE)</f>
        <v>#N/A</v>
      </c>
      <c r="N1248" s="62" t="e">
        <f>+Table8[[#This Row],[SalesBot]]*Table8[[#This Row],[Bonus]]</f>
        <v>#N/A</v>
      </c>
    </row>
    <row r="1249" spans="1:14" ht="23.25" customHeight="1" x14ac:dyDescent="0.25">
      <c r="A1249" s="59">
        <f t="shared" si="121"/>
        <v>1900</v>
      </c>
      <c r="B1249" s="59">
        <f t="shared" si="122"/>
        <v>1</v>
      </c>
      <c r="C1249" s="60"/>
      <c r="D1249" s="61"/>
      <c r="F1249" s="23" t="e">
        <f>VLOOKUP(E1249,Customers[],2,FALSE)</f>
        <v>#N/A</v>
      </c>
      <c r="G1249" s="23" t="e">
        <f>VLOOKUP(E1249,Customers[],3,FALSE)</f>
        <v>#N/A</v>
      </c>
      <c r="H1249" s="23" t="e">
        <f>VLOOKUP(E1249,Customers[],4,FALSE)</f>
        <v>#N/A</v>
      </c>
      <c r="J1249" s="29" t="e">
        <f>VLOOKUP(I1249,PGStock[],2,FALSE)</f>
        <v>#N/A</v>
      </c>
      <c r="K1249" s="30" t="e">
        <f>VLOOKUP(I1249,PGStock[],3,FALSE)</f>
        <v>#N/A</v>
      </c>
      <c r="M1249" s="62" t="e">
        <f>VLOOKUP(I1249,PGStock[],6,FALSE)</f>
        <v>#N/A</v>
      </c>
      <c r="N1249" s="62" t="e">
        <f>+Table8[[#This Row],[SalesBot]]*Table8[[#This Row],[Bonus]]</f>
        <v>#N/A</v>
      </c>
    </row>
    <row r="1250" spans="1:14" ht="23.25" customHeight="1" x14ac:dyDescent="0.25">
      <c r="A1250" s="59">
        <f t="shared" si="121"/>
        <v>1900</v>
      </c>
      <c r="B1250" s="59">
        <f t="shared" si="122"/>
        <v>1</v>
      </c>
      <c r="C1250" s="60"/>
      <c r="D1250" s="61"/>
      <c r="F1250" s="23" t="e">
        <f>VLOOKUP(E1250,Customers[],2,FALSE)</f>
        <v>#N/A</v>
      </c>
      <c r="G1250" s="23" t="e">
        <f>VLOOKUP(E1250,Customers[],3,FALSE)</f>
        <v>#N/A</v>
      </c>
      <c r="H1250" s="23" t="e">
        <f>VLOOKUP(E1250,Customers[],4,FALSE)</f>
        <v>#N/A</v>
      </c>
      <c r="J1250" s="29" t="e">
        <f>VLOOKUP(I1250,PGStock[],2,FALSE)</f>
        <v>#N/A</v>
      </c>
      <c r="K1250" s="30" t="e">
        <f>VLOOKUP(I1250,PGStock[],3,FALSE)</f>
        <v>#N/A</v>
      </c>
      <c r="M1250" s="62" t="e">
        <f>VLOOKUP(I1250,PGStock[],6,FALSE)</f>
        <v>#N/A</v>
      </c>
      <c r="N1250" s="62" t="e">
        <f>+Table8[[#This Row],[SalesBot]]*Table8[[#This Row],[Bonus]]</f>
        <v>#N/A</v>
      </c>
    </row>
    <row r="1251" spans="1:14" ht="23.25" customHeight="1" x14ac:dyDescent="0.25">
      <c r="A1251" s="59">
        <f t="shared" si="121"/>
        <v>1900</v>
      </c>
      <c r="B1251" s="59">
        <f t="shared" si="122"/>
        <v>1</v>
      </c>
      <c r="C1251" s="60"/>
      <c r="D1251" s="61"/>
      <c r="F1251" s="23" t="e">
        <f>VLOOKUP(E1251,Customers[],2,FALSE)</f>
        <v>#N/A</v>
      </c>
      <c r="G1251" s="23" t="e">
        <f>VLOOKUP(E1251,Customers[],3,FALSE)</f>
        <v>#N/A</v>
      </c>
      <c r="H1251" s="23" t="e">
        <f>VLOOKUP(E1251,Customers[],4,FALSE)</f>
        <v>#N/A</v>
      </c>
      <c r="J1251" s="29" t="e">
        <f>VLOOKUP(I1251,PGStock[],2,FALSE)</f>
        <v>#N/A</v>
      </c>
      <c r="K1251" s="30" t="e">
        <f>VLOOKUP(I1251,PGStock[],3,FALSE)</f>
        <v>#N/A</v>
      </c>
      <c r="M1251" s="62" t="e">
        <f>VLOOKUP(I1251,PGStock[],6,FALSE)</f>
        <v>#N/A</v>
      </c>
      <c r="N1251" s="62" t="e">
        <f>+Table8[[#This Row],[SalesBot]]*Table8[[#This Row],[Bonus]]</f>
        <v>#N/A</v>
      </c>
    </row>
    <row r="1252" spans="1:14" ht="23.25" customHeight="1" x14ac:dyDescent="0.25">
      <c r="A1252" s="59">
        <f t="shared" si="121"/>
        <v>1900</v>
      </c>
      <c r="B1252" s="59">
        <f t="shared" si="122"/>
        <v>1</v>
      </c>
      <c r="C1252" s="60"/>
      <c r="D1252" s="61"/>
      <c r="F1252" s="23" t="e">
        <f>VLOOKUP(E1252,Customers[],2,FALSE)</f>
        <v>#N/A</v>
      </c>
      <c r="G1252" s="23" t="e">
        <f>VLOOKUP(E1252,Customers[],3,FALSE)</f>
        <v>#N/A</v>
      </c>
      <c r="H1252" s="23" t="e">
        <f>VLOOKUP(E1252,Customers[],4,FALSE)</f>
        <v>#N/A</v>
      </c>
      <c r="J1252" s="29" t="e">
        <f>VLOOKUP(I1252,PGStock[],2,FALSE)</f>
        <v>#N/A</v>
      </c>
      <c r="K1252" s="30" t="e">
        <f>VLOOKUP(I1252,PGStock[],3,FALSE)</f>
        <v>#N/A</v>
      </c>
      <c r="M1252" s="62" t="e">
        <f>VLOOKUP(I1252,PGStock[],6,FALSE)</f>
        <v>#N/A</v>
      </c>
      <c r="N1252" s="62" t="e">
        <f>+Table8[[#This Row],[SalesBot]]*Table8[[#This Row],[Bonus]]</f>
        <v>#N/A</v>
      </c>
    </row>
    <row r="1253" spans="1:14" ht="23.25" customHeight="1" x14ac:dyDescent="0.25">
      <c r="A1253" s="59">
        <f t="shared" si="121"/>
        <v>1900</v>
      </c>
      <c r="B1253" s="59">
        <f t="shared" si="122"/>
        <v>1</v>
      </c>
      <c r="C1253" s="60"/>
      <c r="D1253" s="61"/>
      <c r="F1253" s="23" t="e">
        <f>VLOOKUP(E1253,Customers[],2,FALSE)</f>
        <v>#N/A</v>
      </c>
      <c r="G1253" s="23" t="e">
        <f>VLOOKUP(E1253,Customers[],3,FALSE)</f>
        <v>#N/A</v>
      </c>
      <c r="H1253" s="23" t="e">
        <f>VLOOKUP(E1253,Customers[],4,FALSE)</f>
        <v>#N/A</v>
      </c>
      <c r="J1253" s="29" t="e">
        <f>VLOOKUP(I1253,PGStock[],2,FALSE)</f>
        <v>#N/A</v>
      </c>
      <c r="K1253" s="30" t="e">
        <f>VLOOKUP(I1253,PGStock[],3,FALSE)</f>
        <v>#N/A</v>
      </c>
      <c r="M1253" s="62" t="e">
        <f>VLOOKUP(I1253,PGStock[],6,FALSE)</f>
        <v>#N/A</v>
      </c>
      <c r="N1253" s="62" t="e">
        <f>+Table8[[#This Row],[SalesBot]]*Table8[[#This Row],[Bonus]]</f>
        <v>#N/A</v>
      </c>
    </row>
    <row r="1254" spans="1:14" ht="23.25" customHeight="1" x14ac:dyDescent="0.25">
      <c r="A1254" s="59">
        <f t="shared" si="121"/>
        <v>1900</v>
      </c>
      <c r="B1254" s="59">
        <f t="shared" si="122"/>
        <v>1</v>
      </c>
      <c r="C1254" s="60"/>
      <c r="D1254" s="61"/>
      <c r="F1254" s="23" t="e">
        <f>VLOOKUP(E1254,Customers[],2,FALSE)</f>
        <v>#N/A</v>
      </c>
      <c r="G1254" s="23" t="e">
        <f>VLOOKUP(E1254,Customers[],3,FALSE)</f>
        <v>#N/A</v>
      </c>
      <c r="H1254" s="23" t="e">
        <f>VLOOKUP(E1254,Customers[],4,FALSE)</f>
        <v>#N/A</v>
      </c>
      <c r="J1254" s="29" t="e">
        <f>VLOOKUP(I1254,PGStock[],2,FALSE)</f>
        <v>#N/A</v>
      </c>
      <c r="K1254" s="30" t="e">
        <f>VLOOKUP(I1254,PGStock[],3,FALSE)</f>
        <v>#N/A</v>
      </c>
      <c r="M1254" s="62" t="e">
        <f>VLOOKUP(I1254,PGStock[],6,FALSE)</f>
        <v>#N/A</v>
      </c>
      <c r="N1254" s="62" t="e">
        <f>+Table8[[#This Row],[SalesBot]]*Table8[[#This Row],[Bonus]]</f>
        <v>#N/A</v>
      </c>
    </row>
    <row r="1255" spans="1:14" ht="23.25" customHeight="1" x14ac:dyDescent="0.25">
      <c r="A1255" s="59">
        <f t="shared" si="121"/>
        <v>1900</v>
      </c>
      <c r="B1255" s="59">
        <f t="shared" si="122"/>
        <v>1</v>
      </c>
      <c r="C1255" s="60"/>
      <c r="D1255" s="61"/>
      <c r="F1255" s="23" t="e">
        <f>VLOOKUP(E1255,Customers[],2,FALSE)</f>
        <v>#N/A</v>
      </c>
      <c r="G1255" s="23" t="e">
        <f>VLOOKUP(E1255,Customers[],3,FALSE)</f>
        <v>#N/A</v>
      </c>
      <c r="H1255" s="23" t="e">
        <f>VLOOKUP(E1255,Customers[],4,FALSE)</f>
        <v>#N/A</v>
      </c>
      <c r="J1255" s="29" t="e">
        <f>VLOOKUP(I1255,PGStock[],2,FALSE)</f>
        <v>#N/A</v>
      </c>
      <c r="K1255" s="30" t="e">
        <f>VLOOKUP(I1255,PGStock[],3,FALSE)</f>
        <v>#N/A</v>
      </c>
      <c r="M1255" s="62" t="e">
        <f>VLOOKUP(I1255,PGStock[],6,FALSE)</f>
        <v>#N/A</v>
      </c>
      <c r="N1255" s="62" t="e">
        <f>+Table8[[#This Row],[SalesBot]]*Table8[[#This Row],[Bonus]]</f>
        <v>#N/A</v>
      </c>
    </row>
    <row r="1256" spans="1:14" ht="23.25" customHeight="1" x14ac:dyDescent="0.25">
      <c r="A1256" s="59">
        <f t="shared" ref="A1256:A1287" si="123">YEAR(C1256)</f>
        <v>1900</v>
      </c>
      <c r="B1256" s="59">
        <f t="shared" ref="B1256:B1287" si="124">MONTH(C1256)</f>
        <v>1</v>
      </c>
      <c r="C1256" s="60"/>
      <c r="D1256" s="61"/>
      <c r="F1256" s="23" t="e">
        <f>VLOOKUP(E1256,Customers[],2,FALSE)</f>
        <v>#N/A</v>
      </c>
      <c r="G1256" s="23" t="e">
        <f>VLOOKUP(E1256,Customers[],3,FALSE)</f>
        <v>#N/A</v>
      </c>
      <c r="H1256" s="23" t="e">
        <f>VLOOKUP(E1256,Customers[],4,FALSE)</f>
        <v>#N/A</v>
      </c>
      <c r="J1256" s="29" t="e">
        <f>VLOOKUP(I1256,PGStock[],2,FALSE)</f>
        <v>#N/A</v>
      </c>
      <c r="K1256" s="30" t="e">
        <f>VLOOKUP(I1256,PGStock[],3,FALSE)</f>
        <v>#N/A</v>
      </c>
      <c r="M1256" s="62" t="e">
        <f>VLOOKUP(I1256,PGStock[],6,FALSE)</f>
        <v>#N/A</v>
      </c>
      <c r="N1256" s="62" t="e">
        <f>+Table8[[#This Row],[SalesBot]]*Table8[[#This Row],[Bonus]]</f>
        <v>#N/A</v>
      </c>
    </row>
    <row r="1257" spans="1:14" ht="23.25" customHeight="1" x14ac:dyDescent="0.25">
      <c r="A1257" s="59">
        <f t="shared" si="123"/>
        <v>1900</v>
      </c>
      <c r="B1257" s="59">
        <f t="shared" si="124"/>
        <v>1</v>
      </c>
      <c r="C1257" s="60"/>
      <c r="D1257" s="61"/>
      <c r="F1257" s="23" t="e">
        <f>VLOOKUP(E1257,Customers[],2,FALSE)</f>
        <v>#N/A</v>
      </c>
      <c r="G1257" s="23" t="e">
        <f>VLOOKUP(E1257,Customers[],3,FALSE)</f>
        <v>#N/A</v>
      </c>
      <c r="H1257" s="23" t="e">
        <f>VLOOKUP(E1257,Customers[],4,FALSE)</f>
        <v>#N/A</v>
      </c>
      <c r="J1257" s="29" t="e">
        <f>VLOOKUP(I1257,PGStock[],2,FALSE)</f>
        <v>#N/A</v>
      </c>
      <c r="K1257" s="30" t="e">
        <f>VLOOKUP(I1257,PGStock[],3,FALSE)</f>
        <v>#N/A</v>
      </c>
      <c r="M1257" s="62" t="e">
        <f>VLOOKUP(I1257,PGStock[],6,FALSE)</f>
        <v>#N/A</v>
      </c>
      <c r="N1257" s="62" t="e">
        <f>+Table8[[#This Row],[SalesBot]]*Table8[[#This Row],[Bonus]]</f>
        <v>#N/A</v>
      </c>
    </row>
    <row r="1258" spans="1:14" ht="23.25" customHeight="1" x14ac:dyDescent="0.25">
      <c r="A1258" s="59">
        <f t="shared" si="123"/>
        <v>1900</v>
      </c>
      <c r="B1258" s="59">
        <f t="shared" si="124"/>
        <v>1</v>
      </c>
      <c r="C1258" s="60"/>
      <c r="D1258" s="61"/>
      <c r="F1258" s="23" t="e">
        <f>VLOOKUP(E1258,Customers[],2,FALSE)</f>
        <v>#N/A</v>
      </c>
      <c r="G1258" s="23" t="e">
        <f>VLOOKUP(E1258,Customers[],3,FALSE)</f>
        <v>#N/A</v>
      </c>
      <c r="H1258" s="23" t="e">
        <f>VLOOKUP(E1258,Customers[],4,FALSE)</f>
        <v>#N/A</v>
      </c>
      <c r="J1258" s="29" t="e">
        <f>VLOOKUP(I1258,PGStock[],2,FALSE)</f>
        <v>#N/A</v>
      </c>
      <c r="K1258" s="30" t="e">
        <f>VLOOKUP(I1258,PGStock[],3,FALSE)</f>
        <v>#N/A</v>
      </c>
      <c r="M1258" s="62" t="e">
        <f>VLOOKUP(I1258,PGStock[],6,FALSE)</f>
        <v>#N/A</v>
      </c>
      <c r="N1258" s="62" t="e">
        <f>+Table8[[#This Row],[SalesBot]]*Table8[[#This Row],[Bonus]]</f>
        <v>#N/A</v>
      </c>
    </row>
    <row r="1259" spans="1:14" ht="23.25" customHeight="1" x14ac:dyDescent="0.25">
      <c r="A1259" s="59">
        <f t="shared" si="123"/>
        <v>1900</v>
      </c>
      <c r="B1259" s="59">
        <f t="shared" si="124"/>
        <v>1</v>
      </c>
      <c r="C1259" s="60"/>
      <c r="D1259" s="61"/>
      <c r="F1259" s="23" t="e">
        <f>VLOOKUP(E1259,Customers[],2,FALSE)</f>
        <v>#N/A</v>
      </c>
      <c r="G1259" s="23" t="e">
        <f>VLOOKUP(E1259,Customers[],3,FALSE)</f>
        <v>#N/A</v>
      </c>
      <c r="H1259" s="23" t="e">
        <f>VLOOKUP(E1259,Customers[],4,FALSE)</f>
        <v>#N/A</v>
      </c>
      <c r="J1259" s="29" t="e">
        <f>VLOOKUP(I1259,PGStock[],2,FALSE)</f>
        <v>#N/A</v>
      </c>
      <c r="K1259" s="30" t="e">
        <f>VLOOKUP(I1259,PGStock[],3,FALSE)</f>
        <v>#N/A</v>
      </c>
      <c r="M1259" s="62" t="e">
        <f>VLOOKUP(I1259,PGStock[],6,FALSE)</f>
        <v>#N/A</v>
      </c>
      <c r="N1259" s="62" t="e">
        <f>+Table8[[#This Row],[SalesBot]]*Table8[[#This Row],[Bonus]]</f>
        <v>#N/A</v>
      </c>
    </row>
    <row r="1260" spans="1:14" ht="23.25" customHeight="1" x14ac:dyDescent="0.25">
      <c r="A1260" s="59">
        <f t="shared" si="123"/>
        <v>1900</v>
      </c>
      <c r="B1260" s="59">
        <f t="shared" si="124"/>
        <v>1</v>
      </c>
      <c r="C1260" s="60"/>
      <c r="D1260" s="61"/>
      <c r="F1260" s="23" t="e">
        <f>VLOOKUP(E1260,Customers[],2,FALSE)</f>
        <v>#N/A</v>
      </c>
      <c r="G1260" s="23" t="e">
        <f>VLOOKUP(E1260,Customers[],3,FALSE)</f>
        <v>#N/A</v>
      </c>
      <c r="H1260" s="23" t="e">
        <f>VLOOKUP(E1260,Customers[],4,FALSE)</f>
        <v>#N/A</v>
      </c>
      <c r="J1260" s="29" t="e">
        <f>VLOOKUP(I1260,PGStock[],2,FALSE)</f>
        <v>#N/A</v>
      </c>
      <c r="K1260" s="30" t="e">
        <f>VLOOKUP(I1260,PGStock[],3,FALSE)</f>
        <v>#N/A</v>
      </c>
      <c r="M1260" s="62" t="e">
        <f>VLOOKUP(I1260,PGStock[],6,FALSE)</f>
        <v>#N/A</v>
      </c>
      <c r="N1260" s="62" t="e">
        <f>+Table8[[#This Row],[SalesBot]]*Table8[[#This Row],[Bonus]]</f>
        <v>#N/A</v>
      </c>
    </row>
    <row r="1261" spans="1:14" ht="23.25" customHeight="1" x14ac:dyDescent="0.25">
      <c r="A1261" s="59">
        <f t="shared" si="123"/>
        <v>1900</v>
      </c>
      <c r="B1261" s="59">
        <f t="shared" si="124"/>
        <v>1</v>
      </c>
      <c r="C1261" s="60"/>
      <c r="D1261" s="61"/>
      <c r="F1261" s="23" t="e">
        <f>VLOOKUP(E1261,Customers[],2,FALSE)</f>
        <v>#N/A</v>
      </c>
      <c r="G1261" s="23" t="e">
        <f>VLOOKUP(E1261,Customers[],3,FALSE)</f>
        <v>#N/A</v>
      </c>
      <c r="H1261" s="23" t="e">
        <f>VLOOKUP(E1261,Customers[],4,FALSE)</f>
        <v>#N/A</v>
      </c>
      <c r="J1261" s="29" t="e">
        <f>VLOOKUP(I1261,PGStock[],2,FALSE)</f>
        <v>#N/A</v>
      </c>
      <c r="K1261" s="30" t="e">
        <f>VLOOKUP(I1261,PGStock[],3,FALSE)</f>
        <v>#N/A</v>
      </c>
      <c r="M1261" s="62" t="e">
        <f>VLOOKUP(I1261,PGStock[],6,FALSE)</f>
        <v>#N/A</v>
      </c>
      <c r="N1261" s="62" t="e">
        <f>+Table8[[#This Row],[SalesBot]]*Table8[[#This Row],[Bonus]]</f>
        <v>#N/A</v>
      </c>
    </row>
    <row r="1262" spans="1:14" ht="23.25" customHeight="1" x14ac:dyDescent="0.25">
      <c r="A1262" s="59">
        <f t="shared" si="123"/>
        <v>1900</v>
      </c>
      <c r="B1262" s="59">
        <f t="shared" si="124"/>
        <v>1</v>
      </c>
      <c r="C1262" s="60"/>
      <c r="D1262" s="61"/>
      <c r="F1262" s="23" t="e">
        <f>VLOOKUP(E1262,Customers[],2,FALSE)</f>
        <v>#N/A</v>
      </c>
      <c r="G1262" s="23" t="e">
        <f>VLOOKUP(E1262,Customers[],3,FALSE)</f>
        <v>#N/A</v>
      </c>
      <c r="H1262" s="23" t="e">
        <f>VLOOKUP(E1262,Customers[],4,FALSE)</f>
        <v>#N/A</v>
      </c>
      <c r="J1262" s="29" t="e">
        <f>VLOOKUP(I1262,PGStock[],2,FALSE)</f>
        <v>#N/A</v>
      </c>
      <c r="K1262" s="30" t="e">
        <f>VLOOKUP(I1262,PGStock[],3,FALSE)</f>
        <v>#N/A</v>
      </c>
      <c r="M1262" s="62" t="e">
        <f>VLOOKUP(I1262,PGStock[],6,FALSE)</f>
        <v>#N/A</v>
      </c>
      <c r="N1262" s="62" t="e">
        <f>+Table8[[#This Row],[SalesBot]]*Table8[[#This Row],[Bonus]]</f>
        <v>#N/A</v>
      </c>
    </row>
    <row r="1263" spans="1:14" ht="23.25" customHeight="1" x14ac:dyDescent="0.25">
      <c r="A1263" s="59">
        <f t="shared" si="123"/>
        <v>1900</v>
      </c>
      <c r="B1263" s="59">
        <f t="shared" si="124"/>
        <v>1</v>
      </c>
      <c r="C1263" s="60"/>
      <c r="D1263" s="61"/>
      <c r="F1263" s="23" t="e">
        <f>VLOOKUP(E1263,Customers[],2,FALSE)</f>
        <v>#N/A</v>
      </c>
      <c r="G1263" s="23" t="e">
        <f>VLOOKUP(E1263,Customers[],3,FALSE)</f>
        <v>#N/A</v>
      </c>
      <c r="H1263" s="23" t="e">
        <f>VLOOKUP(E1263,Customers[],4,FALSE)</f>
        <v>#N/A</v>
      </c>
      <c r="J1263" s="29" t="e">
        <f>VLOOKUP(I1263,PGStock[],2,FALSE)</f>
        <v>#N/A</v>
      </c>
      <c r="K1263" s="30" t="e">
        <f>VLOOKUP(I1263,PGStock[],3,FALSE)</f>
        <v>#N/A</v>
      </c>
      <c r="M1263" s="62" t="e">
        <f>VLOOKUP(I1263,PGStock[],6,FALSE)</f>
        <v>#N/A</v>
      </c>
      <c r="N1263" s="62" t="e">
        <f>+Table8[[#This Row],[SalesBot]]*Table8[[#This Row],[Bonus]]</f>
        <v>#N/A</v>
      </c>
    </row>
    <row r="1264" spans="1:14" ht="23.25" customHeight="1" x14ac:dyDescent="0.25">
      <c r="A1264" s="59">
        <f t="shared" si="123"/>
        <v>1900</v>
      </c>
      <c r="B1264" s="59">
        <f t="shared" si="124"/>
        <v>1</v>
      </c>
      <c r="C1264" s="60"/>
      <c r="D1264" s="61"/>
      <c r="F1264" s="23" t="e">
        <f>VLOOKUP(E1264,Customers[],2,FALSE)</f>
        <v>#N/A</v>
      </c>
      <c r="G1264" s="23" t="e">
        <f>VLOOKUP(E1264,Customers[],3,FALSE)</f>
        <v>#N/A</v>
      </c>
      <c r="H1264" s="23" t="e">
        <f>VLOOKUP(E1264,Customers[],4,FALSE)</f>
        <v>#N/A</v>
      </c>
      <c r="J1264" s="29" t="e">
        <f>VLOOKUP(I1264,PGStock[],2,FALSE)</f>
        <v>#N/A</v>
      </c>
      <c r="K1264" s="30" t="e">
        <f>VLOOKUP(I1264,PGStock[],3,FALSE)</f>
        <v>#N/A</v>
      </c>
      <c r="M1264" s="62" t="e">
        <f>VLOOKUP(I1264,PGStock[],6,FALSE)</f>
        <v>#N/A</v>
      </c>
      <c r="N1264" s="62" t="e">
        <f>+Table8[[#This Row],[SalesBot]]*Table8[[#This Row],[Bonus]]</f>
        <v>#N/A</v>
      </c>
    </row>
    <row r="1265" spans="1:14" ht="23.25" customHeight="1" x14ac:dyDescent="0.25">
      <c r="A1265" s="59">
        <f t="shared" si="123"/>
        <v>1900</v>
      </c>
      <c r="B1265" s="59">
        <f t="shared" si="124"/>
        <v>1</v>
      </c>
      <c r="C1265" s="60"/>
      <c r="D1265" s="61"/>
      <c r="F1265" s="23" t="e">
        <f>VLOOKUP(E1265,Customers[],2,FALSE)</f>
        <v>#N/A</v>
      </c>
      <c r="G1265" s="23" t="e">
        <f>VLOOKUP(E1265,Customers[],3,FALSE)</f>
        <v>#N/A</v>
      </c>
      <c r="H1265" s="23" t="e">
        <f>VLOOKUP(E1265,Customers[],4,FALSE)</f>
        <v>#N/A</v>
      </c>
      <c r="J1265" s="29" t="e">
        <f>VLOOKUP(I1265,PGStock[],2,FALSE)</f>
        <v>#N/A</v>
      </c>
      <c r="K1265" s="30" t="e">
        <f>VLOOKUP(I1265,PGStock[],3,FALSE)</f>
        <v>#N/A</v>
      </c>
      <c r="M1265" s="62" t="e">
        <f>VLOOKUP(I1265,PGStock[],6,FALSE)</f>
        <v>#N/A</v>
      </c>
      <c r="N1265" s="62" t="e">
        <f>+Table8[[#This Row],[SalesBot]]*Table8[[#This Row],[Bonus]]</f>
        <v>#N/A</v>
      </c>
    </row>
    <row r="1266" spans="1:14" ht="23.25" customHeight="1" x14ac:dyDescent="0.25">
      <c r="A1266" s="59">
        <f t="shared" si="123"/>
        <v>1900</v>
      </c>
      <c r="B1266" s="59">
        <f t="shared" si="124"/>
        <v>1</v>
      </c>
      <c r="C1266" s="60"/>
      <c r="D1266" s="61"/>
      <c r="F1266" s="23" t="e">
        <f>VLOOKUP(E1266,Customers[],2,FALSE)</f>
        <v>#N/A</v>
      </c>
      <c r="G1266" s="23" t="e">
        <f>VLOOKUP(E1266,Customers[],3,FALSE)</f>
        <v>#N/A</v>
      </c>
      <c r="H1266" s="23" t="e">
        <f>VLOOKUP(E1266,Customers[],4,FALSE)</f>
        <v>#N/A</v>
      </c>
      <c r="J1266" s="29" t="e">
        <f>VLOOKUP(I1266,PGStock[],2,FALSE)</f>
        <v>#N/A</v>
      </c>
      <c r="K1266" s="30" t="e">
        <f>VLOOKUP(I1266,PGStock[],3,FALSE)</f>
        <v>#N/A</v>
      </c>
      <c r="M1266" s="62" t="e">
        <f>VLOOKUP(I1266,PGStock[],6,FALSE)</f>
        <v>#N/A</v>
      </c>
      <c r="N1266" s="62" t="e">
        <f>+Table8[[#This Row],[SalesBot]]*Table8[[#This Row],[Bonus]]</f>
        <v>#N/A</v>
      </c>
    </row>
    <row r="1267" spans="1:14" ht="23.25" customHeight="1" x14ac:dyDescent="0.25">
      <c r="A1267" s="59">
        <f t="shared" si="123"/>
        <v>1900</v>
      </c>
      <c r="B1267" s="59">
        <f t="shared" si="124"/>
        <v>1</v>
      </c>
      <c r="C1267" s="60"/>
      <c r="D1267" s="61"/>
      <c r="F1267" s="23" t="e">
        <f>VLOOKUP(E1267,Customers[],2,FALSE)</f>
        <v>#N/A</v>
      </c>
      <c r="G1267" s="23" t="e">
        <f>VLOOKUP(E1267,Customers[],3,FALSE)</f>
        <v>#N/A</v>
      </c>
      <c r="H1267" s="23" t="e">
        <f>VLOOKUP(E1267,Customers[],4,FALSE)</f>
        <v>#N/A</v>
      </c>
      <c r="J1267" s="29" t="e">
        <f>VLOOKUP(I1267,PGStock[],2,FALSE)</f>
        <v>#N/A</v>
      </c>
      <c r="K1267" s="30" t="e">
        <f>VLOOKUP(I1267,PGStock[],3,FALSE)</f>
        <v>#N/A</v>
      </c>
      <c r="M1267" s="62" t="e">
        <f>VLOOKUP(I1267,PGStock[],6,FALSE)</f>
        <v>#N/A</v>
      </c>
      <c r="N1267" s="62" t="e">
        <f>+Table8[[#This Row],[SalesBot]]*Table8[[#This Row],[Bonus]]</f>
        <v>#N/A</v>
      </c>
    </row>
    <row r="1268" spans="1:14" ht="23.25" customHeight="1" x14ac:dyDescent="0.25">
      <c r="A1268" s="59">
        <f t="shared" si="123"/>
        <v>1900</v>
      </c>
      <c r="B1268" s="59">
        <f t="shared" si="124"/>
        <v>1</v>
      </c>
      <c r="C1268" s="60"/>
      <c r="D1268" s="61"/>
      <c r="F1268" s="23" t="e">
        <f>VLOOKUP(E1268,Customers[],2,FALSE)</f>
        <v>#N/A</v>
      </c>
      <c r="G1268" s="23" t="e">
        <f>VLOOKUP(E1268,Customers[],3,FALSE)</f>
        <v>#N/A</v>
      </c>
      <c r="H1268" s="23" t="e">
        <f>VLOOKUP(E1268,Customers[],4,FALSE)</f>
        <v>#N/A</v>
      </c>
      <c r="J1268" s="29" t="e">
        <f>VLOOKUP(I1268,PGStock[],2,FALSE)</f>
        <v>#N/A</v>
      </c>
      <c r="K1268" s="30" t="e">
        <f>VLOOKUP(I1268,PGStock[],3,FALSE)</f>
        <v>#N/A</v>
      </c>
      <c r="M1268" s="62" t="e">
        <f>VLOOKUP(I1268,PGStock[],6,FALSE)</f>
        <v>#N/A</v>
      </c>
      <c r="N1268" s="62" t="e">
        <f>+Table8[[#This Row],[SalesBot]]*Table8[[#This Row],[Bonus]]</f>
        <v>#N/A</v>
      </c>
    </row>
    <row r="1269" spans="1:14" ht="23.25" customHeight="1" x14ac:dyDescent="0.25">
      <c r="A1269" s="59">
        <f t="shared" si="123"/>
        <v>1900</v>
      </c>
      <c r="B1269" s="59">
        <f t="shared" si="124"/>
        <v>1</v>
      </c>
      <c r="C1269" s="60"/>
      <c r="D1269" s="61"/>
      <c r="F1269" s="23" t="e">
        <f>VLOOKUP(E1269,Customers[],2,FALSE)</f>
        <v>#N/A</v>
      </c>
      <c r="G1269" s="23" t="e">
        <f>VLOOKUP(E1269,Customers[],3,FALSE)</f>
        <v>#N/A</v>
      </c>
      <c r="H1269" s="23" t="e">
        <f>VLOOKUP(E1269,Customers[],4,FALSE)</f>
        <v>#N/A</v>
      </c>
      <c r="J1269" s="29" t="e">
        <f>VLOOKUP(I1269,PGStock[],2,FALSE)</f>
        <v>#N/A</v>
      </c>
      <c r="K1269" s="30" t="e">
        <f>VLOOKUP(I1269,PGStock[],3,FALSE)</f>
        <v>#N/A</v>
      </c>
      <c r="M1269" s="62" t="e">
        <f>VLOOKUP(I1269,PGStock[],6,FALSE)</f>
        <v>#N/A</v>
      </c>
      <c r="N1269" s="62" t="e">
        <f>+Table8[[#This Row],[SalesBot]]*Table8[[#This Row],[Bonus]]</f>
        <v>#N/A</v>
      </c>
    </row>
    <row r="1270" spans="1:14" ht="23.25" customHeight="1" x14ac:dyDescent="0.25">
      <c r="A1270" s="59">
        <f t="shared" si="123"/>
        <v>1900</v>
      </c>
      <c r="B1270" s="59">
        <f t="shared" si="124"/>
        <v>1</v>
      </c>
      <c r="C1270" s="60"/>
      <c r="D1270" s="61"/>
      <c r="F1270" s="23" t="e">
        <f>VLOOKUP(E1270,Customers[],2,FALSE)</f>
        <v>#N/A</v>
      </c>
      <c r="G1270" s="23" t="e">
        <f>VLOOKUP(E1270,Customers[],3,FALSE)</f>
        <v>#N/A</v>
      </c>
      <c r="H1270" s="23" t="e">
        <f>VLOOKUP(E1270,Customers[],4,FALSE)</f>
        <v>#N/A</v>
      </c>
      <c r="J1270" s="29" t="e">
        <f>VLOOKUP(I1270,PGStock[],2,FALSE)</f>
        <v>#N/A</v>
      </c>
      <c r="K1270" s="30" t="e">
        <f>VLOOKUP(I1270,PGStock[],3,FALSE)</f>
        <v>#N/A</v>
      </c>
      <c r="M1270" s="62" t="e">
        <f>VLOOKUP(I1270,PGStock[],6,FALSE)</f>
        <v>#N/A</v>
      </c>
      <c r="N1270" s="62" t="e">
        <f>+Table8[[#This Row],[SalesBot]]*Table8[[#This Row],[Bonus]]</f>
        <v>#N/A</v>
      </c>
    </row>
    <row r="1271" spans="1:14" ht="23.25" customHeight="1" x14ac:dyDescent="0.25">
      <c r="A1271" s="59">
        <f t="shared" si="123"/>
        <v>1900</v>
      </c>
      <c r="B1271" s="59">
        <f t="shared" si="124"/>
        <v>1</v>
      </c>
      <c r="C1271" s="60"/>
      <c r="D1271" s="61"/>
      <c r="F1271" s="23" t="e">
        <f>VLOOKUP(E1271,Customers[],2,FALSE)</f>
        <v>#N/A</v>
      </c>
      <c r="G1271" s="23" t="e">
        <f>VLOOKUP(E1271,Customers[],3,FALSE)</f>
        <v>#N/A</v>
      </c>
      <c r="H1271" s="23" t="e">
        <f>VLOOKUP(E1271,Customers[],4,FALSE)</f>
        <v>#N/A</v>
      </c>
      <c r="J1271" s="29" t="e">
        <f>VLOOKUP(I1271,PGStock[],2,FALSE)</f>
        <v>#N/A</v>
      </c>
      <c r="K1271" s="30" t="e">
        <f>VLOOKUP(I1271,PGStock[],3,FALSE)</f>
        <v>#N/A</v>
      </c>
      <c r="M1271" s="62" t="e">
        <f>VLOOKUP(I1271,PGStock[],6,FALSE)</f>
        <v>#N/A</v>
      </c>
      <c r="N1271" s="62" t="e">
        <f>+Table8[[#This Row],[SalesBot]]*Table8[[#This Row],[Bonus]]</f>
        <v>#N/A</v>
      </c>
    </row>
    <row r="1272" spans="1:14" ht="23.25" customHeight="1" x14ac:dyDescent="0.25">
      <c r="A1272" s="59">
        <f t="shared" si="123"/>
        <v>1900</v>
      </c>
      <c r="B1272" s="59">
        <f t="shared" si="124"/>
        <v>1</v>
      </c>
      <c r="C1272" s="60"/>
      <c r="D1272" s="61"/>
      <c r="F1272" s="23" t="e">
        <f>VLOOKUP(E1272,Customers[],2,FALSE)</f>
        <v>#N/A</v>
      </c>
      <c r="G1272" s="23" t="e">
        <f>VLOOKUP(E1272,Customers[],3,FALSE)</f>
        <v>#N/A</v>
      </c>
      <c r="H1272" s="23" t="e">
        <f>VLOOKUP(E1272,Customers[],4,FALSE)</f>
        <v>#N/A</v>
      </c>
      <c r="J1272" s="29" t="e">
        <f>VLOOKUP(I1272,PGStock[],2,FALSE)</f>
        <v>#N/A</v>
      </c>
      <c r="K1272" s="30" t="e">
        <f>VLOOKUP(I1272,PGStock[],3,FALSE)</f>
        <v>#N/A</v>
      </c>
      <c r="M1272" s="62" t="e">
        <f>VLOOKUP(I1272,PGStock[],6,FALSE)</f>
        <v>#N/A</v>
      </c>
      <c r="N1272" s="62" t="e">
        <f>+Table8[[#This Row],[SalesBot]]*Table8[[#This Row],[Bonus]]</f>
        <v>#N/A</v>
      </c>
    </row>
    <row r="1273" spans="1:14" ht="23.25" customHeight="1" x14ac:dyDescent="0.25">
      <c r="A1273" s="59">
        <f t="shared" si="123"/>
        <v>1900</v>
      </c>
      <c r="B1273" s="59">
        <f t="shared" si="124"/>
        <v>1</v>
      </c>
      <c r="C1273" s="60"/>
      <c r="D1273" s="61"/>
      <c r="F1273" s="23" t="e">
        <f>VLOOKUP(E1273,Customers[],2,FALSE)</f>
        <v>#N/A</v>
      </c>
      <c r="G1273" s="23" t="e">
        <f>VLOOKUP(E1273,Customers[],3,FALSE)</f>
        <v>#N/A</v>
      </c>
      <c r="H1273" s="23" t="e">
        <f>VLOOKUP(E1273,Customers[],4,FALSE)</f>
        <v>#N/A</v>
      </c>
      <c r="J1273" s="29" t="e">
        <f>VLOOKUP(I1273,PGStock[],2,FALSE)</f>
        <v>#N/A</v>
      </c>
      <c r="K1273" s="30" t="e">
        <f>VLOOKUP(I1273,PGStock[],3,FALSE)</f>
        <v>#N/A</v>
      </c>
      <c r="M1273" s="62" t="e">
        <f>VLOOKUP(I1273,PGStock[],6,FALSE)</f>
        <v>#N/A</v>
      </c>
      <c r="N1273" s="62" t="e">
        <f>+Table8[[#This Row],[SalesBot]]*Table8[[#This Row],[Bonus]]</f>
        <v>#N/A</v>
      </c>
    </row>
    <row r="1274" spans="1:14" ht="23.25" customHeight="1" x14ac:dyDescent="0.25">
      <c r="A1274" s="59">
        <f t="shared" si="123"/>
        <v>1900</v>
      </c>
      <c r="B1274" s="59">
        <f t="shared" si="124"/>
        <v>1</v>
      </c>
      <c r="C1274" s="60"/>
      <c r="D1274" s="61"/>
      <c r="F1274" s="23" t="e">
        <f>VLOOKUP(E1274,Customers[],2,FALSE)</f>
        <v>#N/A</v>
      </c>
      <c r="G1274" s="23" t="e">
        <f>VLOOKUP(E1274,Customers[],3,FALSE)</f>
        <v>#N/A</v>
      </c>
      <c r="H1274" s="23" t="e">
        <f>VLOOKUP(E1274,Customers[],4,FALSE)</f>
        <v>#N/A</v>
      </c>
      <c r="J1274" s="29" t="e">
        <f>VLOOKUP(I1274,PGStock[],2,FALSE)</f>
        <v>#N/A</v>
      </c>
      <c r="K1274" s="30" t="e">
        <f>VLOOKUP(I1274,PGStock[],3,FALSE)</f>
        <v>#N/A</v>
      </c>
      <c r="M1274" s="62" t="e">
        <f>VLOOKUP(I1274,PGStock[],6,FALSE)</f>
        <v>#N/A</v>
      </c>
      <c r="N1274" s="62" t="e">
        <f>+Table8[[#This Row],[SalesBot]]*Table8[[#This Row],[Bonus]]</f>
        <v>#N/A</v>
      </c>
    </row>
    <row r="1275" spans="1:14" ht="23.25" customHeight="1" x14ac:dyDescent="0.25">
      <c r="A1275" s="59">
        <f t="shared" si="123"/>
        <v>1900</v>
      </c>
      <c r="B1275" s="59">
        <f t="shared" si="124"/>
        <v>1</v>
      </c>
      <c r="C1275" s="60"/>
      <c r="D1275" s="61"/>
      <c r="F1275" s="23" t="e">
        <f>VLOOKUP(E1275,Customers[],2,FALSE)</f>
        <v>#N/A</v>
      </c>
      <c r="G1275" s="23" t="e">
        <f>VLOOKUP(E1275,Customers[],3,FALSE)</f>
        <v>#N/A</v>
      </c>
      <c r="H1275" s="23" t="e">
        <f>VLOOKUP(E1275,Customers[],4,FALSE)</f>
        <v>#N/A</v>
      </c>
      <c r="J1275" s="29" t="e">
        <f>VLOOKUP(I1275,PGStock[],2,FALSE)</f>
        <v>#N/A</v>
      </c>
      <c r="K1275" s="30" t="e">
        <f>VLOOKUP(I1275,PGStock[],3,FALSE)</f>
        <v>#N/A</v>
      </c>
      <c r="M1275" s="62" t="e">
        <f>VLOOKUP(I1275,PGStock[],6,FALSE)</f>
        <v>#N/A</v>
      </c>
      <c r="N1275" s="62" t="e">
        <f>+Table8[[#This Row],[SalesBot]]*Table8[[#This Row],[Bonus]]</f>
        <v>#N/A</v>
      </c>
    </row>
    <row r="1276" spans="1:14" ht="23.25" customHeight="1" x14ac:dyDescent="0.25">
      <c r="A1276" s="59">
        <f t="shared" si="123"/>
        <v>1900</v>
      </c>
      <c r="B1276" s="59">
        <f t="shared" si="124"/>
        <v>1</v>
      </c>
      <c r="C1276" s="60"/>
      <c r="D1276" s="61"/>
      <c r="F1276" s="23" t="e">
        <f>VLOOKUP(E1276,Customers[],2,FALSE)</f>
        <v>#N/A</v>
      </c>
      <c r="G1276" s="23" t="e">
        <f>VLOOKUP(E1276,Customers[],3,FALSE)</f>
        <v>#N/A</v>
      </c>
      <c r="H1276" s="23" t="e">
        <f>VLOOKUP(E1276,Customers[],4,FALSE)</f>
        <v>#N/A</v>
      </c>
      <c r="J1276" s="29" t="e">
        <f>VLOOKUP(I1276,PGStock[],2,FALSE)</f>
        <v>#N/A</v>
      </c>
      <c r="K1276" s="30" t="e">
        <f>VLOOKUP(I1276,PGStock[],3,FALSE)</f>
        <v>#N/A</v>
      </c>
      <c r="M1276" s="62" t="e">
        <f>VLOOKUP(I1276,PGStock[],6,FALSE)</f>
        <v>#N/A</v>
      </c>
      <c r="N1276" s="62" t="e">
        <f>+Table8[[#This Row],[SalesBot]]*Table8[[#This Row],[Bonus]]</f>
        <v>#N/A</v>
      </c>
    </row>
    <row r="1277" spans="1:14" ht="23.25" customHeight="1" x14ac:dyDescent="0.25">
      <c r="A1277" s="59">
        <f t="shared" si="123"/>
        <v>1900</v>
      </c>
      <c r="B1277" s="59">
        <f t="shared" si="124"/>
        <v>1</v>
      </c>
      <c r="C1277" s="60"/>
      <c r="D1277" s="61"/>
      <c r="F1277" s="23" t="e">
        <f>VLOOKUP(E1277,Customers[],2,FALSE)</f>
        <v>#N/A</v>
      </c>
      <c r="G1277" s="23" t="e">
        <f>VLOOKUP(E1277,Customers[],3,FALSE)</f>
        <v>#N/A</v>
      </c>
      <c r="H1277" s="23" t="e">
        <f>VLOOKUP(E1277,Customers[],4,FALSE)</f>
        <v>#N/A</v>
      </c>
      <c r="J1277" s="29" t="e">
        <f>VLOOKUP(I1277,PGStock[],2,FALSE)</f>
        <v>#N/A</v>
      </c>
      <c r="K1277" s="30" t="e">
        <f>VLOOKUP(I1277,PGStock[],3,FALSE)</f>
        <v>#N/A</v>
      </c>
      <c r="M1277" s="62" t="e">
        <f>VLOOKUP(I1277,PGStock[],6,FALSE)</f>
        <v>#N/A</v>
      </c>
      <c r="N1277" s="62" t="e">
        <f>+Table8[[#This Row],[SalesBot]]*Table8[[#This Row],[Bonus]]</f>
        <v>#N/A</v>
      </c>
    </row>
    <row r="1278" spans="1:14" ht="23.25" customHeight="1" x14ac:dyDescent="0.25">
      <c r="A1278" s="59">
        <f t="shared" si="123"/>
        <v>1900</v>
      </c>
      <c r="B1278" s="59">
        <f t="shared" si="124"/>
        <v>1</v>
      </c>
      <c r="C1278" s="60"/>
      <c r="D1278" s="61"/>
      <c r="F1278" s="23" t="e">
        <f>VLOOKUP(E1278,Customers[],2,FALSE)</f>
        <v>#N/A</v>
      </c>
      <c r="G1278" s="23" t="e">
        <f>VLOOKUP(E1278,Customers[],3,FALSE)</f>
        <v>#N/A</v>
      </c>
      <c r="H1278" s="23" t="e">
        <f>VLOOKUP(E1278,Customers[],4,FALSE)</f>
        <v>#N/A</v>
      </c>
      <c r="J1278" s="29" t="e">
        <f>VLOOKUP(I1278,PGStock[],2,FALSE)</f>
        <v>#N/A</v>
      </c>
      <c r="K1278" s="30" t="e">
        <f>VLOOKUP(I1278,PGStock[],3,FALSE)</f>
        <v>#N/A</v>
      </c>
      <c r="M1278" s="62" t="e">
        <f>VLOOKUP(I1278,PGStock[],6,FALSE)</f>
        <v>#N/A</v>
      </c>
      <c r="N1278" s="62" t="e">
        <f>+Table8[[#This Row],[SalesBot]]*Table8[[#This Row],[Bonus]]</f>
        <v>#N/A</v>
      </c>
    </row>
    <row r="1279" spans="1:14" ht="23.25" customHeight="1" x14ac:dyDescent="0.25">
      <c r="A1279" s="59">
        <f t="shared" si="123"/>
        <v>1900</v>
      </c>
      <c r="B1279" s="59">
        <f t="shared" si="124"/>
        <v>1</v>
      </c>
      <c r="C1279" s="60"/>
      <c r="D1279" s="61"/>
      <c r="F1279" s="23" t="e">
        <f>VLOOKUP(E1279,Customers[],2,FALSE)</f>
        <v>#N/A</v>
      </c>
      <c r="G1279" s="23" t="e">
        <f>VLOOKUP(E1279,Customers[],3,FALSE)</f>
        <v>#N/A</v>
      </c>
      <c r="H1279" s="23" t="e">
        <f>VLOOKUP(E1279,Customers[],4,FALSE)</f>
        <v>#N/A</v>
      </c>
      <c r="J1279" s="29" t="e">
        <f>VLOOKUP(I1279,PGStock[],2,FALSE)</f>
        <v>#N/A</v>
      </c>
      <c r="K1279" s="30" t="e">
        <f>VLOOKUP(I1279,PGStock[],3,FALSE)</f>
        <v>#N/A</v>
      </c>
      <c r="M1279" s="62" t="e">
        <f>VLOOKUP(I1279,PGStock[],6,FALSE)</f>
        <v>#N/A</v>
      </c>
      <c r="N1279" s="62" t="e">
        <f>+Table8[[#This Row],[SalesBot]]*Table8[[#This Row],[Bonus]]</f>
        <v>#N/A</v>
      </c>
    </row>
    <row r="1280" spans="1:14" ht="23.25" customHeight="1" x14ac:dyDescent="0.25">
      <c r="A1280" s="59">
        <f t="shared" si="123"/>
        <v>1900</v>
      </c>
      <c r="B1280" s="59">
        <f t="shared" si="124"/>
        <v>1</v>
      </c>
      <c r="C1280" s="60"/>
      <c r="D1280" s="61"/>
      <c r="F1280" s="23" t="e">
        <f>VLOOKUP(E1280,Customers[],2,FALSE)</f>
        <v>#N/A</v>
      </c>
      <c r="G1280" s="23" t="e">
        <f>VLOOKUP(E1280,Customers[],3,FALSE)</f>
        <v>#N/A</v>
      </c>
      <c r="H1280" s="23" t="e">
        <f>VLOOKUP(E1280,Customers[],4,FALSE)</f>
        <v>#N/A</v>
      </c>
      <c r="J1280" s="29" t="e">
        <f>VLOOKUP(I1280,PGStock[],2,FALSE)</f>
        <v>#N/A</v>
      </c>
      <c r="K1280" s="30" t="e">
        <f>VLOOKUP(I1280,PGStock[],3,FALSE)</f>
        <v>#N/A</v>
      </c>
      <c r="M1280" s="62" t="e">
        <f>VLOOKUP(I1280,PGStock[],6,FALSE)</f>
        <v>#N/A</v>
      </c>
      <c r="N1280" s="62" t="e">
        <f>+Table8[[#This Row],[SalesBot]]*Table8[[#This Row],[Bonus]]</f>
        <v>#N/A</v>
      </c>
    </row>
    <row r="1281" spans="1:14" ht="23.25" customHeight="1" x14ac:dyDescent="0.25">
      <c r="A1281" s="59">
        <f t="shared" si="123"/>
        <v>1900</v>
      </c>
      <c r="B1281" s="59">
        <f t="shared" si="124"/>
        <v>1</v>
      </c>
      <c r="C1281" s="60"/>
      <c r="D1281" s="61"/>
      <c r="F1281" s="23" t="e">
        <f>VLOOKUP(E1281,Customers[],2,FALSE)</f>
        <v>#N/A</v>
      </c>
      <c r="G1281" s="23" t="e">
        <f>VLOOKUP(E1281,Customers[],3,FALSE)</f>
        <v>#N/A</v>
      </c>
      <c r="H1281" s="23" t="e">
        <f>VLOOKUP(E1281,Customers[],4,FALSE)</f>
        <v>#N/A</v>
      </c>
      <c r="J1281" s="29" t="e">
        <f>VLOOKUP(I1281,PGStock[],2,FALSE)</f>
        <v>#N/A</v>
      </c>
      <c r="K1281" s="30" t="e">
        <f>VLOOKUP(I1281,PGStock[],3,FALSE)</f>
        <v>#N/A</v>
      </c>
      <c r="M1281" s="62" t="e">
        <f>VLOOKUP(I1281,PGStock[],6,FALSE)</f>
        <v>#N/A</v>
      </c>
      <c r="N1281" s="62" t="e">
        <f>+Table8[[#This Row],[SalesBot]]*Table8[[#This Row],[Bonus]]</f>
        <v>#N/A</v>
      </c>
    </row>
    <row r="1282" spans="1:14" ht="23.25" customHeight="1" x14ac:dyDescent="0.25">
      <c r="A1282" s="59">
        <f t="shared" si="123"/>
        <v>1900</v>
      </c>
      <c r="B1282" s="59">
        <f t="shared" si="124"/>
        <v>1</v>
      </c>
      <c r="C1282" s="60"/>
      <c r="D1282" s="61"/>
      <c r="F1282" s="23" t="e">
        <f>VLOOKUP(E1282,Customers[],2,FALSE)</f>
        <v>#N/A</v>
      </c>
      <c r="G1282" s="23" t="e">
        <f>VLOOKUP(E1282,Customers[],3,FALSE)</f>
        <v>#N/A</v>
      </c>
      <c r="H1282" s="23" t="e">
        <f>VLOOKUP(E1282,Customers[],4,FALSE)</f>
        <v>#N/A</v>
      </c>
      <c r="J1282" s="29" t="e">
        <f>VLOOKUP(I1282,PGStock[],2,FALSE)</f>
        <v>#N/A</v>
      </c>
      <c r="K1282" s="30" t="e">
        <f>VLOOKUP(I1282,PGStock[],3,FALSE)</f>
        <v>#N/A</v>
      </c>
      <c r="M1282" s="62" t="e">
        <f>VLOOKUP(I1282,PGStock[],6,FALSE)</f>
        <v>#N/A</v>
      </c>
      <c r="N1282" s="62" t="e">
        <f>+Table8[[#This Row],[SalesBot]]*Table8[[#This Row],[Bonus]]</f>
        <v>#N/A</v>
      </c>
    </row>
    <row r="1283" spans="1:14" ht="23.25" customHeight="1" x14ac:dyDescent="0.25">
      <c r="A1283" s="59">
        <f t="shared" si="123"/>
        <v>1900</v>
      </c>
      <c r="B1283" s="59">
        <f t="shared" si="124"/>
        <v>1</v>
      </c>
      <c r="C1283" s="60"/>
      <c r="D1283" s="61"/>
      <c r="F1283" s="23" t="e">
        <f>VLOOKUP(E1283,Customers[],2,FALSE)</f>
        <v>#N/A</v>
      </c>
      <c r="G1283" s="23" t="e">
        <f>VLOOKUP(E1283,Customers[],3,FALSE)</f>
        <v>#N/A</v>
      </c>
      <c r="H1283" s="23" t="e">
        <f>VLOOKUP(E1283,Customers[],4,FALSE)</f>
        <v>#N/A</v>
      </c>
      <c r="J1283" s="29" t="e">
        <f>VLOOKUP(I1283,PGStock[],2,FALSE)</f>
        <v>#N/A</v>
      </c>
      <c r="K1283" s="30" t="e">
        <f>VLOOKUP(I1283,PGStock[],3,FALSE)</f>
        <v>#N/A</v>
      </c>
      <c r="M1283" s="62" t="e">
        <f>VLOOKUP(I1283,PGStock[],6,FALSE)</f>
        <v>#N/A</v>
      </c>
      <c r="N1283" s="62" t="e">
        <f>+Table8[[#This Row],[SalesBot]]*Table8[[#This Row],[Bonus]]</f>
        <v>#N/A</v>
      </c>
    </row>
    <row r="1284" spans="1:14" ht="23.25" customHeight="1" x14ac:dyDescent="0.25">
      <c r="A1284" s="59">
        <f t="shared" si="123"/>
        <v>1900</v>
      </c>
      <c r="B1284" s="59">
        <f t="shared" si="124"/>
        <v>1</v>
      </c>
      <c r="C1284" s="60"/>
      <c r="D1284" s="61"/>
      <c r="F1284" s="23" t="e">
        <f>VLOOKUP(E1284,Customers[],2,FALSE)</f>
        <v>#N/A</v>
      </c>
      <c r="G1284" s="23" t="e">
        <f>VLOOKUP(E1284,Customers[],3,FALSE)</f>
        <v>#N/A</v>
      </c>
      <c r="H1284" s="23" t="e">
        <f>VLOOKUP(E1284,Customers[],4,FALSE)</f>
        <v>#N/A</v>
      </c>
      <c r="J1284" s="29" t="e">
        <f>VLOOKUP(I1284,PGStock[],2,FALSE)</f>
        <v>#N/A</v>
      </c>
      <c r="K1284" s="30" t="e">
        <f>VLOOKUP(I1284,PGStock[],3,FALSE)</f>
        <v>#N/A</v>
      </c>
      <c r="M1284" s="62" t="e">
        <f>VLOOKUP(I1284,PGStock[],6,FALSE)</f>
        <v>#N/A</v>
      </c>
      <c r="N1284" s="62" t="e">
        <f>+Table8[[#This Row],[SalesBot]]*Table8[[#This Row],[Bonus]]</f>
        <v>#N/A</v>
      </c>
    </row>
    <row r="1285" spans="1:14" ht="23.25" customHeight="1" x14ac:dyDescent="0.25">
      <c r="A1285" s="59">
        <f t="shared" si="123"/>
        <v>1900</v>
      </c>
      <c r="B1285" s="59">
        <f t="shared" si="124"/>
        <v>1</v>
      </c>
      <c r="C1285" s="60"/>
      <c r="D1285" s="61"/>
      <c r="F1285" s="23" t="e">
        <f>VLOOKUP(E1285,Customers[],2,FALSE)</f>
        <v>#N/A</v>
      </c>
      <c r="G1285" s="23" t="e">
        <f>VLOOKUP(E1285,Customers[],3,FALSE)</f>
        <v>#N/A</v>
      </c>
      <c r="H1285" s="23" t="e">
        <f>VLOOKUP(E1285,Customers[],4,FALSE)</f>
        <v>#N/A</v>
      </c>
      <c r="J1285" s="29" t="e">
        <f>VLOOKUP(I1285,PGStock[],2,FALSE)</f>
        <v>#N/A</v>
      </c>
      <c r="K1285" s="30" t="e">
        <f>VLOOKUP(I1285,PGStock[],3,FALSE)</f>
        <v>#N/A</v>
      </c>
      <c r="M1285" s="62" t="e">
        <f>VLOOKUP(I1285,PGStock[],6,FALSE)</f>
        <v>#N/A</v>
      </c>
      <c r="N1285" s="62" t="e">
        <f>+Table8[[#This Row],[SalesBot]]*Table8[[#This Row],[Bonus]]</f>
        <v>#N/A</v>
      </c>
    </row>
    <row r="1286" spans="1:14" ht="23.25" customHeight="1" x14ac:dyDescent="0.25">
      <c r="A1286" s="59">
        <f t="shared" si="123"/>
        <v>1900</v>
      </c>
      <c r="B1286" s="59">
        <f t="shared" si="124"/>
        <v>1</v>
      </c>
      <c r="C1286" s="60"/>
      <c r="D1286" s="61"/>
      <c r="F1286" s="23" t="e">
        <f>VLOOKUP(E1286,Customers[],2,FALSE)</f>
        <v>#N/A</v>
      </c>
      <c r="G1286" s="23" t="e">
        <f>VLOOKUP(E1286,Customers[],3,FALSE)</f>
        <v>#N/A</v>
      </c>
      <c r="H1286" s="23" t="e">
        <f>VLOOKUP(E1286,Customers[],4,FALSE)</f>
        <v>#N/A</v>
      </c>
      <c r="J1286" s="29" t="e">
        <f>VLOOKUP(I1286,PGStock[],2,FALSE)</f>
        <v>#N/A</v>
      </c>
      <c r="K1286" s="30" t="e">
        <f>VLOOKUP(I1286,PGStock[],3,FALSE)</f>
        <v>#N/A</v>
      </c>
      <c r="M1286" s="62" t="e">
        <f>VLOOKUP(I1286,PGStock[],6,FALSE)</f>
        <v>#N/A</v>
      </c>
      <c r="N1286" s="62" t="e">
        <f>+Table8[[#This Row],[SalesBot]]*Table8[[#This Row],[Bonus]]</f>
        <v>#N/A</v>
      </c>
    </row>
    <row r="1287" spans="1:14" ht="23.25" customHeight="1" x14ac:dyDescent="0.25">
      <c r="A1287" s="59">
        <f t="shared" si="123"/>
        <v>1900</v>
      </c>
      <c r="B1287" s="59">
        <f t="shared" si="124"/>
        <v>1</v>
      </c>
      <c r="C1287" s="60"/>
      <c r="D1287" s="61"/>
      <c r="F1287" s="23" t="e">
        <f>VLOOKUP(E1287,Customers[],2,FALSE)</f>
        <v>#N/A</v>
      </c>
      <c r="G1287" s="23" t="e">
        <f>VLOOKUP(E1287,Customers[],3,FALSE)</f>
        <v>#N/A</v>
      </c>
      <c r="H1287" s="23" t="e">
        <f>VLOOKUP(E1287,Customers[],4,FALSE)</f>
        <v>#N/A</v>
      </c>
      <c r="J1287" s="29" t="e">
        <f>VLOOKUP(I1287,PGStock[],2,FALSE)</f>
        <v>#N/A</v>
      </c>
      <c r="K1287" s="30" t="e">
        <f>VLOOKUP(I1287,PGStock[],3,FALSE)</f>
        <v>#N/A</v>
      </c>
      <c r="M1287" s="62" t="e">
        <f>VLOOKUP(I1287,PGStock[],6,FALSE)</f>
        <v>#N/A</v>
      </c>
      <c r="N1287" s="62" t="e">
        <f>+Table8[[#This Row],[SalesBot]]*Table8[[#This Row],[Bonus]]</f>
        <v>#N/A</v>
      </c>
    </row>
    <row r="1288" spans="1:14" ht="23.25" customHeight="1" x14ac:dyDescent="0.25">
      <c r="A1288" s="59">
        <f t="shared" ref="A1288:A1319" si="125">YEAR(C1288)</f>
        <v>1900</v>
      </c>
      <c r="B1288" s="59">
        <f t="shared" ref="B1288:B1319" si="126">MONTH(C1288)</f>
        <v>1</v>
      </c>
      <c r="C1288" s="60"/>
      <c r="D1288" s="61"/>
      <c r="F1288" s="23" t="e">
        <f>VLOOKUP(E1288,Customers[],2,FALSE)</f>
        <v>#N/A</v>
      </c>
      <c r="G1288" s="23" t="e">
        <f>VLOOKUP(E1288,Customers[],3,FALSE)</f>
        <v>#N/A</v>
      </c>
      <c r="H1288" s="23" t="e">
        <f>VLOOKUP(E1288,Customers[],4,FALSE)</f>
        <v>#N/A</v>
      </c>
      <c r="J1288" s="29" t="e">
        <f>VLOOKUP(I1288,PGStock[],2,FALSE)</f>
        <v>#N/A</v>
      </c>
      <c r="K1288" s="30" t="e">
        <f>VLOOKUP(I1288,PGStock[],3,FALSE)</f>
        <v>#N/A</v>
      </c>
      <c r="M1288" s="62" t="e">
        <f>VLOOKUP(I1288,PGStock[],6,FALSE)</f>
        <v>#N/A</v>
      </c>
      <c r="N1288" s="62" t="e">
        <f>+Table8[[#This Row],[SalesBot]]*Table8[[#This Row],[Bonus]]</f>
        <v>#N/A</v>
      </c>
    </row>
    <row r="1289" spans="1:14" ht="23.25" customHeight="1" x14ac:dyDescent="0.25">
      <c r="A1289" s="59">
        <f t="shared" si="125"/>
        <v>1900</v>
      </c>
      <c r="B1289" s="59">
        <f t="shared" si="126"/>
        <v>1</v>
      </c>
      <c r="C1289" s="60"/>
      <c r="D1289" s="61"/>
      <c r="F1289" s="23" t="e">
        <f>VLOOKUP(E1289,Customers[],2,FALSE)</f>
        <v>#N/A</v>
      </c>
      <c r="G1289" s="23" t="e">
        <f>VLOOKUP(E1289,Customers[],3,FALSE)</f>
        <v>#N/A</v>
      </c>
      <c r="H1289" s="23" t="e">
        <f>VLOOKUP(E1289,Customers[],4,FALSE)</f>
        <v>#N/A</v>
      </c>
      <c r="J1289" s="29" t="e">
        <f>VLOOKUP(I1289,PGStock[],2,FALSE)</f>
        <v>#N/A</v>
      </c>
      <c r="K1289" s="30" t="e">
        <f>VLOOKUP(I1289,PGStock[],3,FALSE)</f>
        <v>#N/A</v>
      </c>
      <c r="M1289" s="62" t="e">
        <f>VLOOKUP(I1289,PGStock[],6,FALSE)</f>
        <v>#N/A</v>
      </c>
      <c r="N1289" s="62" t="e">
        <f>+Table8[[#This Row],[SalesBot]]*Table8[[#This Row],[Bonus]]</f>
        <v>#N/A</v>
      </c>
    </row>
    <row r="1290" spans="1:14" ht="23.25" customHeight="1" x14ac:dyDescent="0.25">
      <c r="A1290" s="59">
        <f t="shared" si="125"/>
        <v>1900</v>
      </c>
      <c r="B1290" s="59">
        <f t="shared" si="126"/>
        <v>1</v>
      </c>
      <c r="C1290" s="60"/>
      <c r="D1290" s="61"/>
      <c r="F1290" s="23" t="e">
        <f>VLOOKUP(E1290,Customers[],2,FALSE)</f>
        <v>#N/A</v>
      </c>
      <c r="G1290" s="23" t="e">
        <f>VLOOKUP(E1290,Customers[],3,FALSE)</f>
        <v>#N/A</v>
      </c>
      <c r="H1290" s="23" t="e">
        <f>VLOOKUP(E1290,Customers[],4,FALSE)</f>
        <v>#N/A</v>
      </c>
      <c r="J1290" s="29" t="e">
        <f>VLOOKUP(I1290,PGStock[],2,FALSE)</f>
        <v>#N/A</v>
      </c>
      <c r="K1290" s="30" t="e">
        <f>VLOOKUP(I1290,PGStock[],3,FALSE)</f>
        <v>#N/A</v>
      </c>
      <c r="M1290" s="62" t="e">
        <f>VLOOKUP(I1290,PGStock[],6,FALSE)</f>
        <v>#N/A</v>
      </c>
      <c r="N1290" s="62" t="e">
        <f>+Table8[[#This Row],[SalesBot]]*Table8[[#This Row],[Bonus]]</f>
        <v>#N/A</v>
      </c>
    </row>
    <row r="1291" spans="1:14" ht="23.25" customHeight="1" x14ac:dyDescent="0.25">
      <c r="A1291" s="59">
        <f t="shared" si="125"/>
        <v>1900</v>
      </c>
      <c r="B1291" s="59">
        <f t="shared" si="126"/>
        <v>1</v>
      </c>
      <c r="C1291" s="60"/>
      <c r="D1291" s="61"/>
      <c r="F1291" s="23" t="e">
        <f>VLOOKUP(E1291,Customers[],2,FALSE)</f>
        <v>#N/A</v>
      </c>
      <c r="G1291" s="23" t="e">
        <f>VLOOKUP(E1291,Customers[],3,FALSE)</f>
        <v>#N/A</v>
      </c>
      <c r="H1291" s="23" t="e">
        <f>VLOOKUP(E1291,Customers[],4,FALSE)</f>
        <v>#N/A</v>
      </c>
      <c r="J1291" s="29" t="e">
        <f>VLOOKUP(I1291,PGStock[],2,FALSE)</f>
        <v>#N/A</v>
      </c>
      <c r="K1291" s="30" t="e">
        <f>VLOOKUP(I1291,PGStock[],3,FALSE)</f>
        <v>#N/A</v>
      </c>
      <c r="M1291" s="62" t="e">
        <f>VLOOKUP(I1291,PGStock[],6,FALSE)</f>
        <v>#N/A</v>
      </c>
      <c r="N1291" s="62" t="e">
        <f>+Table8[[#This Row],[SalesBot]]*Table8[[#This Row],[Bonus]]</f>
        <v>#N/A</v>
      </c>
    </row>
    <row r="1292" spans="1:14" ht="23.25" customHeight="1" x14ac:dyDescent="0.25">
      <c r="A1292" s="59">
        <f t="shared" si="125"/>
        <v>1900</v>
      </c>
      <c r="B1292" s="59">
        <f t="shared" si="126"/>
        <v>1</v>
      </c>
      <c r="C1292" s="60"/>
      <c r="D1292" s="61"/>
      <c r="F1292" s="23" t="e">
        <f>VLOOKUP(E1292,Customers[],2,FALSE)</f>
        <v>#N/A</v>
      </c>
      <c r="G1292" s="23" t="e">
        <f>VLOOKUP(E1292,Customers[],3,FALSE)</f>
        <v>#N/A</v>
      </c>
      <c r="H1292" s="23" t="e">
        <f>VLOOKUP(E1292,Customers[],4,FALSE)</f>
        <v>#N/A</v>
      </c>
      <c r="J1292" s="29" t="e">
        <f>VLOOKUP(I1292,PGStock[],2,FALSE)</f>
        <v>#N/A</v>
      </c>
      <c r="K1292" s="30" t="e">
        <f>VLOOKUP(I1292,PGStock[],3,FALSE)</f>
        <v>#N/A</v>
      </c>
      <c r="M1292" s="62" t="e">
        <f>VLOOKUP(I1292,PGStock[],6,FALSE)</f>
        <v>#N/A</v>
      </c>
      <c r="N1292" s="62" t="e">
        <f>+Table8[[#This Row],[SalesBot]]*Table8[[#This Row],[Bonus]]</f>
        <v>#N/A</v>
      </c>
    </row>
    <row r="1293" spans="1:14" ht="23.25" customHeight="1" x14ac:dyDescent="0.25">
      <c r="A1293" s="59">
        <f t="shared" si="125"/>
        <v>1900</v>
      </c>
      <c r="B1293" s="59">
        <f t="shared" si="126"/>
        <v>1</v>
      </c>
      <c r="C1293" s="60"/>
      <c r="D1293" s="61"/>
      <c r="F1293" s="23" t="e">
        <f>VLOOKUP(E1293,Customers[],2,FALSE)</f>
        <v>#N/A</v>
      </c>
      <c r="G1293" s="23" t="e">
        <f>VLOOKUP(E1293,Customers[],3,FALSE)</f>
        <v>#N/A</v>
      </c>
      <c r="H1293" s="23" t="e">
        <f>VLOOKUP(E1293,Customers[],4,FALSE)</f>
        <v>#N/A</v>
      </c>
      <c r="J1293" s="29" t="e">
        <f>VLOOKUP(I1293,PGStock[],2,FALSE)</f>
        <v>#N/A</v>
      </c>
      <c r="K1293" s="30" t="e">
        <f>VLOOKUP(I1293,PGStock[],3,FALSE)</f>
        <v>#N/A</v>
      </c>
      <c r="M1293" s="62" t="e">
        <f>VLOOKUP(I1293,PGStock[],6,FALSE)</f>
        <v>#N/A</v>
      </c>
      <c r="N1293" s="62" t="e">
        <f>+Table8[[#This Row],[SalesBot]]*Table8[[#This Row],[Bonus]]</f>
        <v>#N/A</v>
      </c>
    </row>
    <row r="1294" spans="1:14" ht="23.25" customHeight="1" x14ac:dyDescent="0.25">
      <c r="A1294" s="59">
        <f t="shared" si="125"/>
        <v>1900</v>
      </c>
      <c r="B1294" s="59">
        <f t="shared" si="126"/>
        <v>1</v>
      </c>
      <c r="C1294" s="60"/>
      <c r="D1294" s="61"/>
      <c r="F1294" s="23" t="e">
        <f>VLOOKUP(E1294,Customers[],2,FALSE)</f>
        <v>#N/A</v>
      </c>
      <c r="G1294" s="23" t="e">
        <f>VLOOKUP(E1294,Customers[],3,FALSE)</f>
        <v>#N/A</v>
      </c>
      <c r="H1294" s="23" t="e">
        <f>VLOOKUP(E1294,Customers[],4,FALSE)</f>
        <v>#N/A</v>
      </c>
      <c r="J1294" s="29" t="e">
        <f>VLOOKUP(I1294,PGStock[],2,FALSE)</f>
        <v>#N/A</v>
      </c>
      <c r="K1294" s="30" t="e">
        <f>VLOOKUP(I1294,PGStock[],3,FALSE)</f>
        <v>#N/A</v>
      </c>
      <c r="M1294" s="62" t="e">
        <f>VLOOKUP(I1294,PGStock[],6,FALSE)</f>
        <v>#N/A</v>
      </c>
      <c r="N1294" s="62" t="e">
        <f>+Table8[[#This Row],[SalesBot]]*Table8[[#This Row],[Bonus]]</f>
        <v>#N/A</v>
      </c>
    </row>
    <row r="1295" spans="1:14" ht="23.25" customHeight="1" x14ac:dyDescent="0.25">
      <c r="A1295" s="59">
        <f t="shared" si="125"/>
        <v>1900</v>
      </c>
      <c r="B1295" s="59">
        <f t="shared" si="126"/>
        <v>1</v>
      </c>
      <c r="C1295" s="60"/>
      <c r="D1295" s="61"/>
      <c r="F1295" s="23" t="e">
        <f>VLOOKUP(E1295,Customers[],2,FALSE)</f>
        <v>#N/A</v>
      </c>
      <c r="G1295" s="23" t="e">
        <f>VLOOKUP(E1295,Customers[],3,FALSE)</f>
        <v>#N/A</v>
      </c>
      <c r="H1295" s="23" t="e">
        <f>VLOOKUP(E1295,Customers[],4,FALSE)</f>
        <v>#N/A</v>
      </c>
      <c r="J1295" s="29" t="e">
        <f>VLOOKUP(I1295,PGStock[],2,FALSE)</f>
        <v>#N/A</v>
      </c>
      <c r="K1295" s="30" t="e">
        <f>VLOOKUP(I1295,PGStock[],3,FALSE)</f>
        <v>#N/A</v>
      </c>
      <c r="M1295" s="62" t="e">
        <f>VLOOKUP(I1295,PGStock[],6,FALSE)</f>
        <v>#N/A</v>
      </c>
      <c r="N1295" s="62" t="e">
        <f>+Table8[[#This Row],[SalesBot]]*Table8[[#This Row],[Bonus]]</f>
        <v>#N/A</v>
      </c>
    </row>
    <row r="1296" spans="1:14" ht="23.25" customHeight="1" x14ac:dyDescent="0.25">
      <c r="A1296" s="59">
        <f t="shared" si="125"/>
        <v>1900</v>
      </c>
      <c r="B1296" s="59">
        <f t="shared" si="126"/>
        <v>1</v>
      </c>
      <c r="C1296" s="60"/>
      <c r="D1296" s="61"/>
      <c r="F1296" s="23" t="e">
        <f>VLOOKUP(E1296,Customers[],2,FALSE)</f>
        <v>#N/A</v>
      </c>
      <c r="G1296" s="23" t="e">
        <f>VLOOKUP(E1296,Customers[],3,FALSE)</f>
        <v>#N/A</v>
      </c>
      <c r="H1296" s="23" t="e">
        <f>VLOOKUP(E1296,Customers[],4,FALSE)</f>
        <v>#N/A</v>
      </c>
      <c r="J1296" s="29" t="e">
        <f>VLOOKUP(I1296,PGStock[],2,FALSE)</f>
        <v>#N/A</v>
      </c>
      <c r="K1296" s="30" t="e">
        <f>VLOOKUP(I1296,PGStock[],3,FALSE)</f>
        <v>#N/A</v>
      </c>
      <c r="M1296" s="62" t="e">
        <f>VLOOKUP(I1296,PGStock[],6,FALSE)</f>
        <v>#N/A</v>
      </c>
      <c r="N1296" s="62" t="e">
        <f>+Table8[[#This Row],[SalesBot]]*Table8[[#This Row],[Bonus]]</f>
        <v>#N/A</v>
      </c>
    </row>
    <row r="1297" spans="1:14" ht="23.25" customHeight="1" x14ac:dyDescent="0.25">
      <c r="A1297" s="59">
        <f t="shared" si="125"/>
        <v>1900</v>
      </c>
      <c r="B1297" s="59">
        <f t="shared" si="126"/>
        <v>1</v>
      </c>
      <c r="C1297" s="60"/>
      <c r="D1297" s="61"/>
      <c r="F1297" s="23" t="e">
        <f>VLOOKUP(E1297,Customers[],2,FALSE)</f>
        <v>#N/A</v>
      </c>
      <c r="G1297" s="23" t="e">
        <f>VLOOKUP(E1297,Customers[],3,FALSE)</f>
        <v>#N/A</v>
      </c>
      <c r="H1297" s="23" t="e">
        <f>VLOOKUP(E1297,Customers[],4,FALSE)</f>
        <v>#N/A</v>
      </c>
      <c r="J1297" s="29" t="e">
        <f>VLOOKUP(I1297,PGStock[],2,FALSE)</f>
        <v>#N/A</v>
      </c>
      <c r="K1297" s="30" t="e">
        <f>VLOOKUP(I1297,PGStock[],3,FALSE)</f>
        <v>#N/A</v>
      </c>
      <c r="M1297" s="62" t="e">
        <f>VLOOKUP(I1297,PGStock[],6,FALSE)</f>
        <v>#N/A</v>
      </c>
      <c r="N1297" s="62" t="e">
        <f>+Table8[[#This Row],[SalesBot]]*Table8[[#This Row],[Bonus]]</f>
        <v>#N/A</v>
      </c>
    </row>
    <row r="1298" spans="1:14" ht="23.25" customHeight="1" x14ac:dyDescent="0.25">
      <c r="A1298" s="59">
        <f t="shared" si="125"/>
        <v>1900</v>
      </c>
      <c r="B1298" s="59">
        <f t="shared" si="126"/>
        <v>1</v>
      </c>
      <c r="C1298" s="60"/>
      <c r="D1298" s="61"/>
      <c r="F1298" s="23" t="e">
        <f>VLOOKUP(E1298,Customers[],2,FALSE)</f>
        <v>#N/A</v>
      </c>
      <c r="G1298" s="23" t="e">
        <f>VLOOKUP(E1298,Customers[],3,FALSE)</f>
        <v>#N/A</v>
      </c>
      <c r="H1298" s="23" t="e">
        <f>VLOOKUP(E1298,Customers[],4,FALSE)</f>
        <v>#N/A</v>
      </c>
      <c r="J1298" s="29" t="e">
        <f>VLOOKUP(I1298,PGStock[],2,FALSE)</f>
        <v>#N/A</v>
      </c>
      <c r="K1298" s="30" t="e">
        <f>VLOOKUP(I1298,PGStock[],3,FALSE)</f>
        <v>#N/A</v>
      </c>
      <c r="M1298" s="62" t="e">
        <f>VLOOKUP(I1298,PGStock[],6,FALSE)</f>
        <v>#N/A</v>
      </c>
      <c r="N1298" s="62" t="e">
        <f>+Table8[[#This Row],[SalesBot]]*Table8[[#This Row],[Bonus]]</f>
        <v>#N/A</v>
      </c>
    </row>
    <row r="1299" spans="1:14" ht="23.25" customHeight="1" x14ac:dyDescent="0.25">
      <c r="A1299" s="59">
        <f t="shared" si="125"/>
        <v>1900</v>
      </c>
      <c r="B1299" s="59">
        <f t="shared" si="126"/>
        <v>1</v>
      </c>
      <c r="C1299" s="60"/>
      <c r="D1299" s="61"/>
      <c r="F1299" s="23" t="e">
        <f>VLOOKUP(E1299,Customers[],2,FALSE)</f>
        <v>#N/A</v>
      </c>
      <c r="G1299" s="23" t="e">
        <f>VLOOKUP(E1299,Customers[],3,FALSE)</f>
        <v>#N/A</v>
      </c>
      <c r="H1299" s="23" t="e">
        <f>VLOOKUP(E1299,Customers[],4,FALSE)</f>
        <v>#N/A</v>
      </c>
      <c r="J1299" s="29" t="e">
        <f>VLOOKUP(I1299,PGStock[],2,FALSE)</f>
        <v>#N/A</v>
      </c>
      <c r="K1299" s="30" t="e">
        <f>VLOOKUP(I1299,PGStock[],3,FALSE)</f>
        <v>#N/A</v>
      </c>
      <c r="M1299" s="62" t="e">
        <f>VLOOKUP(I1299,PGStock[],6,FALSE)</f>
        <v>#N/A</v>
      </c>
      <c r="N1299" s="62" t="e">
        <f>+Table8[[#This Row],[SalesBot]]*Table8[[#This Row],[Bonus]]</f>
        <v>#N/A</v>
      </c>
    </row>
    <row r="1300" spans="1:14" ht="23.25" customHeight="1" x14ac:dyDescent="0.25">
      <c r="A1300" s="59">
        <f t="shared" si="125"/>
        <v>1900</v>
      </c>
      <c r="B1300" s="59">
        <f t="shared" si="126"/>
        <v>1</v>
      </c>
      <c r="C1300" s="60"/>
      <c r="D1300" s="61"/>
      <c r="F1300" s="23" t="e">
        <f>VLOOKUP(E1300,Customers[],2,FALSE)</f>
        <v>#N/A</v>
      </c>
      <c r="G1300" s="23" t="e">
        <f>VLOOKUP(E1300,Customers[],3,FALSE)</f>
        <v>#N/A</v>
      </c>
      <c r="H1300" s="23" t="e">
        <f>VLOOKUP(E1300,Customers[],4,FALSE)</f>
        <v>#N/A</v>
      </c>
      <c r="J1300" s="29" t="e">
        <f>VLOOKUP(I1300,PGStock[],2,FALSE)</f>
        <v>#N/A</v>
      </c>
      <c r="K1300" s="30" t="e">
        <f>VLOOKUP(I1300,PGStock[],3,FALSE)</f>
        <v>#N/A</v>
      </c>
      <c r="M1300" s="62" t="e">
        <f>VLOOKUP(I1300,PGStock[],6,FALSE)</f>
        <v>#N/A</v>
      </c>
      <c r="N1300" s="62" t="e">
        <f>+Table8[[#This Row],[SalesBot]]*Table8[[#This Row],[Bonus]]</f>
        <v>#N/A</v>
      </c>
    </row>
    <row r="1301" spans="1:14" ht="23.25" customHeight="1" x14ac:dyDescent="0.25">
      <c r="A1301" s="59">
        <f t="shared" si="125"/>
        <v>1900</v>
      </c>
      <c r="B1301" s="59">
        <f t="shared" si="126"/>
        <v>1</v>
      </c>
      <c r="C1301" s="60"/>
      <c r="D1301" s="61"/>
      <c r="F1301" s="23" t="e">
        <f>VLOOKUP(E1301,Customers[],2,FALSE)</f>
        <v>#N/A</v>
      </c>
      <c r="G1301" s="23" t="e">
        <f>VLOOKUP(E1301,Customers[],3,FALSE)</f>
        <v>#N/A</v>
      </c>
      <c r="H1301" s="23" t="e">
        <f>VLOOKUP(E1301,Customers[],4,FALSE)</f>
        <v>#N/A</v>
      </c>
      <c r="J1301" s="29" t="e">
        <f>VLOOKUP(I1301,PGStock[],2,FALSE)</f>
        <v>#N/A</v>
      </c>
      <c r="K1301" s="30" t="e">
        <f>VLOOKUP(I1301,PGStock[],3,FALSE)</f>
        <v>#N/A</v>
      </c>
      <c r="M1301" s="62" t="e">
        <f>VLOOKUP(I1301,PGStock[],6,FALSE)</f>
        <v>#N/A</v>
      </c>
      <c r="N1301" s="62" t="e">
        <f>+Table8[[#This Row],[SalesBot]]*Table8[[#This Row],[Bonus]]</f>
        <v>#N/A</v>
      </c>
    </row>
    <row r="1302" spans="1:14" ht="23.25" customHeight="1" x14ac:dyDescent="0.25">
      <c r="A1302" s="59">
        <f t="shared" si="125"/>
        <v>1900</v>
      </c>
      <c r="B1302" s="59">
        <f t="shared" si="126"/>
        <v>1</v>
      </c>
      <c r="C1302" s="60"/>
      <c r="D1302" s="61"/>
      <c r="F1302" s="23" t="e">
        <f>VLOOKUP(E1302,Customers[],2,FALSE)</f>
        <v>#N/A</v>
      </c>
      <c r="G1302" s="23" t="e">
        <f>VLOOKUP(E1302,Customers[],3,FALSE)</f>
        <v>#N/A</v>
      </c>
      <c r="H1302" s="23" t="e">
        <f>VLOOKUP(E1302,Customers[],4,FALSE)</f>
        <v>#N/A</v>
      </c>
      <c r="J1302" s="29" t="e">
        <f>VLOOKUP(I1302,PGStock[],2,FALSE)</f>
        <v>#N/A</v>
      </c>
      <c r="K1302" s="30" t="e">
        <f>VLOOKUP(I1302,PGStock[],3,FALSE)</f>
        <v>#N/A</v>
      </c>
      <c r="M1302" s="62" t="e">
        <f>VLOOKUP(I1302,PGStock[],6,FALSE)</f>
        <v>#N/A</v>
      </c>
      <c r="N1302" s="62" t="e">
        <f>+Table8[[#This Row],[SalesBot]]*Table8[[#This Row],[Bonus]]</f>
        <v>#N/A</v>
      </c>
    </row>
    <row r="1303" spans="1:14" ht="23.25" customHeight="1" x14ac:dyDescent="0.25">
      <c r="A1303" s="59">
        <f t="shared" si="125"/>
        <v>1900</v>
      </c>
      <c r="B1303" s="59">
        <f t="shared" si="126"/>
        <v>1</v>
      </c>
      <c r="C1303" s="60"/>
      <c r="D1303" s="61"/>
      <c r="F1303" s="23" t="e">
        <f>VLOOKUP(E1303,Customers[],2,FALSE)</f>
        <v>#N/A</v>
      </c>
      <c r="G1303" s="23" t="e">
        <f>VLOOKUP(E1303,Customers[],3,FALSE)</f>
        <v>#N/A</v>
      </c>
      <c r="H1303" s="23" t="e">
        <f>VLOOKUP(E1303,Customers[],4,FALSE)</f>
        <v>#N/A</v>
      </c>
      <c r="J1303" s="29" t="e">
        <f>VLOOKUP(I1303,PGStock[],2,FALSE)</f>
        <v>#N/A</v>
      </c>
      <c r="K1303" s="30" t="e">
        <f>VLOOKUP(I1303,PGStock[],3,FALSE)</f>
        <v>#N/A</v>
      </c>
      <c r="M1303" s="62" t="e">
        <f>VLOOKUP(I1303,PGStock[],6,FALSE)</f>
        <v>#N/A</v>
      </c>
      <c r="N1303" s="62" t="e">
        <f>+Table8[[#This Row],[SalesBot]]*Table8[[#This Row],[Bonus]]</f>
        <v>#N/A</v>
      </c>
    </row>
    <row r="1304" spans="1:14" ht="23.25" customHeight="1" x14ac:dyDescent="0.25">
      <c r="A1304" s="59">
        <f t="shared" si="125"/>
        <v>1900</v>
      </c>
      <c r="B1304" s="59">
        <f t="shared" si="126"/>
        <v>1</v>
      </c>
      <c r="C1304" s="60"/>
      <c r="D1304" s="61"/>
      <c r="F1304" s="23" t="e">
        <f>VLOOKUP(E1304,Customers[],2,FALSE)</f>
        <v>#N/A</v>
      </c>
      <c r="G1304" s="23" t="e">
        <f>VLOOKUP(E1304,Customers[],3,FALSE)</f>
        <v>#N/A</v>
      </c>
      <c r="H1304" s="23" t="e">
        <f>VLOOKUP(E1304,Customers[],4,FALSE)</f>
        <v>#N/A</v>
      </c>
      <c r="J1304" s="29" t="e">
        <f>VLOOKUP(I1304,PGStock[],2,FALSE)</f>
        <v>#N/A</v>
      </c>
      <c r="K1304" s="30" t="e">
        <f>VLOOKUP(I1304,PGStock[],3,FALSE)</f>
        <v>#N/A</v>
      </c>
      <c r="M1304" s="62" t="e">
        <f>VLOOKUP(I1304,PGStock[],6,FALSE)</f>
        <v>#N/A</v>
      </c>
      <c r="N1304" s="62" t="e">
        <f>+Table8[[#This Row],[SalesBot]]*Table8[[#This Row],[Bonus]]</f>
        <v>#N/A</v>
      </c>
    </row>
    <row r="1305" spans="1:14" ht="23.25" customHeight="1" x14ac:dyDescent="0.25">
      <c r="A1305" s="59">
        <f t="shared" si="125"/>
        <v>1900</v>
      </c>
      <c r="B1305" s="59">
        <f t="shared" si="126"/>
        <v>1</v>
      </c>
      <c r="C1305" s="60"/>
      <c r="D1305" s="61"/>
      <c r="F1305" s="23" t="e">
        <f>VLOOKUP(E1305,Customers[],2,FALSE)</f>
        <v>#N/A</v>
      </c>
      <c r="G1305" s="23" t="e">
        <f>VLOOKUP(E1305,Customers[],3,FALSE)</f>
        <v>#N/A</v>
      </c>
      <c r="H1305" s="23" t="e">
        <f>VLOOKUP(E1305,Customers[],4,FALSE)</f>
        <v>#N/A</v>
      </c>
      <c r="J1305" s="29" t="e">
        <f>VLOOKUP(I1305,PGStock[],2,FALSE)</f>
        <v>#N/A</v>
      </c>
      <c r="K1305" s="30" t="e">
        <f>VLOOKUP(I1305,PGStock[],3,FALSE)</f>
        <v>#N/A</v>
      </c>
      <c r="M1305" s="62" t="e">
        <f>VLOOKUP(I1305,PGStock[],6,FALSE)</f>
        <v>#N/A</v>
      </c>
      <c r="N1305" s="62" t="e">
        <f>+Table8[[#This Row],[SalesBot]]*Table8[[#This Row],[Bonus]]</f>
        <v>#N/A</v>
      </c>
    </row>
    <row r="1306" spans="1:14" ht="23.25" customHeight="1" x14ac:dyDescent="0.25">
      <c r="A1306" s="59">
        <f t="shared" si="125"/>
        <v>1900</v>
      </c>
      <c r="B1306" s="59">
        <f t="shared" si="126"/>
        <v>1</v>
      </c>
      <c r="C1306" s="60"/>
      <c r="D1306" s="61"/>
      <c r="F1306" s="23" t="e">
        <f>VLOOKUP(E1306,Customers[],2,FALSE)</f>
        <v>#N/A</v>
      </c>
      <c r="G1306" s="23" t="e">
        <f>VLOOKUP(E1306,Customers[],3,FALSE)</f>
        <v>#N/A</v>
      </c>
      <c r="H1306" s="23" t="e">
        <f>VLOOKUP(E1306,Customers[],4,FALSE)</f>
        <v>#N/A</v>
      </c>
      <c r="J1306" s="29" t="e">
        <f>VLOOKUP(I1306,PGStock[],2,FALSE)</f>
        <v>#N/A</v>
      </c>
      <c r="K1306" s="30" t="e">
        <f>VLOOKUP(I1306,PGStock[],3,FALSE)</f>
        <v>#N/A</v>
      </c>
      <c r="M1306" s="62" t="e">
        <f>VLOOKUP(I1306,PGStock[],6,FALSE)</f>
        <v>#N/A</v>
      </c>
      <c r="N1306" s="62" t="e">
        <f>+Table8[[#This Row],[SalesBot]]*Table8[[#This Row],[Bonus]]</f>
        <v>#N/A</v>
      </c>
    </row>
    <row r="1307" spans="1:14" ht="23.25" customHeight="1" x14ac:dyDescent="0.25">
      <c r="A1307" s="59">
        <f t="shared" si="125"/>
        <v>1900</v>
      </c>
      <c r="B1307" s="59">
        <f t="shared" si="126"/>
        <v>1</v>
      </c>
      <c r="C1307" s="60"/>
      <c r="D1307" s="61"/>
      <c r="F1307" s="23" t="e">
        <f>VLOOKUP(E1307,Customers[],2,FALSE)</f>
        <v>#N/A</v>
      </c>
      <c r="G1307" s="23" t="e">
        <f>VLOOKUP(E1307,Customers[],3,FALSE)</f>
        <v>#N/A</v>
      </c>
      <c r="H1307" s="23" t="e">
        <f>VLOOKUP(E1307,Customers[],4,FALSE)</f>
        <v>#N/A</v>
      </c>
      <c r="J1307" s="29" t="e">
        <f>VLOOKUP(I1307,PGStock[],2,FALSE)</f>
        <v>#N/A</v>
      </c>
      <c r="K1307" s="30" t="e">
        <f>VLOOKUP(I1307,PGStock[],3,FALSE)</f>
        <v>#N/A</v>
      </c>
      <c r="M1307" s="62" t="e">
        <f>VLOOKUP(I1307,PGStock[],6,FALSE)</f>
        <v>#N/A</v>
      </c>
      <c r="N1307" s="62" t="e">
        <f>+Table8[[#This Row],[SalesBot]]*Table8[[#This Row],[Bonus]]</f>
        <v>#N/A</v>
      </c>
    </row>
    <row r="1308" spans="1:14" ht="23.25" customHeight="1" x14ac:dyDescent="0.25">
      <c r="A1308" s="59">
        <f t="shared" si="125"/>
        <v>1900</v>
      </c>
      <c r="B1308" s="59">
        <f t="shared" si="126"/>
        <v>1</v>
      </c>
      <c r="C1308" s="60"/>
      <c r="D1308" s="61"/>
      <c r="F1308" s="23" t="e">
        <f>VLOOKUP(E1308,Customers[],2,FALSE)</f>
        <v>#N/A</v>
      </c>
      <c r="G1308" s="23" t="e">
        <f>VLOOKUP(E1308,Customers[],3,FALSE)</f>
        <v>#N/A</v>
      </c>
      <c r="H1308" s="23" t="e">
        <f>VLOOKUP(E1308,Customers[],4,FALSE)</f>
        <v>#N/A</v>
      </c>
      <c r="J1308" s="29" t="e">
        <f>VLOOKUP(I1308,PGStock[],2,FALSE)</f>
        <v>#N/A</v>
      </c>
      <c r="K1308" s="30" t="e">
        <f>VLOOKUP(I1308,PGStock[],3,FALSE)</f>
        <v>#N/A</v>
      </c>
      <c r="M1308" s="62" t="e">
        <f>VLOOKUP(I1308,PGStock[],6,FALSE)</f>
        <v>#N/A</v>
      </c>
      <c r="N1308" s="62" t="e">
        <f>+Table8[[#This Row],[SalesBot]]*Table8[[#This Row],[Bonus]]</f>
        <v>#N/A</v>
      </c>
    </row>
    <row r="1309" spans="1:14" ht="23.25" customHeight="1" x14ac:dyDescent="0.25">
      <c r="A1309" s="59">
        <f t="shared" si="125"/>
        <v>1900</v>
      </c>
      <c r="B1309" s="59">
        <f t="shared" si="126"/>
        <v>1</v>
      </c>
      <c r="C1309" s="60"/>
      <c r="D1309" s="61"/>
      <c r="F1309" s="23" t="e">
        <f>VLOOKUP(E1309,Customers[],2,FALSE)</f>
        <v>#N/A</v>
      </c>
      <c r="G1309" s="23" t="e">
        <f>VLOOKUP(E1309,Customers[],3,FALSE)</f>
        <v>#N/A</v>
      </c>
      <c r="H1309" s="23" t="e">
        <f>VLOOKUP(E1309,Customers[],4,FALSE)</f>
        <v>#N/A</v>
      </c>
      <c r="J1309" s="29" t="e">
        <f>VLOOKUP(I1309,PGStock[],2,FALSE)</f>
        <v>#N/A</v>
      </c>
      <c r="K1309" s="30" t="e">
        <f>VLOOKUP(I1309,PGStock[],3,FALSE)</f>
        <v>#N/A</v>
      </c>
      <c r="M1309" s="62" t="e">
        <f>VLOOKUP(I1309,PGStock[],6,FALSE)</f>
        <v>#N/A</v>
      </c>
      <c r="N1309" s="62" t="e">
        <f>+Table8[[#This Row],[SalesBot]]*Table8[[#This Row],[Bonus]]</f>
        <v>#N/A</v>
      </c>
    </row>
    <row r="1310" spans="1:14" ht="23.25" customHeight="1" x14ac:dyDescent="0.25">
      <c r="A1310" s="59">
        <f t="shared" si="125"/>
        <v>1900</v>
      </c>
      <c r="B1310" s="59">
        <f t="shared" si="126"/>
        <v>1</v>
      </c>
      <c r="C1310" s="60"/>
      <c r="D1310" s="61"/>
      <c r="F1310" s="23" t="e">
        <f>VLOOKUP(E1310,Customers[],2,FALSE)</f>
        <v>#N/A</v>
      </c>
      <c r="G1310" s="23" t="e">
        <f>VLOOKUP(E1310,Customers[],3,FALSE)</f>
        <v>#N/A</v>
      </c>
      <c r="H1310" s="23" t="e">
        <f>VLOOKUP(E1310,Customers[],4,FALSE)</f>
        <v>#N/A</v>
      </c>
      <c r="J1310" s="29" t="e">
        <f>VLOOKUP(I1310,PGStock[],2,FALSE)</f>
        <v>#N/A</v>
      </c>
      <c r="K1310" s="30" t="e">
        <f>VLOOKUP(I1310,PGStock[],3,FALSE)</f>
        <v>#N/A</v>
      </c>
      <c r="M1310" s="62" t="e">
        <f>VLOOKUP(I1310,PGStock[],6,FALSE)</f>
        <v>#N/A</v>
      </c>
      <c r="N1310" s="62" t="e">
        <f>+Table8[[#This Row],[SalesBot]]*Table8[[#This Row],[Bonus]]</f>
        <v>#N/A</v>
      </c>
    </row>
    <row r="1311" spans="1:14" ht="23.25" customHeight="1" x14ac:dyDescent="0.25">
      <c r="A1311" s="59">
        <f t="shared" si="125"/>
        <v>1900</v>
      </c>
      <c r="B1311" s="59">
        <f t="shared" si="126"/>
        <v>1</v>
      </c>
      <c r="C1311" s="60"/>
      <c r="D1311" s="61"/>
      <c r="F1311" s="23" t="e">
        <f>VLOOKUP(E1311,Customers[],2,FALSE)</f>
        <v>#N/A</v>
      </c>
      <c r="G1311" s="23" t="e">
        <f>VLOOKUP(E1311,Customers[],3,FALSE)</f>
        <v>#N/A</v>
      </c>
      <c r="H1311" s="23" t="e">
        <f>VLOOKUP(E1311,Customers[],4,FALSE)</f>
        <v>#N/A</v>
      </c>
      <c r="J1311" s="29" t="e">
        <f>VLOOKUP(I1311,PGStock[],2,FALSE)</f>
        <v>#N/A</v>
      </c>
      <c r="K1311" s="30" t="e">
        <f>VLOOKUP(I1311,PGStock[],3,FALSE)</f>
        <v>#N/A</v>
      </c>
      <c r="M1311" s="62" t="e">
        <f>VLOOKUP(I1311,PGStock[],6,FALSE)</f>
        <v>#N/A</v>
      </c>
      <c r="N1311" s="62" t="e">
        <f>+Table8[[#This Row],[SalesBot]]*Table8[[#This Row],[Bonus]]</f>
        <v>#N/A</v>
      </c>
    </row>
    <row r="1312" spans="1:14" ht="23.25" customHeight="1" x14ac:dyDescent="0.25">
      <c r="A1312" s="59">
        <f t="shared" si="125"/>
        <v>1900</v>
      </c>
      <c r="B1312" s="59">
        <f t="shared" si="126"/>
        <v>1</v>
      </c>
      <c r="C1312" s="60"/>
      <c r="D1312" s="61"/>
      <c r="F1312" s="23" t="e">
        <f>VLOOKUP(E1312,Customers[],2,FALSE)</f>
        <v>#N/A</v>
      </c>
      <c r="G1312" s="23" t="e">
        <f>VLOOKUP(E1312,Customers[],3,FALSE)</f>
        <v>#N/A</v>
      </c>
      <c r="H1312" s="23" t="e">
        <f>VLOOKUP(E1312,Customers[],4,FALSE)</f>
        <v>#N/A</v>
      </c>
      <c r="J1312" s="29" t="e">
        <f>VLOOKUP(I1312,PGStock[],2,FALSE)</f>
        <v>#N/A</v>
      </c>
      <c r="K1312" s="30" t="e">
        <f>VLOOKUP(I1312,PGStock[],3,FALSE)</f>
        <v>#N/A</v>
      </c>
      <c r="M1312" s="62" t="e">
        <f>VLOOKUP(I1312,PGStock[],6,FALSE)</f>
        <v>#N/A</v>
      </c>
      <c r="N1312" s="62" t="e">
        <f>+Table8[[#This Row],[SalesBot]]*Table8[[#This Row],[Bonus]]</f>
        <v>#N/A</v>
      </c>
    </row>
    <row r="1313" spans="1:14" ht="23.25" customHeight="1" x14ac:dyDescent="0.25">
      <c r="A1313" s="59">
        <f t="shared" si="125"/>
        <v>1900</v>
      </c>
      <c r="B1313" s="59">
        <f t="shared" si="126"/>
        <v>1</v>
      </c>
      <c r="C1313" s="60"/>
      <c r="D1313" s="61"/>
      <c r="F1313" s="23" t="e">
        <f>VLOOKUP(E1313,Customers[],2,FALSE)</f>
        <v>#N/A</v>
      </c>
      <c r="G1313" s="23" t="e">
        <f>VLOOKUP(E1313,Customers[],3,FALSE)</f>
        <v>#N/A</v>
      </c>
      <c r="H1313" s="23" t="e">
        <f>VLOOKUP(E1313,Customers[],4,FALSE)</f>
        <v>#N/A</v>
      </c>
      <c r="J1313" s="29" t="e">
        <f>VLOOKUP(I1313,PGStock[],2,FALSE)</f>
        <v>#N/A</v>
      </c>
      <c r="K1313" s="30" t="e">
        <f>VLOOKUP(I1313,PGStock[],3,FALSE)</f>
        <v>#N/A</v>
      </c>
      <c r="M1313" s="62" t="e">
        <f>VLOOKUP(I1313,PGStock[],6,FALSE)</f>
        <v>#N/A</v>
      </c>
      <c r="N1313" s="62" t="e">
        <f>+Table8[[#This Row],[SalesBot]]*Table8[[#This Row],[Bonus]]</f>
        <v>#N/A</v>
      </c>
    </row>
    <row r="1314" spans="1:14" ht="23.25" customHeight="1" x14ac:dyDescent="0.25">
      <c r="A1314" s="59">
        <f t="shared" si="125"/>
        <v>1900</v>
      </c>
      <c r="B1314" s="59">
        <f t="shared" si="126"/>
        <v>1</v>
      </c>
      <c r="C1314" s="60"/>
      <c r="D1314" s="61"/>
      <c r="F1314" s="23" t="e">
        <f>VLOOKUP(E1314,Customers[],2,FALSE)</f>
        <v>#N/A</v>
      </c>
      <c r="G1314" s="23" t="e">
        <f>VLOOKUP(E1314,Customers[],3,FALSE)</f>
        <v>#N/A</v>
      </c>
      <c r="H1314" s="23" t="e">
        <f>VLOOKUP(E1314,Customers[],4,FALSE)</f>
        <v>#N/A</v>
      </c>
      <c r="J1314" s="29" t="e">
        <f>VLOOKUP(I1314,PGStock[],2,FALSE)</f>
        <v>#N/A</v>
      </c>
      <c r="K1314" s="30" t="e">
        <f>VLOOKUP(I1314,PGStock[],3,FALSE)</f>
        <v>#N/A</v>
      </c>
      <c r="M1314" s="62" t="e">
        <f>VLOOKUP(I1314,PGStock[],6,FALSE)</f>
        <v>#N/A</v>
      </c>
      <c r="N1314" s="62" t="e">
        <f>+Table8[[#This Row],[SalesBot]]*Table8[[#This Row],[Bonus]]</f>
        <v>#N/A</v>
      </c>
    </row>
    <row r="1315" spans="1:14" ht="23.25" customHeight="1" x14ac:dyDescent="0.25">
      <c r="A1315" s="59">
        <f t="shared" si="125"/>
        <v>1900</v>
      </c>
      <c r="B1315" s="59">
        <f t="shared" si="126"/>
        <v>1</v>
      </c>
      <c r="C1315" s="60"/>
      <c r="D1315" s="61"/>
      <c r="F1315" s="23" t="e">
        <f>VLOOKUP(E1315,Customers[],2,FALSE)</f>
        <v>#N/A</v>
      </c>
      <c r="G1315" s="23" t="e">
        <f>VLOOKUP(E1315,Customers[],3,FALSE)</f>
        <v>#N/A</v>
      </c>
      <c r="H1315" s="23" t="e">
        <f>VLOOKUP(E1315,Customers[],4,FALSE)</f>
        <v>#N/A</v>
      </c>
      <c r="J1315" s="29" t="e">
        <f>VLOOKUP(I1315,PGStock[],2,FALSE)</f>
        <v>#N/A</v>
      </c>
      <c r="K1315" s="30" t="e">
        <f>VLOOKUP(I1315,PGStock[],3,FALSE)</f>
        <v>#N/A</v>
      </c>
      <c r="M1315" s="62" t="e">
        <f>VLOOKUP(I1315,PGStock[],6,FALSE)</f>
        <v>#N/A</v>
      </c>
      <c r="N1315" s="62" t="e">
        <f>+Table8[[#This Row],[SalesBot]]*Table8[[#This Row],[Bonus]]</f>
        <v>#N/A</v>
      </c>
    </row>
    <row r="1316" spans="1:14" ht="23.25" customHeight="1" x14ac:dyDescent="0.25">
      <c r="A1316" s="59">
        <f t="shared" si="125"/>
        <v>1900</v>
      </c>
      <c r="B1316" s="59">
        <f t="shared" si="126"/>
        <v>1</v>
      </c>
      <c r="C1316" s="60"/>
      <c r="D1316" s="61"/>
      <c r="F1316" s="23" t="e">
        <f>VLOOKUP(E1316,Customers[],2,FALSE)</f>
        <v>#N/A</v>
      </c>
      <c r="G1316" s="23" t="e">
        <f>VLOOKUP(E1316,Customers[],3,FALSE)</f>
        <v>#N/A</v>
      </c>
      <c r="H1316" s="23" t="e">
        <f>VLOOKUP(E1316,Customers[],4,FALSE)</f>
        <v>#N/A</v>
      </c>
      <c r="J1316" s="29" t="e">
        <f>VLOOKUP(I1316,PGStock[],2,FALSE)</f>
        <v>#N/A</v>
      </c>
      <c r="K1316" s="30" t="e">
        <f>VLOOKUP(I1316,PGStock[],3,FALSE)</f>
        <v>#N/A</v>
      </c>
      <c r="M1316" s="62" t="e">
        <f>VLOOKUP(I1316,PGStock[],6,FALSE)</f>
        <v>#N/A</v>
      </c>
      <c r="N1316" s="62" t="e">
        <f>+Table8[[#This Row],[SalesBot]]*Table8[[#This Row],[Bonus]]</f>
        <v>#N/A</v>
      </c>
    </row>
    <row r="1317" spans="1:14" ht="23.25" customHeight="1" x14ac:dyDescent="0.25">
      <c r="A1317" s="59">
        <f t="shared" si="125"/>
        <v>1900</v>
      </c>
      <c r="B1317" s="59">
        <f t="shared" si="126"/>
        <v>1</v>
      </c>
      <c r="C1317" s="60"/>
      <c r="D1317" s="61"/>
      <c r="F1317" s="23" t="e">
        <f>VLOOKUP(E1317,Customers[],2,FALSE)</f>
        <v>#N/A</v>
      </c>
      <c r="G1317" s="23" t="e">
        <f>VLOOKUP(E1317,Customers[],3,FALSE)</f>
        <v>#N/A</v>
      </c>
      <c r="H1317" s="23" t="e">
        <f>VLOOKUP(E1317,Customers[],4,FALSE)</f>
        <v>#N/A</v>
      </c>
      <c r="J1317" s="29" t="e">
        <f>VLOOKUP(I1317,PGStock[],2,FALSE)</f>
        <v>#N/A</v>
      </c>
      <c r="K1317" s="30" t="e">
        <f>VLOOKUP(I1317,PGStock[],3,FALSE)</f>
        <v>#N/A</v>
      </c>
      <c r="M1317" s="62" t="e">
        <f>VLOOKUP(I1317,PGStock[],6,FALSE)</f>
        <v>#N/A</v>
      </c>
      <c r="N1317" s="62" t="e">
        <f>+Table8[[#This Row],[SalesBot]]*Table8[[#This Row],[Bonus]]</f>
        <v>#N/A</v>
      </c>
    </row>
    <row r="1318" spans="1:14" ht="23.25" customHeight="1" x14ac:dyDescent="0.25">
      <c r="A1318" s="59">
        <f t="shared" si="125"/>
        <v>1900</v>
      </c>
      <c r="B1318" s="59">
        <f t="shared" si="126"/>
        <v>1</v>
      </c>
      <c r="C1318" s="60"/>
      <c r="D1318" s="61"/>
      <c r="F1318" s="23" t="e">
        <f>VLOOKUP(E1318,Customers[],2,FALSE)</f>
        <v>#N/A</v>
      </c>
      <c r="G1318" s="23" t="e">
        <f>VLOOKUP(E1318,Customers[],3,FALSE)</f>
        <v>#N/A</v>
      </c>
      <c r="H1318" s="23" t="e">
        <f>VLOOKUP(E1318,Customers[],4,FALSE)</f>
        <v>#N/A</v>
      </c>
      <c r="J1318" s="29" t="e">
        <f>VLOOKUP(I1318,PGStock[],2,FALSE)</f>
        <v>#N/A</v>
      </c>
      <c r="K1318" s="30" t="e">
        <f>VLOOKUP(I1318,PGStock[],3,FALSE)</f>
        <v>#N/A</v>
      </c>
      <c r="M1318" s="62" t="e">
        <f>VLOOKUP(I1318,PGStock[],6,FALSE)</f>
        <v>#N/A</v>
      </c>
      <c r="N1318" s="62" t="e">
        <f>+Table8[[#This Row],[SalesBot]]*Table8[[#This Row],[Bonus]]</f>
        <v>#N/A</v>
      </c>
    </row>
    <row r="1319" spans="1:14" ht="23.25" customHeight="1" x14ac:dyDescent="0.25">
      <c r="A1319" s="59">
        <f t="shared" si="125"/>
        <v>1900</v>
      </c>
      <c r="B1319" s="59">
        <f t="shared" si="126"/>
        <v>1</v>
      </c>
      <c r="C1319" s="60"/>
      <c r="D1319" s="61"/>
      <c r="F1319" s="23" t="e">
        <f>VLOOKUP(E1319,Customers[],2,FALSE)</f>
        <v>#N/A</v>
      </c>
      <c r="G1319" s="23" t="e">
        <f>VLOOKUP(E1319,Customers[],3,FALSE)</f>
        <v>#N/A</v>
      </c>
      <c r="H1319" s="23" t="e">
        <f>VLOOKUP(E1319,Customers[],4,FALSE)</f>
        <v>#N/A</v>
      </c>
      <c r="J1319" s="29" t="e">
        <f>VLOOKUP(I1319,PGStock[],2,FALSE)</f>
        <v>#N/A</v>
      </c>
      <c r="K1319" s="30" t="e">
        <f>VLOOKUP(I1319,PGStock[],3,FALSE)</f>
        <v>#N/A</v>
      </c>
      <c r="M1319" s="62" t="e">
        <f>VLOOKUP(I1319,PGStock[],6,FALSE)</f>
        <v>#N/A</v>
      </c>
      <c r="N1319" s="62" t="e">
        <f>+Table8[[#This Row],[SalesBot]]*Table8[[#This Row],[Bonus]]</f>
        <v>#N/A</v>
      </c>
    </row>
    <row r="1320" spans="1:14" ht="23.25" customHeight="1" x14ac:dyDescent="0.25">
      <c r="A1320" s="59">
        <f t="shared" ref="A1320:A1432" si="127">YEAR(C1320)</f>
        <v>1900</v>
      </c>
      <c r="B1320" s="59">
        <f t="shared" ref="B1320:B1432" si="128">MONTH(C1320)</f>
        <v>1</v>
      </c>
      <c r="C1320" s="60"/>
      <c r="D1320" s="61"/>
      <c r="F1320" s="23" t="e">
        <f>VLOOKUP(E1320,Customers[],2,FALSE)</f>
        <v>#N/A</v>
      </c>
      <c r="G1320" s="23" t="e">
        <f>VLOOKUP(E1320,Customers[],3,FALSE)</f>
        <v>#N/A</v>
      </c>
      <c r="H1320" s="23" t="e">
        <f>VLOOKUP(E1320,Customers[],4,FALSE)</f>
        <v>#N/A</v>
      </c>
      <c r="J1320" s="29" t="e">
        <f>VLOOKUP(I1320,PGStock[],2,FALSE)</f>
        <v>#N/A</v>
      </c>
      <c r="K1320" s="30" t="e">
        <f>VLOOKUP(I1320,PGStock[],3,FALSE)</f>
        <v>#N/A</v>
      </c>
      <c r="M1320" s="62" t="e">
        <f>VLOOKUP(I1320,PGStock[],6,FALSE)</f>
        <v>#N/A</v>
      </c>
      <c r="N1320" s="62" t="e">
        <f>+Table8[[#This Row],[SalesBot]]*Table8[[#This Row],[Bonus]]</f>
        <v>#N/A</v>
      </c>
    </row>
    <row r="1321" spans="1:14" ht="23.25" customHeight="1" x14ac:dyDescent="0.25">
      <c r="A1321" s="59">
        <f t="shared" si="127"/>
        <v>1900</v>
      </c>
      <c r="B1321" s="59">
        <f t="shared" si="128"/>
        <v>1</v>
      </c>
      <c r="C1321" s="60"/>
      <c r="D1321" s="61"/>
      <c r="F1321" s="23" t="e">
        <f>VLOOKUP(E1321,Customers[],2,FALSE)</f>
        <v>#N/A</v>
      </c>
      <c r="G1321" s="23" t="e">
        <f>VLOOKUP(E1321,Customers[],3,FALSE)</f>
        <v>#N/A</v>
      </c>
      <c r="H1321" s="23" t="e">
        <f>VLOOKUP(E1321,Customers[],4,FALSE)</f>
        <v>#N/A</v>
      </c>
      <c r="J1321" s="29" t="e">
        <f>VLOOKUP(I1321,PGStock[],2,FALSE)</f>
        <v>#N/A</v>
      </c>
      <c r="K1321" s="30" t="e">
        <f>VLOOKUP(I1321,PGStock[],3,FALSE)</f>
        <v>#N/A</v>
      </c>
      <c r="M1321" s="62" t="e">
        <f>VLOOKUP(I1321,PGStock[],6,FALSE)</f>
        <v>#N/A</v>
      </c>
      <c r="N1321" s="62" t="e">
        <f>+Table8[[#This Row],[SalesBot]]*Table8[[#This Row],[Bonus]]</f>
        <v>#N/A</v>
      </c>
    </row>
    <row r="1322" spans="1:14" ht="23.25" customHeight="1" x14ac:dyDescent="0.25">
      <c r="A1322" s="59">
        <f t="shared" si="127"/>
        <v>1900</v>
      </c>
      <c r="B1322" s="59">
        <f t="shared" si="128"/>
        <v>1</v>
      </c>
      <c r="C1322" s="60"/>
      <c r="D1322" s="61"/>
      <c r="F1322" s="23" t="e">
        <f>VLOOKUP(E1322,Customers[],2,FALSE)</f>
        <v>#N/A</v>
      </c>
      <c r="G1322" s="23" t="e">
        <f>VLOOKUP(E1322,Customers[],3,FALSE)</f>
        <v>#N/A</v>
      </c>
      <c r="H1322" s="23" t="e">
        <f>VLOOKUP(E1322,Customers[],4,FALSE)</f>
        <v>#N/A</v>
      </c>
      <c r="J1322" s="29" t="e">
        <f>VLOOKUP(I1322,PGStock[],2,FALSE)</f>
        <v>#N/A</v>
      </c>
      <c r="K1322" s="30" t="e">
        <f>VLOOKUP(I1322,PGStock[],3,FALSE)</f>
        <v>#N/A</v>
      </c>
      <c r="M1322" s="62" t="e">
        <f>VLOOKUP(I1322,PGStock[],6,FALSE)</f>
        <v>#N/A</v>
      </c>
      <c r="N1322" s="62" t="e">
        <f>+Table8[[#This Row],[SalesBot]]*Table8[[#This Row],[Bonus]]</f>
        <v>#N/A</v>
      </c>
    </row>
    <row r="1323" spans="1:14" ht="23.25" customHeight="1" x14ac:dyDescent="0.25">
      <c r="A1323" s="59">
        <f t="shared" si="127"/>
        <v>1900</v>
      </c>
      <c r="B1323" s="59">
        <f t="shared" si="128"/>
        <v>1</v>
      </c>
      <c r="C1323" s="60"/>
      <c r="D1323" s="61"/>
      <c r="F1323" s="23" t="e">
        <f>VLOOKUP(E1323,Customers[],2,FALSE)</f>
        <v>#N/A</v>
      </c>
      <c r="G1323" s="23" t="e">
        <f>VLOOKUP(E1323,Customers[],3,FALSE)</f>
        <v>#N/A</v>
      </c>
      <c r="H1323" s="23" t="e">
        <f>VLOOKUP(E1323,Customers[],4,FALSE)</f>
        <v>#N/A</v>
      </c>
      <c r="J1323" s="29" t="e">
        <f>VLOOKUP(I1323,PGStock[],2,FALSE)</f>
        <v>#N/A</v>
      </c>
      <c r="K1323" s="30" t="e">
        <f>VLOOKUP(I1323,PGStock[],3,FALSE)</f>
        <v>#N/A</v>
      </c>
      <c r="M1323" s="62" t="e">
        <f>VLOOKUP(I1323,PGStock[],6,FALSE)</f>
        <v>#N/A</v>
      </c>
      <c r="N1323" s="62" t="e">
        <f>+Table8[[#This Row],[SalesBot]]*Table8[[#This Row],[Bonus]]</f>
        <v>#N/A</v>
      </c>
    </row>
    <row r="1324" spans="1:14" ht="23.25" customHeight="1" x14ac:dyDescent="0.25">
      <c r="A1324" s="59">
        <f t="shared" si="127"/>
        <v>1900</v>
      </c>
      <c r="B1324" s="59">
        <f t="shared" si="128"/>
        <v>1</v>
      </c>
      <c r="C1324" s="60"/>
      <c r="D1324" s="61"/>
      <c r="F1324" s="23" t="e">
        <f>VLOOKUP(E1324,Customers[],2,FALSE)</f>
        <v>#N/A</v>
      </c>
      <c r="G1324" s="23" t="e">
        <f>VLOOKUP(E1324,Customers[],3,FALSE)</f>
        <v>#N/A</v>
      </c>
      <c r="H1324" s="23" t="e">
        <f>VLOOKUP(E1324,Customers[],4,FALSE)</f>
        <v>#N/A</v>
      </c>
      <c r="J1324" s="29" t="e">
        <f>VLOOKUP(I1324,PGStock[],2,FALSE)</f>
        <v>#N/A</v>
      </c>
      <c r="K1324" s="30" t="e">
        <f>VLOOKUP(I1324,PGStock[],3,FALSE)</f>
        <v>#N/A</v>
      </c>
      <c r="M1324" s="62" t="e">
        <f>VLOOKUP(I1324,PGStock[],6,FALSE)</f>
        <v>#N/A</v>
      </c>
      <c r="N1324" s="62" t="e">
        <f>+Table8[[#This Row],[SalesBot]]*Table8[[#This Row],[Bonus]]</f>
        <v>#N/A</v>
      </c>
    </row>
    <row r="1325" spans="1:14" ht="23.25" customHeight="1" x14ac:dyDescent="0.25">
      <c r="A1325" s="59">
        <f t="shared" si="127"/>
        <v>1900</v>
      </c>
      <c r="B1325" s="59">
        <f t="shared" si="128"/>
        <v>1</v>
      </c>
      <c r="C1325" s="60"/>
      <c r="D1325" s="61"/>
      <c r="F1325" s="23" t="e">
        <f>VLOOKUP(E1325,Customers[],2,FALSE)</f>
        <v>#N/A</v>
      </c>
      <c r="G1325" s="23" t="e">
        <f>VLOOKUP(E1325,Customers[],3,FALSE)</f>
        <v>#N/A</v>
      </c>
      <c r="H1325" s="23" t="e">
        <f>VLOOKUP(E1325,Customers[],4,FALSE)</f>
        <v>#N/A</v>
      </c>
      <c r="J1325" s="29" t="e">
        <f>VLOOKUP(I1325,PGStock[],2,FALSE)</f>
        <v>#N/A</v>
      </c>
      <c r="K1325" s="30" t="e">
        <f>VLOOKUP(I1325,PGStock[],3,FALSE)</f>
        <v>#N/A</v>
      </c>
      <c r="M1325" s="62" t="e">
        <f>VLOOKUP(I1325,PGStock[],6,FALSE)</f>
        <v>#N/A</v>
      </c>
      <c r="N1325" s="62" t="e">
        <f>+Table8[[#This Row],[SalesBot]]*Table8[[#This Row],[Bonus]]</f>
        <v>#N/A</v>
      </c>
    </row>
    <row r="1326" spans="1:14" ht="23.25" customHeight="1" x14ac:dyDescent="0.25">
      <c r="A1326" s="59">
        <f t="shared" si="127"/>
        <v>1900</v>
      </c>
      <c r="B1326" s="59">
        <f t="shared" si="128"/>
        <v>1</v>
      </c>
      <c r="C1326" s="60"/>
      <c r="D1326" s="61"/>
      <c r="F1326" s="23" t="e">
        <f>VLOOKUP(E1326,Customers[],2,FALSE)</f>
        <v>#N/A</v>
      </c>
      <c r="G1326" s="23" t="e">
        <f>VLOOKUP(E1326,Customers[],3,FALSE)</f>
        <v>#N/A</v>
      </c>
      <c r="H1326" s="23" t="e">
        <f>VLOOKUP(E1326,Customers[],4,FALSE)</f>
        <v>#N/A</v>
      </c>
      <c r="J1326" s="29" t="e">
        <f>VLOOKUP(I1326,PGStock[],2,FALSE)</f>
        <v>#N/A</v>
      </c>
      <c r="K1326" s="30" t="e">
        <f>VLOOKUP(I1326,PGStock[],3,FALSE)</f>
        <v>#N/A</v>
      </c>
      <c r="M1326" s="62" t="e">
        <f>VLOOKUP(I1326,PGStock[],6,FALSE)</f>
        <v>#N/A</v>
      </c>
      <c r="N1326" s="62" t="e">
        <f>+Table8[[#This Row],[SalesBot]]*Table8[[#This Row],[Bonus]]</f>
        <v>#N/A</v>
      </c>
    </row>
    <row r="1327" spans="1:14" ht="23.25" customHeight="1" x14ac:dyDescent="0.25">
      <c r="A1327" s="59">
        <f t="shared" si="127"/>
        <v>1900</v>
      </c>
      <c r="B1327" s="59">
        <f t="shared" si="128"/>
        <v>1</v>
      </c>
      <c r="C1327" s="60"/>
      <c r="D1327" s="61"/>
      <c r="F1327" s="23" t="e">
        <f>VLOOKUP(E1327,Customers[],2,FALSE)</f>
        <v>#N/A</v>
      </c>
      <c r="G1327" s="23" t="e">
        <f>VLOOKUP(E1327,Customers[],3,FALSE)</f>
        <v>#N/A</v>
      </c>
      <c r="H1327" s="23" t="e">
        <f>VLOOKUP(E1327,Customers[],4,FALSE)</f>
        <v>#N/A</v>
      </c>
      <c r="J1327" s="29" t="e">
        <f>VLOOKUP(I1327,PGStock[],2,FALSE)</f>
        <v>#N/A</v>
      </c>
      <c r="K1327" s="30" t="e">
        <f>VLOOKUP(I1327,PGStock[],3,FALSE)</f>
        <v>#N/A</v>
      </c>
      <c r="M1327" s="62" t="e">
        <f>VLOOKUP(I1327,PGStock[],6,FALSE)</f>
        <v>#N/A</v>
      </c>
      <c r="N1327" s="62" t="e">
        <f>+Table8[[#This Row],[SalesBot]]*Table8[[#This Row],[Bonus]]</f>
        <v>#N/A</v>
      </c>
    </row>
    <row r="1328" spans="1:14" ht="23.25" customHeight="1" x14ac:dyDescent="0.25">
      <c r="A1328" s="59">
        <f t="shared" si="127"/>
        <v>1900</v>
      </c>
      <c r="B1328" s="59">
        <f t="shared" si="128"/>
        <v>1</v>
      </c>
      <c r="C1328" s="60"/>
      <c r="D1328" s="61"/>
      <c r="F1328" s="23" t="e">
        <f>VLOOKUP(E1328,Customers[],2,FALSE)</f>
        <v>#N/A</v>
      </c>
      <c r="G1328" s="23" t="e">
        <f>VLOOKUP(E1328,Customers[],3,FALSE)</f>
        <v>#N/A</v>
      </c>
      <c r="H1328" s="23" t="e">
        <f>VLOOKUP(E1328,Customers[],4,FALSE)</f>
        <v>#N/A</v>
      </c>
      <c r="J1328" s="29" t="e">
        <f>VLOOKUP(I1328,PGStock[],2,FALSE)</f>
        <v>#N/A</v>
      </c>
      <c r="K1328" s="30" t="e">
        <f>VLOOKUP(I1328,PGStock[],3,FALSE)</f>
        <v>#N/A</v>
      </c>
      <c r="M1328" s="62" t="e">
        <f>VLOOKUP(I1328,PGStock[],6,FALSE)</f>
        <v>#N/A</v>
      </c>
      <c r="N1328" s="62" t="e">
        <f>+Table8[[#This Row],[SalesBot]]*Table8[[#This Row],[Bonus]]</f>
        <v>#N/A</v>
      </c>
    </row>
    <row r="1329" spans="1:14" ht="23.25" customHeight="1" x14ac:dyDescent="0.25">
      <c r="A1329" s="59">
        <f t="shared" si="127"/>
        <v>1900</v>
      </c>
      <c r="B1329" s="59">
        <f t="shared" si="128"/>
        <v>1</v>
      </c>
      <c r="C1329" s="60"/>
      <c r="D1329" s="61"/>
      <c r="F1329" s="23" t="e">
        <f>VLOOKUP(E1329,Customers[],2,FALSE)</f>
        <v>#N/A</v>
      </c>
      <c r="G1329" s="23" t="e">
        <f>VLOOKUP(E1329,Customers[],3,FALSE)</f>
        <v>#N/A</v>
      </c>
      <c r="H1329" s="23" t="e">
        <f>VLOOKUP(E1329,Customers[],4,FALSE)</f>
        <v>#N/A</v>
      </c>
      <c r="J1329" s="29" t="e">
        <f>VLOOKUP(I1329,PGStock[],2,FALSE)</f>
        <v>#N/A</v>
      </c>
      <c r="K1329" s="30" t="e">
        <f>VLOOKUP(I1329,PGStock[],3,FALSE)</f>
        <v>#N/A</v>
      </c>
      <c r="M1329" s="62" t="e">
        <f>VLOOKUP(I1329,PGStock[],6,FALSE)</f>
        <v>#N/A</v>
      </c>
      <c r="N1329" s="62" t="e">
        <f>+Table8[[#This Row],[SalesBot]]*Table8[[#This Row],[Bonus]]</f>
        <v>#N/A</v>
      </c>
    </row>
    <row r="1330" spans="1:14" ht="23.25" customHeight="1" x14ac:dyDescent="0.25">
      <c r="A1330" s="59">
        <f t="shared" si="127"/>
        <v>1900</v>
      </c>
      <c r="B1330" s="59">
        <f t="shared" si="128"/>
        <v>1</v>
      </c>
      <c r="C1330" s="60"/>
      <c r="D1330" s="61"/>
      <c r="F1330" s="23" t="e">
        <f>VLOOKUP(E1330,Customers[],2,FALSE)</f>
        <v>#N/A</v>
      </c>
      <c r="G1330" s="23" t="e">
        <f>VLOOKUP(E1330,Customers[],3,FALSE)</f>
        <v>#N/A</v>
      </c>
      <c r="H1330" s="23" t="e">
        <f>VLOOKUP(E1330,Customers[],4,FALSE)</f>
        <v>#N/A</v>
      </c>
      <c r="J1330" s="29" t="e">
        <f>VLOOKUP(I1330,PGStock[],2,FALSE)</f>
        <v>#N/A</v>
      </c>
      <c r="K1330" s="30" t="e">
        <f>VLOOKUP(I1330,PGStock[],3,FALSE)</f>
        <v>#N/A</v>
      </c>
      <c r="M1330" s="62" t="e">
        <f>VLOOKUP(I1330,PGStock[],6,FALSE)</f>
        <v>#N/A</v>
      </c>
      <c r="N1330" s="62" t="e">
        <f>+Table8[[#This Row],[SalesBot]]*Table8[[#This Row],[Bonus]]</f>
        <v>#N/A</v>
      </c>
    </row>
    <row r="1331" spans="1:14" ht="23.25" customHeight="1" x14ac:dyDescent="0.25">
      <c r="A1331" s="59">
        <f t="shared" si="127"/>
        <v>1900</v>
      </c>
      <c r="B1331" s="59">
        <f t="shared" si="128"/>
        <v>1</v>
      </c>
      <c r="C1331" s="60"/>
      <c r="D1331" s="61"/>
      <c r="F1331" s="23" t="e">
        <f>VLOOKUP(E1331,Customers[],2,FALSE)</f>
        <v>#N/A</v>
      </c>
      <c r="G1331" s="23" t="e">
        <f>VLOOKUP(E1331,Customers[],3,FALSE)</f>
        <v>#N/A</v>
      </c>
      <c r="H1331" s="23" t="e">
        <f>VLOOKUP(E1331,Customers[],4,FALSE)</f>
        <v>#N/A</v>
      </c>
      <c r="J1331" s="29" t="e">
        <f>VLOOKUP(I1331,PGStock[],2,FALSE)</f>
        <v>#N/A</v>
      </c>
      <c r="K1331" s="30" t="e">
        <f>VLOOKUP(I1331,PGStock[],3,FALSE)</f>
        <v>#N/A</v>
      </c>
      <c r="M1331" s="62" t="e">
        <f>VLOOKUP(I1331,PGStock[],6,FALSE)</f>
        <v>#N/A</v>
      </c>
      <c r="N1331" s="62" t="e">
        <f>+Table8[[#This Row],[SalesBot]]*Table8[[#This Row],[Bonus]]</f>
        <v>#N/A</v>
      </c>
    </row>
    <row r="1332" spans="1:14" ht="23.25" customHeight="1" x14ac:dyDescent="0.25">
      <c r="A1332" s="59">
        <f t="shared" si="127"/>
        <v>1900</v>
      </c>
      <c r="B1332" s="59">
        <f t="shared" si="128"/>
        <v>1</v>
      </c>
      <c r="C1332" s="60"/>
      <c r="D1332" s="61"/>
      <c r="F1332" s="23" t="e">
        <f>VLOOKUP(E1332,Customers[],2,FALSE)</f>
        <v>#N/A</v>
      </c>
      <c r="G1332" s="23" t="e">
        <f>VLOOKUP(E1332,Customers[],3,FALSE)</f>
        <v>#N/A</v>
      </c>
      <c r="H1332" s="23" t="e">
        <f>VLOOKUP(E1332,Customers[],4,FALSE)</f>
        <v>#N/A</v>
      </c>
      <c r="J1332" s="29" t="e">
        <f>VLOOKUP(I1332,PGStock[],2,FALSE)</f>
        <v>#N/A</v>
      </c>
      <c r="K1332" s="30" t="e">
        <f>VLOOKUP(I1332,PGStock[],3,FALSE)</f>
        <v>#N/A</v>
      </c>
      <c r="M1332" s="62" t="e">
        <f>VLOOKUP(I1332,PGStock[],6,FALSE)</f>
        <v>#N/A</v>
      </c>
      <c r="N1332" s="62" t="e">
        <f>+Table8[[#This Row],[SalesBot]]*Table8[[#This Row],[Bonus]]</f>
        <v>#N/A</v>
      </c>
    </row>
    <row r="1333" spans="1:14" ht="23.25" customHeight="1" x14ac:dyDescent="0.25">
      <c r="A1333" s="59">
        <f t="shared" si="127"/>
        <v>1900</v>
      </c>
      <c r="B1333" s="59">
        <f t="shared" si="128"/>
        <v>1</v>
      </c>
      <c r="C1333" s="60"/>
      <c r="D1333" s="61"/>
      <c r="F1333" s="23" t="e">
        <f>VLOOKUP(E1333,Customers[],2,FALSE)</f>
        <v>#N/A</v>
      </c>
      <c r="G1333" s="23" t="e">
        <f>VLOOKUP(E1333,Customers[],3,FALSE)</f>
        <v>#N/A</v>
      </c>
      <c r="H1333" s="23" t="e">
        <f>VLOOKUP(E1333,Customers[],4,FALSE)</f>
        <v>#N/A</v>
      </c>
      <c r="J1333" s="29" t="e">
        <f>VLOOKUP(I1333,PGStock[],2,FALSE)</f>
        <v>#N/A</v>
      </c>
      <c r="K1333" s="30" t="e">
        <f>VLOOKUP(I1333,PGStock[],3,FALSE)</f>
        <v>#N/A</v>
      </c>
      <c r="M1333" s="62" t="e">
        <f>VLOOKUP(I1333,PGStock[],6,FALSE)</f>
        <v>#N/A</v>
      </c>
      <c r="N1333" s="62" t="e">
        <f>+Table8[[#This Row],[SalesBot]]*Table8[[#This Row],[Bonus]]</f>
        <v>#N/A</v>
      </c>
    </row>
    <row r="1334" spans="1:14" ht="23.25" customHeight="1" x14ac:dyDescent="0.25">
      <c r="A1334" s="59">
        <f t="shared" si="127"/>
        <v>1900</v>
      </c>
      <c r="B1334" s="59">
        <f t="shared" si="128"/>
        <v>1</v>
      </c>
      <c r="C1334" s="60"/>
      <c r="D1334" s="61"/>
      <c r="F1334" s="23" t="e">
        <f>VLOOKUP(E1334,Customers[],2,FALSE)</f>
        <v>#N/A</v>
      </c>
      <c r="G1334" s="23" t="e">
        <f>VLOOKUP(E1334,Customers[],3,FALSE)</f>
        <v>#N/A</v>
      </c>
      <c r="H1334" s="23" t="e">
        <f>VLOOKUP(E1334,Customers[],4,FALSE)</f>
        <v>#N/A</v>
      </c>
      <c r="J1334" s="29" t="e">
        <f>VLOOKUP(I1334,PGStock[],2,FALSE)</f>
        <v>#N/A</v>
      </c>
      <c r="K1334" s="30" t="e">
        <f>VLOOKUP(I1334,PGStock[],3,FALSE)</f>
        <v>#N/A</v>
      </c>
      <c r="M1334" s="62" t="e">
        <f>VLOOKUP(I1334,PGStock[],6,FALSE)</f>
        <v>#N/A</v>
      </c>
      <c r="N1334" s="62" t="e">
        <f>+Table8[[#This Row],[SalesBot]]*Table8[[#This Row],[Bonus]]</f>
        <v>#N/A</v>
      </c>
    </row>
    <row r="1335" spans="1:14" ht="23.25" customHeight="1" x14ac:dyDescent="0.25">
      <c r="A1335" s="59">
        <f t="shared" ref="A1335:A1366" si="129">YEAR(C1335)</f>
        <v>1900</v>
      </c>
      <c r="B1335" s="59">
        <f t="shared" ref="B1335:B1366" si="130">MONTH(C1335)</f>
        <v>1</v>
      </c>
      <c r="C1335" s="60"/>
      <c r="D1335" s="61"/>
      <c r="F1335" s="23" t="e">
        <f>VLOOKUP(E1335,Customers[],2,FALSE)</f>
        <v>#N/A</v>
      </c>
      <c r="G1335" s="23" t="e">
        <f>VLOOKUP(E1335,Customers[],3,FALSE)</f>
        <v>#N/A</v>
      </c>
      <c r="H1335" s="23" t="e">
        <f>VLOOKUP(E1335,Customers[],4,FALSE)</f>
        <v>#N/A</v>
      </c>
      <c r="J1335" s="29" t="e">
        <f>VLOOKUP(I1335,PGStock[],2,FALSE)</f>
        <v>#N/A</v>
      </c>
      <c r="K1335" s="30" t="e">
        <f>VLOOKUP(I1335,PGStock[],3,FALSE)</f>
        <v>#N/A</v>
      </c>
      <c r="M1335" s="62" t="e">
        <f>VLOOKUP(I1335,PGStock[],6,FALSE)</f>
        <v>#N/A</v>
      </c>
      <c r="N1335" s="62" t="e">
        <f>+Table8[[#This Row],[SalesBot]]*Table8[[#This Row],[Bonus]]</f>
        <v>#N/A</v>
      </c>
    </row>
    <row r="1336" spans="1:14" ht="23.25" customHeight="1" x14ac:dyDescent="0.25">
      <c r="A1336" s="59">
        <f t="shared" si="129"/>
        <v>1900</v>
      </c>
      <c r="B1336" s="59">
        <f t="shared" si="130"/>
        <v>1</v>
      </c>
      <c r="C1336" s="60"/>
      <c r="D1336" s="61"/>
      <c r="F1336" s="23" t="e">
        <f>VLOOKUP(E1336,Customers[],2,FALSE)</f>
        <v>#N/A</v>
      </c>
      <c r="G1336" s="23" t="e">
        <f>VLOOKUP(E1336,Customers[],3,FALSE)</f>
        <v>#N/A</v>
      </c>
      <c r="H1336" s="23" t="e">
        <f>VLOOKUP(E1336,Customers[],4,FALSE)</f>
        <v>#N/A</v>
      </c>
      <c r="J1336" s="29" t="e">
        <f>VLOOKUP(I1336,PGStock[],2,FALSE)</f>
        <v>#N/A</v>
      </c>
      <c r="K1336" s="30" t="e">
        <f>VLOOKUP(I1336,PGStock[],3,FALSE)</f>
        <v>#N/A</v>
      </c>
      <c r="M1336" s="62" t="e">
        <f>VLOOKUP(I1336,PGStock[],6,FALSE)</f>
        <v>#N/A</v>
      </c>
      <c r="N1336" s="62" t="e">
        <f>+Table8[[#This Row],[SalesBot]]*Table8[[#This Row],[Bonus]]</f>
        <v>#N/A</v>
      </c>
    </row>
    <row r="1337" spans="1:14" ht="23.25" customHeight="1" x14ac:dyDescent="0.25">
      <c r="A1337" s="59">
        <f t="shared" si="129"/>
        <v>1900</v>
      </c>
      <c r="B1337" s="59">
        <f t="shared" si="130"/>
        <v>1</v>
      </c>
      <c r="C1337" s="60"/>
      <c r="D1337" s="61"/>
      <c r="F1337" s="23" t="e">
        <f>VLOOKUP(E1337,Customers[],2,FALSE)</f>
        <v>#N/A</v>
      </c>
      <c r="G1337" s="23" t="e">
        <f>VLOOKUP(E1337,Customers[],3,FALSE)</f>
        <v>#N/A</v>
      </c>
      <c r="H1337" s="23" t="e">
        <f>VLOOKUP(E1337,Customers[],4,FALSE)</f>
        <v>#N/A</v>
      </c>
      <c r="J1337" s="29" t="e">
        <f>VLOOKUP(I1337,PGStock[],2,FALSE)</f>
        <v>#N/A</v>
      </c>
      <c r="K1337" s="30" t="e">
        <f>VLOOKUP(I1337,PGStock[],3,FALSE)</f>
        <v>#N/A</v>
      </c>
      <c r="M1337" s="62" t="e">
        <f>VLOOKUP(I1337,PGStock[],6,FALSE)</f>
        <v>#N/A</v>
      </c>
      <c r="N1337" s="62" t="e">
        <f>+Table8[[#This Row],[SalesBot]]*Table8[[#This Row],[Bonus]]</f>
        <v>#N/A</v>
      </c>
    </row>
    <row r="1338" spans="1:14" ht="23.25" customHeight="1" x14ac:dyDescent="0.25">
      <c r="A1338" s="59">
        <f t="shared" si="129"/>
        <v>1900</v>
      </c>
      <c r="B1338" s="59">
        <f t="shared" si="130"/>
        <v>1</v>
      </c>
      <c r="C1338" s="60"/>
      <c r="D1338" s="61"/>
      <c r="F1338" s="23" t="e">
        <f>VLOOKUP(E1338,Customers[],2,FALSE)</f>
        <v>#N/A</v>
      </c>
      <c r="G1338" s="23" t="e">
        <f>VLOOKUP(E1338,Customers[],3,FALSE)</f>
        <v>#N/A</v>
      </c>
      <c r="H1338" s="23" t="e">
        <f>VLOOKUP(E1338,Customers[],4,FALSE)</f>
        <v>#N/A</v>
      </c>
      <c r="J1338" s="29" t="e">
        <f>VLOOKUP(I1338,PGStock[],2,FALSE)</f>
        <v>#N/A</v>
      </c>
      <c r="K1338" s="30" t="e">
        <f>VLOOKUP(I1338,PGStock[],3,FALSE)</f>
        <v>#N/A</v>
      </c>
      <c r="M1338" s="62" t="e">
        <f>VLOOKUP(I1338,PGStock[],6,FALSE)</f>
        <v>#N/A</v>
      </c>
      <c r="N1338" s="62" t="e">
        <f>+Table8[[#This Row],[SalesBot]]*Table8[[#This Row],[Bonus]]</f>
        <v>#N/A</v>
      </c>
    </row>
    <row r="1339" spans="1:14" ht="23.25" customHeight="1" x14ac:dyDescent="0.25">
      <c r="A1339" s="59">
        <f t="shared" si="129"/>
        <v>1900</v>
      </c>
      <c r="B1339" s="59">
        <f t="shared" si="130"/>
        <v>1</v>
      </c>
      <c r="C1339" s="60"/>
      <c r="D1339" s="61"/>
      <c r="F1339" s="23" t="e">
        <f>VLOOKUP(E1339,Customers[],2,FALSE)</f>
        <v>#N/A</v>
      </c>
      <c r="G1339" s="23" t="e">
        <f>VLOOKUP(E1339,Customers[],3,FALSE)</f>
        <v>#N/A</v>
      </c>
      <c r="H1339" s="23" t="e">
        <f>VLOOKUP(E1339,Customers[],4,FALSE)</f>
        <v>#N/A</v>
      </c>
      <c r="J1339" s="29" t="e">
        <f>VLOOKUP(I1339,PGStock[],2,FALSE)</f>
        <v>#N/A</v>
      </c>
      <c r="K1339" s="30" t="e">
        <f>VLOOKUP(I1339,PGStock[],3,FALSE)</f>
        <v>#N/A</v>
      </c>
      <c r="M1339" s="62" t="e">
        <f>VLOOKUP(I1339,PGStock[],6,FALSE)</f>
        <v>#N/A</v>
      </c>
      <c r="N1339" s="62" t="e">
        <f>+Table8[[#This Row],[SalesBot]]*Table8[[#This Row],[Bonus]]</f>
        <v>#N/A</v>
      </c>
    </row>
    <row r="1340" spans="1:14" ht="23.25" customHeight="1" x14ac:dyDescent="0.25">
      <c r="A1340" s="59">
        <f t="shared" si="129"/>
        <v>1900</v>
      </c>
      <c r="B1340" s="59">
        <f t="shared" si="130"/>
        <v>1</v>
      </c>
      <c r="C1340" s="60"/>
      <c r="D1340" s="61"/>
      <c r="F1340" s="23" t="e">
        <f>VLOOKUP(E1340,Customers[],2,FALSE)</f>
        <v>#N/A</v>
      </c>
      <c r="G1340" s="23" t="e">
        <f>VLOOKUP(E1340,Customers[],3,FALSE)</f>
        <v>#N/A</v>
      </c>
      <c r="H1340" s="23" t="e">
        <f>VLOOKUP(E1340,Customers[],4,FALSE)</f>
        <v>#N/A</v>
      </c>
      <c r="J1340" s="29" t="e">
        <f>VLOOKUP(I1340,PGStock[],2,FALSE)</f>
        <v>#N/A</v>
      </c>
      <c r="K1340" s="30" t="e">
        <f>VLOOKUP(I1340,PGStock[],3,FALSE)</f>
        <v>#N/A</v>
      </c>
      <c r="M1340" s="62" t="e">
        <f>VLOOKUP(I1340,PGStock[],6,FALSE)</f>
        <v>#N/A</v>
      </c>
      <c r="N1340" s="62" t="e">
        <f>+Table8[[#This Row],[SalesBot]]*Table8[[#This Row],[Bonus]]</f>
        <v>#N/A</v>
      </c>
    </row>
    <row r="1341" spans="1:14" ht="23.25" customHeight="1" x14ac:dyDescent="0.25">
      <c r="A1341" s="59">
        <f t="shared" si="129"/>
        <v>1900</v>
      </c>
      <c r="B1341" s="59">
        <f t="shared" si="130"/>
        <v>1</v>
      </c>
      <c r="C1341" s="60"/>
      <c r="D1341" s="61"/>
      <c r="F1341" s="23" t="e">
        <f>VLOOKUP(E1341,Customers[],2,FALSE)</f>
        <v>#N/A</v>
      </c>
      <c r="G1341" s="23" t="e">
        <f>VLOOKUP(E1341,Customers[],3,FALSE)</f>
        <v>#N/A</v>
      </c>
      <c r="H1341" s="23" t="e">
        <f>VLOOKUP(E1341,Customers[],4,FALSE)</f>
        <v>#N/A</v>
      </c>
      <c r="J1341" s="29" t="e">
        <f>VLOOKUP(I1341,PGStock[],2,FALSE)</f>
        <v>#N/A</v>
      </c>
      <c r="K1341" s="30" t="e">
        <f>VLOOKUP(I1341,PGStock[],3,FALSE)</f>
        <v>#N/A</v>
      </c>
      <c r="M1341" s="62" t="e">
        <f>VLOOKUP(I1341,PGStock[],6,FALSE)</f>
        <v>#N/A</v>
      </c>
      <c r="N1341" s="62" t="e">
        <f>+Table8[[#This Row],[SalesBot]]*Table8[[#This Row],[Bonus]]</f>
        <v>#N/A</v>
      </c>
    </row>
    <row r="1342" spans="1:14" ht="23.25" customHeight="1" x14ac:dyDescent="0.25">
      <c r="A1342" s="59">
        <f t="shared" si="129"/>
        <v>1900</v>
      </c>
      <c r="B1342" s="59">
        <f t="shared" si="130"/>
        <v>1</v>
      </c>
      <c r="C1342" s="60"/>
      <c r="D1342" s="61"/>
      <c r="F1342" s="23" t="e">
        <f>VLOOKUP(E1342,Customers[],2,FALSE)</f>
        <v>#N/A</v>
      </c>
      <c r="G1342" s="23" t="e">
        <f>VLOOKUP(E1342,Customers[],3,FALSE)</f>
        <v>#N/A</v>
      </c>
      <c r="H1342" s="23" t="e">
        <f>VLOOKUP(E1342,Customers[],4,FALSE)</f>
        <v>#N/A</v>
      </c>
      <c r="J1342" s="29" t="e">
        <f>VLOOKUP(I1342,PGStock[],2,FALSE)</f>
        <v>#N/A</v>
      </c>
      <c r="K1342" s="30" t="e">
        <f>VLOOKUP(I1342,PGStock[],3,FALSE)</f>
        <v>#N/A</v>
      </c>
      <c r="M1342" s="62" t="e">
        <f>VLOOKUP(I1342,PGStock[],6,FALSE)</f>
        <v>#N/A</v>
      </c>
      <c r="N1342" s="62" t="e">
        <f>+Table8[[#This Row],[SalesBot]]*Table8[[#This Row],[Bonus]]</f>
        <v>#N/A</v>
      </c>
    </row>
    <row r="1343" spans="1:14" ht="23.25" customHeight="1" x14ac:dyDescent="0.25">
      <c r="A1343" s="59">
        <f t="shared" si="129"/>
        <v>1900</v>
      </c>
      <c r="B1343" s="59">
        <f t="shared" si="130"/>
        <v>1</v>
      </c>
      <c r="C1343" s="60"/>
      <c r="D1343" s="61"/>
      <c r="F1343" s="23" t="e">
        <f>VLOOKUP(E1343,Customers[],2,FALSE)</f>
        <v>#N/A</v>
      </c>
      <c r="G1343" s="23" t="e">
        <f>VLOOKUP(E1343,Customers[],3,FALSE)</f>
        <v>#N/A</v>
      </c>
      <c r="H1343" s="23" t="e">
        <f>VLOOKUP(E1343,Customers[],4,FALSE)</f>
        <v>#N/A</v>
      </c>
      <c r="J1343" s="29" t="e">
        <f>VLOOKUP(I1343,PGStock[],2,FALSE)</f>
        <v>#N/A</v>
      </c>
      <c r="K1343" s="30" t="e">
        <f>VLOOKUP(I1343,PGStock[],3,FALSE)</f>
        <v>#N/A</v>
      </c>
      <c r="M1343" s="62" t="e">
        <f>VLOOKUP(I1343,PGStock[],6,FALSE)</f>
        <v>#N/A</v>
      </c>
      <c r="N1343" s="62" t="e">
        <f>+Table8[[#This Row],[SalesBot]]*Table8[[#This Row],[Bonus]]</f>
        <v>#N/A</v>
      </c>
    </row>
    <row r="1344" spans="1:14" ht="23.25" customHeight="1" x14ac:dyDescent="0.25">
      <c r="A1344" s="59">
        <f t="shared" si="129"/>
        <v>1900</v>
      </c>
      <c r="B1344" s="59">
        <f t="shared" si="130"/>
        <v>1</v>
      </c>
      <c r="C1344" s="60"/>
      <c r="D1344" s="61"/>
      <c r="F1344" s="23" t="e">
        <f>VLOOKUP(E1344,Customers[],2,FALSE)</f>
        <v>#N/A</v>
      </c>
      <c r="G1344" s="23" t="e">
        <f>VLOOKUP(E1344,Customers[],3,FALSE)</f>
        <v>#N/A</v>
      </c>
      <c r="H1344" s="23" t="e">
        <f>VLOOKUP(E1344,Customers[],4,FALSE)</f>
        <v>#N/A</v>
      </c>
      <c r="J1344" s="29" t="e">
        <f>VLOOKUP(I1344,PGStock[],2,FALSE)</f>
        <v>#N/A</v>
      </c>
      <c r="K1344" s="30" t="e">
        <f>VLOOKUP(I1344,PGStock[],3,FALSE)</f>
        <v>#N/A</v>
      </c>
      <c r="M1344" s="62" t="e">
        <f>VLOOKUP(I1344,PGStock[],6,FALSE)</f>
        <v>#N/A</v>
      </c>
      <c r="N1344" s="62" t="e">
        <f>+Table8[[#This Row],[SalesBot]]*Table8[[#This Row],[Bonus]]</f>
        <v>#N/A</v>
      </c>
    </row>
    <row r="1345" spans="1:14" ht="23.25" customHeight="1" x14ac:dyDescent="0.25">
      <c r="A1345" s="59">
        <f t="shared" si="129"/>
        <v>1900</v>
      </c>
      <c r="B1345" s="59">
        <f t="shared" si="130"/>
        <v>1</v>
      </c>
      <c r="C1345" s="60"/>
      <c r="D1345" s="61"/>
      <c r="F1345" s="23" t="e">
        <f>VLOOKUP(E1345,Customers[],2,FALSE)</f>
        <v>#N/A</v>
      </c>
      <c r="G1345" s="23" t="e">
        <f>VLOOKUP(E1345,Customers[],3,FALSE)</f>
        <v>#N/A</v>
      </c>
      <c r="H1345" s="23" t="e">
        <f>VLOOKUP(E1345,Customers[],4,FALSE)</f>
        <v>#N/A</v>
      </c>
      <c r="J1345" s="29" t="e">
        <f>VLOOKUP(I1345,PGStock[],2,FALSE)</f>
        <v>#N/A</v>
      </c>
      <c r="K1345" s="30" t="e">
        <f>VLOOKUP(I1345,PGStock[],3,FALSE)</f>
        <v>#N/A</v>
      </c>
      <c r="M1345" s="62" t="e">
        <f>VLOOKUP(I1345,PGStock[],6,FALSE)</f>
        <v>#N/A</v>
      </c>
      <c r="N1345" s="62" t="e">
        <f>+Table8[[#This Row],[SalesBot]]*Table8[[#This Row],[Bonus]]</f>
        <v>#N/A</v>
      </c>
    </row>
    <row r="1346" spans="1:14" ht="23.25" customHeight="1" x14ac:dyDescent="0.25">
      <c r="A1346" s="59">
        <f t="shared" si="129"/>
        <v>1900</v>
      </c>
      <c r="B1346" s="59">
        <f t="shared" si="130"/>
        <v>1</v>
      </c>
      <c r="C1346" s="60"/>
      <c r="D1346" s="61"/>
      <c r="F1346" s="23" t="e">
        <f>VLOOKUP(E1346,Customers[],2,FALSE)</f>
        <v>#N/A</v>
      </c>
      <c r="G1346" s="23" t="e">
        <f>VLOOKUP(E1346,Customers[],3,FALSE)</f>
        <v>#N/A</v>
      </c>
      <c r="H1346" s="23" t="e">
        <f>VLOOKUP(E1346,Customers[],4,FALSE)</f>
        <v>#N/A</v>
      </c>
      <c r="J1346" s="29" t="e">
        <f>VLOOKUP(I1346,PGStock[],2,FALSE)</f>
        <v>#N/A</v>
      </c>
      <c r="K1346" s="30" t="e">
        <f>VLOOKUP(I1346,PGStock[],3,FALSE)</f>
        <v>#N/A</v>
      </c>
      <c r="M1346" s="62" t="e">
        <f>VLOOKUP(I1346,PGStock[],6,FALSE)</f>
        <v>#N/A</v>
      </c>
      <c r="N1346" s="62" t="e">
        <f>+Table8[[#This Row],[SalesBot]]*Table8[[#This Row],[Bonus]]</f>
        <v>#N/A</v>
      </c>
    </row>
    <row r="1347" spans="1:14" ht="23.25" customHeight="1" x14ac:dyDescent="0.25">
      <c r="A1347" s="59">
        <f t="shared" si="129"/>
        <v>1900</v>
      </c>
      <c r="B1347" s="59">
        <f t="shared" si="130"/>
        <v>1</v>
      </c>
      <c r="C1347" s="60"/>
      <c r="D1347" s="61"/>
      <c r="F1347" s="23" t="e">
        <f>VLOOKUP(E1347,Customers[],2,FALSE)</f>
        <v>#N/A</v>
      </c>
      <c r="G1347" s="23" t="e">
        <f>VLOOKUP(E1347,Customers[],3,FALSE)</f>
        <v>#N/A</v>
      </c>
      <c r="H1347" s="23" t="e">
        <f>VLOOKUP(E1347,Customers[],4,FALSE)</f>
        <v>#N/A</v>
      </c>
      <c r="J1347" s="29" t="e">
        <f>VLOOKUP(I1347,PGStock[],2,FALSE)</f>
        <v>#N/A</v>
      </c>
      <c r="K1347" s="30" t="e">
        <f>VLOOKUP(I1347,PGStock[],3,FALSE)</f>
        <v>#N/A</v>
      </c>
      <c r="M1347" s="62" t="e">
        <f>VLOOKUP(I1347,PGStock[],6,FALSE)</f>
        <v>#N/A</v>
      </c>
      <c r="N1347" s="62" t="e">
        <f>+Table8[[#This Row],[SalesBot]]*Table8[[#This Row],[Bonus]]</f>
        <v>#N/A</v>
      </c>
    </row>
    <row r="1348" spans="1:14" ht="23.25" customHeight="1" x14ac:dyDescent="0.25">
      <c r="A1348" s="59">
        <f t="shared" si="129"/>
        <v>1900</v>
      </c>
      <c r="B1348" s="59">
        <f t="shared" si="130"/>
        <v>1</v>
      </c>
      <c r="C1348" s="60"/>
      <c r="D1348" s="61"/>
      <c r="F1348" s="23" t="e">
        <f>VLOOKUP(E1348,Customers[],2,FALSE)</f>
        <v>#N/A</v>
      </c>
      <c r="G1348" s="23" t="e">
        <f>VLOOKUP(E1348,Customers[],3,FALSE)</f>
        <v>#N/A</v>
      </c>
      <c r="H1348" s="23" t="e">
        <f>VLOOKUP(E1348,Customers[],4,FALSE)</f>
        <v>#N/A</v>
      </c>
      <c r="J1348" s="29" t="e">
        <f>VLOOKUP(I1348,PGStock[],2,FALSE)</f>
        <v>#N/A</v>
      </c>
      <c r="K1348" s="30" t="e">
        <f>VLOOKUP(I1348,PGStock[],3,FALSE)</f>
        <v>#N/A</v>
      </c>
      <c r="M1348" s="62" t="e">
        <f>VLOOKUP(I1348,PGStock[],6,FALSE)</f>
        <v>#N/A</v>
      </c>
      <c r="N1348" s="62" t="e">
        <f>+Table8[[#This Row],[SalesBot]]*Table8[[#This Row],[Bonus]]</f>
        <v>#N/A</v>
      </c>
    </row>
    <row r="1349" spans="1:14" ht="23.25" customHeight="1" x14ac:dyDescent="0.25">
      <c r="A1349" s="59">
        <f t="shared" si="129"/>
        <v>1900</v>
      </c>
      <c r="B1349" s="59">
        <f t="shared" si="130"/>
        <v>1</v>
      </c>
      <c r="C1349" s="60"/>
      <c r="D1349" s="61"/>
      <c r="F1349" s="23" t="e">
        <f>VLOOKUP(E1349,Customers[],2,FALSE)</f>
        <v>#N/A</v>
      </c>
      <c r="G1349" s="23" t="e">
        <f>VLOOKUP(E1349,Customers[],3,FALSE)</f>
        <v>#N/A</v>
      </c>
      <c r="H1349" s="23" t="e">
        <f>VLOOKUP(E1349,Customers[],4,FALSE)</f>
        <v>#N/A</v>
      </c>
      <c r="J1349" s="29" t="e">
        <f>VLOOKUP(I1349,PGStock[],2,FALSE)</f>
        <v>#N/A</v>
      </c>
      <c r="K1349" s="30" t="e">
        <f>VLOOKUP(I1349,PGStock[],3,FALSE)</f>
        <v>#N/A</v>
      </c>
      <c r="M1349" s="62" t="e">
        <f>VLOOKUP(I1349,PGStock[],6,FALSE)</f>
        <v>#N/A</v>
      </c>
      <c r="N1349" s="62" t="e">
        <f>+Table8[[#This Row],[SalesBot]]*Table8[[#This Row],[Bonus]]</f>
        <v>#N/A</v>
      </c>
    </row>
    <row r="1350" spans="1:14" ht="23.25" customHeight="1" x14ac:dyDescent="0.25">
      <c r="A1350" s="59">
        <f t="shared" si="129"/>
        <v>1900</v>
      </c>
      <c r="B1350" s="59">
        <f t="shared" si="130"/>
        <v>1</v>
      </c>
      <c r="C1350" s="20"/>
      <c r="D1350" s="61"/>
      <c r="F1350" s="23" t="e">
        <f>VLOOKUP(E1350,Customers[],2,FALSE)</f>
        <v>#N/A</v>
      </c>
      <c r="G1350" s="23" t="e">
        <f>VLOOKUP(E1350,Customers[],3,FALSE)</f>
        <v>#N/A</v>
      </c>
      <c r="H1350" s="23" t="e">
        <f>VLOOKUP(E1350,Customers[],4,FALSE)</f>
        <v>#N/A</v>
      </c>
      <c r="J1350" s="29" t="e">
        <f>VLOOKUP(I1350,PGStock[],2,FALSE)</f>
        <v>#N/A</v>
      </c>
      <c r="K1350" s="30" t="e">
        <f>VLOOKUP(I1350,PGStock[],3,FALSE)</f>
        <v>#N/A</v>
      </c>
      <c r="M1350" s="62" t="e">
        <f>VLOOKUP(I1350,PGStock[],6,FALSE)</f>
        <v>#N/A</v>
      </c>
      <c r="N1350" s="62" t="e">
        <f>+Table8[[#This Row],[SalesBot]]*Table8[[#This Row],[Bonus]]</f>
        <v>#N/A</v>
      </c>
    </row>
    <row r="1351" spans="1:14" ht="23.25" customHeight="1" x14ac:dyDescent="0.25">
      <c r="A1351" s="59">
        <f t="shared" si="129"/>
        <v>1900</v>
      </c>
      <c r="B1351" s="59">
        <f t="shared" si="130"/>
        <v>1</v>
      </c>
      <c r="C1351" s="20"/>
      <c r="D1351" s="61"/>
      <c r="F1351" s="23" t="e">
        <f>VLOOKUP(E1351,Customers[],2,FALSE)</f>
        <v>#N/A</v>
      </c>
      <c r="G1351" s="23" t="e">
        <f>VLOOKUP(E1351,Customers[],3,FALSE)</f>
        <v>#N/A</v>
      </c>
      <c r="H1351" s="23" t="e">
        <f>VLOOKUP(E1351,Customers[],4,FALSE)</f>
        <v>#N/A</v>
      </c>
      <c r="J1351" s="29" t="e">
        <f>VLOOKUP(I1351,PGStock[],2,FALSE)</f>
        <v>#N/A</v>
      </c>
      <c r="K1351" s="30" t="e">
        <f>VLOOKUP(I1351,PGStock[],3,FALSE)</f>
        <v>#N/A</v>
      </c>
      <c r="M1351" s="62" t="e">
        <f>VLOOKUP(I1351,PGStock[],6,FALSE)</f>
        <v>#N/A</v>
      </c>
      <c r="N1351" s="62" t="e">
        <f>+Table8[[#This Row],[SalesBot]]*Table8[[#This Row],[Bonus]]</f>
        <v>#N/A</v>
      </c>
    </row>
    <row r="1352" spans="1:14" ht="23.25" customHeight="1" x14ac:dyDescent="0.25">
      <c r="A1352" s="59">
        <f t="shared" si="129"/>
        <v>1900</v>
      </c>
      <c r="B1352" s="59">
        <f t="shared" si="130"/>
        <v>1</v>
      </c>
      <c r="C1352" s="20"/>
      <c r="D1352" s="61"/>
      <c r="F1352" s="23" t="e">
        <f>VLOOKUP(E1352,Customers[],2,FALSE)</f>
        <v>#N/A</v>
      </c>
      <c r="G1352" s="23" t="e">
        <f>VLOOKUP(E1352,Customers[],3,FALSE)</f>
        <v>#N/A</v>
      </c>
      <c r="H1352" s="23" t="e">
        <f>VLOOKUP(E1352,Customers[],4,FALSE)</f>
        <v>#N/A</v>
      </c>
      <c r="J1352" s="29" t="e">
        <f>VLOOKUP(I1352,PGStock[],2,FALSE)</f>
        <v>#N/A</v>
      </c>
      <c r="K1352" s="30" t="e">
        <f>VLOOKUP(I1352,PGStock[],3,FALSE)</f>
        <v>#N/A</v>
      </c>
      <c r="M1352" s="62" t="e">
        <f>VLOOKUP(I1352,PGStock[],6,FALSE)</f>
        <v>#N/A</v>
      </c>
      <c r="N1352" s="62" t="e">
        <f>+Table8[[#This Row],[SalesBot]]*Table8[[#This Row],[Bonus]]</f>
        <v>#N/A</v>
      </c>
    </row>
    <row r="1353" spans="1:14" ht="23.25" customHeight="1" x14ac:dyDescent="0.25">
      <c r="A1353" s="59">
        <f t="shared" si="129"/>
        <v>1900</v>
      </c>
      <c r="B1353" s="59">
        <f t="shared" si="130"/>
        <v>1</v>
      </c>
      <c r="C1353" s="20"/>
      <c r="D1353" s="61"/>
      <c r="F1353" s="23" t="e">
        <f>VLOOKUP(E1353,Customers[],2,FALSE)</f>
        <v>#N/A</v>
      </c>
      <c r="G1353" s="23" t="e">
        <f>VLOOKUP(E1353,Customers[],3,FALSE)</f>
        <v>#N/A</v>
      </c>
      <c r="H1353" s="23" t="e">
        <f>VLOOKUP(E1353,Customers[],4,FALSE)</f>
        <v>#N/A</v>
      </c>
      <c r="J1353" s="29" t="e">
        <f>VLOOKUP(I1353,PGStock[],2,FALSE)</f>
        <v>#N/A</v>
      </c>
      <c r="K1353" s="30" t="e">
        <f>VLOOKUP(I1353,PGStock[],3,FALSE)</f>
        <v>#N/A</v>
      </c>
      <c r="M1353" s="62" t="e">
        <f>VLOOKUP(I1353,PGStock[],6,FALSE)</f>
        <v>#N/A</v>
      </c>
      <c r="N1353" s="62" t="e">
        <f>+Table8[[#This Row],[SalesBot]]*Table8[[#This Row],[Bonus]]</f>
        <v>#N/A</v>
      </c>
    </row>
    <row r="1354" spans="1:14" ht="23.25" customHeight="1" x14ac:dyDescent="0.25">
      <c r="A1354" s="59">
        <f t="shared" si="129"/>
        <v>1900</v>
      </c>
      <c r="B1354" s="59">
        <f t="shared" si="130"/>
        <v>1</v>
      </c>
      <c r="C1354" s="20"/>
      <c r="D1354" s="61"/>
      <c r="F1354" s="23" t="e">
        <f>VLOOKUP(E1354,Customers[],2,FALSE)</f>
        <v>#N/A</v>
      </c>
      <c r="G1354" s="23" t="e">
        <f>VLOOKUP(E1354,Customers[],3,FALSE)</f>
        <v>#N/A</v>
      </c>
      <c r="H1354" s="23" t="e">
        <f>VLOOKUP(E1354,Customers[],4,FALSE)</f>
        <v>#N/A</v>
      </c>
      <c r="J1354" s="29" t="e">
        <f>VLOOKUP(I1354,PGStock[],2,FALSE)</f>
        <v>#N/A</v>
      </c>
      <c r="K1354" s="30" t="e">
        <f>VLOOKUP(I1354,PGStock[],3,FALSE)</f>
        <v>#N/A</v>
      </c>
      <c r="M1354" s="62" t="e">
        <f>VLOOKUP(I1354,PGStock[],6,FALSE)</f>
        <v>#N/A</v>
      </c>
      <c r="N1354" s="62" t="e">
        <f>+Table8[[#This Row],[SalesBot]]*Table8[[#This Row],[Bonus]]</f>
        <v>#N/A</v>
      </c>
    </row>
    <row r="1355" spans="1:14" ht="23.25" customHeight="1" x14ac:dyDescent="0.25">
      <c r="A1355" s="59">
        <f t="shared" si="129"/>
        <v>1900</v>
      </c>
      <c r="B1355" s="59">
        <f t="shared" si="130"/>
        <v>1</v>
      </c>
      <c r="C1355" s="20"/>
      <c r="D1355" s="61"/>
      <c r="F1355" s="23" t="e">
        <f>VLOOKUP(E1355,Customers[],2,FALSE)</f>
        <v>#N/A</v>
      </c>
      <c r="G1355" s="23" t="e">
        <f>VLOOKUP(E1355,Customers[],3,FALSE)</f>
        <v>#N/A</v>
      </c>
      <c r="H1355" s="23" t="e">
        <f>VLOOKUP(E1355,Customers[],4,FALSE)</f>
        <v>#N/A</v>
      </c>
      <c r="J1355" s="29" t="e">
        <f>VLOOKUP(I1355,PGStock[],2,FALSE)</f>
        <v>#N/A</v>
      </c>
      <c r="K1355" s="30" t="e">
        <f>VLOOKUP(I1355,PGStock[],3,FALSE)</f>
        <v>#N/A</v>
      </c>
      <c r="M1355" s="62" t="e">
        <f>VLOOKUP(I1355,PGStock[],6,FALSE)</f>
        <v>#N/A</v>
      </c>
      <c r="N1355" s="62" t="e">
        <f>+Table8[[#This Row],[SalesBot]]*Table8[[#This Row],[Bonus]]</f>
        <v>#N/A</v>
      </c>
    </row>
    <row r="1356" spans="1:14" ht="23.25" customHeight="1" x14ac:dyDescent="0.25">
      <c r="A1356" s="59">
        <f t="shared" si="129"/>
        <v>1900</v>
      </c>
      <c r="B1356" s="59">
        <f t="shared" si="130"/>
        <v>1</v>
      </c>
      <c r="C1356" s="20"/>
      <c r="D1356" s="61"/>
      <c r="F1356" s="23" t="e">
        <f>VLOOKUP(E1356,Customers[],2,FALSE)</f>
        <v>#N/A</v>
      </c>
      <c r="G1356" s="23" t="e">
        <f>VLOOKUP(E1356,Customers[],3,FALSE)</f>
        <v>#N/A</v>
      </c>
      <c r="H1356" s="23" t="e">
        <f>VLOOKUP(E1356,Customers[],4,FALSE)</f>
        <v>#N/A</v>
      </c>
      <c r="J1356" s="29" t="e">
        <f>VLOOKUP(I1356,PGStock[],2,FALSE)</f>
        <v>#N/A</v>
      </c>
      <c r="K1356" s="30" t="e">
        <f>VLOOKUP(I1356,PGStock[],3,FALSE)</f>
        <v>#N/A</v>
      </c>
      <c r="M1356" s="62" t="e">
        <f>VLOOKUP(I1356,PGStock[],6,FALSE)</f>
        <v>#N/A</v>
      </c>
      <c r="N1356" s="62" t="e">
        <f>+Table8[[#This Row],[SalesBot]]*Table8[[#This Row],[Bonus]]</f>
        <v>#N/A</v>
      </c>
    </row>
    <row r="1357" spans="1:14" ht="23.25" customHeight="1" x14ac:dyDescent="0.25">
      <c r="A1357" s="59">
        <f t="shared" si="129"/>
        <v>1900</v>
      </c>
      <c r="B1357" s="59">
        <f t="shared" si="130"/>
        <v>1</v>
      </c>
      <c r="C1357" s="20"/>
      <c r="D1357" s="61"/>
      <c r="F1357" s="23" t="e">
        <f>VLOOKUP(E1357,Customers[],2,FALSE)</f>
        <v>#N/A</v>
      </c>
      <c r="G1357" s="23" t="e">
        <f>VLOOKUP(E1357,Customers[],3,FALSE)</f>
        <v>#N/A</v>
      </c>
      <c r="H1357" s="23" t="e">
        <f>VLOOKUP(E1357,Customers[],4,FALSE)</f>
        <v>#N/A</v>
      </c>
      <c r="J1357" s="29" t="e">
        <f>VLOOKUP(I1357,PGStock[],2,FALSE)</f>
        <v>#N/A</v>
      </c>
      <c r="K1357" s="30" t="e">
        <f>VLOOKUP(I1357,PGStock[],3,FALSE)</f>
        <v>#N/A</v>
      </c>
      <c r="M1357" s="62" t="e">
        <f>VLOOKUP(I1357,PGStock[],6,FALSE)</f>
        <v>#N/A</v>
      </c>
      <c r="N1357" s="62" t="e">
        <f>+Table8[[#This Row],[SalesBot]]*Table8[[#This Row],[Bonus]]</f>
        <v>#N/A</v>
      </c>
    </row>
    <row r="1358" spans="1:14" ht="23.25" customHeight="1" x14ac:dyDescent="0.25">
      <c r="A1358" s="59">
        <f t="shared" si="129"/>
        <v>1900</v>
      </c>
      <c r="B1358" s="59">
        <f t="shared" si="130"/>
        <v>1</v>
      </c>
      <c r="C1358" s="20"/>
      <c r="D1358" s="61"/>
      <c r="F1358" s="23" t="e">
        <f>VLOOKUP(E1358,Customers[],2,FALSE)</f>
        <v>#N/A</v>
      </c>
      <c r="G1358" s="23" t="e">
        <f>VLOOKUP(E1358,Customers[],3,FALSE)</f>
        <v>#N/A</v>
      </c>
      <c r="H1358" s="23" t="e">
        <f>VLOOKUP(E1358,Customers[],4,FALSE)</f>
        <v>#N/A</v>
      </c>
      <c r="J1358" s="29" t="e">
        <f>VLOOKUP(I1358,PGStock[],2,FALSE)</f>
        <v>#N/A</v>
      </c>
      <c r="K1358" s="30" t="e">
        <f>VLOOKUP(I1358,PGStock[],3,FALSE)</f>
        <v>#N/A</v>
      </c>
      <c r="M1358" s="62" t="e">
        <f>VLOOKUP(I1358,PGStock[],6,FALSE)</f>
        <v>#N/A</v>
      </c>
      <c r="N1358" s="62" t="e">
        <f>+Table8[[#This Row],[SalesBot]]*Table8[[#This Row],[Bonus]]</f>
        <v>#N/A</v>
      </c>
    </row>
    <row r="1359" spans="1:14" ht="23.25" customHeight="1" x14ac:dyDescent="0.25">
      <c r="A1359" s="59">
        <f t="shared" si="129"/>
        <v>1900</v>
      </c>
      <c r="B1359" s="59">
        <f t="shared" si="130"/>
        <v>1</v>
      </c>
      <c r="C1359" s="20"/>
      <c r="D1359" s="61"/>
      <c r="F1359" s="23" t="e">
        <f>VLOOKUP(E1359,Customers[],2,FALSE)</f>
        <v>#N/A</v>
      </c>
      <c r="G1359" s="23" t="e">
        <f>VLOOKUP(E1359,Customers[],3,FALSE)</f>
        <v>#N/A</v>
      </c>
      <c r="H1359" s="23" t="e">
        <f>VLOOKUP(E1359,Customers[],4,FALSE)</f>
        <v>#N/A</v>
      </c>
      <c r="J1359" s="29" t="e">
        <f>VLOOKUP(I1359,PGStock[],2,FALSE)</f>
        <v>#N/A</v>
      </c>
      <c r="K1359" s="30" t="e">
        <f>VLOOKUP(I1359,PGStock[],3,FALSE)</f>
        <v>#N/A</v>
      </c>
      <c r="M1359" s="62" t="e">
        <f>VLOOKUP(I1359,PGStock[],6,FALSE)</f>
        <v>#N/A</v>
      </c>
      <c r="N1359" s="62" t="e">
        <f>+Table8[[#This Row],[SalesBot]]*Table8[[#This Row],[Bonus]]</f>
        <v>#N/A</v>
      </c>
    </row>
    <row r="1360" spans="1:14" ht="23.25" customHeight="1" x14ac:dyDescent="0.25">
      <c r="A1360" s="59">
        <f t="shared" si="129"/>
        <v>1900</v>
      </c>
      <c r="B1360" s="59">
        <f t="shared" si="130"/>
        <v>1</v>
      </c>
      <c r="C1360" s="20"/>
      <c r="D1360" s="61"/>
      <c r="F1360" s="23" t="e">
        <f>VLOOKUP(E1360,Customers[],2,FALSE)</f>
        <v>#N/A</v>
      </c>
      <c r="G1360" s="23" t="e">
        <f>VLOOKUP(E1360,Customers[],3,FALSE)</f>
        <v>#N/A</v>
      </c>
      <c r="H1360" s="23" t="e">
        <f>VLOOKUP(E1360,Customers[],4,FALSE)</f>
        <v>#N/A</v>
      </c>
      <c r="J1360" s="29" t="e">
        <f>VLOOKUP(I1360,PGStock[],2,FALSE)</f>
        <v>#N/A</v>
      </c>
      <c r="K1360" s="30" t="e">
        <f>VLOOKUP(I1360,PGStock[],3,FALSE)</f>
        <v>#N/A</v>
      </c>
      <c r="M1360" s="62" t="e">
        <f>VLOOKUP(I1360,PGStock[],6,FALSE)</f>
        <v>#N/A</v>
      </c>
      <c r="N1360" s="62" t="e">
        <f>+Table8[[#This Row],[SalesBot]]*Table8[[#This Row],[Bonus]]</f>
        <v>#N/A</v>
      </c>
    </row>
    <row r="1361" spans="1:14" ht="23.25" customHeight="1" x14ac:dyDescent="0.25">
      <c r="A1361" s="59">
        <f t="shared" si="129"/>
        <v>1900</v>
      </c>
      <c r="B1361" s="59">
        <f t="shared" si="130"/>
        <v>1</v>
      </c>
      <c r="C1361" s="20"/>
      <c r="D1361" s="61"/>
      <c r="F1361" s="23" t="e">
        <f>VLOOKUP(E1361,Customers[],2,FALSE)</f>
        <v>#N/A</v>
      </c>
      <c r="G1361" s="23" t="e">
        <f>VLOOKUP(E1361,Customers[],3,FALSE)</f>
        <v>#N/A</v>
      </c>
      <c r="H1361" s="23" t="e">
        <f>VLOOKUP(E1361,Customers[],4,FALSE)</f>
        <v>#N/A</v>
      </c>
      <c r="J1361" s="29" t="e">
        <f>VLOOKUP(I1361,PGStock[],2,FALSE)</f>
        <v>#N/A</v>
      </c>
      <c r="K1361" s="30" t="e">
        <f>VLOOKUP(I1361,PGStock[],3,FALSE)</f>
        <v>#N/A</v>
      </c>
      <c r="M1361" s="62" t="e">
        <f>VLOOKUP(I1361,PGStock[],6,FALSE)</f>
        <v>#N/A</v>
      </c>
      <c r="N1361" s="62" t="e">
        <f>+Table8[[#This Row],[SalesBot]]*Table8[[#This Row],[Bonus]]</f>
        <v>#N/A</v>
      </c>
    </row>
    <row r="1362" spans="1:14" ht="23.25" customHeight="1" x14ac:dyDescent="0.25">
      <c r="A1362" s="59">
        <f t="shared" si="129"/>
        <v>1900</v>
      </c>
      <c r="B1362" s="59">
        <f t="shared" si="130"/>
        <v>1</v>
      </c>
      <c r="C1362" s="20"/>
      <c r="D1362" s="61"/>
      <c r="F1362" s="23" t="e">
        <f>VLOOKUP(E1362,Customers[],2,FALSE)</f>
        <v>#N/A</v>
      </c>
      <c r="G1362" s="23" t="e">
        <f>VLOOKUP(E1362,Customers[],3,FALSE)</f>
        <v>#N/A</v>
      </c>
      <c r="H1362" s="23" t="e">
        <f>VLOOKUP(E1362,Customers[],4,FALSE)</f>
        <v>#N/A</v>
      </c>
      <c r="J1362" s="29" t="e">
        <f>VLOOKUP(I1362,PGStock[],2,FALSE)</f>
        <v>#N/A</v>
      </c>
      <c r="K1362" s="30" t="e">
        <f>VLOOKUP(I1362,PGStock[],3,FALSE)</f>
        <v>#N/A</v>
      </c>
      <c r="M1362" s="62" t="e">
        <f>VLOOKUP(I1362,PGStock[],6,FALSE)</f>
        <v>#N/A</v>
      </c>
      <c r="N1362" s="62" t="e">
        <f>+Table8[[#This Row],[SalesBot]]*Table8[[#This Row],[Bonus]]</f>
        <v>#N/A</v>
      </c>
    </row>
    <row r="1363" spans="1:14" ht="23.25" customHeight="1" x14ac:dyDescent="0.25">
      <c r="A1363" s="59">
        <f t="shared" si="129"/>
        <v>1900</v>
      </c>
      <c r="B1363" s="59">
        <f t="shared" si="130"/>
        <v>1</v>
      </c>
      <c r="C1363" s="20"/>
      <c r="D1363" s="61"/>
      <c r="F1363" s="23" t="e">
        <f>VLOOKUP(E1363,Customers[],2,FALSE)</f>
        <v>#N/A</v>
      </c>
      <c r="G1363" s="23" t="e">
        <f>VLOOKUP(E1363,Customers[],3,FALSE)</f>
        <v>#N/A</v>
      </c>
      <c r="H1363" s="23" t="e">
        <f>VLOOKUP(E1363,Customers[],4,FALSE)</f>
        <v>#N/A</v>
      </c>
      <c r="J1363" s="29" t="e">
        <f>VLOOKUP(I1363,PGStock[],2,FALSE)</f>
        <v>#N/A</v>
      </c>
      <c r="K1363" s="30" t="e">
        <f>VLOOKUP(I1363,PGStock[],3,FALSE)</f>
        <v>#N/A</v>
      </c>
      <c r="M1363" s="62" t="e">
        <f>VLOOKUP(I1363,PGStock[],6,FALSE)</f>
        <v>#N/A</v>
      </c>
      <c r="N1363" s="62" t="e">
        <f>+Table8[[#This Row],[SalesBot]]*Table8[[#This Row],[Bonus]]</f>
        <v>#N/A</v>
      </c>
    </row>
    <row r="1364" spans="1:14" ht="23.25" customHeight="1" x14ac:dyDescent="0.25">
      <c r="A1364" s="59">
        <f t="shared" si="129"/>
        <v>1900</v>
      </c>
      <c r="B1364" s="59">
        <f t="shared" si="130"/>
        <v>1</v>
      </c>
      <c r="C1364" s="20"/>
      <c r="D1364" s="61"/>
      <c r="F1364" s="23" t="e">
        <f>VLOOKUP(E1364,Customers[],2,FALSE)</f>
        <v>#N/A</v>
      </c>
      <c r="G1364" s="23" t="e">
        <f>VLOOKUP(E1364,Customers[],3,FALSE)</f>
        <v>#N/A</v>
      </c>
      <c r="H1364" s="23" t="e">
        <f>VLOOKUP(E1364,Customers[],4,FALSE)</f>
        <v>#N/A</v>
      </c>
      <c r="J1364" s="29" t="e">
        <f>VLOOKUP(I1364,PGStock[],2,FALSE)</f>
        <v>#N/A</v>
      </c>
      <c r="K1364" s="30" t="e">
        <f>VLOOKUP(I1364,PGStock[],3,FALSE)</f>
        <v>#N/A</v>
      </c>
      <c r="M1364" s="62" t="e">
        <f>VLOOKUP(I1364,PGStock[],6,FALSE)</f>
        <v>#N/A</v>
      </c>
      <c r="N1364" s="62" t="e">
        <f>+Table8[[#This Row],[SalesBot]]*Table8[[#This Row],[Bonus]]</f>
        <v>#N/A</v>
      </c>
    </row>
    <row r="1365" spans="1:14" ht="23.25" customHeight="1" x14ac:dyDescent="0.25">
      <c r="A1365" s="59">
        <f t="shared" si="129"/>
        <v>1900</v>
      </c>
      <c r="B1365" s="59">
        <f t="shared" si="130"/>
        <v>1</v>
      </c>
      <c r="C1365" s="20"/>
      <c r="D1365" s="61"/>
      <c r="F1365" s="23" t="e">
        <f>VLOOKUP(E1365,Customers[],2,FALSE)</f>
        <v>#N/A</v>
      </c>
      <c r="G1365" s="23" t="e">
        <f>VLOOKUP(E1365,Customers[],3,FALSE)</f>
        <v>#N/A</v>
      </c>
      <c r="H1365" s="23" t="e">
        <f>VLOOKUP(E1365,Customers[],4,FALSE)</f>
        <v>#N/A</v>
      </c>
      <c r="J1365" s="29" t="e">
        <f>VLOOKUP(I1365,PGStock[],2,FALSE)</f>
        <v>#N/A</v>
      </c>
      <c r="K1365" s="30" t="e">
        <f>VLOOKUP(I1365,PGStock[],3,FALSE)</f>
        <v>#N/A</v>
      </c>
      <c r="M1365" s="62" t="e">
        <f>VLOOKUP(I1365,PGStock[],6,FALSE)</f>
        <v>#N/A</v>
      </c>
      <c r="N1365" s="62" t="e">
        <f>+Table8[[#This Row],[SalesBot]]*Table8[[#This Row],[Bonus]]</f>
        <v>#N/A</v>
      </c>
    </row>
    <row r="1366" spans="1:14" ht="23.25" customHeight="1" x14ac:dyDescent="0.25">
      <c r="A1366" s="59">
        <f t="shared" si="129"/>
        <v>1900</v>
      </c>
      <c r="B1366" s="59">
        <f t="shared" si="130"/>
        <v>1</v>
      </c>
      <c r="C1366" s="20"/>
      <c r="D1366" s="61"/>
      <c r="F1366" s="23" t="e">
        <f>VLOOKUP(E1366,Customers[],2,FALSE)</f>
        <v>#N/A</v>
      </c>
      <c r="G1366" s="23" t="e">
        <f>VLOOKUP(E1366,Customers[],3,FALSE)</f>
        <v>#N/A</v>
      </c>
      <c r="H1366" s="23" t="e">
        <f>VLOOKUP(E1366,Customers[],4,FALSE)</f>
        <v>#N/A</v>
      </c>
      <c r="J1366" s="29" t="e">
        <f>VLOOKUP(I1366,PGStock[],2,FALSE)</f>
        <v>#N/A</v>
      </c>
      <c r="K1366" s="30" t="e">
        <f>VLOOKUP(I1366,PGStock[],3,FALSE)</f>
        <v>#N/A</v>
      </c>
      <c r="M1366" s="62" t="e">
        <f>VLOOKUP(I1366,PGStock[],6,FALSE)</f>
        <v>#N/A</v>
      </c>
      <c r="N1366" s="62" t="e">
        <f>+Table8[[#This Row],[SalesBot]]*Table8[[#This Row],[Bonus]]</f>
        <v>#N/A</v>
      </c>
    </row>
    <row r="1367" spans="1:14" ht="23.25" customHeight="1" x14ac:dyDescent="0.25">
      <c r="A1367" s="59">
        <f t="shared" ref="A1367:A1415" si="131">YEAR(C1367)</f>
        <v>1900</v>
      </c>
      <c r="B1367" s="59">
        <f t="shared" ref="B1367:B1415" si="132">MONTH(C1367)</f>
        <v>1</v>
      </c>
      <c r="C1367" s="20"/>
      <c r="D1367" s="61"/>
      <c r="F1367" s="23" t="e">
        <f>VLOOKUP(E1367,Customers[],2,FALSE)</f>
        <v>#N/A</v>
      </c>
      <c r="G1367" s="23" t="e">
        <f>VLOOKUP(E1367,Customers[],3,FALSE)</f>
        <v>#N/A</v>
      </c>
      <c r="H1367" s="23" t="e">
        <f>VLOOKUP(E1367,Customers[],4,FALSE)</f>
        <v>#N/A</v>
      </c>
      <c r="J1367" s="29" t="e">
        <f>VLOOKUP(I1367,PGStock[],2,FALSE)</f>
        <v>#N/A</v>
      </c>
      <c r="K1367" s="30" t="e">
        <f>VLOOKUP(I1367,PGStock[],3,FALSE)</f>
        <v>#N/A</v>
      </c>
      <c r="M1367" s="62" t="e">
        <f>VLOOKUP(I1367,PGStock[],6,FALSE)</f>
        <v>#N/A</v>
      </c>
      <c r="N1367" s="62" t="e">
        <f>+Table8[[#This Row],[SalesBot]]*Table8[[#This Row],[Bonus]]</f>
        <v>#N/A</v>
      </c>
    </row>
    <row r="1368" spans="1:14" ht="23.25" customHeight="1" x14ac:dyDescent="0.25">
      <c r="A1368" s="59">
        <f t="shared" si="131"/>
        <v>1900</v>
      </c>
      <c r="B1368" s="59">
        <f t="shared" si="132"/>
        <v>1</v>
      </c>
      <c r="C1368" s="20"/>
      <c r="D1368" s="61"/>
      <c r="F1368" s="23" t="e">
        <f>VLOOKUP(E1368,Customers[],2,FALSE)</f>
        <v>#N/A</v>
      </c>
      <c r="G1368" s="23" t="e">
        <f>VLOOKUP(E1368,Customers[],3,FALSE)</f>
        <v>#N/A</v>
      </c>
      <c r="H1368" s="23" t="e">
        <f>VLOOKUP(E1368,Customers[],4,FALSE)</f>
        <v>#N/A</v>
      </c>
      <c r="J1368" s="29" t="e">
        <f>VLOOKUP(I1368,PGStock[],2,FALSE)</f>
        <v>#N/A</v>
      </c>
      <c r="K1368" s="30" t="e">
        <f>VLOOKUP(I1368,PGStock[],3,FALSE)</f>
        <v>#N/A</v>
      </c>
      <c r="M1368" s="62" t="e">
        <f>VLOOKUP(I1368,PGStock[],6,FALSE)</f>
        <v>#N/A</v>
      </c>
      <c r="N1368" s="62" t="e">
        <f>+Table8[[#This Row],[SalesBot]]*Table8[[#This Row],[Bonus]]</f>
        <v>#N/A</v>
      </c>
    </row>
    <row r="1369" spans="1:14" ht="23.25" customHeight="1" x14ac:dyDescent="0.25">
      <c r="A1369" s="59">
        <f t="shared" si="131"/>
        <v>1900</v>
      </c>
      <c r="B1369" s="59">
        <f t="shared" si="132"/>
        <v>1</v>
      </c>
      <c r="C1369" s="60"/>
      <c r="D1369" s="61"/>
      <c r="F1369" s="23" t="e">
        <f>VLOOKUP(E1369,Customers[],2,FALSE)</f>
        <v>#N/A</v>
      </c>
      <c r="G1369" s="23" t="e">
        <f>VLOOKUP(E1369,Customers[],3,FALSE)</f>
        <v>#N/A</v>
      </c>
      <c r="H1369" s="23" t="e">
        <f>VLOOKUP(E1369,Customers[],4,FALSE)</f>
        <v>#N/A</v>
      </c>
      <c r="J1369" s="29" t="e">
        <f>VLOOKUP(I1369,PGStock[],2,FALSE)</f>
        <v>#N/A</v>
      </c>
      <c r="K1369" s="30" t="e">
        <f>VLOOKUP(I1369,PGStock[],3,FALSE)</f>
        <v>#N/A</v>
      </c>
      <c r="M1369" s="62" t="e">
        <f>VLOOKUP(I1369,PGStock[],6,FALSE)</f>
        <v>#N/A</v>
      </c>
      <c r="N1369" s="62" t="e">
        <f>+Table8[[#This Row],[SalesBot]]*Table8[[#This Row],[Bonus]]</f>
        <v>#N/A</v>
      </c>
    </row>
    <row r="1370" spans="1:14" ht="23.25" customHeight="1" x14ac:dyDescent="0.25">
      <c r="A1370" s="59">
        <f t="shared" si="131"/>
        <v>1900</v>
      </c>
      <c r="B1370" s="59">
        <f t="shared" si="132"/>
        <v>1</v>
      </c>
      <c r="C1370" s="60"/>
      <c r="D1370" s="61"/>
      <c r="F1370" s="23" t="e">
        <f>VLOOKUP(E1370,Customers[],2,FALSE)</f>
        <v>#N/A</v>
      </c>
      <c r="G1370" s="23" t="e">
        <f>VLOOKUP(E1370,Customers[],3,FALSE)</f>
        <v>#N/A</v>
      </c>
      <c r="H1370" s="23" t="e">
        <f>VLOOKUP(E1370,Customers[],4,FALSE)</f>
        <v>#N/A</v>
      </c>
      <c r="J1370" s="29" t="e">
        <f>VLOOKUP(I1370,PGStock[],2,FALSE)</f>
        <v>#N/A</v>
      </c>
      <c r="K1370" s="30" t="e">
        <f>VLOOKUP(I1370,PGStock[],3,FALSE)</f>
        <v>#N/A</v>
      </c>
      <c r="M1370" s="62" t="e">
        <f>VLOOKUP(I1370,PGStock[],6,FALSE)</f>
        <v>#N/A</v>
      </c>
      <c r="N1370" s="62" t="e">
        <f>+Table8[[#This Row],[SalesBot]]*Table8[[#This Row],[Bonus]]</f>
        <v>#N/A</v>
      </c>
    </row>
    <row r="1371" spans="1:14" ht="23.25" customHeight="1" x14ac:dyDescent="0.25">
      <c r="A1371" s="59">
        <f t="shared" si="131"/>
        <v>1900</v>
      </c>
      <c r="B1371" s="59">
        <f t="shared" si="132"/>
        <v>1</v>
      </c>
      <c r="C1371" s="60"/>
      <c r="D1371" s="61"/>
      <c r="F1371" s="23" t="e">
        <f>VLOOKUP(E1371,Customers[],2,FALSE)</f>
        <v>#N/A</v>
      </c>
      <c r="G1371" s="23" t="e">
        <f>VLOOKUP(E1371,Customers[],3,FALSE)</f>
        <v>#N/A</v>
      </c>
      <c r="H1371" s="23" t="e">
        <f>VLOOKUP(E1371,Customers[],4,FALSE)</f>
        <v>#N/A</v>
      </c>
      <c r="J1371" s="29" t="e">
        <f>VLOOKUP(I1371,PGStock[],2,FALSE)</f>
        <v>#N/A</v>
      </c>
      <c r="K1371" s="30" t="e">
        <f>VLOOKUP(I1371,PGStock[],3,FALSE)</f>
        <v>#N/A</v>
      </c>
      <c r="M1371" s="62" t="e">
        <f>VLOOKUP(I1371,PGStock[],6,FALSE)</f>
        <v>#N/A</v>
      </c>
      <c r="N1371" s="62" t="e">
        <f>+Table8[[#This Row],[SalesBot]]*Table8[[#This Row],[Bonus]]</f>
        <v>#N/A</v>
      </c>
    </row>
    <row r="1372" spans="1:14" ht="23.25" customHeight="1" x14ac:dyDescent="0.25">
      <c r="A1372" s="59">
        <f t="shared" si="131"/>
        <v>1900</v>
      </c>
      <c r="B1372" s="59">
        <f t="shared" si="132"/>
        <v>1</v>
      </c>
      <c r="C1372" s="60"/>
      <c r="D1372" s="61"/>
      <c r="F1372" s="23" t="e">
        <f>VLOOKUP(E1372,Customers[],2,FALSE)</f>
        <v>#N/A</v>
      </c>
      <c r="G1372" s="23" t="e">
        <f>VLOOKUP(E1372,Customers[],3,FALSE)</f>
        <v>#N/A</v>
      </c>
      <c r="H1372" s="23" t="e">
        <f>VLOOKUP(E1372,Customers[],4,FALSE)</f>
        <v>#N/A</v>
      </c>
      <c r="J1372" s="29" t="e">
        <f>VLOOKUP(I1372,PGStock[],2,FALSE)</f>
        <v>#N/A</v>
      </c>
      <c r="K1372" s="30" t="e">
        <f>VLOOKUP(I1372,PGStock[],3,FALSE)</f>
        <v>#N/A</v>
      </c>
      <c r="M1372" s="62" t="e">
        <f>VLOOKUP(I1372,PGStock[],6,FALSE)</f>
        <v>#N/A</v>
      </c>
      <c r="N1372" s="62" t="e">
        <f>+Table8[[#This Row],[SalesBot]]*Table8[[#This Row],[Bonus]]</f>
        <v>#N/A</v>
      </c>
    </row>
    <row r="1373" spans="1:14" ht="23.25" customHeight="1" x14ac:dyDescent="0.25">
      <c r="A1373" s="59">
        <f t="shared" si="131"/>
        <v>1900</v>
      </c>
      <c r="B1373" s="59">
        <f t="shared" si="132"/>
        <v>1</v>
      </c>
      <c r="C1373" s="60"/>
      <c r="D1373" s="61"/>
      <c r="F1373" s="23" t="e">
        <f>VLOOKUP(E1373,Customers[],2,FALSE)</f>
        <v>#N/A</v>
      </c>
      <c r="G1373" s="23" t="e">
        <f>VLOOKUP(E1373,Customers[],3,FALSE)</f>
        <v>#N/A</v>
      </c>
      <c r="H1373" s="23" t="e">
        <f>VLOOKUP(E1373,Customers[],4,FALSE)</f>
        <v>#N/A</v>
      </c>
      <c r="J1373" s="29" t="e">
        <f>VLOOKUP(I1373,PGStock[],2,FALSE)</f>
        <v>#N/A</v>
      </c>
      <c r="K1373" s="30" t="e">
        <f>VLOOKUP(I1373,PGStock[],3,FALSE)</f>
        <v>#N/A</v>
      </c>
      <c r="M1373" s="62" t="e">
        <f>VLOOKUP(I1373,PGStock[],6,FALSE)</f>
        <v>#N/A</v>
      </c>
      <c r="N1373" s="62" t="e">
        <f>+Table8[[#This Row],[SalesBot]]*Table8[[#This Row],[Bonus]]</f>
        <v>#N/A</v>
      </c>
    </row>
    <row r="1374" spans="1:14" ht="23.25" customHeight="1" x14ac:dyDescent="0.25">
      <c r="A1374" s="59">
        <f t="shared" si="131"/>
        <v>1900</v>
      </c>
      <c r="B1374" s="59">
        <f t="shared" si="132"/>
        <v>1</v>
      </c>
      <c r="C1374" s="60"/>
      <c r="D1374" s="61"/>
      <c r="F1374" s="23" t="e">
        <f>VLOOKUP(E1374,Customers[],2,FALSE)</f>
        <v>#N/A</v>
      </c>
      <c r="G1374" s="23" t="e">
        <f>VLOOKUP(E1374,Customers[],3,FALSE)</f>
        <v>#N/A</v>
      </c>
      <c r="H1374" s="23" t="e">
        <f>VLOOKUP(E1374,Customers[],4,FALSE)</f>
        <v>#N/A</v>
      </c>
      <c r="J1374" s="29" t="e">
        <f>VLOOKUP(I1374,PGStock[],2,FALSE)</f>
        <v>#N/A</v>
      </c>
      <c r="K1374" s="30" t="e">
        <f>VLOOKUP(I1374,PGStock[],3,FALSE)</f>
        <v>#N/A</v>
      </c>
      <c r="M1374" s="62" t="e">
        <f>VLOOKUP(I1374,PGStock[],6,FALSE)</f>
        <v>#N/A</v>
      </c>
      <c r="N1374" s="62" t="e">
        <f>+Table8[[#This Row],[SalesBot]]*Table8[[#This Row],[Bonus]]</f>
        <v>#N/A</v>
      </c>
    </row>
    <row r="1375" spans="1:14" ht="23.25" customHeight="1" x14ac:dyDescent="0.25">
      <c r="A1375" s="59">
        <f t="shared" si="131"/>
        <v>1900</v>
      </c>
      <c r="B1375" s="59">
        <f t="shared" si="132"/>
        <v>1</v>
      </c>
      <c r="C1375" s="60"/>
      <c r="D1375" s="61"/>
      <c r="F1375" s="23" t="e">
        <f>VLOOKUP(E1375,Customers[],2,FALSE)</f>
        <v>#N/A</v>
      </c>
      <c r="G1375" s="23" t="e">
        <f>VLOOKUP(E1375,Customers[],3,FALSE)</f>
        <v>#N/A</v>
      </c>
      <c r="H1375" s="23" t="e">
        <f>VLOOKUP(E1375,Customers[],4,FALSE)</f>
        <v>#N/A</v>
      </c>
      <c r="J1375" s="29" t="e">
        <f>VLOOKUP(I1375,PGStock[],2,FALSE)</f>
        <v>#N/A</v>
      </c>
      <c r="K1375" s="30" t="e">
        <f>VLOOKUP(I1375,PGStock[],3,FALSE)</f>
        <v>#N/A</v>
      </c>
      <c r="M1375" s="62" t="e">
        <f>VLOOKUP(I1375,PGStock[],6,FALSE)</f>
        <v>#N/A</v>
      </c>
      <c r="N1375" s="62" t="e">
        <f>+Table8[[#This Row],[SalesBot]]*Table8[[#This Row],[Bonus]]</f>
        <v>#N/A</v>
      </c>
    </row>
    <row r="1376" spans="1:14" ht="23.25" customHeight="1" x14ac:dyDescent="0.25">
      <c r="A1376" s="59">
        <f t="shared" si="131"/>
        <v>1900</v>
      </c>
      <c r="B1376" s="59">
        <f t="shared" si="132"/>
        <v>1</v>
      </c>
      <c r="C1376" s="60"/>
      <c r="D1376" s="61"/>
      <c r="F1376" s="23" t="e">
        <f>VLOOKUP(E1376,Customers[],2,FALSE)</f>
        <v>#N/A</v>
      </c>
      <c r="G1376" s="23" t="e">
        <f>VLOOKUP(E1376,Customers[],3,FALSE)</f>
        <v>#N/A</v>
      </c>
      <c r="H1376" s="23" t="e">
        <f>VLOOKUP(E1376,Customers[],4,FALSE)</f>
        <v>#N/A</v>
      </c>
      <c r="J1376" s="29" t="e">
        <f>VLOOKUP(I1376,PGStock[],2,FALSE)</f>
        <v>#N/A</v>
      </c>
      <c r="K1376" s="30" t="e">
        <f>VLOOKUP(I1376,PGStock[],3,FALSE)</f>
        <v>#N/A</v>
      </c>
      <c r="M1376" s="62" t="e">
        <f>VLOOKUP(I1376,PGStock[],6,FALSE)</f>
        <v>#N/A</v>
      </c>
      <c r="N1376" s="62" t="e">
        <f>+Table8[[#This Row],[SalesBot]]*Table8[[#This Row],[Bonus]]</f>
        <v>#N/A</v>
      </c>
    </row>
    <row r="1377" spans="1:14" ht="23.25" customHeight="1" x14ac:dyDescent="0.25">
      <c r="A1377" s="59">
        <f t="shared" si="131"/>
        <v>1900</v>
      </c>
      <c r="B1377" s="59">
        <f t="shared" si="132"/>
        <v>1</v>
      </c>
      <c r="C1377" s="60"/>
      <c r="D1377" s="61"/>
      <c r="F1377" s="23" t="e">
        <f>VLOOKUP(E1377,Customers[],2,FALSE)</f>
        <v>#N/A</v>
      </c>
      <c r="G1377" s="23" t="e">
        <f>VLOOKUP(E1377,Customers[],3,FALSE)</f>
        <v>#N/A</v>
      </c>
      <c r="H1377" s="23" t="e">
        <f>VLOOKUP(E1377,Customers[],4,FALSE)</f>
        <v>#N/A</v>
      </c>
      <c r="J1377" s="29" t="e">
        <f>VLOOKUP(I1377,PGStock[],2,FALSE)</f>
        <v>#N/A</v>
      </c>
      <c r="K1377" s="30" t="e">
        <f>VLOOKUP(I1377,PGStock[],3,FALSE)</f>
        <v>#N/A</v>
      </c>
      <c r="M1377" s="62" t="e">
        <f>VLOOKUP(I1377,PGStock[],6,FALSE)</f>
        <v>#N/A</v>
      </c>
      <c r="N1377" s="62" t="e">
        <f>+Table8[[#This Row],[SalesBot]]*Table8[[#This Row],[Bonus]]</f>
        <v>#N/A</v>
      </c>
    </row>
    <row r="1378" spans="1:14" ht="23.25" customHeight="1" x14ac:dyDescent="0.25">
      <c r="A1378" s="59">
        <f t="shared" si="131"/>
        <v>1900</v>
      </c>
      <c r="B1378" s="59">
        <f t="shared" si="132"/>
        <v>1</v>
      </c>
      <c r="C1378" s="60"/>
      <c r="D1378" s="61"/>
      <c r="F1378" s="23" t="e">
        <f>VLOOKUP(E1378,Customers[],2,FALSE)</f>
        <v>#N/A</v>
      </c>
      <c r="G1378" s="23" t="e">
        <f>VLOOKUP(E1378,Customers[],3,FALSE)</f>
        <v>#N/A</v>
      </c>
      <c r="H1378" s="23" t="e">
        <f>VLOOKUP(E1378,Customers[],4,FALSE)</f>
        <v>#N/A</v>
      </c>
      <c r="J1378" s="29" t="e">
        <f>VLOOKUP(I1378,PGStock[],2,FALSE)</f>
        <v>#N/A</v>
      </c>
      <c r="K1378" s="30" t="e">
        <f>VLOOKUP(I1378,PGStock[],3,FALSE)</f>
        <v>#N/A</v>
      </c>
      <c r="M1378" s="62" t="e">
        <f>VLOOKUP(I1378,PGStock[],6,FALSE)</f>
        <v>#N/A</v>
      </c>
      <c r="N1378" s="62" t="e">
        <f>+Table8[[#This Row],[SalesBot]]*Table8[[#This Row],[Bonus]]</f>
        <v>#N/A</v>
      </c>
    </row>
    <row r="1379" spans="1:14" ht="23.25" customHeight="1" x14ac:dyDescent="0.25">
      <c r="A1379" s="59">
        <f t="shared" si="131"/>
        <v>1900</v>
      </c>
      <c r="B1379" s="59">
        <f t="shared" si="132"/>
        <v>1</v>
      </c>
      <c r="C1379" s="60"/>
      <c r="D1379" s="61"/>
      <c r="F1379" s="23" t="e">
        <f>VLOOKUP(E1379,Customers[],2,FALSE)</f>
        <v>#N/A</v>
      </c>
      <c r="G1379" s="23" t="e">
        <f>VLOOKUP(E1379,Customers[],3,FALSE)</f>
        <v>#N/A</v>
      </c>
      <c r="H1379" s="23" t="e">
        <f>VLOOKUP(E1379,Customers[],4,FALSE)</f>
        <v>#N/A</v>
      </c>
      <c r="J1379" s="29" t="e">
        <f>VLOOKUP(I1379,PGStock[],2,FALSE)</f>
        <v>#N/A</v>
      </c>
      <c r="K1379" s="30" t="e">
        <f>VLOOKUP(I1379,PGStock[],3,FALSE)</f>
        <v>#N/A</v>
      </c>
      <c r="M1379" s="62" t="e">
        <f>VLOOKUP(I1379,PGStock[],6,FALSE)</f>
        <v>#N/A</v>
      </c>
      <c r="N1379" s="62" t="e">
        <f>+Table8[[#This Row],[SalesBot]]*Table8[[#This Row],[Bonus]]</f>
        <v>#N/A</v>
      </c>
    </row>
    <row r="1380" spans="1:14" ht="23.25" customHeight="1" x14ac:dyDescent="0.25">
      <c r="A1380" s="59">
        <f t="shared" si="131"/>
        <v>1900</v>
      </c>
      <c r="B1380" s="59">
        <f t="shared" si="132"/>
        <v>1</v>
      </c>
      <c r="C1380" s="60"/>
      <c r="D1380" s="61"/>
      <c r="F1380" s="23" t="e">
        <f>VLOOKUP(E1380,Customers[],2,FALSE)</f>
        <v>#N/A</v>
      </c>
      <c r="G1380" s="23" t="e">
        <f>VLOOKUP(E1380,Customers[],3,FALSE)</f>
        <v>#N/A</v>
      </c>
      <c r="H1380" s="23" t="e">
        <f>VLOOKUP(E1380,Customers[],4,FALSE)</f>
        <v>#N/A</v>
      </c>
      <c r="J1380" s="29" t="e">
        <f>VLOOKUP(I1380,PGStock[],2,FALSE)</f>
        <v>#N/A</v>
      </c>
      <c r="K1380" s="30" t="e">
        <f>VLOOKUP(I1380,PGStock[],3,FALSE)</f>
        <v>#N/A</v>
      </c>
      <c r="M1380" s="62" t="e">
        <f>VLOOKUP(I1380,PGStock[],6,FALSE)</f>
        <v>#N/A</v>
      </c>
      <c r="N1380" s="62" t="e">
        <f>+Table8[[#This Row],[SalesBot]]*Table8[[#This Row],[Bonus]]</f>
        <v>#N/A</v>
      </c>
    </row>
    <row r="1381" spans="1:14" ht="23.25" customHeight="1" x14ac:dyDescent="0.25">
      <c r="A1381" s="59">
        <f t="shared" si="131"/>
        <v>1900</v>
      </c>
      <c r="B1381" s="59">
        <f t="shared" si="132"/>
        <v>1</v>
      </c>
      <c r="C1381" s="60"/>
      <c r="D1381" s="61"/>
      <c r="F1381" s="23" t="e">
        <f>VLOOKUP(E1381,Customers[],2,FALSE)</f>
        <v>#N/A</v>
      </c>
      <c r="G1381" s="23" t="e">
        <f>VLOOKUP(E1381,Customers[],3,FALSE)</f>
        <v>#N/A</v>
      </c>
      <c r="H1381" s="23" t="e">
        <f>VLOOKUP(E1381,Customers[],4,FALSE)</f>
        <v>#N/A</v>
      </c>
      <c r="J1381" s="29" t="e">
        <f>VLOOKUP(I1381,PGStock[],2,FALSE)</f>
        <v>#N/A</v>
      </c>
      <c r="K1381" s="30" t="e">
        <f>VLOOKUP(I1381,PGStock[],3,FALSE)</f>
        <v>#N/A</v>
      </c>
      <c r="M1381" s="62" t="e">
        <f>VLOOKUP(I1381,PGStock[],6,FALSE)</f>
        <v>#N/A</v>
      </c>
      <c r="N1381" s="62" t="e">
        <f>+Table8[[#This Row],[SalesBot]]*Table8[[#This Row],[Bonus]]</f>
        <v>#N/A</v>
      </c>
    </row>
    <row r="1382" spans="1:14" ht="23.25" customHeight="1" x14ac:dyDescent="0.25">
      <c r="A1382" s="59">
        <f t="shared" si="131"/>
        <v>1900</v>
      </c>
      <c r="B1382" s="59">
        <f t="shared" si="132"/>
        <v>1</v>
      </c>
      <c r="C1382" s="60"/>
      <c r="D1382" s="61"/>
      <c r="F1382" s="23" t="e">
        <f>VLOOKUP(E1382,Customers[],2,FALSE)</f>
        <v>#N/A</v>
      </c>
      <c r="G1382" s="23" t="e">
        <f>VLOOKUP(E1382,Customers[],3,FALSE)</f>
        <v>#N/A</v>
      </c>
      <c r="H1382" s="23" t="e">
        <f>VLOOKUP(E1382,Customers[],4,FALSE)</f>
        <v>#N/A</v>
      </c>
      <c r="J1382" s="29" t="e">
        <f>VLOOKUP(I1382,PGStock[],2,FALSE)</f>
        <v>#N/A</v>
      </c>
      <c r="K1382" s="30" t="e">
        <f>VLOOKUP(I1382,PGStock[],3,FALSE)</f>
        <v>#N/A</v>
      </c>
      <c r="M1382" s="62" t="e">
        <f>VLOOKUP(I1382,PGStock[],6,FALSE)</f>
        <v>#N/A</v>
      </c>
      <c r="N1382" s="62" t="e">
        <f>+Table8[[#This Row],[SalesBot]]*Table8[[#This Row],[Bonus]]</f>
        <v>#N/A</v>
      </c>
    </row>
    <row r="1383" spans="1:14" ht="23.25" customHeight="1" x14ac:dyDescent="0.25">
      <c r="A1383" s="59">
        <f t="shared" si="131"/>
        <v>1900</v>
      </c>
      <c r="B1383" s="59">
        <f t="shared" si="132"/>
        <v>1</v>
      </c>
      <c r="C1383" s="60"/>
      <c r="D1383" s="61"/>
      <c r="F1383" s="23" t="e">
        <f>VLOOKUP(E1383,Customers[],2,FALSE)</f>
        <v>#N/A</v>
      </c>
      <c r="G1383" s="23" t="e">
        <f>VLOOKUP(E1383,Customers[],3,FALSE)</f>
        <v>#N/A</v>
      </c>
      <c r="H1383" s="23" t="e">
        <f>VLOOKUP(E1383,Customers[],4,FALSE)</f>
        <v>#N/A</v>
      </c>
      <c r="J1383" s="29" t="e">
        <f>VLOOKUP(I1383,PGStock[],2,FALSE)</f>
        <v>#N/A</v>
      </c>
      <c r="K1383" s="30" t="e">
        <f>VLOOKUP(I1383,PGStock[],3,FALSE)</f>
        <v>#N/A</v>
      </c>
      <c r="M1383" s="62" t="e">
        <f>VLOOKUP(I1383,PGStock[],6,FALSE)</f>
        <v>#N/A</v>
      </c>
      <c r="N1383" s="62" t="e">
        <f>+Table8[[#This Row],[SalesBot]]*Table8[[#This Row],[Bonus]]</f>
        <v>#N/A</v>
      </c>
    </row>
    <row r="1384" spans="1:14" ht="23.25" customHeight="1" x14ac:dyDescent="0.25">
      <c r="A1384" s="59">
        <f t="shared" si="131"/>
        <v>1900</v>
      </c>
      <c r="B1384" s="59">
        <f t="shared" si="132"/>
        <v>1</v>
      </c>
      <c r="C1384" s="60"/>
      <c r="D1384" s="61"/>
      <c r="F1384" s="23" t="e">
        <f>VLOOKUP(E1384,Customers[],2,FALSE)</f>
        <v>#N/A</v>
      </c>
      <c r="G1384" s="23" t="e">
        <f>VLOOKUP(E1384,Customers[],3,FALSE)</f>
        <v>#N/A</v>
      </c>
      <c r="H1384" s="23" t="e">
        <f>VLOOKUP(E1384,Customers[],4,FALSE)</f>
        <v>#N/A</v>
      </c>
      <c r="J1384" s="29" t="e">
        <f>VLOOKUP(I1384,PGStock[],2,FALSE)</f>
        <v>#N/A</v>
      </c>
      <c r="K1384" s="30" t="e">
        <f>VLOOKUP(I1384,PGStock[],3,FALSE)</f>
        <v>#N/A</v>
      </c>
      <c r="M1384" s="62" t="e">
        <f>VLOOKUP(I1384,PGStock[],6,FALSE)</f>
        <v>#N/A</v>
      </c>
      <c r="N1384" s="62" t="e">
        <f>+Table8[[#This Row],[SalesBot]]*Table8[[#This Row],[Bonus]]</f>
        <v>#N/A</v>
      </c>
    </row>
    <row r="1385" spans="1:14" ht="23.25" customHeight="1" x14ac:dyDescent="0.25">
      <c r="A1385" s="59">
        <f t="shared" si="131"/>
        <v>1900</v>
      </c>
      <c r="B1385" s="59">
        <f t="shared" si="132"/>
        <v>1</v>
      </c>
      <c r="C1385" s="60"/>
      <c r="D1385" s="61"/>
      <c r="F1385" s="23" t="e">
        <f>VLOOKUP(E1385,Customers[],2,FALSE)</f>
        <v>#N/A</v>
      </c>
      <c r="G1385" s="23" t="e">
        <f>VLOOKUP(E1385,Customers[],3,FALSE)</f>
        <v>#N/A</v>
      </c>
      <c r="H1385" s="23" t="e">
        <f>VLOOKUP(E1385,Customers[],4,FALSE)</f>
        <v>#N/A</v>
      </c>
      <c r="J1385" s="29" t="e">
        <f>VLOOKUP(I1385,PGStock[],2,FALSE)</f>
        <v>#N/A</v>
      </c>
      <c r="K1385" s="30" t="e">
        <f>VLOOKUP(I1385,PGStock[],3,FALSE)</f>
        <v>#N/A</v>
      </c>
      <c r="M1385" s="62" t="e">
        <f>VLOOKUP(I1385,PGStock[],6,FALSE)</f>
        <v>#N/A</v>
      </c>
      <c r="N1385" s="62" t="e">
        <f>+Table8[[#This Row],[SalesBot]]*Table8[[#This Row],[Bonus]]</f>
        <v>#N/A</v>
      </c>
    </row>
    <row r="1386" spans="1:14" ht="23.25" customHeight="1" x14ac:dyDescent="0.25">
      <c r="A1386" s="59">
        <f t="shared" si="131"/>
        <v>1900</v>
      </c>
      <c r="B1386" s="59">
        <f t="shared" si="132"/>
        <v>1</v>
      </c>
      <c r="C1386" s="60"/>
      <c r="D1386" s="61"/>
      <c r="F1386" s="23" t="e">
        <f>VLOOKUP(E1386,Customers[],2,FALSE)</f>
        <v>#N/A</v>
      </c>
      <c r="G1386" s="23" t="e">
        <f>VLOOKUP(E1386,Customers[],3,FALSE)</f>
        <v>#N/A</v>
      </c>
      <c r="H1386" s="23" t="e">
        <f>VLOOKUP(E1386,Customers[],4,FALSE)</f>
        <v>#N/A</v>
      </c>
      <c r="J1386" s="29" t="e">
        <f>VLOOKUP(I1386,PGStock[],2,FALSE)</f>
        <v>#N/A</v>
      </c>
      <c r="K1386" s="30" t="e">
        <f>VLOOKUP(I1386,PGStock[],3,FALSE)</f>
        <v>#N/A</v>
      </c>
      <c r="M1386" s="62" t="e">
        <f>VLOOKUP(I1386,PGStock[],6,FALSE)</f>
        <v>#N/A</v>
      </c>
      <c r="N1386" s="62" t="e">
        <f>+Table8[[#This Row],[SalesBot]]*Table8[[#This Row],[Bonus]]</f>
        <v>#N/A</v>
      </c>
    </row>
    <row r="1387" spans="1:14" ht="23.25" customHeight="1" x14ac:dyDescent="0.25">
      <c r="A1387" s="59">
        <f t="shared" ref="A1387:A1397" si="133">YEAR(C1387)</f>
        <v>1900</v>
      </c>
      <c r="B1387" s="59">
        <f t="shared" ref="B1387:B1397" si="134">MONTH(C1387)</f>
        <v>1</v>
      </c>
      <c r="C1387" s="60"/>
      <c r="D1387" s="61"/>
      <c r="F1387" s="23" t="e">
        <f>VLOOKUP(E1387,Customers[],2,FALSE)</f>
        <v>#N/A</v>
      </c>
      <c r="G1387" s="23" t="e">
        <f>VLOOKUP(E1387,Customers[],3,FALSE)</f>
        <v>#N/A</v>
      </c>
      <c r="H1387" s="23" t="e">
        <f>VLOOKUP(E1387,Customers[],4,FALSE)</f>
        <v>#N/A</v>
      </c>
      <c r="J1387" s="29" t="e">
        <f>VLOOKUP(I1387,PGStock[],2,FALSE)</f>
        <v>#N/A</v>
      </c>
      <c r="K1387" s="30" t="e">
        <f>VLOOKUP(I1387,PGStock[],3,FALSE)</f>
        <v>#N/A</v>
      </c>
      <c r="M1387" s="62" t="e">
        <f>VLOOKUP(I1387,PGStock[],6,FALSE)</f>
        <v>#N/A</v>
      </c>
      <c r="N1387" s="62" t="e">
        <f>+Table8[[#This Row],[SalesBot]]*Table8[[#This Row],[Bonus]]</f>
        <v>#N/A</v>
      </c>
    </row>
    <row r="1388" spans="1:14" ht="23.25" customHeight="1" x14ac:dyDescent="0.25">
      <c r="A1388" s="59">
        <f t="shared" si="133"/>
        <v>1900</v>
      </c>
      <c r="B1388" s="59">
        <f t="shared" si="134"/>
        <v>1</v>
      </c>
      <c r="C1388" s="60"/>
      <c r="D1388" s="61"/>
      <c r="F1388" s="23" t="e">
        <f>VLOOKUP(E1388,Customers[],2,FALSE)</f>
        <v>#N/A</v>
      </c>
      <c r="G1388" s="23" t="e">
        <f>VLOOKUP(E1388,Customers[],3,FALSE)</f>
        <v>#N/A</v>
      </c>
      <c r="H1388" s="23" t="e">
        <f>VLOOKUP(E1388,Customers[],4,FALSE)</f>
        <v>#N/A</v>
      </c>
      <c r="J1388" s="29" t="e">
        <f>VLOOKUP(I1388,PGStock[],2,FALSE)</f>
        <v>#N/A</v>
      </c>
      <c r="K1388" s="30" t="e">
        <f>VLOOKUP(I1388,PGStock[],3,FALSE)</f>
        <v>#N/A</v>
      </c>
      <c r="M1388" s="62" t="e">
        <f>VLOOKUP(I1388,PGStock[],6,FALSE)</f>
        <v>#N/A</v>
      </c>
      <c r="N1388" s="62" t="e">
        <f>+Table8[[#This Row],[SalesBot]]*Table8[[#This Row],[Bonus]]</f>
        <v>#N/A</v>
      </c>
    </row>
    <row r="1389" spans="1:14" ht="23.25" customHeight="1" x14ac:dyDescent="0.25">
      <c r="A1389" s="59">
        <f t="shared" si="133"/>
        <v>1900</v>
      </c>
      <c r="B1389" s="59">
        <f t="shared" si="134"/>
        <v>1</v>
      </c>
      <c r="C1389" s="60"/>
      <c r="D1389" s="61"/>
      <c r="F1389" s="23" t="e">
        <f>VLOOKUP(E1389,Customers[],2,FALSE)</f>
        <v>#N/A</v>
      </c>
      <c r="G1389" s="23" t="e">
        <f>VLOOKUP(E1389,Customers[],3,FALSE)</f>
        <v>#N/A</v>
      </c>
      <c r="H1389" s="23" t="e">
        <f>VLOOKUP(E1389,Customers[],4,FALSE)</f>
        <v>#N/A</v>
      </c>
      <c r="J1389" s="29" t="e">
        <f>VLOOKUP(I1389,PGStock[],2,FALSE)</f>
        <v>#N/A</v>
      </c>
      <c r="K1389" s="30" t="e">
        <f>VLOOKUP(I1389,PGStock[],3,FALSE)</f>
        <v>#N/A</v>
      </c>
      <c r="M1389" s="62" t="e">
        <f>VLOOKUP(I1389,PGStock[],6,FALSE)</f>
        <v>#N/A</v>
      </c>
      <c r="N1389" s="62" t="e">
        <f>+Table8[[#This Row],[SalesBot]]*Table8[[#This Row],[Bonus]]</f>
        <v>#N/A</v>
      </c>
    </row>
    <row r="1390" spans="1:14" ht="23.25" customHeight="1" x14ac:dyDescent="0.25">
      <c r="A1390" s="59">
        <f t="shared" si="133"/>
        <v>1900</v>
      </c>
      <c r="B1390" s="59">
        <f t="shared" si="134"/>
        <v>1</v>
      </c>
      <c r="C1390" s="60"/>
      <c r="D1390" s="61"/>
      <c r="F1390" s="23" t="e">
        <f>VLOOKUP(E1390,Customers[],2,FALSE)</f>
        <v>#N/A</v>
      </c>
      <c r="G1390" s="23" t="e">
        <f>VLOOKUP(E1390,Customers[],3,FALSE)</f>
        <v>#N/A</v>
      </c>
      <c r="H1390" s="23" t="e">
        <f>VLOOKUP(E1390,Customers[],4,FALSE)</f>
        <v>#N/A</v>
      </c>
      <c r="J1390" s="29" t="e">
        <f>VLOOKUP(I1390,PGStock[],2,FALSE)</f>
        <v>#N/A</v>
      </c>
      <c r="K1390" s="30" t="e">
        <f>VLOOKUP(I1390,PGStock[],3,FALSE)</f>
        <v>#N/A</v>
      </c>
      <c r="M1390" s="62" t="e">
        <f>VLOOKUP(I1390,PGStock[],6,FALSE)</f>
        <v>#N/A</v>
      </c>
      <c r="N1390" s="62" t="e">
        <f>+Table8[[#This Row],[SalesBot]]*Table8[[#This Row],[Bonus]]</f>
        <v>#N/A</v>
      </c>
    </row>
    <row r="1391" spans="1:14" ht="23.25" customHeight="1" x14ac:dyDescent="0.25">
      <c r="A1391" s="59">
        <f t="shared" si="133"/>
        <v>1900</v>
      </c>
      <c r="B1391" s="59">
        <f t="shared" si="134"/>
        <v>1</v>
      </c>
      <c r="C1391" s="60"/>
      <c r="D1391" s="61"/>
      <c r="F1391" s="23" t="e">
        <f>VLOOKUP(E1391,Customers[],2,FALSE)</f>
        <v>#N/A</v>
      </c>
      <c r="G1391" s="23" t="e">
        <f>VLOOKUP(E1391,Customers[],3,FALSE)</f>
        <v>#N/A</v>
      </c>
      <c r="H1391" s="23" t="e">
        <f>VLOOKUP(E1391,Customers[],4,FALSE)</f>
        <v>#N/A</v>
      </c>
      <c r="J1391" s="29" t="e">
        <f>VLOOKUP(I1391,PGStock[],2,FALSE)</f>
        <v>#N/A</v>
      </c>
      <c r="K1391" s="30" t="e">
        <f>VLOOKUP(I1391,PGStock[],3,FALSE)</f>
        <v>#N/A</v>
      </c>
      <c r="M1391" s="62" t="e">
        <f>VLOOKUP(I1391,PGStock[],6,FALSE)</f>
        <v>#N/A</v>
      </c>
      <c r="N1391" s="62" t="e">
        <f>+Table8[[#This Row],[SalesBot]]*Table8[[#This Row],[Bonus]]</f>
        <v>#N/A</v>
      </c>
    </row>
    <row r="1392" spans="1:14" ht="23.25" customHeight="1" x14ac:dyDescent="0.25">
      <c r="A1392" s="59">
        <f t="shared" si="133"/>
        <v>1900</v>
      </c>
      <c r="B1392" s="59">
        <f t="shared" si="134"/>
        <v>1</v>
      </c>
      <c r="C1392" s="60"/>
      <c r="D1392" s="61"/>
      <c r="F1392" s="23" t="e">
        <f>VLOOKUP(E1392,Customers[],2,FALSE)</f>
        <v>#N/A</v>
      </c>
      <c r="G1392" s="23" t="e">
        <f>VLOOKUP(E1392,Customers[],3,FALSE)</f>
        <v>#N/A</v>
      </c>
      <c r="H1392" s="23" t="e">
        <f>VLOOKUP(E1392,Customers[],4,FALSE)</f>
        <v>#N/A</v>
      </c>
      <c r="J1392" s="29" t="e">
        <f>VLOOKUP(I1392,PGStock[],2,FALSE)</f>
        <v>#N/A</v>
      </c>
      <c r="K1392" s="30" t="e">
        <f>VLOOKUP(I1392,PGStock[],3,FALSE)</f>
        <v>#N/A</v>
      </c>
      <c r="M1392" s="62" t="e">
        <f>VLOOKUP(I1392,PGStock[],6,FALSE)</f>
        <v>#N/A</v>
      </c>
      <c r="N1392" s="62" t="e">
        <f>+Table8[[#This Row],[SalesBot]]*Table8[[#This Row],[Bonus]]</f>
        <v>#N/A</v>
      </c>
    </row>
    <row r="1393" spans="1:14" ht="23.25" customHeight="1" x14ac:dyDescent="0.25">
      <c r="A1393" s="59">
        <f t="shared" si="133"/>
        <v>1900</v>
      </c>
      <c r="B1393" s="59">
        <f t="shared" si="134"/>
        <v>1</v>
      </c>
      <c r="C1393" s="60"/>
      <c r="D1393" s="61"/>
      <c r="F1393" s="23" t="e">
        <f>VLOOKUP(E1393,Customers[],2,FALSE)</f>
        <v>#N/A</v>
      </c>
      <c r="G1393" s="23" t="e">
        <f>VLOOKUP(E1393,Customers[],3,FALSE)</f>
        <v>#N/A</v>
      </c>
      <c r="H1393" s="23" t="e">
        <f>VLOOKUP(E1393,Customers[],4,FALSE)</f>
        <v>#N/A</v>
      </c>
      <c r="J1393" s="29" t="e">
        <f>VLOOKUP(I1393,PGStock[],2,FALSE)</f>
        <v>#N/A</v>
      </c>
      <c r="K1393" s="30" t="e">
        <f>VLOOKUP(I1393,PGStock[],3,FALSE)</f>
        <v>#N/A</v>
      </c>
      <c r="M1393" s="62" t="e">
        <f>VLOOKUP(I1393,PGStock[],6,FALSE)</f>
        <v>#N/A</v>
      </c>
      <c r="N1393" s="62" t="e">
        <f>+Table8[[#This Row],[SalesBot]]*Table8[[#This Row],[Bonus]]</f>
        <v>#N/A</v>
      </c>
    </row>
    <row r="1394" spans="1:14" ht="23.25" customHeight="1" x14ac:dyDescent="0.25">
      <c r="A1394" s="59">
        <f t="shared" si="133"/>
        <v>1900</v>
      </c>
      <c r="B1394" s="59">
        <f t="shared" si="134"/>
        <v>1</v>
      </c>
      <c r="C1394" s="60"/>
      <c r="D1394" s="61"/>
      <c r="F1394" s="23" t="e">
        <f>VLOOKUP(E1394,Customers[],2,FALSE)</f>
        <v>#N/A</v>
      </c>
      <c r="G1394" s="23" t="e">
        <f>VLOOKUP(E1394,Customers[],3,FALSE)</f>
        <v>#N/A</v>
      </c>
      <c r="H1394" s="23" t="e">
        <f>VLOOKUP(E1394,Customers[],4,FALSE)</f>
        <v>#N/A</v>
      </c>
      <c r="J1394" s="29" t="e">
        <f>VLOOKUP(I1394,PGStock[],2,FALSE)</f>
        <v>#N/A</v>
      </c>
      <c r="K1394" s="30" t="e">
        <f>VLOOKUP(I1394,PGStock[],3,FALSE)</f>
        <v>#N/A</v>
      </c>
      <c r="M1394" s="62" t="e">
        <f>VLOOKUP(I1394,PGStock[],6,FALSE)</f>
        <v>#N/A</v>
      </c>
      <c r="N1394" s="62" t="e">
        <f>+Table8[[#This Row],[SalesBot]]*Table8[[#This Row],[Bonus]]</f>
        <v>#N/A</v>
      </c>
    </row>
    <row r="1395" spans="1:14" ht="23.25" customHeight="1" x14ac:dyDescent="0.25">
      <c r="A1395" s="59">
        <f t="shared" si="133"/>
        <v>1900</v>
      </c>
      <c r="B1395" s="59">
        <f t="shared" si="134"/>
        <v>1</v>
      </c>
      <c r="C1395" s="60"/>
      <c r="D1395" s="61"/>
      <c r="F1395" s="23" t="e">
        <f>VLOOKUP(E1395,Customers[],2,FALSE)</f>
        <v>#N/A</v>
      </c>
      <c r="G1395" s="23" t="e">
        <f>VLOOKUP(E1395,Customers[],3,FALSE)</f>
        <v>#N/A</v>
      </c>
      <c r="H1395" s="23" t="e">
        <f>VLOOKUP(E1395,Customers[],4,FALSE)</f>
        <v>#N/A</v>
      </c>
      <c r="J1395" s="29" t="e">
        <f>VLOOKUP(I1395,PGStock[],2,FALSE)</f>
        <v>#N/A</v>
      </c>
      <c r="K1395" s="30" t="e">
        <f>VLOOKUP(I1395,PGStock[],3,FALSE)</f>
        <v>#N/A</v>
      </c>
      <c r="M1395" s="62" t="e">
        <f>VLOOKUP(I1395,PGStock[],6,FALSE)</f>
        <v>#N/A</v>
      </c>
      <c r="N1395" s="62" t="e">
        <f>+Table8[[#This Row],[SalesBot]]*Table8[[#This Row],[Bonus]]</f>
        <v>#N/A</v>
      </c>
    </row>
    <row r="1396" spans="1:14" ht="23.25" customHeight="1" x14ac:dyDescent="0.25">
      <c r="A1396" s="59">
        <f t="shared" si="133"/>
        <v>1900</v>
      </c>
      <c r="B1396" s="59">
        <f t="shared" si="134"/>
        <v>1</v>
      </c>
      <c r="C1396" s="60"/>
      <c r="D1396" s="61"/>
      <c r="F1396" s="23" t="e">
        <f>VLOOKUP(E1396,Customers[],2,FALSE)</f>
        <v>#N/A</v>
      </c>
      <c r="G1396" s="23" t="e">
        <f>VLOOKUP(E1396,Customers[],3,FALSE)</f>
        <v>#N/A</v>
      </c>
      <c r="H1396" s="23" t="e">
        <f>VLOOKUP(E1396,Customers[],4,FALSE)</f>
        <v>#N/A</v>
      </c>
      <c r="J1396" s="29" t="e">
        <f>VLOOKUP(I1396,PGStock[],2,FALSE)</f>
        <v>#N/A</v>
      </c>
      <c r="K1396" s="30" t="e">
        <f>VLOOKUP(I1396,PGStock[],3,FALSE)</f>
        <v>#N/A</v>
      </c>
      <c r="M1396" s="62" t="e">
        <f>VLOOKUP(I1396,PGStock[],6,FALSE)</f>
        <v>#N/A</v>
      </c>
      <c r="N1396" s="62" t="e">
        <f>+Table8[[#This Row],[SalesBot]]*Table8[[#This Row],[Bonus]]</f>
        <v>#N/A</v>
      </c>
    </row>
    <row r="1397" spans="1:14" ht="23.25" customHeight="1" x14ac:dyDescent="0.25">
      <c r="A1397" s="59">
        <f t="shared" si="133"/>
        <v>1900</v>
      </c>
      <c r="B1397" s="59">
        <f t="shared" si="134"/>
        <v>1</v>
      </c>
      <c r="C1397" s="60"/>
      <c r="D1397" s="61"/>
      <c r="F1397" s="23" t="e">
        <f>VLOOKUP(E1397,Customers[],2,FALSE)</f>
        <v>#N/A</v>
      </c>
      <c r="G1397" s="23" t="e">
        <f>VLOOKUP(E1397,Customers[],3,FALSE)</f>
        <v>#N/A</v>
      </c>
      <c r="H1397" s="23" t="e">
        <f>VLOOKUP(E1397,Customers[],4,FALSE)</f>
        <v>#N/A</v>
      </c>
      <c r="J1397" s="29" t="e">
        <f>VLOOKUP(I1397,PGStock[],2,FALSE)</f>
        <v>#N/A</v>
      </c>
      <c r="K1397" s="30" t="e">
        <f>VLOOKUP(I1397,PGStock[],3,FALSE)</f>
        <v>#N/A</v>
      </c>
      <c r="M1397" s="62" t="e">
        <f>VLOOKUP(I1397,PGStock[],6,FALSE)</f>
        <v>#N/A</v>
      </c>
      <c r="N1397" s="62" t="e">
        <f>+Table8[[#This Row],[SalesBot]]*Table8[[#This Row],[Bonus]]</f>
        <v>#N/A</v>
      </c>
    </row>
    <row r="1398" spans="1:14" ht="23.25" customHeight="1" x14ac:dyDescent="0.25">
      <c r="A1398" s="59">
        <f t="shared" ref="A1398:A1408" si="135">YEAR(C1398)</f>
        <v>1900</v>
      </c>
      <c r="B1398" s="59">
        <f t="shared" ref="B1398:B1408" si="136">MONTH(C1398)</f>
        <v>1</v>
      </c>
      <c r="C1398" s="60"/>
      <c r="D1398" s="61"/>
      <c r="F1398" s="23" t="e">
        <f>VLOOKUP(E1398,Customers[],2,FALSE)</f>
        <v>#N/A</v>
      </c>
      <c r="G1398" s="23" t="e">
        <f>VLOOKUP(E1398,Customers[],3,FALSE)</f>
        <v>#N/A</v>
      </c>
      <c r="H1398" s="23" t="e">
        <f>VLOOKUP(E1398,Customers[],4,FALSE)</f>
        <v>#N/A</v>
      </c>
      <c r="J1398" s="29" t="e">
        <f>VLOOKUP(I1398,PGStock[],2,FALSE)</f>
        <v>#N/A</v>
      </c>
      <c r="K1398" s="30" t="e">
        <f>VLOOKUP(I1398,PGStock[],3,FALSE)</f>
        <v>#N/A</v>
      </c>
      <c r="M1398" s="62" t="e">
        <f>VLOOKUP(I1398,PGStock[],6,FALSE)</f>
        <v>#N/A</v>
      </c>
      <c r="N1398" s="62" t="e">
        <f>+Table8[[#This Row],[SalesBot]]*Table8[[#This Row],[Bonus]]</f>
        <v>#N/A</v>
      </c>
    </row>
    <row r="1399" spans="1:14" ht="23.25" customHeight="1" x14ac:dyDescent="0.25">
      <c r="A1399" s="59">
        <f t="shared" si="135"/>
        <v>1900</v>
      </c>
      <c r="B1399" s="59">
        <f t="shared" si="136"/>
        <v>1</v>
      </c>
      <c r="C1399" s="60"/>
      <c r="D1399" s="61"/>
      <c r="F1399" s="23" t="e">
        <f>VLOOKUP(E1399,Customers[],2,FALSE)</f>
        <v>#N/A</v>
      </c>
      <c r="G1399" s="23" t="e">
        <f>VLOOKUP(E1399,Customers[],3,FALSE)</f>
        <v>#N/A</v>
      </c>
      <c r="H1399" s="23" t="e">
        <f>VLOOKUP(E1399,Customers[],4,FALSE)</f>
        <v>#N/A</v>
      </c>
      <c r="J1399" s="29" t="e">
        <f>VLOOKUP(I1399,PGStock[],2,FALSE)</f>
        <v>#N/A</v>
      </c>
      <c r="K1399" s="30" t="e">
        <f>VLOOKUP(I1399,PGStock[],3,FALSE)</f>
        <v>#N/A</v>
      </c>
      <c r="M1399" s="62" t="e">
        <f>VLOOKUP(I1399,PGStock[],6,FALSE)</f>
        <v>#N/A</v>
      </c>
      <c r="N1399" s="62" t="e">
        <f>+Table8[[#This Row],[SalesBot]]*Table8[[#This Row],[Bonus]]</f>
        <v>#N/A</v>
      </c>
    </row>
    <row r="1400" spans="1:14" ht="23.25" customHeight="1" x14ac:dyDescent="0.25">
      <c r="A1400" s="59">
        <f t="shared" si="135"/>
        <v>1900</v>
      </c>
      <c r="B1400" s="59">
        <f t="shared" si="136"/>
        <v>1</v>
      </c>
      <c r="C1400" s="60"/>
      <c r="D1400" s="61"/>
      <c r="F1400" s="23" t="e">
        <f>VLOOKUP(E1400,Customers[],2,FALSE)</f>
        <v>#N/A</v>
      </c>
      <c r="G1400" s="23" t="e">
        <f>VLOOKUP(E1400,Customers[],3,FALSE)</f>
        <v>#N/A</v>
      </c>
      <c r="H1400" s="23" t="e">
        <f>VLOOKUP(E1400,Customers[],4,FALSE)</f>
        <v>#N/A</v>
      </c>
      <c r="J1400" s="29" t="e">
        <f>VLOOKUP(I1400,PGStock[],2,FALSE)</f>
        <v>#N/A</v>
      </c>
      <c r="K1400" s="30" t="e">
        <f>VLOOKUP(I1400,PGStock[],3,FALSE)</f>
        <v>#N/A</v>
      </c>
      <c r="M1400" s="62" t="e">
        <f>VLOOKUP(I1400,PGStock[],6,FALSE)</f>
        <v>#N/A</v>
      </c>
      <c r="N1400" s="62" t="e">
        <f>+Table8[[#This Row],[SalesBot]]*Table8[[#This Row],[Bonus]]</f>
        <v>#N/A</v>
      </c>
    </row>
    <row r="1401" spans="1:14" ht="23.25" customHeight="1" x14ac:dyDescent="0.25">
      <c r="A1401" s="59">
        <f t="shared" si="135"/>
        <v>1900</v>
      </c>
      <c r="B1401" s="59">
        <f t="shared" si="136"/>
        <v>1</v>
      </c>
      <c r="C1401" s="60"/>
      <c r="D1401" s="61"/>
      <c r="F1401" s="23" t="e">
        <f>VLOOKUP(E1401,Customers[],2,FALSE)</f>
        <v>#N/A</v>
      </c>
      <c r="G1401" s="23" t="e">
        <f>VLOOKUP(E1401,Customers[],3,FALSE)</f>
        <v>#N/A</v>
      </c>
      <c r="H1401" s="23" t="e">
        <f>VLOOKUP(E1401,Customers[],4,FALSE)</f>
        <v>#N/A</v>
      </c>
      <c r="J1401" s="29" t="e">
        <f>VLOOKUP(I1401,PGStock[],2,FALSE)</f>
        <v>#N/A</v>
      </c>
      <c r="K1401" s="30" t="e">
        <f>VLOOKUP(I1401,PGStock[],3,FALSE)</f>
        <v>#N/A</v>
      </c>
      <c r="M1401" s="62" t="e">
        <f>VLOOKUP(I1401,PGStock[],6,FALSE)</f>
        <v>#N/A</v>
      </c>
      <c r="N1401" s="62" t="e">
        <f>+Table8[[#This Row],[SalesBot]]*Table8[[#This Row],[Bonus]]</f>
        <v>#N/A</v>
      </c>
    </row>
    <row r="1402" spans="1:14" ht="23.25" customHeight="1" x14ac:dyDescent="0.25">
      <c r="A1402" s="59">
        <f t="shared" si="135"/>
        <v>1900</v>
      </c>
      <c r="B1402" s="59">
        <f t="shared" si="136"/>
        <v>1</v>
      </c>
      <c r="C1402" s="60"/>
      <c r="D1402" s="61"/>
      <c r="F1402" s="23" t="e">
        <f>VLOOKUP(E1402,Customers[],2,FALSE)</f>
        <v>#N/A</v>
      </c>
      <c r="G1402" s="23" t="e">
        <f>VLOOKUP(E1402,Customers[],3,FALSE)</f>
        <v>#N/A</v>
      </c>
      <c r="H1402" s="23" t="e">
        <f>VLOOKUP(E1402,Customers[],4,FALSE)</f>
        <v>#N/A</v>
      </c>
      <c r="J1402" s="29" t="e">
        <f>VLOOKUP(I1402,PGStock[],2,FALSE)</f>
        <v>#N/A</v>
      </c>
      <c r="K1402" s="30" t="e">
        <f>VLOOKUP(I1402,PGStock[],3,FALSE)</f>
        <v>#N/A</v>
      </c>
      <c r="M1402" s="62" t="e">
        <f>VLOOKUP(I1402,PGStock[],6,FALSE)</f>
        <v>#N/A</v>
      </c>
      <c r="N1402" s="62" t="e">
        <f>+Table8[[#This Row],[SalesBot]]*Table8[[#This Row],[Bonus]]</f>
        <v>#N/A</v>
      </c>
    </row>
    <row r="1403" spans="1:14" ht="23.25" customHeight="1" x14ac:dyDescent="0.25">
      <c r="A1403" s="59">
        <f t="shared" si="135"/>
        <v>1900</v>
      </c>
      <c r="B1403" s="59">
        <f t="shared" si="136"/>
        <v>1</v>
      </c>
      <c r="C1403" s="60"/>
      <c r="D1403" s="61"/>
      <c r="F1403" s="23" t="e">
        <f>VLOOKUP(E1403,Customers[],2,FALSE)</f>
        <v>#N/A</v>
      </c>
      <c r="G1403" s="23" t="e">
        <f>VLOOKUP(E1403,Customers[],3,FALSE)</f>
        <v>#N/A</v>
      </c>
      <c r="H1403" s="23" t="e">
        <f>VLOOKUP(E1403,Customers[],4,FALSE)</f>
        <v>#N/A</v>
      </c>
      <c r="J1403" s="29" t="e">
        <f>VLOOKUP(I1403,PGStock[],2,FALSE)</f>
        <v>#N/A</v>
      </c>
      <c r="K1403" s="30" t="e">
        <f>VLOOKUP(I1403,PGStock[],3,FALSE)</f>
        <v>#N/A</v>
      </c>
      <c r="M1403" s="62" t="e">
        <f>VLOOKUP(I1403,PGStock[],6,FALSE)</f>
        <v>#N/A</v>
      </c>
      <c r="N1403" s="62" t="e">
        <f>+Table8[[#This Row],[SalesBot]]*Table8[[#This Row],[Bonus]]</f>
        <v>#N/A</v>
      </c>
    </row>
    <row r="1404" spans="1:14" ht="23.25" customHeight="1" x14ac:dyDescent="0.25">
      <c r="A1404" s="59">
        <f t="shared" si="135"/>
        <v>1900</v>
      </c>
      <c r="B1404" s="59">
        <f t="shared" si="136"/>
        <v>1</v>
      </c>
      <c r="C1404" s="60"/>
      <c r="D1404" s="61"/>
      <c r="F1404" s="23" t="e">
        <f>VLOOKUP(E1404,Customers[],2,FALSE)</f>
        <v>#N/A</v>
      </c>
      <c r="G1404" s="23" t="e">
        <f>VLOOKUP(E1404,Customers[],3,FALSE)</f>
        <v>#N/A</v>
      </c>
      <c r="H1404" s="23" t="e">
        <f>VLOOKUP(E1404,Customers[],4,FALSE)</f>
        <v>#N/A</v>
      </c>
      <c r="J1404" s="29" t="e">
        <f>VLOOKUP(I1404,PGStock[],2,FALSE)</f>
        <v>#N/A</v>
      </c>
      <c r="K1404" s="30" t="e">
        <f>VLOOKUP(I1404,PGStock[],3,FALSE)</f>
        <v>#N/A</v>
      </c>
      <c r="M1404" s="62" t="e">
        <f>VLOOKUP(I1404,PGStock[],6,FALSE)</f>
        <v>#N/A</v>
      </c>
      <c r="N1404" s="62" t="e">
        <f>+Table8[[#This Row],[SalesBot]]*Table8[[#This Row],[Bonus]]</f>
        <v>#N/A</v>
      </c>
    </row>
    <row r="1405" spans="1:14" ht="23.25" customHeight="1" x14ac:dyDescent="0.25">
      <c r="A1405" s="59">
        <f t="shared" si="135"/>
        <v>1900</v>
      </c>
      <c r="B1405" s="59">
        <f t="shared" si="136"/>
        <v>1</v>
      </c>
      <c r="C1405" s="60"/>
      <c r="D1405" s="61"/>
      <c r="F1405" s="23" t="e">
        <f>VLOOKUP(E1405,Customers[],2,FALSE)</f>
        <v>#N/A</v>
      </c>
      <c r="G1405" s="23" t="e">
        <f>VLOOKUP(E1405,Customers[],3,FALSE)</f>
        <v>#N/A</v>
      </c>
      <c r="H1405" s="23" t="e">
        <f>VLOOKUP(E1405,Customers[],4,FALSE)</f>
        <v>#N/A</v>
      </c>
      <c r="J1405" s="29" t="e">
        <f>VLOOKUP(I1405,PGStock[],2,FALSE)</f>
        <v>#N/A</v>
      </c>
      <c r="K1405" s="30" t="e">
        <f>VLOOKUP(I1405,PGStock[],3,FALSE)</f>
        <v>#N/A</v>
      </c>
      <c r="M1405" s="62" t="e">
        <f>VLOOKUP(I1405,PGStock[],6,FALSE)</f>
        <v>#N/A</v>
      </c>
      <c r="N1405" s="62" t="e">
        <f>+Table8[[#This Row],[SalesBot]]*Table8[[#This Row],[Bonus]]</f>
        <v>#N/A</v>
      </c>
    </row>
    <row r="1406" spans="1:14" ht="23.25" customHeight="1" x14ac:dyDescent="0.25">
      <c r="A1406" s="59">
        <f t="shared" si="135"/>
        <v>1900</v>
      </c>
      <c r="B1406" s="59">
        <f t="shared" si="136"/>
        <v>1</v>
      </c>
      <c r="C1406" s="60"/>
      <c r="D1406" s="61"/>
      <c r="F1406" s="23" t="e">
        <f>VLOOKUP(E1406,Customers[],2,FALSE)</f>
        <v>#N/A</v>
      </c>
      <c r="G1406" s="23" t="e">
        <f>VLOOKUP(E1406,Customers[],3,FALSE)</f>
        <v>#N/A</v>
      </c>
      <c r="H1406" s="23" t="e">
        <f>VLOOKUP(E1406,Customers[],4,FALSE)</f>
        <v>#N/A</v>
      </c>
      <c r="J1406" s="29" t="e">
        <f>VLOOKUP(I1406,PGStock[],2,FALSE)</f>
        <v>#N/A</v>
      </c>
      <c r="K1406" s="30" t="e">
        <f>VLOOKUP(I1406,PGStock[],3,FALSE)</f>
        <v>#N/A</v>
      </c>
      <c r="M1406" s="62" t="e">
        <f>VLOOKUP(I1406,PGStock[],6,FALSE)</f>
        <v>#N/A</v>
      </c>
      <c r="N1406" s="62" t="e">
        <f>+Table8[[#This Row],[SalesBot]]*Table8[[#This Row],[Bonus]]</f>
        <v>#N/A</v>
      </c>
    </row>
    <row r="1407" spans="1:14" ht="23.25" customHeight="1" x14ac:dyDescent="0.25">
      <c r="A1407" s="59">
        <f t="shared" si="135"/>
        <v>1900</v>
      </c>
      <c r="B1407" s="59">
        <f t="shared" si="136"/>
        <v>1</v>
      </c>
      <c r="C1407" s="60"/>
      <c r="D1407" s="61"/>
      <c r="F1407" s="23" t="e">
        <f>VLOOKUP(E1407,Customers[],2,FALSE)</f>
        <v>#N/A</v>
      </c>
      <c r="G1407" s="23" t="e">
        <f>VLOOKUP(E1407,Customers[],3,FALSE)</f>
        <v>#N/A</v>
      </c>
      <c r="H1407" s="23" t="e">
        <f>VLOOKUP(E1407,Customers[],4,FALSE)</f>
        <v>#N/A</v>
      </c>
      <c r="J1407" s="29" t="e">
        <f>VLOOKUP(I1407,PGStock[],2,FALSE)</f>
        <v>#N/A</v>
      </c>
      <c r="K1407" s="30" t="e">
        <f>VLOOKUP(I1407,PGStock[],3,FALSE)</f>
        <v>#N/A</v>
      </c>
      <c r="M1407" s="62" t="e">
        <f>VLOOKUP(I1407,PGStock[],6,FALSE)</f>
        <v>#N/A</v>
      </c>
      <c r="N1407" s="62" t="e">
        <f>+Table8[[#This Row],[SalesBot]]*Table8[[#This Row],[Bonus]]</f>
        <v>#N/A</v>
      </c>
    </row>
    <row r="1408" spans="1:14" ht="23.25" customHeight="1" x14ac:dyDescent="0.25">
      <c r="A1408" s="59">
        <f t="shared" si="135"/>
        <v>1900</v>
      </c>
      <c r="B1408" s="59">
        <f t="shared" si="136"/>
        <v>1</v>
      </c>
      <c r="C1408" s="60"/>
      <c r="D1408" s="61"/>
      <c r="F1408" s="23" t="e">
        <f>VLOOKUP(E1408,Customers[],2,FALSE)</f>
        <v>#N/A</v>
      </c>
      <c r="G1408" s="23" t="e">
        <f>VLOOKUP(E1408,Customers[],3,FALSE)</f>
        <v>#N/A</v>
      </c>
      <c r="H1408" s="23" t="e">
        <f>VLOOKUP(E1408,Customers[],4,FALSE)</f>
        <v>#N/A</v>
      </c>
      <c r="J1408" s="29" t="e">
        <f>VLOOKUP(I1408,PGStock[],2,FALSE)</f>
        <v>#N/A</v>
      </c>
      <c r="K1408" s="30" t="e">
        <f>VLOOKUP(I1408,PGStock[],3,FALSE)</f>
        <v>#N/A</v>
      </c>
      <c r="M1408" s="62" t="e">
        <f>VLOOKUP(I1408,PGStock[],6,FALSE)</f>
        <v>#N/A</v>
      </c>
      <c r="N1408" s="62" t="e">
        <f>+Table8[[#This Row],[SalesBot]]*Table8[[#This Row],[Bonus]]</f>
        <v>#N/A</v>
      </c>
    </row>
    <row r="1409" spans="1:14" ht="23.25" customHeight="1" x14ac:dyDescent="0.25">
      <c r="A1409" s="59">
        <f t="shared" si="131"/>
        <v>1900</v>
      </c>
      <c r="B1409" s="59">
        <f t="shared" si="132"/>
        <v>1</v>
      </c>
      <c r="C1409" s="60"/>
      <c r="D1409" s="61"/>
      <c r="F1409" s="23" t="e">
        <f>VLOOKUP(E1409,Customers[],2,FALSE)</f>
        <v>#N/A</v>
      </c>
      <c r="G1409" s="23" t="e">
        <f>VLOOKUP(E1409,Customers[],3,FALSE)</f>
        <v>#N/A</v>
      </c>
      <c r="H1409" s="23" t="e">
        <f>VLOOKUP(E1409,Customers[],4,FALSE)</f>
        <v>#N/A</v>
      </c>
      <c r="J1409" s="29" t="e">
        <f>VLOOKUP(I1409,PGStock[],2,FALSE)</f>
        <v>#N/A</v>
      </c>
      <c r="K1409" s="30" t="e">
        <f>VLOOKUP(I1409,PGStock[],3,FALSE)</f>
        <v>#N/A</v>
      </c>
      <c r="M1409" s="62" t="e">
        <f>VLOOKUP(I1409,PGStock[],6,FALSE)</f>
        <v>#N/A</v>
      </c>
      <c r="N1409" s="62" t="e">
        <f>+Table8[[#This Row],[SalesBot]]*Table8[[#This Row],[Bonus]]</f>
        <v>#N/A</v>
      </c>
    </row>
    <row r="1410" spans="1:14" ht="23.25" customHeight="1" x14ac:dyDescent="0.25">
      <c r="A1410" s="59">
        <f t="shared" si="131"/>
        <v>1900</v>
      </c>
      <c r="B1410" s="59">
        <f t="shared" si="132"/>
        <v>1</v>
      </c>
      <c r="C1410" s="60"/>
      <c r="D1410" s="61"/>
      <c r="F1410" s="23" t="e">
        <f>VLOOKUP(E1410,Customers[],2,FALSE)</f>
        <v>#N/A</v>
      </c>
      <c r="G1410" s="23" t="e">
        <f>VLOOKUP(E1410,Customers[],3,FALSE)</f>
        <v>#N/A</v>
      </c>
      <c r="H1410" s="23" t="e">
        <f>VLOOKUP(E1410,Customers[],4,FALSE)</f>
        <v>#N/A</v>
      </c>
      <c r="J1410" s="29" t="e">
        <f>VLOOKUP(I1410,PGStock[],2,FALSE)</f>
        <v>#N/A</v>
      </c>
      <c r="K1410" s="30" t="e">
        <f>VLOOKUP(I1410,PGStock[],3,FALSE)</f>
        <v>#N/A</v>
      </c>
      <c r="M1410" s="62" t="e">
        <f>VLOOKUP(I1410,PGStock[],6,FALSE)</f>
        <v>#N/A</v>
      </c>
      <c r="N1410" s="62" t="e">
        <f>+Table8[[#This Row],[SalesBot]]*Table8[[#This Row],[Bonus]]</f>
        <v>#N/A</v>
      </c>
    </row>
    <row r="1411" spans="1:14" ht="23.25" customHeight="1" x14ac:dyDescent="0.25">
      <c r="A1411" s="59">
        <f t="shared" si="131"/>
        <v>1900</v>
      </c>
      <c r="B1411" s="59">
        <f t="shared" si="132"/>
        <v>1</v>
      </c>
      <c r="C1411" s="60"/>
      <c r="D1411" s="61"/>
      <c r="F1411" s="23" t="e">
        <f>VLOOKUP(E1411,Customers[],2,FALSE)</f>
        <v>#N/A</v>
      </c>
      <c r="G1411" s="23" t="e">
        <f>VLOOKUP(E1411,Customers[],3,FALSE)</f>
        <v>#N/A</v>
      </c>
      <c r="H1411" s="23" t="e">
        <f>VLOOKUP(E1411,Customers[],4,FALSE)</f>
        <v>#N/A</v>
      </c>
      <c r="J1411" s="29" t="e">
        <f>VLOOKUP(I1411,PGStock[],2,FALSE)</f>
        <v>#N/A</v>
      </c>
      <c r="K1411" s="30" t="e">
        <f>VLOOKUP(I1411,PGStock[],3,FALSE)</f>
        <v>#N/A</v>
      </c>
      <c r="M1411" s="62" t="e">
        <f>VLOOKUP(I1411,PGStock[],6,FALSE)</f>
        <v>#N/A</v>
      </c>
      <c r="N1411" s="62" t="e">
        <f>+Table8[[#This Row],[SalesBot]]*Table8[[#This Row],[Bonus]]</f>
        <v>#N/A</v>
      </c>
    </row>
    <row r="1412" spans="1:14" ht="23.25" customHeight="1" x14ac:dyDescent="0.25">
      <c r="A1412" s="59">
        <f t="shared" si="131"/>
        <v>1900</v>
      </c>
      <c r="B1412" s="59">
        <f t="shared" si="132"/>
        <v>1</v>
      </c>
      <c r="C1412" s="60"/>
      <c r="D1412" s="61"/>
      <c r="F1412" s="23" t="e">
        <f>VLOOKUP(E1412,Customers[],2,FALSE)</f>
        <v>#N/A</v>
      </c>
      <c r="G1412" s="23" t="e">
        <f>VLOOKUP(E1412,Customers[],3,FALSE)</f>
        <v>#N/A</v>
      </c>
      <c r="H1412" s="23" t="e">
        <f>VLOOKUP(E1412,Customers[],4,FALSE)</f>
        <v>#N/A</v>
      </c>
      <c r="J1412" s="29" t="e">
        <f>VLOOKUP(I1412,PGStock[],2,FALSE)</f>
        <v>#N/A</v>
      </c>
      <c r="K1412" s="30" t="e">
        <f>VLOOKUP(I1412,PGStock[],3,FALSE)</f>
        <v>#N/A</v>
      </c>
      <c r="M1412" s="62" t="e">
        <f>VLOOKUP(I1412,PGStock[],6,FALSE)</f>
        <v>#N/A</v>
      </c>
      <c r="N1412" s="62" t="e">
        <f>+Table8[[#This Row],[SalesBot]]*Table8[[#This Row],[Bonus]]</f>
        <v>#N/A</v>
      </c>
    </row>
    <row r="1413" spans="1:14" ht="23.25" customHeight="1" x14ac:dyDescent="0.25">
      <c r="A1413" s="59">
        <f t="shared" si="131"/>
        <v>1900</v>
      </c>
      <c r="B1413" s="59">
        <f t="shared" si="132"/>
        <v>1</v>
      </c>
      <c r="C1413" s="60"/>
      <c r="D1413" s="61"/>
      <c r="F1413" s="23" t="e">
        <f>VLOOKUP(E1413,Customers[],2,FALSE)</f>
        <v>#N/A</v>
      </c>
      <c r="G1413" s="23" t="e">
        <f>VLOOKUP(E1413,Customers[],3,FALSE)</f>
        <v>#N/A</v>
      </c>
      <c r="H1413" s="23" t="e">
        <f>VLOOKUP(E1413,Customers[],4,FALSE)</f>
        <v>#N/A</v>
      </c>
      <c r="J1413" s="29" t="e">
        <f>VLOOKUP(I1413,PGStock[],2,FALSE)</f>
        <v>#N/A</v>
      </c>
      <c r="K1413" s="30" t="e">
        <f>VLOOKUP(I1413,PGStock[],3,FALSE)</f>
        <v>#N/A</v>
      </c>
      <c r="M1413" s="62" t="e">
        <f>VLOOKUP(I1413,PGStock[],6,FALSE)</f>
        <v>#N/A</v>
      </c>
      <c r="N1413" s="62" t="e">
        <f>+Table8[[#This Row],[SalesBot]]*Table8[[#This Row],[Bonus]]</f>
        <v>#N/A</v>
      </c>
    </row>
    <row r="1414" spans="1:14" ht="23.25" customHeight="1" x14ac:dyDescent="0.25">
      <c r="A1414" s="59">
        <f t="shared" si="131"/>
        <v>1900</v>
      </c>
      <c r="B1414" s="59">
        <f t="shared" si="132"/>
        <v>1</v>
      </c>
      <c r="C1414" s="60"/>
      <c r="D1414" s="61"/>
      <c r="F1414" s="23" t="e">
        <f>VLOOKUP(E1414,Customers[],2,FALSE)</f>
        <v>#N/A</v>
      </c>
      <c r="G1414" s="23" t="e">
        <f>VLOOKUP(E1414,Customers[],3,FALSE)</f>
        <v>#N/A</v>
      </c>
      <c r="H1414" s="23" t="e">
        <f>VLOOKUP(E1414,Customers[],4,FALSE)</f>
        <v>#N/A</v>
      </c>
      <c r="J1414" s="29" t="e">
        <f>VLOOKUP(I1414,PGStock[],2,FALSE)</f>
        <v>#N/A</v>
      </c>
      <c r="K1414" s="30" t="e">
        <f>VLOOKUP(I1414,PGStock[],3,FALSE)</f>
        <v>#N/A</v>
      </c>
      <c r="M1414" s="62" t="e">
        <f>VLOOKUP(I1414,PGStock[],6,FALSE)</f>
        <v>#N/A</v>
      </c>
      <c r="N1414" s="62" t="e">
        <f>+Table8[[#This Row],[SalesBot]]*Table8[[#This Row],[Bonus]]</f>
        <v>#N/A</v>
      </c>
    </row>
    <row r="1415" spans="1:14" ht="23.25" customHeight="1" x14ac:dyDescent="0.25">
      <c r="A1415" s="59">
        <f t="shared" si="131"/>
        <v>1900</v>
      </c>
      <c r="B1415" s="59">
        <f t="shared" si="132"/>
        <v>1</v>
      </c>
      <c r="C1415" s="60"/>
      <c r="D1415" s="61"/>
      <c r="F1415" s="23" t="e">
        <f>VLOOKUP(E1415,Customers[],2,FALSE)</f>
        <v>#N/A</v>
      </c>
      <c r="G1415" s="23" t="e">
        <f>VLOOKUP(E1415,Customers[],3,FALSE)</f>
        <v>#N/A</v>
      </c>
      <c r="H1415" s="23" t="e">
        <f>VLOOKUP(E1415,Customers[],4,FALSE)</f>
        <v>#N/A</v>
      </c>
      <c r="J1415" s="29" t="e">
        <f>VLOOKUP(I1415,PGStock[],2,FALSE)</f>
        <v>#N/A</v>
      </c>
      <c r="K1415" s="30" t="e">
        <f>VLOOKUP(I1415,PGStock[],3,FALSE)</f>
        <v>#N/A</v>
      </c>
      <c r="M1415" s="62" t="e">
        <f>VLOOKUP(I1415,PGStock[],6,FALSE)</f>
        <v>#N/A</v>
      </c>
      <c r="N1415" s="62" t="e">
        <f>+Table8[[#This Row],[SalesBot]]*Table8[[#This Row],[Bonus]]</f>
        <v>#N/A</v>
      </c>
    </row>
    <row r="1416" spans="1:14" ht="23.25" customHeight="1" x14ac:dyDescent="0.25">
      <c r="A1416" s="59">
        <f t="shared" si="127"/>
        <v>1900</v>
      </c>
      <c r="B1416" s="59">
        <f t="shared" si="128"/>
        <v>1</v>
      </c>
      <c r="C1416" s="60"/>
      <c r="D1416" s="61"/>
      <c r="F1416" s="23" t="e">
        <f>VLOOKUP(E1416,Customers[],2,FALSE)</f>
        <v>#N/A</v>
      </c>
      <c r="G1416" s="23" t="e">
        <f>VLOOKUP(E1416,Customers[],3,FALSE)</f>
        <v>#N/A</v>
      </c>
      <c r="H1416" s="23" t="e">
        <f>VLOOKUP(E1416,Customers[],4,FALSE)</f>
        <v>#N/A</v>
      </c>
      <c r="J1416" s="29" t="e">
        <f>VLOOKUP(I1416,PGStock[],2,FALSE)</f>
        <v>#N/A</v>
      </c>
      <c r="K1416" s="30" t="e">
        <f>VLOOKUP(I1416,PGStock[],3,FALSE)</f>
        <v>#N/A</v>
      </c>
      <c r="M1416" s="62" t="e">
        <f>VLOOKUP(I1416,PGStock[],6,FALSE)</f>
        <v>#N/A</v>
      </c>
      <c r="N1416" s="62" t="e">
        <f>+Table8[[#This Row],[SalesBot]]*Table8[[#This Row],[Bonus]]</f>
        <v>#N/A</v>
      </c>
    </row>
    <row r="1417" spans="1:14" ht="23.25" customHeight="1" x14ac:dyDescent="0.25">
      <c r="A1417" s="59">
        <f t="shared" si="127"/>
        <v>1900</v>
      </c>
      <c r="B1417" s="59">
        <f t="shared" si="128"/>
        <v>1</v>
      </c>
      <c r="C1417" s="60"/>
      <c r="D1417" s="61"/>
      <c r="F1417" s="23" t="e">
        <f>VLOOKUP(E1417,Customers[],2,FALSE)</f>
        <v>#N/A</v>
      </c>
      <c r="G1417" s="23" t="e">
        <f>VLOOKUP(E1417,Customers[],3,FALSE)</f>
        <v>#N/A</v>
      </c>
      <c r="H1417" s="23" t="e">
        <f>VLOOKUP(E1417,Customers[],4,FALSE)</f>
        <v>#N/A</v>
      </c>
      <c r="J1417" s="29" t="e">
        <f>VLOOKUP(I1417,PGStock[],2,FALSE)</f>
        <v>#N/A</v>
      </c>
      <c r="K1417" s="30" t="e">
        <f>VLOOKUP(I1417,PGStock[],3,FALSE)</f>
        <v>#N/A</v>
      </c>
      <c r="M1417" s="62" t="e">
        <f>VLOOKUP(I1417,PGStock[],6,FALSE)</f>
        <v>#N/A</v>
      </c>
      <c r="N1417" s="62" t="e">
        <f>+Table8[[#This Row],[SalesBot]]*Table8[[#This Row],[Bonus]]</f>
        <v>#N/A</v>
      </c>
    </row>
    <row r="1418" spans="1:14" ht="23.25" customHeight="1" x14ac:dyDescent="0.25">
      <c r="A1418" s="59">
        <f t="shared" si="127"/>
        <v>1900</v>
      </c>
      <c r="B1418" s="59">
        <f t="shared" si="128"/>
        <v>1</v>
      </c>
      <c r="C1418" s="60"/>
      <c r="D1418" s="61"/>
      <c r="F1418" s="23" t="e">
        <f>VLOOKUP(E1418,Customers[],2,FALSE)</f>
        <v>#N/A</v>
      </c>
      <c r="G1418" s="23" t="e">
        <f>VLOOKUP(E1418,Customers[],3,FALSE)</f>
        <v>#N/A</v>
      </c>
      <c r="H1418" s="23" t="e">
        <f>VLOOKUP(E1418,Customers[],4,FALSE)</f>
        <v>#N/A</v>
      </c>
      <c r="J1418" s="29" t="e">
        <f>VLOOKUP(I1418,PGStock[],2,FALSE)</f>
        <v>#N/A</v>
      </c>
      <c r="K1418" s="30" t="e">
        <f>VLOOKUP(I1418,PGStock[],3,FALSE)</f>
        <v>#N/A</v>
      </c>
      <c r="M1418" s="62" t="e">
        <f>VLOOKUP(I1418,PGStock[],6,FALSE)</f>
        <v>#N/A</v>
      </c>
      <c r="N1418" s="62" t="e">
        <f>+Table8[[#This Row],[SalesBot]]*Table8[[#This Row],[Bonus]]</f>
        <v>#N/A</v>
      </c>
    </row>
    <row r="1419" spans="1:14" ht="23.25" customHeight="1" x14ac:dyDescent="0.25">
      <c r="A1419" s="59">
        <f t="shared" si="127"/>
        <v>1900</v>
      </c>
      <c r="B1419" s="59">
        <f t="shared" si="128"/>
        <v>1</v>
      </c>
      <c r="C1419" s="60"/>
      <c r="D1419" s="61"/>
      <c r="F1419" s="23" t="e">
        <f>VLOOKUP(E1419,Customers[],2,FALSE)</f>
        <v>#N/A</v>
      </c>
      <c r="G1419" s="23" t="e">
        <f>VLOOKUP(E1419,Customers[],3,FALSE)</f>
        <v>#N/A</v>
      </c>
      <c r="H1419" s="23" t="e">
        <f>VLOOKUP(E1419,Customers[],4,FALSE)</f>
        <v>#N/A</v>
      </c>
      <c r="J1419" s="29" t="e">
        <f>VLOOKUP(I1419,PGStock[],2,FALSE)</f>
        <v>#N/A</v>
      </c>
      <c r="K1419" s="30" t="e">
        <f>VLOOKUP(I1419,PGStock[],3,FALSE)</f>
        <v>#N/A</v>
      </c>
      <c r="M1419" s="62" t="e">
        <f>VLOOKUP(I1419,PGStock[],6,FALSE)</f>
        <v>#N/A</v>
      </c>
      <c r="N1419" s="62" t="e">
        <f>+Table8[[#This Row],[SalesBot]]*Table8[[#This Row],[Bonus]]</f>
        <v>#N/A</v>
      </c>
    </row>
    <row r="1420" spans="1:14" ht="23.25" customHeight="1" x14ac:dyDescent="0.25">
      <c r="A1420" s="59">
        <f t="shared" si="127"/>
        <v>1900</v>
      </c>
      <c r="B1420" s="59">
        <f t="shared" si="128"/>
        <v>1</v>
      </c>
      <c r="C1420" s="60"/>
      <c r="D1420" s="61"/>
      <c r="F1420" s="23" t="e">
        <f>VLOOKUP(E1420,Customers[],2,FALSE)</f>
        <v>#N/A</v>
      </c>
      <c r="G1420" s="23" t="e">
        <f>VLOOKUP(E1420,Customers[],3,FALSE)</f>
        <v>#N/A</v>
      </c>
      <c r="H1420" s="23" t="e">
        <f>VLOOKUP(E1420,Customers[],4,FALSE)</f>
        <v>#N/A</v>
      </c>
      <c r="J1420" s="29" t="e">
        <f>VLOOKUP(I1420,PGStock[],2,FALSE)</f>
        <v>#N/A</v>
      </c>
      <c r="K1420" s="30" t="e">
        <f>VLOOKUP(I1420,PGStock[],3,FALSE)</f>
        <v>#N/A</v>
      </c>
      <c r="M1420" s="62" t="e">
        <f>VLOOKUP(I1420,PGStock[],6,FALSE)</f>
        <v>#N/A</v>
      </c>
      <c r="N1420" s="62" t="e">
        <f>+Table8[[#This Row],[SalesBot]]*Table8[[#This Row],[Bonus]]</f>
        <v>#N/A</v>
      </c>
    </row>
    <row r="1421" spans="1:14" ht="23.25" customHeight="1" x14ac:dyDescent="0.25">
      <c r="A1421" s="59">
        <f t="shared" si="127"/>
        <v>1900</v>
      </c>
      <c r="B1421" s="59">
        <f t="shared" si="128"/>
        <v>1</v>
      </c>
      <c r="C1421" s="60"/>
      <c r="D1421" s="61"/>
      <c r="F1421" s="23" t="e">
        <f>VLOOKUP(E1421,Customers[],2,FALSE)</f>
        <v>#N/A</v>
      </c>
      <c r="G1421" s="23" t="e">
        <f>VLOOKUP(E1421,Customers[],3,FALSE)</f>
        <v>#N/A</v>
      </c>
      <c r="H1421" s="23" t="e">
        <f>VLOOKUP(E1421,Customers[],4,FALSE)</f>
        <v>#N/A</v>
      </c>
      <c r="J1421" s="29" t="e">
        <f>VLOOKUP(I1421,PGStock[],2,FALSE)</f>
        <v>#N/A</v>
      </c>
      <c r="K1421" s="30" t="e">
        <f>VLOOKUP(I1421,PGStock[],3,FALSE)</f>
        <v>#N/A</v>
      </c>
      <c r="M1421" s="62" t="e">
        <f>VLOOKUP(I1421,PGStock[],6,FALSE)</f>
        <v>#N/A</v>
      </c>
      <c r="N1421" s="62" t="e">
        <f>+Table8[[#This Row],[SalesBot]]*Table8[[#This Row],[Bonus]]</f>
        <v>#N/A</v>
      </c>
    </row>
    <row r="1422" spans="1:14" ht="23.25" customHeight="1" x14ac:dyDescent="0.25">
      <c r="A1422" s="59">
        <f t="shared" si="127"/>
        <v>1900</v>
      </c>
      <c r="B1422" s="59">
        <f t="shared" si="128"/>
        <v>1</v>
      </c>
      <c r="C1422" s="60"/>
      <c r="D1422" s="61"/>
      <c r="F1422" s="23" t="e">
        <f>VLOOKUP(E1422,Customers[],2,FALSE)</f>
        <v>#N/A</v>
      </c>
      <c r="G1422" s="23" t="e">
        <f>VLOOKUP(E1422,Customers[],3,FALSE)</f>
        <v>#N/A</v>
      </c>
      <c r="H1422" s="23" t="e">
        <f>VLOOKUP(E1422,Customers[],4,FALSE)</f>
        <v>#N/A</v>
      </c>
      <c r="J1422" s="29" t="e">
        <f>VLOOKUP(I1422,PGStock[],2,FALSE)</f>
        <v>#N/A</v>
      </c>
      <c r="K1422" s="30" t="e">
        <f>VLOOKUP(I1422,PGStock[],3,FALSE)</f>
        <v>#N/A</v>
      </c>
      <c r="M1422" s="62" t="e">
        <f>VLOOKUP(I1422,PGStock[],6,FALSE)</f>
        <v>#N/A</v>
      </c>
      <c r="N1422" s="62" t="e">
        <f>+Table8[[#This Row],[SalesBot]]*Table8[[#This Row],[Bonus]]</f>
        <v>#N/A</v>
      </c>
    </row>
    <row r="1423" spans="1:14" ht="23.25" customHeight="1" x14ac:dyDescent="0.25">
      <c r="A1423" s="59">
        <f t="shared" si="127"/>
        <v>1900</v>
      </c>
      <c r="B1423" s="59">
        <f t="shared" si="128"/>
        <v>1</v>
      </c>
      <c r="C1423" s="60"/>
      <c r="D1423" s="61"/>
      <c r="F1423" s="23" t="e">
        <f>VLOOKUP(E1423,Customers[],2,FALSE)</f>
        <v>#N/A</v>
      </c>
      <c r="G1423" s="23" t="e">
        <f>VLOOKUP(E1423,Customers[],3,FALSE)</f>
        <v>#N/A</v>
      </c>
      <c r="H1423" s="23" t="e">
        <f>VLOOKUP(E1423,Customers[],4,FALSE)</f>
        <v>#N/A</v>
      </c>
      <c r="J1423" s="29" t="e">
        <f>VLOOKUP(I1423,PGStock[],2,FALSE)</f>
        <v>#N/A</v>
      </c>
      <c r="K1423" s="30" t="e">
        <f>VLOOKUP(I1423,PGStock[],3,FALSE)</f>
        <v>#N/A</v>
      </c>
      <c r="M1423" s="62" t="e">
        <f>VLOOKUP(I1423,PGStock[],6,FALSE)</f>
        <v>#N/A</v>
      </c>
      <c r="N1423" s="62" t="e">
        <f>+Table8[[#This Row],[SalesBot]]*Table8[[#This Row],[Bonus]]</f>
        <v>#N/A</v>
      </c>
    </row>
    <row r="1424" spans="1:14" ht="23.25" customHeight="1" x14ac:dyDescent="0.25">
      <c r="A1424" s="59">
        <f t="shared" si="127"/>
        <v>1900</v>
      </c>
      <c r="B1424" s="59">
        <f t="shared" si="128"/>
        <v>1</v>
      </c>
      <c r="C1424" s="60"/>
      <c r="D1424" s="61"/>
      <c r="F1424" s="23" t="e">
        <f>VLOOKUP(E1424,Customers[],2,FALSE)</f>
        <v>#N/A</v>
      </c>
      <c r="G1424" s="23" t="e">
        <f>VLOOKUP(E1424,Customers[],3,FALSE)</f>
        <v>#N/A</v>
      </c>
      <c r="H1424" s="23" t="e">
        <f>VLOOKUP(E1424,Customers[],4,FALSE)</f>
        <v>#N/A</v>
      </c>
      <c r="J1424" s="29" t="e">
        <f>VLOOKUP(I1424,PGStock[],2,FALSE)</f>
        <v>#N/A</v>
      </c>
      <c r="K1424" s="30" t="e">
        <f>VLOOKUP(I1424,PGStock[],3,FALSE)</f>
        <v>#N/A</v>
      </c>
      <c r="M1424" s="62" t="e">
        <f>VLOOKUP(I1424,PGStock[],6,FALSE)</f>
        <v>#N/A</v>
      </c>
      <c r="N1424" s="62" t="e">
        <f>+Table8[[#This Row],[SalesBot]]*Table8[[#This Row],[Bonus]]</f>
        <v>#N/A</v>
      </c>
    </row>
    <row r="1425" spans="1:14" ht="23.25" customHeight="1" x14ac:dyDescent="0.25">
      <c r="A1425" s="59">
        <f t="shared" si="127"/>
        <v>1900</v>
      </c>
      <c r="B1425" s="59">
        <f t="shared" si="128"/>
        <v>1</v>
      </c>
      <c r="C1425" s="60"/>
      <c r="D1425" s="61"/>
      <c r="F1425" s="23" t="e">
        <f>VLOOKUP(E1425,Customers[],2,FALSE)</f>
        <v>#N/A</v>
      </c>
      <c r="G1425" s="23" t="e">
        <f>VLOOKUP(E1425,Customers[],3,FALSE)</f>
        <v>#N/A</v>
      </c>
      <c r="H1425" s="23" t="e">
        <f>VLOOKUP(E1425,Customers[],4,FALSE)</f>
        <v>#N/A</v>
      </c>
      <c r="J1425" s="29" t="e">
        <f>VLOOKUP(I1425,PGStock[],2,FALSE)</f>
        <v>#N/A</v>
      </c>
      <c r="K1425" s="30" t="e">
        <f>VLOOKUP(I1425,PGStock[],3,FALSE)</f>
        <v>#N/A</v>
      </c>
      <c r="M1425" s="62" t="e">
        <f>VLOOKUP(I1425,PGStock[],6,FALSE)</f>
        <v>#N/A</v>
      </c>
      <c r="N1425" s="62" t="e">
        <f>+Table8[[#This Row],[SalesBot]]*Table8[[#This Row],[Bonus]]</f>
        <v>#N/A</v>
      </c>
    </row>
    <row r="1426" spans="1:14" ht="23.25" customHeight="1" x14ac:dyDescent="0.25">
      <c r="A1426" s="59">
        <f t="shared" si="127"/>
        <v>1900</v>
      </c>
      <c r="B1426" s="59">
        <f t="shared" si="128"/>
        <v>1</v>
      </c>
      <c r="C1426" s="60"/>
      <c r="D1426" s="61"/>
      <c r="F1426" s="23" t="e">
        <f>VLOOKUP(E1426,Customers[],2,FALSE)</f>
        <v>#N/A</v>
      </c>
      <c r="G1426" s="23" t="e">
        <f>VLOOKUP(E1426,Customers[],3,FALSE)</f>
        <v>#N/A</v>
      </c>
      <c r="H1426" s="23" t="e">
        <f>VLOOKUP(E1426,Customers[],4,FALSE)</f>
        <v>#N/A</v>
      </c>
      <c r="J1426" s="29" t="e">
        <f>VLOOKUP(I1426,PGStock[],2,FALSE)</f>
        <v>#N/A</v>
      </c>
      <c r="K1426" s="30" t="e">
        <f>VLOOKUP(I1426,PGStock[],3,FALSE)</f>
        <v>#N/A</v>
      </c>
      <c r="M1426" s="62" t="e">
        <f>VLOOKUP(I1426,PGStock[],6,FALSE)</f>
        <v>#N/A</v>
      </c>
      <c r="N1426" s="62" t="e">
        <f>+Table8[[#This Row],[SalesBot]]*Table8[[#This Row],[Bonus]]</f>
        <v>#N/A</v>
      </c>
    </row>
    <row r="1427" spans="1:14" ht="23.25" customHeight="1" x14ac:dyDescent="0.25">
      <c r="A1427" s="59">
        <f t="shared" si="127"/>
        <v>1900</v>
      </c>
      <c r="B1427" s="59">
        <f t="shared" si="128"/>
        <v>1</v>
      </c>
      <c r="C1427" s="60"/>
      <c r="D1427" s="61"/>
      <c r="F1427" s="23" t="e">
        <f>VLOOKUP(E1427,Customers[],2,FALSE)</f>
        <v>#N/A</v>
      </c>
      <c r="G1427" s="23" t="e">
        <f>VLOOKUP(E1427,Customers[],3,FALSE)</f>
        <v>#N/A</v>
      </c>
      <c r="H1427" s="23" t="e">
        <f>VLOOKUP(E1427,Customers[],4,FALSE)</f>
        <v>#N/A</v>
      </c>
      <c r="J1427" s="29" t="e">
        <f>VLOOKUP(I1427,PGStock[],2,FALSE)</f>
        <v>#N/A</v>
      </c>
      <c r="K1427" s="30" t="e">
        <f>VLOOKUP(I1427,PGStock[],3,FALSE)</f>
        <v>#N/A</v>
      </c>
      <c r="M1427" s="62" t="e">
        <f>VLOOKUP(I1427,PGStock[],6,FALSE)</f>
        <v>#N/A</v>
      </c>
      <c r="N1427" s="62" t="e">
        <f>+Table8[[#This Row],[SalesBot]]*Table8[[#This Row],[Bonus]]</f>
        <v>#N/A</v>
      </c>
    </row>
    <row r="1428" spans="1:14" ht="23.25" customHeight="1" x14ac:dyDescent="0.25">
      <c r="A1428" s="59">
        <f t="shared" si="127"/>
        <v>1900</v>
      </c>
      <c r="B1428" s="59">
        <f t="shared" si="128"/>
        <v>1</v>
      </c>
      <c r="C1428" s="60"/>
      <c r="D1428" s="61"/>
      <c r="F1428" s="23" t="e">
        <f>VLOOKUP(E1428,Customers[],2,FALSE)</f>
        <v>#N/A</v>
      </c>
      <c r="G1428" s="23" t="e">
        <f>VLOOKUP(E1428,Customers[],3,FALSE)</f>
        <v>#N/A</v>
      </c>
      <c r="H1428" s="23" t="e">
        <f>VLOOKUP(E1428,Customers[],4,FALSE)</f>
        <v>#N/A</v>
      </c>
      <c r="J1428" s="29" t="e">
        <f>VLOOKUP(I1428,PGStock[],2,FALSE)</f>
        <v>#N/A</v>
      </c>
      <c r="K1428" s="30" t="e">
        <f>VLOOKUP(I1428,PGStock[],3,FALSE)</f>
        <v>#N/A</v>
      </c>
      <c r="M1428" s="62" t="e">
        <f>VLOOKUP(I1428,PGStock[],6,FALSE)</f>
        <v>#N/A</v>
      </c>
      <c r="N1428" s="62" t="e">
        <f>+Table8[[#This Row],[SalesBot]]*Table8[[#This Row],[Bonus]]</f>
        <v>#N/A</v>
      </c>
    </row>
    <row r="1429" spans="1:14" ht="23.25" customHeight="1" x14ac:dyDescent="0.25">
      <c r="A1429" s="59">
        <f t="shared" si="127"/>
        <v>1900</v>
      </c>
      <c r="B1429" s="59">
        <f t="shared" si="128"/>
        <v>1</v>
      </c>
      <c r="C1429" s="60"/>
      <c r="D1429" s="61"/>
      <c r="F1429" s="23" t="e">
        <f>VLOOKUP(E1429,Customers[],2,FALSE)</f>
        <v>#N/A</v>
      </c>
      <c r="G1429" s="23" t="e">
        <f>VLOOKUP(E1429,Customers[],3,FALSE)</f>
        <v>#N/A</v>
      </c>
      <c r="H1429" s="23" t="e">
        <f>VLOOKUP(E1429,Customers[],4,FALSE)</f>
        <v>#N/A</v>
      </c>
      <c r="J1429" s="29" t="e">
        <f>VLOOKUP(I1429,PGStock[],2,FALSE)</f>
        <v>#N/A</v>
      </c>
      <c r="K1429" s="30" t="e">
        <f>VLOOKUP(I1429,PGStock[],3,FALSE)</f>
        <v>#N/A</v>
      </c>
      <c r="M1429" s="62" t="e">
        <f>VLOOKUP(I1429,PGStock[],6,FALSE)</f>
        <v>#N/A</v>
      </c>
      <c r="N1429" s="62" t="e">
        <f>+Table8[[#This Row],[SalesBot]]*Table8[[#This Row],[Bonus]]</f>
        <v>#N/A</v>
      </c>
    </row>
    <row r="1430" spans="1:14" ht="23.25" customHeight="1" x14ac:dyDescent="0.25">
      <c r="A1430" s="59">
        <f t="shared" si="127"/>
        <v>1900</v>
      </c>
      <c r="B1430" s="59">
        <f t="shared" si="128"/>
        <v>1</v>
      </c>
      <c r="C1430" s="60"/>
      <c r="D1430" s="61"/>
      <c r="F1430" s="23" t="e">
        <f>VLOOKUP(E1430,Customers[],2,FALSE)</f>
        <v>#N/A</v>
      </c>
      <c r="G1430" s="23" t="e">
        <f>VLOOKUP(E1430,Customers[],3,FALSE)</f>
        <v>#N/A</v>
      </c>
      <c r="H1430" s="23" t="e">
        <f>VLOOKUP(E1430,Customers[],4,FALSE)</f>
        <v>#N/A</v>
      </c>
      <c r="J1430" s="29" t="e">
        <f>VLOOKUP(I1430,PGStock[],2,FALSE)</f>
        <v>#N/A</v>
      </c>
      <c r="K1430" s="30" t="e">
        <f>VLOOKUP(I1430,PGStock[],3,FALSE)</f>
        <v>#N/A</v>
      </c>
      <c r="M1430" s="62" t="e">
        <f>VLOOKUP(I1430,PGStock[],6,FALSE)</f>
        <v>#N/A</v>
      </c>
      <c r="N1430" s="62" t="e">
        <f>+Table8[[#This Row],[SalesBot]]*Table8[[#This Row],[Bonus]]</f>
        <v>#N/A</v>
      </c>
    </row>
    <row r="1431" spans="1:14" ht="23.25" customHeight="1" x14ac:dyDescent="0.25">
      <c r="A1431" s="59">
        <f t="shared" si="127"/>
        <v>1900</v>
      </c>
      <c r="B1431" s="59">
        <f t="shared" si="128"/>
        <v>1</v>
      </c>
      <c r="C1431" s="60"/>
      <c r="D1431" s="61"/>
      <c r="F1431" s="23" t="e">
        <f>VLOOKUP(E1431,Customers[],2,FALSE)</f>
        <v>#N/A</v>
      </c>
      <c r="G1431" s="23" t="e">
        <f>VLOOKUP(E1431,Customers[],3,FALSE)</f>
        <v>#N/A</v>
      </c>
      <c r="H1431" s="23" t="e">
        <f>VLOOKUP(E1431,Customers[],4,FALSE)</f>
        <v>#N/A</v>
      </c>
      <c r="J1431" s="29" t="e">
        <f>VLOOKUP(I1431,PGStock[],2,FALSE)</f>
        <v>#N/A</v>
      </c>
      <c r="K1431" s="30" t="e">
        <f>VLOOKUP(I1431,PGStock[],3,FALSE)</f>
        <v>#N/A</v>
      </c>
      <c r="M1431" s="62" t="e">
        <f>VLOOKUP(I1431,PGStock[],6,FALSE)</f>
        <v>#N/A</v>
      </c>
      <c r="N1431" s="62" t="e">
        <f>+Table8[[#This Row],[SalesBot]]*Table8[[#This Row],[Bonus]]</f>
        <v>#N/A</v>
      </c>
    </row>
    <row r="1432" spans="1:14" ht="23.25" customHeight="1" x14ac:dyDescent="0.25">
      <c r="A1432" s="59">
        <f t="shared" si="127"/>
        <v>1900</v>
      </c>
      <c r="B1432" s="59">
        <f t="shared" si="128"/>
        <v>1</v>
      </c>
      <c r="C1432" s="60"/>
      <c r="D1432" s="61"/>
      <c r="F1432" s="23" t="e">
        <f>VLOOKUP(E1432,Customers[],2,FALSE)</f>
        <v>#N/A</v>
      </c>
      <c r="G1432" s="23" t="e">
        <f>VLOOKUP(E1432,Customers[],3,FALSE)</f>
        <v>#N/A</v>
      </c>
      <c r="H1432" s="23" t="e">
        <f>VLOOKUP(E1432,Customers[],4,FALSE)</f>
        <v>#N/A</v>
      </c>
      <c r="J1432" s="29" t="e">
        <f>VLOOKUP(I1432,PGStock[],2,FALSE)</f>
        <v>#N/A</v>
      </c>
      <c r="K1432" s="30" t="e">
        <f>VLOOKUP(I1432,PGStock[],3,FALSE)</f>
        <v>#N/A</v>
      </c>
      <c r="M1432" s="62" t="e">
        <f>VLOOKUP(I1432,PGStock[],6,FALSE)</f>
        <v>#N/A</v>
      </c>
      <c r="N1432" s="62" t="e">
        <f>+Table8[[#This Row],[SalesBot]]*Table8[[#This Row],[Bonus]]</f>
        <v>#N/A</v>
      </c>
    </row>
    <row r="1433" spans="1:14" ht="23.25" customHeight="1" x14ac:dyDescent="0.25">
      <c r="A1433" s="59">
        <f t="shared" ref="A1433:A1444" si="137">YEAR(C1433)</f>
        <v>1900</v>
      </c>
      <c r="B1433" s="59">
        <f t="shared" ref="B1433:B1444" si="138">MONTH(C1433)</f>
        <v>1</v>
      </c>
      <c r="C1433" s="60"/>
      <c r="D1433" s="61"/>
      <c r="F1433" s="23" t="e">
        <f>VLOOKUP(E1433,Customers[],2,FALSE)</f>
        <v>#N/A</v>
      </c>
      <c r="G1433" s="23" t="e">
        <f>VLOOKUP(E1433,Customers[],3,FALSE)</f>
        <v>#N/A</v>
      </c>
      <c r="H1433" s="23" t="e">
        <f>VLOOKUP(E1433,Customers[],4,FALSE)</f>
        <v>#N/A</v>
      </c>
      <c r="J1433" s="29" t="e">
        <f>VLOOKUP(I1433,PGStock[],2,FALSE)</f>
        <v>#N/A</v>
      </c>
      <c r="K1433" s="30" t="e">
        <f>VLOOKUP(I1433,PGStock[],3,FALSE)</f>
        <v>#N/A</v>
      </c>
      <c r="M1433" s="62" t="e">
        <f>VLOOKUP(I1433,PGStock[],6,FALSE)</f>
        <v>#N/A</v>
      </c>
      <c r="N1433" s="62" t="e">
        <f>+Table8[[#This Row],[SalesBot]]*Table8[[#This Row],[Bonus]]</f>
        <v>#N/A</v>
      </c>
    </row>
    <row r="1434" spans="1:14" ht="23.25" customHeight="1" x14ac:dyDescent="0.25">
      <c r="A1434" s="59">
        <f t="shared" si="137"/>
        <v>1900</v>
      </c>
      <c r="B1434" s="59">
        <f t="shared" si="138"/>
        <v>1</v>
      </c>
      <c r="C1434" s="60"/>
      <c r="D1434" s="61"/>
      <c r="F1434" s="23" t="e">
        <f>VLOOKUP(E1434,Customers[],2,FALSE)</f>
        <v>#N/A</v>
      </c>
      <c r="G1434" s="23" t="e">
        <f>VLOOKUP(E1434,Customers[],3,FALSE)</f>
        <v>#N/A</v>
      </c>
      <c r="H1434" s="23" t="e">
        <f>VLOOKUP(E1434,Customers[],4,FALSE)</f>
        <v>#N/A</v>
      </c>
      <c r="J1434" s="29" t="e">
        <f>VLOOKUP(I1434,PGStock[],2,FALSE)</f>
        <v>#N/A</v>
      </c>
      <c r="K1434" s="30" t="e">
        <f>VLOOKUP(I1434,PGStock[],3,FALSE)</f>
        <v>#N/A</v>
      </c>
      <c r="M1434" s="62" t="e">
        <f>VLOOKUP(I1434,PGStock[],6,FALSE)</f>
        <v>#N/A</v>
      </c>
      <c r="N1434" s="62" t="e">
        <f>+Table8[[#This Row],[SalesBot]]*Table8[[#This Row],[Bonus]]</f>
        <v>#N/A</v>
      </c>
    </row>
    <row r="1435" spans="1:14" ht="23.25" customHeight="1" x14ac:dyDescent="0.25">
      <c r="A1435" s="59">
        <f t="shared" si="137"/>
        <v>1900</v>
      </c>
      <c r="B1435" s="59">
        <f t="shared" si="138"/>
        <v>1</v>
      </c>
      <c r="C1435" s="60"/>
      <c r="D1435" s="61"/>
      <c r="F1435" s="23" t="e">
        <f>VLOOKUP(E1435,Customers[],2,FALSE)</f>
        <v>#N/A</v>
      </c>
      <c r="G1435" s="23" t="e">
        <f>VLOOKUP(E1435,Customers[],3,FALSE)</f>
        <v>#N/A</v>
      </c>
      <c r="H1435" s="23" t="e">
        <f>VLOOKUP(E1435,Customers[],4,FALSE)</f>
        <v>#N/A</v>
      </c>
      <c r="J1435" s="29" t="e">
        <f>VLOOKUP(I1435,PGStock[],2,FALSE)</f>
        <v>#N/A</v>
      </c>
      <c r="K1435" s="30" t="e">
        <f>VLOOKUP(I1435,PGStock[],3,FALSE)</f>
        <v>#N/A</v>
      </c>
      <c r="M1435" s="62" t="e">
        <f>VLOOKUP(I1435,PGStock[],6,FALSE)</f>
        <v>#N/A</v>
      </c>
      <c r="N1435" s="62" t="e">
        <f>+Table8[[#This Row],[SalesBot]]*Table8[[#This Row],[Bonus]]</f>
        <v>#N/A</v>
      </c>
    </row>
    <row r="1436" spans="1:14" ht="23.25" customHeight="1" x14ac:dyDescent="0.25">
      <c r="A1436" s="59">
        <f t="shared" si="137"/>
        <v>1900</v>
      </c>
      <c r="B1436" s="59">
        <f t="shared" si="138"/>
        <v>1</v>
      </c>
      <c r="C1436" s="60"/>
      <c r="D1436" s="61"/>
      <c r="F1436" s="23" t="e">
        <f>VLOOKUP(E1436,Customers[],2,FALSE)</f>
        <v>#N/A</v>
      </c>
      <c r="G1436" s="23" t="e">
        <f>VLOOKUP(E1436,Customers[],3,FALSE)</f>
        <v>#N/A</v>
      </c>
      <c r="H1436" s="23" t="e">
        <f>VLOOKUP(E1436,Customers[],4,FALSE)</f>
        <v>#N/A</v>
      </c>
      <c r="J1436" s="29" t="e">
        <f>VLOOKUP(I1436,PGStock[],2,FALSE)</f>
        <v>#N/A</v>
      </c>
      <c r="K1436" s="30" t="e">
        <f>VLOOKUP(I1436,PGStock[],3,FALSE)</f>
        <v>#N/A</v>
      </c>
      <c r="M1436" s="62" t="e">
        <f>VLOOKUP(I1436,PGStock[],6,FALSE)</f>
        <v>#N/A</v>
      </c>
      <c r="N1436" s="62" t="e">
        <f>+Table8[[#This Row],[SalesBot]]*Table8[[#This Row],[Bonus]]</f>
        <v>#N/A</v>
      </c>
    </row>
    <row r="1437" spans="1:14" ht="23.25" customHeight="1" x14ac:dyDescent="0.25">
      <c r="A1437" s="59">
        <f t="shared" si="137"/>
        <v>1900</v>
      </c>
      <c r="B1437" s="59">
        <f t="shared" si="138"/>
        <v>1</v>
      </c>
      <c r="C1437" s="60"/>
      <c r="D1437" s="61"/>
      <c r="F1437" s="23" t="e">
        <f>VLOOKUP(E1437,Customers[],2,FALSE)</f>
        <v>#N/A</v>
      </c>
      <c r="G1437" s="23" t="e">
        <f>VLOOKUP(E1437,Customers[],3,FALSE)</f>
        <v>#N/A</v>
      </c>
      <c r="H1437" s="23" t="e">
        <f>VLOOKUP(E1437,Customers[],4,FALSE)</f>
        <v>#N/A</v>
      </c>
      <c r="J1437" s="29" t="e">
        <f>VLOOKUP(I1437,PGStock[],2,FALSE)</f>
        <v>#N/A</v>
      </c>
      <c r="K1437" s="30" t="e">
        <f>VLOOKUP(I1437,PGStock[],3,FALSE)</f>
        <v>#N/A</v>
      </c>
      <c r="M1437" s="62" t="e">
        <f>VLOOKUP(I1437,PGStock[],6,FALSE)</f>
        <v>#N/A</v>
      </c>
      <c r="N1437" s="62" t="e">
        <f>+Table8[[#This Row],[SalesBot]]*Table8[[#This Row],[Bonus]]</f>
        <v>#N/A</v>
      </c>
    </row>
    <row r="1438" spans="1:14" ht="23.25" customHeight="1" x14ac:dyDescent="0.25">
      <c r="A1438" s="59">
        <f t="shared" si="137"/>
        <v>1900</v>
      </c>
      <c r="B1438" s="59">
        <f t="shared" si="138"/>
        <v>1</v>
      </c>
      <c r="C1438" s="60"/>
      <c r="D1438" s="61"/>
      <c r="F1438" s="23" t="e">
        <f>VLOOKUP(E1438,Customers[],2,FALSE)</f>
        <v>#N/A</v>
      </c>
      <c r="G1438" s="23" t="e">
        <f>VLOOKUP(E1438,Customers[],3,FALSE)</f>
        <v>#N/A</v>
      </c>
      <c r="H1438" s="23" t="e">
        <f>VLOOKUP(E1438,Customers[],4,FALSE)</f>
        <v>#N/A</v>
      </c>
      <c r="J1438" s="29" t="e">
        <f>VLOOKUP(I1438,PGStock[],2,FALSE)</f>
        <v>#N/A</v>
      </c>
      <c r="K1438" s="30" t="e">
        <f>VLOOKUP(I1438,PGStock[],3,FALSE)</f>
        <v>#N/A</v>
      </c>
      <c r="M1438" s="62" t="e">
        <f>VLOOKUP(I1438,PGStock[],6,FALSE)</f>
        <v>#N/A</v>
      </c>
      <c r="N1438" s="62" t="e">
        <f>+Table8[[#This Row],[SalesBot]]*Table8[[#This Row],[Bonus]]</f>
        <v>#N/A</v>
      </c>
    </row>
    <row r="1439" spans="1:14" ht="23.25" customHeight="1" x14ac:dyDescent="0.25">
      <c r="A1439" s="59">
        <f t="shared" si="137"/>
        <v>1900</v>
      </c>
      <c r="B1439" s="59">
        <f t="shared" si="138"/>
        <v>1</v>
      </c>
      <c r="C1439" s="60"/>
      <c r="D1439" s="61"/>
      <c r="F1439" s="23" t="e">
        <f>VLOOKUP(E1439,Customers[],2,FALSE)</f>
        <v>#N/A</v>
      </c>
      <c r="G1439" s="23" t="e">
        <f>VLOOKUP(E1439,Customers[],3,FALSE)</f>
        <v>#N/A</v>
      </c>
      <c r="H1439" s="23" t="e">
        <f>VLOOKUP(E1439,Customers[],4,FALSE)</f>
        <v>#N/A</v>
      </c>
      <c r="J1439" s="29" t="e">
        <f>VLOOKUP(I1439,PGStock[],2,FALSE)</f>
        <v>#N/A</v>
      </c>
      <c r="K1439" s="30" t="e">
        <f>VLOOKUP(I1439,PGStock[],3,FALSE)</f>
        <v>#N/A</v>
      </c>
      <c r="M1439" s="62" t="e">
        <f>VLOOKUP(I1439,PGStock[],6,FALSE)</f>
        <v>#N/A</v>
      </c>
      <c r="N1439" s="62" t="e">
        <f>+Table8[[#This Row],[SalesBot]]*Table8[[#This Row],[Bonus]]</f>
        <v>#N/A</v>
      </c>
    </row>
    <row r="1440" spans="1:14" ht="23.25" customHeight="1" x14ac:dyDescent="0.25">
      <c r="A1440" s="59">
        <f t="shared" si="137"/>
        <v>1900</v>
      </c>
      <c r="B1440" s="59">
        <f t="shared" si="138"/>
        <v>1</v>
      </c>
      <c r="C1440" s="60"/>
      <c r="D1440" s="61"/>
      <c r="F1440" s="23" t="e">
        <f>VLOOKUP(E1440,Customers[],2,FALSE)</f>
        <v>#N/A</v>
      </c>
      <c r="G1440" s="23" t="e">
        <f>VLOOKUP(E1440,Customers[],3,FALSE)</f>
        <v>#N/A</v>
      </c>
      <c r="H1440" s="23" t="e">
        <f>VLOOKUP(E1440,Customers[],4,FALSE)</f>
        <v>#N/A</v>
      </c>
      <c r="J1440" s="29" t="e">
        <f>VLOOKUP(I1440,PGStock[],2,FALSE)</f>
        <v>#N/A</v>
      </c>
      <c r="K1440" s="30" t="e">
        <f>VLOOKUP(I1440,PGStock[],3,FALSE)</f>
        <v>#N/A</v>
      </c>
      <c r="M1440" s="62" t="e">
        <f>VLOOKUP(I1440,PGStock[],6,FALSE)</f>
        <v>#N/A</v>
      </c>
      <c r="N1440" s="62" t="e">
        <f>+Table8[[#This Row],[SalesBot]]*Table8[[#This Row],[Bonus]]</f>
        <v>#N/A</v>
      </c>
    </row>
    <row r="1441" spans="1:14" ht="23.25" customHeight="1" x14ac:dyDescent="0.25">
      <c r="A1441" s="59">
        <f t="shared" si="137"/>
        <v>1900</v>
      </c>
      <c r="B1441" s="59">
        <f t="shared" si="138"/>
        <v>1</v>
      </c>
      <c r="C1441" s="60"/>
      <c r="D1441" s="61"/>
      <c r="F1441" s="23" t="e">
        <f>VLOOKUP(E1441,Customers[],2,FALSE)</f>
        <v>#N/A</v>
      </c>
      <c r="G1441" s="23" t="e">
        <f>VLOOKUP(E1441,Customers[],3,FALSE)</f>
        <v>#N/A</v>
      </c>
      <c r="H1441" s="23" t="e">
        <f>VLOOKUP(E1441,Customers[],4,FALSE)</f>
        <v>#N/A</v>
      </c>
      <c r="J1441" s="29" t="e">
        <f>VLOOKUP(I1441,PGStock[],2,FALSE)</f>
        <v>#N/A</v>
      </c>
      <c r="K1441" s="30" t="e">
        <f>VLOOKUP(I1441,PGStock[],3,FALSE)</f>
        <v>#N/A</v>
      </c>
      <c r="M1441" s="62" t="e">
        <f>VLOOKUP(I1441,PGStock[],6,FALSE)</f>
        <v>#N/A</v>
      </c>
      <c r="N1441" s="62" t="e">
        <f>+Table8[[#This Row],[SalesBot]]*Table8[[#This Row],[Bonus]]</f>
        <v>#N/A</v>
      </c>
    </row>
    <row r="1442" spans="1:14" ht="23.25" customHeight="1" x14ac:dyDescent="0.25">
      <c r="A1442" s="59">
        <f t="shared" si="137"/>
        <v>1900</v>
      </c>
      <c r="B1442" s="59">
        <f t="shared" si="138"/>
        <v>1</v>
      </c>
      <c r="C1442" s="60"/>
      <c r="D1442" s="61"/>
      <c r="F1442" s="23" t="e">
        <f>VLOOKUP(E1442,Customers[],2,FALSE)</f>
        <v>#N/A</v>
      </c>
      <c r="G1442" s="23" t="e">
        <f>VLOOKUP(E1442,Customers[],3,FALSE)</f>
        <v>#N/A</v>
      </c>
      <c r="H1442" s="23" t="e">
        <f>VLOOKUP(E1442,Customers[],4,FALSE)</f>
        <v>#N/A</v>
      </c>
      <c r="J1442" s="29" t="e">
        <f>VLOOKUP(I1442,PGStock[],2,FALSE)</f>
        <v>#N/A</v>
      </c>
      <c r="K1442" s="30" t="e">
        <f>VLOOKUP(I1442,PGStock[],3,FALSE)</f>
        <v>#N/A</v>
      </c>
      <c r="M1442" s="62" t="e">
        <f>VLOOKUP(I1442,PGStock[],6,FALSE)</f>
        <v>#N/A</v>
      </c>
      <c r="N1442" s="62" t="e">
        <f>+Table8[[#This Row],[SalesBot]]*Table8[[#This Row],[Bonus]]</f>
        <v>#N/A</v>
      </c>
    </row>
    <row r="1443" spans="1:14" ht="23.25" customHeight="1" x14ac:dyDescent="0.25">
      <c r="A1443" s="59">
        <f t="shared" si="137"/>
        <v>1900</v>
      </c>
      <c r="B1443" s="59">
        <f t="shared" si="138"/>
        <v>1</v>
      </c>
      <c r="C1443" s="60"/>
      <c r="D1443" s="61"/>
      <c r="F1443" s="23" t="e">
        <f>VLOOKUP(E1443,Customers[],2,FALSE)</f>
        <v>#N/A</v>
      </c>
      <c r="G1443" s="23" t="e">
        <f>VLOOKUP(E1443,Customers[],3,FALSE)</f>
        <v>#N/A</v>
      </c>
      <c r="H1443" s="23" t="e">
        <f>VLOOKUP(E1443,Customers[],4,FALSE)</f>
        <v>#N/A</v>
      </c>
      <c r="J1443" s="29" t="e">
        <f>VLOOKUP(I1443,PGStock[],2,FALSE)</f>
        <v>#N/A</v>
      </c>
      <c r="K1443" s="30" t="e">
        <f>VLOOKUP(I1443,PGStock[],3,FALSE)</f>
        <v>#N/A</v>
      </c>
      <c r="M1443" s="62" t="e">
        <f>VLOOKUP(I1443,PGStock[],6,FALSE)</f>
        <v>#N/A</v>
      </c>
      <c r="N1443" s="62" t="e">
        <f>+Table8[[#This Row],[SalesBot]]*Table8[[#This Row],[Bonus]]</f>
        <v>#N/A</v>
      </c>
    </row>
    <row r="1444" spans="1:14" ht="23.25" customHeight="1" x14ac:dyDescent="0.25">
      <c r="A1444" s="59">
        <f t="shared" si="137"/>
        <v>1900</v>
      </c>
      <c r="B1444" s="59">
        <f t="shared" si="138"/>
        <v>1</v>
      </c>
      <c r="C1444" s="60"/>
      <c r="D1444" s="61"/>
      <c r="F1444" s="23" t="e">
        <f>VLOOKUP(E1444,Customers[],2,FALSE)</f>
        <v>#N/A</v>
      </c>
      <c r="G1444" s="23" t="e">
        <f>VLOOKUP(E1444,Customers[],3,FALSE)</f>
        <v>#N/A</v>
      </c>
      <c r="H1444" s="23" t="e">
        <f>VLOOKUP(E1444,Customers[],4,FALSE)</f>
        <v>#N/A</v>
      </c>
      <c r="J1444" s="29" t="e">
        <f>VLOOKUP(I1444,PGStock[],2,FALSE)</f>
        <v>#N/A</v>
      </c>
      <c r="K1444" s="30" t="e">
        <f>VLOOKUP(I1444,PGStock[],3,FALSE)</f>
        <v>#N/A</v>
      </c>
      <c r="M1444" s="62" t="e">
        <f>VLOOKUP(I1444,PGStock[],6,FALSE)</f>
        <v>#N/A</v>
      </c>
      <c r="N1444" s="62" t="e">
        <f>+Table8[[#This Row],[SalesBot]]*Table8[[#This Row],[Bonus]]</f>
        <v>#N/A</v>
      </c>
    </row>
    <row r="1445" spans="1:14" ht="23.25" customHeight="1" x14ac:dyDescent="0.25">
      <c r="A1445" s="59">
        <f t="shared" si="121"/>
        <v>1900</v>
      </c>
      <c r="B1445" s="59">
        <f t="shared" si="122"/>
        <v>1</v>
      </c>
      <c r="C1445" s="60"/>
      <c r="D1445" s="61"/>
      <c r="F1445" s="23" t="e">
        <f>VLOOKUP(E1445,Customers[],2,FALSE)</f>
        <v>#N/A</v>
      </c>
      <c r="G1445" s="23" t="e">
        <f>VLOOKUP(E1445,Customers[],3,FALSE)</f>
        <v>#N/A</v>
      </c>
      <c r="H1445" s="23" t="e">
        <f>VLOOKUP(E1445,Customers[],4,FALSE)</f>
        <v>#N/A</v>
      </c>
      <c r="J1445" s="29" t="e">
        <f>VLOOKUP(I1445,PGStock[],2,FALSE)</f>
        <v>#N/A</v>
      </c>
      <c r="K1445" s="30" t="e">
        <f>VLOOKUP(I1445,PGStock[],3,FALSE)</f>
        <v>#N/A</v>
      </c>
      <c r="M1445" s="62" t="e">
        <f>VLOOKUP(I1445,PGStock[],6,FALSE)</f>
        <v>#N/A</v>
      </c>
      <c r="N1445" s="62" t="e">
        <f>+Table8[[#This Row],[SalesBot]]*Table8[[#This Row],[Bonus]]</f>
        <v>#N/A</v>
      </c>
    </row>
    <row r="1446" spans="1:14" ht="23.25" customHeight="1" x14ac:dyDescent="0.25">
      <c r="A1446" s="59">
        <f t="shared" si="121"/>
        <v>1900</v>
      </c>
      <c r="B1446" s="59">
        <f t="shared" si="122"/>
        <v>1</v>
      </c>
      <c r="C1446" s="60"/>
      <c r="D1446" s="61"/>
      <c r="F1446" s="23" t="e">
        <f>VLOOKUP(E1446,Customers[],2,FALSE)</f>
        <v>#N/A</v>
      </c>
      <c r="G1446" s="23" t="e">
        <f>VLOOKUP(E1446,Customers[],3,FALSE)</f>
        <v>#N/A</v>
      </c>
      <c r="H1446" s="23" t="e">
        <f>VLOOKUP(E1446,Customers[],4,FALSE)</f>
        <v>#N/A</v>
      </c>
      <c r="J1446" s="29" t="e">
        <f>VLOOKUP(I1446,PGStock[],2,FALSE)</f>
        <v>#N/A</v>
      </c>
      <c r="K1446" s="30" t="e">
        <f>VLOOKUP(I1446,PGStock[],3,FALSE)</f>
        <v>#N/A</v>
      </c>
      <c r="M1446" s="62" t="e">
        <f>VLOOKUP(I1446,PGStock[],6,FALSE)</f>
        <v>#N/A</v>
      </c>
      <c r="N1446" s="62" t="e">
        <f>+Table8[[#This Row],[SalesBot]]*Table8[[#This Row],[Bonus]]</f>
        <v>#N/A</v>
      </c>
    </row>
    <row r="1447" spans="1:14" ht="23.25" customHeight="1" x14ac:dyDescent="0.25">
      <c r="A1447" s="59">
        <f t="shared" si="121"/>
        <v>1900</v>
      </c>
      <c r="B1447" s="59">
        <f t="shared" si="122"/>
        <v>1</v>
      </c>
      <c r="C1447" s="60"/>
      <c r="D1447" s="61"/>
      <c r="F1447" s="23" t="e">
        <f>VLOOKUP(E1447,Customers[],2,FALSE)</f>
        <v>#N/A</v>
      </c>
      <c r="G1447" s="23" t="e">
        <f>VLOOKUP(E1447,Customers[],3,FALSE)</f>
        <v>#N/A</v>
      </c>
      <c r="H1447" s="23" t="e">
        <f>VLOOKUP(E1447,Customers[],4,FALSE)</f>
        <v>#N/A</v>
      </c>
      <c r="J1447" s="29" t="e">
        <f>VLOOKUP(I1447,PGStock[],2,FALSE)</f>
        <v>#N/A</v>
      </c>
      <c r="K1447" s="30" t="e">
        <f>VLOOKUP(I1447,PGStock[],3,FALSE)</f>
        <v>#N/A</v>
      </c>
      <c r="M1447" s="62" t="e">
        <f>VLOOKUP(I1447,PGStock[],6,FALSE)</f>
        <v>#N/A</v>
      </c>
      <c r="N1447" s="62" t="e">
        <f>+Table8[[#This Row],[SalesBot]]*Table8[[#This Row],[Bonus]]</f>
        <v>#N/A</v>
      </c>
    </row>
    <row r="1448" spans="1:14" ht="23.25" customHeight="1" x14ac:dyDescent="0.25">
      <c r="A1448" s="59">
        <f t="shared" si="121"/>
        <v>1900</v>
      </c>
      <c r="B1448" s="59">
        <f t="shared" si="122"/>
        <v>1</v>
      </c>
      <c r="C1448" s="60"/>
      <c r="D1448" s="61"/>
      <c r="F1448" s="23" t="e">
        <f>VLOOKUP(E1448,Customers[],2,FALSE)</f>
        <v>#N/A</v>
      </c>
      <c r="G1448" s="23" t="e">
        <f>VLOOKUP(E1448,Customers[],3,FALSE)</f>
        <v>#N/A</v>
      </c>
      <c r="H1448" s="23" t="e">
        <f>VLOOKUP(E1448,Customers[],4,FALSE)</f>
        <v>#N/A</v>
      </c>
      <c r="J1448" s="29" t="e">
        <f>VLOOKUP(I1448,PGStock[],2,FALSE)</f>
        <v>#N/A</v>
      </c>
      <c r="K1448" s="30" t="e">
        <f>VLOOKUP(I1448,PGStock[],3,FALSE)</f>
        <v>#N/A</v>
      </c>
      <c r="M1448" s="62" t="e">
        <f>VLOOKUP(I1448,PGStock[],6,FALSE)</f>
        <v>#N/A</v>
      </c>
      <c r="N1448" s="62" t="e">
        <f>+Table8[[#This Row],[SalesBot]]*Table8[[#This Row],[Bonus]]</f>
        <v>#N/A</v>
      </c>
    </row>
    <row r="1449" spans="1:14" ht="23.25" customHeight="1" x14ac:dyDescent="0.25">
      <c r="A1449" s="59">
        <f t="shared" si="121"/>
        <v>1900</v>
      </c>
      <c r="B1449" s="59">
        <f t="shared" si="122"/>
        <v>1</v>
      </c>
      <c r="C1449" s="60"/>
      <c r="D1449" s="61"/>
      <c r="F1449" s="23" t="e">
        <f>VLOOKUP(E1449,Customers[],2,FALSE)</f>
        <v>#N/A</v>
      </c>
      <c r="G1449" s="23" t="e">
        <f>VLOOKUP(E1449,Customers[],3,FALSE)</f>
        <v>#N/A</v>
      </c>
      <c r="H1449" s="23" t="e">
        <f>VLOOKUP(E1449,Customers[],4,FALSE)</f>
        <v>#N/A</v>
      </c>
      <c r="J1449" s="29" t="e">
        <f>VLOOKUP(I1449,PGStock[],2,FALSE)</f>
        <v>#N/A</v>
      </c>
      <c r="K1449" s="30" t="e">
        <f>VLOOKUP(I1449,PGStock[],3,FALSE)</f>
        <v>#N/A</v>
      </c>
      <c r="M1449" s="62" t="e">
        <f>VLOOKUP(I1449,PGStock[],6,FALSE)</f>
        <v>#N/A</v>
      </c>
      <c r="N1449" s="62" t="e">
        <f>+Table8[[#This Row],[SalesBot]]*Table8[[#This Row],[Bonus]]</f>
        <v>#N/A</v>
      </c>
    </row>
    <row r="1450" spans="1:14" ht="23.25" customHeight="1" x14ac:dyDescent="0.25">
      <c r="A1450" s="59">
        <f t="shared" si="121"/>
        <v>1900</v>
      </c>
      <c r="B1450" s="59">
        <f t="shared" si="122"/>
        <v>1</v>
      </c>
      <c r="C1450" s="60"/>
      <c r="D1450" s="61"/>
      <c r="F1450" s="23" t="e">
        <f>VLOOKUP(E1450,Customers[],2,FALSE)</f>
        <v>#N/A</v>
      </c>
      <c r="G1450" s="23" t="e">
        <f>VLOOKUP(E1450,Customers[],3,FALSE)</f>
        <v>#N/A</v>
      </c>
      <c r="H1450" s="23" t="e">
        <f>VLOOKUP(E1450,Customers[],4,FALSE)</f>
        <v>#N/A</v>
      </c>
      <c r="J1450" s="29" t="e">
        <f>VLOOKUP(I1450,PGStock[],2,FALSE)</f>
        <v>#N/A</v>
      </c>
      <c r="K1450" s="30" t="e">
        <f>VLOOKUP(I1450,PGStock[],3,FALSE)</f>
        <v>#N/A</v>
      </c>
      <c r="M1450" s="62" t="e">
        <f>VLOOKUP(I1450,PGStock[],6,FALSE)</f>
        <v>#N/A</v>
      </c>
      <c r="N1450" s="62" t="e">
        <f>+Table8[[#This Row],[SalesBot]]*Table8[[#This Row],[Bonus]]</f>
        <v>#N/A</v>
      </c>
    </row>
    <row r="1451" spans="1:14" ht="23.25" customHeight="1" x14ac:dyDescent="0.25">
      <c r="A1451" s="59">
        <f t="shared" si="121"/>
        <v>1900</v>
      </c>
      <c r="B1451" s="59">
        <f t="shared" si="122"/>
        <v>1</v>
      </c>
      <c r="C1451" s="60"/>
      <c r="D1451" s="61"/>
      <c r="F1451" s="23" t="e">
        <f>VLOOKUP(E1451,Customers[],2,FALSE)</f>
        <v>#N/A</v>
      </c>
      <c r="G1451" s="23" t="e">
        <f>VLOOKUP(E1451,Customers[],3,FALSE)</f>
        <v>#N/A</v>
      </c>
      <c r="H1451" s="23" t="e">
        <f>VLOOKUP(E1451,Customers[],4,FALSE)</f>
        <v>#N/A</v>
      </c>
      <c r="J1451" s="29" t="e">
        <f>VLOOKUP(I1451,PGStock[],2,FALSE)</f>
        <v>#N/A</v>
      </c>
      <c r="K1451" s="30" t="e">
        <f>VLOOKUP(I1451,PGStock[],3,FALSE)</f>
        <v>#N/A</v>
      </c>
      <c r="M1451" s="62" t="e">
        <f>VLOOKUP(I1451,PGStock[],6,FALSE)</f>
        <v>#N/A</v>
      </c>
      <c r="N1451" s="62" t="e">
        <f>+Table8[[#This Row],[SalesBot]]*Table8[[#This Row],[Bonus]]</f>
        <v>#N/A</v>
      </c>
    </row>
    <row r="1452" spans="1:14" ht="23.25" customHeight="1" x14ac:dyDescent="0.25">
      <c r="A1452" s="59">
        <f t="shared" si="121"/>
        <v>1900</v>
      </c>
      <c r="B1452" s="59">
        <f t="shared" si="122"/>
        <v>1</v>
      </c>
      <c r="C1452" s="60"/>
      <c r="D1452" s="61"/>
      <c r="F1452" s="23" t="e">
        <f>VLOOKUP(E1452,Customers[],2,FALSE)</f>
        <v>#N/A</v>
      </c>
      <c r="G1452" s="23" t="e">
        <f>VLOOKUP(E1452,Customers[],3,FALSE)</f>
        <v>#N/A</v>
      </c>
      <c r="H1452" s="23" t="e">
        <f>VLOOKUP(E1452,Customers[],4,FALSE)</f>
        <v>#N/A</v>
      </c>
      <c r="J1452" s="29" t="e">
        <f>VLOOKUP(I1452,PGStock[],2,FALSE)</f>
        <v>#N/A</v>
      </c>
      <c r="K1452" s="30" t="e">
        <f>VLOOKUP(I1452,PGStock[],3,FALSE)</f>
        <v>#N/A</v>
      </c>
      <c r="M1452" s="62" t="e">
        <f>VLOOKUP(I1452,PGStock[],6,FALSE)</f>
        <v>#N/A</v>
      </c>
      <c r="N1452" s="62" t="e">
        <f>+Table8[[#This Row],[SalesBot]]*Table8[[#This Row],[Bonus]]</f>
        <v>#N/A</v>
      </c>
    </row>
    <row r="1453" spans="1:14" ht="23.25" customHeight="1" x14ac:dyDescent="0.25">
      <c r="A1453" s="59">
        <f t="shared" si="121"/>
        <v>1900</v>
      </c>
      <c r="B1453" s="59">
        <f t="shared" si="122"/>
        <v>1</v>
      </c>
      <c r="C1453" s="60"/>
      <c r="D1453" s="61"/>
      <c r="F1453" s="23" t="e">
        <f>VLOOKUP(E1453,Customers[],2,FALSE)</f>
        <v>#N/A</v>
      </c>
      <c r="G1453" s="23" t="e">
        <f>VLOOKUP(E1453,Customers[],3,FALSE)</f>
        <v>#N/A</v>
      </c>
      <c r="H1453" s="23" t="e">
        <f>VLOOKUP(E1453,Customers[],4,FALSE)</f>
        <v>#N/A</v>
      </c>
      <c r="J1453" s="29" t="e">
        <f>VLOOKUP(I1453,PGStock[],2,FALSE)</f>
        <v>#N/A</v>
      </c>
      <c r="K1453" s="30" t="e">
        <f>VLOOKUP(I1453,PGStock[],3,FALSE)</f>
        <v>#N/A</v>
      </c>
      <c r="M1453" s="62" t="e">
        <f>VLOOKUP(I1453,PGStock[],6,FALSE)</f>
        <v>#N/A</v>
      </c>
      <c r="N1453" s="62" t="e">
        <f>+Table8[[#This Row],[SalesBot]]*Table8[[#This Row],[Bonus]]</f>
        <v>#N/A</v>
      </c>
    </row>
    <row r="1454" spans="1:14" ht="23.25" customHeight="1" x14ac:dyDescent="0.25">
      <c r="A1454" s="59">
        <f t="shared" si="121"/>
        <v>1900</v>
      </c>
      <c r="B1454" s="59">
        <f t="shared" si="122"/>
        <v>1</v>
      </c>
      <c r="C1454" s="60"/>
      <c r="D1454" s="61"/>
      <c r="F1454" s="23" t="e">
        <f>VLOOKUP(E1454,Customers[],2,FALSE)</f>
        <v>#N/A</v>
      </c>
      <c r="G1454" s="23" t="e">
        <f>VLOOKUP(E1454,Customers[],3,FALSE)</f>
        <v>#N/A</v>
      </c>
      <c r="H1454" s="23" t="e">
        <f>VLOOKUP(E1454,Customers[],4,FALSE)</f>
        <v>#N/A</v>
      </c>
      <c r="J1454" s="29" t="e">
        <f>VLOOKUP(I1454,PGStock[],2,FALSE)</f>
        <v>#N/A</v>
      </c>
      <c r="K1454" s="30" t="e">
        <f>VLOOKUP(I1454,PGStock[],3,FALSE)</f>
        <v>#N/A</v>
      </c>
      <c r="M1454" s="62" t="e">
        <f>VLOOKUP(I1454,PGStock[],6,FALSE)</f>
        <v>#N/A</v>
      </c>
      <c r="N1454" s="62" t="e">
        <f>+Table8[[#This Row],[SalesBot]]*Table8[[#This Row],[Bonus]]</f>
        <v>#N/A</v>
      </c>
    </row>
    <row r="1455" spans="1:14" ht="23.25" customHeight="1" x14ac:dyDescent="0.25">
      <c r="A1455" s="59">
        <f t="shared" si="121"/>
        <v>1900</v>
      </c>
      <c r="B1455" s="59">
        <f t="shared" si="122"/>
        <v>1</v>
      </c>
      <c r="C1455" s="60"/>
      <c r="D1455" s="61"/>
      <c r="F1455" s="23" t="e">
        <f>VLOOKUP(E1455,Customers[],2,FALSE)</f>
        <v>#N/A</v>
      </c>
      <c r="G1455" s="23" t="e">
        <f>VLOOKUP(E1455,Customers[],3,FALSE)</f>
        <v>#N/A</v>
      </c>
      <c r="H1455" s="23" t="e">
        <f>VLOOKUP(E1455,Customers[],4,FALSE)</f>
        <v>#N/A</v>
      </c>
      <c r="J1455" s="29" t="e">
        <f>VLOOKUP(I1455,PGStock[],2,FALSE)</f>
        <v>#N/A</v>
      </c>
      <c r="K1455" s="30" t="e">
        <f>VLOOKUP(I1455,PGStock[],3,FALSE)</f>
        <v>#N/A</v>
      </c>
      <c r="M1455" s="62" t="e">
        <f>VLOOKUP(I1455,PGStock[],6,FALSE)</f>
        <v>#N/A</v>
      </c>
      <c r="N1455" s="62" t="e">
        <f>+Table8[[#This Row],[SalesBot]]*Table8[[#This Row],[Bonus]]</f>
        <v>#N/A</v>
      </c>
    </row>
    <row r="1456" spans="1:14" ht="23.25" customHeight="1" x14ac:dyDescent="0.25">
      <c r="A1456" s="59">
        <f t="shared" si="111"/>
        <v>1900</v>
      </c>
      <c r="B1456" s="59">
        <f t="shared" si="112"/>
        <v>1</v>
      </c>
      <c r="C1456" s="60"/>
      <c r="D1456" s="61"/>
      <c r="F1456" s="23" t="e">
        <f>VLOOKUP(E1456,Customers[],2,FALSE)</f>
        <v>#N/A</v>
      </c>
      <c r="G1456" s="23" t="e">
        <f>VLOOKUP(E1456,Customers[],3,FALSE)</f>
        <v>#N/A</v>
      </c>
      <c r="H1456" s="23" t="e">
        <f>VLOOKUP(E1456,Customers[],4,FALSE)</f>
        <v>#N/A</v>
      </c>
      <c r="J1456" s="29" t="e">
        <f>VLOOKUP(I1456,PGStock[],2,FALSE)</f>
        <v>#N/A</v>
      </c>
      <c r="K1456" s="30" t="e">
        <f>VLOOKUP(I1456,PGStock[],3,FALSE)</f>
        <v>#N/A</v>
      </c>
      <c r="M1456" s="62" t="e">
        <f>VLOOKUP(I1456,PGStock[],6,FALSE)</f>
        <v>#N/A</v>
      </c>
      <c r="N1456" s="62" t="e">
        <f>+Table8[[#This Row],[SalesBot]]*Table8[[#This Row],[Bonus]]</f>
        <v>#N/A</v>
      </c>
    </row>
    <row r="1457" spans="1:14" ht="23.25" customHeight="1" x14ac:dyDescent="0.25">
      <c r="A1457" s="59">
        <f t="shared" si="111"/>
        <v>1900</v>
      </c>
      <c r="B1457" s="59">
        <f t="shared" si="112"/>
        <v>1</v>
      </c>
      <c r="C1457" s="60"/>
      <c r="D1457" s="61"/>
      <c r="F1457" s="23" t="e">
        <f>VLOOKUP(E1457,Customers[],2,FALSE)</f>
        <v>#N/A</v>
      </c>
      <c r="G1457" s="23" t="e">
        <f>VLOOKUP(E1457,Customers[],3,FALSE)</f>
        <v>#N/A</v>
      </c>
      <c r="H1457" s="23" t="e">
        <f>VLOOKUP(E1457,Customers[],4,FALSE)</f>
        <v>#N/A</v>
      </c>
      <c r="J1457" s="29" t="e">
        <f>VLOOKUP(I1457,PGStock[],2,FALSE)</f>
        <v>#N/A</v>
      </c>
      <c r="K1457" s="30" t="e">
        <f>VLOOKUP(I1457,PGStock[],3,FALSE)</f>
        <v>#N/A</v>
      </c>
      <c r="M1457" s="62" t="e">
        <f>VLOOKUP(I1457,PGStock[],6,FALSE)</f>
        <v>#N/A</v>
      </c>
      <c r="N1457" s="62" t="e">
        <f>+Table8[[#This Row],[SalesBot]]*Table8[[#This Row],[Bonus]]</f>
        <v>#N/A</v>
      </c>
    </row>
    <row r="1458" spans="1:14" ht="23.25" customHeight="1" x14ac:dyDescent="0.25">
      <c r="A1458" s="59">
        <f t="shared" ref="A1458:A1469" si="139">YEAR(C1458)</f>
        <v>1900</v>
      </c>
      <c r="B1458" s="59">
        <f t="shared" ref="B1458:B1469" si="140">MONTH(C1458)</f>
        <v>1</v>
      </c>
      <c r="C1458" s="60"/>
      <c r="D1458" s="61"/>
      <c r="F1458" s="23" t="e">
        <f>VLOOKUP(E1458,Customers[],2,FALSE)</f>
        <v>#N/A</v>
      </c>
      <c r="G1458" s="23" t="e">
        <f>VLOOKUP(E1458,Customers[],3,FALSE)</f>
        <v>#N/A</v>
      </c>
      <c r="H1458" s="23" t="e">
        <f>VLOOKUP(E1458,Customers[],4,FALSE)</f>
        <v>#N/A</v>
      </c>
      <c r="J1458" s="29" t="e">
        <f>VLOOKUP(I1458,PGStock[],2,FALSE)</f>
        <v>#N/A</v>
      </c>
      <c r="K1458" s="30" t="e">
        <f>VLOOKUP(I1458,PGStock[],3,FALSE)</f>
        <v>#N/A</v>
      </c>
      <c r="M1458" s="62" t="e">
        <f>VLOOKUP(I1458,PGStock[],6,FALSE)</f>
        <v>#N/A</v>
      </c>
      <c r="N1458" s="62" t="e">
        <f>+Table8[[#This Row],[SalesBot]]*Table8[[#This Row],[Bonus]]</f>
        <v>#N/A</v>
      </c>
    </row>
    <row r="1459" spans="1:14" ht="23.25" customHeight="1" x14ac:dyDescent="0.25">
      <c r="A1459" s="59">
        <f t="shared" si="139"/>
        <v>1900</v>
      </c>
      <c r="B1459" s="59">
        <f t="shared" si="140"/>
        <v>1</v>
      </c>
      <c r="C1459" s="60"/>
      <c r="D1459" s="61"/>
      <c r="F1459" s="23" t="e">
        <f>VLOOKUP(E1459,Customers[],2,FALSE)</f>
        <v>#N/A</v>
      </c>
      <c r="G1459" s="23" t="e">
        <f>VLOOKUP(E1459,Customers[],3,FALSE)</f>
        <v>#N/A</v>
      </c>
      <c r="H1459" s="23" t="e">
        <f>VLOOKUP(E1459,Customers[],4,FALSE)</f>
        <v>#N/A</v>
      </c>
      <c r="J1459" s="29" t="e">
        <f>VLOOKUP(I1459,PGStock[],2,FALSE)</f>
        <v>#N/A</v>
      </c>
      <c r="K1459" s="30" t="e">
        <f>VLOOKUP(I1459,PGStock[],3,FALSE)</f>
        <v>#N/A</v>
      </c>
      <c r="M1459" s="62" t="e">
        <f>VLOOKUP(I1459,PGStock[],6,FALSE)</f>
        <v>#N/A</v>
      </c>
      <c r="N1459" s="62" t="e">
        <f>+Table8[[#This Row],[SalesBot]]*Table8[[#This Row],[Bonus]]</f>
        <v>#N/A</v>
      </c>
    </row>
    <row r="1460" spans="1:14" ht="23.25" customHeight="1" x14ac:dyDescent="0.25">
      <c r="A1460" s="59">
        <f t="shared" si="139"/>
        <v>1900</v>
      </c>
      <c r="B1460" s="59">
        <f t="shared" si="140"/>
        <v>1</v>
      </c>
      <c r="C1460" s="60"/>
      <c r="D1460" s="61"/>
      <c r="F1460" s="23" t="e">
        <f>VLOOKUP(E1460,Customers[],2,FALSE)</f>
        <v>#N/A</v>
      </c>
      <c r="G1460" s="23" t="e">
        <f>VLOOKUP(E1460,Customers[],3,FALSE)</f>
        <v>#N/A</v>
      </c>
      <c r="H1460" s="23" t="e">
        <f>VLOOKUP(E1460,Customers[],4,FALSE)</f>
        <v>#N/A</v>
      </c>
      <c r="J1460" s="29" t="e">
        <f>VLOOKUP(I1460,PGStock[],2,FALSE)</f>
        <v>#N/A</v>
      </c>
      <c r="K1460" s="30" t="e">
        <f>VLOOKUP(I1460,PGStock[],3,FALSE)</f>
        <v>#N/A</v>
      </c>
      <c r="M1460" s="62" t="e">
        <f>VLOOKUP(I1460,PGStock[],6,FALSE)</f>
        <v>#N/A</v>
      </c>
      <c r="N1460" s="62" t="e">
        <f>+Table8[[#This Row],[SalesBot]]*Table8[[#This Row],[Bonus]]</f>
        <v>#N/A</v>
      </c>
    </row>
    <row r="1461" spans="1:14" ht="23.25" customHeight="1" x14ac:dyDescent="0.25">
      <c r="A1461" s="59">
        <f t="shared" si="139"/>
        <v>1900</v>
      </c>
      <c r="B1461" s="59">
        <f t="shared" si="140"/>
        <v>1</v>
      </c>
      <c r="C1461" s="60"/>
      <c r="D1461" s="61"/>
      <c r="F1461" s="23" t="e">
        <f>VLOOKUP(E1461,Customers[],2,FALSE)</f>
        <v>#N/A</v>
      </c>
      <c r="G1461" s="23" t="e">
        <f>VLOOKUP(E1461,Customers[],3,FALSE)</f>
        <v>#N/A</v>
      </c>
      <c r="H1461" s="23" t="e">
        <f>VLOOKUP(E1461,Customers[],4,FALSE)</f>
        <v>#N/A</v>
      </c>
      <c r="J1461" s="29" t="e">
        <f>VLOOKUP(I1461,PGStock[],2,FALSE)</f>
        <v>#N/A</v>
      </c>
      <c r="K1461" s="30" t="e">
        <f>VLOOKUP(I1461,PGStock[],3,FALSE)</f>
        <v>#N/A</v>
      </c>
      <c r="M1461" s="62" t="e">
        <f>VLOOKUP(I1461,PGStock[],6,FALSE)</f>
        <v>#N/A</v>
      </c>
      <c r="N1461" s="62" t="e">
        <f>+Table8[[#This Row],[SalesBot]]*Table8[[#This Row],[Bonus]]</f>
        <v>#N/A</v>
      </c>
    </row>
    <row r="1462" spans="1:14" ht="23.25" customHeight="1" x14ac:dyDescent="0.25">
      <c r="A1462" s="59">
        <f t="shared" si="139"/>
        <v>1900</v>
      </c>
      <c r="B1462" s="59">
        <f t="shared" si="140"/>
        <v>1</v>
      </c>
      <c r="C1462" s="60"/>
      <c r="D1462" s="61"/>
      <c r="F1462" s="23" t="e">
        <f>VLOOKUP(E1462,Customers[],2,FALSE)</f>
        <v>#N/A</v>
      </c>
      <c r="G1462" s="23" t="e">
        <f>VLOOKUP(E1462,Customers[],3,FALSE)</f>
        <v>#N/A</v>
      </c>
      <c r="H1462" s="23" t="e">
        <f>VLOOKUP(E1462,Customers[],4,FALSE)</f>
        <v>#N/A</v>
      </c>
      <c r="J1462" s="29" t="e">
        <f>VLOOKUP(I1462,PGStock[],2,FALSE)</f>
        <v>#N/A</v>
      </c>
      <c r="K1462" s="30" t="e">
        <f>VLOOKUP(I1462,PGStock[],3,FALSE)</f>
        <v>#N/A</v>
      </c>
      <c r="M1462" s="62" t="e">
        <f>VLOOKUP(I1462,PGStock[],6,FALSE)</f>
        <v>#N/A</v>
      </c>
      <c r="N1462" s="62" t="e">
        <f>+Table8[[#This Row],[SalesBot]]*Table8[[#This Row],[Bonus]]</f>
        <v>#N/A</v>
      </c>
    </row>
    <row r="1463" spans="1:14" ht="23.25" customHeight="1" x14ac:dyDescent="0.25">
      <c r="A1463" s="59">
        <f t="shared" si="139"/>
        <v>1900</v>
      </c>
      <c r="B1463" s="59">
        <f t="shared" si="140"/>
        <v>1</v>
      </c>
      <c r="C1463" s="60"/>
      <c r="D1463" s="61"/>
      <c r="F1463" s="23" t="e">
        <f>VLOOKUP(E1463,Customers[],2,FALSE)</f>
        <v>#N/A</v>
      </c>
      <c r="G1463" s="23" t="e">
        <f>VLOOKUP(E1463,Customers[],3,FALSE)</f>
        <v>#N/A</v>
      </c>
      <c r="H1463" s="23" t="e">
        <f>VLOOKUP(E1463,Customers[],4,FALSE)</f>
        <v>#N/A</v>
      </c>
      <c r="J1463" s="29" t="e">
        <f>VLOOKUP(I1463,PGStock[],2,FALSE)</f>
        <v>#N/A</v>
      </c>
      <c r="K1463" s="30" t="e">
        <f>VLOOKUP(I1463,PGStock[],3,FALSE)</f>
        <v>#N/A</v>
      </c>
      <c r="M1463" s="62" t="e">
        <f>VLOOKUP(I1463,PGStock[],6,FALSE)</f>
        <v>#N/A</v>
      </c>
      <c r="N1463" s="62" t="e">
        <f>+Table8[[#This Row],[SalesBot]]*Table8[[#This Row],[Bonus]]</f>
        <v>#N/A</v>
      </c>
    </row>
    <row r="1464" spans="1:14" ht="23.25" customHeight="1" x14ac:dyDescent="0.25">
      <c r="A1464" s="59">
        <f t="shared" si="139"/>
        <v>1900</v>
      </c>
      <c r="B1464" s="59">
        <f t="shared" si="140"/>
        <v>1</v>
      </c>
      <c r="C1464" s="60"/>
      <c r="D1464" s="61"/>
      <c r="F1464" s="23" t="e">
        <f>VLOOKUP(E1464,Customers[],2,FALSE)</f>
        <v>#N/A</v>
      </c>
      <c r="G1464" s="23" t="e">
        <f>VLOOKUP(E1464,Customers[],3,FALSE)</f>
        <v>#N/A</v>
      </c>
      <c r="H1464" s="23" t="e">
        <f>VLOOKUP(E1464,Customers[],4,FALSE)</f>
        <v>#N/A</v>
      </c>
      <c r="J1464" s="29" t="e">
        <f>VLOOKUP(I1464,PGStock[],2,FALSE)</f>
        <v>#N/A</v>
      </c>
      <c r="K1464" s="30" t="e">
        <f>VLOOKUP(I1464,PGStock[],3,FALSE)</f>
        <v>#N/A</v>
      </c>
      <c r="M1464" s="62" t="e">
        <f>VLOOKUP(I1464,PGStock[],6,FALSE)</f>
        <v>#N/A</v>
      </c>
      <c r="N1464" s="62" t="e">
        <f>+Table8[[#This Row],[SalesBot]]*Table8[[#This Row],[Bonus]]</f>
        <v>#N/A</v>
      </c>
    </row>
    <row r="1465" spans="1:14" ht="23.25" customHeight="1" x14ac:dyDescent="0.25">
      <c r="A1465" s="59">
        <f t="shared" si="139"/>
        <v>1900</v>
      </c>
      <c r="B1465" s="59">
        <f t="shared" si="140"/>
        <v>1</v>
      </c>
      <c r="C1465" s="60"/>
      <c r="D1465" s="61"/>
      <c r="F1465" s="23" t="e">
        <f>VLOOKUP(E1465,Customers[],2,FALSE)</f>
        <v>#N/A</v>
      </c>
      <c r="G1465" s="23" t="e">
        <f>VLOOKUP(E1465,Customers[],3,FALSE)</f>
        <v>#N/A</v>
      </c>
      <c r="H1465" s="23" t="e">
        <f>VLOOKUP(E1465,Customers[],4,FALSE)</f>
        <v>#N/A</v>
      </c>
      <c r="J1465" s="29" t="e">
        <f>VLOOKUP(I1465,PGStock[],2,FALSE)</f>
        <v>#N/A</v>
      </c>
      <c r="K1465" s="30" t="e">
        <f>VLOOKUP(I1465,PGStock[],3,FALSE)</f>
        <v>#N/A</v>
      </c>
      <c r="M1465" s="62" t="e">
        <f>VLOOKUP(I1465,PGStock[],6,FALSE)</f>
        <v>#N/A</v>
      </c>
      <c r="N1465" s="62" t="e">
        <f>+Table8[[#This Row],[SalesBot]]*Table8[[#This Row],[Bonus]]</f>
        <v>#N/A</v>
      </c>
    </row>
    <row r="1466" spans="1:14" ht="23.25" customHeight="1" x14ac:dyDescent="0.25">
      <c r="A1466" s="59">
        <f t="shared" si="139"/>
        <v>1900</v>
      </c>
      <c r="B1466" s="59">
        <f t="shared" si="140"/>
        <v>1</v>
      </c>
      <c r="C1466" s="60"/>
      <c r="D1466" s="61"/>
      <c r="F1466" s="23" t="e">
        <f>VLOOKUP(E1466,Customers[],2,FALSE)</f>
        <v>#N/A</v>
      </c>
      <c r="G1466" s="23" t="e">
        <f>VLOOKUP(E1466,Customers[],3,FALSE)</f>
        <v>#N/A</v>
      </c>
      <c r="H1466" s="23" t="e">
        <f>VLOOKUP(E1466,Customers[],4,FALSE)</f>
        <v>#N/A</v>
      </c>
      <c r="J1466" s="29" t="e">
        <f>VLOOKUP(I1466,PGStock[],2,FALSE)</f>
        <v>#N/A</v>
      </c>
      <c r="K1466" s="30" t="e">
        <f>VLOOKUP(I1466,PGStock[],3,FALSE)</f>
        <v>#N/A</v>
      </c>
      <c r="M1466" s="62" t="e">
        <f>VLOOKUP(I1466,PGStock[],6,FALSE)</f>
        <v>#N/A</v>
      </c>
      <c r="N1466" s="62" t="e">
        <f>+Table8[[#This Row],[SalesBot]]*Table8[[#This Row],[Bonus]]</f>
        <v>#N/A</v>
      </c>
    </row>
    <row r="1467" spans="1:14" ht="23.25" customHeight="1" x14ac:dyDescent="0.25">
      <c r="A1467" s="59">
        <f t="shared" si="139"/>
        <v>1900</v>
      </c>
      <c r="B1467" s="59">
        <f t="shared" si="140"/>
        <v>1</v>
      </c>
      <c r="C1467" s="60"/>
      <c r="D1467" s="61"/>
      <c r="F1467" s="23" t="e">
        <f>VLOOKUP(E1467,Customers[],2,FALSE)</f>
        <v>#N/A</v>
      </c>
      <c r="G1467" s="23" t="e">
        <f>VLOOKUP(E1467,Customers[],3,FALSE)</f>
        <v>#N/A</v>
      </c>
      <c r="H1467" s="23" t="e">
        <f>VLOOKUP(E1467,Customers[],4,FALSE)</f>
        <v>#N/A</v>
      </c>
      <c r="J1467" s="29" t="e">
        <f>VLOOKUP(I1467,PGStock[],2,FALSE)</f>
        <v>#N/A</v>
      </c>
      <c r="K1467" s="30" t="e">
        <f>VLOOKUP(I1467,PGStock[],3,FALSE)</f>
        <v>#N/A</v>
      </c>
      <c r="M1467" s="62" t="e">
        <f>VLOOKUP(I1467,PGStock[],6,FALSE)</f>
        <v>#N/A</v>
      </c>
      <c r="N1467" s="62" t="e">
        <f>+Table8[[#This Row],[SalesBot]]*Table8[[#This Row],[Bonus]]</f>
        <v>#N/A</v>
      </c>
    </row>
    <row r="1468" spans="1:14" ht="23.25" customHeight="1" x14ac:dyDescent="0.25">
      <c r="A1468" s="59">
        <f t="shared" si="139"/>
        <v>1900</v>
      </c>
      <c r="B1468" s="59">
        <f t="shared" si="140"/>
        <v>1</v>
      </c>
      <c r="C1468" s="60"/>
      <c r="D1468" s="61"/>
      <c r="F1468" s="23" t="e">
        <f>VLOOKUP(E1468,Customers[],2,FALSE)</f>
        <v>#N/A</v>
      </c>
      <c r="G1468" s="23" t="e">
        <f>VLOOKUP(E1468,Customers[],3,FALSE)</f>
        <v>#N/A</v>
      </c>
      <c r="H1468" s="23" t="e">
        <f>VLOOKUP(E1468,Customers[],4,FALSE)</f>
        <v>#N/A</v>
      </c>
      <c r="J1468" s="29" t="e">
        <f>VLOOKUP(I1468,PGStock[],2,FALSE)</f>
        <v>#N/A</v>
      </c>
      <c r="K1468" s="30" t="e">
        <f>VLOOKUP(I1468,PGStock[],3,FALSE)</f>
        <v>#N/A</v>
      </c>
      <c r="M1468" s="62" t="e">
        <f>VLOOKUP(I1468,PGStock[],6,FALSE)</f>
        <v>#N/A</v>
      </c>
      <c r="N1468" s="62" t="e">
        <f>+Table8[[#This Row],[SalesBot]]*Table8[[#This Row],[Bonus]]</f>
        <v>#N/A</v>
      </c>
    </row>
    <row r="1469" spans="1:14" ht="23.25" customHeight="1" x14ac:dyDescent="0.25">
      <c r="A1469" s="59">
        <f t="shared" si="139"/>
        <v>1900</v>
      </c>
      <c r="B1469" s="59">
        <f t="shared" si="140"/>
        <v>1</v>
      </c>
      <c r="C1469" s="60"/>
      <c r="D1469" s="61"/>
      <c r="F1469" s="23" t="e">
        <f>VLOOKUP(E1469,Customers[],2,FALSE)</f>
        <v>#N/A</v>
      </c>
      <c r="G1469" s="23" t="e">
        <f>VLOOKUP(E1469,Customers[],3,FALSE)</f>
        <v>#N/A</v>
      </c>
      <c r="H1469" s="23" t="e">
        <f>VLOOKUP(E1469,Customers[],4,FALSE)</f>
        <v>#N/A</v>
      </c>
      <c r="J1469" s="29" t="e">
        <f>VLOOKUP(I1469,PGStock[],2,FALSE)</f>
        <v>#N/A</v>
      </c>
      <c r="K1469" s="30" t="e">
        <f>VLOOKUP(I1469,PGStock[],3,FALSE)</f>
        <v>#N/A</v>
      </c>
      <c r="M1469" s="62" t="e">
        <f>VLOOKUP(I1469,PGStock[],6,FALSE)</f>
        <v>#N/A</v>
      </c>
      <c r="N1469" s="62" t="e">
        <f>+Table8[[#This Row],[SalesBot]]*Table8[[#This Row],[Bonus]]</f>
        <v>#N/A</v>
      </c>
    </row>
    <row r="1470" spans="1:14" ht="23.25" customHeight="1" x14ac:dyDescent="0.25">
      <c r="A1470" s="59">
        <f t="shared" si="111"/>
        <v>1900</v>
      </c>
      <c r="B1470" s="59">
        <f t="shared" si="112"/>
        <v>1</v>
      </c>
      <c r="C1470" s="60"/>
      <c r="D1470" s="61"/>
      <c r="F1470" s="23" t="e">
        <f>VLOOKUP(E1470,Customers[],2,FALSE)</f>
        <v>#N/A</v>
      </c>
      <c r="G1470" s="23" t="e">
        <f>VLOOKUP(E1470,Customers[],3,FALSE)</f>
        <v>#N/A</v>
      </c>
      <c r="H1470" s="23" t="e">
        <f>VLOOKUP(E1470,Customers[],4,FALSE)</f>
        <v>#N/A</v>
      </c>
      <c r="J1470" s="29" t="e">
        <f>VLOOKUP(I1470,PGStock[],2,FALSE)</f>
        <v>#N/A</v>
      </c>
      <c r="K1470" s="30" t="e">
        <f>VLOOKUP(I1470,PGStock[],3,FALSE)</f>
        <v>#N/A</v>
      </c>
      <c r="M1470" s="62" t="e">
        <f>VLOOKUP(I1470,PGStock[],6,FALSE)</f>
        <v>#N/A</v>
      </c>
      <c r="N1470" s="62" t="e">
        <f>+Table8[[#This Row],[SalesBot]]*Table8[[#This Row],[Bonus]]</f>
        <v>#N/A</v>
      </c>
    </row>
    <row r="1471" spans="1:14" ht="23.25" customHeight="1" x14ac:dyDescent="0.25">
      <c r="A1471" s="59">
        <f t="shared" si="111"/>
        <v>1900</v>
      </c>
      <c r="B1471" s="59">
        <f t="shared" si="112"/>
        <v>1</v>
      </c>
      <c r="C1471" s="60"/>
      <c r="D1471" s="61"/>
      <c r="F1471" s="23" t="e">
        <f>VLOOKUP(E1471,Customers[],2,FALSE)</f>
        <v>#N/A</v>
      </c>
      <c r="G1471" s="23" t="e">
        <f>VLOOKUP(E1471,Customers[],3,FALSE)</f>
        <v>#N/A</v>
      </c>
      <c r="H1471" s="23" t="e">
        <f>VLOOKUP(E1471,Customers[],4,FALSE)</f>
        <v>#N/A</v>
      </c>
      <c r="J1471" s="29" t="e">
        <f>VLOOKUP(I1471,PGStock[],2,FALSE)</f>
        <v>#N/A</v>
      </c>
      <c r="K1471" s="30" t="e">
        <f>VLOOKUP(I1471,PGStock[],3,FALSE)</f>
        <v>#N/A</v>
      </c>
      <c r="M1471" s="62" t="e">
        <f>VLOOKUP(I1471,PGStock[],6,FALSE)</f>
        <v>#N/A</v>
      </c>
      <c r="N1471" s="62" t="e">
        <f>+Table8[[#This Row],[SalesBot]]*Table8[[#This Row],[Bonus]]</f>
        <v>#N/A</v>
      </c>
    </row>
    <row r="1472" spans="1:14" ht="23.25" customHeight="1" x14ac:dyDescent="0.25">
      <c r="A1472" s="59">
        <f t="shared" si="111"/>
        <v>1900</v>
      </c>
      <c r="B1472" s="59">
        <f t="shared" si="112"/>
        <v>1</v>
      </c>
      <c r="C1472" s="60"/>
      <c r="D1472" s="61"/>
      <c r="F1472" s="23" t="e">
        <f>VLOOKUP(E1472,Customers[],2,FALSE)</f>
        <v>#N/A</v>
      </c>
      <c r="G1472" s="23" t="e">
        <f>VLOOKUP(E1472,Customers[],3,FALSE)</f>
        <v>#N/A</v>
      </c>
      <c r="H1472" s="23" t="e">
        <f>VLOOKUP(E1472,Customers[],4,FALSE)</f>
        <v>#N/A</v>
      </c>
      <c r="J1472" s="29" t="e">
        <f>VLOOKUP(I1472,PGStock[],2,FALSE)</f>
        <v>#N/A</v>
      </c>
      <c r="K1472" s="30" t="e">
        <f>VLOOKUP(I1472,PGStock[],3,FALSE)</f>
        <v>#N/A</v>
      </c>
      <c r="M1472" s="62" t="e">
        <f>VLOOKUP(I1472,PGStock[],6,FALSE)</f>
        <v>#N/A</v>
      </c>
      <c r="N1472" s="62" t="e">
        <f>+Table8[[#This Row],[SalesBot]]*Table8[[#This Row],[Bonus]]</f>
        <v>#N/A</v>
      </c>
    </row>
    <row r="1473" spans="1:14" ht="23.25" customHeight="1" x14ac:dyDescent="0.25">
      <c r="A1473" s="59">
        <f t="shared" ref="A1473:A1481" si="141">YEAR(C1473)</f>
        <v>1900</v>
      </c>
      <c r="B1473" s="59">
        <f t="shared" ref="B1473:B1481" si="142">MONTH(C1473)</f>
        <v>1</v>
      </c>
      <c r="C1473" s="60"/>
      <c r="D1473" s="61"/>
      <c r="F1473" s="23" t="e">
        <f>VLOOKUP(E1473,Customers[],2,FALSE)</f>
        <v>#N/A</v>
      </c>
      <c r="G1473" s="23" t="e">
        <f>VLOOKUP(E1473,Customers[],3,FALSE)</f>
        <v>#N/A</v>
      </c>
      <c r="H1473" s="23" t="e">
        <f>VLOOKUP(E1473,Customers[],4,FALSE)</f>
        <v>#N/A</v>
      </c>
      <c r="J1473" s="29" t="e">
        <f>VLOOKUP(I1473,PGStock[],2,FALSE)</f>
        <v>#N/A</v>
      </c>
      <c r="K1473" s="30" t="e">
        <f>VLOOKUP(I1473,PGStock[],3,FALSE)</f>
        <v>#N/A</v>
      </c>
      <c r="M1473" s="62" t="e">
        <f>VLOOKUP(I1473,PGStock[],6,FALSE)</f>
        <v>#N/A</v>
      </c>
      <c r="N1473" s="62" t="e">
        <f>+Table8[[#This Row],[SalesBot]]*Table8[[#This Row],[Bonus]]</f>
        <v>#N/A</v>
      </c>
    </row>
    <row r="1474" spans="1:14" ht="23.25" customHeight="1" x14ac:dyDescent="0.25">
      <c r="A1474" s="59">
        <f t="shared" si="141"/>
        <v>1900</v>
      </c>
      <c r="B1474" s="59">
        <f t="shared" si="142"/>
        <v>1</v>
      </c>
      <c r="C1474" s="60"/>
      <c r="D1474" s="61"/>
      <c r="F1474" s="23" t="e">
        <f>VLOOKUP(E1474,Customers[],2,FALSE)</f>
        <v>#N/A</v>
      </c>
      <c r="G1474" s="23" t="e">
        <f>VLOOKUP(E1474,Customers[],3,FALSE)</f>
        <v>#N/A</v>
      </c>
      <c r="H1474" s="23" t="e">
        <f>VLOOKUP(E1474,Customers[],4,FALSE)</f>
        <v>#N/A</v>
      </c>
      <c r="J1474" s="29" t="e">
        <f>VLOOKUP(I1474,PGStock[],2,FALSE)</f>
        <v>#N/A</v>
      </c>
      <c r="K1474" s="30" t="e">
        <f>VLOOKUP(I1474,PGStock[],3,FALSE)</f>
        <v>#N/A</v>
      </c>
      <c r="M1474" s="62" t="e">
        <f>VLOOKUP(I1474,PGStock[],6,FALSE)</f>
        <v>#N/A</v>
      </c>
      <c r="N1474" s="62" t="e">
        <f>+Table8[[#This Row],[SalesBot]]*Table8[[#This Row],[Bonus]]</f>
        <v>#N/A</v>
      </c>
    </row>
    <row r="1475" spans="1:14" ht="23.25" customHeight="1" x14ac:dyDescent="0.25">
      <c r="A1475" s="59">
        <f t="shared" si="141"/>
        <v>1900</v>
      </c>
      <c r="B1475" s="59">
        <f t="shared" si="142"/>
        <v>1</v>
      </c>
      <c r="C1475" s="60"/>
      <c r="D1475" s="61"/>
      <c r="F1475" s="23" t="e">
        <f>VLOOKUP(E1475,Customers[],2,FALSE)</f>
        <v>#N/A</v>
      </c>
      <c r="G1475" s="23" t="e">
        <f>VLOOKUP(E1475,Customers[],3,FALSE)</f>
        <v>#N/A</v>
      </c>
      <c r="H1475" s="23" t="e">
        <f>VLOOKUP(E1475,Customers[],4,FALSE)</f>
        <v>#N/A</v>
      </c>
      <c r="J1475" s="29" t="e">
        <f>VLOOKUP(I1475,PGStock[],2,FALSE)</f>
        <v>#N/A</v>
      </c>
      <c r="K1475" s="30" t="e">
        <f>VLOOKUP(I1475,PGStock[],3,FALSE)</f>
        <v>#N/A</v>
      </c>
      <c r="M1475" s="62" t="e">
        <f>VLOOKUP(I1475,PGStock[],6,FALSE)</f>
        <v>#N/A</v>
      </c>
      <c r="N1475" s="62" t="e">
        <f>+Table8[[#This Row],[SalesBot]]*Table8[[#This Row],[Bonus]]</f>
        <v>#N/A</v>
      </c>
    </row>
    <row r="1476" spans="1:14" ht="23.25" customHeight="1" x14ac:dyDescent="0.25">
      <c r="A1476" s="59">
        <f t="shared" si="141"/>
        <v>1900</v>
      </c>
      <c r="B1476" s="59">
        <f t="shared" si="142"/>
        <v>1</v>
      </c>
      <c r="C1476" s="60"/>
      <c r="D1476" s="61"/>
      <c r="F1476" s="23" t="e">
        <f>VLOOKUP(E1476,Customers[],2,FALSE)</f>
        <v>#N/A</v>
      </c>
      <c r="G1476" s="23" t="e">
        <f>VLOOKUP(E1476,Customers[],3,FALSE)</f>
        <v>#N/A</v>
      </c>
      <c r="H1476" s="23" t="e">
        <f>VLOOKUP(E1476,Customers[],4,FALSE)</f>
        <v>#N/A</v>
      </c>
      <c r="J1476" s="29" t="e">
        <f>VLOOKUP(I1476,PGStock[],2,FALSE)</f>
        <v>#N/A</v>
      </c>
      <c r="K1476" s="30" t="e">
        <f>VLOOKUP(I1476,PGStock[],3,FALSE)</f>
        <v>#N/A</v>
      </c>
      <c r="M1476" s="62" t="e">
        <f>VLOOKUP(I1476,PGStock[],6,FALSE)</f>
        <v>#N/A</v>
      </c>
      <c r="N1476" s="62" t="e">
        <f>+Table8[[#This Row],[SalesBot]]*Table8[[#This Row],[Bonus]]</f>
        <v>#N/A</v>
      </c>
    </row>
    <row r="1477" spans="1:14" ht="23.25" customHeight="1" x14ac:dyDescent="0.25">
      <c r="A1477" s="59">
        <f t="shared" si="141"/>
        <v>1900</v>
      </c>
      <c r="B1477" s="59">
        <f t="shared" si="142"/>
        <v>1</v>
      </c>
      <c r="C1477" s="60"/>
      <c r="D1477" s="61"/>
      <c r="F1477" s="23" t="e">
        <f>VLOOKUP(E1477,Customers[],2,FALSE)</f>
        <v>#N/A</v>
      </c>
      <c r="G1477" s="23" t="e">
        <f>VLOOKUP(E1477,Customers[],3,FALSE)</f>
        <v>#N/A</v>
      </c>
      <c r="H1477" s="23" t="e">
        <f>VLOOKUP(E1477,Customers[],4,FALSE)</f>
        <v>#N/A</v>
      </c>
      <c r="J1477" s="29" t="e">
        <f>VLOOKUP(I1477,PGStock[],2,FALSE)</f>
        <v>#N/A</v>
      </c>
      <c r="K1477" s="30" t="e">
        <f>VLOOKUP(I1477,PGStock[],3,FALSE)</f>
        <v>#N/A</v>
      </c>
      <c r="M1477" s="62" t="e">
        <f>VLOOKUP(I1477,PGStock[],6,FALSE)</f>
        <v>#N/A</v>
      </c>
      <c r="N1477" s="62" t="e">
        <f>+Table8[[#This Row],[SalesBot]]*Table8[[#This Row],[Bonus]]</f>
        <v>#N/A</v>
      </c>
    </row>
    <row r="1478" spans="1:14" ht="23.25" customHeight="1" x14ac:dyDescent="0.25">
      <c r="A1478" s="59">
        <f t="shared" si="141"/>
        <v>1900</v>
      </c>
      <c r="B1478" s="59">
        <f t="shared" si="142"/>
        <v>1</v>
      </c>
      <c r="C1478" s="60"/>
      <c r="D1478" s="61"/>
      <c r="F1478" s="23" t="e">
        <f>VLOOKUP(E1478,Customers[],2,FALSE)</f>
        <v>#N/A</v>
      </c>
      <c r="G1478" s="23" t="e">
        <f>VLOOKUP(E1478,Customers[],3,FALSE)</f>
        <v>#N/A</v>
      </c>
      <c r="H1478" s="23" t="e">
        <f>VLOOKUP(E1478,Customers[],4,FALSE)</f>
        <v>#N/A</v>
      </c>
      <c r="J1478" s="29" t="e">
        <f>VLOOKUP(I1478,PGStock[],2,FALSE)</f>
        <v>#N/A</v>
      </c>
      <c r="K1478" s="30" t="e">
        <f>VLOOKUP(I1478,PGStock[],3,FALSE)</f>
        <v>#N/A</v>
      </c>
      <c r="M1478" s="62" t="e">
        <f>VLOOKUP(I1478,PGStock[],6,FALSE)</f>
        <v>#N/A</v>
      </c>
      <c r="N1478" s="62" t="e">
        <f>+Table8[[#This Row],[SalesBot]]*Table8[[#This Row],[Bonus]]</f>
        <v>#N/A</v>
      </c>
    </row>
    <row r="1479" spans="1:14" ht="23.25" customHeight="1" x14ac:dyDescent="0.25">
      <c r="A1479" s="59">
        <f t="shared" si="141"/>
        <v>1900</v>
      </c>
      <c r="B1479" s="59">
        <f t="shared" si="142"/>
        <v>1</v>
      </c>
      <c r="C1479" s="60"/>
      <c r="D1479" s="61"/>
      <c r="F1479" s="23" t="e">
        <f>VLOOKUP(E1479,Customers[],2,FALSE)</f>
        <v>#N/A</v>
      </c>
      <c r="G1479" s="23" t="e">
        <f>VLOOKUP(E1479,Customers[],3,FALSE)</f>
        <v>#N/A</v>
      </c>
      <c r="H1479" s="23" t="e">
        <f>VLOOKUP(E1479,Customers[],4,FALSE)</f>
        <v>#N/A</v>
      </c>
      <c r="J1479" s="29" t="e">
        <f>VLOOKUP(I1479,PGStock[],2,FALSE)</f>
        <v>#N/A</v>
      </c>
      <c r="K1479" s="30" t="e">
        <f>VLOOKUP(I1479,PGStock[],3,FALSE)</f>
        <v>#N/A</v>
      </c>
      <c r="M1479" s="62" t="e">
        <f>VLOOKUP(I1479,PGStock[],6,FALSE)</f>
        <v>#N/A</v>
      </c>
      <c r="N1479" s="62" t="e">
        <f>+Table8[[#This Row],[SalesBot]]*Table8[[#This Row],[Bonus]]</f>
        <v>#N/A</v>
      </c>
    </row>
    <row r="1480" spans="1:14" ht="23.25" customHeight="1" x14ac:dyDescent="0.25">
      <c r="A1480" s="59">
        <f t="shared" si="141"/>
        <v>1900</v>
      </c>
      <c r="B1480" s="59">
        <f t="shared" si="142"/>
        <v>1</v>
      </c>
      <c r="C1480" s="60"/>
      <c r="D1480" s="61"/>
      <c r="F1480" s="23" t="e">
        <f>VLOOKUP(E1480,Customers[],2,FALSE)</f>
        <v>#N/A</v>
      </c>
      <c r="G1480" s="23" t="e">
        <f>VLOOKUP(E1480,Customers[],3,FALSE)</f>
        <v>#N/A</v>
      </c>
      <c r="H1480" s="23" t="e">
        <f>VLOOKUP(E1480,Customers[],4,FALSE)</f>
        <v>#N/A</v>
      </c>
      <c r="J1480" s="29" t="e">
        <f>VLOOKUP(I1480,PGStock[],2,FALSE)</f>
        <v>#N/A</v>
      </c>
      <c r="K1480" s="30" t="e">
        <f>VLOOKUP(I1480,PGStock[],3,FALSE)</f>
        <v>#N/A</v>
      </c>
      <c r="M1480" s="62" t="e">
        <f>VLOOKUP(I1480,PGStock[],6,FALSE)</f>
        <v>#N/A</v>
      </c>
      <c r="N1480" s="62" t="e">
        <f>+Table8[[#This Row],[SalesBot]]*Table8[[#This Row],[Bonus]]</f>
        <v>#N/A</v>
      </c>
    </row>
    <row r="1481" spans="1:14" ht="23.25" customHeight="1" x14ac:dyDescent="0.25">
      <c r="A1481" s="59">
        <f t="shared" si="141"/>
        <v>1900</v>
      </c>
      <c r="B1481" s="59">
        <f t="shared" si="142"/>
        <v>1</v>
      </c>
      <c r="C1481" s="60"/>
      <c r="D1481" s="61"/>
      <c r="F1481" s="23" t="e">
        <f>VLOOKUP(E1481,Customers[],2,FALSE)</f>
        <v>#N/A</v>
      </c>
      <c r="G1481" s="23" t="e">
        <f>VLOOKUP(E1481,Customers[],3,FALSE)</f>
        <v>#N/A</v>
      </c>
      <c r="H1481" s="23" t="e">
        <f>VLOOKUP(E1481,Customers[],4,FALSE)</f>
        <v>#N/A</v>
      </c>
      <c r="J1481" s="29" t="e">
        <f>VLOOKUP(I1481,PGStock[],2,FALSE)</f>
        <v>#N/A</v>
      </c>
      <c r="K1481" s="30" t="e">
        <f>VLOOKUP(I1481,PGStock[],3,FALSE)</f>
        <v>#N/A</v>
      </c>
      <c r="M1481" s="62" t="e">
        <f>VLOOKUP(I1481,PGStock[],6,FALSE)</f>
        <v>#N/A</v>
      </c>
      <c r="N1481" s="62" t="e">
        <f>+Table8[[#This Row],[SalesBot]]*Table8[[#This Row],[Bonus]]</f>
        <v>#N/A</v>
      </c>
    </row>
    <row r="1482" spans="1:14" ht="23.25" customHeight="1" x14ac:dyDescent="0.25">
      <c r="A1482" s="59">
        <f t="shared" ref="A1482:A1490" si="143">YEAR(C1482)</f>
        <v>1900</v>
      </c>
      <c r="B1482" s="59">
        <f t="shared" ref="B1482:B1490" si="144">MONTH(C1482)</f>
        <v>1</v>
      </c>
      <c r="C1482" s="60"/>
      <c r="D1482" s="61"/>
      <c r="F1482" s="23" t="e">
        <f>VLOOKUP(E1482,Customers[],2,FALSE)</f>
        <v>#N/A</v>
      </c>
      <c r="G1482" s="23" t="e">
        <f>VLOOKUP(E1482,Customers[],3,FALSE)</f>
        <v>#N/A</v>
      </c>
      <c r="H1482" s="23" t="e">
        <f>VLOOKUP(E1482,Customers[],4,FALSE)</f>
        <v>#N/A</v>
      </c>
      <c r="J1482" s="29" t="e">
        <f>VLOOKUP(I1482,PGStock[],2,FALSE)</f>
        <v>#N/A</v>
      </c>
      <c r="K1482" s="30" t="e">
        <f>VLOOKUP(I1482,PGStock[],3,FALSE)</f>
        <v>#N/A</v>
      </c>
      <c r="M1482" s="62" t="e">
        <f>VLOOKUP(I1482,PGStock[],6,FALSE)</f>
        <v>#N/A</v>
      </c>
      <c r="N1482" s="62" t="e">
        <f>+Table8[[#This Row],[SalesBot]]*Table8[[#This Row],[Bonus]]</f>
        <v>#N/A</v>
      </c>
    </row>
    <row r="1483" spans="1:14" ht="23.25" customHeight="1" x14ac:dyDescent="0.25">
      <c r="A1483" s="59">
        <f t="shared" si="143"/>
        <v>1900</v>
      </c>
      <c r="B1483" s="59">
        <f t="shared" si="144"/>
        <v>1</v>
      </c>
      <c r="C1483" s="60"/>
      <c r="D1483" s="61"/>
      <c r="F1483" s="23" t="e">
        <f>VLOOKUP(E1483,Customers[],2,FALSE)</f>
        <v>#N/A</v>
      </c>
      <c r="G1483" s="23" t="e">
        <f>VLOOKUP(E1483,Customers[],3,FALSE)</f>
        <v>#N/A</v>
      </c>
      <c r="H1483" s="23" t="e">
        <f>VLOOKUP(E1483,Customers[],4,FALSE)</f>
        <v>#N/A</v>
      </c>
      <c r="J1483" s="29" t="e">
        <f>VLOOKUP(I1483,PGStock[],2,FALSE)</f>
        <v>#N/A</v>
      </c>
      <c r="K1483" s="30" t="e">
        <f>VLOOKUP(I1483,PGStock[],3,FALSE)</f>
        <v>#N/A</v>
      </c>
      <c r="M1483" s="62" t="e">
        <f>VLOOKUP(I1483,PGStock[],6,FALSE)</f>
        <v>#N/A</v>
      </c>
      <c r="N1483" s="62" t="e">
        <f>+Table8[[#This Row],[SalesBot]]*Table8[[#This Row],[Bonus]]</f>
        <v>#N/A</v>
      </c>
    </row>
    <row r="1484" spans="1:14" ht="23.25" customHeight="1" x14ac:dyDescent="0.25">
      <c r="A1484" s="59">
        <f t="shared" si="143"/>
        <v>1900</v>
      </c>
      <c r="B1484" s="59">
        <f t="shared" si="144"/>
        <v>1</v>
      </c>
      <c r="C1484" s="60"/>
      <c r="D1484" s="61"/>
      <c r="F1484" s="23" t="e">
        <f>VLOOKUP(E1484,Customers[],2,FALSE)</f>
        <v>#N/A</v>
      </c>
      <c r="G1484" s="23" t="e">
        <f>VLOOKUP(E1484,Customers[],3,FALSE)</f>
        <v>#N/A</v>
      </c>
      <c r="H1484" s="23" t="e">
        <f>VLOOKUP(E1484,Customers[],4,FALSE)</f>
        <v>#N/A</v>
      </c>
      <c r="J1484" s="29" t="e">
        <f>VLOOKUP(I1484,PGStock[],2,FALSE)</f>
        <v>#N/A</v>
      </c>
      <c r="K1484" s="30" t="e">
        <f>VLOOKUP(I1484,PGStock[],3,FALSE)</f>
        <v>#N/A</v>
      </c>
      <c r="M1484" s="62" t="e">
        <f>VLOOKUP(I1484,PGStock[],6,FALSE)</f>
        <v>#N/A</v>
      </c>
      <c r="N1484" s="62" t="e">
        <f>+Table8[[#This Row],[SalesBot]]*Table8[[#This Row],[Bonus]]</f>
        <v>#N/A</v>
      </c>
    </row>
    <row r="1485" spans="1:14" ht="23.25" customHeight="1" x14ac:dyDescent="0.25">
      <c r="A1485" s="59">
        <f t="shared" si="143"/>
        <v>1900</v>
      </c>
      <c r="B1485" s="59">
        <f t="shared" si="144"/>
        <v>1</v>
      </c>
      <c r="C1485" s="60"/>
      <c r="D1485" s="61"/>
      <c r="F1485" s="23" t="e">
        <f>VLOOKUP(E1485,Customers[],2,FALSE)</f>
        <v>#N/A</v>
      </c>
      <c r="G1485" s="23" t="e">
        <f>VLOOKUP(E1485,Customers[],3,FALSE)</f>
        <v>#N/A</v>
      </c>
      <c r="H1485" s="23" t="e">
        <f>VLOOKUP(E1485,Customers[],4,FALSE)</f>
        <v>#N/A</v>
      </c>
      <c r="J1485" s="29" t="e">
        <f>VLOOKUP(I1485,PGStock[],2,FALSE)</f>
        <v>#N/A</v>
      </c>
      <c r="K1485" s="30" t="e">
        <f>VLOOKUP(I1485,PGStock[],3,FALSE)</f>
        <v>#N/A</v>
      </c>
      <c r="M1485" s="62" t="e">
        <f>VLOOKUP(I1485,PGStock[],6,FALSE)</f>
        <v>#N/A</v>
      </c>
      <c r="N1485" s="62" t="e">
        <f>+Table8[[#This Row],[SalesBot]]*Table8[[#This Row],[Bonus]]</f>
        <v>#N/A</v>
      </c>
    </row>
    <row r="1486" spans="1:14" ht="23.25" customHeight="1" x14ac:dyDescent="0.25">
      <c r="A1486" s="59">
        <f t="shared" si="143"/>
        <v>1900</v>
      </c>
      <c r="B1486" s="59">
        <f t="shared" si="144"/>
        <v>1</v>
      </c>
      <c r="C1486" s="60"/>
      <c r="D1486" s="61"/>
      <c r="F1486" s="23" t="e">
        <f>VLOOKUP(E1486,Customers[],2,FALSE)</f>
        <v>#N/A</v>
      </c>
      <c r="G1486" s="23" t="e">
        <f>VLOOKUP(E1486,Customers[],3,FALSE)</f>
        <v>#N/A</v>
      </c>
      <c r="H1486" s="23" t="e">
        <f>VLOOKUP(E1486,Customers[],4,FALSE)</f>
        <v>#N/A</v>
      </c>
      <c r="J1486" s="29" t="e">
        <f>VLOOKUP(I1486,PGStock[],2,FALSE)</f>
        <v>#N/A</v>
      </c>
      <c r="K1486" s="30" t="e">
        <f>VLOOKUP(I1486,PGStock[],3,FALSE)</f>
        <v>#N/A</v>
      </c>
      <c r="M1486" s="62" t="e">
        <f>VLOOKUP(I1486,PGStock[],6,FALSE)</f>
        <v>#N/A</v>
      </c>
      <c r="N1486" s="62" t="e">
        <f>+Table8[[#This Row],[SalesBot]]*Table8[[#This Row],[Bonus]]</f>
        <v>#N/A</v>
      </c>
    </row>
    <row r="1487" spans="1:14" ht="23.25" customHeight="1" x14ac:dyDescent="0.25">
      <c r="A1487" s="59">
        <f t="shared" si="143"/>
        <v>1900</v>
      </c>
      <c r="B1487" s="59">
        <f t="shared" si="144"/>
        <v>1</v>
      </c>
      <c r="C1487" s="60"/>
      <c r="D1487" s="61"/>
      <c r="F1487" s="23" t="e">
        <f>VLOOKUP(E1487,Customers[],2,FALSE)</f>
        <v>#N/A</v>
      </c>
      <c r="G1487" s="23" t="e">
        <f>VLOOKUP(E1487,Customers[],3,FALSE)</f>
        <v>#N/A</v>
      </c>
      <c r="H1487" s="23" t="e">
        <f>VLOOKUP(E1487,Customers[],4,FALSE)</f>
        <v>#N/A</v>
      </c>
      <c r="J1487" s="29" t="e">
        <f>VLOOKUP(I1487,PGStock[],2,FALSE)</f>
        <v>#N/A</v>
      </c>
      <c r="K1487" s="30" t="e">
        <f>VLOOKUP(I1487,PGStock[],3,FALSE)</f>
        <v>#N/A</v>
      </c>
      <c r="M1487" s="62" t="e">
        <f>VLOOKUP(I1487,PGStock[],6,FALSE)</f>
        <v>#N/A</v>
      </c>
      <c r="N1487" s="62" t="e">
        <f>+Table8[[#This Row],[SalesBot]]*Table8[[#This Row],[Bonus]]</f>
        <v>#N/A</v>
      </c>
    </row>
    <row r="1488" spans="1:14" ht="23.25" customHeight="1" x14ac:dyDescent="0.25">
      <c r="A1488" s="59">
        <f t="shared" si="143"/>
        <v>1900</v>
      </c>
      <c r="B1488" s="59">
        <f t="shared" si="144"/>
        <v>1</v>
      </c>
      <c r="C1488" s="60"/>
      <c r="D1488" s="61"/>
      <c r="F1488" s="23" t="e">
        <f>VLOOKUP(E1488,Customers[],2,FALSE)</f>
        <v>#N/A</v>
      </c>
      <c r="G1488" s="23" t="e">
        <f>VLOOKUP(E1488,Customers[],3,FALSE)</f>
        <v>#N/A</v>
      </c>
      <c r="H1488" s="23" t="e">
        <f>VLOOKUP(E1488,Customers[],4,FALSE)</f>
        <v>#N/A</v>
      </c>
      <c r="J1488" s="29" t="e">
        <f>VLOOKUP(I1488,PGStock[],2,FALSE)</f>
        <v>#N/A</v>
      </c>
      <c r="K1488" s="30" t="e">
        <f>VLOOKUP(I1488,PGStock[],3,FALSE)</f>
        <v>#N/A</v>
      </c>
      <c r="M1488" s="62" t="e">
        <f>VLOOKUP(I1488,PGStock[],6,FALSE)</f>
        <v>#N/A</v>
      </c>
      <c r="N1488" s="62" t="e">
        <f>+Table8[[#This Row],[SalesBot]]*Table8[[#This Row],[Bonus]]</f>
        <v>#N/A</v>
      </c>
    </row>
    <row r="1489" spans="1:14" ht="23.25" customHeight="1" x14ac:dyDescent="0.25">
      <c r="A1489" s="59">
        <f t="shared" si="143"/>
        <v>1900</v>
      </c>
      <c r="B1489" s="59">
        <f t="shared" si="144"/>
        <v>1</v>
      </c>
      <c r="C1489" s="60"/>
      <c r="D1489" s="61"/>
      <c r="F1489" s="23" t="e">
        <f>VLOOKUP(E1489,Customers[],2,FALSE)</f>
        <v>#N/A</v>
      </c>
      <c r="G1489" s="23" t="e">
        <f>VLOOKUP(E1489,Customers[],3,FALSE)</f>
        <v>#N/A</v>
      </c>
      <c r="H1489" s="23" t="e">
        <f>VLOOKUP(E1489,Customers[],4,FALSE)</f>
        <v>#N/A</v>
      </c>
      <c r="J1489" s="29" t="e">
        <f>VLOOKUP(I1489,PGStock[],2,FALSE)</f>
        <v>#N/A</v>
      </c>
      <c r="K1489" s="30" t="e">
        <f>VLOOKUP(I1489,PGStock[],3,FALSE)</f>
        <v>#N/A</v>
      </c>
      <c r="M1489" s="62" t="e">
        <f>VLOOKUP(I1489,PGStock[],6,FALSE)</f>
        <v>#N/A</v>
      </c>
      <c r="N1489" s="62" t="e">
        <f>+Table8[[#This Row],[SalesBot]]*Table8[[#This Row],[Bonus]]</f>
        <v>#N/A</v>
      </c>
    </row>
    <row r="1490" spans="1:14" ht="23.25" customHeight="1" x14ac:dyDescent="0.25">
      <c r="A1490" s="59">
        <f t="shared" si="143"/>
        <v>1900</v>
      </c>
      <c r="B1490" s="59">
        <f t="shared" si="144"/>
        <v>1</v>
      </c>
      <c r="C1490" s="60"/>
      <c r="D1490" s="61"/>
      <c r="F1490" s="23" t="e">
        <f>VLOOKUP(E1490,Customers[],2,FALSE)</f>
        <v>#N/A</v>
      </c>
      <c r="G1490" s="23" t="e">
        <f>VLOOKUP(E1490,Customers[],3,FALSE)</f>
        <v>#N/A</v>
      </c>
      <c r="H1490" s="23" t="e">
        <f>VLOOKUP(E1490,Customers[],4,FALSE)</f>
        <v>#N/A</v>
      </c>
      <c r="J1490" s="29" t="e">
        <f>VLOOKUP(I1490,PGStock[],2,FALSE)</f>
        <v>#N/A</v>
      </c>
      <c r="K1490" s="30" t="e">
        <f>VLOOKUP(I1490,PGStock[],3,FALSE)</f>
        <v>#N/A</v>
      </c>
      <c r="M1490" s="62" t="e">
        <f>VLOOKUP(I1490,PGStock[],6,FALSE)</f>
        <v>#N/A</v>
      </c>
      <c r="N1490" s="62" t="e">
        <f>+Table8[[#This Row],[SalesBot]]*Table8[[#This Row],[Bonus]]</f>
        <v>#N/A</v>
      </c>
    </row>
    <row r="1491" spans="1:14" ht="23.25" customHeight="1" x14ac:dyDescent="0.25">
      <c r="A1491" s="59">
        <f t="shared" ref="A1491:A1535" si="145">YEAR(C1491)</f>
        <v>1900</v>
      </c>
      <c r="B1491" s="59">
        <f t="shared" ref="B1491:B1535" si="146">MONTH(C1491)</f>
        <v>1</v>
      </c>
      <c r="C1491" s="60"/>
      <c r="D1491" s="61"/>
      <c r="F1491" s="23" t="e">
        <f>VLOOKUP(E1491,Customers[],2,FALSE)</f>
        <v>#N/A</v>
      </c>
      <c r="G1491" s="23" t="e">
        <f>VLOOKUP(E1491,Customers[],3,FALSE)</f>
        <v>#N/A</v>
      </c>
      <c r="H1491" s="23" t="e">
        <f>VLOOKUP(E1491,Customers[],4,FALSE)</f>
        <v>#N/A</v>
      </c>
      <c r="J1491" s="29" t="e">
        <f>VLOOKUP(I1491,PGStock[],2,FALSE)</f>
        <v>#N/A</v>
      </c>
      <c r="K1491" s="30" t="e">
        <f>VLOOKUP(I1491,PGStock[],3,FALSE)</f>
        <v>#N/A</v>
      </c>
      <c r="M1491" s="62" t="e">
        <f>VLOOKUP(I1491,PGStock[],6,FALSE)</f>
        <v>#N/A</v>
      </c>
      <c r="N1491" s="62" t="e">
        <f>+Table8[[#This Row],[SalesBot]]*Table8[[#This Row],[Bonus]]</f>
        <v>#N/A</v>
      </c>
    </row>
    <row r="1492" spans="1:14" ht="23.25" customHeight="1" x14ac:dyDescent="0.25">
      <c r="A1492" s="59">
        <f t="shared" si="145"/>
        <v>1900</v>
      </c>
      <c r="B1492" s="59">
        <f t="shared" si="146"/>
        <v>1</v>
      </c>
      <c r="C1492" s="60"/>
      <c r="D1492" s="61"/>
      <c r="F1492" s="23" t="e">
        <f>VLOOKUP(E1492,Customers[],2,FALSE)</f>
        <v>#N/A</v>
      </c>
      <c r="G1492" s="23" t="e">
        <f>VLOOKUP(E1492,Customers[],3,FALSE)</f>
        <v>#N/A</v>
      </c>
      <c r="H1492" s="23" t="e">
        <f>VLOOKUP(E1492,Customers[],4,FALSE)</f>
        <v>#N/A</v>
      </c>
      <c r="J1492" s="29" t="e">
        <f>VLOOKUP(I1492,PGStock[],2,FALSE)</f>
        <v>#N/A</v>
      </c>
      <c r="K1492" s="30" t="e">
        <f>VLOOKUP(I1492,PGStock[],3,FALSE)</f>
        <v>#N/A</v>
      </c>
      <c r="M1492" s="62" t="e">
        <f>VLOOKUP(I1492,PGStock[],6,FALSE)</f>
        <v>#N/A</v>
      </c>
      <c r="N1492" s="62" t="e">
        <f>+Table8[[#This Row],[SalesBot]]*Table8[[#This Row],[Bonus]]</f>
        <v>#N/A</v>
      </c>
    </row>
    <row r="1493" spans="1:14" ht="23.25" customHeight="1" x14ac:dyDescent="0.25">
      <c r="A1493" s="59">
        <f t="shared" si="145"/>
        <v>1900</v>
      </c>
      <c r="B1493" s="59">
        <f t="shared" si="146"/>
        <v>1</v>
      </c>
      <c r="C1493" s="60"/>
      <c r="D1493" s="61"/>
      <c r="F1493" s="23" t="e">
        <f>VLOOKUP(E1493,Customers[],2,FALSE)</f>
        <v>#N/A</v>
      </c>
      <c r="G1493" s="23" t="e">
        <f>VLOOKUP(E1493,Customers[],3,FALSE)</f>
        <v>#N/A</v>
      </c>
      <c r="H1493" s="23" t="e">
        <f>VLOOKUP(E1493,Customers[],4,FALSE)</f>
        <v>#N/A</v>
      </c>
      <c r="J1493" s="29" t="e">
        <f>VLOOKUP(I1493,PGStock[],2,FALSE)</f>
        <v>#N/A</v>
      </c>
      <c r="K1493" s="30" t="e">
        <f>VLOOKUP(I1493,PGStock[],3,FALSE)</f>
        <v>#N/A</v>
      </c>
      <c r="M1493" s="62" t="e">
        <f>VLOOKUP(I1493,PGStock[],6,FALSE)</f>
        <v>#N/A</v>
      </c>
      <c r="N1493" s="62" t="e">
        <f>+Table8[[#This Row],[SalesBot]]*Table8[[#This Row],[Bonus]]</f>
        <v>#N/A</v>
      </c>
    </row>
    <row r="1494" spans="1:14" ht="23.25" customHeight="1" x14ac:dyDescent="0.25">
      <c r="A1494" s="59">
        <f t="shared" si="145"/>
        <v>1900</v>
      </c>
      <c r="B1494" s="59">
        <f t="shared" si="146"/>
        <v>1</v>
      </c>
      <c r="C1494" s="60"/>
      <c r="D1494" s="61"/>
      <c r="F1494" s="23" t="e">
        <f>VLOOKUP(E1494,Customers[],2,FALSE)</f>
        <v>#N/A</v>
      </c>
      <c r="G1494" s="23" t="e">
        <f>VLOOKUP(E1494,Customers[],3,FALSE)</f>
        <v>#N/A</v>
      </c>
      <c r="H1494" s="23" t="e">
        <f>VLOOKUP(E1494,Customers[],4,FALSE)</f>
        <v>#N/A</v>
      </c>
      <c r="J1494" s="29" t="e">
        <f>VLOOKUP(I1494,PGStock[],2,FALSE)</f>
        <v>#N/A</v>
      </c>
      <c r="K1494" s="30" t="e">
        <f>VLOOKUP(I1494,PGStock[],3,FALSE)</f>
        <v>#N/A</v>
      </c>
      <c r="M1494" s="62" t="e">
        <f>VLOOKUP(I1494,PGStock[],6,FALSE)</f>
        <v>#N/A</v>
      </c>
      <c r="N1494" s="62" t="e">
        <f>+Table8[[#This Row],[SalesBot]]*Table8[[#This Row],[Bonus]]</f>
        <v>#N/A</v>
      </c>
    </row>
    <row r="1495" spans="1:14" ht="23.25" customHeight="1" x14ac:dyDescent="0.25">
      <c r="A1495" s="59">
        <f t="shared" si="145"/>
        <v>1900</v>
      </c>
      <c r="B1495" s="59">
        <f t="shared" si="146"/>
        <v>1</v>
      </c>
      <c r="C1495" s="60"/>
      <c r="D1495" s="61"/>
      <c r="F1495" s="23" t="e">
        <f>VLOOKUP(E1495,Customers[],2,FALSE)</f>
        <v>#N/A</v>
      </c>
      <c r="G1495" s="23" t="e">
        <f>VLOOKUP(E1495,Customers[],3,FALSE)</f>
        <v>#N/A</v>
      </c>
      <c r="H1495" s="23" t="e">
        <f>VLOOKUP(E1495,Customers[],4,FALSE)</f>
        <v>#N/A</v>
      </c>
      <c r="J1495" s="29" t="e">
        <f>VLOOKUP(I1495,PGStock[],2,FALSE)</f>
        <v>#N/A</v>
      </c>
      <c r="K1495" s="30" t="e">
        <f>VLOOKUP(I1495,PGStock[],3,FALSE)</f>
        <v>#N/A</v>
      </c>
      <c r="M1495" s="62" t="e">
        <f>VLOOKUP(I1495,PGStock[],6,FALSE)</f>
        <v>#N/A</v>
      </c>
      <c r="N1495" s="62" t="e">
        <f>+Table8[[#This Row],[SalesBot]]*Table8[[#This Row],[Bonus]]</f>
        <v>#N/A</v>
      </c>
    </row>
    <row r="1496" spans="1:14" ht="23.25" customHeight="1" x14ac:dyDescent="0.25">
      <c r="A1496" s="59">
        <f t="shared" ref="A1496:A1513" si="147">YEAR(C1496)</f>
        <v>1900</v>
      </c>
      <c r="B1496" s="59">
        <f t="shared" ref="B1496:B1513" si="148">MONTH(C1496)</f>
        <v>1</v>
      </c>
      <c r="C1496" s="60"/>
      <c r="D1496" s="61"/>
      <c r="F1496" s="23" t="e">
        <f>VLOOKUP(E1496,Customers[],2,FALSE)</f>
        <v>#N/A</v>
      </c>
      <c r="G1496" s="23" t="e">
        <f>VLOOKUP(E1496,Customers[],3,FALSE)</f>
        <v>#N/A</v>
      </c>
      <c r="H1496" s="23" t="e">
        <f>VLOOKUP(E1496,Customers[],4,FALSE)</f>
        <v>#N/A</v>
      </c>
      <c r="J1496" s="29" t="e">
        <f>VLOOKUP(I1496,PGStock[],2,FALSE)</f>
        <v>#N/A</v>
      </c>
      <c r="K1496" s="30" t="e">
        <f>VLOOKUP(I1496,PGStock[],3,FALSE)</f>
        <v>#N/A</v>
      </c>
      <c r="M1496" s="62" t="e">
        <f>VLOOKUP(I1496,PGStock[],6,FALSE)</f>
        <v>#N/A</v>
      </c>
      <c r="N1496" s="62" t="e">
        <f>+Table8[[#This Row],[SalesBot]]*Table8[[#This Row],[Bonus]]</f>
        <v>#N/A</v>
      </c>
    </row>
    <row r="1497" spans="1:14" ht="23.25" customHeight="1" x14ac:dyDescent="0.25">
      <c r="A1497" s="59">
        <f t="shared" si="147"/>
        <v>1900</v>
      </c>
      <c r="B1497" s="59">
        <f t="shared" si="148"/>
        <v>1</v>
      </c>
      <c r="C1497" s="60"/>
      <c r="D1497" s="61"/>
      <c r="F1497" s="23" t="e">
        <f>VLOOKUP(E1497,Customers[],2,FALSE)</f>
        <v>#N/A</v>
      </c>
      <c r="G1497" s="23" t="e">
        <f>VLOOKUP(E1497,Customers[],3,FALSE)</f>
        <v>#N/A</v>
      </c>
      <c r="H1497" s="23" t="e">
        <f>VLOOKUP(E1497,Customers[],4,FALSE)</f>
        <v>#N/A</v>
      </c>
      <c r="J1497" s="29" t="e">
        <f>VLOOKUP(I1497,PGStock[],2,FALSE)</f>
        <v>#N/A</v>
      </c>
      <c r="K1497" s="30" t="e">
        <f>VLOOKUP(I1497,PGStock[],3,FALSE)</f>
        <v>#N/A</v>
      </c>
      <c r="M1497" s="62" t="e">
        <f>VLOOKUP(I1497,PGStock[],6,FALSE)</f>
        <v>#N/A</v>
      </c>
      <c r="N1497" s="62" t="e">
        <f>+Table8[[#This Row],[SalesBot]]*Table8[[#This Row],[Bonus]]</f>
        <v>#N/A</v>
      </c>
    </row>
    <row r="1498" spans="1:14" ht="23.25" customHeight="1" x14ac:dyDescent="0.25">
      <c r="A1498" s="59">
        <f t="shared" si="147"/>
        <v>1900</v>
      </c>
      <c r="B1498" s="59">
        <f t="shared" si="148"/>
        <v>1</v>
      </c>
      <c r="C1498" s="60"/>
      <c r="D1498" s="61"/>
      <c r="F1498" s="23" t="e">
        <f>VLOOKUP(E1498,Customers[],2,FALSE)</f>
        <v>#N/A</v>
      </c>
      <c r="G1498" s="23" t="e">
        <f>VLOOKUP(E1498,Customers[],3,FALSE)</f>
        <v>#N/A</v>
      </c>
      <c r="H1498" s="23" t="e">
        <f>VLOOKUP(E1498,Customers[],4,FALSE)</f>
        <v>#N/A</v>
      </c>
      <c r="J1498" s="29" t="e">
        <f>VLOOKUP(I1498,PGStock[],2,FALSE)</f>
        <v>#N/A</v>
      </c>
      <c r="K1498" s="30" t="e">
        <f>VLOOKUP(I1498,PGStock[],3,FALSE)</f>
        <v>#N/A</v>
      </c>
      <c r="M1498" s="62" t="e">
        <f>VLOOKUP(I1498,PGStock[],6,FALSE)</f>
        <v>#N/A</v>
      </c>
      <c r="N1498" s="62" t="e">
        <f>+Table8[[#This Row],[SalesBot]]*Table8[[#This Row],[Bonus]]</f>
        <v>#N/A</v>
      </c>
    </row>
    <row r="1499" spans="1:14" ht="23.25" customHeight="1" x14ac:dyDescent="0.25">
      <c r="A1499" s="59">
        <f t="shared" si="147"/>
        <v>1900</v>
      </c>
      <c r="B1499" s="59">
        <f t="shared" si="148"/>
        <v>1</v>
      </c>
      <c r="C1499" s="60"/>
      <c r="D1499" s="61"/>
      <c r="F1499" s="23" t="e">
        <f>VLOOKUP(E1499,Customers[],2,FALSE)</f>
        <v>#N/A</v>
      </c>
      <c r="G1499" s="23" t="e">
        <f>VLOOKUP(E1499,Customers[],3,FALSE)</f>
        <v>#N/A</v>
      </c>
      <c r="H1499" s="23" t="e">
        <f>VLOOKUP(E1499,Customers[],4,FALSE)</f>
        <v>#N/A</v>
      </c>
      <c r="J1499" s="29" t="e">
        <f>VLOOKUP(I1499,PGStock[],2,FALSE)</f>
        <v>#N/A</v>
      </c>
      <c r="K1499" s="30" t="e">
        <f>VLOOKUP(I1499,PGStock[],3,FALSE)</f>
        <v>#N/A</v>
      </c>
      <c r="M1499" s="62" t="e">
        <f>VLOOKUP(I1499,PGStock[],6,FALSE)</f>
        <v>#N/A</v>
      </c>
      <c r="N1499" s="62" t="e">
        <f>+Table8[[#This Row],[SalesBot]]*Table8[[#This Row],[Bonus]]</f>
        <v>#N/A</v>
      </c>
    </row>
    <row r="1500" spans="1:14" ht="23.25" customHeight="1" x14ac:dyDescent="0.25">
      <c r="A1500" s="59">
        <f t="shared" si="147"/>
        <v>1900</v>
      </c>
      <c r="B1500" s="59">
        <f t="shared" si="148"/>
        <v>1</v>
      </c>
      <c r="C1500" s="60"/>
      <c r="D1500" s="61"/>
      <c r="F1500" s="23" t="e">
        <f>VLOOKUP(E1500,Customers[],2,FALSE)</f>
        <v>#N/A</v>
      </c>
      <c r="G1500" s="23" t="e">
        <f>VLOOKUP(E1500,Customers[],3,FALSE)</f>
        <v>#N/A</v>
      </c>
      <c r="H1500" s="23" t="e">
        <f>VLOOKUP(E1500,Customers[],4,FALSE)</f>
        <v>#N/A</v>
      </c>
      <c r="J1500" s="29" t="e">
        <f>VLOOKUP(I1500,PGStock[],2,FALSE)</f>
        <v>#N/A</v>
      </c>
      <c r="K1500" s="30" t="e">
        <f>VLOOKUP(I1500,PGStock[],3,FALSE)</f>
        <v>#N/A</v>
      </c>
      <c r="M1500" s="62" t="e">
        <f>VLOOKUP(I1500,PGStock[],6,FALSE)</f>
        <v>#N/A</v>
      </c>
      <c r="N1500" s="62" t="e">
        <f>+Table8[[#This Row],[SalesBot]]*Table8[[#This Row],[Bonus]]</f>
        <v>#N/A</v>
      </c>
    </row>
    <row r="1501" spans="1:14" ht="23.25" customHeight="1" x14ac:dyDescent="0.25">
      <c r="A1501" s="59">
        <f t="shared" si="147"/>
        <v>1900</v>
      </c>
      <c r="B1501" s="59">
        <f t="shared" si="148"/>
        <v>1</v>
      </c>
      <c r="C1501" s="60"/>
      <c r="D1501" s="61"/>
      <c r="F1501" s="23" t="e">
        <f>VLOOKUP(E1501,Customers[],2,FALSE)</f>
        <v>#N/A</v>
      </c>
      <c r="G1501" s="23" t="e">
        <f>VLOOKUP(E1501,Customers[],3,FALSE)</f>
        <v>#N/A</v>
      </c>
      <c r="H1501" s="23" t="e">
        <f>VLOOKUP(E1501,Customers[],4,FALSE)</f>
        <v>#N/A</v>
      </c>
      <c r="J1501" s="29" t="e">
        <f>VLOOKUP(I1501,PGStock[],2,FALSE)</f>
        <v>#N/A</v>
      </c>
      <c r="K1501" s="30" t="e">
        <f>VLOOKUP(I1501,PGStock[],3,FALSE)</f>
        <v>#N/A</v>
      </c>
      <c r="M1501" s="62" t="e">
        <f>VLOOKUP(I1501,PGStock[],6,FALSE)</f>
        <v>#N/A</v>
      </c>
      <c r="N1501" s="62" t="e">
        <f>+Table8[[#This Row],[SalesBot]]*Table8[[#This Row],[Bonus]]</f>
        <v>#N/A</v>
      </c>
    </row>
    <row r="1502" spans="1:14" ht="23.25" customHeight="1" x14ac:dyDescent="0.25">
      <c r="A1502" s="59">
        <f t="shared" si="147"/>
        <v>1900</v>
      </c>
      <c r="B1502" s="59">
        <f t="shared" si="148"/>
        <v>1</v>
      </c>
      <c r="C1502" s="60"/>
      <c r="D1502" s="61"/>
      <c r="F1502" s="23" t="e">
        <f>VLOOKUP(E1502,Customers[],2,FALSE)</f>
        <v>#N/A</v>
      </c>
      <c r="G1502" s="23" t="e">
        <f>VLOOKUP(E1502,Customers[],3,FALSE)</f>
        <v>#N/A</v>
      </c>
      <c r="H1502" s="23" t="e">
        <f>VLOOKUP(E1502,Customers[],4,FALSE)</f>
        <v>#N/A</v>
      </c>
      <c r="J1502" s="29" t="e">
        <f>VLOOKUP(I1502,PGStock[],2,FALSE)</f>
        <v>#N/A</v>
      </c>
      <c r="K1502" s="30" t="e">
        <f>VLOOKUP(I1502,PGStock[],3,FALSE)</f>
        <v>#N/A</v>
      </c>
      <c r="M1502" s="62" t="e">
        <f>VLOOKUP(I1502,PGStock[],6,FALSE)</f>
        <v>#N/A</v>
      </c>
      <c r="N1502" s="62" t="e">
        <f>+Table8[[#This Row],[SalesBot]]*Table8[[#This Row],[Bonus]]</f>
        <v>#N/A</v>
      </c>
    </row>
    <row r="1503" spans="1:14" ht="23.25" customHeight="1" x14ac:dyDescent="0.25">
      <c r="A1503" s="59">
        <f t="shared" si="147"/>
        <v>1900</v>
      </c>
      <c r="B1503" s="59">
        <f t="shared" si="148"/>
        <v>1</v>
      </c>
      <c r="C1503" s="60"/>
      <c r="D1503" s="61"/>
      <c r="F1503" s="23" t="e">
        <f>VLOOKUP(E1503,Customers[],2,FALSE)</f>
        <v>#N/A</v>
      </c>
      <c r="G1503" s="23" t="e">
        <f>VLOOKUP(E1503,Customers[],3,FALSE)</f>
        <v>#N/A</v>
      </c>
      <c r="H1503" s="23" t="e">
        <f>VLOOKUP(E1503,Customers[],4,FALSE)</f>
        <v>#N/A</v>
      </c>
      <c r="J1503" s="29" t="e">
        <f>VLOOKUP(I1503,PGStock[],2,FALSE)</f>
        <v>#N/A</v>
      </c>
      <c r="K1503" s="30" t="e">
        <f>VLOOKUP(I1503,PGStock[],3,FALSE)</f>
        <v>#N/A</v>
      </c>
      <c r="M1503" s="62" t="e">
        <f>VLOOKUP(I1503,PGStock[],6,FALSE)</f>
        <v>#N/A</v>
      </c>
      <c r="N1503" s="62" t="e">
        <f>+Table8[[#This Row],[SalesBot]]*Table8[[#This Row],[Bonus]]</f>
        <v>#N/A</v>
      </c>
    </row>
    <row r="1504" spans="1:14" ht="23.25" customHeight="1" x14ac:dyDescent="0.25">
      <c r="A1504" s="59">
        <f t="shared" si="147"/>
        <v>1900</v>
      </c>
      <c r="B1504" s="59">
        <f t="shared" si="148"/>
        <v>1</v>
      </c>
      <c r="C1504" s="60"/>
      <c r="D1504" s="61"/>
      <c r="F1504" s="23" t="e">
        <f>VLOOKUP(E1504,Customers[],2,FALSE)</f>
        <v>#N/A</v>
      </c>
      <c r="G1504" s="23" t="e">
        <f>VLOOKUP(E1504,Customers[],3,FALSE)</f>
        <v>#N/A</v>
      </c>
      <c r="H1504" s="23" t="e">
        <f>VLOOKUP(E1504,Customers[],4,FALSE)</f>
        <v>#N/A</v>
      </c>
      <c r="J1504" s="29" t="e">
        <f>VLOOKUP(I1504,PGStock[],2,FALSE)</f>
        <v>#N/A</v>
      </c>
      <c r="K1504" s="30" t="e">
        <f>VLOOKUP(I1504,PGStock[],3,FALSE)</f>
        <v>#N/A</v>
      </c>
      <c r="M1504" s="62" t="e">
        <f>VLOOKUP(I1504,PGStock[],6,FALSE)</f>
        <v>#N/A</v>
      </c>
      <c r="N1504" s="62" t="e">
        <f>+Table8[[#This Row],[SalesBot]]*Table8[[#This Row],[Bonus]]</f>
        <v>#N/A</v>
      </c>
    </row>
    <row r="1505" spans="1:14" ht="23.25" customHeight="1" x14ac:dyDescent="0.25">
      <c r="A1505" s="59">
        <f t="shared" si="147"/>
        <v>1900</v>
      </c>
      <c r="B1505" s="59">
        <f t="shared" si="148"/>
        <v>1</v>
      </c>
      <c r="C1505" s="60"/>
      <c r="D1505" s="61"/>
      <c r="F1505" s="23" t="e">
        <f>VLOOKUP(E1505,Customers[],2,FALSE)</f>
        <v>#N/A</v>
      </c>
      <c r="G1505" s="23" t="e">
        <f>VLOOKUP(E1505,Customers[],3,FALSE)</f>
        <v>#N/A</v>
      </c>
      <c r="H1505" s="23" t="e">
        <f>VLOOKUP(E1505,Customers[],4,FALSE)</f>
        <v>#N/A</v>
      </c>
      <c r="J1505" s="29" t="e">
        <f>VLOOKUP(I1505,PGStock[],2,FALSE)</f>
        <v>#N/A</v>
      </c>
      <c r="K1505" s="30" t="e">
        <f>VLOOKUP(I1505,PGStock[],3,FALSE)</f>
        <v>#N/A</v>
      </c>
      <c r="M1505" s="62" t="e">
        <f>VLOOKUP(I1505,PGStock[],6,FALSE)</f>
        <v>#N/A</v>
      </c>
      <c r="N1505" s="62" t="e">
        <f>+Table8[[#This Row],[SalesBot]]*Table8[[#This Row],[Bonus]]</f>
        <v>#N/A</v>
      </c>
    </row>
    <row r="1506" spans="1:14" ht="23.25" customHeight="1" x14ac:dyDescent="0.25">
      <c r="A1506" s="59">
        <f t="shared" si="147"/>
        <v>1900</v>
      </c>
      <c r="B1506" s="59">
        <f t="shared" si="148"/>
        <v>1</v>
      </c>
      <c r="C1506" s="60"/>
      <c r="D1506" s="61"/>
      <c r="F1506" s="23" t="e">
        <f>VLOOKUP(E1506,Customers[],2,FALSE)</f>
        <v>#N/A</v>
      </c>
      <c r="G1506" s="23" t="e">
        <f>VLOOKUP(E1506,Customers[],3,FALSE)</f>
        <v>#N/A</v>
      </c>
      <c r="H1506" s="23" t="e">
        <f>VLOOKUP(E1506,Customers[],4,FALSE)</f>
        <v>#N/A</v>
      </c>
      <c r="J1506" s="29" t="e">
        <f>VLOOKUP(I1506,PGStock[],2,FALSE)</f>
        <v>#N/A</v>
      </c>
      <c r="K1506" s="30" t="e">
        <f>VLOOKUP(I1506,PGStock[],3,FALSE)</f>
        <v>#N/A</v>
      </c>
      <c r="M1506" s="62" t="e">
        <f>VLOOKUP(I1506,PGStock[],6,FALSE)</f>
        <v>#N/A</v>
      </c>
      <c r="N1506" s="62" t="e">
        <f>+Table8[[#This Row],[SalesBot]]*Table8[[#This Row],[Bonus]]</f>
        <v>#N/A</v>
      </c>
    </row>
    <row r="1507" spans="1:14" ht="23.25" customHeight="1" x14ac:dyDescent="0.25">
      <c r="A1507" s="59">
        <f t="shared" si="147"/>
        <v>1900</v>
      </c>
      <c r="B1507" s="59">
        <f t="shared" si="148"/>
        <v>1</v>
      </c>
      <c r="C1507" s="60"/>
      <c r="D1507" s="61"/>
      <c r="F1507" s="23" t="e">
        <f>VLOOKUP(E1507,Customers[],2,FALSE)</f>
        <v>#N/A</v>
      </c>
      <c r="G1507" s="23" t="e">
        <f>VLOOKUP(E1507,Customers[],3,FALSE)</f>
        <v>#N/A</v>
      </c>
      <c r="H1507" s="23" t="e">
        <f>VLOOKUP(E1507,Customers[],4,FALSE)</f>
        <v>#N/A</v>
      </c>
      <c r="J1507" s="29" t="e">
        <f>VLOOKUP(I1507,PGStock[],2,FALSE)</f>
        <v>#N/A</v>
      </c>
      <c r="K1507" s="30" t="e">
        <f>VLOOKUP(I1507,PGStock[],3,FALSE)</f>
        <v>#N/A</v>
      </c>
      <c r="M1507" s="62" t="e">
        <f>VLOOKUP(I1507,PGStock[],6,FALSE)</f>
        <v>#N/A</v>
      </c>
      <c r="N1507" s="62" t="e">
        <f>+Table8[[#This Row],[SalesBot]]*Table8[[#This Row],[Bonus]]</f>
        <v>#N/A</v>
      </c>
    </row>
    <row r="1508" spans="1:14" ht="23.25" customHeight="1" x14ac:dyDescent="0.25">
      <c r="A1508" s="59">
        <f t="shared" si="147"/>
        <v>1900</v>
      </c>
      <c r="B1508" s="59">
        <f t="shared" si="148"/>
        <v>1</v>
      </c>
      <c r="C1508" s="60"/>
      <c r="D1508" s="61"/>
      <c r="F1508" s="23" t="e">
        <f>VLOOKUP(E1508,Customers[],2,FALSE)</f>
        <v>#N/A</v>
      </c>
      <c r="G1508" s="23" t="e">
        <f>VLOOKUP(E1508,Customers[],3,FALSE)</f>
        <v>#N/A</v>
      </c>
      <c r="H1508" s="23" t="e">
        <f>VLOOKUP(E1508,Customers[],4,FALSE)</f>
        <v>#N/A</v>
      </c>
      <c r="J1508" s="29" t="e">
        <f>VLOOKUP(I1508,PGStock[],2,FALSE)</f>
        <v>#N/A</v>
      </c>
      <c r="K1508" s="30" t="e">
        <f>VLOOKUP(I1508,PGStock[],3,FALSE)</f>
        <v>#N/A</v>
      </c>
      <c r="M1508" s="62" t="e">
        <f>VLOOKUP(I1508,PGStock[],6,FALSE)</f>
        <v>#N/A</v>
      </c>
      <c r="N1508" s="62" t="e">
        <f>+Table8[[#This Row],[SalesBot]]*Table8[[#This Row],[Bonus]]</f>
        <v>#N/A</v>
      </c>
    </row>
    <row r="1509" spans="1:14" ht="23.25" customHeight="1" x14ac:dyDescent="0.25">
      <c r="A1509" s="59">
        <f t="shared" si="147"/>
        <v>1900</v>
      </c>
      <c r="B1509" s="59">
        <f t="shared" si="148"/>
        <v>1</v>
      </c>
      <c r="C1509" s="60"/>
      <c r="D1509" s="61"/>
      <c r="F1509" s="23" t="e">
        <f>VLOOKUP(E1509,Customers[],2,FALSE)</f>
        <v>#N/A</v>
      </c>
      <c r="G1509" s="23" t="e">
        <f>VLOOKUP(E1509,Customers[],3,FALSE)</f>
        <v>#N/A</v>
      </c>
      <c r="H1509" s="23" t="e">
        <f>VLOOKUP(E1509,Customers[],4,FALSE)</f>
        <v>#N/A</v>
      </c>
      <c r="J1509" s="29" t="e">
        <f>VLOOKUP(I1509,PGStock[],2,FALSE)</f>
        <v>#N/A</v>
      </c>
      <c r="K1509" s="30" t="e">
        <f>VLOOKUP(I1509,PGStock[],3,FALSE)</f>
        <v>#N/A</v>
      </c>
      <c r="M1509" s="62" t="e">
        <f>VLOOKUP(I1509,PGStock[],6,FALSE)</f>
        <v>#N/A</v>
      </c>
      <c r="N1509" s="62" t="e">
        <f>+Table8[[#This Row],[SalesBot]]*Table8[[#This Row],[Bonus]]</f>
        <v>#N/A</v>
      </c>
    </row>
    <row r="1510" spans="1:14" ht="23.25" customHeight="1" x14ac:dyDescent="0.25">
      <c r="A1510" s="59">
        <f t="shared" si="147"/>
        <v>1900</v>
      </c>
      <c r="B1510" s="59">
        <f t="shared" si="148"/>
        <v>1</v>
      </c>
      <c r="C1510" s="60"/>
      <c r="D1510" s="61"/>
      <c r="F1510" s="23" t="e">
        <f>VLOOKUP(E1510,Customers[],2,FALSE)</f>
        <v>#N/A</v>
      </c>
      <c r="G1510" s="23" t="e">
        <f>VLOOKUP(E1510,Customers[],3,FALSE)</f>
        <v>#N/A</v>
      </c>
      <c r="H1510" s="23" t="e">
        <f>VLOOKUP(E1510,Customers[],4,FALSE)</f>
        <v>#N/A</v>
      </c>
      <c r="J1510" s="29" t="e">
        <f>VLOOKUP(I1510,PGStock[],2,FALSE)</f>
        <v>#N/A</v>
      </c>
      <c r="K1510" s="30" t="e">
        <f>VLOOKUP(I1510,PGStock[],3,FALSE)</f>
        <v>#N/A</v>
      </c>
      <c r="M1510" s="62" t="e">
        <f>VLOOKUP(I1510,PGStock[],6,FALSE)</f>
        <v>#N/A</v>
      </c>
      <c r="N1510" s="62" t="e">
        <f>+Table8[[#This Row],[SalesBot]]*Table8[[#This Row],[Bonus]]</f>
        <v>#N/A</v>
      </c>
    </row>
    <row r="1511" spans="1:14" ht="23.25" customHeight="1" x14ac:dyDescent="0.25">
      <c r="A1511" s="59">
        <f t="shared" si="147"/>
        <v>1900</v>
      </c>
      <c r="B1511" s="59">
        <f t="shared" si="148"/>
        <v>1</v>
      </c>
      <c r="C1511" s="60"/>
      <c r="D1511" s="61"/>
      <c r="F1511" s="23" t="e">
        <f>VLOOKUP(E1511,Customers[],2,FALSE)</f>
        <v>#N/A</v>
      </c>
      <c r="G1511" s="23" t="e">
        <f>VLOOKUP(E1511,Customers[],3,FALSE)</f>
        <v>#N/A</v>
      </c>
      <c r="H1511" s="23" t="e">
        <f>VLOOKUP(E1511,Customers[],4,FALSE)</f>
        <v>#N/A</v>
      </c>
      <c r="J1511" s="29" t="e">
        <f>VLOOKUP(I1511,PGStock[],2,FALSE)</f>
        <v>#N/A</v>
      </c>
      <c r="K1511" s="30" t="e">
        <f>VLOOKUP(I1511,PGStock[],3,FALSE)</f>
        <v>#N/A</v>
      </c>
      <c r="M1511" s="62" t="e">
        <f>VLOOKUP(I1511,PGStock[],6,FALSE)</f>
        <v>#N/A</v>
      </c>
      <c r="N1511" s="62" t="e">
        <f>+Table8[[#This Row],[SalesBot]]*Table8[[#This Row],[Bonus]]</f>
        <v>#N/A</v>
      </c>
    </row>
    <row r="1512" spans="1:14" ht="23.25" customHeight="1" x14ac:dyDescent="0.25">
      <c r="A1512" s="59">
        <f t="shared" si="147"/>
        <v>1900</v>
      </c>
      <c r="B1512" s="59">
        <f t="shared" si="148"/>
        <v>1</v>
      </c>
      <c r="C1512" s="60"/>
      <c r="D1512" s="61"/>
      <c r="F1512" s="23" t="e">
        <f>VLOOKUP(E1512,Customers[],2,FALSE)</f>
        <v>#N/A</v>
      </c>
      <c r="G1512" s="23" t="e">
        <f>VLOOKUP(E1512,Customers[],3,FALSE)</f>
        <v>#N/A</v>
      </c>
      <c r="H1512" s="23" t="e">
        <f>VLOOKUP(E1512,Customers[],4,FALSE)</f>
        <v>#N/A</v>
      </c>
      <c r="J1512" s="29" t="e">
        <f>VLOOKUP(I1512,PGStock[],2,FALSE)</f>
        <v>#N/A</v>
      </c>
      <c r="K1512" s="30" t="e">
        <f>VLOOKUP(I1512,PGStock[],3,FALSE)</f>
        <v>#N/A</v>
      </c>
      <c r="M1512" s="62" t="e">
        <f>VLOOKUP(I1512,PGStock[],6,FALSE)</f>
        <v>#N/A</v>
      </c>
      <c r="N1512" s="62" t="e">
        <f>+Table8[[#This Row],[SalesBot]]*Table8[[#This Row],[Bonus]]</f>
        <v>#N/A</v>
      </c>
    </row>
    <row r="1513" spans="1:14" ht="23.25" customHeight="1" x14ac:dyDescent="0.25">
      <c r="A1513" s="59">
        <f t="shared" si="147"/>
        <v>1900</v>
      </c>
      <c r="B1513" s="59">
        <f t="shared" si="148"/>
        <v>1</v>
      </c>
      <c r="C1513" s="60"/>
      <c r="D1513" s="61"/>
      <c r="F1513" s="23" t="e">
        <f>VLOOKUP(E1513,Customers[],2,FALSE)</f>
        <v>#N/A</v>
      </c>
      <c r="G1513" s="23" t="e">
        <f>VLOOKUP(E1513,Customers[],3,FALSE)</f>
        <v>#N/A</v>
      </c>
      <c r="H1513" s="23" t="e">
        <f>VLOOKUP(E1513,Customers[],4,FALSE)</f>
        <v>#N/A</v>
      </c>
      <c r="J1513" s="29" t="e">
        <f>VLOOKUP(I1513,PGStock[],2,FALSE)</f>
        <v>#N/A</v>
      </c>
      <c r="K1513" s="30" t="e">
        <f>VLOOKUP(I1513,PGStock[],3,FALSE)</f>
        <v>#N/A</v>
      </c>
      <c r="M1513" s="62" t="e">
        <f>VLOOKUP(I1513,PGStock[],6,FALSE)</f>
        <v>#N/A</v>
      </c>
      <c r="N1513" s="62" t="e">
        <f>+Table8[[#This Row],[SalesBot]]*Table8[[#This Row],[Bonus]]</f>
        <v>#N/A</v>
      </c>
    </row>
    <row r="1514" spans="1:14" ht="23.25" customHeight="1" x14ac:dyDescent="0.25">
      <c r="A1514" s="59">
        <f t="shared" ref="A1514:A1531" si="149">YEAR(C1514)</f>
        <v>1900</v>
      </c>
      <c r="B1514" s="59">
        <f t="shared" ref="B1514:B1531" si="150">MONTH(C1514)</f>
        <v>1</v>
      </c>
      <c r="C1514" s="60"/>
      <c r="D1514" s="61"/>
      <c r="F1514" s="23" t="e">
        <f>VLOOKUP(E1514,Customers[],2,FALSE)</f>
        <v>#N/A</v>
      </c>
      <c r="G1514" s="23" t="e">
        <f>VLOOKUP(E1514,Customers[],3,FALSE)</f>
        <v>#N/A</v>
      </c>
      <c r="H1514" s="23" t="e">
        <f>VLOOKUP(E1514,Customers[],4,FALSE)</f>
        <v>#N/A</v>
      </c>
      <c r="J1514" s="29" t="e">
        <f>VLOOKUP(I1514,PGStock[],2,FALSE)</f>
        <v>#N/A</v>
      </c>
      <c r="K1514" s="30" t="e">
        <f>VLOOKUP(I1514,PGStock[],3,FALSE)</f>
        <v>#N/A</v>
      </c>
      <c r="M1514" s="62" t="e">
        <f>VLOOKUP(I1514,PGStock[],6,FALSE)</f>
        <v>#N/A</v>
      </c>
      <c r="N1514" s="62" t="e">
        <f>+Table8[[#This Row],[SalesBot]]*Table8[[#This Row],[Bonus]]</f>
        <v>#N/A</v>
      </c>
    </row>
    <row r="1515" spans="1:14" ht="23.25" customHeight="1" x14ac:dyDescent="0.25">
      <c r="A1515" s="59">
        <f t="shared" si="149"/>
        <v>1900</v>
      </c>
      <c r="B1515" s="59">
        <f t="shared" si="150"/>
        <v>1</v>
      </c>
      <c r="C1515" s="60"/>
      <c r="D1515" s="61"/>
      <c r="F1515" s="23" t="e">
        <f>VLOOKUP(E1515,Customers[],2,FALSE)</f>
        <v>#N/A</v>
      </c>
      <c r="G1515" s="23" t="e">
        <f>VLOOKUP(E1515,Customers[],3,FALSE)</f>
        <v>#N/A</v>
      </c>
      <c r="H1515" s="23" t="e">
        <f>VLOOKUP(E1515,Customers[],4,FALSE)</f>
        <v>#N/A</v>
      </c>
      <c r="J1515" s="29" t="e">
        <f>VLOOKUP(I1515,PGStock[],2,FALSE)</f>
        <v>#N/A</v>
      </c>
      <c r="K1515" s="30" t="e">
        <f>VLOOKUP(I1515,PGStock[],3,FALSE)</f>
        <v>#N/A</v>
      </c>
      <c r="M1515" s="62" t="e">
        <f>VLOOKUP(I1515,PGStock[],6,FALSE)</f>
        <v>#N/A</v>
      </c>
      <c r="N1515" s="62" t="e">
        <f>+Table8[[#This Row],[SalesBot]]*Table8[[#This Row],[Bonus]]</f>
        <v>#N/A</v>
      </c>
    </row>
    <row r="1516" spans="1:14" ht="23.25" customHeight="1" x14ac:dyDescent="0.25">
      <c r="A1516" s="59">
        <f t="shared" si="149"/>
        <v>1900</v>
      </c>
      <c r="B1516" s="59">
        <f t="shared" si="150"/>
        <v>1</v>
      </c>
      <c r="C1516" s="60"/>
      <c r="D1516" s="61"/>
      <c r="F1516" s="23" t="e">
        <f>VLOOKUP(E1516,Customers[],2,FALSE)</f>
        <v>#N/A</v>
      </c>
      <c r="G1516" s="23" t="e">
        <f>VLOOKUP(E1516,Customers[],3,FALSE)</f>
        <v>#N/A</v>
      </c>
      <c r="H1516" s="23" t="e">
        <f>VLOOKUP(E1516,Customers[],4,FALSE)</f>
        <v>#N/A</v>
      </c>
      <c r="J1516" s="29" t="e">
        <f>VLOOKUP(I1516,PGStock[],2,FALSE)</f>
        <v>#N/A</v>
      </c>
      <c r="K1516" s="30" t="e">
        <f>VLOOKUP(I1516,PGStock[],3,FALSE)</f>
        <v>#N/A</v>
      </c>
      <c r="M1516" s="62" t="e">
        <f>VLOOKUP(I1516,PGStock[],6,FALSE)</f>
        <v>#N/A</v>
      </c>
      <c r="N1516" s="62" t="e">
        <f>+Table8[[#This Row],[SalesBot]]*Table8[[#This Row],[Bonus]]</f>
        <v>#N/A</v>
      </c>
    </row>
    <row r="1517" spans="1:14" ht="23.25" customHeight="1" x14ac:dyDescent="0.25">
      <c r="A1517" s="59">
        <f t="shared" si="149"/>
        <v>1900</v>
      </c>
      <c r="B1517" s="59">
        <f t="shared" si="150"/>
        <v>1</v>
      </c>
      <c r="C1517" s="60"/>
      <c r="D1517" s="61"/>
      <c r="F1517" s="23" t="e">
        <f>VLOOKUP(E1517,Customers[],2,FALSE)</f>
        <v>#N/A</v>
      </c>
      <c r="G1517" s="23" t="e">
        <f>VLOOKUP(E1517,Customers[],3,FALSE)</f>
        <v>#N/A</v>
      </c>
      <c r="H1517" s="23" t="e">
        <f>VLOOKUP(E1517,Customers[],4,FALSE)</f>
        <v>#N/A</v>
      </c>
      <c r="J1517" s="29" t="e">
        <f>VLOOKUP(I1517,PGStock[],2,FALSE)</f>
        <v>#N/A</v>
      </c>
      <c r="K1517" s="30" t="e">
        <f>VLOOKUP(I1517,PGStock[],3,FALSE)</f>
        <v>#N/A</v>
      </c>
      <c r="M1517" s="62" t="e">
        <f>VLOOKUP(I1517,PGStock[],6,FALSE)</f>
        <v>#N/A</v>
      </c>
      <c r="N1517" s="62" t="e">
        <f>+Table8[[#This Row],[SalesBot]]*Table8[[#This Row],[Bonus]]</f>
        <v>#N/A</v>
      </c>
    </row>
    <row r="1518" spans="1:14" ht="23.25" customHeight="1" x14ac:dyDescent="0.25">
      <c r="A1518" s="59">
        <f t="shared" si="149"/>
        <v>1900</v>
      </c>
      <c r="B1518" s="59">
        <f t="shared" si="150"/>
        <v>1</v>
      </c>
      <c r="C1518" s="60"/>
      <c r="D1518" s="61"/>
      <c r="F1518" s="23" t="e">
        <f>VLOOKUP(E1518,Customers[],2,FALSE)</f>
        <v>#N/A</v>
      </c>
      <c r="G1518" s="23" t="e">
        <f>VLOOKUP(E1518,Customers[],3,FALSE)</f>
        <v>#N/A</v>
      </c>
      <c r="H1518" s="23" t="e">
        <f>VLOOKUP(E1518,Customers[],4,FALSE)</f>
        <v>#N/A</v>
      </c>
      <c r="J1518" s="29" t="e">
        <f>VLOOKUP(I1518,PGStock[],2,FALSE)</f>
        <v>#N/A</v>
      </c>
      <c r="K1518" s="30" t="e">
        <f>VLOOKUP(I1518,PGStock[],3,FALSE)</f>
        <v>#N/A</v>
      </c>
      <c r="M1518" s="62" t="e">
        <f>VLOOKUP(I1518,PGStock[],6,FALSE)</f>
        <v>#N/A</v>
      </c>
      <c r="N1518" s="62" t="e">
        <f>+Table8[[#This Row],[SalesBot]]*Table8[[#This Row],[Bonus]]</f>
        <v>#N/A</v>
      </c>
    </row>
    <row r="1519" spans="1:14" ht="23.25" customHeight="1" x14ac:dyDescent="0.25">
      <c r="A1519" s="59">
        <f t="shared" si="149"/>
        <v>1900</v>
      </c>
      <c r="B1519" s="59">
        <f t="shared" si="150"/>
        <v>1</v>
      </c>
      <c r="C1519" s="60"/>
      <c r="D1519" s="61"/>
      <c r="F1519" s="23" t="e">
        <f>VLOOKUP(E1519,Customers[],2,FALSE)</f>
        <v>#N/A</v>
      </c>
      <c r="G1519" s="23" t="e">
        <f>VLOOKUP(E1519,Customers[],3,FALSE)</f>
        <v>#N/A</v>
      </c>
      <c r="H1519" s="23" t="e">
        <f>VLOOKUP(E1519,Customers[],4,FALSE)</f>
        <v>#N/A</v>
      </c>
      <c r="J1519" s="29" t="e">
        <f>VLOOKUP(I1519,PGStock[],2,FALSE)</f>
        <v>#N/A</v>
      </c>
      <c r="K1519" s="30" t="e">
        <f>VLOOKUP(I1519,PGStock[],3,FALSE)</f>
        <v>#N/A</v>
      </c>
      <c r="M1519" s="62" t="e">
        <f>VLOOKUP(I1519,PGStock[],6,FALSE)</f>
        <v>#N/A</v>
      </c>
      <c r="N1519" s="62" t="e">
        <f>+Table8[[#This Row],[SalesBot]]*Table8[[#This Row],[Bonus]]</f>
        <v>#N/A</v>
      </c>
    </row>
    <row r="1520" spans="1:14" ht="23.25" customHeight="1" x14ac:dyDescent="0.25">
      <c r="A1520" s="59">
        <f t="shared" si="149"/>
        <v>1900</v>
      </c>
      <c r="B1520" s="59">
        <f t="shared" si="150"/>
        <v>1</v>
      </c>
      <c r="C1520" s="60"/>
      <c r="D1520" s="61"/>
      <c r="F1520" s="23" t="e">
        <f>VLOOKUP(E1520,Customers[],2,FALSE)</f>
        <v>#N/A</v>
      </c>
      <c r="G1520" s="23" t="e">
        <f>VLOOKUP(E1520,Customers[],3,FALSE)</f>
        <v>#N/A</v>
      </c>
      <c r="H1520" s="23" t="e">
        <f>VLOOKUP(E1520,Customers[],4,FALSE)</f>
        <v>#N/A</v>
      </c>
      <c r="J1520" s="29" t="e">
        <f>VLOOKUP(I1520,PGStock[],2,FALSE)</f>
        <v>#N/A</v>
      </c>
      <c r="K1520" s="30" t="e">
        <f>VLOOKUP(I1520,PGStock[],3,FALSE)</f>
        <v>#N/A</v>
      </c>
      <c r="M1520" s="62" t="e">
        <f>VLOOKUP(I1520,PGStock[],6,FALSE)</f>
        <v>#N/A</v>
      </c>
      <c r="N1520" s="62" t="e">
        <f>+Table8[[#This Row],[SalesBot]]*Table8[[#This Row],[Bonus]]</f>
        <v>#N/A</v>
      </c>
    </row>
    <row r="1521" spans="1:14" ht="23.25" customHeight="1" x14ac:dyDescent="0.25">
      <c r="A1521" s="59">
        <f t="shared" si="149"/>
        <v>1900</v>
      </c>
      <c r="B1521" s="59">
        <f t="shared" si="150"/>
        <v>1</v>
      </c>
      <c r="C1521" s="60"/>
      <c r="D1521" s="61"/>
      <c r="F1521" s="23" t="e">
        <f>VLOOKUP(E1521,Customers[],2,FALSE)</f>
        <v>#N/A</v>
      </c>
      <c r="G1521" s="23" t="e">
        <f>VLOOKUP(E1521,Customers[],3,FALSE)</f>
        <v>#N/A</v>
      </c>
      <c r="H1521" s="23" t="e">
        <f>VLOOKUP(E1521,Customers[],4,FALSE)</f>
        <v>#N/A</v>
      </c>
      <c r="J1521" s="29" t="e">
        <f>VLOOKUP(I1521,PGStock[],2,FALSE)</f>
        <v>#N/A</v>
      </c>
      <c r="K1521" s="30" t="e">
        <f>VLOOKUP(I1521,PGStock[],3,FALSE)</f>
        <v>#N/A</v>
      </c>
      <c r="M1521" s="62" t="e">
        <f>VLOOKUP(I1521,PGStock[],6,FALSE)</f>
        <v>#N/A</v>
      </c>
      <c r="N1521" s="62" t="e">
        <f>+Table8[[#This Row],[SalesBot]]*Table8[[#This Row],[Bonus]]</f>
        <v>#N/A</v>
      </c>
    </row>
    <row r="1522" spans="1:14" ht="23.25" customHeight="1" x14ac:dyDescent="0.25">
      <c r="A1522" s="59">
        <f t="shared" si="149"/>
        <v>1900</v>
      </c>
      <c r="B1522" s="59">
        <f t="shared" si="150"/>
        <v>1</v>
      </c>
      <c r="C1522" s="60"/>
      <c r="D1522" s="61"/>
      <c r="F1522" s="23" t="e">
        <f>VLOOKUP(E1522,Customers[],2,FALSE)</f>
        <v>#N/A</v>
      </c>
      <c r="G1522" s="23" t="e">
        <f>VLOOKUP(E1522,Customers[],3,FALSE)</f>
        <v>#N/A</v>
      </c>
      <c r="H1522" s="23" t="e">
        <f>VLOOKUP(E1522,Customers[],4,FALSE)</f>
        <v>#N/A</v>
      </c>
      <c r="J1522" s="29" t="e">
        <f>VLOOKUP(I1522,PGStock[],2,FALSE)</f>
        <v>#N/A</v>
      </c>
      <c r="K1522" s="30" t="e">
        <f>VLOOKUP(I1522,PGStock[],3,FALSE)</f>
        <v>#N/A</v>
      </c>
      <c r="M1522" s="62" t="e">
        <f>VLOOKUP(I1522,PGStock[],6,FALSE)</f>
        <v>#N/A</v>
      </c>
      <c r="N1522" s="62" t="e">
        <f>+Table8[[#This Row],[SalesBot]]*Table8[[#This Row],[Bonus]]</f>
        <v>#N/A</v>
      </c>
    </row>
    <row r="1523" spans="1:14" ht="23.25" customHeight="1" x14ac:dyDescent="0.25">
      <c r="A1523" s="59">
        <f t="shared" si="149"/>
        <v>1900</v>
      </c>
      <c r="B1523" s="59">
        <f t="shared" si="150"/>
        <v>1</v>
      </c>
      <c r="C1523" s="60"/>
      <c r="D1523" s="61"/>
      <c r="F1523" s="23" t="e">
        <f>VLOOKUP(E1523,Customers[],2,FALSE)</f>
        <v>#N/A</v>
      </c>
      <c r="G1523" s="23" t="e">
        <f>VLOOKUP(E1523,Customers[],3,FALSE)</f>
        <v>#N/A</v>
      </c>
      <c r="H1523" s="23" t="e">
        <f>VLOOKUP(E1523,Customers[],4,FALSE)</f>
        <v>#N/A</v>
      </c>
      <c r="J1523" s="29" t="e">
        <f>VLOOKUP(I1523,PGStock[],2,FALSE)</f>
        <v>#N/A</v>
      </c>
      <c r="K1523" s="30" t="e">
        <f>VLOOKUP(I1523,PGStock[],3,FALSE)</f>
        <v>#N/A</v>
      </c>
      <c r="M1523" s="62" t="e">
        <f>VLOOKUP(I1523,PGStock[],6,FALSE)</f>
        <v>#N/A</v>
      </c>
      <c r="N1523" s="62" t="e">
        <f>+Table8[[#This Row],[SalesBot]]*Table8[[#This Row],[Bonus]]</f>
        <v>#N/A</v>
      </c>
    </row>
    <row r="1524" spans="1:14" ht="23.25" customHeight="1" x14ac:dyDescent="0.25">
      <c r="A1524" s="59">
        <f t="shared" si="149"/>
        <v>1900</v>
      </c>
      <c r="B1524" s="59">
        <f t="shared" si="150"/>
        <v>1</v>
      </c>
      <c r="C1524" s="60"/>
      <c r="D1524" s="61"/>
      <c r="F1524" s="23" t="e">
        <f>VLOOKUP(E1524,Customers[],2,FALSE)</f>
        <v>#N/A</v>
      </c>
      <c r="G1524" s="23" t="e">
        <f>VLOOKUP(E1524,Customers[],3,FALSE)</f>
        <v>#N/A</v>
      </c>
      <c r="H1524" s="23" t="e">
        <f>VLOOKUP(E1524,Customers[],4,FALSE)</f>
        <v>#N/A</v>
      </c>
      <c r="J1524" s="29" t="e">
        <f>VLOOKUP(I1524,PGStock[],2,FALSE)</f>
        <v>#N/A</v>
      </c>
      <c r="K1524" s="30" t="e">
        <f>VLOOKUP(I1524,PGStock[],3,FALSE)</f>
        <v>#N/A</v>
      </c>
      <c r="M1524" s="62" t="e">
        <f>VLOOKUP(I1524,PGStock[],6,FALSE)</f>
        <v>#N/A</v>
      </c>
      <c r="N1524" s="62" t="e">
        <f>+Table8[[#This Row],[SalesBot]]*Table8[[#This Row],[Bonus]]</f>
        <v>#N/A</v>
      </c>
    </row>
    <row r="1525" spans="1:14" ht="23.25" customHeight="1" x14ac:dyDescent="0.25">
      <c r="A1525" s="59">
        <f t="shared" si="149"/>
        <v>1900</v>
      </c>
      <c r="B1525" s="59">
        <f t="shared" si="150"/>
        <v>1</v>
      </c>
      <c r="C1525" s="60"/>
      <c r="D1525" s="61"/>
      <c r="F1525" s="23" t="e">
        <f>VLOOKUP(E1525,Customers[],2,FALSE)</f>
        <v>#N/A</v>
      </c>
      <c r="G1525" s="23" t="e">
        <f>VLOOKUP(E1525,Customers[],3,FALSE)</f>
        <v>#N/A</v>
      </c>
      <c r="H1525" s="23" t="e">
        <f>VLOOKUP(E1525,Customers[],4,FALSE)</f>
        <v>#N/A</v>
      </c>
      <c r="J1525" s="29" t="e">
        <f>VLOOKUP(I1525,PGStock[],2,FALSE)</f>
        <v>#N/A</v>
      </c>
      <c r="K1525" s="30" t="e">
        <f>VLOOKUP(I1525,PGStock[],3,FALSE)</f>
        <v>#N/A</v>
      </c>
      <c r="M1525" s="62" t="e">
        <f>VLOOKUP(I1525,PGStock[],6,FALSE)</f>
        <v>#N/A</v>
      </c>
      <c r="N1525" s="62" t="e">
        <f>+Table8[[#This Row],[SalesBot]]*Table8[[#This Row],[Bonus]]</f>
        <v>#N/A</v>
      </c>
    </row>
    <row r="1526" spans="1:14" ht="23.25" customHeight="1" x14ac:dyDescent="0.25">
      <c r="A1526" s="59">
        <f t="shared" si="149"/>
        <v>1900</v>
      </c>
      <c r="B1526" s="59">
        <f t="shared" si="150"/>
        <v>1</v>
      </c>
      <c r="C1526" s="60"/>
      <c r="D1526" s="61"/>
      <c r="F1526" s="23" t="e">
        <f>VLOOKUP(E1526,Customers[],2,FALSE)</f>
        <v>#N/A</v>
      </c>
      <c r="G1526" s="23" t="e">
        <f>VLOOKUP(E1526,Customers[],3,FALSE)</f>
        <v>#N/A</v>
      </c>
      <c r="H1526" s="23" t="e">
        <f>VLOOKUP(E1526,Customers[],4,FALSE)</f>
        <v>#N/A</v>
      </c>
      <c r="J1526" s="29" t="e">
        <f>VLOOKUP(I1526,PGStock[],2,FALSE)</f>
        <v>#N/A</v>
      </c>
      <c r="K1526" s="30" t="e">
        <f>VLOOKUP(I1526,PGStock[],3,FALSE)</f>
        <v>#N/A</v>
      </c>
      <c r="M1526" s="62" t="e">
        <f>VLOOKUP(I1526,PGStock[],6,FALSE)</f>
        <v>#N/A</v>
      </c>
      <c r="N1526" s="62" t="e">
        <f>+Table8[[#This Row],[SalesBot]]*Table8[[#This Row],[Bonus]]</f>
        <v>#N/A</v>
      </c>
    </row>
    <row r="1527" spans="1:14" ht="23.25" customHeight="1" x14ac:dyDescent="0.25">
      <c r="A1527" s="59">
        <f t="shared" si="149"/>
        <v>1900</v>
      </c>
      <c r="B1527" s="59">
        <f t="shared" si="150"/>
        <v>1</v>
      </c>
      <c r="C1527" s="60"/>
      <c r="D1527" s="61"/>
      <c r="F1527" s="23" t="e">
        <f>VLOOKUP(E1527,Customers[],2,FALSE)</f>
        <v>#N/A</v>
      </c>
      <c r="G1527" s="23" t="e">
        <f>VLOOKUP(E1527,Customers[],3,FALSE)</f>
        <v>#N/A</v>
      </c>
      <c r="H1527" s="23" t="e">
        <f>VLOOKUP(E1527,Customers[],4,FALSE)</f>
        <v>#N/A</v>
      </c>
      <c r="J1527" s="29" t="e">
        <f>VLOOKUP(I1527,PGStock[],2,FALSE)</f>
        <v>#N/A</v>
      </c>
      <c r="K1527" s="30" t="e">
        <f>VLOOKUP(I1527,PGStock[],3,FALSE)</f>
        <v>#N/A</v>
      </c>
      <c r="M1527" s="62" t="e">
        <f>VLOOKUP(I1527,PGStock[],6,FALSE)</f>
        <v>#N/A</v>
      </c>
      <c r="N1527" s="62" t="e">
        <f>+Table8[[#This Row],[SalesBot]]*Table8[[#This Row],[Bonus]]</f>
        <v>#N/A</v>
      </c>
    </row>
    <row r="1528" spans="1:14" ht="23.25" customHeight="1" x14ac:dyDescent="0.25">
      <c r="A1528" s="59">
        <f t="shared" si="149"/>
        <v>1900</v>
      </c>
      <c r="B1528" s="59">
        <f t="shared" si="150"/>
        <v>1</v>
      </c>
      <c r="C1528" s="60"/>
      <c r="D1528" s="61"/>
      <c r="F1528" s="23" t="e">
        <f>VLOOKUP(E1528,Customers[],2,FALSE)</f>
        <v>#N/A</v>
      </c>
      <c r="G1528" s="23" t="e">
        <f>VLOOKUP(E1528,Customers[],3,FALSE)</f>
        <v>#N/A</v>
      </c>
      <c r="H1528" s="23" t="e">
        <f>VLOOKUP(E1528,Customers[],4,FALSE)</f>
        <v>#N/A</v>
      </c>
      <c r="J1528" s="29" t="e">
        <f>VLOOKUP(I1528,PGStock[],2,FALSE)</f>
        <v>#N/A</v>
      </c>
      <c r="K1528" s="30" t="e">
        <f>VLOOKUP(I1528,PGStock[],3,FALSE)</f>
        <v>#N/A</v>
      </c>
      <c r="M1528" s="62" t="e">
        <f>VLOOKUP(I1528,PGStock[],6,FALSE)</f>
        <v>#N/A</v>
      </c>
      <c r="N1528" s="62" t="e">
        <f>+Table8[[#This Row],[SalesBot]]*Table8[[#This Row],[Bonus]]</f>
        <v>#N/A</v>
      </c>
    </row>
    <row r="1529" spans="1:14" ht="23.25" customHeight="1" x14ac:dyDescent="0.25">
      <c r="A1529" s="59">
        <f t="shared" si="149"/>
        <v>1900</v>
      </c>
      <c r="B1529" s="59">
        <f t="shared" si="150"/>
        <v>1</v>
      </c>
      <c r="C1529" s="60"/>
      <c r="D1529" s="61"/>
      <c r="F1529" s="23" t="e">
        <f>VLOOKUP(E1529,Customers[],2,FALSE)</f>
        <v>#N/A</v>
      </c>
      <c r="G1529" s="23" t="e">
        <f>VLOOKUP(E1529,Customers[],3,FALSE)</f>
        <v>#N/A</v>
      </c>
      <c r="H1529" s="23" t="e">
        <f>VLOOKUP(E1529,Customers[],4,FALSE)</f>
        <v>#N/A</v>
      </c>
      <c r="J1529" s="29" t="e">
        <f>VLOOKUP(I1529,PGStock[],2,FALSE)</f>
        <v>#N/A</v>
      </c>
      <c r="K1529" s="30" t="e">
        <f>VLOOKUP(I1529,PGStock[],3,FALSE)</f>
        <v>#N/A</v>
      </c>
      <c r="M1529" s="62" t="e">
        <f>VLOOKUP(I1529,PGStock[],6,FALSE)</f>
        <v>#N/A</v>
      </c>
      <c r="N1529" s="62" t="e">
        <f>+Table8[[#This Row],[SalesBot]]*Table8[[#This Row],[Bonus]]</f>
        <v>#N/A</v>
      </c>
    </row>
    <row r="1530" spans="1:14" ht="23.25" customHeight="1" x14ac:dyDescent="0.25">
      <c r="A1530" s="59">
        <f t="shared" si="149"/>
        <v>1900</v>
      </c>
      <c r="B1530" s="59">
        <f t="shared" si="150"/>
        <v>1</v>
      </c>
      <c r="C1530" s="60"/>
      <c r="D1530" s="61"/>
      <c r="F1530" s="23" t="e">
        <f>VLOOKUP(E1530,Customers[],2,FALSE)</f>
        <v>#N/A</v>
      </c>
      <c r="G1530" s="23" t="e">
        <f>VLOOKUP(E1530,Customers[],3,FALSE)</f>
        <v>#N/A</v>
      </c>
      <c r="H1530" s="23" t="e">
        <f>VLOOKUP(E1530,Customers[],4,FALSE)</f>
        <v>#N/A</v>
      </c>
      <c r="J1530" s="29" t="e">
        <f>VLOOKUP(I1530,PGStock[],2,FALSE)</f>
        <v>#N/A</v>
      </c>
      <c r="K1530" s="30" t="e">
        <f>VLOOKUP(I1530,PGStock[],3,FALSE)</f>
        <v>#N/A</v>
      </c>
      <c r="M1530" s="62" t="e">
        <f>VLOOKUP(I1530,PGStock[],6,FALSE)</f>
        <v>#N/A</v>
      </c>
      <c r="N1530" s="62" t="e">
        <f>+Table8[[#This Row],[SalesBot]]*Table8[[#This Row],[Bonus]]</f>
        <v>#N/A</v>
      </c>
    </row>
    <row r="1531" spans="1:14" ht="23.25" customHeight="1" x14ac:dyDescent="0.25">
      <c r="A1531" s="59">
        <f t="shared" si="149"/>
        <v>1900</v>
      </c>
      <c r="B1531" s="59">
        <f t="shared" si="150"/>
        <v>1</v>
      </c>
      <c r="C1531" s="60"/>
      <c r="D1531" s="61"/>
      <c r="F1531" s="23" t="e">
        <f>VLOOKUP(E1531,Customers[],2,FALSE)</f>
        <v>#N/A</v>
      </c>
      <c r="G1531" s="23" t="e">
        <f>VLOOKUP(E1531,Customers[],3,FALSE)</f>
        <v>#N/A</v>
      </c>
      <c r="H1531" s="23" t="e">
        <f>VLOOKUP(E1531,Customers[],4,FALSE)</f>
        <v>#N/A</v>
      </c>
      <c r="J1531" s="29" t="e">
        <f>VLOOKUP(I1531,PGStock[],2,FALSE)</f>
        <v>#N/A</v>
      </c>
      <c r="K1531" s="30" t="e">
        <f>VLOOKUP(I1531,PGStock[],3,FALSE)</f>
        <v>#N/A</v>
      </c>
      <c r="M1531" s="62" t="e">
        <f>VLOOKUP(I1531,PGStock[],6,FALSE)</f>
        <v>#N/A</v>
      </c>
      <c r="N1531" s="62" t="e">
        <f>+Table8[[#This Row],[SalesBot]]*Table8[[#This Row],[Bonus]]</f>
        <v>#N/A</v>
      </c>
    </row>
    <row r="1532" spans="1:14" ht="23.25" customHeight="1" x14ac:dyDescent="0.25">
      <c r="A1532" s="59">
        <f t="shared" si="145"/>
        <v>1900</v>
      </c>
      <c r="B1532" s="59">
        <f t="shared" si="146"/>
        <v>1</v>
      </c>
      <c r="C1532" s="60"/>
      <c r="D1532" s="61"/>
      <c r="F1532" s="23" t="e">
        <f>VLOOKUP(E1532,Customers[],2,FALSE)</f>
        <v>#N/A</v>
      </c>
      <c r="G1532" s="23" t="e">
        <f>VLOOKUP(E1532,Customers[],3,FALSE)</f>
        <v>#N/A</v>
      </c>
      <c r="H1532" s="23" t="e">
        <f>VLOOKUP(E1532,Customers[],4,FALSE)</f>
        <v>#N/A</v>
      </c>
      <c r="J1532" s="29" t="e">
        <f>VLOOKUP(I1532,PGStock[],2,FALSE)</f>
        <v>#N/A</v>
      </c>
      <c r="K1532" s="30" t="e">
        <f>VLOOKUP(I1532,PGStock[],3,FALSE)</f>
        <v>#N/A</v>
      </c>
      <c r="M1532" s="62" t="e">
        <f>VLOOKUP(I1532,PGStock[],6,FALSE)</f>
        <v>#N/A</v>
      </c>
      <c r="N1532" s="62" t="e">
        <f>+Table8[[#This Row],[SalesBot]]*Table8[[#This Row],[Bonus]]</f>
        <v>#N/A</v>
      </c>
    </row>
    <row r="1533" spans="1:14" ht="23.25" customHeight="1" x14ac:dyDescent="0.25">
      <c r="A1533" s="59">
        <f t="shared" si="145"/>
        <v>1900</v>
      </c>
      <c r="B1533" s="59">
        <f t="shared" si="146"/>
        <v>1</v>
      </c>
      <c r="C1533" s="60"/>
      <c r="D1533" s="61"/>
      <c r="F1533" s="23" t="e">
        <f>VLOOKUP(E1533,Customers[],2,FALSE)</f>
        <v>#N/A</v>
      </c>
      <c r="G1533" s="23" t="e">
        <f>VLOOKUP(E1533,Customers[],3,FALSE)</f>
        <v>#N/A</v>
      </c>
      <c r="H1533" s="23" t="e">
        <f>VLOOKUP(E1533,Customers[],4,FALSE)</f>
        <v>#N/A</v>
      </c>
      <c r="J1533" s="29" t="e">
        <f>VLOOKUP(I1533,PGStock[],2,FALSE)</f>
        <v>#N/A</v>
      </c>
      <c r="K1533" s="30" t="e">
        <f>VLOOKUP(I1533,PGStock[],3,FALSE)</f>
        <v>#N/A</v>
      </c>
      <c r="M1533" s="62" t="e">
        <f>VLOOKUP(I1533,PGStock[],6,FALSE)</f>
        <v>#N/A</v>
      </c>
      <c r="N1533" s="62" t="e">
        <f>+Table8[[#This Row],[SalesBot]]*Table8[[#This Row],[Bonus]]</f>
        <v>#N/A</v>
      </c>
    </row>
    <row r="1534" spans="1:14" ht="23.25" customHeight="1" x14ac:dyDescent="0.25">
      <c r="A1534" s="59">
        <f t="shared" si="145"/>
        <v>1900</v>
      </c>
      <c r="B1534" s="59">
        <f t="shared" si="146"/>
        <v>1</v>
      </c>
      <c r="C1534" s="60"/>
      <c r="D1534" s="61"/>
      <c r="F1534" s="23" t="e">
        <f>VLOOKUP(E1534,Customers[],2,FALSE)</f>
        <v>#N/A</v>
      </c>
      <c r="G1534" s="23" t="e">
        <f>VLOOKUP(E1534,Customers[],3,FALSE)</f>
        <v>#N/A</v>
      </c>
      <c r="H1534" s="23" t="e">
        <f>VLOOKUP(E1534,Customers[],4,FALSE)</f>
        <v>#N/A</v>
      </c>
      <c r="J1534" s="29" t="e">
        <f>VLOOKUP(I1534,PGStock[],2,FALSE)</f>
        <v>#N/A</v>
      </c>
      <c r="K1534" s="30" t="e">
        <f>VLOOKUP(I1534,PGStock[],3,FALSE)</f>
        <v>#N/A</v>
      </c>
      <c r="M1534" s="62" t="e">
        <f>VLOOKUP(I1534,PGStock[],6,FALSE)</f>
        <v>#N/A</v>
      </c>
      <c r="N1534" s="62" t="e">
        <f>+Table8[[#This Row],[SalesBot]]*Table8[[#This Row],[Bonus]]</f>
        <v>#N/A</v>
      </c>
    </row>
    <row r="1535" spans="1:14" ht="23.25" customHeight="1" x14ac:dyDescent="0.25">
      <c r="A1535" s="59">
        <f t="shared" si="145"/>
        <v>1900</v>
      </c>
      <c r="B1535" s="59">
        <f t="shared" si="146"/>
        <v>1</v>
      </c>
      <c r="C1535" s="60"/>
      <c r="D1535" s="61"/>
      <c r="F1535" s="23" t="e">
        <f>VLOOKUP(E1535,Customers[],2,FALSE)</f>
        <v>#N/A</v>
      </c>
      <c r="G1535" s="23" t="e">
        <f>VLOOKUP(E1535,Customers[],3,FALSE)</f>
        <v>#N/A</v>
      </c>
      <c r="H1535" s="23" t="e">
        <f>VLOOKUP(E1535,Customers[],4,FALSE)</f>
        <v>#N/A</v>
      </c>
      <c r="J1535" s="29" t="e">
        <f>VLOOKUP(I1535,PGStock[],2,FALSE)</f>
        <v>#N/A</v>
      </c>
      <c r="K1535" s="30" t="e">
        <f>VLOOKUP(I1535,PGStock[],3,FALSE)</f>
        <v>#N/A</v>
      </c>
      <c r="M1535" s="62" t="e">
        <f>VLOOKUP(I1535,PGStock[],6,FALSE)</f>
        <v>#N/A</v>
      </c>
      <c r="N1535" s="62" t="e">
        <f>+Table8[[#This Row],[SalesBot]]*Table8[[#This Row],[Bonus]]</f>
        <v>#N/A</v>
      </c>
    </row>
    <row r="1536" spans="1:14" ht="23.25" customHeight="1" x14ac:dyDescent="0.25">
      <c r="A1536" s="59">
        <f t="shared" ref="A1536:A1544" si="151">YEAR(C1536)</f>
        <v>1900</v>
      </c>
      <c r="B1536" s="59">
        <f t="shared" ref="B1536:B1544" si="152">MONTH(C1536)</f>
        <v>1</v>
      </c>
      <c r="C1536" s="60"/>
      <c r="D1536" s="61"/>
      <c r="F1536" s="23" t="e">
        <f>VLOOKUP(E1536,Customers[],2,FALSE)</f>
        <v>#N/A</v>
      </c>
      <c r="G1536" s="23" t="e">
        <f>VLOOKUP(E1536,Customers[],3,FALSE)</f>
        <v>#N/A</v>
      </c>
      <c r="H1536" s="23" t="e">
        <f>VLOOKUP(E1536,Customers[],4,FALSE)</f>
        <v>#N/A</v>
      </c>
      <c r="J1536" s="29" t="e">
        <f>VLOOKUP(I1536,PGStock[],2,FALSE)</f>
        <v>#N/A</v>
      </c>
      <c r="K1536" s="30" t="e">
        <f>VLOOKUP(I1536,PGStock[],3,FALSE)</f>
        <v>#N/A</v>
      </c>
      <c r="M1536" s="62" t="e">
        <f>VLOOKUP(I1536,PGStock[],6,FALSE)</f>
        <v>#N/A</v>
      </c>
      <c r="N1536" s="62" t="e">
        <f>+Table8[[#This Row],[SalesBot]]*Table8[[#This Row],[Bonus]]</f>
        <v>#N/A</v>
      </c>
    </row>
    <row r="1537" spans="1:14" ht="23.25" customHeight="1" x14ac:dyDescent="0.25">
      <c r="A1537" s="59">
        <f t="shared" si="151"/>
        <v>1900</v>
      </c>
      <c r="B1537" s="59">
        <f t="shared" si="152"/>
        <v>1</v>
      </c>
      <c r="C1537" s="60"/>
      <c r="D1537" s="61"/>
      <c r="F1537" s="23" t="e">
        <f>VLOOKUP(E1537,Customers[],2,FALSE)</f>
        <v>#N/A</v>
      </c>
      <c r="G1537" s="23" t="e">
        <f>VLOOKUP(E1537,Customers[],3,FALSE)</f>
        <v>#N/A</v>
      </c>
      <c r="H1537" s="23" t="e">
        <f>VLOOKUP(E1537,Customers[],4,FALSE)</f>
        <v>#N/A</v>
      </c>
      <c r="J1537" s="29" t="e">
        <f>VLOOKUP(I1537,PGStock[],2,FALSE)</f>
        <v>#N/A</v>
      </c>
      <c r="K1537" s="30" t="e">
        <f>VLOOKUP(I1537,PGStock[],3,FALSE)</f>
        <v>#N/A</v>
      </c>
      <c r="M1537" s="62" t="e">
        <f>VLOOKUP(I1537,PGStock[],6,FALSE)</f>
        <v>#N/A</v>
      </c>
      <c r="N1537" s="62" t="e">
        <f>+Table8[[#This Row],[SalesBot]]*Table8[[#This Row],[Bonus]]</f>
        <v>#N/A</v>
      </c>
    </row>
    <row r="1538" spans="1:14" ht="23.25" customHeight="1" x14ac:dyDescent="0.25">
      <c r="A1538" s="59">
        <f t="shared" si="151"/>
        <v>1900</v>
      </c>
      <c r="B1538" s="59">
        <f t="shared" si="152"/>
        <v>1</v>
      </c>
      <c r="C1538" s="60"/>
      <c r="D1538" s="61"/>
      <c r="F1538" s="23" t="e">
        <f>VLOOKUP(E1538,Customers[],2,FALSE)</f>
        <v>#N/A</v>
      </c>
      <c r="G1538" s="23" t="e">
        <f>VLOOKUP(E1538,Customers[],3,FALSE)</f>
        <v>#N/A</v>
      </c>
      <c r="H1538" s="23" t="e">
        <f>VLOOKUP(E1538,Customers[],4,FALSE)</f>
        <v>#N/A</v>
      </c>
      <c r="J1538" s="29" t="e">
        <f>VLOOKUP(I1538,PGStock[],2,FALSE)</f>
        <v>#N/A</v>
      </c>
      <c r="K1538" s="30" t="e">
        <f>VLOOKUP(I1538,PGStock[],3,FALSE)</f>
        <v>#N/A</v>
      </c>
      <c r="M1538" s="62" t="e">
        <f>VLOOKUP(I1538,PGStock[],6,FALSE)</f>
        <v>#N/A</v>
      </c>
      <c r="N1538" s="62" t="e">
        <f>+Table8[[#This Row],[SalesBot]]*Table8[[#This Row],[Bonus]]</f>
        <v>#N/A</v>
      </c>
    </row>
    <row r="1539" spans="1:14" ht="23.25" customHeight="1" x14ac:dyDescent="0.25">
      <c r="A1539" s="59">
        <f t="shared" si="151"/>
        <v>1900</v>
      </c>
      <c r="B1539" s="59">
        <f t="shared" si="152"/>
        <v>1</v>
      </c>
      <c r="C1539" s="60"/>
      <c r="D1539" s="61"/>
      <c r="F1539" s="23" t="e">
        <f>VLOOKUP(E1539,Customers[],2,FALSE)</f>
        <v>#N/A</v>
      </c>
      <c r="G1539" s="23" t="e">
        <f>VLOOKUP(E1539,Customers[],3,FALSE)</f>
        <v>#N/A</v>
      </c>
      <c r="H1539" s="23" t="e">
        <f>VLOOKUP(E1539,Customers[],4,FALSE)</f>
        <v>#N/A</v>
      </c>
      <c r="J1539" s="29" t="e">
        <f>VLOOKUP(I1539,PGStock[],2,FALSE)</f>
        <v>#N/A</v>
      </c>
      <c r="K1539" s="30" t="e">
        <f>VLOOKUP(I1539,PGStock[],3,FALSE)</f>
        <v>#N/A</v>
      </c>
      <c r="M1539" s="62" t="e">
        <f>VLOOKUP(I1539,PGStock[],6,FALSE)</f>
        <v>#N/A</v>
      </c>
      <c r="N1539" s="62" t="e">
        <f>+Table8[[#This Row],[SalesBot]]*Table8[[#This Row],[Bonus]]</f>
        <v>#N/A</v>
      </c>
    </row>
    <row r="1540" spans="1:14" ht="23.25" customHeight="1" x14ac:dyDescent="0.25">
      <c r="A1540" s="59">
        <f t="shared" si="151"/>
        <v>1900</v>
      </c>
      <c r="B1540" s="59">
        <f t="shared" si="152"/>
        <v>1</v>
      </c>
      <c r="C1540" s="60"/>
      <c r="D1540" s="61"/>
      <c r="F1540" s="23" t="e">
        <f>VLOOKUP(E1540,Customers[],2,FALSE)</f>
        <v>#N/A</v>
      </c>
      <c r="G1540" s="23" t="e">
        <f>VLOOKUP(E1540,Customers[],3,FALSE)</f>
        <v>#N/A</v>
      </c>
      <c r="H1540" s="23" t="e">
        <f>VLOOKUP(E1540,Customers[],4,FALSE)</f>
        <v>#N/A</v>
      </c>
      <c r="J1540" s="29" t="e">
        <f>VLOOKUP(I1540,PGStock[],2,FALSE)</f>
        <v>#N/A</v>
      </c>
      <c r="K1540" s="30" t="e">
        <f>VLOOKUP(I1540,PGStock[],3,FALSE)</f>
        <v>#N/A</v>
      </c>
      <c r="M1540" s="62" t="e">
        <f>VLOOKUP(I1540,PGStock[],6,FALSE)</f>
        <v>#N/A</v>
      </c>
      <c r="N1540" s="62" t="e">
        <f>+Table8[[#This Row],[SalesBot]]*Table8[[#This Row],[Bonus]]</f>
        <v>#N/A</v>
      </c>
    </row>
    <row r="1541" spans="1:14" ht="23.25" customHeight="1" x14ac:dyDescent="0.25">
      <c r="A1541" s="59">
        <f t="shared" si="151"/>
        <v>1900</v>
      </c>
      <c r="B1541" s="59">
        <f t="shared" si="152"/>
        <v>1</v>
      </c>
      <c r="C1541" s="60"/>
      <c r="D1541" s="61"/>
      <c r="F1541" s="23" t="e">
        <f>VLOOKUP(E1541,Customers[],2,FALSE)</f>
        <v>#N/A</v>
      </c>
      <c r="G1541" s="23" t="e">
        <f>VLOOKUP(E1541,Customers[],3,FALSE)</f>
        <v>#N/A</v>
      </c>
      <c r="H1541" s="23" t="e">
        <f>VLOOKUP(E1541,Customers[],4,FALSE)</f>
        <v>#N/A</v>
      </c>
      <c r="J1541" s="29" t="e">
        <f>VLOOKUP(I1541,PGStock[],2,FALSE)</f>
        <v>#N/A</v>
      </c>
      <c r="K1541" s="30" t="e">
        <f>VLOOKUP(I1541,PGStock[],3,FALSE)</f>
        <v>#N/A</v>
      </c>
      <c r="M1541" s="62" t="e">
        <f>VLOOKUP(I1541,PGStock[],6,FALSE)</f>
        <v>#N/A</v>
      </c>
      <c r="N1541" s="62" t="e">
        <f>+Table8[[#This Row],[SalesBot]]*Table8[[#This Row],[Bonus]]</f>
        <v>#N/A</v>
      </c>
    </row>
    <row r="1542" spans="1:14" ht="23.25" customHeight="1" x14ac:dyDescent="0.25">
      <c r="A1542" s="59">
        <f t="shared" si="151"/>
        <v>1900</v>
      </c>
      <c r="B1542" s="59">
        <f t="shared" si="152"/>
        <v>1</v>
      </c>
      <c r="C1542" s="60"/>
      <c r="D1542" s="61"/>
      <c r="F1542" s="23" t="e">
        <f>VLOOKUP(E1542,Customers[],2,FALSE)</f>
        <v>#N/A</v>
      </c>
      <c r="G1542" s="23" t="e">
        <f>VLOOKUP(E1542,Customers[],3,FALSE)</f>
        <v>#N/A</v>
      </c>
      <c r="H1542" s="23" t="e">
        <f>VLOOKUP(E1542,Customers[],4,FALSE)</f>
        <v>#N/A</v>
      </c>
      <c r="J1542" s="29" t="e">
        <f>VLOOKUP(I1542,PGStock[],2,FALSE)</f>
        <v>#N/A</v>
      </c>
      <c r="K1542" s="30" t="e">
        <f>VLOOKUP(I1542,PGStock[],3,FALSE)</f>
        <v>#N/A</v>
      </c>
      <c r="M1542" s="62" t="e">
        <f>VLOOKUP(I1542,PGStock[],6,FALSE)</f>
        <v>#N/A</v>
      </c>
      <c r="N1542" s="62" t="e">
        <f>+Table8[[#This Row],[SalesBot]]*Table8[[#This Row],[Bonus]]</f>
        <v>#N/A</v>
      </c>
    </row>
    <row r="1543" spans="1:14" ht="23.25" customHeight="1" x14ac:dyDescent="0.25">
      <c r="A1543" s="59">
        <f t="shared" si="151"/>
        <v>1900</v>
      </c>
      <c r="B1543" s="59">
        <f t="shared" si="152"/>
        <v>1</v>
      </c>
      <c r="C1543" s="60"/>
      <c r="D1543" s="61"/>
      <c r="F1543" s="23" t="e">
        <f>VLOOKUP(E1543,Customers[],2,FALSE)</f>
        <v>#N/A</v>
      </c>
      <c r="G1543" s="23" t="e">
        <f>VLOOKUP(E1543,Customers[],3,FALSE)</f>
        <v>#N/A</v>
      </c>
      <c r="H1543" s="23" t="e">
        <f>VLOOKUP(E1543,Customers[],4,FALSE)</f>
        <v>#N/A</v>
      </c>
      <c r="J1543" s="29" t="e">
        <f>VLOOKUP(I1543,PGStock[],2,FALSE)</f>
        <v>#N/A</v>
      </c>
      <c r="K1543" s="30" t="e">
        <f>VLOOKUP(I1543,PGStock[],3,FALSE)</f>
        <v>#N/A</v>
      </c>
      <c r="M1543" s="62" t="e">
        <f>VLOOKUP(I1543,PGStock[],6,FALSE)</f>
        <v>#N/A</v>
      </c>
      <c r="N1543" s="62" t="e">
        <f>+Table8[[#This Row],[SalesBot]]*Table8[[#This Row],[Bonus]]</f>
        <v>#N/A</v>
      </c>
    </row>
    <row r="1544" spans="1:14" ht="23.25" customHeight="1" x14ac:dyDescent="0.25">
      <c r="A1544" s="59">
        <f t="shared" si="151"/>
        <v>1900</v>
      </c>
      <c r="B1544" s="59">
        <f t="shared" si="152"/>
        <v>1</v>
      </c>
      <c r="C1544" s="60"/>
      <c r="D1544" s="61"/>
      <c r="F1544" s="23" t="e">
        <f>VLOOKUP(E1544,Customers[],2,FALSE)</f>
        <v>#N/A</v>
      </c>
      <c r="G1544" s="23" t="e">
        <f>VLOOKUP(E1544,Customers[],3,FALSE)</f>
        <v>#N/A</v>
      </c>
      <c r="H1544" s="23" t="e">
        <f>VLOOKUP(E1544,Customers[],4,FALSE)</f>
        <v>#N/A</v>
      </c>
      <c r="J1544" s="29" t="e">
        <f>VLOOKUP(I1544,PGStock[],2,FALSE)</f>
        <v>#N/A</v>
      </c>
      <c r="K1544" s="30" t="e">
        <f>VLOOKUP(I1544,PGStock[],3,FALSE)</f>
        <v>#N/A</v>
      </c>
      <c r="M1544" s="62" t="e">
        <f>VLOOKUP(I1544,PGStock[],6,FALSE)</f>
        <v>#N/A</v>
      </c>
      <c r="N1544" s="62" t="e">
        <f>+Table8[[#This Row],[SalesBot]]*Table8[[#This Row],[Bonus]]</f>
        <v>#N/A</v>
      </c>
    </row>
    <row r="1545" spans="1:14" ht="23.25" customHeight="1" x14ac:dyDescent="0.25">
      <c r="A1545" s="59">
        <f t="shared" ref="A1545:A1824" si="153">YEAR(C1545)</f>
        <v>1900</v>
      </c>
      <c r="B1545" s="59">
        <f t="shared" ref="B1545:B1824" si="154">MONTH(C1545)</f>
        <v>1</v>
      </c>
      <c r="C1545" s="60"/>
      <c r="D1545" s="61"/>
      <c r="F1545" s="23" t="e">
        <f>VLOOKUP(E1545,Customers[],2,FALSE)</f>
        <v>#N/A</v>
      </c>
      <c r="G1545" s="23" t="e">
        <f>VLOOKUP(E1545,Customers[],3,FALSE)</f>
        <v>#N/A</v>
      </c>
      <c r="H1545" s="23" t="e">
        <f>VLOOKUP(E1545,Customers[],4,FALSE)</f>
        <v>#N/A</v>
      </c>
      <c r="J1545" s="29" t="e">
        <f>VLOOKUP(I1545,PGStock[],2,FALSE)</f>
        <v>#N/A</v>
      </c>
      <c r="K1545" s="30" t="e">
        <f>VLOOKUP(I1545,PGStock[],3,FALSE)</f>
        <v>#N/A</v>
      </c>
      <c r="M1545" s="62" t="e">
        <f>VLOOKUP(I1545,PGStock[],6,FALSE)</f>
        <v>#N/A</v>
      </c>
      <c r="N1545" s="62" t="e">
        <f>+Table8[[#This Row],[SalesBot]]*Table8[[#This Row],[Bonus]]</f>
        <v>#N/A</v>
      </c>
    </row>
    <row r="1546" spans="1:14" ht="23.25" customHeight="1" x14ac:dyDescent="0.25">
      <c r="A1546" s="59">
        <f t="shared" si="153"/>
        <v>1900</v>
      </c>
      <c r="B1546" s="59">
        <f t="shared" si="154"/>
        <v>1</v>
      </c>
      <c r="C1546" s="60"/>
      <c r="D1546" s="61"/>
      <c r="F1546" s="23" t="e">
        <f>VLOOKUP(E1546,Customers[],2,FALSE)</f>
        <v>#N/A</v>
      </c>
      <c r="G1546" s="23" t="e">
        <f>VLOOKUP(E1546,Customers[],3,FALSE)</f>
        <v>#N/A</v>
      </c>
      <c r="H1546" s="23" t="e">
        <f>VLOOKUP(E1546,Customers[],4,FALSE)</f>
        <v>#N/A</v>
      </c>
      <c r="J1546" s="29" t="e">
        <f>VLOOKUP(I1546,PGStock[],2,FALSE)</f>
        <v>#N/A</v>
      </c>
      <c r="K1546" s="30" t="e">
        <f>VLOOKUP(I1546,PGStock[],3,FALSE)</f>
        <v>#N/A</v>
      </c>
      <c r="M1546" s="62" t="e">
        <f>VLOOKUP(I1546,PGStock[],6,FALSE)</f>
        <v>#N/A</v>
      </c>
      <c r="N1546" s="62" t="e">
        <f>+Table8[[#This Row],[SalesBot]]*Table8[[#This Row],[Bonus]]</f>
        <v>#N/A</v>
      </c>
    </row>
    <row r="1547" spans="1:14" ht="23.25" customHeight="1" x14ac:dyDescent="0.25">
      <c r="A1547" s="59">
        <f t="shared" si="153"/>
        <v>1900</v>
      </c>
      <c r="B1547" s="59">
        <f t="shared" si="154"/>
        <v>1</v>
      </c>
      <c r="C1547" s="60"/>
      <c r="D1547" s="61"/>
      <c r="F1547" s="23" t="e">
        <f>VLOOKUP(E1547,Customers[],2,FALSE)</f>
        <v>#N/A</v>
      </c>
      <c r="G1547" s="23" t="e">
        <f>VLOOKUP(E1547,Customers[],3,FALSE)</f>
        <v>#N/A</v>
      </c>
      <c r="H1547" s="23" t="e">
        <f>VLOOKUP(E1547,Customers[],4,FALSE)</f>
        <v>#N/A</v>
      </c>
      <c r="J1547" s="29" t="e">
        <f>VLOOKUP(I1547,PGStock[],2,FALSE)</f>
        <v>#N/A</v>
      </c>
      <c r="K1547" s="30" t="e">
        <f>VLOOKUP(I1547,PGStock[],3,FALSE)</f>
        <v>#N/A</v>
      </c>
      <c r="M1547" s="62" t="e">
        <f>VLOOKUP(I1547,PGStock[],6,FALSE)</f>
        <v>#N/A</v>
      </c>
      <c r="N1547" s="62" t="e">
        <f>+Table8[[#This Row],[SalesBot]]*Table8[[#This Row],[Bonus]]</f>
        <v>#N/A</v>
      </c>
    </row>
    <row r="1548" spans="1:14" ht="23.25" customHeight="1" x14ac:dyDescent="0.25">
      <c r="A1548" s="59">
        <f t="shared" ref="A1548:A1560" si="155">YEAR(C1548)</f>
        <v>1900</v>
      </c>
      <c r="B1548" s="59">
        <f t="shared" ref="B1548:B1560" si="156">MONTH(C1548)</f>
        <v>1</v>
      </c>
      <c r="C1548" s="60"/>
      <c r="D1548" s="61"/>
      <c r="F1548" s="23" t="e">
        <f>VLOOKUP(E1548,Customers[],2,FALSE)</f>
        <v>#N/A</v>
      </c>
      <c r="G1548" s="23" t="e">
        <f>VLOOKUP(E1548,Customers[],3,FALSE)</f>
        <v>#N/A</v>
      </c>
      <c r="H1548" s="23" t="e">
        <f>VLOOKUP(E1548,Customers[],4,FALSE)</f>
        <v>#N/A</v>
      </c>
      <c r="J1548" s="29" t="e">
        <f>VLOOKUP(I1548,PGStock[],2,FALSE)</f>
        <v>#N/A</v>
      </c>
      <c r="K1548" s="30" t="e">
        <f>VLOOKUP(I1548,PGStock[],3,FALSE)</f>
        <v>#N/A</v>
      </c>
      <c r="M1548" s="62" t="e">
        <f>VLOOKUP(I1548,PGStock[],6,FALSE)</f>
        <v>#N/A</v>
      </c>
      <c r="N1548" s="62" t="e">
        <f>+Table8[[#This Row],[SalesBot]]*Table8[[#This Row],[Bonus]]</f>
        <v>#N/A</v>
      </c>
    </row>
    <row r="1549" spans="1:14" ht="23.25" customHeight="1" x14ac:dyDescent="0.25">
      <c r="A1549" s="59">
        <f t="shared" si="155"/>
        <v>1900</v>
      </c>
      <c r="B1549" s="59">
        <f t="shared" si="156"/>
        <v>1</v>
      </c>
      <c r="C1549" s="60"/>
      <c r="D1549" s="61"/>
      <c r="F1549" s="23" t="e">
        <f>VLOOKUP(E1549,Customers[],2,FALSE)</f>
        <v>#N/A</v>
      </c>
      <c r="G1549" s="23" t="e">
        <f>VLOOKUP(E1549,Customers[],3,FALSE)</f>
        <v>#N/A</v>
      </c>
      <c r="H1549" s="23" t="e">
        <f>VLOOKUP(E1549,Customers[],4,FALSE)</f>
        <v>#N/A</v>
      </c>
      <c r="J1549" s="29" t="e">
        <f>VLOOKUP(I1549,PGStock[],2,FALSE)</f>
        <v>#N/A</v>
      </c>
      <c r="K1549" s="30" t="e">
        <f>VLOOKUP(I1549,PGStock[],3,FALSE)</f>
        <v>#N/A</v>
      </c>
      <c r="M1549" s="62" t="e">
        <f>VLOOKUP(I1549,PGStock[],6,FALSE)</f>
        <v>#N/A</v>
      </c>
      <c r="N1549" s="62" t="e">
        <f>+Table8[[#This Row],[SalesBot]]*Table8[[#This Row],[Bonus]]</f>
        <v>#N/A</v>
      </c>
    </row>
    <row r="1550" spans="1:14" ht="23.25" customHeight="1" x14ac:dyDescent="0.25">
      <c r="A1550" s="59">
        <f t="shared" si="155"/>
        <v>1900</v>
      </c>
      <c r="B1550" s="59">
        <f t="shared" si="156"/>
        <v>1</v>
      </c>
      <c r="C1550" s="60"/>
      <c r="D1550" s="61"/>
      <c r="F1550" s="23" t="e">
        <f>VLOOKUP(E1550,Customers[],2,FALSE)</f>
        <v>#N/A</v>
      </c>
      <c r="G1550" s="23" t="e">
        <f>VLOOKUP(E1550,Customers[],3,FALSE)</f>
        <v>#N/A</v>
      </c>
      <c r="H1550" s="23" t="e">
        <f>VLOOKUP(E1550,Customers[],4,FALSE)</f>
        <v>#N/A</v>
      </c>
      <c r="J1550" s="29" t="e">
        <f>VLOOKUP(I1550,PGStock[],2,FALSE)</f>
        <v>#N/A</v>
      </c>
      <c r="K1550" s="30" t="e">
        <f>VLOOKUP(I1550,PGStock[],3,FALSE)</f>
        <v>#N/A</v>
      </c>
      <c r="M1550" s="62" t="e">
        <f>VLOOKUP(I1550,PGStock[],6,FALSE)</f>
        <v>#N/A</v>
      </c>
      <c r="N1550" s="62" t="e">
        <f>+Table8[[#This Row],[SalesBot]]*Table8[[#This Row],[Bonus]]</f>
        <v>#N/A</v>
      </c>
    </row>
    <row r="1551" spans="1:14" ht="23.25" customHeight="1" x14ac:dyDescent="0.25">
      <c r="A1551" s="59">
        <f t="shared" si="155"/>
        <v>1900</v>
      </c>
      <c r="B1551" s="59">
        <f t="shared" si="156"/>
        <v>1</v>
      </c>
      <c r="C1551" s="60"/>
      <c r="D1551" s="61"/>
      <c r="F1551" s="23" t="e">
        <f>VLOOKUP(E1551,Customers[],2,FALSE)</f>
        <v>#N/A</v>
      </c>
      <c r="G1551" s="23" t="e">
        <f>VLOOKUP(E1551,Customers[],3,FALSE)</f>
        <v>#N/A</v>
      </c>
      <c r="H1551" s="23" t="e">
        <f>VLOOKUP(E1551,Customers[],4,FALSE)</f>
        <v>#N/A</v>
      </c>
      <c r="J1551" s="29" t="e">
        <f>VLOOKUP(I1551,PGStock[],2,FALSE)</f>
        <v>#N/A</v>
      </c>
      <c r="K1551" s="30" t="e">
        <f>VLOOKUP(I1551,PGStock[],3,FALSE)</f>
        <v>#N/A</v>
      </c>
      <c r="M1551" s="62" t="e">
        <f>VLOOKUP(I1551,PGStock[],6,FALSE)</f>
        <v>#N/A</v>
      </c>
      <c r="N1551" s="62" t="e">
        <f>+Table8[[#This Row],[SalesBot]]*Table8[[#This Row],[Bonus]]</f>
        <v>#N/A</v>
      </c>
    </row>
    <row r="1552" spans="1:14" ht="23.25" customHeight="1" x14ac:dyDescent="0.25">
      <c r="A1552" s="59">
        <f t="shared" si="155"/>
        <v>1900</v>
      </c>
      <c r="B1552" s="59">
        <f t="shared" si="156"/>
        <v>1</v>
      </c>
      <c r="C1552" s="60"/>
      <c r="D1552" s="61"/>
      <c r="F1552" s="23" t="e">
        <f>VLOOKUP(E1552,Customers[],2,FALSE)</f>
        <v>#N/A</v>
      </c>
      <c r="G1552" s="23" t="e">
        <f>VLOOKUP(E1552,Customers[],3,FALSE)</f>
        <v>#N/A</v>
      </c>
      <c r="H1552" s="23" t="e">
        <f>VLOOKUP(E1552,Customers[],4,FALSE)</f>
        <v>#N/A</v>
      </c>
      <c r="J1552" s="29" t="e">
        <f>VLOOKUP(I1552,PGStock[],2,FALSE)</f>
        <v>#N/A</v>
      </c>
      <c r="K1552" s="30" t="e">
        <f>VLOOKUP(I1552,PGStock[],3,FALSE)</f>
        <v>#N/A</v>
      </c>
      <c r="M1552" s="62" t="e">
        <f>VLOOKUP(I1552,PGStock[],6,FALSE)</f>
        <v>#N/A</v>
      </c>
      <c r="N1552" s="62" t="e">
        <f>+Table8[[#This Row],[SalesBot]]*Table8[[#This Row],[Bonus]]</f>
        <v>#N/A</v>
      </c>
    </row>
    <row r="1553" spans="1:14" ht="23.25" customHeight="1" x14ac:dyDescent="0.25">
      <c r="A1553" s="59">
        <f t="shared" si="155"/>
        <v>1900</v>
      </c>
      <c r="B1553" s="59">
        <f t="shared" si="156"/>
        <v>1</v>
      </c>
      <c r="C1553" s="60"/>
      <c r="D1553" s="61"/>
      <c r="F1553" s="23" t="e">
        <f>VLOOKUP(E1553,Customers[],2,FALSE)</f>
        <v>#N/A</v>
      </c>
      <c r="G1553" s="23" t="e">
        <f>VLOOKUP(E1553,Customers[],3,FALSE)</f>
        <v>#N/A</v>
      </c>
      <c r="H1553" s="23" t="e">
        <f>VLOOKUP(E1553,Customers[],4,FALSE)</f>
        <v>#N/A</v>
      </c>
      <c r="J1553" s="29" t="e">
        <f>VLOOKUP(I1553,PGStock[],2,FALSE)</f>
        <v>#N/A</v>
      </c>
      <c r="K1553" s="30" t="e">
        <f>VLOOKUP(I1553,PGStock[],3,FALSE)</f>
        <v>#N/A</v>
      </c>
      <c r="M1553" s="62" t="e">
        <f>VLOOKUP(I1553,PGStock[],6,FALSE)</f>
        <v>#N/A</v>
      </c>
      <c r="N1553" s="62" t="e">
        <f>+Table8[[#This Row],[SalesBot]]*Table8[[#This Row],[Bonus]]</f>
        <v>#N/A</v>
      </c>
    </row>
    <row r="1554" spans="1:14" ht="23.25" customHeight="1" x14ac:dyDescent="0.25">
      <c r="A1554" s="59">
        <f t="shared" si="155"/>
        <v>1900</v>
      </c>
      <c r="B1554" s="59">
        <f t="shared" si="156"/>
        <v>1</v>
      </c>
      <c r="C1554" s="60"/>
      <c r="D1554" s="61"/>
      <c r="F1554" s="23" t="e">
        <f>VLOOKUP(E1554,Customers[],2,FALSE)</f>
        <v>#N/A</v>
      </c>
      <c r="G1554" s="23" t="e">
        <f>VLOOKUP(E1554,Customers[],3,FALSE)</f>
        <v>#N/A</v>
      </c>
      <c r="H1554" s="23" t="e">
        <f>VLOOKUP(E1554,Customers[],4,FALSE)</f>
        <v>#N/A</v>
      </c>
      <c r="J1554" s="29" t="e">
        <f>VLOOKUP(I1554,PGStock[],2,FALSE)</f>
        <v>#N/A</v>
      </c>
      <c r="K1554" s="30" t="e">
        <f>VLOOKUP(I1554,PGStock[],3,FALSE)</f>
        <v>#N/A</v>
      </c>
      <c r="M1554" s="62" t="e">
        <f>VLOOKUP(I1554,PGStock[],6,FALSE)</f>
        <v>#N/A</v>
      </c>
      <c r="N1554" s="62" t="e">
        <f>+Table8[[#This Row],[SalesBot]]*Table8[[#This Row],[Bonus]]</f>
        <v>#N/A</v>
      </c>
    </row>
    <row r="1555" spans="1:14" ht="23.25" customHeight="1" x14ac:dyDescent="0.25">
      <c r="A1555" s="59">
        <f t="shared" si="155"/>
        <v>1900</v>
      </c>
      <c r="B1555" s="59">
        <f t="shared" si="156"/>
        <v>1</v>
      </c>
      <c r="C1555" s="60"/>
      <c r="D1555" s="61"/>
      <c r="F1555" s="23" t="e">
        <f>VLOOKUP(E1555,Customers[],2,FALSE)</f>
        <v>#N/A</v>
      </c>
      <c r="G1555" s="23" t="e">
        <f>VLOOKUP(E1555,Customers[],3,FALSE)</f>
        <v>#N/A</v>
      </c>
      <c r="H1555" s="23" t="e">
        <f>VLOOKUP(E1555,Customers[],4,FALSE)</f>
        <v>#N/A</v>
      </c>
      <c r="J1555" s="29" t="e">
        <f>VLOOKUP(I1555,PGStock[],2,FALSE)</f>
        <v>#N/A</v>
      </c>
      <c r="K1555" s="30" t="e">
        <f>VLOOKUP(I1555,PGStock[],3,FALSE)</f>
        <v>#N/A</v>
      </c>
      <c r="M1555" s="62" t="e">
        <f>VLOOKUP(I1555,PGStock[],6,FALSE)</f>
        <v>#N/A</v>
      </c>
      <c r="N1555" s="62" t="e">
        <f>+Table8[[#This Row],[SalesBot]]*Table8[[#This Row],[Bonus]]</f>
        <v>#N/A</v>
      </c>
    </row>
    <row r="1556" spans="1:14" ht="23.25" customHeight="1" x14ac:dyDescent="0.25">
      <c r="A1556" s="59">
        <f t="shared" si="155"/>
        <v>1900</v>
      </c>
      <c r="B1556" s="59">
        <f t="shared" si="156"/>
        <v>1</v>
      </c>
      <c r="C1556" s="60"/>
      <c r="D1556" s="61"/>
      <c r="F1556" s="23" t="e">
        <f>VLOOKUP(E1556,Customers[],2,FALSE)</f>
        <v>#N/A</v>
      </c>
      <c r="G1556" s="23" t="e">
        <f>VLOOKUP(E1556,Customers[],3,FALSE)</f>
        <v>#N/A</v>
      </c>
      <c r="H1556" s="23" t="e">
        <f>VLOOKUP(E1556,Customers[],4,FALSE)</f>
        <v>#N/A</v>
      </c>
      <c r="J1556" s="29" t="e">
        <f>VLOOKUP(I1556,PGStock[],2,FALSE)</f>
        <v>#N/A</v>
      </c>
      <c r="K1556" s="30" t="e">
        <f>VLOOKUP(I1556,PGStock[],3,FALSE)</f>
        <v>#N/A</v>
      </c>
      <c r="M1556" s="62" t="e">
        <f>VLOOKUP(I1556,PGStock[],6,FALSE)</f>
        <v>#N/A</v>
      </c>
      <c r="N1556" s="62" t="e">
        <f>+Table8[[#This Row],[SalesBot]]*Table8[[#This Row],[Bonus]]</f>
        <v>#N/A</v>
      </c>
    </row>
    <row r="1557" spans="1:14" ht="23.25" customHeight="1" x14ac:dyDescent="0.25">
      <c r="A1557" s="59">
        <f t="shared" si="155"/>
        <v>1900</v>
      </c>
      <c r="B1557" s="59">
        <f t="shared" si="156"/>
        <v>1</v>
      </c>
      <c r="C1557" s="60"/>
      <c r="D1557" s="61"/>
      <c r="F1557" s="23" t="e">
        <f>VLOOKUP(E1557,Customers[],2,FALSE)</f>
        <v>#N/A</v>
      </c>
      <c r="G1557" s="23" t="e">
        <f>VLOOKUP(E1557,Customers[],3,FALSE)</f>
        <v>#N/A</v>
      </c>
      <c r="H1557" s="23" t="e">
        <f>VLOOKUP(E1557,Customers[],4,FALSE)</f>
        <v>#N/A</v>
      </c>
      <c r="J1557" s="29" t="e">
        <f>VLOOKUP(I1557,PGStock[],2,FALSE)</f>
        <v>#N/A</v>
      </c>
      <c r="K1557" s="30" t="e">
        <f>VLOOKUP(I1557,PGStock[],3,FALSE)</f>
        <v>#N/A</v>
      </c>
      <c r="M1557" s="62" t="e">
        <f>VLOOKUP(I1557,PGStock[],6,FALSE)</f>
        <v>#N/A</v>
      </c>
      <c r="N1557" s="62" t="e">
        <f>+Table8[[#This Row],[SalesBot]]*Table8[[#This Row],[Bonus]]</f>
        <v>#N/A</v>
      </c>
    </row>
    <row r="1558" spans="1:14" ht="23.25" customHeight="1" x14ac:dyDescent="0.25">
      <c r="A1558" s="59">
        <f t="shared" si="155"/>
        <v>1900</v>
      </c>
      <c r="B1558" s="59">
        <f t="shared" si="156"/>
        <v>1</v>
      </c>
      <c r="C1558" s="60"/>
      <c r="D1558" s="61"/>
      <c r="F1558" s="23" t="e">
        <f>VLOOKUP(E1558,Customers[],2,FALSE)</f>
        <v>#N/A</v>
      </c>
      <c r="G1558" s="23" t="e">
        <f>VLOOKUP(E1558,Customers[],3,FALSE)</f>
        <v>#N/A</v>
      </c>
      <c r="H1558" s="23" t="e">
        <f>VLOOKUP(E1558,Customers[],4,FALSE)</f>
        <v>#N/A</v>
      </c>
      <c r="J1558" s="29" t="e">
        <f>VLOOKUP(I1558,PGStock[],2,FALSE)</f>
        <v>#N/A</v>
      </c>
      <c r="K1558" s="30" t="e">
        <f>VLOOKUP(I1558,PGStock[],3,FALSE)</f>
        <v>#N/A</v>
      </c>
      <c r="M1558" s="62" t="e">
        <f>VLOOKUP(I1558,PGStock[],6,FALSE)</f>
        <v>#N/A</v>
      </c>
      <c r="N1558" s="62" t="e">
        <f>+Table8[[#This Row],[SalesBot]]*Table8[[#This Row],[Bonus]]</f>
        <v>#N/A</v>
      </c>
    </row>
    <row r="1559" spans="1:14" ht="23.25" customHeight="1" x14ac:dyDescent="0.25">
      <c r="A1559" s="59">
        <f t="shared" si="155"/>
        <v>1900</v>
      </c>
      <c r="B1559" s="59">
        <f t="shared" si="156"/>
        <v>1</v>
      </c>
      <c r="C1559" s="60"/>
      <c r="D1559" s="61"/>
      <c r="F1559" s="23" t="e">
        <f>VLOOKUP(E1559,Customers[],2,FALSE)</f>
        <v>#N/A</v>
      </c>
      <c r="G1559" s="23" t="e">
        <f>VLOOKUP(E1559,Customers[],3,FALSE)</f>
        <v>#N/A</v>
      </c>
      <c r="H1559" s="23" t="e">
        <f>VLOOKUP(E1559,Customers[],4,FALSE)</f>
        <v>#N/A</v>
      </c>
      <c r="J1559" s="29" t="e">
        <f>VLOOKUP(I1559,PGStock[],2,FALSE)</f>
        <v>#N/A</v>
      </c>
      <c r="K1559" s="30" t="e">
        <f>VLOOKUP(I1559,PGStock[],3,FALSE)</f>
        <v>#N/A</v>
      </c>
      <c r="M1559" s="62" t="e">
        <f>VLOOKUP(I1559,PGStock[],6,FALSE)</f>
        <v>#N/A</v>
      </c>
      <c r="N1559" s="62" t="e">
        <f>+Table8[[#This Row],[SalesBot]]*Table8[[#This Row],[Bonus]]</f>
        <v>#N/A</v>
      </c>
    </row>
    <row r="1560" spans="1:14" ht="23.25" customHeight="1" x14ac:dyDescent="0.25">
      <c r="A1560" s="59">
        <f t="shared" si="155"/>
        <v>1900</v>
      </c>
      <c r="B1560" s="59">
        <f t="shared" si="156"/>
        <v>1</v>
      </c>
      <c r="C1560" s="60"/>
      <c r="D1560" s="61"/>
      <c r="F1560" s="23" t="e">
        <f>VLOOKUP(E1560,Customers[],2,FALSE)</f>
        <v>#N/A</v>
      </c>
      <c r="G1560" s="23" t="e">
        <f>VLOOKUP(E1560,Customers[],3,FALSE)</f>
        <v>#N/A</v>
      </c>
      <c r="H1560" s="23" t="e">
        <f>VLOOKUP(E1560,Customers[],4,FALSE)</f>
        <v>#N/A</v>
      </c>
      <c r="J1560" s="29" t="e">
        <f>VLOOKUP(I1560,PGStock[],2,FALSE)</f>
        <v>#N/A</v>
      </c>
      <c r="K1560" s="30" t="e">
        <f>VLOOKUP(I1560,PGStock[],3,FALSE)</f>
        <v>#N/A</v>
      </c>
      <c r="M1560" s="62" t="e">
        <f>VLOOKUP(I1560,PGStock[],6,FALSE)</f>
        <v>#N/A</v>
      </c>
      <c r="N1560" s="62" t="e">
        <f>+Table8[[#This Row],[SalesBot]]*Table8[[#This Row],[Bonus]]</f>
        <v>#N/A</v>
      </c>
    </row>
    <row r="1561" spans="1:14" ht="23.25" customHeight="1" x14ac:dyDescent="0.25">
      <c r="A1561" s="59">
        <f t="shared" ref="A1561:A1573" si="157">YEAR(C1561)</f>
        <v>1900</v>
      </c>
      <c r="B1561" s="59">
        <f t="shared" ref="B1561:B1573" si="158">MONTH(C1561)</f>
        <v>1</v>
      </c>
      <c r="C1561" s="60"/>
      <c r="D1561" s="61"/>
      <c r="F1561" s="23" t="e">
        <f>VLOOKUP(E1561,Customers[],2,FALSE)</f>
        <v>#N/A</v>
      </c>
      <c r="G1561" s="23" t="e">
        <f>VLOOKUP(E1561,Customers[],3,FALSE)</f>
        <v>#N/A</v>
      </c>
      <c r="H1561" s="23" t="e">
        <f>VLOOKUP(E1561,Customers[],4,FALSE)</f>
        <v>#N/A</v>
      </c>
      <c r="J1561" s="29" t="e">
        <f>VLOOKUP(I1561,PGStock[],2,FALSE)</f>
        <v>#N/A</v>
      </c>
      <c r="K1561" s="30" t="e">
        <f>VLOOKUP(I1561,PGStock[],3,FALSE)</f>
        <v>#N/A</v>
      </c>
      <c r="M1561" s="62" t="e">
        <f>VLOOKUP(I1561,PGStock[],6,FALSE)</f>
        <v>#N/A</v>
      </c>
      <c r="N1561" s="62" t="e">
        <f>+Table8[[#This Row],[SalesBot]]*Table8[[#This Row],[Bonus]]</f>
        <v>#N/A</v>
      </c>
    </row>
    <row r="1562" spans="1:14" ht="23.25" customHeight="1" x14ac:dyDescent="0.25">
      <c r="A1562" s="59">
        <f t="shared" si="157"/>
        <v>1900</v>
      </c>
      <c r="B1562" s="59">
        <f t="shared" si="158"/>
        <v>1</v>
      </c>
      <c r="C1562" s="60"/>
      <c r="D1562" s="61"/>
      <c r="F1562" s="23" t="e">
        <f>VLOOKUP(E1562,Customers[],2,FALSE)</f>
        <v>#N/A</v>
      </c>
      <c r="G1562" s="23" t="e">
        <f>VLOOKUP(E1562,Customers[],3,FALSE)</f>
        <v>#N/A</v>
      </c>
      <c r="H1562" s="23" t="e">
        <f>VLOOKUP(E1562,Customers[],4,FALSE)</f>
        <v>#N/A</v>
      </c>
      <c r="J1562" s="29" t="e">
        <f>VLOOKUP(I1562,PGStock[],2,FALSE)</f>
        <v>#N/A</v>
      </c>
      <c r="K1562" s="30" t="e">
        <f>VLOOKUP(I1562,PGStock[],3,FALSE)</f>
        <v>#N/A</v>
      </c>
      <c r="M1562" s="62" t="e">
        <f>VLOOKUP(I1562,PGStock[],6,FALSE)</f>
        <v>#N/A</v>
      </c>
      <c r="N1562" s="62" t="e">
        <f>+Table8[[#This Row],[SalesBot]]*Table8[[#This Row],[Bonus]]</f>
        <v>#N/A</v>
      </c>
    </row>
    <row r="1563" spans="1:14" ht="23.25" customHeight="1" x14ac:dyDescent="0.25">
      <c r="A1563" s="59">
        <f t="shared" si="157"/>
        <v>1900</v>
      </c>
      <c r="B1563" s="59">
        <f t="shared" si="158"/>
        <v>1</v>
      </c>
      <c r="C1563" s="60"/>
      <c r="D1563" s="61"/>
      <c r="F1563" s="23" t="e">
        <f>VLOOKUP(E1563,Customers[],2,FALSE)</f>
        <v>#N/A</v>
      </c>
      <c r="G1563" s="23" t="e">
        <f>VLOOKUP(E1563,Customers[],3,FALSE)</f>
        <v>#N/A</v>
      </c>
      <c r="H1563" s="23" t="e">
        <f>VLOOKUP(E1563,Customers[],4,FALSE)</f>
        <v>#N/A</v>
      </c>
      <c r="J1563" s="29" t="e">
        <f>VLOOKUP(I1563,PGStock[],2,FALSE)</f>
        <v>#N/A</v>
      </c>
      <c r="K1563" s="30" t="e">
        <f>VLOOKUP(I1563,PGStock[],3,FALSE)</f>
        <v>#N/A</v>
      </c>
      <c r="M1563" s="62" t="e">
        <f>VLOOKUP(I1563,PGStock[],6,FALSE)</f>
        <v>#N/A</v>
      </c>
      <c r="N1563" s="62" t="e">
        <f>+Table8[[#This Row],[SalesBot]]*Table8[[#This Row],[Bonus]]</f>
        <v>#N/A</v>
      </c>
    </row>
    <row r="1564" spans="1:14" ht="23.25" customHeight="1" x14ac:dyDescent="0.25">
      <c r="A1564" s="59">
        <f t="shared" si="157"/>
        <v>1900</v>
      </c>
      <c r="B1564" s="59">
        <f t="shared" si="158"/>
        <v>1</v>
      </c>
      <c r="C1564" s="60"/>
      <c r="D1564" s="61"/>
      <c r="F1564" s="23" t="e">
        <f>VLOOKUP(E1564,Customers[],2,FALSE)</f>
        <v>#N/A</v>
      </c>
      <c r="G1564" s="23" t="e">
        <f>VLOOKUP(E1564,Customers[],3,FALSE)</f>
        <v>#N/A</v>
      </c>
      <c r="H1564" s="23" t="e">
        <f>VLOOKUP(E1564,Customers[],4,FALSE)</f>
        <v>#N/A</v>
      </c>
      <c r="J1564" s="29" t="e">
        <f>VLOOKUP(I1564,PGStock[],2,FALSE)</f>
        <v>#N/A</v>
      </c>
      <c r="K1564" s="30" t="e">
        <f>VLOOKUP(I1564,PGStock[],3,FALSE)</f>
        <v>#N/A</v>
      </c>
      <c r="M1564" s="62" t="e">
        <f>VLOOKUP(I1564,PGStock[],6,FALSE)</f>
        <v>#N/A</v>
      </c>
      <c r="N1564" s="62" t="e">
        <f>+Table8[[#This Row],[SalesBot]]*Table8[[#This Row],[Bonus]]</f>
        <v>#N/A</v>
      </c>
    </row>
    <row r="1565" spans="1:14" ht="23.25" customHeight="1" x14ac:dyDescent="0.25">
      <c r="A1565" s="59">
        <f t="shared" si="157"/>
        <v>1900</v>
      </c>
      <c r="B1565" s="59">
        <f t="shared" si="158"/>
        <v>1</v>
      </c>
      <c r="C1565" s="60"/>
      <c r="D1565" s="61"/>
      <c r="F1565" s="23" t="e">
        <f>VLOOKUP(E1565,Customers[],2,FALSE)</f>
        <v>#N/A</v>
      </c>
      <c r="G1565" s="23" t="e">
        <f>VLOOKUP(E1565,Customers[],3,FALSE)</f>
        <v>#N/A</v>
      </c>
      <c r="H1565" s="23" t="e">
        <f>VLOOKUP(E1565,Customers[],4,FALSE)</f>
        <v>#N/A</v>
      </c>
      <c r="J1565" s="29" t="e">
        <f>VLOOKUP(I1565,PGStock[],2,FALSE)</f>
        <v>#N/A</v>
      </c>
      <c r="K1565" s="30" t="e">
        <f>VLOOKUP(I1565,PGStock[],3,FALSE)</f>
        <v>#N/A</v>
      </c>
      <c r="M1565" s="62" t="e">
        <f>VLOOKUP(I1565,PGStock[],6,FALSE)</f>
        <v>#N/A</v>
      </c>
      <c r="N1565" s="62" t="e">
        <f>+Table8[[#This Row],[SalesBot]]*Table8[[#This Row],[Bonus]]</f>
        <v>#N/A</v>
      </c>
    </row>
    <row r="1566" spans="1:14" ht="23.25" customHeight="1" x14ac:dyDescent="0.25">
      <c r="A1566" s="59">
        <f t="shared" si="157"/>
        <v>1900</v>
      </c>
      <c r="B1566" s="59">
        <f t="shared" si="158"/>
        <v>1</v>
      </c>
      <c r="C1566" s="60"/>
      <c r="D1566" s="61"/>
      <c r="F1566" s="23" t="e">
        <f>VLOOKUP(E1566,Customers[],2,FALSE)</f>
        <v>#N/A</v>
      </c>
      <c r="G1566" s="23" t="e">
        <f>VLOOKUP(E1566,Customers[],3,FALSE)</f>
        <v>#N/A</v>
      </c>
      <c r="H1566" s="23" t="e">
        <f>VLOOKUP(E1566,Customers[],4,FALSE)</f>
        <v>#N/A</v>
      </c>
      <c r="J1566" s="29" t="e">
        <f>VLOOKUP(I1566,PGStock[],2,FALSE)</f>
        <v>#N/A</v>
      </c>
      <c r="K1566" s="30" t="e">
        <f>VLOOKUP(I1566,PGStock[],3,FALSE)</f>
        <v>#N/A</v>
      </c>
      <c r="M1566" s="62" t="e">
        <f>VLOOKUP(I1566,PGStock[],6,FALSE)</f>
        <v>#N/A</v>
      </c>
      <c r="N1566" s="62" t="e">
        <f>+Table8[[#This Row],[SalesBot]]*Table8[[#This Row],[Bonus]]</f>
        <v>#N/A</v>
      </c>
    </row>
    <row r="1567" spans="1:14" ht="23.25" customHeight="1" x14ac:dyDescent="0.25">
      <c r="A1567" s="59">
        <f t="shared" si="157"/>
        <v>1900</v>
      </c>
      <c r="B1567" s="59">
        <f t="shared" si="158"/>
        <v>1</v>
      </c>
      <c r="C1567" s="60"/>
      <c r="D1567" s="61"/>
      <c r="F1567" s="23" t="e">
        <f>VLOOKUP(E1567,Customers[],2,FALSE)</f>
        <v>#N/A</v>
      </c>
      <c r="G1567" s="23" t="e">
        <f>VLOOKUP(E1567,Customers[],3,FALSE)</f>
        <v>#N/A</v>
      </c>
      <c r="H1567" s="23" t="e">
        <f>VLOOKUP(E1567,Customers[],4,FALSE)</f>
        <v>#N/A</v>
      </c>
      <c r="J1567" s="29" t="e">
        <f>VLOOKUP(I1567,PGStock[],2,FALSE)</f>
        <v>#N/A</v>
      </c>
      <c r="K1567" s="30" t="e">
        <f>VLOOKUP(I1567,PGStock[],3,FALSE)</f>
        <v>#N/A</v>
      </c>
      <c r="M1567" s="62" t="e">
        <f>VLOOKUP(I1567,PGStock[],6,FALSE)</f>
        <v>#N/A</v>
      </c>
      <c r="N1567" s="62" t="e">
        <f>+Table8[[#This Row],[SalesBot]]*Table8[[#This Row],[Bonus]]</f>
        <v>#N/A</v>
      </c>
    </row>
    <row r="1568" spans="1:14" ht="23.25" customHeight="1" x14ac:dyDescent="0.25">
      <c r="A1568" s="59">
        <f t="shared" si="157"/>
        <v>1900</v>
      </c>
      <c r="B1568" s="59">
        <f t="shared" si="158"/>
        <v>1</v>
      </c>
      <c r="C1568" s="60"/>
      <c r="D1568" s="61"/>
      <c r="F1568" s="23" t="e">
        <f>VLOOKUP(E1568,Customers[],2,FALSE)</f>
        <v>#N/A</v>
      </c>
      <c r="G1568" s="23" t="e">
        <f>VLOOKUP(E1568,Customers[],3,FALSE)</f>
        <v>#N/A</v>
      </c>
      <c r="H1568" s="23" t="e">
        <f>VLOOKUP(E1568,Customers[],4,FALSE)</f>
        <v>#N/A</v>
      </c>
      <c r="J1568" s="29" t="e">
        <f>VLOOKUP(I1568,PGStock[],2,FALSE)</f>
        <v>#N/A</v>
      </c>
      <c r="K1568" s="30" t="e">
        <f>VLOOKUP(I1568,PGStock[],3,FALSE)</f>
        <v>#N/A</v>
      </c>
      <c r="M1568" s="62" t="e">
        <f>VLOOKUP(I1568,PGStock[],6,FALSE)</f>
        <v>#N/A</v>
      </c>
      <c r="N1568" s="62" t="e">
        <f>+Table8[[#This Row],[SalesBot]]*Table8[[#This Row],[Bonus]]</f>
        <v>#N/A</v>
      </c>
    </row>
    <row r="1569" spans="1:14" ht="23.25" customHeight="1" x14ac:dyDescent="0.25">
      <c r="A1569" s="59">
        <f t="shared" si="157"/>
        <v>1900</v>
      </c>
      <c r="B1569" s="59">
        <f t="shared" si="158"/>
        <v>1</v>
      </c>
      <c r="C1569" s="60"/>
      <c r="D1569" s="61"/>
      <c r="F1569" s="23" t="e">
        <f>VLOOKUP(E1569,Customers[],2,FALSE)</f>
        <v>#N/A</v>
      </c>
      <c r="G1569" s="23" t="e">
        <f>VLOOKUP(E1569,Customers[],3,FALSE)</f>
        <v>#N/A</v>
      </c>
      <c r="H1569" s="23" t="e">
        <f>VLOOKUP(E1569,Customers[],4,FALSE)</f>
        <v>#N/A</v>
      </c>
      <c r="J1569" s="29" t="e">
        <f>VLOOKUP(I1569,PGStock[],2,FALSE)</f>
        <v>#N/A</v>
      </c>
      <c r="K1569" s="30" t="e">
        <f>VLOOKUP(I1569,PGStock[],3,FALSE)</f>
        <v>#N/A</v>
      </c>
      <c r="M1569" s="62" t="e">
        <f>VLOOKUP(I1569,PGStock[],6,FALSE)</f>
        <v>#N/A</v>
      </c>
      <c r="N1569" s="62" t="e">
        <f>+Table8[[#This Row],[SalesBot]]*Table8[[#This Row],[Bonus]]</f>
        <v>#N/A</v>
      </c>
    </row>
    <row r="1570" spans="1:14" ht="23.25" customHeight="1" x14ac:dyDescent="0.25">
      <c r="A1570" s="59">
        <f t="shared" si="157"/>
        <v>1900</v>
      </c>
      <c r="B1570" s="59">
        <f t="shared" si="158"/>
        <v>1</v>
      </c>
      <c r="C1570" s="60"/>
      <c r="D1570" s="61"/>
      <c r="F1570" s="23" t="e">
        <f>VLOOKUP(E1570,Customers[],2,FALSE)</f>
        <v>#N/A</v>
      </c>
      <c r="G1570" s="23" t="e">
        <f>VLOOKUP(E1570,Customers[],3,FALSE)</f>
        <v>#N/A</v>
      </c>
      <c r="H1570" s="23" t="e">
        <f>VLOOKUP(E1570,Customers[],4,FALSE)</f>
        <v>#N/A</v>
      </c>
      <c r="J1570" s="29" t="e">
        <f>VLOOKUP(I1570,PGStock[],2,FALSE)</f>
        <v>#N/A</v>
      </c>
      <c r="K1570" s="30" t="e">
        <f>VLOOKUP(I1570,PGStock[],3,FALSE)</f>
        <v>#N/A</v>
      </c>
      <c r="M1570" s="62" t="e">
        <f>VLOOKUP(I1570,PGStock[],6,FALSE)</f>
        <v>#N/A</v>
      </c>
      <c r="N1570" s="62" t="e">
        <f>+Table8[[#This Row],[SalesBot]]*Table8[[#This Row],[Bonus]]</f>
        <v>#N/A</v>
      </c>
    </row>
    <row r="1571" spans="1:14" ht="23.25" customHeight="1" x14ac:dyDescent="0.25">
      <c r="A1571" s="59">
        <f t="shared" si="157"/>
        <v>1900</v>
      </c>
      <c r="B1571" s="59">
        <f t="shared" si="158"/>
        <v>1</v>
      </c>
      <c r="C1571" s="60"/>
      <c r="D1571" s="61"/>
      <c r="F1571" s="23" t="e">
        <f>VLOOKUP(E1571,Customers[],2,FALSE)</f>
        <v>#N/A</v>
      </c>
      <c r="G1571" s="23" t="e">
        <f>VLOOKUP(E1571,Customers[],3,FALSE)</f>
        <v>#N/A</v>
      </c>
      <c r="H1571" s="23" t="e">
        <f>VLOOKUP(E1571,Customers[],4,FALSE)</f>
        <v>#N/A</v>
      </c>
      <c r="J1571" s="29" t="e">
        <f>VLOOKUP(I1571,PGStock[],2,FALSE)</f>
        <v>#N/A</v>
      </c>
      <c r="K1571" s="30" t="e">
        <f>VLOOKUP(I1571,PGStock[],3,FALSE)</f>
        <v>#N/A</v>
      </c>
      <c r="M1571" s="62" t="e">
        <f>VLOOKUP(I1571,PGStock[],6,FALSE)</f>
        <v>#N/A</v>
      </c>
      <c r="N1571" s="62" t="e">
        <f>+Table8[[#This Row],[SalesBot]]*Table8[[#This Row],[Bonus]]</f>
        <v>#N/A</v>
      </c>
    </row>
    <row r="1572" spans="1:14" ht="23.25" customHeight="1" x14ac:dyDescent="0.25">
      <c r="A1572" s="59">
        <f t="shared" si="157"/>
        <v>1900</v>
      </c>
      <c r="B1572" s="59">
        <f t="shared" si="158"/>
        <v>1</v>
      </c>
      <c r="C1572" s="60"/>
      <c r="D1572" s="61"/>
      <c r="F1572" s="23" t="e">
        <f>VLOOKUP(E1572,Customers[],2,FALSE)</f>
        <v>#N/A</v>
      </c>
      <c r="G1572" s="23" t="e">
        <f>VLOOKUP(E1572,Customers[],3,FALSE)</f>
        <v>#N/A</v>
      </c>
      <c r="H1572" s="23" t="e">
        <f>VLOOKUP(E1572,Customers[],4,FALSE)</f>
        <v>#N/A</v>
      </c>
      <c r="J1572" s="29" t="e">
        <f>VLOOKUP(I1572,PGStock[],2,FALSE)</f>
        <v>#N/A</v>
      </c>
      <c r="K1572" s="30" t="e">
        <f>VLOOKUP(I1572,PGStock[],3,FALSE)</f>
        <v>#N/A</v>
      </c>
      <c r="M1572" s="62" t="e">
        <f>VLOOKUP(I1572,PGStock[],6,FALSE)</f>
        <v>#N/A</v>
      </c>
      <c r="N1572" s="62" t="e">
        <f>+Table8[[#This Row],[SalesBot]]*Table8[[#This Row],[Bonus]]</f>
        <v>#N/A</v>
      </c>
    </row>
    <row r="1573" spans="1:14" ht="23.25" customHeight="1" x14ac:dyDescent="0.25">
      <c r="A1573" s="59">
        <f t="shared" si="157"/>
        <v>1900</v>
      </c>
      <c r="B1573" s="59">
        <f t="shared" si="158"/>
        <v>1</v>
      </c>
      <c r="C1573" s="60"/>
      <c r="D1573" s="61"/>
      <c r="F1573" s="23" t="e">
        <f>VLOOKUP(E1573,Customers[],2,FALSE)</f>
        <v>#N/A</v>
      </c>
      <c r="G1573" s="23" t="e">
        <f>VLOOKUP(E1573,Customers[],3,FALSE)</f>
        <v>#N/A</v>
      </c>
      <c r="H1573" s="23" t="e">
        <f>VLOOKUP(E1573,Customers[],4,FALSE)</f>
        <v>#N/A</v>
      </c>
      <c r="J1573" s="29" t="e">
        <f>VLOOKUP(I1573,PGStock[],2,FALSE)</f>
        <v>#N/A</v>
      </c>
      <c r="K1573" s="30" t="e">
        <f>VLOOKUP(I1573,PGStock[],3,FALSE)</f>
        <v>#N/A</v>
      </c>
      <c r="M1573" s="62" t="e">
        <f>VLOOKUP(I1573,PGStock[],6,FALSE)</f>
        <v>#N/A</v>
      </c>
      <c r="N1573" s="62" t="e">
        <f>+Table8[[#This Row],[SalesBot]]*Table8[[#This Row],[Bonus]]</f>
        <v>#N/A</v>
      </c>
    </row>
    <row r="1574" spans="1:14" ht="23.25" customHeight="1" x14ac:dyDescent="0.25">
      <c r="A1574" s="59">
        <f t="shared" ref="A1574:A1586" si="159">YEAR(C1574)</f>
        <v>1900</v>
      </c>
      <c r="B1574" s="59">
        <f t="shared" ref="B1574:B1586" si="160">MONTH(C1574)</f>
        <v>1</v>
      </c>
      <c r="C1574" s="60"/>
      <c r="D1574" s="61"/>
      <c r="F1574" s="23" t="e">
        <f>VLOOKUP(E1574,Customers[],2,FALSE)</f>
        <v>#N/A</v>
      </c>
      <c r="G1574" s="23" t="e">
        <f>VLOOKUP(E1574,Customers[],3,FALSE)</f>
        <v>#N/A</v>
      </c>
      <c r="H1574" s="23" t="e">
        <f>VLOOKUP(E1574,Customers[],4,FALSE)</f>
        <v>#N/A</v>
      </c>
      <c r="J1574" s="29" t="e">
        <f>VLOOKUP(I1574,PGStock[],2,FALSE)</f>
        <v>#N/A</v>
      </c>
      <c r="K1574" s="30" t="e">
        <f>VLOOKUP(I1574,PGStock[],3,FALSE)</f>
        <v>#N/A</v>
      </c>
      <c r="M1574" s="62" t="e">
        <f>VLOOKUP(I1574,PGStock[],6,FALSE)</f>
        <v>#N/A</v>
      </c>
      <c r="N1574" s="62" t="e">
        <f>+Table8[[#This Row],[SalesBot]]*Table8[[#This Row],[Bonus]]</f>
        <v>#N/A</v>
      </c>
    </row>
    <row r="1575" spans="1:14" ht="23.25" customHeight="1" x14ac:dyDescent="0.25">
      <c r="A1575" s="59">
        <f t="shared" si="159"/>
        <v>1900</v>
      </c>
      <c r="B1575" s="59">
        <f t="shared" si="160"/>
        <v>1</v>
      </c>
      <c r="C1575" s="60"/>
      <c r="D1575" s="61"/>
      <c r="F1575" s="23" t="e">
        <f>VLOOKUP(E1575,Customers[],2,FALSE)</f>
        <v>#N/A</v>
      </c>
      <c r="G1575" s="23" t="e">
        <f>VLOOKUP(E1575,Customers[],3,FALSE)</f>
        <v>#N/A</v>
      </c>
      <c r="H1575" s="23" t="e">
        <f>VLOOKUP(E1575,Customers[],4,FALSE)</f>
        <v>#N/A</v>
      </c>
      <c r="J1575" s="29" t="e">
        <f>VLOOKUP(I1575,PGStock[],2,FALSE)</f>
        <v>#N/A</v>
      </c>
      <c r="K1575" s="30" t="e">
        <f>VLOOKUP(I1575,PGStock[],3,FALSE)</f>
        <v>#N/A</v>
      </c>
      <c r="M1575" s="62" t="e">
        <f>VLOOKUP(I1575,PGStock[],6,FALSE)</f>
        <v>#N/A</v>
      </c>
      <c r="N1575" s="62" t="e">
        <f>+Table8[[#This Row],[SalesBot]]*Table8[[#This Row],[Bonus]]</f>
        <v>#N/A</v>
      </c>
    </row>
    <row r="1576" spans="1:14" ht="23.25" customHeight="1" x14ac:dyDescent="0.25">
      <c r="A1576" s="59">
        <f t="shared" si="159"/>
        <v>1900</v>
      </c>
      <c r="B1576" s="59">
        <f t="shared" si="160"/>
        <v>1</v>
      </c>
      <c r="C1576" s="60"/>
      <c r="D1576" s="61"/>
      <c r="F1576" s="23" t="e">
        <f>VLOOKUP(E1576,Customers[],2,FALSE)</f>
        <v>#N/A</v>
      </c>
      <c r="G1576" s="23" t="e">
        <f>VLOOKUP(E1576,Customers[],3,FALSE)</f>
        <v>#N/A</v>
      </c>
      <c r="H1576" s="23" t="e">
        <f>VLOOKUP(E1576,Customers[],4,FALSE)</f>
        <v>#N/A</v>
      </c>
      <c r="J1576" s="29" t="e">
        <f>VLOOKUP(I1576,PGStock[],2,FALSE)</f>
        <v>#N/A</v>
      </c>
      <c r="K1576" s="30" t="e">
        <f>VLOOKUP(I1576,PGStock[],3,FALSE)</f>
        <v>#N/A</v>
      </c>
      <c r="M1576" s="62" t="e">
        <f>VLOOKUP(I1576,PGStock[],6,FALSE)</f>
        <v>#N/A</v>
      </c>
      <c r="N1576" s="62" t="e">
        <f>+Table8[[#This Row],[SalesBot]]*Table8[[#This Row],[Bonus]]</f>
        <v>#N/A</v>
      </c>
    </row>
    <row r="1577" spans="1:14" ht="23.25" customHeight="1" x14ac:dyDescent="0.25">
      <c r="A1577" s="59">
        <f t="shared" si="159"/>
        <v>1900</v>
      </c>
      <c r="B1577" s="59">
        <f t="shared" si="160"/>
        <v>1</v>
      </c>
      <c r="C1577" s="60"/>
      <c r="D1577" s="61"/>
      <c r="F1577" s="23" t="e">
        <f>VLOOKUP(E1577,Customers[],2,FALSE)</f>
        <v>#N/A</v>
      </c>
      <c r="G1577" s="23" t="e">
        <f>VLOOKUP(E1577,Customers[],3,FALSE)</f>
        <v>#N/A</v>
      </c>
      <c r="H1577" s="23" t="e">
        <f>VLOOKUP(E1577,Customers[],4,FALSE)</f>
        <v>#N/A</v>
      </c>
      <c r="J1577" s="29" t="e">
        <f>VLOOKUP(I1577,PGStock[],2,FALSE)</f>
        <v>#N/A</v>
      </c>
      <c r="K1577" s="30" t="e">
        <f>VLOOKUP(I1577,PGStock[],3,FALSE)</f>
        <v>#N/A</v>
      </c>
      <c r="M1577" s="62" t="e">
        <f>VLOOKUP(I1577,PGStock[],6,FALSE)</f>
        <v>#N/A</v>
      </c>
      <c r="N1577" s="62" t="e">
        <f>+Table8[[#This Row],[SalesBot]]*Table8[[#This Row],[Bonus]]</f>
        <v>#N/A</v>
      </c>
    </row>
    <row r="1578" spans="1:14" ht="23.25" customHeight="1" x14ac:dyDescent="0.25">
      <c r="A1578" s="59">
        <f t="shared" si="159"/>
        <v>1900</v>
      </c>
      <c r="B1578" s="59">
        <f t="shared" si="160"/>
        <v>1</v>
      </c>
      <c r="C1578" s="60"/>
      <c r="D1578" s="61"/>
      <c r="F1578" s="23" t="e">
        <f>VLOOKUP(E1578,Customers[],2,FALSE)</f>
        <v>#N/A</v>
      </c>
      <c r="G1578" s="23" t="e">
        <f>VLOOKUP(E1578,Customers[],3,FALSE)</f>
        <v>#N/A</v>
      </c>
      <c r="H1578" s="23" t="e">
        <f>VLOOKUP(E1578,Customers[],4,FALSE)</f>
        <v>#N/A</v>
      </c>
      <c r="J1578" s="29" t="e">
        <f>VLOOKUP(I1578,PGStock[],2,FALSE)</f>
        <v>#N/A</v>
      </c>
      <c r="K1578" s="30" t="e">
        <f>VLOOKUP(I1578,PGStock[],3,FALSE)</f>
        <v>#N/A</v>
      </c>
      <c r="M1578" s="62" t="e">
        <f>VLOOKUP(I1578,PGStock[],6,FALSE)</f>
        <v>#N/A</v>
      </c>
      <c r="N1578" s="62" t="e">
        <f>+Table8[[#This Row],[SalesBot]]*Table8[[#This Row],[Bonus]]</f>
        <v>#N/A</v>
      </c>
    </row>
    <row r="1579" spans="1:14" ht="23.25" customHeight="1" x14ac:dyDescent="0.25">
      <c r="A1579" s="59">
        <f t="shared" si="159"/>
        <v>1900</v>
      </c>
      <c r="B1579" s="59">
        <f t="shared" si="160"/>
        <v>1</v>
      </c>
      <c r="C1579" s="60"/>
      <c r="D1579" s="61"/>
      <c r="F1579" s="23" t="e">
        <f>VLOOKUP(E1579,Customers[],2,FALSE)</f>
        <v>#N/A</v>
      </c>
      <c r="G1579" s="23" t="e">
        <f>VLOOKUP(E1579,Customers[],3,FALSE)</f>
        <v>#N/A</v>
      </c>
      <c r="H1579" s="23" t="e">
        <f>VLOOKUP(E1579,Customers[],4,FALSE)</f>
        <v>#N/A</v>
      </c>
      <c r="J1579" s="29" t="e">
        <f>VLOOKUP(I1579,PGStock[],2,FALSE)</f>
        <v>#N/A</v>
      </c>
      <c r="K1579" s="30" t="e">
        <f>VLOOKUP(I1579,PGStock[],3,FALSE)</f>
        <v>#N/A</v>
      </c>
      <c r="M1579" s="62" t="e">
        <f>VLOOKUP(I1579,PGStock[],6,FALSE)</f>
        <v>#N/A</v>
      </c>
      <c r="N1579" s="62" t="e">
        <f>+Table8[[#This Row],[SalesBot]]*Table8[[#This Row],[Bonus]]</f>
        <v>#N/A</v>
      </c>
    </row>
    <row r="1580" spans="1:14" ht="23.25" customHeight="1" x14ac:dyDescent="0.25">
      <c r="A1580" s="59">
        <f t="shared" si="159"/>
        <v>1900</v>
      </c>
      <c r="B1580" s="59">
        <f t="shared" si="160"/>
        <v>1</v>
      </c>
      <c r="C1580" s="60"/>
      <c r="D1580" s="61"/>
      <c r="F1580" s="23" t="e">
        <f>VLOOKUP(E1580,Customers[],2,FALSE)</f>
        <v>#N/A</v>
      </c>
      <c r="G1580" s="23" t="e">
        <f>VLOOKUP(E1580,Customers[],3,FALSE)</f>
        <v>#N/A</v>
      </c>
      <c r="H1580" s="23" t="e">
        <f>VLOOKUP(E1580,Customers[],4,FALSE)</f>
        <v>#N/A</v>
      </c>
      <c r="J1580" s="29" t="e">
        <f>VLOOKUP(I1580,PGStock[],2,FALSE)</f>
        <v>#N/A</v>
      </c>
      <c r="K1580" s="30" t="e">
        <f>VLOOKUP(I1580,PGStock[],3,FALSE)</f>
        <v>#N/A</v>
      </c>
      <c r="M1580" s="62" t="e">
        <f>VLOOKUP(I1580,PGStock[],6,FALSE)</f>
        <v>#N/A</v>
      </c>
      <c r="N1580" s="62" t="e">
        <f>+Table8[[#This Row],[SalesBot]]*Table8[[#This Row],[Bonus]]</f>
        <v>#N/A</v>
      </c>
    </row>
    <row r="1581" spans="1:14" ht="23.25" customHeight="1" x14ac:dyDescent="0.25">
      <c r="A1581" s="59">
        <f t="shared" si="159"/>
        <v>1900</v>
      </c>
      <c r="B1581" s="59">
        <f t="shared" si="160"/>
        <v>1</v>
      </c>
      <c r="C1581" s="60"/>
      <c r="D1581" s="61"/>
      <c r="F1581" s="23" t="e">
        <f>VLOOKUP(E1581,Customers[],2,FALSE)</f>
        <v>#N/A</v>
      </c>
      <c r="G1581" s="23" t="e">
        <f>VLOOKUP(E1581,Customers[],3,FALSE)</f>
        <v>#N/A</v>
      </c>
      <c r="H1581" s="23" t="e">
        <f>VLOOKUP(E1581,Customers[],4,FALSE)</f>
        <v>#N/A</v>
      </c>
      <c r="J1581" s="29" t="e">
        <f>VLOOKUP(I1581,PGStock[],2,FALSE)</f>
        <v>#N/A</v>
      </c>
      <c r="K1581" s="30" t="e">
        <f>VLOOKUP(I1581,PGStock[],3,FALSE)</f>
        <v>#N/A</v>
      </c>
      <c r="M1581" s="62" t="e">
        <f>VLOOKUP(I1581,PGStock[],6,FALSE)</f>
        <v>#N/A</v>
      </c>
      <c r="N1581" s="62" t="e">
        <f>+Table8[[#This Row],[SalesBot]]*Table8[[#This Row],[Bonus]]</f>
        <v>#N/A</v>
      </c>
    </row>
    <row r="1582" spans="1:14" ht="23.25" customHeight="1" x14ac:dyDescent="0.25">
      <c r="A1582" s="59">
        <f t="shared" si="159"/>
        <v>1900</v>
      </c>
      <c r="B1582" s="59">
        <f t="shared" si="160"/>
        <v>1</v>
      </c>
      <c r="C1582" s="60"/>
      <c r="D1582" s="61"/>
      <c r="F1582" s="23" t="e">
        <f>VLOOKUP(E1582,Customers[],2,FALSE)</f>
        <v>#N/A</v>
      </c>
      <c r="G1582" s="23" t="e">
        <f>VLOOKUP(E1582,Customers[],3,FALSE)</f>
        <v>#N/A</v>
      </c>
      <c r="H1582" s="23" t="e">
        <f>VLOOKUP(E1582,Customers[],4,FALSE)</f>
        <v>#N/A</v>
      </c>
      <c r="J1582" s="29" t="e">
        <f>VLOOKUP(I1582,PGStock[],2,FALSE)</f>
        <v>#N/A</v>
      </c>
      <c r="K1582" s="30" t="e">
        <f>VLOOKUP(I1582,PGStock[],3,FALSE)</f>
        <v>#N/A</v>
      </c>
      <c r="M1582" s="62" t="e">
        <f>VLOOKUP(I1582,PGStock[],6,FALSE)</f>
        <v>#N/A</v>
      </c>
      <c r="N1582" s="62" t="e">
        <f>+Table8[[#This Row],[SalesBot]]*Table8[[#This Row],[Bonus]]</f>
        <v>#N/A</v>
      </c>
    </row>
    <row r="1583" spans="1:14" ht="23.25" customHeight="1" x14ac:dyDescent="0.25">
      <c r="A1583" s="59">
        <f t="shared" si="159"/>
        <v>1900</v>
      </c>
      <c r="B1583" s="59">
        <f t="shared" si="160"/>
        <v>1</v>
      </c>
      <c r="C1583" s="60"/>
      <c r="D1583" s="61"/>
      <c r="F1583" s="23" t="e">
        <f>VLOOKUP(E1583,Customers[],2,FALSE)</f>
        <v>#N/A</v>
      </c>
      <c r="G1583" s="23" t="e">
        <f>VLOOKUP(E1583,Customers[],3,FALSE)</f>
        <v>#N/A</v>
      </c>
      <c r="H1583" s="23" t="e">
        <f>VLOOKUP(E1583,Customers[],4,FALSE)</f>
        <v>#N/A</v>
      </c>
      <c r="J1583" s="29" t="e">
        <f>VLOOKUP(I1583,PGStock[],2,FALSE)</f>
        <v>#N/A</v>
      </c>
      <c r="K1583" s="30" t="e">
        <f>VLOOKUP(I1583,PGStock[],3,FALSE)</f>
        <v>#N/A</v>
      </c>
      <c r="M1583" s="62" t="e">
        <f>VLOOKUP(I1583,PGStock[],6,FALSE)</f>
        <v>#N/A</v>
      </c>
      <c r="N1583" s="62" t="e">
        <f>+Table8[[#This Row],[SalesBot]]*Table8[[#This Row],[Bonus]]</f>
        <v>#N/A</v>
      </c>
    </row>
    <row r="1584" spans="1:14" ht="23.25" customHeight="1" x14ac:dyDescent="0.25">
      <c r="A1584" s="59">
        <f t="shared" si="159"/>
        <v>1900</v>
      </c>
      <c r="B1584" s="59">
        <f t="shared" si="160"/>
        <v>1</v>
      </c>
      <c r="C1584" s="60"/>
      <c r="D1584" s="61"/>
      <c r="F1584" s="23" t="e">
        <f>VLOOKUP(E1584,Customers[],2,FALSE)</f>
        <v>#N/A</v>
      </c>
      <c r="G1584" s="23" t="e">
        <f>VLOOKUP(E1584,Customers[],3,FALSE)</f>
        <v>#N/A</v>
      </c>
      <c r="H1584" s="23" t="e">
        <f>VLOOKUP(E1584,Customers[],4,FALSE)</f>
        <v>#N/A</v>
      </c>
      <c r="J1584" s="29" t="e">
        <f>VLOOKUP(I1584,PGStock[],2,FALSE)</f>
        <v>#N/A</v>
      </c>
      <c r="K1584" s="30" t="e">
        <f>VLOOKUP(I1584,PGStock[],3,FALSE)</f>
        <v>#N/A</v>
      </c>
      <c r="M1584" s="62" t="e">
        <f>VLOOKUP(I1584,PGStock[],6,FALSE)</f>
        <v>#N/A</v>
      </c>
      <c r="N1584" s="62" t="e">
        <f>+Table8[[#This Row],[SalesBot]]*Table8[[#This Row],[Bonus]]</f>
        <v>#N/A</v>
      </c>
    </row>
    <row r="1585" spans="1:14" ht="23.25" customHeight="1" x14ac:dyDescent="0.25">
      <c r="A1585" s="59">
        <f t="shared" si="159"/>
        <v>1900</v>
      </c>
      <c r="B1585" s="59">
        <f t="shared" si="160"/>
        <v>1</v>
      </c>
      <c r="C1585" s="60"/>
      <c r="D1585" s="61"/>
      <c r="F1585" s="23" t="e">
        <f>VLOOKUP(E1585,Customers[],2,FALSE)</f>
        <v>#N/A</v>
      </c>
      <c r="G1585" s="23" t="e">
        <f>VLOOKUP(E1585,Customers[],3,FALSE)</f>
        <v>#N/A</v>
      </c>
      <c r="H1585" s="23" t="e">
        <f>VLOOKUP(E1585,Customers[],4,FALSE)</f>
        <v>#N/A</v>
      </c>
      <c r="J1585" s="29" t="e">
        <f>VLOOKUP(I1585,PGStock[],2,FALSE)</f>
        <v>#N/A</v>
      </c>
      <c r="K1585" s="30" t="e">
        <f>VLOOKUP(I1585,PGStock[],3,FALSE)</f>
        <v>#N/A</v>
      </c>
      <c r="M1585" s="62" t="e">
        <f>VLOOKUP(I1585,PGStock[],6,FALSE)</f>
        <v>#N/A</v>
      </c>
      <c r="N1585" s="62" t="e">
        <f>+Table8[[#This Row],[SalesBot]]*Table8[[#This Row],[Bonus]]</f>
        <v>#N/A</v>
      </c>
    </row>
    <row r="1586" spans="1:14" ht="23.25" customHeight="1" x14ac:dyDescent="0.25">
      <c r="A1586" s="59">
        <f t="shared" si="159"/>
        <v>1900</v>
      </c>
      <c r="B1586" s="59">
        <f t="shared" si="160"/>
        <v>1</v>
      </c>
      <c r="C1586" s="60"/>
      <c r="D1586" s="61"/>
      <c r="F1586" s="23" t="e">
        <f>VLOOKUP(E1586,Customers[],2,FALSE)</f>
        <v>#N/A</v>
      </c>
      <c r="G1586" s="23" t="e">
        <f>VLOOKUP(E1586,Customers[],3,FALSE)</f>
        <v>#N/A</v>
      </c>
      <c r="H1586" s="23" t="e">
        <f>VLOOKUP(E1586,Customers[],4,FALSE)</f>
        <v>#N/A</v>
      </c>
      <c r="J1586" s="29" t="e">
        <f>VLOOKUP(I1586,PGStock[],2,FALSE)</f>
        <v>#N/A</v>
      </c>
      <c r="K1586" s="30" t="e">
        <f>VLOOKUP(I1586,PGStock[],3,FALSE)</f>
        <v>#N/A</v>
      </c>
      <c r="M1586" s="62" t="e">
        <f>VLOOKUP(I1586,PGStock[],6,FALSE)</f>
        <v>#N/A</v>
      </c>
      <c r="N1586" s="62" t="e">
        <f>+Table8[[#This Row],[SalesBot]]*Table8[[#This Row],[Bonus]]</f>
        <v>#N/A</v>
      </c>
    </row>
    <row r="1587" spans="1:14" ht="23.25" customHeight="1" x14ac:dyDescent="0.25">
      <c r="A1587" s="59">
        <f t="shared" ref="A1587:A1599" si="161">YEAR(C1587)</f>
        <v>1900</v>
      </c>
      <c r="B1587" s="59">
        <f t="shared" ref="B1587:B1599" si="162">MONTH(C1587)</f>
        <v>1</v>
      </c>
      <c r="C1587" s="60"/>
      <c r="D1587" s="61"/>
      <c r="F1587" s="23" t="e">
        <f>VLOOKUP(E1587,Customers[],2,FALSE)</f>
        <v>#N/A</v>
      </c>
      <c r="G1587" s="23" t="e">
        <f>VLOOKUP(E1587,Customers[],3,FALSE)</f>
        <v>#N/A</v>
      </c>
      <c r="H1587" s="23" t="e">
        <f>VLOOKUP(E1587,Customers[],4,FALSE)</f>
        <v>#N/A</v>
      </c>
      <c r="J1587" s="29" t="e">
        <f>VLOOKUP(I1587,PGStock[],2,FALSE)</f>
        <v>#N/A</v>
      </c>
      <c r="K1587" s="30" t="e">
        <f>VLOOKUP(I1587,PGStock[],3,FALSE)</f>
        <v>#N/A</v>
      </c>
      <c r="M1587" s="62" t="e">
        <f>VLOOKUP(I1587,PGStock[],6,FALSE)</f>
        <v>#N/A</v>
      </c>
      <c r="N1587" s="62" t="e">
        <f>+Table8[[#This Row],[SalesBot]]*Table8[[#This Row],[Bonus]]</f>
        <v>#N/A</v>
      </c>
    </row>
    <row r="1588" spans="1:14" ht="23.25" customHeight="1" x14ac:dyDescent="0.25">
      <c r="A1588" s="59">
        <f t="shared" si="161"/>
        <v>1900</v>
      </c>
      <c r="B1588" s="59">
        <f t="shared" si="162"/>
        <v>1</v>
      </c>
      <c r="C1588" s="60"/>
      <c r="D1588" s="61"/>
      <c r="F1588" s="23" t="e">
        <f>VLOOKUP(E1588,Customers[],2,FALSE)</f>
        <v>#N/A</v>
      </c>
      <c r="G1588" s="23" t="e">
        <f>VLOOKUP(E1588,Customers[],3,FALSE)</f>
        <v>#N/A</v>
      </c>
      <c r="H1588" s="23" t="e">
        <f>VLOOKUP(E1588,Customers[],4,FALSE)</f>
        <v>#N/A</v>
      </c>
      <c r="J1588" s="29" t="e">
        <f>VLOOKUP(I1588,PGStock[],2,FALSE)</f>
        <v>#N/A</v>
      </c>
      <c r="K1588" s="30" t="e">
        <f>VLOOKUP(I1588,PGStock[],3,FALSE)</f>
        <v>#N/A</v>
      </c>
      <c r="M1588" s="62" t="e">
        <f>VLOOKUP(I1588,PGStock[],6,FALSE)</f>
        <v>#N/A</v>
      </c>
      <c r="N1588" s="62" t="e">
        <f>+Table8[[#This Row],[SalesBot]]*Table8[[#This Row],[Bonus]]</f>
        <v>#N/A</v>
      </c>
    </row>
    <row r="1589" spans="1:14" ht="23.25" customHeight="1" x14ac:dyDescent="0.25">
      <c r="A1589" s="59">
        <f t="shared" si="161"/>
        <v>1900</v>
      </c>
      <c r="B1589" s="59">
        <f t="shared" si="162"/>
        <v>1</v>
      </c>
      <c r="C1589" s="60"/>
      <c r="D1589" s="61"/>
      <c r="F1589" s="23" t="e">
        <f>VLOOKUP(E1589,Customers[],2,FALSE)</f>
        <v>#N/A</v>
      </c>
      <c r="G1589" s="23" t="e">
        <f>VLOOKUP(E1589,Customers[],3,FALSE)</f>
        <v>#N/A</v>
      </c>
      <c r="H1589" s="23" t="e">
        <f>VLOOKUP(E1589,Customers[],4,FALSE)</f>
        <v>#N/A</v>
      </c>
      <c r="J1589" s="29" t="e">
        <f>VLOOKUP(I1589,PGStock[],2,FALSE)</f>
        <v>#N/A</v>
      </c>
      <c r="K1589" s="30" t="e">
        <f>VLOOKUP(I1589,PGStock[],3,FALSE)</f>
        <v>#N/A</v>
      </c>
      <c r="M1589" s="62" t="e">
        <f>VLOOKUP(I1589,PGStock[],6,FALSE)</f>
        <v>#N/A</v>
      </c>
      <c r="N1589" s="62" t="e">
        <f>+Table8[[#This Row],[SalesBot]]*Table8[[#This Row],[Bonus]]</f>
        <v>#N/A</v>
      </c>
    </row>
    <row r="1590" spans="1:14" ht="23.25" customHeight="1" x14ac:dyDescent="0.25">
      <c r="A1590" s="59">
        <f t="shared" si="161"/>
        <v>1900</v>
      </c>
      <c r="B1590" s="59">
        <f t="shared" si="162"/>
        <v>1</v>
      </c>
      <c r="C1590" s="60"/>
      <c r="D1590" s="61"/>
      <c r="F1590" s="23" t="e">
        <f>VLOOKUP(E1590,Customers[],2,FALSE)</f>
        <v>#N/A</v>
      </c>
      <c r="G1590" s="23" t="e">
        <f>VLOOKUP(E1590,Customers[],3,FALSE)</f>
        <v>#N/A</v>
      </c>
      <c r="H1590" s="23" t="e">
        <f>VLOOKUP(E1590,Customers[],4,FALSE)</f>
        <v>#N/A</v>
      </c>
      <c r="J1590" s="29" t="e">
        <f>VLOOKUP(I1590,PGStock[],2,FALSE)</f>
        <v>#N/A</v>
      </c>
      <c r="K1590" s="30" t="e">
        <f>VLOOKUP(I1590,PGStock[],3,FALSE)</f>
        <v>#N/A</v>
      </c>
      <c r="M1590" s="62" t="e">
        <f>VLOOKUP(I1590,PGStock[],6,FALSE)</f>
        <v>#N/A</v>
      </c>
      <c r="N1590" s="62" t="e">
        <f>+Table8[[#This Row],[SalesBot]]*Table8[[#This Row],[Bonus]]</f>
        <v>#N/A</v>
      </c>
    </row>
    <row r="1591" spans="1:14" ht="23.25" customHeight="1" x14ac:dyDescent="0.25">
      <c r="A1591" s="59">
        <f t="shared" si="161"/>
        <v>1900</v>
      </c>
      <c r="B1591" s="59">
        <f t="shared" si="162"/>
        <v>1</v>
      </c>
      <c r="C1591" s="60"/>
      <c r="D1591" s="61"/>
      <c r="F1591" s="23" t="e">
        <f>VLOOKUP(E1591,Customers[],2,FALSE)</f>
        <v>#N/A</v>
      </c>
      <c r="G1591" s="23" t="e">
        <f>VLOOKUP(E1591,Customers[],3,FALSE)</f>
        <v>#N/A</v>
      </c>
      <c r="H1591" s="23" t="e">
        <f>VLOOKUP(E1591,Customers[],4,FALSE)</f>
        <v>#N/A</v>
      </c>
      <c r="J1591" s="29" t="e">
        <f>VLOOKUP(I1591,PGStock[],2,FALSE)</f>
        <v>#N/A</v>
      </c>
      <c r="K1591" s="30" t="e">
        <f>VLOOKUP(I1591,PGStock[],3,FALSE)</f>
        <v>#N/A</v>
      </c>
      <c r="M1591" s="62" t="e">
        <f>VLOOKUP(I1591,PGStock[],6,FALSE)</f>
        <v>#N/A</v>
      </c>
      <c r="N1591" s="62" t="e">
        <f>+Table8[[#This Row],[SalesBot]]*Table8[[#This Row],[Bonus]]</f>
        <v>#N/A</v>
      </c>
    </row>
    <row r="1592" spans="1:14" ht="23.25" customHeight="1" x14ac:dyDescent="0.25">
      <c r="A1592" s="59">
        <f t="shared" si="161"/>
        <v>1900</v>
      </c>
      <c r="B1592" s="59">
        <f t="shared" si="162"/>
        <v>1</v>
      </c>
      <c r="C1592" s="60"/>
      <c r="D1592" s="61"/>
      <c r="F1592" s="23" t="e">
        <f>VLOOKUP(E1592,Customers[],2,FALSE)</f>
        <v>#N/A</v>
      </c>
      <c r="G1592" s="23" t="e">
        <f>VLOOKUP(E1592,Customers[],3,FALSE)</f>
        <v>#N/A</v>
      </c>
      <c r="H1592" s="23" t="e">
        <f>VLOOKUP(E1592,Customers[],4,FALSE)</f>
        <v>#N/A</v>
      </c>
      <c r="J1592" s="29" t="e">
        <f>VLOOKUP(I1592,PGStock[],2,FALSE)</f>
        <v>#N/A</v>
      </c>
      <c r="K1592" s="30" t="e">
        <f>VLOOKUP(I1592,PGStock[],3,FALSE)</f>
        <v>#N/A</v>
      </c>
      <c r="M1592" s="62" t="e">
        <f>VLOOKUP(I1592,PGStock[],6,FALSE)</f>
        <v>#N/A</v>
      </c>
      <c r="N1592" s="62" t="e">
        <f>+Table8[[#This Row],[SalesBot]]*Table8[[#This Row],[Bonus]]</f>
        <v>#N/A</v>
      </c>
    </row>
    <row r="1593" spans="1:14" ht="23.25" customHeight="1" x14ac:dyDescent="0.25">
      <c r="A1593" s="59">
        <f t="shared" si="161"/>
        <v>1900</v>
      </c>
      <c r="B1593" s="59">
        <f t="shared" si="162"/>
        <v>1</v>
      </c>
      <c r="C1593" s="60"/>
      <c r="D1593" s="61"/>
      <c r="F1593" s="23" t="e">
        <f>VLOOKUP(E1593,Customers[],2,FALSE)</f>
        <v>#N/A</v>
      </c>
      <c r="G1593" s="23" t="e">
        <f>VLOOKUP(E1593,Customers[],3,FALSE)</f>
        <v>#N/A</v>
      </c>
      <c r="H1593" s="23" t="e">
        <f>VLOOKUP(E1593,Customers[],4,FALSE)</f>
        <v>#N/A</v>
      </c>
      <c r="J1593" s="29" t="e">
        <f>VLOOKUP(I1593,PGStock[],2,FALSE)</f>
        <v>#N/A</v>
      </c>
      <c r="K1593" s="30" t="e">
        <f>VLOOKUP(I1593,PGStock[],3,FALSE)</f>
        <v>#N/A</v>
      </c>
      <c r="M1593" s="62" t="e">
        <f>VLOOKUP(I1593,PGStock[],6,FALSE)</f>
        <v>#N/A</v>
      </c>
      <c r="N1593" s="62" t="e">
        <f>+Table8[[#This Row],[SalesBot]]*Table8[[#This Row],[Bonus]]</f>
        <v>#N/A</v>
      </c>
    </row>
    <row r="1594" spans="1:14" ht="23.25" customHeight="1" x14ac:dyDescent="0.25">
      <c r="A1594" s="59">
        <f t="shared" si="161"/>
        <v>1900</v>
      </c>
      <c r="B1594" s="59">
        <f t="shared" si="162"/>
        <v>1</v>
      </c>
      <c r="C1594" s="60"/>
      <c r="D1594" s="61"/>
      <c r="F1594" s="23" t="e">
        <f>VLOOKUP(E1594,Customers[],2,FALSE)</f>
        <v>#N/A</v>
      </c>
      <c r="G1594" s="23" t="e">
        <f>VLOOKUP(E1594,Customers[],3,FALSE)</f>
        <v>#N/A</v>
      </c>
      <c r="H1594" s="23" t="e">
        <f>VLOOKUP(E1594,Customers[],4,FALSE)</f>
        <v>#N/A</v>
      </c>
      <c r="J1594" s="29" t="e">
        <f>VLOOKUP(I1594,PGStock[],2,FALSE)</f>
        <v>#N/A</v>
      </c>
      <c r="K1594" s="30" t="e">
        <f>VLOOKUP(I1594,PGStock[],3,FALSE)</f>
        <v>#N/A</v>
      </c>
      <c r="M1594" s="62" t="e">
        <f>VLOOKUP(I1594,PGStock[],6,FALSE)</f>
        <v>#N/A</v>
      </c>
      <c r="N1594" s="62" t="e">
        <f>+Table8[[#This Row],[SalesBot]]*Table8[[#This Row],[Bonus]]</f>
        <v>#N/A</v>
      </c>
    </row>
    <row r="1595" spans="1:14" ht="23.25" customHeight="1" x14ac:dyDescent="0.25">
      <c r="A1595" s="59">
        <f t="shared" si="161"/>
        <v>1900</v>
      </c>
      <c r="B1595" s="59">
        <f t="shared" si="162"/>
        <v>1</v>
      </c>
      <c r="C1595" s="60"/>
      <c r="D1595" s="61"/>
      <c r="F1595" s="23" t="e">
        <f>VLOOKUP(E1595,Customers[],2,FALSE)</f>
        <v>#N/A</v>
      </c>
      <c r="G1595" s="23" t="e">
        <f>VLOOKUP(E1595,Customers[],3,FALSE)</f>
        <v>#N/A</v>
      </c>
      <c r="H1595" s="23" t="e">
        <f>VLOOKUP(E1595,Customers[],4,FALSE)</f>
        <v>#N/A</v>
      </c>
      <c r="J1595" s="29" t="e">
        <f>VLOOKUP(I1595,PGStock[],2,FALSE)</f>
        <v>#N/A</v>
      </c>
      <c r="K1595" s="30" t="e">
        <f>VLOOKUP(I1595,PGStock[],3,FALSE)</f>
        <v>#N/A</v>
      </c>
      <c r="M1595" s="62" t="e">
        <f>VLOOKUP(I1595,PGStock[],6,FALSE)</f>
        <v>#N/A</v>
      </c>
      <c r="N1595" s="62" t="e">
        <f>+Table8[[#This Row],[SalesBot]]*Table8[[#This Row],[Bonus]]</f>
        <v>#N/A</v>
      </c>
    </row>
    <row r="1596" spans="1:14" ht="23.25" customHeight="1" x14ac:dyDescent="0.25">
      <c r="A1596" s="59">
        <f t="shared" si="161"/>
        <v>1900</v>
      </c>
      <c r="B1596" s="59">
        <f t="shared" si="162"/>
        <v>1</v>
      </c>
      <c r="C1596" s="60"/>
      <c r="D1596" s="61"/>
      <c r="F1596" s="23" t="e">
        <f>VLOOKUP(E1596,Customers[],2,FALSE)</f>
        <v>#N/A</v>
      </c>
      <c r="G1596" s="23" t="e">
        <f>VLOOKUP(E1596,Customers[],3,FALSE)</f>
        <v>#N/A</v>
      </c>
      <c r="H1596" s="23" t="e">
        <f>VLOOKUP(E1596,Customers[],4,FALSE)</f>
        <v>#N/A</v>
      </c>
      <c r="J1596" s="29" t="e">
        <f>VLOOKUP(I1596,PGStock[],2,FALSE)</f>
        <v>#N/A</v>
      </c>
      <c r="K1596" s="30" t="e">
        <f>VLOOKUP(I1596,PGStock[],3,FALSE)</f>
        <v>#N/A</v>
      </c>
      <c r="M1596" s="62" t="e">
        <f>VLOOKUP(I1596,PGStock[],6,FALSE)</f>
        <v>#N/A</v>
      </c>
      <c r="N1596" s="62" t="e">
        <f>+Table8[[#This Row],[SalesBot]]*Table8[[#This Row],[Bonus]]</f>
        <v>#N/A</v>
      </c>
    </row>
    <row r="1597" spans="1:14" ht="23.25" customHeight="1" x14ac:dyDescent="0.25">
      <c r="A1597" s="59">
        <f t="shared" si="161"/>
        <v>1900</v>
      </c>
      <c r="B1597" s="59">
        <f t="shared" si="162"/>
        <v>1</v>
      </c>
      <c r="C1597" s="60"/>
      <c r="D1597" s="61"/>
      <c r="F1597" s="23" t="e">
        <f>VLOOKUP(E1597,Customers[],2,FALSE)</f>
        <v>#N/A</v>
      </c>
      <c r="G1597" s="23" t="e">
        <f>VLOOKUP(E1597,Customers[],3,FALSE)</f>
        <v>#N/A</v>
      </c>
      <c r="H1597" s="23" t="e">
        <f>VLOOKUP(E1597,Customers[],4,FALSE)</f>
        <v>#N/A</v>
      </c>
      <c r="J1597" s="29" t="e">
        <f>VLOOKUP(I1597,PGStock[],2,FALSE)</f>
        <v>#N/A</v>
      </c>
      <c r="K1597" s="30" t="e">
        <f>VLOOKUP(I1597,PGStock[],3,FALSE)</f>
        <v>#N/A</v>
      </c>
      <c r="M1597" s="62" t="e">
        <f>VLOOKUP(I1597,PGStock[],6,FALSE)</f>
        <v>#N/A</v>
      </c>
      <c r="N1597" s="62" t="e">
        <f>+Table8[[#This Row],[SalesBot]]*Table8[[#This Row],[Bonus]]</f>
        <v>#N/A</v>
      </c>
    </row>
    <row r="1598" spans="1:14" ht="23.25" customHeight="1" x14ac:dyDescent="0.25">
      <c r="A1598" s="59">
        <f t="shared" si="161"/>
        <v>1900</v>
      </c>
      <c r="B1598" s="59">
        <f t="shared" si="162"/>
        <v>1</v>
      </c>
      <c r="C1598" s="60"/>
      <c r="D1598" s="61"/>
      <c r="F1598" s="23" t="e">
        <f>VLOOKUP(E1598,Customers[],2,FALSE)</f>
        <v>#N/A</v>
      </c>
      <c r="G1598" s="23" t="e">
        <f>VLOOKUP(E1598,Customers[],3,FALSE)</f>
        <v>#N/A</v>
      </c>
      <c r="H1598" s="23" t="e">
        <f>VLOOKUP(E1598,Customers[],4,FALSE)</f>
        <v>#N/A</v>
      </c>
      <c r="J1598" s="29" t="e">
        <f>VLOOKUP(I1598,PGStock[],2,FALSE)</f>
        <v>#N/A</v>
      </c>
      <c r="K1598" s="30" t="e">
        <f>VLOOKUP(I1598,PGStock[],3,FALSE)</f>
        <v>#N/A</v>
      </c>
      <c r="M1598" s="62" t="e">
        <f>VLOOKUP(I1598,PGStock[],6,FALSE)</f>
        <v>#N/A</v>
      </c>
      <c r="N1598" s="62" t="e">
        <f>+Table8[[#This Row],[SalesBot]]*Table8[[#This Row],[Bonus]]</f>
        <v>#N/A</v>
      </c>
    </row>
    <row r="1599" spans="1:14" ht="23.25" customHeight="1" x14ac:dyDescent="0.25">
      <c r="A1599" s="59">
        <f t="shared" si="161"/>
        <v>1900</v>
      </c>
      <c r="B1599" s="59">
        <f t="shared" si="162"/>
        <v>1</v>
      </c>
      <c r="C1599" s="60"/>
      <c r="D1599" s="61"/>
      <c r="F1599" s="23" t="e">
        <f>VLOOKUP(E1599,Customers[],2,FALSE)</f>
        <v>#N/A</v>
      </c>
      <c r="G1599" s="23" t="e">
        <f>VLOOKUP(E1599,Customers[],3,FALSE)</f>
        <v>#N/A</v>
      </c>
      <c r="H1599" s="23" t="e">
        <f>VLOOKUP(E1599,Customers[],4,FALSE)</f>
        <v>#N/A</v>
      </c>
      <c r="J1599" s="29" t="e">
        <f>VLOOKUP(I1599,PGStock[],2,FALSE)</f>
        <v>#N/A</v>
      </c>
      <c r="K1599" s="30" t="e">
        <f>VLOOKUP(I1599,PGStock[],3,FALSE)</f>
        <v>#N/A</v>
      </c>
      <c r="M1599" s="62" t="e">
        <f>VLOOKUP(I1599,PGStock[],6,FALSE)</f>
        <v>#N/A</v>
      </c>
      <c r="N1599" s="62" t="e">
        <f>+Table8[[#This Row],[SalesBot]]*Table8[[#This Row],[Bonus]]</f>
        <v>#N/A</v>
      </c>
    </row>
    <row r="1600" spans="1:14" ht="23.25" customHeight="1" x14ac:dyDescent="0.25">
      <c r="A1600" s="59">
        <f t="shared" si="153"/>
        <v>1900</v>
      </c>
      <c r="B1600" s="59">
        <f t="shared" si="154"/>
        <v>1</v>
      </c>
      <c r="C1600" s="60"/>
      <c r="D1600" s="61"/>
      <c r="F1600" s="23" t="e">
        <f>VLOOKUP(E1600,Customers[],2,FALSE)</f>
        <v>#N/A</v>
      </c>
      <c r="G1600" s="23" t="e">
        <f>VLOOKUP(E1600,Customers[],3,FALSE)</f>
        <v>#N/A</v>
      </c>
      <c r="H1600" s="23" t="e">
        <f>VLOOKUP(E1600,Customers[],4,FALSE)</f>
        <v>#N/A</v>
      </c>
      <c r="J1600" s="29" t="e">
        <f>VLOOKUP(I1600,PGStock[],2,FALSE)</f>
        <v>#N/A</v>
      </c>
      <c r="K1600" s="30" t="e">
        <f>VLOOKUP(I1600,PGStock[],3,FALSE)</f>
        <v>#N/A</v>
      </c>
      <c r="M1600" s="62" t="e">
        <f>VLOOKUP(I1600,PGStock[],6,FALSE)</f>
        <v>#N/A</v>
      </c>
      <c r="N1600" s="62" t="e">
        <f>+Table8[[#This Row],[SalesBot]]*Table8[[#This Row],[Bonus]]</f>
        <v>#N/A</v>
      </c>
    </row>
    <row r="1601" spans="1:14" ht="23.25" customHeight="1" x14ac:dyDescent="0.25">
      <c r="A1601" s="59">
        <f t="shared" ref="A1601:A1613" si="163">YEAR(C1601)</f>
        <v>1900</v>
      </c>
      <c r="B1601" s="59">
        <f t="shared" ref="B1601:B1613" si="164">MONTH(C1601)</f>
        <v>1</v>
      </c>
      <c r="C1601" s="60"/>
      <c r="D1601" s="61"/>
      <c r="F1601" s="23" t="e">
        <f>VLOOKUP(E1601,Customers[],2,FALSE)</f>
        <v>#N/A</v>
      </c>
      <c r="G1601" s="23" t="e">
        <f>VLOOKUP(E1601,Customers[],3,FALSE)</f>
        <v>#N/A</v>
      </c>
      <c r="H1601" s="23" t="e">
        <f>VLOOKUP(E1601,Customers[],4,FALSE)</f>
        <v>#N/A</v>
      </c>
      <c r="J1601" s="29" t="e">
        <f>VLOOKUP(I1601,PGStock[],2,FALSE)</f>
        <v>#N/A</v>
      </c>
      <c r="K1601" s="30" t="e">
        <f>VLOOKUP(I1601,PGStock[],3,FALSE)</f>
        <v>#N/A</v>
      </c>
      <c r="M1601" s="62" t="e">
        <f>VLOOKUP(I1601,PGStock[],6,FALSE)</f>
        <v>#N/A</v>
      </c>
      <c r="N1601" s="62" t="e">
        <f>+Table8[[#This Row],[SalesBot]]*Table8[[#This Row],[Bonus]]</f>
        <v>#N/A</v>
      </c>
    </row>
    <row r="1602" spans="1:14" ht="23.25" customHeight="1" x14ac:dyDescent="0.25">
      <c r="A1602" s="59">
        <f t="shared" si="163"/>
        <v>1900</v>
      </c>
      <c r="B1602" s="59">
        <f t="shared" si="164"/>
        <v>1</v>
      </c>
      <c r="C1602" s="60"/>
      <c r="D1602" s="61"/>
      <c r="F1602" s="23" t="e">
        <f>VLOOKUP(E1602,Customers[],2,FALSE)</f>
        <v>#N/A</v>
      </c>
      <c r="G1602" s="23" t="e">
        <f>VLOOKUP(E1602,Customers[],3,FALSE)</f>
        <v>#N/A</v>
      </c>
      <c r="H1602" s="23" t="e">
        <f>VLOOKUP(E1602,Customers[],4,FALSE)</f>
        <v>#N/A</v>
      </c>
      <c r="J1602" s="29" t="e">
        <f>VLOOKUP(I1602,PGStock[],2,FALSE)</f>
        <v>#N/A</v>
      </c>
      <c r="K1602" s="30" t="e">
        <f>VLOOKUP(I1602,PGStock[],3,FALSE)</f>
        <v>#N/A</v>
      </c>
      <c r="M1602" s="62" t="e">
        <f>VLOOKUP(I1602,PGStock[],6,FALSE)</f>
        <v>#N/A</v>
      </c>
      <c r="N1602" s="62" t="e">
        <f>+Table8[[#This Row],[SalesBot]]*Table8[[#This Row],[Bonus]]</f>
        <v>#N/A</v>
      </c>
    </row>
    <row r="1603" spans="1:14" ht="23.25" customHeight="1" x14ac:dyDescent="0.25">
      <c r="A1603" s="59">
        <f t="shared" si="163"/>
        <v>1900</v>
      </c>
      <c r="B1603" s="59">
        <f t="shared" si="164"/>
        <v>1</v>
      </c>
      <c r="C1603" s="60"/>
      <c r="D1603" s="61"/>
      <c r="F1603" s="23" t="e">
        <f>VLOOKUP(E1603,Customers[],2,FALSE)</f>
        <v>#N/A</v>
      </c>
      <c r="G1603" s="23" t="e">
        <f>VLOOKUP(E1603,Customers[],3,FALSE)</f>
        <v>#N/A</v>
      </c>
      <c r="H1603" s="23" t="e">
        <f>VLOOKUP(E1603,Customers[],4,FALSE)</f>
        <v>#N/A</v>
      </c>
      <c r="J1603" s="29" t="e">
        <f>VLOOKUP(I1603,PGStock[],2,FALSE)</f>
        <v>#N/A</v>
      </c>
      <c r="K1603" s="30" t="e">
        <f>VLOOKUP(I1603,PGStock[],3,FALSE)</f>
        <v>#N/A</v>
      </c>
      <c r="M1603" s="62" t="e">
        <f>VLOOKUP(I1603,PGStock[],6,FALSE)</f>
        <v>#N/A</v>
      </c>
      <c r="N1603" s="62" t="e">
        <f>+Table8[[#This Row],[SalesBot]]*Table8[[#This Row],[Bonus]]</f>
        <v>#N/A</v>
      </c>
    </row>
    <row r="1604" spans="1:14" ht="23.25" customHeight="1" x14ac:dyDescent="0.25">
      <c r="A1604" s="59">
        <f t="shared" si="163"/>
        <v>1900</v>
      </c>
      <c r="B1604" s="59">
        <f t="shared" si="164"/>
        <v>1</v>
      </c>
      <c r="C1604" s="60"/>
      <c r="D1604" s="61"/>
      <c r="F1604" s="23" t="e">
        <f>VLOOKUP(E1604,Customers[],2,FALSE)</f>
        <v>#N/A</v>
      </c>
      <c r="G1604" s="23" t="e">
        <f>VLOOKUP(E1604,Customers[],3,FALSE)</f>
        <v>#N/A</v>
      </c>
      <c r="H1604" s="23" t="e">
        <f>VLOOKUP(E1604,Customers[],4,FALSE)</f>
        <v>#N/A</v>
      </c>
      <c r="J1604" s="29" t="e">
        <f>VLOOKUP(I1604,PGStock[],2,FALSE)</f>
        <v>#N/A</v>
      </c>
      <c r="K1604" s="30" t="e">
        <f>VLOOKUP(I1604,PGStock[],3,FALSE)</f>
        <v>#N/A</v>
      </c>
      <c r="M1604" s="62" t="e">
        <f>VLOOKUP(I1604,PGStock[],6,FALSE)</f>
        <v>#N/A</v>
      </c>
      <c r="N1604" s="62" t="e">
        <f>+Table8[[#This Row],[SalesBot]]*Table8[[#This Row],[Bonus]]</f>
        <v>#N/A</v>
      </c>
    </row>
    <row r="1605" spans="1:14" ht="23.25" customHeight="1" x14ac:dyDescent="0.25">
      <c r="A1605" s="59">
        <f t="shared" si="163"/>
        <v>1900</v>
      </c>
      <c r="B1605" s="59">
        <f t="shared" si="164"/>
        <v>1</v>
      </c>
      <c r="C1605" s="60"/>
      <c r="D1605" s="61"/>
      <c r="F1605" s="23" t="e">
        <f>VLOOKUP(E1605,Customers[],2,FALSE)</f>
        <v>#N/A</v>
      </c>
      <c r="G1605" s="23" t="e">
        <f>VLOOKUP(E1605,Customers[],3,FALSE)</f>
        <v>#N/A</v>
      </c>
      <c r="H1605" s="23" t="e">
        <f>VLOOKUP(E1605,Customers[],4,FALSE)</f>
        <v>#N/A</v>
      </c>
      <c r="J1605" s="29" t="e">
        <f>VLOOKUP(I1605,PGStock[],2,FALSE)</f>
        <v>#N/A</v>
      </c>
      <c r="K1605" s="30" t="e">
        <f>VLOOKUP(I1605,PGStock[],3,FALSE)</f>
        <v>#N/A</v>
      </c>
      <c r="M1605" s="62" t="e">
        <f>VLOOKUP(I1605,PGStock[],6,FALSE)</f>
        <v>#N/A</v>
      </c>
      <c r="N1605" s="62" t="e">
        <f>+Table8[[#This Row],[SalesBot]]*Table8[[#This Row],[Bonus]]</f>
        <v>#N/A</v>
      </c>
    </row>
    <row r="1606" spans="1:14" ht="23.25" customHeight="1" x14ac:dyDescent="0.25">
      <c r="A1606" s="59">
        <f t="shared" si="163"/>
        <v>1900</v>
      </c>
      <c r="B1606" s="59">
        <f t="shared" si="164"/>
        <v>1</v>
      </c>
      <c r="C1606" s="60"/>
      <c r="D1606" s="61"/>
      <c r="F1606" s="23" t="e">
        <f>VLOOKUP(E1606,Customers[],2,FALSE)</f>
        <v>#N/A</v>
      </c>
      <c r="G1606" s="23" t="e">
        <f>VLOOKUP(E1606,Customers[],3,FALSE)</f>
        <v>#N/A</v>
      </c>
      <c r="H1606" s="23" t="e">
        <f>VLOOKUP(E1606,Customers[],4,FALSE)</f>
        <v>#N/A</v>
      </c>
      <c r="J1606" s="29" t="e">
        <f>VLOOKUP(I1606,PGStock[],2,FALSE)</f>
        <v>#N/A</v>
      </c>
      <c r="K1606" s="30" t="e">
        <f>VLOOKUP(I1606,PGStock[],3,FALSE)</f>
        <v>#N/A</v>
      </c>
      <c r="M1606" s="62" t="e">
        <f>VLOOKUP(I1606,PGStock[],6,FALSE)</f>
        <v>#N/A</v>
      </c>
      <c r="N1606" s="62" t="e">
        <f>+Table8[[#This Row],[SalesBot]]*Table8[[#This Row],[Bonus]]</f>
        <v>#N/A</v>
      </c>
    </row>
    <row r="1607" spans="1:14" ht="23.25" customHeight="1" x14ac:dyDescent="0.25">
      <c r="A1607" s="59">
        <f t="shared" si="163"/>
        <v>1900</v>
      </c>
      <c r="B1607" s="59">
        <f t="shared" si="164"/>
        <v>1</v>
      </c>
      <c r="C1607" s="60"/>
      <c r="D1607" s="61"/>
      <c r="F1607" s="23" t="e">
        <f>VLOOKUP(E1607,Customers[],2,FALSE)</f>
        <v>#N/A</v>
      </c>
      <c r="G1607" s="23" t="e">
        <f>VLOOKUP(E1607,Customers[],3,FALSE)</f>
        <v>#N/A</v>
      </c>
      <c r="H1607" s="23" t="e">
        <f>VLOOKUP(E1607,Customers[],4,FALSE)</f>
        <v>#N/A</v>
      </c>
      <c r="J1607" s="29" t="e">
        <f>VLOOKUP(I1607,PGStock[],2,FALSE)</f>
        <v>#N/A</v>
      </c>
      <c r="K1607" s="30" t="e">
        <f>VLOOKUP(I1607,PGStock[],3,FALSE)</f>
        <v>#N/A</v>
      </c>
      <c r="M1607" s="62" t="e">
        <f>VLOOKUP(I1607,PGStock[],6,FALSE)</f>
        <v>#N/A</v>
      </c>
      <c r="N1607" s="62" t="e">
        <f>+Table8[[#This Row],[SalesBot]]*Table8[[#This Row],[Bonus]]</f>
        <v>#N/A</v>
      </c>
    </row>
    <row r="1608" spans="1:14" ht="23.25" customHeight="1" x14ac:dyDescent="0.25">
      <c r="A1608" s="59">
        <f t="shared" si="163"/>
        <v>1900</v>
      </c>
      <c r="B1608" s="59">
        <f t="shared" si="164"/>
        <v>1</v>
      </c>
      <c r="C1608" s="60"/>
      <c r="D1608" s="61"/>
      <c r="F1608" s="23" t="e">
        <f>VLOOKUP(E1608,Customers[],2,FALSE)</f>
        <v>#N/A</v>
      </c>
      <c r="G1608" s="23" t="e">
        <f>VLOOKUP(E1608,Customers[],3,FALSE)</f>
        <v>#N/A</v>
      </c>
      <c r="H1608" s="23" t="e">
        <f>VLOOKUP(E1608,Customers[],4,FALSE)</f>
        <v>#N/A</v>
      </c>
      <c r="J1608" s="29" t="e">
        <f>VLOOKUP(I1608,PGStock[],2,FALSE)</f>
        <v>#N/A</v>
      </c>
      <c r="K1608" s="30" t="e">
        <f>VLOOKUP(I1608,PGStock[],3,FALSE)</f>
        <v>#N/A</v>
      </c>
      <c r="M1608" s="62" t="e">
        <f>VLOOKUP(I1608,PGStock[],6,FALSE)</f>
        <v>#N/A</v>
      </c>
      <c r="N1608" s="62" t="e">
        <f>+Table8[[#This Row],[SalesBot]]*Table8[[#This Row],[Bonus]]</f>
        <v>#N/A</v>
      </c>
    </row>
    <row r="1609" spans="1:14" ht="23.25" customHeight="1" x14ac:dyDescent="0.25">
      <c r="A1609" s="59">
        <f t="shared" si="163"/>
        <v>1900</v>
      </c>
      <c r="B1609" s="59">
        <f t="shared" si="164"/>
        <v>1</v>
      </c>
      <c r="C1609" s="60"/>
      <c r="D1609" s="61"/>
      <c r="F1609" s="23" t="e">
        <f>VLOOKUP(E1609,Customers[],2,FALSE)</f>
        <v>#N/A</v>
      </c>
      <c r="G1609" s="23" t="e">
        <f>VLOOKUP(E1609,Customers[],3,FALSE)</f>
        <v>#N/A</v>
      </c>
      <c r="H1609" s="23" t="e">
        <f>VLOOKUP(E1609,Customers[],4,FALSE)</f>
        <v>#N/A</v>
      </c>
      <c r="J1609" s="29" t="e">
        <f>VLOOKUP(I1609,PGStock[],2,FALSE)</f>
        <v>#N/A</v>
      </c>
      <c r="K1609" s="30" t="e">
        <f>VLOOKUP(I1609,PGStock[],3,FALSE)</f>
        <v>#N/A</v>
      </c>
      <c r="M1609" s="62" t="e">
        <f>VLOOKUP(I1609,PGStock[],6,FALSE)</f>
        <v>#N/A</v>
      </c>
      <c r="N1609" s="62" t="e">
        <f>+Table8[[#This Row],[SalesBot]]*Table8[[#This Row],[Bonus]]</f>
        <v>#N/A</v>
      </c>
    </row>
    <row r="1610" spans="1:14" ht="23.25" customHeight="1" x14ac:dyDescent="0.25">
      <c r="A1610" s="59">
        <f t="shared" si="163"/>
        <v>1900</v>
      </c>
      <c r="B1610" s="59">
        <f t="shared" si="164"/>
        <v>1</v>
      </c>
      <c r="C1610" s="60"/>
      <c r="D1610" s="61"/>
      <c r="F1610" s="23" t="e">
        <f>VLOOKUP(E1610,Customers[],2,FALSE)</f>
        <v>#N/A</v>
      </c>
      <c r="G1610" s="23" t="e">
        <f>VLOOKUP(E1610,Customers[],3,FALSE)</f>
        <v>#N/A</v>
      </c>
      <c r="H1610" s="23" t="e">
        <f>VLOOKUP(E1610,Customers[],4,FALSE)</f>
        <v>#N/A</v>
      </c>
      <c r="J1610" s="29" t="e">
        <f>VLOOKUP(I1610,PGStock[],2,FALSE)</f>
        <v>#N/A</v>
      </c>
      <c r="K1610" s="30" t="e">
        <f>VLOOKUP(I1610,PGStock[],3,FALSE)</f>
        <v>#N/A</v>
      </c>
      <c r="M1610" s="62" t="e">
        <f>VLOOKUP(I1610,PGStock[],6,FALSE)</f>
        <v>#N/A</v>
      </c>
      <c r="N1610" s="62" t="e">
        <f>+Table8[[#This Row],[SalesBot]]*Table8[[#This Row],[Bonus]]</f>
        <v>#N/A</v>
      </c>
    </row>
    <row r="1611" spans="1:14" ht="23.25" customHeight="1" x14ac:dyDescent="0.25">
      <c r="A1611" s="59">
        <f t="shared" si="163"/>
        <v>1900</v>
      </c>
      <c r="B1611" s="59">
        <f t="shared" si="164"/>
        <v>1</v>
      </c>
      <c r="C1611" s="60"/>
      <c r="D1611" s="61"/>
      <c r="F1611" s="23" t="e">
        <f>VLOOKUP(E1611,Customers[],2,FALSE)</f>
        <v>#N/A</v>
      </c>
      <c r="G1611" s="23" t="e">
        <f>VLOOKUP(E1611,Customers[],3,FALSE)</f>
        <v>#N/A</v>
      </c>
      <c r="H1611" s="23" t="e">
        <f>VLOOKUP(E1611,Customers[],4,FALSE)</f>
        <v>#N/A</v>
      </c>
      <c r="J1611" s="29" t="e">
        <f>VLOOKUP(I1611,PGStock[],2,FALSE)</f>
        <v>#N/A</v>
      </c>
      <c r="K1611" s="30" t="e">
        <f>VLOOKUP(I1611,PGStock[],3,FALSE)</f>
        <v>#N/A</v>
      </c>
      <c r="M1611" s="62" t="e">
        <f>VLOOKUP(I1611,PGStock[],6,FALSE)</f>
        <v>#N/A</v>
      </c>
      <c r="N1611" s="62" t="e">
        <f>+Table8[[#This Row],[SalesBot]]*Table8[[#This Row],[Bonus]]</f>
        <v>#N/A</v>
      </c>
    </row>
    <row r="1612" spans="1:14" ht="23.25" customHeight="1" x14ac:dyDescent="0.25">
      <c r="A1612" s="59">
        <f t="shared" si="163"/>
        <v>1900</v>
      </c>
      <c r="B1612" s="59">
        <f t="shared" si="164"/>
        <v>1</v>
      </c>
      <c r="C1612" s="60"/>
      <c r="D1612" s="61"/>
      <c r="F1612" s="23" t="e">
        <f>VLOOKUP(E1612,Customers[],2,FALSE)</f>
        <v>#N/A</v>
      </c>
      <c r="G1612" s="23" t="e">
        <f>VLOOKUP(E1612,Customers[],3,FALSE)</f>
        <v>#N/A</v>
      </c>
      <c r="H1612" s="23" t="e">
        <f>VLOOKUP(E1612,Customers[],4,FALSE)</f>
        <v>#N/A</v>
      </c>
      <c r="J1612" s="29" t="e">
        <f>VLOOKUP(I1612,PGStock[],2,FALSE)</f>
        <v>#N/A</v>
      </c>
      <c r="K1612" s="30" t="e">
        <f>VLOOKUP(I1612,PGStock[],3,FALSE)</f>
        <v>#N/A</v>
      </c>
      <c r="M1612" s="62" t="e">
        <f>VLOOKUP(I1612,PGStock[],6,FALSE)</f>
        <v>#N/A</v>
      </c>
      <c r="N1612" s="62" t="e">
        <f>+Table8[[#This Row],[SalesBot]]*Table8[[#This Row],[Bonus]]</f>
        <v>#N/A</v>
      </c>
    </row>
    <row r="1613" spans="1:14" ht="23.25" customHeight="1" x14ac:dyDescent="0.25">
      <c r="A1613" s="59">
        <f t="shared" si="163"/>
        <v>1900</v>
      </c>
      <c r="B1613" s="59">
        <f t="shared" si="164"/>
        <v>1</v>
      </c>
      <c r="C1613" s="60"/>
      <c r="D1613" s="61"/>
      <c r="F1613" s="23" t="e">
        <f>VLOOKUP(E1613,Customers[],2,FALSE)</f>
        <v>#N/A</v>
      </c>
      <c r="G1613" s="23" t="e">
        <f>VLOOKUP(E1613,Customers[],3,FALSE)</f>
        <v>#N/A</v>
      </c>
      <c r="H1613" s="23" t="e">
        <f>VLOOKUP(E1613,Customers[],4,FALSE)</f>
        <v>#N/A</v>
      </c>
      <c r="J1613" s="29" t="e">
        <f>VLOOKUP(I1613,PGStock[],2,FALSE)</f>
        <v>#N/A</v>
      </c>
      <c r="K1613" s="30" t="e">
        <f>VLOOKUP(I1613,PGStock[],3,FALSE)</f>
        <v>#N/A</v>
      </c>
      <c r="M1613" s="62" t="e">
        <f>VLOOKUP(I1613,PGStock[],6,FALSE)</f>
        <v>#N/A</v>
      </c>
      <c r="N1613" s="62" t="e">
        <f>+Table8[[#This Row],[SalesBot]]*Table8[[#This Row],[Bonus]]</f>
        <v>#N/A</v>
      </c>
    </row>
    <row r="1614" spans="1:14" ht="23.25" customHeight="1" x14ac:dyDescent="0.25">
      <c r="A1614" s="59">
        <f t="shared" ref="A1614:A1626" si="165">YEAR(C1614)</f>
        <v>1900</v>
      </c>
      <c r="B1614" s="59">
        <f t="shared" ref="B1614:B1626" si="166">MONTH(C1614)</f>
        <v>1</v>
      </c>
      <c r="C1614" s="60"/>
      <c r="D1614" s="61"/>
      <c r="F1614" s="23" t="e">
        <f>VLOOKUP(E1614,Customers[],2,FALSE)</f>
        <v>#N/A</v>
      </c>
      <c r="G1614" s="23" t="e">
        <f>VLOOKUP(E1614,Customers[],3,FALSE)</f>
        <v>#N/A</v>
      </c>
      <c r="H1614" s="23" t="e">
        <f>VLOOKUP(E1614,Customers[],4,FALSE)</f>
        <v>#N/A</v>
      </c>
      <c r="J1614" s="29" t="e">
        <f>VLOOKUP(I1614,PGStock[],2,FALSE)</f>
        <v>#N/A</v>
      </c>
      <c r="K1614" s="30" t="e">
        <f>VLOOKUP(I1614,PGStock[],3,FALSE)</f>
        <v>#N/A</v>
      </c>
      <c r="M1614" s="62" t="e">
        <f>VLOOKUP(I1614,PGStock[],6,FALSE)</f>
        <v>#N/A</v>
      </c>
      <c r="N1614" s="62" t="e">
        <f>+Table8[[#This Row],[SalesBot]]*Table8[[#This Row],[Bonus]]</f>
        <v>#N/A</v>
      </c>
    </row>
    <row r="1615" spans="1:14" ht="23.25" customHeight="1" x14ac:dyDescent="0.25">
      <c r="A1615" s="59">
        <f t="shared" si="165"/>
        <v>1900</v>
      </c>
      <c r="B1615" s="59">
        <f t="shared" si="166"/>
        <v>1</v>
      </c>
      <c r="C1615" s="60"/>
      <c r="D1615" s="61"/>
      <c r="F1615" s="23" t="e">
        <f>VLOOKUP(E1615,Customers[],2,FALSE)</f>
        <v>#N/A</v>
      </c>
      <c r="G1615" s="23" t="e">
        <f>VLOOKUP(E1615,Customers[],3,FALSE)</f>
        <v>#N/A</v>
      </c>
      <c r="H1615" s="23" t="e">
        <f>VLOOKUP(E1615,Customers[],4,FALSE)</f>
        <v>#N/A</v>
      </c>
      <c r="J1615" s="29" t="e">
        <f>VLOOKUP(I1615,PGStock[],2,FALSE)</f>
        <v>#N/A</v>
      </c>
      <c r="K1615" s="30" t="e">
        <f>VLOOKUP(I1615,PGStock[],3,FALSE)</f>
        <v>#N/A</v>
      </c>
      <c r="M1615" s="62" t="e">
        <f>VLOOKUP(I1615,PGStock[],6,FALSE)</f>
        <v>#N/A</v>
      </c>
      <c r="N1615" s="62" t="e">
        <f>+Table8[[#This Row],[SalesBot]]*Table8[[#This Row],[Bonus]]</f>
        <v>#N/A</v>
      </c>
    </row>
    <row r="1616" spans="1:14" ht="23.25" customHeight="1" x14ac:dyDescent="0.25">
      <c r="A1616" s="59">
        <f t="shared" si="165"/>
        <v>1900</v>
      </c>
      <c r="B1616" s="59">
        <f t="shared" si="166"/>
        <v>1</v>
      </c>
      <c r="C1616" s="60"/>
      <c r="D1616" s="61"/>
      <c r="F1616" s="23" t="e">
        <f>VLOOKUP(E1616,Customers[],2,FALSE)</f>
        <v>#N/A</v>
      </c>
      <c r="G1616" s="23" t="e">
        <f>VLOOKUP(E1616,Customers[],3,FALSE)</f>
        <v>#N/A</v>
      </c>
      <c r="H1616" s="23" t="e">
        <f>VLOOKUP(E1616,Customers[],4,FALSE)</f>
        <v>#N/A</v>
      </c>
      <c r="J1616" s="29" t="e">
        <f>VLOOKUP(I1616,PGStock[],2,FALSE)</f>
        <v>#N/A</v>
      </c>
      <c r="K1616" s="30" t="e">
        <f>VLOOKUP(I1616,PGStock[],3,FALSE)</f>
        <v>#N/A</v>
      </c>
      <c r="M1616" s="62" t="e">
        <f>VLOOKUP(I1616,PGStock[],6,FALSE)</f>
        <v>#N/A</v>
      </c>
      <c r="N1616" s="62" t="e">
        <f>+Table8[[#This Row],[SalesBot]]*Table8[[#This Row],[Bonus]]</f>
        <v>#N/A</v>
      </c>
    </row>
    <row r="1617" spans="1:14" ht="23.25" customHeight="1" x14ac:dyDescent="0.25">
      <c r="A1617" s="59">
        <f t="shared" si="165"/>
        <v>1900</v>
      </c>
      <c r="B1617" s="59">
        <f t="shared" si="166"/>
        <v>1</v>
      </c>
      <c r="C1617" s="60"/>
      <c r="D1617" s="61"/>
      <c r="F1617" s="23" t="e">
        <f>VLOOKUP(E1617,Customers[],2,FALSE)</f>
        <v>#N/A</v>
      </c>
      <c r="G1617" s="23" t="e">
        <f>VLOOKUP(E1617,Customers[],3,FALSE)</f>
        <v>#N/A</v>
      </c>
      <c r="H1617" s="23" t="e">
        <f>VLOOKUP(E1617,Customers[],4,FALSE)</f>
        <v>#N/A</v>
      </c>
      <c r="J1617" s="29" t="e">
        <f>VLOOKUP(I1617,PGStock[],2,FALSE)</f>
        <v>#N/A</v>
      </c>
      <c r="K1617" s="30" t="e">
        <f>VLOOKUP(I1617,PGStock[],3,FALSE)</f>
        <v>#N/A</v>
      </c>
      <c r="M1617" s="62" t="e">
        <f>VLOOKUP(I1617,PGStock[],6,FALSE)</f>
        <v>#N/A</v>
      </c>
      <c r="N1617" s="62" t="e">
        <f>+Table8[[#This Row],[SalesBot]]*Table8[[#This Row],[Bonus]]</f>
        <v>#N/A</v>
      </c>
    </row>
    <row r="1618" spans="1:14" ht="23.25" customHeight="1" x14ac:dyDescent="0.25">
      <c r="A1618" s="59">
        <f t="shared" si="165"/>
        <v>1900</v>
      </c>
      <c r="B1618" s="59">
        <f t="shared" si="166"/>
        <v>1</v>
      </c>
      <c r="C1618" s="60"/>
      <c r="D1618" s="61"/>
      <c r="F1618" s="23" t="e">
        <f>VLOOKUP(E1618,Customers[],2,FALSE)</f>
        <v>#N/A</v>
      </c>
      <c r="G1618" s="23" t="e">
        <f>VLOOKUP(E1618,Customers[],3,FALSE)</f>
        <v>#N/A</v>
      </c>
      <c r="H1618" s="23" t="e">
        <f>VLOOKUP(E1618,Customers[],4,FALSE)</f>
        <v>#N/A</v>
      </c>
      <c r="J1618" s="29" t="e">
        <f>VLOOKUP(I1618,PGStock[],2,FALSE)</f>
        <v>#N/A</v>
      </c>
      <c r="K1618" s="30" t="e">
        <f>VLOOKUP(I1618,PGStock[],3,FALSE)</f>
        <v>#N/A</v>
      </c>
      <c r="M1618" s="62" t="e">
        <f>VLOOKUP(I1618,PGStock[],6,FALSE)</f>
        <v>#N/A</v>
      </c>
      <c r="N1618" s="62" t="e">
        <f>+Table8[[#This Row],[SalesBot]]*Table8[[#This Row],[Bonus]]</f>
        <v>#N/A</v>
      </c>
    </row>
    <row r="1619" spans="1:14" ht="23.25" customHeight="1" x14ac:dyDescent="0.25">
      <c r="A1619" s="59">
        <f t="shared" si="165"/>
        <v>1900</v>
      </c>
      <c r="B1619" s="59">
        <f t="shared" si="166"/>
        <v>1</v>
      </c>
      <c r="C1619" s="60"/>
      <c r="D1619" s="61"/>
      <c r="F1619" s="23" t="e">
        <f>VLOOKUP(E1619,Customers[],2,FALSE)</f>
        <v>#N/A</v>
      </c>
      <c r="G1619" s="23" t="e">
        <f>VLOOKUP(E1619,Customers[],3,FALSE)</f>
        <v>#N/A</v>
      </c>
      <c r="H1619" s="23" t="e">
        <f>VLOOKUP(E1619,Customers[],4,FALSE)</f>
        <v>#N/A</v>
      </c>
      <c r="J1619" s="29" t="e">
        <f>VLOOKUP(I1619,PGStock[],2,FALSE)</f>
        <v>#N/A</v>
      </c>
      <c r="K1619" s="30" t="e">
        <f>VLOOKUP(I1619,PGStock[],3,FALSE)</f>
        <v>#N/A</v>
      </c>
      <c r="M1619" s="62" t="e">
        <f>VLOOKUP(I1619,PGStock[],6,FALSE)</f>
        <v>#N/A</v>
      </c>
      <c r="N1619" s="62" t="e">
        <f>+Table8[[#This Row],[SalesBot]]*Table8[[#This Row],[Bonus]]</f>
        <v>#N/A</v>
      </c>
    </row>
    <row r="1620" spans="1:14" ht="23.25" customHeight="1" x14ac:dyDescent="0.25">
      <c r="A1620" s="59">
        <f t="shared" si="165"/>
        <v>1900</v>
      </c>
      <c r="B1620" s="59">
        <f t="shared" si="166"/>
        <v>1</v>
      </c>
      <c r="C1620" s="60"/>
      <c r="D1620" s="61"/>
      <c r="F1620" s="23" t="e">
        <f>VLOOKUP(E1620,Customers[],2,FALSE)</f>
        <v>#N/A</v>
      </c>
      <c r="G1620" s="23" t="e">
        <f>VLOOKUP(E1620,Customers[],3,FALSE)</f>
        <v>#N/A</v>
      </c>
      <c r="H1620" s="23" t="e">
        <f>VLOOKUP(E1620,Customers[],4,FALSE)</f>
        <v>#N/A</v>
      </c>
      <c r="J1620" s="29" t="e">
        <f>VLOOKUP(I1620,PGStock[],2,FALSE)</f>
        <v>#N/A</v>
      </c>
      <c r="K1620" s="30" t="e">
        <f>VLOOKUP(I1620,PGStock[],3,FALSE)</f>
        <v>#N/A</v>
      </c>
      <c r="M1620" s="62" t="e">
        <f>VLOOKUP(I1620,PGStock[],6,FALSE)</f>
        <v>#N/A</v>
      </c>
      <c r="N1620" s="62" t="e">
        <f>+Table8[[#This Row],[SalesBot]]*Table8[[#This Row],[Bonus]]</f>
        <v>#N/A</v>
      </c>
    </row>
    <row r="1621" spans="1:14" ht="23.25" customHeight="1" x14ac:dyDescent="0.25">
      <c r="A1621" s="59">
        <f t="shared" si="165"/>
        <v>1900</v>
      </c>
      <c r="B1621" s="59">
        <f t="shared" si="166"/>
        <v>1</v>
      </c>
      <c r="C1621" s="60"/>
      <c r="D1621" s="61"/>
      <c r="F1621" s="23" t="e">
        <f>VLOOKUP(E1621,Customers[],2,FALSE)</f>
        <v>#N/A</v>
      </c>
      <c r="G1621" s="23" t="e">
        <f>VLOOKUP(E1621,Customers[],3,FALSE)</f>
        <v>#N/A</v>
      </c>
      <c r="H1621" s="23" t="e">
        <f>VLOOKUP(E1621,Customers[],4,FALSE)</f>
        <v>#N/A</v>
      </c>
      <c r="J1621" s="29" t="e">
        <f>VLOOKUP(I1621,PGStock[],2,FALSE)</f>
        <v>#N/A</v>
      </c>
      <c r="K1621" s="30" t="e">
        <f>VLOOKUP(I1621,PGStock[],3,FALSE)</f>
        <v>#N/A</v>
      </c>
      <c r="M1621" s="62" t="e">
        <f>VLOOKUP(I1621,PGStock[],6,FALSE)</f>
        <v>#N/A</v>
      </c>
      <c r="N1621" s="62" t="e">
        <f>+Table8[[#This Row],[SalesBot]]*Table8[[#This Row],[Bonus]]</f>
        <v>#N/A</v>
      </c>
    </row>
    <row r="1622" spans="1:14" ht="23.25" customHeight="1" x14ac:dyDescent="0.25">
      <c r="A1622" s="59">
        <f t="shared" si="165"/>
        <v>1900</v>
      </c>
      <c r="B1622" s="59">
        <f t="shared" si="166"/>
        <v>1</v>
      </c>
      <c r="C1622" s="60"/>
      <c r="D1622" s="61"/>
      <c r="F1622" s="23" t="e">
        <f>VLOOKUP(E1622,Customers[],2,FALSE)</f>
        <v>#N/A</v>
      </c>
      <c r="G1622" s="23" t="e">
        <f>VLOOKUP(E1622,Customers[],3,FALSE)</f>
        <v>#N/A</v>
      </c>
      <c r="H1622" s="23" t="e">
        <f>VLOOKUP(E1622,Customers[],4,FALSE)</f>
        <v>#N/A</v>
      </c>
      <c r="J1622" s="29" t="e">
        <f>VLOOKUP(I1622,PGStock[],2,FALSE)</f>
        <v>#N/A</v>
      </c>
      <c r="K1622" s="30" t="e">
        <f>VLOOKUP(I1622,PGStock[],3,FALSE)</f>
        <v>#N/A</v>
      </c>
      <c r="M1622" s="62" t="e">
        <f>VLOOKUP(I1622,PGStock[],6,FALSE)</f>
        <v>#N/A</v>
      </c>
      <c r="N1622" s="62" t="e">
        <f>+Table8[[#This Row],[SalesBot]]*Table8[[#This Row],[Bonus]]</f>
        <v>#N/A</v>
      </c>
    </row>
    <row r="1623" spans="1:14" ht="23.25" customHeight="1" x14ac:dyDescent="0.25">
      <c r="A1623" s="59">
        <f t="shared" si="165"/>
        <v>1900</v>
      </c>
      <c r="B1623" s="59">
        <f t="shared" si="166"/>
        <v>1</v>
      </c>
      <c r="C1623" s="60"/>
      <c r="D1623" s="61"/>
      <c r="F1623" s="23" t="e">
        <f>VLOOKUP(E1623,Customers[],2,FALSE)</f>
        <v>#N/A</v>
      </c>
      <c r="G1623" s="23" t="e">
        <f>VLOOKUP(E1623,Customers[],3,FALSE)</f>
        <v>#N/A</v>
      </c>
      <c r="H1623" s="23" t="e">
        <f>VLOOKUP(E1623,Customers[],4,FALSE)</f>
        <v>#N/A</v>
      </c>
      <c r="J1623" s="29" t="e">
        <f>VLOOKUP(I1623,PGStock[],2,FALSE)</f>
        <v>#N/A</v>
      </c>
      <c r="K1623" s="30" t="e">
        <f>VLOOKUP(I1623,PGStock[],3,FALSE)</f>
        <v>#N/A</v>
      </c>
      <c r="M1623" s="62" t="e">
        <f>VLOOKUP(I1623,PGStock[],6,FALSE)</f>
        <v>#N/A</v>
      </c>
      <c r="N1623" s="62" t="e">
        <f>+Table8[[#This Row],[SalesBot]]*Table8[[#This Row],[Bonus]]</f>
        <v>#N/A</v>
      </c>
    </row>
    <row r="1624" spans="1:14" ht="23.25" customHeight="1" x14ac:dyDescent="0.25">
      <c r="A1624" s="59">
        <f t="shared" si="165"/>
        <v>1900</v>
      </c>
      <c r="B1624" s="59">
        <f t="shared" si="166"/>
        <v>1</v>
      </c>
      <c r="C1624" s="60"/>
      <c r="D1624" s="61"/>
      <c r="F1624" s="23" t="e">
        <f>VLOOKUP(E1624,Customers[],2,FALSE)</f>
        <v>#N/A</v>
      </c>
      <c r="G1624" s="23" t="e">
        <f>VLOOKUP(E1624,Customers[],3,FALSE)</f>
        <v>#N/A</v>
      </c>
      <c r="H1624" s="23" t="e">
        <f>VLOOKUP(E1624,Customers[],4,FALSE)</f>
        <v>#N/A</v>
      </c>
      <c r="J1624" s="29" t="e">
        <f>VLOOKUP(I1624,PGStock[],2,FALSE)</f>
        <v>#N/A</v>
      </c>
      <c r="K1624" s="30" t="e">
        <f>VLOOKUP(I1624,PGStock[],3,FALSE)</f>
        <v>#N/A</v>
      </c>
      <c r="M1624" s="62" t="e">
        <f>VLOOKUP(I1624,PGStock[],6,FALSE)</f>
        <v>#N/A</v>
      </c>
      <c r="N1624" s="62" t="e">
        <f>+Table8[[#This Row],[SalesBot]]*Table8[[#This Row],[Bonus]]</f>
        <v>#N/A</v>
      </c>
    </row>
    <row r="1625" spans="1:14" ht="23.25" customHeight="1" x14ac:dyDescent="0.25">
      <c r="A1625" s="59">
        <f t="shared" si="165"/>
        <v>1900</v>
      </c>
      <c r="B1625" s="59">
        <f t="shared" si="166"/>
        <v>1</v>
      </c>
      <c r="C1625" s="60"/>
      <c r="D1625" s="61"/>
      <c r="F1625" s="23" t="e">
        <f>VLOOKUP(E1625,Customers[],2,FALSE)</f>
        <v>#N/A</v>
      </c>
      <c r="G1625" s="23" t="e">
        <f>VLOOKUP(E1625,Customers[],3,FALSE)</f>
        <v>#N/A</v>
      </c>
      <c r="H1625" s="23" t="e">
        <f>VLOOKUP(E1625,Customers[],4,FALSE)</f>
        <v>#N/A</v>
      </c>
      <c r="J1625" s="29" t="e">
        <f>VLOOKUP(I1625,PGStock[],2,FALSE)</f>
        <v>#N/A</v>
      </c>
      <c r="K1625" s="30" t="e">
        <f>VLOOKUP(I1625,PGStock[],3,FALSE)</f>
        <v>#N/A</v>
      </c>
      <c r="M1625" s="62" t="e">
        <f>VLOOKUP(I1625,PGStock[],6,FALSE)</f>
        <v>#N/A</v>
      </c>
      <c r="N1625" s="62" t="e">
        <f>+Table8[[#This Row],[SalesBot]]*Table8[[#This Row],[Bonus]]</f>
        <v>#N/A</v>
      </c>
    </row>
    <row r="1626" spans="1:14" ht="23.25" customHeight="1" x14ac:dyDescent="0.25">
      <c r="A1626" s="59">
        <f t="shared" si="165"/>
        <v>1900</v>
      </c>
      <c r="B1626" s="59">
        <f t="shared" si="166"/>
        <v>1</v>
      </c>
      <c r="C1626" s="60"/>
      <c r="D1626" s="61"/>
      <c r="F1626" s="23" t="e">
        <f>VLOOKUP(E1626,Customers[],2,FALSE)</f>
        <v>#N/A</v>
      </c>
      <c r="G1626" s="23" t="e">
        <f>VLOOKUP(E1626,Customers[],3,FALSE)</f>
        <v>#N/A</v>
      </c>
      <c r="H1626" s="23" t="e">
        <f>VLOOKUP(E1626,Customers[],4,FALSE)</f>
        <v>#N/A</v>
      </c>
      <c r="J1626" s="29" t="e">
        <f>VLOOKUP(I1626,PGStock[],2,FALSE)</f>
        <v>#N/A</v>
      </c>
      <c r="K1626" s="30" t="e">
        <f>VLOOKUP(I1626,PGStock[],3,FALSE)</f>
        <v>#N/A</v>
      </c>
      <c r="M1626" s="62" t="e">
        <f>VLOOKUP(I1626,PGStock[],6,FALSE)</f>
        <v>#N/A</v>
      </c>
      <c r="N1626" s="62" t="e">
        <f>+Table8[[#This Row],[SalesBot]]*Table8[[#This Row],[Bonus]]</f>
        <v>#N/A</v>
      </c>
    </row>
    <row r="1627" spans="1:14" ht="23.25" customHeight="1" x14ac:dyDescent="0.25">
      <c r="A1627" s="59">
        <f t="shared" ref="A1627:A1639" si="167">YEAR(C1627)</f>
        <v>1900</v>
      </c>
      <c r="B1627" s="59">
        <f t="shared" ref="B1627:B1639" si="168">MONTH(C1627)</f>
        <v>1</v>
      </c>
      <c r="C1627" s="60"/>
      <c r="D1627" s="61"/>
      <c r="F1627" s="23" t="e">
        <f>VLOOKUP(E1627,Customers[],2,FALSE)</f>
        <v>#N/A</v>
      </c>
      <c r="G1627" s="23" t="e">
        <f>VLOOKUP(E1627,Customers[],3,FALSE)</f>
        <v>#N/A</v>
      </c>
      <c r="H1627" s="23" t="e">
        <f>VLOOKUP(E1627,Customers[],4,FALSE)</f>
        <v>#N/A</v>
      </c>
      <c r="J1627" s="29" t="e">
        <f>VLOOKUP(I1627,PGStock[],2,FALSE)</f>
        <v>#N/A</v>
      </c>
      <c r="K1627" s="30" t="e">
        <f>VLOOKUP(I1627,PGStock[],3,FALSE)</f>
        <v>#N/A</v>
      </c>
      <c r="M1627" s="62" t="e">
        <f>VLOOKUP(I1627,PGStock[],6,FALSE)</f>
        <v>#N/A</v>
      </c>
      <c r="N1627" s="62" t="e">
        <f>+Table8[[#This Row],[SalesBot]]*Table8[[#This Row],[Bonus]]</f>
        <v>#N/A</v>
      </c>
    </row>
    <row r="1628" spans="1:14" ht="23.25" customHeight="1" x14ac:dyDescent="0.25">
      <c r="A1628" s="59">
        <f t="shared" si="167"/>
        <v>1900</v>
      </c>
      <c r="B1628" s="59">
        <f t="shared" si="168"/>
        <v>1</v>
      </c>
      <c r="C1628" s="60"/>
      <c r="D1628" s="61"/>
      <c r="F1628" s="23" t="e">
        <f>VLOOKUP(E1628,Customers[],2,FALSE)</f>
        <v>#N/A</v>
      </c>
      <c r="G1628" s="23" t="e">
        <f>VLOOKUP(E1628,Customers[],3,FALSE)</f>
        <v>#N/A</v>
      </c>
      <c r="H1628" s="23" t="e">
        <f>VLOOKUP(E1628,Customers[],4,FALSE)</f>
        <v>#N/A</v>
      </c>
      <c r="J1628" s="29" t="e">
        <f>VLOOKUP(I1628,PGStock[],2,FALSE)</f>
        <v>#N/A</v>
      </c>
      <c r="K1628" s="30" t="e">
        <f>VLOOKUP(I1628,PGStock[],3,FALSE)</f>
        <v>#N/A</v>
      </c>
      <c r="M1628" s="62" t="e">
        <f>VLOOKUP(I1628,PGStock[],6,FALSE)</f>
        <v>#N/A</v>
      </c>
      <c r="N1628" s="62" t="e">
        <f>+Table8[[#This Row],[SalesBot]]*Table8[[#This Row],[Bonus]]</f>
        <v>#N/A</v>
      </c>
    </row>
    <row r="1629" spans="1:14" ht="23.25" customHeight="1" x14ac:dyDescent="0.25">
      <c r="A1629" s="59">
        <f t="shared" si="167"/>
        <v>1900</v>
      </c>
      <c r="B1629" s="59">
        <f t="shared" si="168"/>
        <v>1</v>
      </c>
      <c r="C1629" s="60"/>
      <c r="D1629" s="61"/>
      <c r="F1629" s="23" t="e">
        <f>VLOOKUP(E1629,Customers[],2,FALSE)</f>
        <v>#N/A</v>
      </c>
      <c r="G1629" s="23" t="e">
        <f>VLOOKUP(E1629,Customers[],3,FALSE)</f>
        <v>#N/A</v>
      </c>
      <c r="H1629" s="23" t="e">
        <f>VLOOKUP(E1629,Customers[],4,FALSE)</f>
        <v>#N/A</v>
      </c>
      <c r="J1629" s="29" t="e">
        <f>VLOOKUP(I1629,PGStock[],2,FALSE)</f>
        <v>#N/A</v>
      </c>
      <c r="K1629" s="30" t="e">
        <f>VLOOKUP(I1629,PGStock[],3,FALSE)</f>
        <v>#N/A</v>
      </c>
      <c r="M1629" s="62" t="e">
        <f>VLOOKUP(I1629,PGStock[],6,FALSE)</f>
        <v>#N/A</v>
      </c>
      <c r="N1629" s="62" t="e">
        <f>+Table8[[#This Row],[SalesBot]]*Table8[[#This Row],[Bonus]]</f>
        <v>#N/A</v>
      </c>
    </row>
    <row r="1630" spans="1:14" ht="23.25" customHeight="1" x14ac:dyDescent="0.25">
      <c r="A1630" s="59">
        <f t="shared" si="167"/>
        <v>1900</v>
      </c>
      <c r="B1630" s="59">
        <f t="shared" si="168"/>
        <v>1</v>
      </c>
      <c r="C1630" s="60"/>
      <c r="D1630" s="61"/>
      <c r="F1630" s="23" t="e">
        <f>VLOOKUP(E1630,Customers[],2,FALSE)</f>
        <v>#N/A</v>
      </c>
      <c r="G1630" s="23" t="e">
        <f>VLOOKUP(E1630,Customers[],3,FALSE)</f>
        <v>#N/A</v>
      </c>
      <c r="H1630" s="23" t="e">
        <f>VLOOKUP(E1630,Customers[],4,FALSE)</f>
        <v>#N/A</v>
      </c>
      <c r="J1630" s="29" t="e">
        <f>VLOOKUP(I1630,PGStock[],2,FALSE)</f>
        <v>#N/A</v>
      </c>
      <c r="K1630" s="30" t="e">
        <f>VLOOKUP(I1630,PGStock[],3,FALSE)</f>
        <v>#N/A</v>
      </c>
      <c r="M1630" s="62" t="e">
        <f>VLOOKUP(I1630,PGStock[],6,FALSE)</f>
        <v>#N/A</v>
      </c>
      <c r="N1630" s="62" t="e">
        <f>+Table8[[#This Row],[SalesBot]]*Table8[[#This Row],[Bonus]]</f>
        <v>#N/A</v>
      </c>
    </row>
    <row r="1631" spans="1:14" ht="23.25" customHeight="1" x14ac:dyDescent="0.25">
      <c r="A1631" s="59">
        <f t="shared" si="167"/>
        <v>1900</v>
      </c>
      <c r="B1631" s="59">
        <f t="shared" si="168"/>
        <v>1</v>
      </c>
      <c r="C1631" s="60"/>
      <c r="D1631" s="61"/>
      <c r="F1631" s="23" t="e">
        <f>VLOOKUP(E1631,Customers[],2,FALSE)</f>
        <v>#N/A</v>
      </c>
      <c r="G1631" s="23" t="e">
        <f>VLOOKUP(E1631,Customers[],3,FALSE)</f>
        <v>#N/A</v>
      </c>
      <c r="H1631" s="23" t="e">
        <f>VLOOKUP(E1631,Customers[],4,FALSE)</f>
        <v>#N/A</v>
      </c>
      <c r="J1631" s="29" t="e">
        <f>VLOOKUP(I1631,PGStock[],2,FALSE)</f>
        <v>#N/A</v>
      </c>
      <c r="K1631" s="30" t="e">
        <f>VLOOKUP(I1631,PGStock[],3,FALSE)</f>
        <v>#N/A</v>
      </c>
      <c r="M1631" s="62" t="e">
        <f>VLOOKUP(I1631,PGStock[],6,FALSE)</f>
        <v>#N/A</v>
      </c>
      <c r="N1631" s="62" t="e">
        <f>+Table8[[#This Row],[SalesBot]]*Table8[[#This Row],[Bonus]]</f>
        <v>#N/A</v>
      </c>
    </row>
    <row r="1632" spans="1:14" ht="23.25" customHeight="1" x14ac:dyDescent="0.25">
      <c r="A1632" s="59">
        <f t="shared" si="167"/>
        <v>1900</v>
      </c>
      <c r="B1632" s="59">
        <f t="shared" si="168"/>
        <v>1</v>
      </c>
      <c r="C1632" s="60"/>
      <c r="D1632" s="61"/>
      <c r="F1632" s="23" t="e">
        <f>VLOOKUP(E1632,Customers[],2,FALSE)</f>
        <v>#N/A</v>
      </c>
      <c r="G1632" s="23" t="e">
        <f>VLOOKUP(E1632,Customers[],3,FALSE)</f>
        <v>#N/A</v>
      </c>
      <c r="H1632" s="23" t="e">
        <f>VLOOKUP(E1632,Customers[],4,FALSE)</f>
        <v>#N/A</v>
      </c>
      <c r="J1632" s="29" t="e">
        <f>VLOOKUP(I1632,PGStock[],2,FALSE)</f>
        <v>#N/A</v>
      </c>
      <c r="K1632" s="30" t="e">
        <f>VLOOKUP(I1632,PGStock[],3,FALSE)</f>
        <v>#N/A</v>
      </c>
      <c r="M1632" s="62" t="e">
        <f>VLOOKUP(I1632,PGStock[],6,FALSE)</f>
        <v>#N/A</v>
      </c>
      <c r="N1632" s="62" t="e">
        <f>+Table8[[#This Row],[SalesBot]]*Table8[[#This Row],[Bonus]]</f>
        <v>#N/A</v>
      </c>
    </row>
    <row r="1633" spans="1:14" ht="23.25" customHeight="1" x14ac:dyDescent="0.25">
      <c r="A1633" s="59">
        <f t="shared" si="167"/>
        <v>1900</v>
      </c>
      <c r="B1633" s="59">
        <f t="shared" si="168"/>
        <v>1</v>
      </c>
      <c r="C1633" s="60"/>
      <c r="D1633" s="61"/>
      <c r="F1633" s="23" t="e">
        <f>VLOOKUP(E1633,Customers[],2,FALSE)</f>
        <v>#N/A</v>
      </c>
      <c r="G1633" s="23" t="e">
        <f>VLOOKUP(E1633,Customers[],3,FALSE)</f>
        <v>#N/A</v>
      </c>
      <c r="H1633" s="23" t="e">
        <f>VLOOKUP(E1633,Customers[],4,FALSE)</f>
        <v>#N/A</v>
      </c>
      <c r="J1633" s="29" t="e">
        <f>VLOOKUP(I1633,PGStock[],2,FALSE)</f>
        <v>#N/A</v>
      </c>
      <c r="K1633" s="30" t="e">
        <f>VLOOKUP(I1633,PGStock[],3,FALSE)</f>
        <v>#N/A</v>
      </c>
      <c r="M1633" s="62" t="e">
        <f>VLOOKUP(I1633,PGStock[],6,FALSE)</f>
        <v>#N/A</v>
      </c>
      <c r="N1633" s="62" t="e">
        <f>+Table8[[#This Row],[SalesBot]]*Table8[[#This Row],[Bonus]]</f>
        <v>#N/A</v>
      </c>
    </row>
    <row r="1634" spans="1:14" ht="23.25" customHeight="1" x14ac:dyDescent="0.25">
      <c r="A1634" s="59">
        <f t="shared" si="167"/>
        <v>1900</v>
      </c>
      <c r="B1634" s="59">
        <f t="shared" si="168"/>
        <v>1</v>
      </c>
      <c r="C1634" s="60"/>
      <c r="D1634" s="61"/>
      <c r="F1634" s="23" t="e">
        <f>VLOOKUP(E1634,Customers[],2,FALSE)</f>
        <v>#N/A</v>
      </c>
      <c r="G1634" s="23" t="e">
        <f>VLOOKUP(E1634,Customers[],3,FALSE)</f>
        <v>#N/A</v>
      </c>
      <c r="H1634" s="23" t="e">
        <f>VLOOKUP(E1634,Customers[],4,FALSE)</f>
        <v>#N/A</v>
      </c>
      <c r="J1634" s="29" t="e">
        <f>VLOOKUP(I1634,PGStock[],2,FALSE)</f>
        <v>#N/A</v>
      </c>
      <c r="K1634" s="30" t="e">
        <f>VLOOKUP(I1634,PGStock[],3,FALSE)</f>
        <v>#N/A</v>
      </c>
      <c r="M1634" s="62" t="e">
        <f>VLOOKUP(I1634,PGStock[],6,FALSE)</f>
        <v>#N/A</v>
      </c>
      <c r="N1634" s="62" t="e">
        <f>+Table8[[#This Row],[SalesBot]]*Table8[[#This Row],[Bonus]]</f>
        <v>#N/A</v>
      </c>
    </row>
    <row r="1635" spans="1:14" ht="23.25" customHeight="1" x14ac:dyDescent="0.25">
      <c r="A1635" s="59">
        <f t="shared" si="167"/>
        <v>1900</v>
      </c>
      <c r="B1635" s="59">
        <f t="shared" si="168"/>
        <v>1</v>
      </c>
      <c r="C1635" s="60"/>
      <c r="D1635" s="61"/>
      <c r="F1635" s="23" t="e">
        <f>VLOOKUP(E1635,Customers[],2,FALSE)</f>
        <v>#N/A</v>
      </c>
      <c r="G1635" s="23" t="e">
        <f>VLOOKUP(E1635,Customers[],3,FALSE)</f>
        <v>#N/A</v>
      </c>
      <c r="H1635" s="23" t="e">
        <f>VLOOKUP(E1635,Customers[],4,FALSE)</f>
        <v>#N/A</v>
      </c>
      <c r="J1635" s="29" t="e">
        <f>VLOOKUP(I1635,PGStock[],2,FALSE)</f>
        <v>#N/A</v>
      </c>
      <c r="K1635" s="30" t="e">
        <f>VLOOKUP(I1635,PGStock[],3,FALSE)</f>
        <v>#N/A</v>
      </c>
      <c r="M1635" s="62" t="e">
        <f>VLOOKUP(I1635,PGStock[],6,FALSE)</f>
        <v>#N/A</v>
      </c>
      <c r="N1635" s="62" t="e">
        <f>+Table8[[#This Row],[SalesBot]]*Table8[[#This Row],[Bonus]]</f>
        <v>#N/A</v>
      </c>
    </row>
    <row r="1636" spans="1:14" ht="23.25" customHeight="1" x14ac:dyDescent="0.25">
      <c r="A1636" s="59">
        <f t="shared" si="167"/>
        <v>1900</v>
      </c>
      <c r="B1636" s="59">
        <f t="shared" si="168"/>
        <v>1</v>
      </c>
      <c r="C1636" s="60"/>
      <c r="D1636" s="61"/>
      <c r="F1636" s="23" t="e">
        <f>VLOOKUP(E1636,Customers[],2,FALSE)</f>
        <v>#N/A</v>
      </c>
      <c r="G1636" s="23" t="e">
        <f>VLOOKUP(E1636,Customers[],3,FALSE)</f>
        <v>#N/A</v>
      </c>
      <c r="H1636" s="23" t="e">
        <f>VLOOKUP(E1636,Customers[],4,FALSE)</f>
        <v>#N/A</v>
      </c>
      <c r="J1636" s="29" t="e">
        <f>VLOOKUP(I1636,PGStock[],2,FALSE)</f>
        <v>#N/A</v>
      </c>
      <c r="K1636" s="30" t="e">
        <f>VLOOKUP(I1636,PGStock[],3,FALSE)</f>
        <v>#N/A</v>
      </c>
      <c r="M1636" s="62" t="e">
        <f>VLOOKUP(I1636,PGStock[],6,FALSE)</f>
        <v>#N/A</v>
      </c>
      <c r="N1636" s="62" t="e">
        <f>+Table8[[#This Row],[SalesBot]]*Table8[[#This Row],[Bonus]]</f>
        <v>#N/A</v>
      </c>
    </row>
    <row r="1637" spans="1:14" ht="23.25" customHeight="1" x14ac:dyDescent="0.25">
      <c r="A1637" s="59">
        <f t="shared" si="167"/>
        <v>1900</v>
      </c>
      <c r="B1637" s="59">
        <f t="shared" si="168"/>
        <v>1</v>
      </c>
      <c r="C1637" s="60"/>
      <c r="D1637" s="61"/>
      <c r="F1637" s="23" t="e">
        <f>VLOOKUP(E1637,Customers[],2,FALSE)</f>
        <v>#N/A</v>
      </c>
      <c r="G1637" s="23" t="e">
        <f>VLOOKUP(E1637,Customers[],3,FALSE)</f>
        <v>#N/A</v>
      </c>
      <c r="H1637" s="23" t="e">
        <f>VLOOKUP(E1637,Customers[],4,FALSE)</f>
        <v>#N/A</v>
      </c>
      <c r="J1637" s="29" t="e">
        <f>VLOOKUP(I1637,PGStock[],2,FALSE)</f>
        <v>#N/A</v>
      </c>
      <c r="K1637" s="30" t="e">
        <f>VLOOKUP(I1637,PGStock[],3,FALSE)</f>
        <v>#N/A</v>
      </c>
      <c r="M1637" s="62" t="e">
        <f>VLOOKUP(I1637,PGStock[],6,FALSE)</f>
        <v>#N/A</v>
      </c>
      <c r="N1637" s="62" t="e">
        <f>+Table8[[#This Row],[SalesBot]]*Table8[[#This Row],[Bonus]]</f>
        <v>#N/A</v>
      </c>
    </row>
    <row r="1638" spans="1:14" ht="23.25" customHeight="1" x14ac:dyDescent="0.25">
      <c r="A1638" s="59">
        <f t="shared" si="167"/>
        <v>1900</v>
      </c>
      <c r="B1638" s="59">
        <f t="shared" si="168"/>
        <v>1</v>
      </c>
      <c r="C1638" s="60"/>
      <c r="D1638" s="61"/>
      <c r="F1638" s="23" t="e">
        <f>VLOOKUP(E1638,Customers[],2,FALSE)</f>
        <v>#N/A</v>
      </c>
      <c r="G1638" s="23" t="e">
        <f>VLOOKUP(E1638,Customers[],3,FALSE)</f>
        <v>#N/A</v>
      </c>
      <c r="H1638" s="23" t="e">
        <f>VLOOKUP(E1638,Customers[],4,FALSE)</f>
        <v>#N/A</v>
      </c>
      <c r="J1638" s="29" t="e">
        <f>VLOOKUP(I1638,PGStock[],2,FALSE)</f>
        <v>#N/A</v>
      </c>
      <c r="K1638" s="30" t="e">
        <f>VLOOKUP(I1638,PGStock[],3,FALSE)</f>
        <v>#N/A</v>
      </c>
      <c r="M1638" s="62" t="e">
        <f>VLOOKUP(I1638,PGStock[],6,FALSE)</f>
        <v>#N/A</v>
      </c>
      <c r="N1638" s="62" t="e">
        <f>+Table8[[#This Row],[SalesBot]]*Table8[[#This Row],[Bonus]]</f>
        <v>#N/A</v>
      </c>
    </row>
    <row r="1639" spans="1:14" ht="23.25" customHeight="1" x14ac:dyDescent="0.25">
      <c r="A1639" s="59">
        <f t="shared" si="167"/>
        <v>1900</v>
      </c>
      <c r="B1639" s="59">
        <f t="shared" si="168"/>
        <v>1</v>
      </c>
      <c r="C1639" s="60"/>
      <c r="D1639" s="61"/>
      <c r="F1639" s="23" t="e">
        <f>VLOOKUP(E1639,Customers[],2,FALSE)</f>
        <v>#N/A</v>
      </c>
      <c r="G1639" s="23" t="e">
        <f>VLOOKUP(E1639,Customers[],3,FALSE)</f>
        <v>#N/A</v>
      </c>
      <c r="H1639" s="23" t="e">
        <f>VLOOKUP(E1639,Customers[],4,FALSE)</f>
        <v>#N/A</v>
      </c>
      <c r="J1639" s="29" t="e">
        <f>VLOOKUP(I1639,PGStock[],2,FALSE)</f>
        <v>#N/A</v>
      </c>
      <c r="K1639" s="30" t="e">
        <f>VLOOKUP(I1639,PGStock[],3,FALSE)</f>
        <v>#N/A</v>
      </c>
      <c r="M1639" s="62" t="e">
        <f>VLOOKUP(I1639,PGStock[],6,FALSE)</f>
        <v>#N/A</v>
      </c>
      <c r="N1639" s="62" t="e">
        <f>+Table8[[#This Row],[SalesBot]]*Table8[[#This Row],[Bonus]]</f>
        <v>#N/A</v>
      </c>
    </row>
    <row r="1640" spans="1:14" ht="23.25" customHeight="1" x14ac:dyDescent="0.25">
      <c r="A1640" s="59">
        <f t="shared" si="153"/>
        <v>1900</v>
      </c>
      <c r="B1640" s="59">
        <f t="shared" si="154"/>
        <v>1</v>
      </c>
      <c r="C1640" s="60"/>
      <c r="D1640" s="61"/>
      <c r="F1640" s="23" t="e">
        <f>VLOOKUP(E1640,Customers[],2,FALSE)</f>
        <v>#N/A</v>
      </c>
      <c r="G1640" s="23" t="e">
        <f>VLOOKUP(E1640,Customers[],3,FALSE)</f>
        <v>#N/A</v>
      </c>
      <c r="H1640" s="23" t="e">
        <f>VLOOKUP(E1640,Customers[],4,FALSE)</f>
        <v>#N/A</v>
      </c>
      <c r="J1640" s="29" t="e">
        <f>VLOOKUP(I1640,PGStock[],2,FALSE)</f>
        <v>#N/A</v>
      </c>
      <c r="K1640" s="30" t="e">
        <f>VLOOKUP(I1640,PGStock[],3,FALSE)</f>
        <v>#N/A</v>
      </c>
      <c r="M1640" s="62" t="e">
        <f>VLOOKUP(I1640,PGStock[],6,FALSE)</f>
        <v>#N/A</v>
      </c>
      <c r="N1640" s="62" t="e">
        <f>+Table8[[#This Row],[SalesBot]]*Table8[[#This Row],[Bonus]]</f>
        <v>#N/A</v>
      </c>
    </row>
    <row r="1641" spans="1:14" ht="23.25" customHeight="1" x14ac:dyDescent="0.25">
      <c r="A1641" s="59">
        <f t="shared" si="153"/>
        <v>1900</v>
      </c>
      <c r="B1641" s="59">
        <f t="shared" si="154"/>
        <v>1</v>
      </c>
      <c r="C1641" s="60"/>
      <c r="D1641" s="61"/>
      <c r="F1641" s="23" t="e">
        <f>VLOOKUP(E1641,Customers[],2,FALSE)</f>
        <v>#N/A</v>
      </c>
      <c r="G1641" s="23" t="e">
        <f>VLOOKUP(E1641,Customers[],3,FALSE)</f>
        <v>#N/A</v>
      </c>
      <c r="H1641" s="23" t="e">
        <f>VLOOKUP(E1641,Customers[],4,FALSE)</f>
        <v>#N/A</v>
      </c>
      <c r="J1641" s="29" t="e">
        <f>VLOOKUP(I1641,PGStock[],2,FALSE)</f>
        <v>#N/A</v>
      </c>
      <c r="K1641" s="30" t="e">
        <f>VLOOKUP(I1641,PGStock[],3,FALSE)</f>
        <v>#N/A</v>
      </c>
      <c r="M1641" s="62" t="e">
        <f>VLOOKUP(I1641,PGStock[],6,FALSE)</f>
        <v>#N/A</v>
      </c>
      <c r="N1641" s="62" t="e">
        <f>+Table8[[#This Row],[SalesBot]]*Table8[[#This Row],[Bonus]]</f>
        <v>#N/A</v>
      </c>
    </row>
    <row r="1642" spans="1:14" ht="23.25" customHeight="1" x14ac:dyDescent="0.25">
      <c r="A1642" s="59">
        <f t="shared" si="153"/>
        <v>1900</v>
      </c>
      <c r="B1642" s="59">
        <f t="shared" si="154"/>
        <v>1</v>
      </c>
      <c r="C1642" s="60"/>
      <c r="D1642" s="61"/>
      <c r="F1642" s="23" t="e">
        <f>VLOOKUP(E1642,Customers[],2,FALSE)</f>
        <v>#N/A</v>
      </c>
      <c r="G1642" s="23" t="e">
        <f>VLOOKUP(E1642,Customers[],3,FALSE)</f>
        <v>#N/A</v>
      </c>
      <c r="H1642" s="23" t="e">
        <f>VLOOKUP(E1642,Customers[],4,FALSE)</f>
        <v>#N/A</v>
      </c>
      <c r="J1642" s="29" t="e">
        <f>VLOOKUP(I1642,PGStock[],2,FALSE)</f>
        <v>#N/A</v>
      </c>
      <c r="K1642" s="30" t="e">
        <f>VLOOKUP(I1642,PGStock[],3,FALSE)</f>
        <v>#N/A</v>
      </c>
      <c r="M1642" s="62" t="e">
        <f>VLOOKUP(I1642,PGStock[],6,FALSE)</f>
        <v>#N/A</v>
      </c>
      <c r="N1642" s="62" t="e">
        <f>+Table8[[#This Row],[SalesBot]]*Table8[[#This Row],[Bonus]]</f>
        <v>#N/A</v>
      </c>
    </row>
    <row r="1643" spans="1:14" ht="23.25" customHeight="1" x14ac:dyDescent="0.25">
      <c r="A1643" s="59">
        <f t="shared" ref="A1643:A1652" si="169">YEAR(C1643)</f>
        <v>1900</v>
      </c>
      <c r="B1643" s="59">
        <f t="shared" ref="B1643:B1652" si="170">MONTH(C1643)</f>
        <v>1</v>
      </c>
      <c r="C1643" s="60"/>
      <c r="D1643" s="61"/>
      <c r="F1643" s="23" t="e">
        <f>VLOOKUP(E1643,Customers[],2,FALSE)</f>
        <v>#N/A</v>
      </c>
      <c r="G1643" s="23" t="e">
        <f>VLOOKUP(E1643,Customers[],3,FALSE)</f>
        <v>#N/A</v>
      </c>
      <c r="H1643" s="23" t="e">
        <f>VLOOKUP(E1643,Customers[],4,FALSE)</f>
        <v>#N/A</v>
      </c>
      <c r="J1643" s="29" t="e">
        <f>VLOOKUP(I1643,PGStock[],2,FALSE)</f>
        <v>#N/A</v>
      </c>
      <c r="K1643" s="30" t="e">
        <f>VLOOKUP(I1643,PGStock[],3,FALSE)</f>
        <v>#N/A</v>
      </c>
      <c r="M1643" s="62" t="e">
        <f>VLOOKUP(I1643,PGStock[],6,FALSE)</f>
        <v>#N/A</v>
      </c>
      <c r="N1643" s="62" t="e">
        <f>+Table8[[#This Row],[SalesBot]]*Table8[[#This Row],[Bonus]]</f>
        <v>#N/A</v>
      </c>
    </row>
    <row r="1644" spans="1:14" ht="23.25" customHeight="1" x14ac:dyDescent="0.25">
      <c r="A1644" s="59">
        <f t="shared" si="169"/>
        <v>1900</v>
      </c>
      <c r="B1644" s="59">
        <f t="shared" si="170"/>
        <v>1</v>
      </c>
      <c r="C1644" s="60"/>
      <c r="D1644" s="61"/>
      <c r="F1644" s="23" t="e">
        <f>VLOOKUP(E1644,Customers[],2,FALSE)</f>
        <v>#N/A</v>
      </c>
      <c r="G1644" s="23" t="e">
        <f>VLOOKUP(E1644,Customers[],3,FALSE)</f>
        <v>#N/A</v>
      </c>
      <c r="H1644" s="23" t="e">
        <f>VLOOKUP(E1644,Customers[],4,FALSE)</f>
        <v>#N/A</v>
      </c>
      <c r="J1644" s="29" t="e">
        <f>VLOOKUP(I1644,PGStock[],2,FALSE)</f>
        <v>#N/A</v>
      </c>
      <c r="K1644" s="30" t="e">
        <f>VLOOKUP(I1644,PGStock[],3,FALSE)</f>
        <v>#N/A</v>
      </c>
      <c r="M1644" s="62" t="e">
        <f>VLOOKUP(I1644,PGStock[],6,FALSE)</f>
        <v>#N/A</v>
      </c>
      <c r="N1644" s="62" t="e">
        <f>+Table8[[#This Row],[SalesBot]]*Table8[[#This Row],[Bonus]]</f>
        <v>#N/A</v>
      </c>
    </row>
    <row r="1645" spans="1:14" ht="23.25" customHeight="1" x14ac:dyDescent="0.25">
      <c r="A1645" s="59">
        <f t="shared" si="169"/>
        <v>1900</v>
      </c>
      <c r="B1645" s="59">
        <f t="shared" si="170"/>
        <v>1</v>
      </c>
      <c r="C1645" s="60"/>
      <c r="D1645" s="61"/>
      <c r="F1645" s="23" t="e">
        <f>VLOOKUP(E1645,Customers[],2,FALSE)</f>
        <v>#N/A</v>
      </c>
      <c r="G1645" s="23" t="e">
        <f>VLOOKUP(E1645,Customers[],3,FALSE)</f>
        <v>#N/A</v>
      </c>
      <c r="H1645" s="23" t="e">
        <f>VLOOKUP(E1645,Customers[],4,FALSE)</f>
        <v>#N/A</v>
      </c>
      <c r="J1645" s="29" t="e">
        <f>VLOOKUP(I1645,PGStock[],2,FALSE)</f>
        <v>#N/A</v>
      </c>
      <c r="K1645" s="30" t="e">
        <f>VLOOKUP(I1645,PGStock[],3,FALSE)</f>
        <v>#N/A</v>
      </c>
      <c r="M1645" s="62" t="e">
        <f>VLOOKUP(I1645,PGStock[],6,FALSE)</f>
        <v>#N/A</v>
      </c>
      <c r="N1645" s="62" t="e">
        <f>+Table8[[#This Row],[SalesBot]]*Table8[[#This Row],[Bonus]]</f>
        <v>#N/A</v>
      </c>
    </row>
    <row r="1646" spans="1:14" ht="23.25" customHeight="1" x14ac:dyDescent="0.25">
      <c r="A1646" s="59">
        <f t="shared" si="169"/>
        <v>1900</v>
      </c>
      <c r="B1646" s="59">
        <f t="shared" si="170"/>
        <v>1</v>
      </c>
      <c r="C1646" s="60"/>
      <c r="D1646" s="61"/>
      <c r="F1646" s="23" t="e">
        <f>VLOOKUP(E1646,Customers[],2,FALSE)</f>
        <v>#N/A</v>
      </c>
      <c r="G1646" s="23" t="e">
        <f>VLOOKUP(E1646,Customers[],3,FALSE)</f>
        <v>#N/A</v>
      </c>
      <c r="H1646" s="23" t="e">
        <f>VLOOKUP(E1646,Customers[],4,FALSE)</f>
        <v>#N/A</v>
      </c>
      <c r="J1646" s="29" t="e">
        <f>VLOOKUP(I1646,PGStock[],2,FALSE)</f>
        <v>#N/A</v>
      </c>
      <c r="K1646" s="30" t="e">
        <f>VLOOKUP(I1646,PGStock[],3,FALSE)</f>
        <v>#N/A</v>
      </c>
      <c r="M1646" s="62" t="e">
        <f>VLOOKUP(I1646,PGStock[],6,FALSE)</f>
        <v>#N/A</v>
      </c>
      <c r="N1646" s="62" t="e">
        <f>+Table8[[#This Row],[SalesBot]]*Table8[[#This Row],[Bonus]]</f>
        <v>#N/A</v>
      </c>
    </row>
    <row r="1647" spans="1:14" ht="23.25" customHeight="1" x14ac:dyDescent="0.25">
      <c r="A1647" s="59">
        <f t="shared" si="169"/>
        <v>1900</v>
      </c>
      <c r="B1647" s="59">
        <f t="shared" si="170"/>
        <v>1</v>
      </c>
      <c r="C1647" s="60"/>
      <c r="D1647" s="61"/>
      <c r="F1647" s="23" t="e">
        <f>VLOOKUP(E1647,Customers[],2,FALSE)</f>
        <v>#N/A</v>
      </c>
      <c r="G1647" s="23" t="e">
        <f>VLOOKUP(E1647,Customers[],3,FALSE)</f>
        <v>#N/A</v>
      </c>
      <c r="H1647" s="23" t="e">
        <f>VLOOKUP(E1647,Customers[],4,FALSE)</f>
        <v>#N/A</v>
      </c>
      <c r="J1647" s="29" t="e">
        <f>VLOOKUP(I1647,PGStock[],2,FALSE)</f>
        <v>#N/A</v>
      </c>
      <c r="K1647" s="30" t="e">
        <f>VLOOKUP(I1647,PGStock[],3,FALSE)</f>
        <v>#N/A</v>
      </c>
      <c r="M1647" s="62" t="e">
        <f>VLOOKUP(I1647,PGStock[],6,FALSE)</f>
        <v>#N/A</v>
      </c>
      <c r="N1647" s="62" t="e">
        <f>+Table8[[#This Row],[SalesBot]]*Table8[[#This Row],[Bonus]]</f>
        <v>#N/A</v>
      </c>
    </row>
    <row r="1648" spans="1:14" ht="23.25" customHeight="1" x14ac:dyDescent="0.25">
      <c r="A1648" s="59">
        <f t="shared" si="169"/>
        <v>1900</v>
      </c>
      <c r="B1648" s="59">
        <f t="shared" si="170"/>
        <v>1</v>
      </c>
      <c r="C1648" s="60"/>
      <c r="D1648" s="61"/>
      <c r="F1648" s="23" t="e">
        <f>VLOOKUP(E1648,Customers[],2,FALSE)</f>
        <v>#N/A</v>
      </c>
      <c r="G1648" s="23" t="e">
        <f>VLOOKUP(E1648,Customers[],3,FALSE)</f>
        <v>#N/A</v>
      </c>
      <c r="H1648" s="23" t="e">
        <f>VLOOKUP(E1648,Customers[],4,FALSE)</f>
        <v>#N/A</v>
      </c>
      <c r="J1648" s="29" t="e">
        <f>VLOOKUP(I1648,PGStock[],2,FALSE)</f>
        <v>#N/A</v>
      </c>
      <c r="K1648" s="30" t="e">
        <f>VLOOKUP(I1648,PGStock[],3,FALSE)</f>
        <v>#N/A</v>
      </c>
      <c r="M1648" s="62" t="e">
        <f>VLOOKUP(I1648,PGStock[],6,FALSE)</f>
        <v>#N/A</v>
      </c>
      <c r="N1648" s="62" t="e">
        <f>+Table8[[#This Row],[SalesBot]]*Table8[[#This Row],[Bonus]]</f>
        <v>#N/A</v>
      </c>
    </row>
    <row r="1649" spans="1:14" ht="23.25" customHeight="1" x14ac:dyDescent="0.25">
      <c r="A1649" s="59">
        <f t="shared" si="169"/>
        <v>1900</v>
      </c>
      <c r="B1649" s="59">
        <f t="shared" si="170"/>
        <v>1</v>
      </c>
      <c r="C1649" s="60"/>
      <c r="D1649" s="61"/>
      <c r="F1649" s="23" t="e">
        <f>VLOOKUP(E1649,Customers[],2,FALSE)</f>
        <v>#N/A</v>
      </c>
      <c r="G1649" s="23" t="e">
        <f>VLOOKUP(E1649,Customers[],3,FALSE)</f>
        <v>#N/A</v>
      </c>
      <c r="H1649" s="23" t="e">
        <f>VLOOKUP(E1649,Customers[],4,FALSE)</f>
        <v>#N/A</v>
      </c>
      <c r="J1649" s="29" t="e">
        <f>VLOOKUP(I1649,PGStock[],2,FALSE)</f>
        <v>#N/A</v>
      </c>
      <c r="K1649" s="30" t="e">
        <f>VLOOKUP(I1649,PGStock[],3,FALSE)</f>
        <v>#N/A</v>
      </c>
      <c r="M1649" s="62" t="e">
        <f>VLOOKUP(I1649,PGStock[],6,FALSE)</f>
        <v>#N/A</v>
      </c>
      <c r="N1649" s="62" t="e">
        <f>+Table8[[#This Row],[SalesBot]]*Table8[[#This Row],[Bonus]]</f>
        <v>#N/A</v>
      </c>
    </row>
    <row r="1650" spans="1:14" ht="23.25" customHeight="1" x14ac:dyDescent="0.25">
      <c r="A1650" s="59">
        <f t="shared" si="169"/>
        <v>1900</v>
      </c>
      <c r="B1650" s="59">
        <f t="shared" si="170"/>
        <v>1</v>
      </c>
      <c r="C1650" s="60"/>
      <c r="D1650" s="61"/>
      <c r="F1650" s="23" t="e">
        <f>VLOOKUP(E1650,Customers[],2,FALSE)</f>
        <v>#N/A</v>
      </c>
      <c r="G1650" s="23" t="e">
        <f>VLOOKUP(E1650,Customers[],3,FALSE)</f>
        <v>#N/A</v>
      </c>
      <c r="H1650" s="23" t="e">
        <f>VLOOKUP(E1650,Customers[],4,FALSE)</f>
        <v>#N/A</v>
      </c>
      <c r="J1650" s="29" t="e">
        <f>VLOOKUP(I1650,PGStock[],2,FALSE)</f>
        <v>#N/A</v>
      </c>
      <c r="K1650" s="30" t="e">
        <f>VLOOKUP(I1650,PGStock[],3,FALSE)</f>
        <v>#N/A</v>
      </c>
      <c r="M1650" s="62" t="e">
        <f>VLOOKUP(I1650,PGStock[],6,FALSE)</f>
        <v>#N/A</v>
      </c>
      <c r="N1650" s="62" t="e">
        <f>+Table8[[#This Row],[SalesBot]]*Table8[[#This Row],[Bonus]]</f>
        <v>#N/A</v>
      </c>
    </row>
    <row r="1651" spans="1:14" ht="23.25" customHeight="1" x14ac:dyDescent="0.25">
      <c r="A1651" s="59">
        <f t="shared" si="169"/>
        <v>1900</v>
      </c>
      <c r="B1651" s="59">
        <f t="shared" si="170"/>
        <v>1</v>
      </c>
      <c r="C1651" s="60"/>
      <c r="D1651" s="61"/>
      <c r="F1651" s="23" t="e">
        <f>VLOOKUP(E1651,Customers[],2,FALSE)</f>
        <v>#N/A</v>
      </c>
      <c r="G1651" s="23" t="e">
        <f>VLOOKUP(E1651,Customers[],3,FALSE)</f>
        <v>#N/A</v>
      </c>
      <c r="H1651" s="23" t="e">
        <f>VLOOKUP(E1651,Customers[],4,FALSE)</f>
        <v>#N/A</v>
      </c>
      <c r="J1651" s="29" t="e">
        <f>VLOOKUP(I1651,PGStock[],2,FALSE)</f>
        <v>#N/A</v>
      </c>
      <c r="K1651" s="30" t="e">
        <f>VLOOKUP(I1651,PGStock[],3,FALSE)</f>
        <v>#N/A</v>
      </c>
      <c r="M1651" s="62" t="e">
        <f>VLOOKUP(I1651,PGStock[],6,FALSE)</f>
        <v>#N/A</v>
      </c>
      <c r="N1651" s="62" t="e">
        <f>+Table8[[#This Row],[SalesBot]]*Table8[[#This Row],[Bonus]]</f>
        <v>#N/A</v>
      </c>
    </row>
    <row r="1652" spans="1:14" ht="23.25" customHeight="1" x14ac:dyDescent="0.25">
      <c r="A1652" s="59">
        <f t="shared" si="169"/>
        <v>1900</v>
      </c>
      <c r="B1652" s="59">
        <f t="shared" si="170"/>
        <v>1</v>
      </c>
      <c r="C1652" s="60"/>
      <c r="D1652" s="61"/>
      <c r="F1652" s="23" t="e">
        <f>VLOOKUP(E1652,Customers[],2,FALSE)</f>
        <v>#N/A</v>
      </c>
      <c r="G1652" s="23" t="e">
        <f>VLOOKUP(E1652,Customers[],3,FALSE)</f>
        <v>#N/A</v>
      </c>
      <c r="H1652" s="23" t="e">
        <f>VLOOKUP(E1652,Customers[],4,FALSE)</f>
        <v>#N/A</v>
      </c>
      <c r="J1652" s="29" t="e">
        <f>VLOOKUP(I1652,PGStock[],2,FALSE)</f>
        <v>#N/A</v>
      </c>
      <c r="K1652" s="30" t="e">
        <f>VLOOKUP(I1652,PGStock[],3,FALSE)</f>
        <v>#N/A</v>
      </c>
      <c r="M1652" s="62" t="e">
        <f>VLOOKUP(I1652,PGStock[],6,FALSE)</f>
        <v>#N/A</v>
      </c>
      <c r="N1652" s="62" t="e">
        <f>+Table8[[#This Row],[SalesBot]]*Table8[[#This Row],[Bonus]]</f>
        <v>#N/A</v>
      </c>
    </row>
    <row r="1653" spans="1:14" ht="23.25" customHeight="1" x14ac:dyDescent="0.25">
      <c r="A1653" s="59">
        <f t="shared" ref="A1653:A1662" si="171">YEAR(C1653)</f>
        <v>1900</v>
      </c>
      <c r="B1653" s="59">
        <f t="shared" ref="B1653:B1662" si="172">MONTH(C1653)</f>
        <v>1</v>
      </c>
      <c r="C1653" s="60"/>
      <c r="D1653" s="61"/>
      <c r="F1653" s="23" t="e">
        <f>VLOOKUP(E1653,Customers[],2,FALSE)</f>
        <v>#N/A</v>
      </c>
      <c r="G1653" s="23" t="e">
        <f>VLOOKUP(E1653,Customers[],3,FALSE)</f>
        <v>#N/A</v>
      </c>
      <c r="H1653" s="23" t="e">
        <f>VLOOKUP(E1653,Customers[],4,FALSE)</f>
        <v>#N/A</v>
      </c>
      <c r="J1653" s="29" t="e">
        <f>VLOOKUP(I1653,PGStock[],2,FALSE)</f>
        <v>#N/A</v>
      </c>
      <c r="K1653" s="30" t="e">
        <f>VLOOKUP(I1653,PGStock[],3,FALSE)</f>
        <v>#N/A</v>
      </c>
      <c r="M1653" s="62" t="e">
        <f>VLOOKUP(I1653,PGStock[],6,FALSE)</f>
        <v>#N/A</v>
      </c>
      <c r="N1653" s="62" t="e">
        <f>+Table8[[#This Row],[SalesBot]]*Table8[[#This Row],[Bonus]]</f>
        <v>#N/A</v>
      </c>
    </row>
    <row r="1654" spans="1:14" ht="23.25" customHeight="1" x14ac:dyDescent="0.25">
      <c r="A1654" s="59">
        <f t="shared" si="171"/>
        <v>1900</v>
      </c>
      <c r="B1654" s="59">
        <f t="shared" si="172"/>
        <v>1</v>
      </c>
      <c r="C1654" s="60"/>
      <c r="D1654" s="61"/>
      <c r="F1654" s="23" t="e">
        <f>VLOOKUP(E1654,Customers[],2,FALSE)</f>
        <v>#N/A</v>
      </c>
      <c r="G1654" s="23" t="e">
        <f>VLOOKUP(E1654,Customers[],3,FALSE)</f>
        <v>#N/A</v>
      </c>
      <c r="H1654" s="23" t="e">
        <f>VLOOKUP(E1654,Customers[],4,FALSE)</f>
        <v>#N/A</v>
      </c>
      <c r="J1654" s="29" t="e">
        <f>VLOOKUP(I1654,PGStock[],2,FALSE)</f>
        <v>#N/A</v>
      </c>
      <c r="K1654" s="30" t="e">
        <f>VLOOKUP(I1654,PGStock[],3,FALSE)</f>
        <v>#N/A</v>
      </c>
      <c r="M1654" s="62" t="e">
        <f>VLOOKUP(I1654,PGStock[],6,FALSE)</f>
        <v>#N/A</v>
      </c>
      <c r="N1654" s="62" t="e">
        <f>+Table8[[#This Row],[SalesBot]]*Table8[[#This Row],[Bonus]]</f>
        <v>#N/A</v>
      </c>
    </row>
    <row r="1655" spans="1:14" ht="23.25" customHeight="1" x14ac:dyDescent="0.25">
      <c r="A1655" s="59">
        <f t="shared" si="171"/>
        <v>1900</v>
      </c>
      <c r="B1655" s="59">
        <f t="shared" si="172"/>
        <v>1</v>
      </c>
      <c r="C1655" s="60"/>
      <c r="D1655" s="61"/>
      <c r="F1655" s="23" t="e">
        <f>VLOOKUP(E1655,Customers[],2,FALSE)</f>
        <v>#N/A</v>
      </c>
      <c r="G1655" s="23" t="e">
        <f>VLOOKUP(E1655,Customers[],3,FALSE)</f>
        <v>#N/A</v>
      </c>
      <c r="H1655" s="23" t="e">
        <f>VLOOKUP(E1655,Customers[],4,FALSE)</f>
        <v>#N/A</v>
      </c>
      <c r="J1655" s="29" t="e">
        <f>VLOOKUP(I1655,PGStock[],2,FALSE)</f>
        <v>#N/A</v>
      </c>
      <c r="K1655" s="30" t="e">
        <f>VLOOKUP(I1655,PGStock[],3,FALSE)</f>
        <v>#N/A</v>
      </c>
      <c r="M1655" s="62" t="e">
        <f>VLOOKUP(I1655,PGStock[],6,FALSE)</f>
        <v>#N/A</v>
      </c>
      <c r="N1655" s="62" t="e">
        <f>+Table8[[#This Row],[SalesBot]]*Table8[[#This Row],[Bonus]]</f>
        <v>#N/A</v>
      </c>
    </row>
    <row r="1656" spans="1:14" ht="23.25" customHeight="1" x14ac:dyDescent="0.25">
      <c r="A1656" s="59">
        <f t="shared" si="171"/>
        <v>1900</v>
      </c>
      <c r="B1656" s="59">
        <f t="shared" si="172"/>
        <v>1</v>
      </c>
      <c r="C1656" s="60"/>
      <c r="D1656" s="61"/>
      <c r="F1656" s="23" t="e">
        <f>VLOOKUP(E1656,Customers[],2,FALSE)</f>
        <v>#N/A</v>
      </c>
      <c r="G1656" s="23" t="e">
        <f>VLOOKUP(E1656,Customers[],3,FALSE)</f>
        <v>#N/A</v>
      </c>
      <c r="H1656" s="23" t="e">
        <f>VLOOKUP(E1656,Customers[],4,FALSE)</f>
        <v>#N/A</v>
      </c>
      <c r="J1656" s="29" t="e">
        <f>VLOOKUP(I1656,PGStock[],2,FALSE)</f>
        <v>#N/A</v>
      </c>
      <c r="K1656" s="30" t="e">
        <f>VLOOKUP(I1656,PGStock[],3,FALSE)</f>
        <v>#N/A</v>
      </c>
      <c r="M1656" s="62" t="e">
        <f>VLOOKUP(I1656,PGStock[],6,FALSE)</f>
        <v>#N/A</v>
      </c>
      <c r="N1656" s="62" t="e">
        <f>+Table8[[#This Row],[SalesBot]]*Table8[[#This Row],[Bonus]]</f>
        <v>#N/A</v>
      </c>
    </row>
    <row r="1657" spans="1:14" ht="23.25" customHeight="1" x14ac:dyDescent="0.25">
      <c r="A1657" s="59">
        <f t="shared" si="171"/>
        <v>1900</v>
      </c>
      <c r="B1657" s="59">
        <f t="shared" si="172"/>
        <v>1</v>
      </c>
      <c r="C1657" s="60"/>
      <c r="D1657" s="61"/>
      <c r="F1657" s="23" t="e">
        <f>VLOOKUP(E1657,Customers[],2,FALSE)</f>
        <v>#N/A</v>
      </c>
      <c r="G1657" s="23" t="e">
        <f>VLOOKUP(E1657,Customers[],3,FALSE)</f>
        <v>#N/A</v>
      </c>
      <c r="H1657" s="23" t="e">
        <f>VLOOKUP(E1657,Customers[],4,FALSE)</f>
        <v>#N/A</v>
      </c>
      <c r="J1657" s="29" t="e">
        <f>VLOOKUP(I1657,PGStock[],2,FALSE)</f>
        <v>#N/A</v>
      </c>
      <c r="K1657" s="30" t="e">
        <f>VLOOKUP(I1657,PGStock[],3,FALSE)</f>
        <v>#N/A</v>
      </c>
      <c r="M1657" s="62" t="e">
        <f>VLOOKUP(I1657,PGStock[],6,FALSE)</f>
        <v>#N/A</v>
      </c>
      <c r="N1657" s="62" t="e">
        <f>+Table8[[#This Row],[SalesBot]]*Table8[[#This Row],[Bonus]]</f>
        <v>#N/A</v>
      </c>
    </row>
    <row r="1658" spans="1:14" ht="23.25" customHeight="1" x14ac:dyDescent="0.25">
      <c r="A1658" s="59">
        <f t="shared" si="171"/>
        <v>1900</v>
      </c>
      <c r="B1658" s="59">
        <f t="shared" si="172"/>
        <v>1</v>
      </c>
      <c r="C1658" s="60"/>
      <c r="D1658" s="61"/>
      <c r="F1658" s="23" t="e">
        <f>VLOOKUP(E1658,Customers[],2,FALSE)</f>
        <v>#N/A</v>
      </c>
      <c r="G1658" s="23" t="e">
        <f>VLOOKUP(E1658,Customers[],3,FALSE)</f>
        <v>#N/A</v>
      </c>
      <c r="H1658" s="23" t="e">
        <f>VLOOKUP(E1658,Customers[],4,FALSE)</f>
        <v>#N/A</v>
      </c>
      <c r="J1658" s="29" t="e">
        <f>VLOOKUP(I1658,PGStock[],2,FALSE)</f>
        <v>#N/A</v>
      </c>
      <c r="K1658" s="30" t="e">
        <f>VLOOKUP(I1658,PGStock[],3,FALSE)</f>
        <v>#N/A</v>
      </c>
      <c r="M1658" s="62" t="e">
        <f>VLOOKUP(I1658,PGStock[],6,FALSE)</f>
        <v>#N/A</v>
      </c>
      <c r="N1658" s="62" t="e">
        <f>+Table8[[#This Row],[SalesBot]]*Table8[[#This Row],[Bonus]]</f>
        <v>#N/A</v>
      </c>
    </row>
    <row r="1659" spans="1:14" ht="23.25" customHeight="1" x14ac:dyDescent="0.25">
      <c r="A1659" s="59">
        <f t="shared" si="171"/>
        <v>1900</v>
      </c>
      <c r="B1659" s="59">
        <f t="shared" si="172"/>
        <v>1</v>
      </c>
      <c r="C1659" s="60"/>
      <c r="D1659" s="61"/>
      <c r="F1659" s="23" t="e">
        <f>VLOOKUP(E1659,Customers[],2,FALSE)</f>
        <v>#N/A</v>
      </c>
      <c r="G1659" s="23" t="e">
        <f>VLOOKUP(E1659,Customers[],3,FALSE)</f>
        <v>#N/A</v>
      </c>
      <c r="H1659" s="23" t="e">
        <f>VLOOKUP(E1659,Customers[],4,FALSE)</f>
        <v>#N/A</v>
      </c>
      <c r="J1659" s="29" t="e">
        <f>VLOOKUP(I1659,PGStock[],2,FALSE)</f>
        <v>#N/A</v>
      </c>
      <c r="K1659" s="30" t="e">
        <f>VLOOKUP(I1659,PGStock[],3,FALSE)</f>
        <v>#N/A</v>
      </c>
      <c r="M1659" s="62" t="e">
        <f>VLOOKUP(I1659,PGStock[],6,FALSE)</f>
        <v>#N/A</v>
      </c>
      <c r="N1659" s="62" t="e">
        <f>+Table8[[#This Row],[SalesBot]]*Table8[[#This Row],[Bonus]]</f>
        <v>#N/A</v>
      </c>
    </row>
    <row r="1660" spans="1:14" ht="23.25" customHeight="1" x14ac:dyDescent="0.25">
      <c r="A1660" s="59">
        <f t="shared" si="171"/>
        <v>1900</v>
      </c>
      <c r="B1660" s="59">
        <f t="shared" si="172"/>
        <v>1</v>
      </c>
      <c r="C1660" s="60"/>
      <c r="D1660" s="61"/>
      <c r="F1660" s="23" t="e">
        <f>VLOOKUP(E1660,Customers[],2,FALSE)</f>
        <v>#N/A</v>
      </c>
      <c r="G1660" s="23" t="e">
        <f>VLOOKUP(E1660,Customers[],3,FALSE)</f>
        <v>#N/A</v>
      </c>
      <c r="H1660" s="23" t="e">
        <f>VLOOKUP(E1660,Customers[],4,FALSE)</f>
        <v>#N/A</v>
      </c>
      <c r="J1660" s="29" t="e">
        <f>VLOOKUP(I1660,PGStock[],2,FALSE)</f>
        <v>#N/A</v>
      </c>
      <c r="K1660" s="30" t="e">
        <f>VLOOKUP(I1660,PGStock[],3,FALSE)</f>
        <v>#N/A</v>
      </c>
      <c r="M1660" s="62" t="e">
        <f>VLOOKUP(I1660,PGStock[],6,FALSE)</f>
        <v>#N/A</v>
      </c>
      <c r="N1660" s="62" t="e">
        <f>+Table8[[#This Row],[SalesBot]]*Table8[[#This Row],[Bonus]]</f>
        <v>#N/A</v>
      </c>
    </row>
    <row r="1661" spans="1:14" ht="23.25" customHeight="1" x14ac:dyDescent="0.25">
      <c r="A1661" s="59">
        <f t="shared" si="171"/>
        <v>1900</v>
      </c>
      <c r="B1661" s="59">
        <f t="shared" si="172"/>
        <v>1</v>
      </c>
      <c r="C1661" s="60"/>
      <c r="D1661" s="61"/>
      <c r="F1661" s="23" t="e">
        <f>VLOOKUP(E1661,Customers[],2,FALSE)</f>
        <v>#N/A</v>
      </c>
      <c r="G1661" s="23" t="e">
        <f>VLOOKUP(E1661,Customers[],3,FALSE)</f>
        <v>#N/A</v>
      </c>
      <c r="H1661" s="23" t="e">
        <f>VLOOKUP(E1661,Customers[],4,FALSE)</f>
        <v>#N/A</v>
      </c>
      <c r="J1661" s="29" t="e">
        <f>VLOOKUP(I1661,PGStock[],2,FALSE)</f>
        <v>#N/A</v>
      </c>
      <c r="K1661" s="30" t="e">
        <f>VLOOKUP(I1661,PGStock[],3,FALSE)</f>
        <v>#N/A</v>
      </c>
      <c r="M1661" s="62" t="e">
        <f>VLOOKUP(I1661,PGStock[],6,FALSE)</f>
        <v>#N/A</v>
      </c>
      <c r="N1661" s="62" t="e">
        <f>+Table8[[#This Row],[SalesBot]]*Table8[[#This Row],[Bonus]]</f>
        <v>#N/A</v>
      </c>
    </row>
    <row r="1662" spans="1:14" ht="23.25" customHeight="1" x14ac:dyDescent="0.25">
      <c r="A1662" s="59">
        <f t="shared" si="171"/>
        <v>1900</v>
      </c>
      <c r="B1662" s="59">
        <f t="shared" si="172"/>
        <v>1</v>
      </c>
      <c r="C1662" s="60"/>
      <c r="D1662" s="61"/>
      <c r="F1662" s="23" t="e">
        <f>VLOOKUP(E1662,Customers[],2,FALSE)</f>
        <v>#N/A</v>
      </c>
      <c r="G1662" s="23" t="e">
        <f>VLOOKUP(E1662,Customers[],3,FALSE)</f>
        <v>#N/A</v>
      </c>
      <c r="H1662" s="23" t="e">
        <f>VLOOKUP(E1662,Customers[],4,FALSE)</f>
        <v>#N/A</v>
      </c>
      <c r="J1662" s="29" t="e">
        <f>VLOOKUP(I1662,PGStock[],2,FALSE)</f>
        <v>#N/A</v>
      </c>
      <c r="K1662" s="30" t="e">
        <f>VLOOKUP(I1662,PGStock[],3,FALSE)</f>
        <v>#N/A</v>
      </c>
      <c r="M1662" s="62" t="e">
        <f>VLOOKUP(I1662,PGStock[],6,FALSE)</f>
        <v>#N/A</v>
      </c>
      <c r="N1662" s="62" t="e">
        <f>+Table8[[#This Row],[SalesBot]]*Table8[[#This Row],[Bonus]]</f>
        <v>#N/A</v>
      </c>
    </row>
    <row r="1663" spans="1:14" ht="23.25" customHeight="1" x14ac:dyDescent="0.25">
      <c r="A1663" s="59">
        <f t="shared" ref="A1663:A1672" si="173">YEAR(C1663)</f>
        <v>1900</v>
      </c>
      <c r="B1663" s="59">
        <f t="shared" ref="B1663:B1672" si="174">MONTH(C1663)</f>
        <v>1</v>
      </c>
      <c r="C1663" s="60"/>
      <c r="D1663" s="61"/>
      <c r="F1663" s="23" t="e">
        <f>VLOOKUP(E1663,Customers[],2,FALSE)</f>
        <v>#N/A</v>
      </c>
      <c r="G1663" s="23" t="e">
        <f>VLOOKUP(E1663,Customers[],3,FALSE)</f>
        <v>#N/A</v>
      </c>
      <c r="H1663" s="23" t="e">
        <f>VLOOKUP(E1663,Customers[],4,FALSE)</f>
        <v>#N/A</v>
      </c>
      <c r="J1663" s="29" t="e">
        <f>VLOOKUP(I1663,PGStock[],2,FALSE)</f>
        <v>#N/A</v>
      </c>
      <c r="K1663" s="30" t="e">
        <f>VLOOKUP(I1663,PGStock[],3,FALSE)</f>
        <v>#N/A</v>
      </c>
      <c r="M1663" s="62" t="e">
        <f>VLOOKUP(I1663,PGStock[],6,FALSE)</f>
        <v>#N/A</v>
      </c>
      <c r="N1663" s="62" t="e">
        <f>+Table8[[#This Row],[SalesBot]]*Table8[[#This Row],[Bonus]]</f>
        <v>#N/A</v>
      </c>
    </row>
    <row r="1664" spans="1:14" ht="23.25" customHeight="1" x14ac:dyDescent="0.25">
      <c r="A1664" s="59">
        <f t="shared" si="173"/>
        <v>1900</v>
      </c>
      <c r="B1664" s="59">
        <f t="shared" si="174"/>
        <v>1</v>
      </c>
      <c r="C1664" s="60"/>
      <c r="D1664" s="61"/>
      <c r="F1664" s="23" t="e">
        <f>VLOOKUP(E1664,Customers[],2,FALSE)</f>
        <v>#N/A</v>
      </c>
      <c r="G1664" s="23" t="e">
        <f>VLOOKUP(E1664,Customers[],3,FALSE)</f>
        <v>#N/A</v>
      </c>
      <c r="H1664" s="23" t="e">
        <f>VLOOKUP(E1664,Customers[],4,FALSE)</f>
        <v>#N/A</v>
      </c>
      <c r="J1664" s="29" t="e">
        <f>VLOOKUP(I1664,PGStock[],2,FALSE)</f>
        <v>#N/A</v>
      </c>
      <c r="K1664" s="30" t="e">
        <f>VLOOKUP(I1664,PGStock[],3,FALSE)</f>
        <v>#N/A</v>
      </c>
      <c r="M1664" s="62" t="e">
        <f>VLOOKUP(I1664,PGStock[],6,FALSE)</f>
        <v>#N/A</v>
      </c>
      <c r="N1664" s="62" t="e">
        <f>+Table8[[#This Row],[SalesBot]]*Table8[[#This Row],[Bonus]]</f>
        <v>#N/A</v>
      </c>
    </row>
    <row r="1665" spans="1:14" ht="23.25" customHeight="1" x14ac:dyDescent="0.25">
      <c r="A1665" s="59">
        <f t="shared" si="173"/>
        <v>1900</v>
      </c>
      <c r="B1665" s="59">
        <f t="shared" si="174"/>
        <v>1</v>
      </c>
      <c r="C1665" s="60"/>
      <c r="D1665" s="61"/>
      <c r="F1665" s="23" t="e">
        <f>VLOOKUP(E1665,Customers[],2,FALSE)</f>
        <v>#N/A</v>
      </c>
      <c r="G1665" s="23" t="e">
        <f>VLOOKUP(E1665,Customers[],3,FALSE)</f>
        <v>#N/A</v>
      </c>
      <c r="H1665" s="23" t="e">
        <f>VLOOKUP(E1665,Customers[],4,FALSE)</f>
        <v>#N/A</v>
      </c>
      <c r="J1665" s="29" t="e">
        <f>VLOOKUP(I1665,PGStock[],2,FALSE)</f>
        <v>#N/A</v>
      </c>
      <c r="K1665" s="30" t="e">
        <f>VLOOKUP(I1665,PGStock[],3,FALSE)</f>
        <v>#N/A</v>
      </c>
      <c r="M1665" s="62" t="e">
        <f>VLOOKUP(I1665,PGStock[],6,FALSE)</f>
        <v>#N/A</v>
      </c>
      <c r="N1665" s="62" t="e">
        <f>+Table8[[#This Row],[SalesBot]]*Table8[[#This Row],[Bonus]]</f>
        <v>#N/A</v>
      </c>
    </row>
    <row r="1666" spans="1:14" ht="23.25" customHeight="1" x14ac:dyDescent="0.25">
      <c r="A1666" s="59">
        <f t="shared" si="173"/>
        <v>1900</v>
      </c>
      <c r="B1666" s="59">
        <f t="shared" si="174"/>
        <v>1</v>
      </c>
      <c r="C1666" s="60"/>
      <c r="D1666" s="61"/>
      <c r="F1666" s="23" t="e">
        <f>VLOOKUP(E1666,Customers[],2,FALSE)</f>
        <v>#N/A</v>
      </c>
      <c r="G1666" s="23" t="e">
        <f>VLOOKUP(E1666,Customers[],3,FALSE)</f>
        <v>#N/A</v>
      </c>
      <c r="H1666" s="23" t="e">
        <f>VLOOKUP(E1666,Customers[],4,FALSE)</f>
        <v>#N/A</v>
      </c>
      <c r="J1666" s="29" t="e">
        <f>VLOOKUP(I1666,PGStock[],2,FALSE)</f>
        <v>#N/A</v>
      </c>
      <c r="K1666" s="30" t="e">
        <f>VLOOKUP(I1666,PGStock[],3,FALSE)</f>
        <v>#N/A</v>
      </c>
      <c r="M1666" s="62" t="e">
        <f>VLOOKUP(I1666,PGStock[],6,FALSE)</f>
        <v>#N/A</v>
      </c>
      <c r="N1666" s="62" t="e">
        <f>+Table8[[#This Row],[SalesBot]]*Table8[[#This Row],[Bonus]]</f>
        <v>#N/A</v>
      </c>
    </row>
    <row r="1667" spans="1:14" ht="23.25" customHeight="1" x14ac:dyDescent="0.25">
      <c r="A1667" s="59">
        <f t="shared" si="173"/>
        <v>1900</v>
      </c>
      <c r="B1667" s="59">
        <f t="shared" si="174"/>
        <v>1</v>
      </c>
      <c r="C1667" s="60"/>
      <c r="D1667" s="61"/>
      <c r="F1667" s="23" t="e">
        <f>VLOOKUP(E1667,Customers[],2,FALSE)</f>
        <v>#N/A</v>
      </c>
      <c r="G1667" s="23" t="e">
        <f>VLOOKUP(E1667,Customers[],3,FALSE)</f>
        <v>#N/A</v>
      </c>
      <c r="H1667" s="23" t="e">
        <f>VLOOKUP(E1667,Customers[],4,FALSE)</f>
        <v>#N/A</v>
      </c>
      <c r="J1667" s="29" t="e">
        <f>VLOOKUP(I1667,PGStock[],2,FALSE)</f>
        <v>#N/A</v>
      </c>
      <c r="K1667" s="30" t="e">
        <f>VLOOKUP(I1667,PGStock[],3,FALSE)</f>
        <v>#N/A</v>
      </c>
      <c r="M1667" s="62" t="e">
        <f>VLOOKUP(I1667,PGStock[],6,FALSE)</f>
        <v>#N/A</v>
      </c>
      <c r="N1667" s="62" t="e">
        <f>+Table8[[#This Row],[SalesBot]]*Table8[[#This Row],[Bonus]]</f>
        <v>#N/A</v>
      </c>
    </row>
    <row r="1668" spans="1:14" ht="23.25" customHeight="1" x14ac:dyDescent="0.25">
      <c r="A1668" s="59">
        <f t="shared" si="173"/>
        <v>1900</v>
      </c>
      <c r="B1668" s="59">
        <f t="shared" si="174"/>
        <v>1</v>
      </c>
      <c r="C1668" s="60"/>
      <c r="D1668" s="61"/>
      <c r="F1668" s="23" t="e">
        <f>VLOOKUP(E1668,Customers[],2,FALSE)</f>
        <v>#N/A</v>
      </c>
      <c r="G1668" s="23" t="e">
        <f>VLOOKUP(E1668,Customers[],3,FALSE)</f>
        <v>#N/A</v>
      </c>
      <c r="H1668" s="23" t="e">
        <f>VLOOKUP(E1668,Customers[],4,FALSE)</f>
        <v>#N/A</v>
      </c>
      <c r="J1668" s="29" t="e">
        <f>VLOOKUP(I1668,PGStock[],2,FALSE)</f>
        <v>#N/A</v>
      </c>
      <c r="K1668" s="30" t="e">
        <f>VLOOKUP(I1668,PGStock[],3,FALSE)</f>
        <v>#N/A</v>
      </c>
      <c r="M1668" s="62" t="e">
        <f>VLOOKUP(I1668,PGStock[],6,FALSE)</f>
        <v>#N/A</v>
      </c>
      <c r="N1668" s="62" t="e">
        <f>+Table8[[#This Row],[SalesBot]]*Table8[[#This Row],[Bonus]]</f>
        <v>#N/A</v>
      </c>
    </row>
    <row r="1669" spans="1:14" ht="23.25" customHeight="1" x14ac:dyDescent="0.25">
      <c r="A1669" s="59">
        <f t="shared" si="173"/>
        <v>1900</v>
      </c>
      <c r="B1669" s="59">
        <f t="shared" si="174"/>
        <v>1</v>
      </c>
      <c r="C1669" s="60"/>
      <c r="D1669" s="61"/>
      <c r="F1669" s="23" t="e">
        <f>VLOOKUP(E1669,Customers[],2,FALSE)</f>
        <v>#N/A</v>
      </c>
      <c r="G1669" s="23" t="e">
        <f>VLOOKUP(E1669,Customers[],3,FALSE)</f>
        <v>#N/A</v>
      </c>
      <c r="H1669" s="23" t="e">
        <f>VLOOKUP(E1669,Customers[],4,FALSE)</f>
        <v>#N/A</v>
      </c>
      <c r="J1669" s="29" t="e">
        <f>VLOOKUP(I1669,PGStock[],2,FALSE)</f>
        <v>#N/A</v>
      </c>
      <c r="K1669" s="30" t="e">
        <f>VLOOKUP(I1669,PGStock[],3,FALSE)</f>
        <v>#N/A</v>
      </c>
      <c r="M1669" s="62" t="e">
        <f>VLOOKUP(I1669,PGStock[],6,FALSE)</f>
        <v>#N/A</v>
      </c>
      <c r="N1669" s="62" t="e">
        <f>+Table8[[#This Row],[SalesBot]]*Table8[[#This Row],[Bonus]]</f>
        <v>#N/A</v>
      </c>
    </row>
    <row r="1670" spans="1:14" ht="23.25" customHeight="1" x14ac:dyDescent="0.25">
      <c r="A1670" s="59">
        <f t="shared" si="173"/>
        <v>1900</v>
      </c>
      <c r="B1670" s="59">
        <f t="shared" si="174"/>
        <v>1</v>
      </c>
      <c r="C1670" s="60"/>
      <c r="D1670" s="61"/>
      <c r="F1670" s="23" t="e">
        <f>VLOOKUP(E1670,Customers[],2,FALSE)</f>
        <v>#N/A</v>
      </c>
      <c r="G1670" s="23" t="e">
        <f>VLOOKUP(E1670,Customers[],3,FALSE)</f>
        <v>#N/A</v>
      </c>
      <c r="H1670" s="23" t="e">
        <f>VLOOKUP(E1670,Customers[],4,FALSE)</f>
        <v>#N/A</v>
      </c>
      <c r="J1670" s="29" t="e">
        <f>VLOOKUP(I1670,PGStock[],2,FALSE)</f>
        <v>#N/A</v>
      </c>
      <c r="K1670" s="30" t="e">
        <f>VLOOKUP(I1670,PGStock[],3,FALSE)</f>
        <v>#N/A</v>
      </c>
      <c r="M1670" s="62" t="e">
        <f>VLOOKUP(I1670,PGStock[],6,FALSE)</f>
        <v>#N/A</v>
      </c>
      <c r="N1670" s="62" t="e">
        <f>+Table8[[#This Row],[SalesBot]]*Table8[[#This Row],[Bonus]]</f>
        <v>#N/A</v>
      </c>
    </row>
    <row r="1671" spans="1:14" ht="23.25" customHeight="1" x14ac:dyDescent="0.25">
      <c r="A1671" s="59">
        <f t="shared" si="173"/>
        <v>1900</v>
      </c>
      <c r="B1671" s="59">
        <f t="shared" si="174"/>
        <v>1</v>
      </c>
      <c r="C1671" s="60"/>
      <c r="D1671" s="61"/>
      <c r="F1671" s="23" t="e">
        <f>VLOOKUP(E1671,Customers[],2,FALSE)</f>
        <v>#N/A</v>
      </c>
      <c r="G1671" s="23" t="e">
        <f>VLOOKUP(E1671,Customers[],3,FALSE)</f>
        <v>#N/A</v>
      </c>
      <c r="H1671" s="23" t="e">
        <f>VLOOKUP(E1671,Customers[],4,FALSE)</f>
        <v>#N/A</v>
      </c>
      <c r="J1671" s="29" t="e">
        <f>VLOOKUP(I1671,PGStock[],2,FALSE)</f>
        <v>#N/A</v>
      </c>
      <c r="K1671" s="30" t="e">
        <f>VLOOKUP(I1671,PGStock[],3,FALSE)</f>
        <v>#N/A</v>
      </c>
      <c r="M1671" s="62" t="e">
        <f>VLOOKUP(I1671,PGStock[],6,FALSE)</f>
        <v>#N/A</v>
      </c>
      <c r="N1671" s="62" t="e">
        <f>+Table8[[#This Row],[SalesBot]]*Table8[[#This Row],[Bonus]]</f>
        <v>#N/A</v>
      </c>
    </row>
    <row r="1672" spans="1:14" ht="23.25" customHeight="1" x14ac:dyDescent="0.25">
      <c r="A1672" s="59">
        <f t="shared" si="173"/>
        <v>1900</v>
      </c>
      <c r="B1672" s="59">
        <f t="shared" si="174"/>
        <v>1</v>
      </c>
      <c r="C1672" s="60"/>
      <c r="D1672" s="61"/>
      <c r="F1672" s="23" t="e">
        <f>VLOOKUP(E1672,Customers[],2,FALSE)</f>
        <v>#N/A</v>
      </c>
      <c r="G1672" s="23" t="e">
        <f>VLOOKUP(E1672,Customers[],3,FALSE)</f>
        <v>#N/A</v>
      </c>
      <c r="H1672" s="23" t="e">
        <f>VLOOKUP(E1672,Customers[],4,FALSE)</f>
        <v>#N/A</v>
      </c>
      <c r="J1672" s="29" t="e">
        <f>VLOOKUP(I1672,PGStock[],2,FALSE)</f>
        <v>#N/A</v>
      </c>
      <c r="K1672" s="30" t="e">
        <f>VLOOKUP(I1672,PGStock[],3,FALSE)</f>
        <v>#N/A</v>
      </c>
      <c r="M1672" s="62" t="e">
        <f>VLOOKUP(I1672,PGStock[],6,FALSE)</f>
        <v>#N/A</v>
      </c>
      <c r="N1672" s="62" t="e">
        <f>+Table8[[#This Row],[SalesBot]]*Table8[[#This Row],[Bonus]]</f>
        <v>#N/A</v>
      </c>
    </row>
    <row r="1673" spans="1:14" ht="23.25" customHeight="1" x14ac:dyDescent="0.25">
      <c r="A1673" s="59">
        <f t="shared" ref="A1673:A1682" si="175">YEAR(C1673)</f>
        <v>1900</v>
      </c>
      <c r="B1673" s="59">
        <f t="shared" ref="B1673:B1682" si="176">MONTH(C1673)</f>
        <v>1</v>
      </c>
      <c r="C1673" s="60"/>
      <c r="D1673" s="61"/>
      <c r="F1673" s="23" t="e">
        <f>VLOOKUP(E1673,Customers[],2,FALSE)</f>
        <v>#N/A</v>
      </c>
      <c r="G1673" s="23" t="e">
        <f>VLOOKUP(E1673,Customers[],3,FALSE)</f>
        <v>#N/A</v>
      </c>
      <c r="H1673" s="23" t="e">
        <f>VLOOKUP(E1673,Customers[],4,FALSE)</f>
        <v>#N/A</v>
      </c>
      <c r="J1673" s="29" t="e">
        <f>VLOOKUP(I1673,PGStock[],2,FALSE)</f>
        <v>#N/A</v>
      </c>
      <c r="K1673" s="30" t="e">
        <f>VLOOKUP(I1673,PGStock[],3,FALSE)</f>
        <v>#N/A</v>
      </c>
      <c r="M1673" s="62" t="e">
        <f>VLOOKUP(I1673,PGStock[],6,FALSE)</f>
        <v>#N/A</v>
      </c>
      <c r="N1673" s="62" t="e">
        <f>+Table8[[#This Row],[SalesBot]]*Table8[[#This Row],[Bonus]]</f>
        <v>#N/A</v>
      </c>
    </row>
    <row r="1674" spans="1:14" ht="23.25" customHeight="1" x14ac:dyDescent="0.25">
      <c r="A1674" s="59">
        <f t="shared" si="175"/>
        <v>1900</v>
      </c>
      <c r="B1674" s="59">
        <f t="shared" si="176"/>
        <v>1</v>
      </c>
      <c r="C1674" s="60"/>
      <c r="D1674" s="61"/>
      <c r="F1674" s="23" t="e">
        <f>VLOOKUP(E1674,Customers[],2,FALSE)</f>
        <v>#N/A</v>
      </c>
      <c r="G1674" s="23" t="e">
        <f>VLOOKUP(E1674,Customers[],3,FALSE)</f>
        <v>#N/A</v>
      </c>
      <c r="H1674" s="23" t="e">
        <f>VLOOKUP(E1674,Customers[],4,FALSE)</f>
        <v>#N/A</v>
      </c>
      <c r="J1674" s="29" t="e">
        <f>VLOOKUP(I1674,PGStock[],2,FALSE)</f>
        <v>#N/A</v>
      </c>
      <c r="K1674" s="30" t="e">
        <f>VLOOKUP(I1674,PGStock[],3,FALSE)</f>
        <v>#N/A</v>
      </c>
      <c r="M1674" s="62" t="e">
        <f>VLOOKUP(I1674,PGStock[],6,FALSE)</f>
        <v>#N/A</v>
      </c>
      <c r="N1674" s="62" t="e">
        <f>+Table8[[#This Row],[SalesBot]]*Table8[[#This Row],[Bonus]]</f>
        <v>#N/A</v>
      </c>
    </row>
    <row r="1675" spans="1:14" ht="23.25" customHeight="1" x14ac:dyDescent="0.25">
      <c r="A1675" s="59">
        <f t="shared" si="175"/>
        <v>1900</v>
      </c>
      <c r="B1675" s="59">
        <f t="shared" si="176"/>
        <v>1</v>
      </c>
      <c r="C1675" s="60"/>
      <c r="D1675" s="61"/>
      <c r="F1675" s="23" t="e">
        <f>VLOOKUP(E1675,Customers[],2,FALSE)</f>
        <v>#N/A</v>
      </c>
      <c r="G1675" s="23" t="e">
        <f>VLOOKUP(E1675,Customers[],3,FALSE)</f>
        <v>#N/A</v>
      </c>
      <c r="H1675" s="23" t="e">
        <f>VLOOKUP(E1675,Customers[],4,FALSE)</f>
        <v>#N/A</v>
      </c>
      <c r="J1675" s="29" t="e">
        <f>VLOOKUP(I1675,PGStock[],2,FALSE)</f>
        <v>#N/A</v>
      </c>
      <c r="K1675" s="30" t="e">
        <f>VLOOKUP(I1675,PGStock[],3,FALSE)</f>
        <v>#N/A</v>
      </c>
      <c r="M1675" s="62" t="e">
        <f>VLOOKUP(I1675,PGStock[],6,FALSE)</f>
        <v>#N/A</v>
      </c>
      <c r="N1675" s="62" t="e">
        <f>+Table8[[#This Row],[SalesBot]]*Table8[[#This Row],[Bonus]]</f>
        <v>#N/A</v>
      </c>
    </row>
    <row r="1676" spans="1:14" ht="23.25" customHeight="1" x14ac:dyDescent="0.25">
      <c r="A1676" s="59">
        <f t="shared" si="175"/>
        <v>1900</v>
      </c>
      <c r="B1676" s="59">
        <f t="shared" si="176"/>
        <v>1</v>
      </c>
      <c r="C1676" s="60"/>
      <c r="D1676" s="61"/>
      <c r="F1676" s="23" t="e">
        <f>VLOOKUP(E1676,Customers[],2,FALSE)</f>
        <v>#N/A</v>
      </c>
      <c r="G1676" s="23" t="e">
        <f>VLOOKUP(E1676,Customers[],3,FALSE)</f>
        <v>#N/A</v>
      </c>
      <c r="H1676" s="23" t="e">
        <f>VLOOKUP(E1676,Customers[],4,FALSE)</f>
        <v>#N/A</v>
      </c>
      <c r="J1676" s="29" t="e">
        <f>VLOOKUP(I1676,PGStock[],2,FALSE)</f>
        <v>#N/A</v>
      </c>
      <c r="K1676" s="30" t="e">
        <f>VLOOKUP(I1676,PGStock[],3,FALSE)</f>
        <v>#N/A</v>
      </c>
      <c r="M1676" s="62" t="e">
        <f>VLOOKUP(I1676,PGStock[],6,FALSE)</f>
        <v>#N/A</v>
      </c>
      <c r="N1676" s="62" t="e">
        <f>+Table8[[#This Row],[SalesBot]]*Table8[[#This Row],[Bonus]]</f>
        <v>#N/A</v>
      </c>
    </row>
    <row r="1677" spans="1:14" ht="23.25" customHeight="1" x14ac:dyDescent="0.25">
      <c r="A1677" s="59">
        <f t="shared" si="175"/>
        <v>1900</v>
      </c>
      <c r="B1677" s="59">
        <f t="shared" si="176"/>
        <v>1</v>
      </c>
      <c r="C1677" s="60"/>
      <c r="D1677" s="61"/>
      <c r="F1677" s="23" t="e">
        <f>VLOOKUP(E1677,Customers[],2,FALSE)</f>
        <v>#N/A</v>
      </c>
      <c r="G1677" s="23" t="e">
        <f>VLOOKUP(E1677,Customers[],3,FALSE)</f>
        <v>#N/A</v>
      </c>
      <c r="H1677" s="23" t="e">
        <f>VLOOKUP(E1677,Customers[],4,FALSE)</f>
        <v>#N/A</v>
      </c>
      <c r="J1677" s="29" t="e">
        <f>VLOOKUP(I1677,PGStock[],2,FALSE)</f>
        <v>#N/A</v>
      </c>
      <c r="K1677" s="30" t="e">
        <f>VLOOKUP(I1677,PGStock[],3,FALSE)</f>
        <v>#N/A</v>
      </c>
      <c r="M1677" s="62" t="e">
        <f>VLOOKUP(I1677,PGStock[],6,FALSE)</f>
        <v>#N/A</v>
      </c>
      <c r="N1677" s="62" t="e">
        <f>+Table8[[#This Row],[SalesBot]]*Table8[[#This Row],[Bonus]]</f>
        <v>#N/A</v>
      </c>
    </row>
    <row r="1678" spans="1:14" ht="23.25" customHeight="1" x14ac:dyDescent="0.25">
      <c r="A1678" s="59">
        <f t="shared" si="175"/>
        <v>1900</v>
      </c>
      <c r="B1678" s="59">
        <f t="shared" si="176"/>
        <v>1</v>
      </c>
      <c r="C1678" s="60"/>
      <c r="D1678" s="61"/>
      <c r="F1678" s="23" t="e">
        <f>VLOOKUP(E1678,Customers[],2,FALSE)</f>
        <v>#N/A</v>
      </c>
      <c r="G1678" s="23" t="e">
        <f>VLOOKUP(E1678,Customers[],3,FALSE)</f>
        <v>#N/A</v>
      </c>
      <c r="H1678" s="23" t="e">
        <f>VLOOKUP(E1678,Customers[],4,FALSE)</f>
        <v>#N/A</v>
      </c>
      <c r="J1678" s="29" t="e">
        <f>VLOOKUP(I1678,PGStock[],2,FALSE)</f>
        <v>#N/A</v>
      </c>
      <c r="K1678" s="30" t="e">
        <f>VLOOKUP(I1678,PGStock[],3,FALSE)</f>
        <v>#N/A</v>
      </c>
      <c r="M1678" s="62" t="e">
        <f>VLOOKUP(I1678,PGStock[],6,FALSE)</f>
        <v>#N/A</v>
      </c>
      <c r="N1678" s="62" t="e">
        <f>+Table8[[#This Row],[SalesBot]]*Table8[[#This Row],[Bonus]]</f>
        <v>#N/A</v>
      </c>
    </row>
    <row r="1679" spans="1:14" ht="23.25" customHeight="1" x14ac:dyDescent="0.25">
      <c r="A1679" s="59">
        <f t="shared" si="175"/>
        <v>1900</v>
      </c>
      <c r="B1679" s="59">
        <f t="shared" si="176"/>
        <v>1</v>
      </c>
      <c r="C1679" s="60"/>
      <c r="D1679" s="61"/>
      <c r="F1679" s="23" t="e">
        <f>VLOOKUP(E1679,Customers[],2,FALSE)</f>
        <v>#N/A</v>
      </c>
      <c r="G1679" s="23" t="e">
        <f>VLOOKUP(E1679,Customers[],3,FALSE)</f>
        <v>#N/A</v>
      </c>
      <c r="H1679" s="23" t="e">
        <f>VLOOKUP(E1679,Customers[],4,FALSE)</f>
        <v>#N/A</v>
      </c>
      <c r="J1679" s="29" t="e">
        <f>VLOOKUP(I1679,PGStock[],2,FALSE)</f>
        <v>#N/A</v>
      </c>
      <c r="K1679" s="30" t="e">
        <f>VLOOKUP(I1679,PGStock[],3,FALSE)</f>
        <v>#N/A</v>
      </c>
      <c r="M1679" s="62" t="e">
        <f>VLOOKUP(I1679,PGStock[],6,FALSE)</f>
        <v>#N/A</v>
      </c>
      <c r="N1679" s="62" t="e">
        <f>+Table8[[#This Row],[SalesBot]]*Table8[[#This Row],[Bonus]]</f>
        <v>#N/A</v>
      </c>
    </row>
    <row r="1680" spans="1:14" ht="23.25" customHeight="1" x14ac:dyDescent="0.25">
      <c r="A1680" s="59">
        <f t="shared" si="175"/>
        <v>1900</v>
      </c>
      <c r="B1680" s="59">
        <f t="shared" si="176"/>
        <v>1</v>
      </c>
      <c r="C1680" s="60"/>
      <c r="D1680" s="61"/>
      <c r="F1680" s="23" t="e">
        <f>VLOOKUP(E1680,Customers[],2,FALSE)</f>
        <v>#N/A</v>
      </c>
      <c r="G1680" s="23" t="e">
        <f>VLOOKUP(E1680,Customers[],3,FALSE)</f>
        <v>#N/A</v>
      </c>
      <c r="H1680" s="23" t="e">
        <f>VLOOKUP(E1680,Customers[],4,FALSE)</f>
        <v>#N/A</v>
      </c>
      <c r="J1680" s="29" t="e">
        <f>VLOOKUP(I1680,PGStock[],2,FALSE)</f>
        <v>#N/A</v>
      </c>
      <c r="K1680" s="30" t="e">
        <f>VLOOKUP(I1680,PGStock[],3,FALSE)</f>
        <v>#N/A</v>
      </c>
      <c r="M1680" s="62" t="e">
        <f>VLOOKUP(I1680,PGStock[],6,FALSE)</f>
        <v>#N/A</v>
      </c>
      <c r="N1680" s="62" t="e">
        <f>+Table8[[#This Row],[SalesBot]]*Table8[[#This Row],[Bonus]]</f>
        <v>#N/A</v>
      </c>
    </row>
    <row r="1681" spans="1:14" ht="23.25" customHeight="1" x14ac:dyDescent="0.25">
      <c r="A1681" s="59">
        <f t="shared" si="175"/>
        <v>1900</v>
      </c>
      <c r="B1681" s="59">
        <f t="shared" si="176"/>
        <v>1</v>
      </c>
      <c r="C1681" s="60"/>
      <c r="D1681" s="61"/>
      <c r="F1681" s="23" t="e">
        <f>VLOOKUP(E1681,Customers[],2,FALSE)</f>
        <v>#N/A</v>
      </c>
      <c r="G1681" s="23" t="e">
        <f>VLOOKUP(E1681,Customers[],3,FALSE)</f>
        <v>#N/A</v>
      </c>
      <c r="H1681" s="23" t="e">
        <f>VLOOKUP(E1681,Customers[],4,FALSE)</f>
        <v>#N/A</v>
      </c>
      <c r="J1681" s="29" t="e">
        <f>VLOOKUP(I1681,PGStock[],2,FALSE)</f>
        <v>#N/A</v>
      </c>
      <c r="K1681" s="30" t="e">
        <f>VLOOKUP(I1681,PGStock[],3,FALSE)</f>
        <v>#N/A</v>
      </c>
      <c r="M1681" s="62" t="e">
        <f>VLOOKUP(I1681,PGStock[],6,FALSE)</f>
        <v>#N/A</v>
      </c>
      <c r="N1681" s="62" t="e">
        <f>+Table8[[#This Row],[SalesBot]]*Table8[[#This Row],[Bonus]]</f>
        <v>#N/A</v>
      </c>
    </row>
    <row r="1682" spans="1:14" ht="23.25" customHeight="1" x14ac:dyDescent="0.25">
      <c r="A1682" s="59">
        <f t="shared" si="175"/>
        <v>1900</v>
      </c>
      <c r="B1682" s="59">
        <f t="shared" si="176"/>
        <v>1</v>
      </c>
      <c r="C1682" s="60"/>
      <c r="D1682" s="61"/>
      <c r="F1682" s="23" t="e">
        <f>VLOOKUP(E1682,Customers[],2,FALSE)</f>
        <v>#N/A</v>
      </c>
      <c r="G1682" s="23" t="e">
        <f>VLOOKUP(E1682,Customers[],3,FALSE)</f>
        <v>#N/A</v>
      </c>
      <c r="H1682" s="23" t="e">
        <f>VLOOKUP(E1682,Customers[],4,FALSE)</f>
        <v>#N/A</v>
      </c>
      <c r="J1682" s="29" t="e">
        <f>VLOOKUP(I1682,PGStock[],2,FALSE)</f>
        <v>#N/A</v>
      </c>
      <c r="K1682" s="30" t="e">
        <f>VLOOKUP(I1682,PGStock[],3,FALSE)</f>
        <v>#N/A</v>
      </c>
      <c r="M1682" s="62" t="e">
        <f>VLOOKUP(I1682,PGStock[],6,FALSE)</f>
        <v>#N/A</v>
      </c>
      <c r="N1682" s="62" t="e">
        <f>+Table8[[#This Row],[SalesBot]]*Table8[[#This Row],[Bonus]]</f>
        <v>#N/A</v>
      </c>
    </row>
    <row r="1683" spans="1:14" ht="23.25" customHeight="1" x14ac:dyDescent="0.25">
      <c r="A1683" s="59">
        <f t="shared" ref="A1683:A1692" si="177">YEAR(C1683)</f>
        <v>1900</v>
      </c>
      <c r="B1683" s="59">
        <f t="shared" ref="B1683:B1692" si="178">MONTH(C1683)</f>
        <v>1</v>
      </c>
      <c r="C1683" s="60"/>
      <c r="D1683" s="61"/>
      <c r="F1683" s="23" t="e">
        <f>VLOOKUP(E1683,Customers[],2,FALSE)</f>
        <v>#N/A</v>
      </c>
      <c r="G1683" s="23" t="e">
        <f>VLOOKUP(E1683,Customers[],3,FALSE)</f>
        <v>#N/A</v>
      </c>
      <c r="H1683" s="23" t="e">
        <f>VLOOKUP(E1683,Customers[],4,FALSE)</f>
        <v>#N/A</v>
      </c>
      <c r="J1683" s="29" t="e">
        <f>VLOOKUP(I1683,PGStock[],2,FALSE)</f>
        <v>#N/A</v>
      </c>
      <c r="K1683" s="30" t="e">
        <f>VLOOKUP(I1683,PGStock[],3,FALSE)</f>
        <v>#N/A</v>
      </c>
      <c r="M1683" s="62" t="e">
        <f>VLOOKUP(I1683,PGStock[],6,FALSE)</f>
        <v>#N/A</v>
      </c>
      <c r="N1683" s="62" t="e">
        <f>+Table8[[#This Row],[SalesBot]]*Table8[[#This Row],[Bonus]]</f>
        <v>#N/A</v>
      </c>
    </row>
    <row r="1684" spans="1:14" ht="23.25" customHeight="1" x14ac:dyDescent="0.25">
      <c r="A1684" s="59">
        <f t="shared" si="177"/>
        <v>1900</v>
      </c>
      <c r="B1684" s="59">
        <f t="shared" si="178"/>
        <v>1</v>
      </c>
      <c r="C1684" s="60"/>
      <c r="D1684" s="61"/>
      <c r="F1684" s="23" t="e">
        <f>VLOOKUP(E1684,Customers[],2,FALSE)</f>
        <v>#N/A</v>
      </c>
      <c r="G1684" s="23" t="e">
        <f>VLOOKUP(E1684,Customers[],3,FALSE)</f>
        <v>#N/A</v>
      </c>
      <c r="H1684" s="23" t="e">
        <f>VLOOKUP(E1684,Customers[],4,FALSE)</f>
        <v>#N/A</v>
      </c>
      <c r="J1684" s="29" t="e">
        <f>VLOOKUP(I1684,PGStock[],2,FALSE)</f>
        <v>#N/A</v>
      </c>
      <c r="K1684" s="30" t="e">
        <f>VLOOKUP(I1684,PGStock[],3,FALSE)</f>
        <v>#N/A</v>
      </c>
      <c r="M1684" s="62" t="e">
        <f>VLOOKUP(I1684,PGStock[],6,FALSE)</f>
        <v>#N/A</v>
      </c>
      <c r="N1684" s="62" t="e">
        <f>+Table8[[#This Row],[SalesBot]]*Table8[[#This Row],[Bonus]]</f>
        <v>#N/A</v>
      </c>
    </row>
    <row r="1685" spans="1:14" ht="23.25" customHeight="1" x14ac:dyDescent="0.25">
      <c r="A1685" s="59">
        <f t="shared" si="177"/>
        <v>1900</v>
      </c>
      <c r="B1685" s="59">
        <f t="shared" si="178"/>
        <v>1</v>
      </c>
      <c r="C1685" s="60"/>
      <c r="D1685" s="61"/>
      <c r="F1685" s="23" t="e">
        <f>VLOOKUP(E1685,Customers[],2,FALSE)</f>
        <v>#N/A</v>
      </c>
      <c r="G1685" s="23" t="e">
        <f>VLOOKUP(E1685,Customers[],3,FALSE)</f>
        <v>#N/A</v>
      </c>
      <c r="H1685" s="23" t="e">
        <f>VLOOKUP(E1685,Customers[],4,FALSE)</f>
        <v>#N/A</v>
      </c>
      <c r="J1685" s="29" t="e">
        <f>VLOOKUP(I1685,PGStock[],2,FALSE)</f>
        <v>#N/A</v>
      </c>
      <c r="K1685" s="30" t="e">
        <f>VLOOKUP(I1685,PGStock[],3,FALSE)</f>
        <v>#N/A</v>
      </c>
      <c r="M1685" s="62" t="e">
        <f>VLOOKUP(I1685,PGStock[],6,FALSE)</f>
        <v>#N/A</v>
      </c>
      <c r="N1685" s="62" t="e">
        <f>+Table8[[#This Row],[SalesBot]]*Table8[[#This Row],[Bonus]]</f>
        <v>#N/A</v>
      </c>
    </row>
    <row r="1686" spans="1:14" ht="23.25" customHeight="1" x14ac:dyDescent="0.25">
      <c r="A1686" s="59">
        <f t="shared" si="177"/>
        <v>1900</v>
      </c>
      <c r="B1686" s="59">
        <f t="shared" si="178"/>
        <v>1</v>
      </c>
      <c r="C1686" s="60"/>
      <c r="D1686" s="61"/>
      <c r="F1686" s="23" t="e">
        <f>VLOOKUP(E1686,Customers[],2,FALSE)</f>
        <v>#N/A</v>
      </c>
      <c r="G1686" s="23" t="e">
        <f>VLOOKUP(E1686,Customers[],3,FALSE)</f>
        <v>#N/A</v>
      </c>
      <c r="H1686" s="23" t="e">
        <f>VLOOKUP(E1686,Customers[],4,FALSE)</f>
        <v>#N/A</v>
      </c>
      <c r="J1686" s="29" t="e">
        <f>VLOOKUP(I1686,PGStock[],2,FALSE)</f>
        <v>#N/A</v>
      </c>
      <c r="K1686" s="30" t="e">
        <f>VLOOKUP(I1686,PGStock[],3,FALSE)</f>
        <v>#N/A</v>
      </c>
      <c r="M1686" s="62" t="e">
        <f>VLOOKUP(I1686,PGStock[],6,FALSE)</f>
        <v>#N/A</v>
      </c>
      <c r="N1686" s="62" t="e">
        <f>+Table8[[#This Row],[SalesBot]]*Table8[[#This Row],[Bonus]]</f>
        <v>#N/A</v>
      </c>
    </row>
    <row r="1687" spans="1:14" ht="23.25" customHeight="1" x14ac:dyDescent="0.25">
      <c r="A1687" s="59">
        <f t="shared" si="177"/>
        <v>1900</v>
      </c>
      <c r="B1687" s="59">
        <f t="shared" si="178"/>
        <v>1</v>
      </c>
      <c r="C1687" s="60"/>
      <c r="D1687" s="61"/>
      <c r="F1687" s="23" t="e">
        <f>VLOOKUP(E1687,Customers[],2,FALSE)</f>
        <v>#N/A</v>
      </c>
      <c r="G1687" s="23" t="e">
        <f>VLOOKUP(E1687,Customers[],3,FALSE)</f>
        <v>#N/A</v>
      </c>
      <c r="H1687" s="23" t="e">
        <f>VLOOKUP(E1687,Customers[],4,FALSE)</f>
        <v>#N/A</v>
      </c>
      <c r="J1687" s="29" t="e">
        <f>VLOOKUP(I1687,PGStock[],2,FALSE)</f>
        <v>#N/A</v>
      </c>
      <c r="K1687" s="30" t="e">
        <f>VLOOKUP(I1687,PGStock[],3,FALSE)</f>
        <v>#N/A</v>
      </c>
      <c r="M1687" s="62" t="e">
        <f>VLOOKUP(I1687,PGStock[],6,FALSE)</f>
        <v>#N/A</v>
      </c>
      <c r="N1687" s="62" t="e">
        <f>+Table8[[#This Row],[SalesBot]]*Table8[[#This Row],[Bonus]]</f>
        <v>#N/A</v>
      </c>
    </row>
    <row r="1688" spans="1:14" ht="23.25" customHeight="1" x14ac:dyDescent="0.25">
      <c r="A1688" s="59">
        <f t="shared" si="177"/>
        <v>1900</v>
      </c>
      <c r="B1688" s="59">
        <f t="shared" si="178"/>
        <v>1</v>
      </c>
      <c r="C1688" s="60"/>
      <c r="D1688" s="61"/>
      <c r="F1688" s="23" t="e">
        <f>VLOOKUP(E1688,Customers[],2,FALSE)</f>
        <v>#N/A</v>
      </c>
      <c r="G1688" s="23" t="e">
        <f>VLOOKUP(E1688,Customers[],3,FALSE)</f>
        <v>#N/A</v>
      </c>
      <c r="H1688" s="23" t="e">
        <f>VLOOKUP(E1688,Customers[],4,FALSE)</f>
        <v>#N/A</v>
      </c>
      <c r="J1688" s="29" t="e">
        <f>VLOOKUP(I1688,PGStock[],2,FALSE)</f>
        <v>#N/A</v>
      </c>
      <c r="K1688" s="30" t="e">
        <f>VLOOKUP(I1688,PGStock[],3,FALSE)</f>
        <v>#N/A</v>
      </c>
      <c r="M1688" s="62" t="e">
        <f>VLOOKUP(I1688,PGStock[],6,FALSE)</f>
        <v>#N/A</v>
      </c>
      <c r="N1688" s="62" t="e">
        <f>+Table8[[#This Row],[SalesBot]]*Table8[[#This Row],[Bonus]]</f>
        <v>#N/A</v>
      </c>
    </row>
    <row r="1689" spans="1:14" ht="23.25" customHeight="1" x14ac:dyDescent="0.25">
      <c r="A1689" s="59">
        <f t="shared" si="177"/>
        <v>1900</v>
      </c>
      <c r="B1689" s="59">
        <f t="shared" si="178"/>
        <v>1</v>
      </c>
      <c r="C1689" s="60"/>
      <c r="D1689" s="61"/>
      <c r="F1689" s="23" t="e">
        <f>VLOOKUP(E1689,Customers[],2,FALSE)</f>
        <v>#N/A</v>
      </c>
      <c r="G1689" s="23" t="e">
        <f>VLOOKUP(E1689,Customers[],3,FALSE)</f>
        <v>#N/A</v>
      </c>
      <c r="H1689" s="23" t="e">
        <f>VLOOKUP(E1689,Customers[],4,FALSE)</f>
        <v>#N/A</v>
      </c>
      <c r="J1689" s="29" t="e">
        <f>VLOOKUP(I1689,PGStock[],2,FALSE)</f>
        <v>#N/A</v>
      </c>
      <c r="K1689" s="30" t="e">
        <f>VLOOKUP(I1689,PGStock[],3,FALSE)</f>
        <v>#N/A</v>
      </c>
      <c r="M1689" s="62" t="e">
        <f>VLOOKUP(I1689,PGStock[],6,FALSE)</f>
        <v>#N/A</v>
      </c>
      <c r="N1689" s="62" t="e">
        <f>+Table8[[#This Row],[SalesBot]]*Table8[[#This Row],[Bonus]]</f>
        <v>#N/A</v>
      </c>
    </row>
    <row r="1690" spans="1:14" ht="23.25" customHeight="1" x14ac:dyDescent="0.25">
      <c r="A1690" s="59">
        <f t="shared" si="177"/>
        <v>1900</v>
      </c>
      <c r="B1690" s="59">
        <f t="shared" si="178"/>
        <v>1</v>
      </c>
      <c r="C1690" s="60"/>
      <c r="D1690" s="61"/>
      <c r="F1690" s="23" t="e">
        <f>VLOOKUP(E1690,Customers[],2,FALSE)</f>
        <v>#N/A</v>
      </c>
      <c r="G1690" s="23" t="e">
        <f>VLOOKUP(E1690,Customers[],3,FALSE)</f>
        <v>#N/A</v>
      </c>
      <c r="H1690" s="23" t="e">
        <f>VLOOKUP(E1690,Customers[],4,FALSE)</f>
        <v>#N/A</v>
      </c>
      <c r="J1690" s="29" t="e">
        <f>VLOOKUP(I1690,PGStock[],2,FALSE)</f>
        <v>#N/A</v>
      </c>
      <c r="K1690" s="30" t="e">
        <f>VLOOKUP(I1690,PGStock[],3,FALSE)</f>
        <v>#N/A</v>
      </c>
      <c r="M1690" s="62" t="e">
        <f>VLOOKUP(I1690,PGStock[],6,FALSE)</f>
        <v>#N/A</v>
      </c>
      <c r="N1690" s="62" t="e">
        <f>+Table8[[#This Row],[SalesBot]]*Table8[[#This Row],[Bonus]]</f>
        <v>#N/A</v>
      </c>
    </row>
    <row r="1691" spans="1:14" ht="23.25" customHeight="1" x14ac:dyDescent="0.25">
      <c r="A1691" s="59">
        <f t="shared" si="177"/>
        <v>1900</v>
      </c>
      <c r="B1691" s="59">
        <f t="shared" si="178"/>
        <v>1</v>
      </c>
      <c r="C1691" s="60"/>
      <c r="D1691" s="61"/>
      <c r="F1691" s="23" t="e">
        <f>VLOOKUP(E1691,Customers[],2,FALSE)</f>
        <v>#N/A</v>
      </c>
      <c r="G1691" s="23" t="e">
        <f>VLOOKUP(E1691,Customers[],3,FALSE)</f>
        <v>#N/A</v>
      </c>
      <c r="H1691" s="23" t="e">
        <f>VLOOKUP(E1691,Customers[],4,FALSE)</f>
        <v>#N/A</v>
      </c>
      <c r="J1691" s="29" t="e">
        <f>VLOOKUP(I1691,PGStock[],2,FALSE)</f>
        <v>#N/A</v>
      </c>
      <c r="K1691" s="30" t="e">
        <f>VLOOKUP(I1691,PGStock[],3,FALSE)</f>
        <v>#N/A</v>
      </c>
      <c r="M1691" s="62" t="e">
        <f>VLOOKUP(I1691,PGStock[],6,FALSE)</f>
        <v>#N/A</v>
      </c>
      <c r="N1691" s="62" t="e">
        <f>+Table8[[#This Row],[SalesBot]]*Table8[[#This Row],[Bonus]]</f>
        <v>#N/A</v>
      </c>
    </row>
    <row r="1692" spans="1:14" ht="23.25" customHeight="1" x14ac:dyDescent="0.25">
      <c r="A1692" s="59">
        <f t="shared" si="177"/>
        <v>1900</v>
      </c>
      <c r="B1692" s="59">
        <f t="shared" si="178"/>
        <v>1</v>
      </c>
      <c r="C1692" s="60"/>
      <c r="D1692" s="61"/>
      <c r="F1692" s="23" t="e">
        <f>VLOOKUP(E1692,Customers[],2,FALSE)</f>
        <v>#N/A</v>
      </c>
      <c r="G1692" s="23" t="e">
        <f>VLOOKUP(E1692,Customers[],3,FALSE)</f>
        <v>#N/A</v>
      </c>
      <c r="H1692" s="23" t="e">
        <f>VLOOKUP(E1692,Customers[],4,FALSE)</f>
        <v>#N/A</v>
      </c>
      <c r="J1692" s="29" t="e">
        <f>VLOOKUP(I1692,PGStock[],2,FALSE)</f>
        <v>#N/A</v>
      </c>
      <c r="K1692" s="30" t="e">
        <f>VLOOKUP(I1692,PGStock[],3,FALSE)</f>
        <v>#N/A</v>
      </c>
      <c r="M1692" s="62" t="e">
        <f>VLOOKUP(I1692,PGStock[],6,FALSE)</f>
        <v>#N/A</v>
      </c>
      <c r="N1692" s="62" t="e">
        <f>+Table8[[#This Row],[SalesBot]]*Table8[[#This Row],[Bonus]]</f>
        <v>#N/A</v>
      </c>
    </row>
    <row r="1693" spans="1:14" ht="23.25" customHeight="1" x14ac:dyDescent="0.25">
      <c r="A1693" s="59">
        <f t="shared" ref="A1693:A1822" si="179">YEAR(C1693)</f>
        <v>1900</v>
      </c>
      <c r="B1693" s="59">
        <f t="shared" ref="B1693:B1822" si="180">MONTH(C1693)</f>
        <v>1</v>
      </c>
      <c r="C1693" s="60"/>
      <c r="D1693" s="61"/>
      <c r="F1693" s="23" t="e">
        <f>VLOOKUP(E1693,Customers[],2,FALSE)</f>
        <v>#N/A</v>
      </c>
      <c r="G1693" s="23" t="e">
        <f>VLOOKUP(E1693,Customers[],3,FALSE)</f>
        <v>#N/A</v>
      </c>
      <c r="H1693" s="23" t="e">
        <f>VLOOKUP(E1693,Customers[],4,FALSE)</f>
        <v>#N/A</v>
      </c>
      <c r="J1693" s="29" t="e">
        <f>VLOOKUP(I1693,PGStock[],2,FALSE)</f>
        <v>#N/A</v>
      </c>
      <c r="K1693" s="30" t="e">
        <f>VLOOKUP(I1693,PGStock[],3,FALSE)</f>
        <v>#N/A</v>
      </c>
      <c r="M1693" s="62" t="e">
        <f>VLOOKUP(I1693,PGStock[],6,FALSE)</f>
        <v>#N/A</v>
      </c>
      <c r="N1693" s="62" t="e">
        <f>+Table8[[#This Row],[SalesBot]]*Table8[[#This Row],[Bonus]]</f>
        <v>#N/A</v>
      </c>
    </row>
    <row r="1694" spans="1:14" ht="23.25" customHeight="1" x14ac:dyDescent="0.25">
      <c r="A1694" s="59">
        <f t="shared" si="179"/>
        <v>1900</v>
      </c>
      <c r="B1694" s="59">
        <f t="shared" si="180"/>
        <v>1</v>
      </c>
      <c r="C1694" s="60"/>
      <c r="D1694" s="61"/>
      <c r="F1694" s="23" t="e">
        <f>VLOOKUP(E1694,Customers[],2,FALSE)</f>
        <v>#N/A</v>
      </c>
      <c r="G1694" s="23" t="e">
        <f>VLOOKUP(E1694,Customers[],3,FALSE)</f>
        <v>#N/A</v>
      </c>
      <c r="H1694" s="23" t="e">
        <f>VLOOKUP(E1694,Customers[],4,FALSE)</f>
        <v>#N/A</v>
      </c>
      <c r="J1694" s="29" t="e">
        <f>VLOOKUP(I1694,PGStock[],2,FALSE)</f>
        <v>#N/A</v>
      </c>
      <c r="K1694" s="30" t="e">
        <f>VLOOKUP(I1694,PGStock[],3,FALSE)</f>
        <v>#N/A</v>
      </c>
      <c r="M1694" s="62" t="e">
        <f>VLOOKUP(I1694,PGStock[],6,FALSE)</f>
        <v>#N/A</v>
      </c>
      <c r="N1694" s="62" t="e">
        <f>+Table8[[#This Row],[SalesBot]]*Table8[[#This Row],[Bonus]]</f>
        <v>#N/A</v>
      </c>
    </row>
    <row r="1695" spans="1:14" ht="23.25" customHeight="1" x14ac:dyDescent="0.25">
      <c r="A1695" s="59">
        <f t="shared" si="179"/>
        <v>1900</v>
      </c>
      <c r="B1695" s="59">
        <f t="shared" si="180"/>
        <v>1</v>
      </c>
      <c r="C1695" s="60"/>
      <c r="D1695" s="61"/>
      <c r="F1695" s="23" t="e">
        <f>VLOOKUP(E1695,Customers[],2,FALSE)</f>
        <v>#N/A</v>
      </c>
      <c r="G1695" s="23" t="e">
        <f>VLOOKUP(E1695,Customers[],3,FALSE)</f>
        <v>#N/A</v>
      </c>
      <c r="H1695" s="23" t="e">
        <f>VLOOKUP(E1695,Customers[],4,FALSE)</f>
        <v>#N/A</v>
      </c>
      <c r="J1695" s="29" t="e">
        <f>VLOOKUP(I1695,PGStock[],2,FALSE)</f>
        <v>#N/A</v>
      </c>
      <c r="K1695" s="30" t="e">
        <f>VLOOKUP(I1695,PGStock[],3,FALSE)</f>
        <v>#N/A</v>
      </c>
      <c r="M1695" s="62" t="e">
        <f>VLOOKUP(I1695,PGStock[],6,FALSE)</f>
        <v>#N/A</v>
      </c>
      <c r="N1695" s="62" t="e">
        <f>+Table8[[#This Row],[SalesBot]]*Table8[[#This Row],[Bonus]]</f>
        <v>#N/A</v>
      </c>
    </row>
    <row r="1696" spans="1:14" ht="23.25" customHeight="1" x14ac:dyDescent="0.25">
      <c r="A1696" s="59">
        <f t="shared" si="179"/>
        <v>1900</v>
      </c>
      <c r="B1696" s="59">
        <f t="shared" si="180"/>
        <v>1</v>
      </c>
      <c r="C1696" s="60"/>
      <c r="D1696" s="61"/>
      <c r="F1696" s="23" t="e">
        <f>VLOOKUP(E1696,Customers[],2,FALSE)</f>
        <v>#N/A</v>
      </c>
      <c r="G1696" s="23" t="e">
        <f>VLOOKUP(E1696,Customers[],3,FALSE)</f>
        <v>#N/A</v>
      </c>
      <c r="H1696" s="23" t="e">
        <f>VLOOKUP(E1696,Customers[],4,FALSE)</f>
        <v>#N/A</v>
      </c>
      <c r="J1696" s="29" t="e">
        <f>VLOOKUP(I1696,PGStock[],2,FALSE)</f>
        <v>#N/A</v>
      </c>
      <c r="K1696" s="30" t="e">
        <f>VLOOKUP(I1696,PGStock[],3,FALSE)</f>
        <v>#N/A</v>
      </c>
      <c r="M1696" s="62" t="e">
        <f>VLOOKUP(I1696,PGStock[],6,FALSE)</f>
        <v>#N/A</v>
      </c>
      <c r="N1696" s="62" t="e">
        <f>+Table8[[#This Row],[SalesBot]]*Table8[[#This Row],[Bonus]]</f>
        <v>#N/A</v>
      </c>
    </row>
    <row r="1697" spans="1:14" ht="23.25" customHeight="1" x14ac:dyDescent="0.25">
      <c r="A1697" s="59">
        <f t="shared" si="179"/>
        <v>1900</v>
      </c>
      <c r="B1697" s="59">
        <f t="shared" si="180"/>
        <v>1</v>
      </c>
      <c r="C1697" s="60"/>
      <c r="D1697" s="61"/>
      <c r="F1697" s="23" t="e">
        <f>VLOOKUP(E1697,Customers[],2,FALSE)</f>
        <v>#N/A</v>
      </c>
      <c r="G1697" s="23" t="e">
        <f>VLOOKUP(E1697,Customers[],3,FALSE)</f>
        <v>#N/A</v>
      </c>
      <c r="H1697" s="23" t="e">
        <f>VLOOKUP(E1697,Customers[],4,FALSE)</f>
        <v>#N/A</v>
      </c>
      <c r="J1697" s="29" t="e">
        <f>VLOOKUP(I1697,PGStock[],2,FALSE)</f>
        <v>#N/A</v>
      </c>
      <c r="K1697" s="30" t="e">
        <f>VLOOKUP(I1697,PGStock[],3,FALSE)</f>
        <v>#N/A</v>
      </c>
      <c r="M1697" s="62" t="e">
        <f>VLOOKUP(I1697,PGStock[],6,FALSE)</f>
        <v>#N/A</v>
      </c>
      <c r="N1697" s="62" t="e">
        <f>+Table8[[#This Row],[SalesBot]]*Table8[[#This Row],[Bonus]]</f>
        <v>#N/A</v>
      </c>
    </row>
    <row r="1698" spans="1:14" ht="23.25" customHeight="1" x14ac:dyDescent="0.25">
      <c r="A1698" s="59">
        <f t="shared" si="179"/>
        <v>1900</v>
      </c>
      <c r="B1698" s="59">
        <f t="shared" si="180"/>
        <v>1</v>
      </c>
      <c r="C1698" s="60"/>
      <c r="D1698" s="61"/>
      <c r="F1698" s="23" t="e">
        <f>VLOOKUP(E1698,Customers[],2,FALSE)</f>
        <v>#N/A</v>
      </c>
      <c r="G1698" s="23" t="e">
        <f>VLOOKUP(E1698,Customers[],3,FALSE)</f>
        <v>#N/A</v>
      </c>
      <c r="H1698" s="23" t="e">
        <f>VLOOKUP(E1698,Customers[],4,FALSE)</f>
        <v>#N/A</v>
      </c>
      <c r="J1698" s="29" t="e">
        <f>VLOOKUP(I1698,PGStock[],2,FALSE)</f>
        <v>#N/A</v>
      </c>
      <c r="K1698" s="30" t="e">
        <f>VLOOKUP(I1698,PGStock[],3,FALSE)</f>
        <v>#N/A</v>
      </c>
      <c r="M1698" s="62" t="e">
        <f>VLOOKUP(I1698,PGStock[],6,FALSE)</f>
        <v>#N/A</v>
      </c>
      <c r="N1698" s="62" t="e">
        <f>+Table8[[#This Row],[SalesBot]]*Table8[[#This Row],[Bonus]]</f>
        <v>#N/A</v>
      </c>
    </row>
    <row r="1699" spans="1:14" ht="23.25" customHeight="1" x14ac:dyDescent="0.25">
      <c r="A1699" s="59">
        <f t="shared" si="179"/>
        <v>1900</v>
      </c>
      <c r="B1699" s="59">
        <f t="shared" si="180"/>
        <v>1</v>
      </c>
      <c r="C1699" s="60"/>
      <c r="D1699" s="61"/>
      <c r="F1699" s="23" t="e">
        <f>VLOOKUP(E1699,Customers[],2,FALSE)</f>
        <v>#N/A</v>
      </c>
      <c r="G1699" s="23" t="e">
        <f>VLOOKUP(E1699,Customers[],3,FALSE)</f>
        <v>#N/A</v>
      </c>
      <c r="H1699" s="23" t="e">
        <f>VLOOKUP(E1699,Customers[],4,FALSE)</f>
        <v>#N/A</v>
      </c>
      <c r="J1699" s="29" t="e">
        <f>VLOOKUP(I1699,PGStock[],2,FALSE)</f>
        <v>#N/A</v>
      </c>
      <c r="K1699" s="30" t="e">
        <f>VLOOKUP(I1699,PGStock[],3,FALSE)</f>
        <v>#N/A</v>
      </c>
      <c r="M1699" s="62" t="e">
        <f>VLOOKUP(I1699,PGStock[],6,FALSE)</f>
        <v>#N/A</v>
      </c>
      <c r="N1699" s="62" t="e">
        <f>+Table8[[#This Row],[SalesBot]]*Table8[[#This Row],[Bonus]]</f>
        <v>#N/A</v>
      </c>
    </row>
    <row r="1700" spans="1:14" ht="23.25" customHeight="1" x14ac:dyDescent="0.25">
      <c r="A1700" s="59">
        <f t="shared" si="179"/>
        <v>1900</v>
      </c>
      <c r="B1700" s="59">
        <f t="shared" si="180"/>
        <v>1</v>
      </c>
      <c r="C1700" s="60"/>
      <c r="D1700" s="61"/>
      <c r="F1700" s="23" t="e">
        <f>VLOOKUP(E1700,Customers[],2,FALSE)</f>
        <v>#N/A</v>
      </c>
      <c r="G1700" s="23" t="e">
        <f>VLOOKUP(E1700,Customers[],3,FALSE)</f>
        <v>#N/A</v>
      </c>
      <c r="H1700" s="23" t="e">
        <f>VLOOKUP(E1700,Customers[],4,FALSE)</f>
        <v>#N/A</v>
      </c>
      <c r="J1700" s="29" t="e">
        <f>VLOOKUP(I1700,PGStock[],2,FALSE)</f>
        <v>#N/A</v>
      </c>
      <c r="K1700" s="30" t="e">
        <f>VLOOKUP(I1700,PGStock[],3,FALSE)</f>
        <v>#N/A</v>
      </c>
      <c r="M1700" s="62" t="e">
        <f>VLOOKUP(I1700,PGStock[],6,FALSE)</f>
        <v>#N/A</v>
      </c>
      <c r="N1700" s="62" t="e">
        <f>+Table8[[#This Row],[SalesBot]]*Table8[[#This Row],[Bonus]]</f>
        <v>#N/A</v>
      </c>
    </row>
    <row r="1701" spans="1:14" ht="23.25" customHeight="1" x14ac:dyDescent="0.25">
      <c r="A1701" s="59">
        <f t="shared" si="179"/>
        <v>1900</v>
      </c>
      <c r="B1701" s="59">
        <f t="shared" si="180"/>
        <v>1</v>
      </c>
      <c r="C1701" s="60"/>
      <c r="D1701" s="61"/>
      <c r="F1701" s="23" t="e">
        <f>VLOOKUP(E1701,Customers[],2,FALSE)</f>
        <v>#N/A</v>
      </c>
      <c r="G1701" s="23" t="e">
        <f>VLOOKUP(E1701,Customers[],3,FALSE)</f>
        <v>#N/A</v>
      </c>
      <c r="H1701" s="23" t="e">
        <f>VLOOKUP(E1701,Customers[],4,FALSE)</f>
        <v>#N/A</v>
      </c>
      <c r="J1701" s="29" t="e">
        <f>VLOOKUP(I1701,PGStock[],2,FALSE)</f>
        <v>#N/A</v>
      </c>
      <c r="K1701" s="30" t="e">
        <f>VLOOKUP(I1701,PGStock[],3,FALSE)</f>
        <v>#N/A</v>
      </c>
      <c r="M1701" s="62" t="e">
        <f>VLOOKUP(I1701,PGStock[],6,FALSE)</f>
        <v>#N/A</v>
      </c>
      <c r="N1701" s="62" t="e">
        <f>+Table8[[#This Row],[SalesBot]]*Table8[[#This Row],[Bonus]]</f>
        <v>#N/A</v>
      </c>
    </row>
    <row r="1702" spans="1:14" ht="23.25" customHeight="1" x14ac:dyDescent="0.25">
      <c r="A1702" s="59">
        <f t="shared" ref="A1702:A1712" si="181">YEAR(C1702)</f>
        <v>1900</v>
      </c>
      <c r="B1702" s="59">
        <f t="shared" ref="B1702:B1712" si="182">MONTH(C1702)</f>
        <v>1</v>
      </c>
      <c r="C1702" s="60"/>
      <c r="D1702" s="61"/>
      <c r="F1702" s="23" t="e">
        <f>VLOOKUP(E1702,Customers[],2,FALSE)</f>
        <v>#N/A</v>
      </c>
      <c r="G1702" s="23" t="e">
        <f>VLOOKUP(E1702,Customers[],3,FALSE)</f>
        <v>#N/A</v>
      </c>
      <c r="H1702" s="23" t="e">
        <f>VLOOKUP(E1702,Customers[],4,FALSE)</f>
        <v>#N/A</v>
      </c>
      <c r="J1702" s="29" t="e">
        <f>VLOOKUP(I1702,PGStock[],2,FALSE)</f>
        <v>#N/A</v>
      </c>
      <c r="K1702" s="30" t="e">
        <f>VLOOKUP(I1702,PGStock[],3,FALSE)</f>
        <v>#N/A</v>
      </c>
      <c r="M1702" s="62" t="e">
        <f>VLOOKUP(I1702,PGStock[],6,FALSE)</f>
        <v>#N/A</v>
      </c>
      <c r="N1702" s="62" t="e">
        <f>+Table8[[#This Row],[SalesBot]]*Table8[[#This Row],[Bonus]]</f>
        <v>#N/A</v>
      </c>
    </row>
    <row r="1703" spans="1:14" ht="23.25" customHeight="1" x14ac:dyDescent="0.25">
      <c r="A1703" s="59">
        <f t="shared" si="181"/>
        <v>1900</v>
      </c>
      <c r="B1703" s="59">
        <f t="shared" si="182"/>
        <v>1</v>
      </c>
      <c r="C1703" s="60"/>
      <c r="D1703" s="61"/>
      <c r="F1703" s="23" t="e">
        <f>VLOOKUP(E1703,Customers[],2,FALSE)</f>
        <v>#N/A</v>
      </c>
      <c r="G1703" s="23" t="e">
        <f>VLOOKUP(E1703,Customers[],3,FALSE)</f>
        <v>#N/A</v>
      </c>
      <c r="H1703" s="23" t="e">
        <f>VLOOKUP(E1703,Customers[],4,FALSE)</f>
        <v>#N/A</v>
      </c>
      <c r="J1703" s="29" t="e">
        <f>VLOOKUP(I1703,PGStock[],2,FALSE)</f>
        <v>#N/A</v>
      </c>
      <c r="K1703" s="30" t="e">
        <f>VLOOKUP(I1703,PGStock[],3,FALSE)</f>
        <v>#N/A</v>
      </c>
      <c r="M1703" s="62" t="e">
        <f>VLOOKUP(I1703,PGStock[],6,FALSE)</f>
        <v>#N/A</v>
      </c>
      <c r="N1703" s="62" t="e">
        <f>+Table8[[#This Row],[SalesBot]]*Table8[[#This Row],[Bonus]]</f>
        <v>#N/A</v>
      </c>
    </row>
    <row r="1704" spans="1:14" ht="23.25" customHeight="1" x14ac:dyDescent="0.25">
      <c r="A1704" s="59">
        <f t="shared" si="181"/>
        <v>1900</v>
      </c>
      <c r="B1704" s="59">
        <f t="shared" si="182"/>
        <v>1</v>
      </c>
      <c r="C1704" s="60"/>
      <c r="D1704" s="61"/>
      <c r="F1704" s="23" t="e">
        <f>VLOOKUP(E1704,Customers[],2,FALSE)</f>
        <v>#N/A</v>
      </c>
      <c r="G1704" s="23" t="e">
        <f>VLOOKUP(E1704,Customers[],3,FALSE)</f>
        <v>#N/A</v>
      </c>
      <c r="H1704" s="23" t="e">
        <f>VLOOKUP(E1704,Customers[],4,FALSE)</f>
        <v>#N/A</v>
      </c>
      <c r="J1704" s="29" t="e">
        <f>VLOOKUP(I1704,PGStock[],2,FALSE)</f>
        <v>#N/A</v>
      </c>
      <c r="K1704" s="30" t="e">
        <f>VLOOKUP(I1704,PGStock[],3,FALSE)</f>
        <v>#N/A</v>
      </c>
      <c r="M1704" s="62" t="e">
        <f>VLOOKUP(I1704,PGStock[],6,FALSE)</f>
        <v>#N/A</v>
      </c>
      <c r="N1704" s="62" t="e">
        <f>+Table8[[#This Row],[SalesBot]]*Table8[[#This Row],[Bonus]]</f>
        <v>#N/A</v>
      </c>
    </row>
    <row r="1705" spans="1:14" ht="23.25" customHeight="1" x14ac:dyDescent="0.25">
      <c r="A1705" s="59">
        <f t="shared" si="181"/>
        <v>1900</v>
      </c>
      <c r="B1705" s="59">
        <f t="shared" si="182"/>
        <v>1</v>
      </c>
      <c r="C1705" s="60"/>
      <c r="D1705" s="61"/>
      <c r="F1705" s="23" t="e">
        <f>VLOOKUP(E1705,Customers[],2,FALSE)</f>
        <v>#N/A</v>
      </c>
      <c r="G1705" s="23" t="e">
        <f>VLOOKUP(E1705,Customers[],3,FALSE)</f>
        <v>#N/A</v>
      </c>
      <c r="H1705" s="23" t="e">
        <f>VLOOKUP(E1705,Customers[],4,FALSE)</f>
        <v>#N/A</v>
      </c>
      <c r="J1705" s="29" t="e">
        <f>VLOOKUP(I1705,PGStock[],2,FALSE)</f>
        <v>#N/A</v>
      </c>
      <c r="K1705" s="30" t="e">
        <f>VLOOKUP(I1705,PGStock[],3,FALSE)</f>
        <v>#N/A</v>
      </c>
      <c r="M1705" s="62" t="e">
        <f>VLOOKUP(I1705,PGStock[],6,FALSE)</f>
        <v>#N/A</v>
      </c>
      <c r="N1705" s="62" t="e">
        <f>+Table8[[#This Row],[SalesBot]]*Table8[[#This Row],[Bonus]]</f>
        <v>#N/A</v>
      </c>
    </row>
    <row r="1706" spans="1:14" ht="23.25" customHeight="1" x14ac:dyDescent="0.25">
      <c r="A1706" s="59">
        <f t="shared" si="181"/>
        <v>1900</v>
      </c>
      <c r="B1706" s="59">
        <f t="shared" si="182"/>
        <v>1</v>
      </c>
      <c r="C1706" s="60"/>
      <c r="D1706" s="61"/>
      <c r="F1706" s="23" t="e">
        <f>VLOOKUP(E1706,Customers[],2,FALSE)</f>
        <v>#N/A</v>
      </c>
      <c r="G1706" s="23" t="e">
        <f>VLOOKUP(E1706,Customers[],3,FALSE)</f>
        <v>#N/A</v>
      </c>
      <c r="H1706" s="23" t="e">
        <f>VLOOKUP(E1706,Customers[],4,FALSE)</f>
        <v>#N/A</v>
      </c>
      <c r="J1706" s="29" t="e">
        <f>VLOOKUP(I1706,PGStock[],2,FALSE)</f>
        <v>#N/A</v>
      </c>
      <c r="K1706" s="30" t="e">
        <f>VLOOKUP(I1706,PGStock[],3,FALSE)</f>
        <v>#N/A</v>
      </c>
      <c r="M1706" s="62" t="e">
        <f>VLOOKUP(I1706,PGStock[],6,FALSE)</f>
        <v>#N/A</v>
      </c>
      <c r="N1706" s="62" t="e">
        <f>+Table8[[#This Row],[SalesBot]]*Table8[[#This Row],[Bonus]]</f>
        <v>#N/A</v>
      </c>
    </row>
    <row r="1707" spans="1:14" ht="23.25" customHeight="1" x14ac:dyDescent="0.25">
      <c r="A1707" s="59">
        <f t="shared" si="181"/>
        <v>1900</v>
      </c>
      <c r="B1707" s="59">
        <f t="shared" si="182"/>
        <v>1</v>
      </c>
      <c r="C1707" s="60"/>
      <c r="D1707" s="61"/>
      <c r="F1707" s="23" t="e">
        <f>VLOOKUP(E1707,Customers[],2,FALSE)</f>
        <v>#N/A</v>
      </c>
      <c r="G1707" s="23" t="e">
        <f>VLOOKUP(E1707,Customers[],3,FALSE)</f>
        <v>#N/A</v>
      </c>
      <c r="H1707" s="23" t="e">
        <f>VLOOKUP(E1707,Customers[],4,FALSE)</f>
        <v>#N/A</v>
      </c>
      <c r="J1707" s="29" t="e">
        <f>VLOOKUP(I1707,PGStock[],2,FALSE)</f>
        <v>#N/A</v>
      </c>
      <c r="K1707" s="30" t="e">
        <f>VLOOKUP(I1707,PGStock[],3,FALSE)</f>
        <v>#N/A</v>
      </c>
      <c r="M1707" s="62" t="e">
        <f>VLOOKUP(I1707,PGStock[],6,FALSE)</f>
        <v>#N/A</v>
      </c>
      <c r="N1707" s="62" t="e">
        <f>+Table8[[#This Row],[SalesBot]]*Table8[[#This Row],[Bonus]]</f>
        <v>#N/A</v>
      </c>
    </row>
    <row r="1708" spans="1:14" ht="23.25" customHeight="1" x14ac:dyDescent="0.25">
      <c r="A1708" s="59">
        <f t="shared" si="181"/>
        <v>1900</v>
      </c>
      <c r="B1708" s="59">
        <f t="shared" si="182"/>
        <v>1</v>
      </c>
      <c r="C1708" s="60"/>
      <c r="D1708" s="61"/>
      <c r="F1708" s="23" t="e">
        <f>VLOOKUP(E1708,Customers[],2,FALSE)</f>
        <v>#N/A</v>
      </c>
      <c r="G1708" s="23" t="e">
        <f>VLOOKUP(E1708,Customers[],3,FALSE)</f>
        <v>#N/A</v>
      </c>
      <c r="H1708" s="23" t="e">
        <f>VLOOKUP(E1708,Customers[],4,FALSE)</f>
        <v>#N/A</v>
      </c>
      <c r="J1708" s="29" t="e">
        <f>VLOOKUP(I1708,PGStock[],2,FALSE)</f>
        <v>#N/A</v>
      </c>
      <c r="K1708" s="30" t="e">
        <f>VLOOKUP(I1708,PGStock[],3,FALSE)</f>
        <v>#N/A</v>
      </c>
      <c r="M1708" s="62" t="e">
        <f>VLOOKUP(I1708,PGStock[],6,FALSE)</f>
        <v>#N/A</v>
      </c>
      <c r="N1708" s="62" t="e">
        <f>+Table8[[#This Row],[SalesBot]]*Table8[[#This Row],[Bonus]]</f>
        <v>#N/A</v>
      </c>
    </row>
    <row r="1709" spans="1:14" ht="23.25" customHeight="1" x14ac:dyDescent="0.25">
      <c r="A1709" s="59">
        <f t="shared" si="181"/>
        <v>1900</v>
      </c>
      <c r="B1709" s="59">
        <f t="shared" si="182"/>
        <v>1</v>
      </c>
      <c r="C1709" s="60"/>
      <c r="D1709" s="61"/>
      <c r="F1709" s="23" t="e">
        <f>VLOOKUP(E1709,Customers[],2,FALSE)</f>
        <v>#N/A</v>
      </c>
      <c r="G1709" s="23" t="e">
        <f>VLOOKUP(E1709,Customers[],3,FALSE)</f>
        <v>#N/A</v>
      </c>
      <c r="H1709" s="23" t="e">
        <f>VLOOKUP(E1709,Customers[],4,FALSE)</f>
        <v>#N/A</v>
      </c>
      <c r="J1709" s="29" t="e">
        <f>VLOOKUP(I1709,PGStock[],2,FALSE)</f>
        <v>#N/A</v>
      </c>
      <c r="K1709" s="30" t="e">
        <f>VLOOKUP(I1709,PGStock[],3,FALSE)</f>
        <v>#N/A</v>
      </c>
      <c r="M1709" s="62" t="e">
        <f>VLOOKUP(I1709,PGStock[],6,FALSE)</f>
        <v>#N/A</v>
      </c>
      <c r="N1709" s="62" t="e">
        <f>+Table8[[#This Row],[SalesBot]]*Table8[[#This Row],[Bonus]]</f>
        <v>#N/A</v>
      </c>
    </row>
    <row r="1710" spans="1:14" ht="23.25" customHeight="1" x14ac:dyDescent="0.25">
      <c r="A1710" s="59">
        <f t="shared" si="181"/>
        <v>1900</v>
      </c>
      <c r="B1710" s="59">
        <f t="shared" si="182"/>
        <v>1</v>
      </c>
      <c r="C1710" s="60"/>
      <c r="D1710" s="61"/>
      <c r="F1710" s="23" t="e">
        <f>VLOOKUP(E1710,Customers[],2,FALSE)</f>
        <v>#N/A</v>
      </c>
      <c r="G1710" s="23" t="e">
        <f>VLOOKUP(E1710,Customers[],3,FALSE)</f>
        <v>#N/A</v>
      </c>
      <c r="H1710" s="23" t="e">
        <f>VLOOKUP(E1710,Customers[],4,FALSE)</f>
        <v>#N/A</v>
      </c>
      <c r="J1710" s="29" t="e">
        <f>VLOOKUP(I1710,PGStock[],2,FALSE)</f>
        <v>#N/A</v>
      </c>
      <c r="K1710" s="30" t="e">
        <f>VLOOKUP(I1710,PGStock[],3,FALSE)</f>
        <v>#N/A</v>
      </c>
      <c r="M1710" s="62" t="e">
        <f>VLOOKUP(I1710,PGStock[],6,FALSE)</f>
        <v>#N/A</v>
      </c>
      <c r="N1710" s="62" t="e">
        <f>+Table8[[#This Row],[SalesBot]]*Table8[[#This Row],[Bonus]]</f>
        <v>#N/A</v>
      </c>
    </row>
    <row r="1711" spans="1:14" ht="23.25" customHeight="1" x14ac:dyDescent="0.25">
      <c r="A1711" s="59">
        <f t="shared" si="181"/>
        <v>1900</v>
      </c>
      <c r="B1711" s="59">
        <f t="shared" si="182"/>
        <v>1</v>
      </c>
      <c r="C1711" s="60"/>
      <c r="D1711" s="61"/>
      <c r="F1711" s="23" t="e">
        <f>VLOOKUP(E1711,Customers[],2,FALSE)</f>
        <v>#N/A</v>
      </c>
      <c r="G1711" s="23" t="e">
        <f>VLOOKUP(E1711,Customers[],3,FALSE)</f>
        <v>#N/A</v>
      </c>
      <c r="H1711" s="23" t="e">
        <f>VLOOKUP(E1711,Customers[],4,FALSE)</f>
        <v>#N/A</v>
      </c>
      <c r="J1711" s="29" t="e">
        <f>VLOOKUP(I1711,PGStock[],2,FALSE)</f>
        <v>#N/A</v>
      </c>
      <c r="K1711" s="30" t="e">
        <f>VLOOKUP(I1711,PGStock[],3,FALSE)</f>
        <v>#N/A</v>
      </c>
      <c r="M1711" s="62" t="e">
        <f>VLOOKUP(I1711,PGStock[],6,FALSE)</f>
        <v>#N/A</v>
      </c>
      <c r="N1711" s="62" t="e">
        <f>+Table8[[#This Row],[SalesBot]]*Table8[[#This Row],[Bonus]]</f>
        <v>#N/A</v>
      </c>
    </row>
    <row r="1712" spans="1:14" ht="23.25" customHeight="1" x14ac:dyDescent="0.25">
      <c r="A1712" s="59">
        <f t="shared" si="181"/>
        <v>1900</v>
      </c>
      <c r="B1712" s="59">
        <f t="shared" si="182"/>
        <v>1</v>
      </c>
      <c r="C1712" s="60"/>
      <c r="D1712" s="61"/>
      <c r="F1712" s="23" t="e">
        <f>VLOOKUP(E1712,Customers[],2,FALSE)</f>
        <v>#N/A</v>
      </c>
      <c r="G1712" s="23" t="e">
        <f>VLOOKUP(E1712,Customers[],3,FALSE)</f>
        <v>#N/A</v>
      </c>
      <c r="H1712" s="23" t="e">
        <f>VLOOKUP(E1712,Customers[],4,FALSE)</f>
        <v>#N/A</v>
      </c>
      <c r="J1712" s="29" t="e">
        <f>VLOOKUP(I1712,PGStock[],2,FALSE)</f>
        <v>#N/A</v>
      </c>
      <c r="K1712" s="30" t="e">
        <f>VLOOKUP(I1712,PGStock[],3,FALSE)</f>
        <v>#N/A</v>
      </c>
      <c r="M1712" s="62" t="e">
        <f>VLOOKUP(I1712,PGStock[],6,FALSE)</f>
        <v>#N/A</v>
      </c>
      <c r="N1712" s="62" t="e">
        <f>+Table8[[#This Row],[SalesBot]]*Table8[[#This Row],[Bonus]]</f>
        <v>#N/A</v>
      </c>
    </row>
    <row r="1713" spans="1:14" ht="23.25" customHeight="1" x14ac:dyDescent="0.25">
      <c r="A1713" s="59">
        <f t="shared" ref="A1713:A1821" si="183">YEAR(C1713)</f>
        <v>1900</v>
      </c>
      <c r="B1713" s="59">
        <f t="shared" ref="B1713:B1821" si="184">MONTH(C1713)</f>
        <v>1</v>
      </c>
      <c r="C1713" s="60"/>
      <c r="D1713" s="61"/>
      <c r="F1713" s="23" t="e">
        <f>VLOOKUP(E1713,Customers[],2,FALSE)</f>
        <v>#N/A</v>
      </c>
      <c r="G1713" s="23" t="e">
        <f>VLOOKUP(E1713,Customers[],3,FALSE)</f>
        <v>#N/A</v>
      </c>
      <c r="H1713" s="23" t="e">
        <f>VLOOKUP(E1713,Customers[],4,FALSE)</f>
        <v>#N/A</v>
      </c>
      <c r="J1713" s="29" t="e">
        <f>VLOOKUP(I1713,PGStock[],2,FALSE)</f>
        <v>#N/A</v>
      </c>
      <c r="K1713" s="30" t="e">
        <f>VLOOKUP(I1713,PGStock[],3,FALSE)</f>
        <v>#N/A</v>
      </c>
      <c r="M1713" s="62" t="e">
        <f>VLOOKUP(I1713,PGStock[],6,FALSE)</f>
        <v>#N/A</v>
      </c>
      <c r="N1713" s="62" t="e">
        <f>+Table8[[#This Row],[SalesBot]]*Table8[[#This Row],[Bonus]]</f>
        <v>#N/A</v>
      </c>
    </row>
    <row r="1714" spans="1:14" ht="23.25" customHeight="1" x14ac:dyDescent="0.25">
      <c r="A1714" s="59">
        <f t="shared" si="183"/>
        <v>1900</v>
      </c>
      <c r="B1714" s="59">
        <f t="shared" si="184"/>
        <v>1</v>
      </c>
      <c r="C1714" s="60"/>
      <c r="D1714" s="61"/>
      <c r="F1714" s="23" t="e">
        <f>VLOOKUP(E1714,Customers[],2,FALSE)</f>
        <v>#N/A</v>
      </c>
      <c r="G1714" s="23" t="e">
        <f>VLOOKUP(E1714,Customers[],3,FALSE)</f>
        <v>#N/A</v>
      </c>
      <c r="H1714" s="23" t="e">
        <f>VLOOKUP(E1714,Customers[],4,FALSE)</f>
        <v>#N/A</v>
      </c>
      <c r="J1714" s="29" t="e">
        <f>VLOOKUP(I1714,PGStock[],2,FALSE)</f>
        <v>#N/A</v>
      </c>
      <c r="K1714" s="30" t="e">
        <f>VLOOKUP(I1714,PGStock[],3,FALSE)</f>
        <v>#N/A</v>
      </c>
      <c r="M1714" s="62" t="e">
        <f>VLOOKUP(I1714,PGStock[],6,FALSE)</f>
        <v>#N/A</v>
      </c>
      <c r="N1714" s="62" t="e">
        <f>+Table8[[#This Row],[SalesBot]]*Table8[[#This Row],[Bonus]]</f>
        <v>#N/A</v>
      </c>
    </row>
    <row r="1715" spans="1:14" ht="23.25" customHeight="1" x14ac:dyDescent="0.25">
      <c r="A1715" s="59">
        <f t="shared" si="183"/>
        <v>1900</v>
      </c>
      <c r="B1715" s="59">
        <f t="shared" si="184"/>
        <v>1</v>
      </c>
      <c r="C1715" s="60"/>
      <c r="D1715" s="61"/>
      <c r="F1715" s="23" t="e">
        <f>VLOOKUP(E1715,Customers[],2,FALSE)</f>
        <v>#N/A</v>
      </c>
      <c r="G1715" s="23" t="e">
        <f>VLOOKUP(E1715,Customers[],3,FALSE)</f>
        <v>#N/A</v>
      </c>
      <c r="H1715" s="23" t="e">
        <f>VLOOKUP(E1715,Customers[],4,FALSE)</f>
        <v>#N/A</v>
      </c>
      <c r="J1715" s="29" t="e">
        <f>VLOOKUP(I1715,PGStock[],2,FALSE)</f>
        <v>#N/A</v>
      </c>
      <c r="K1715" s="30" t="e">
        <f>VLOOKUP(I1715,PGStock[],3,FALSE)</f>
        <v>#N/A</v>
      </c>
      <c r="M1715" s="62" t="e">
        <f>VLOOKUP(I1715,PGStock[],6,FALSE)</f>
        <v>#N/A</v>
      </c>
      <c r="N1715" s="62" t="e">
        <f>+Table8[[#This Row],[SalesBot]]*Table8[[#This Row],[Bonus]]</f>
        <v>#N/A</v>
      </c>
    </row>
    <row r="1716" spans="1:14" ht="23.25" customHeight="1" x14ac:dyDescent="0.25">
      <c r="A1716" s="59">
        <f t="shared" si="183"/>
        <v>1900</v>
      </c>
      <c r="B1716" s="59">
        <f t="shared" si="184"/>
        <v>1</v>
      </c>
      <c r="C1716" s="60"/>
      <c r="D1716" s="61"/>
      <c r="F1716" s="23" t="e">
        <f>VLOOKUP(E1716,Customers[],2,FALSE)</f>
        <v>#N/A</v>
      </c>
      <c r="G1716" s="23" t="e">
        <f>VLOOKUP(E1716,Customers[],3,FALSE)</f>
        <v>#N/A</v>
      </c>
      <c r="H1716" s="23" t="e">
        <f>VLOOKUP(E1716,Customers[],4,FALSE)</f>
        <v>#N/A</v>
      </c>
      <c r="J1716" s="29" t="e">
        <f>VLOOKUP(I1716,PGStock[],2,FALSE)</f>
        <v>#N/A</v>
      </c>
      <c r="K1716" s="30" t="e">
        <f>VLOOKUP(I1716,PGStock[],3,FALSE)</f>
        <v>#N/A</v>
      </c>
      <c r="M1716" s="62" t="e">
        <f>VLOOKUP(I1716,PGStock[],6,FALSE)</f>
        <v>#N/A</v>
      </c>
      <c r="N1716" s="62" t="e">
        <f>+Table8[[#This Row],[SalesBot]]*Table8[[#This Row],[Bonus]]</f>
        <v>#N/A</v>
      </c>
    </row>
    <row r="1717" spans="1:14" ht="23.25" customHeight="1" x14ac:dyDescent="0.25">
      <c r="A1717" s="59">
        <f t="shared" si="183"/>
        <v>1900</v>
      </c>
      <c r="B1717" s="59">
        <f t="shared" si="184"/>
        <v>1</v>
      </c>
      <c r="C1717" s="60"/>
      <c r="D1717" s="61"/>
      <c r="F1717" s="23" t="e">
        <f>VLOOKUP(E1717,Customers[],2,FALSE)</f>
        <v>#N/A</v>
      </c>
      <c r="G1717" s="23" t="e">
        <f>VLOOKUP(E1717,Customers[],3,FALSE)</f>
        <v>#N/A</v>
      </c>
      <c r="H1717" s="23" t="e">
        <f>VLOOKUP(E1717,Customers[],4,FALSE)</f>
        <v>#N/A</v>
      </c>
      <c r="J1717" s="29" t="e">
        <f>VLOOKUP(I1717,PGStock[],2,FALSE)</f>
        <v>#N/A</v>
      </c>
      <c r="K1717" s="30" t="e">
        <f>VLOOKUP(I1717,PGStock[],3,FALSE)</f>
        <v>#N/A</v>
      </c>
      <c r="M1717" s="62" t="e">
        <f>VLOOKUP(I1717,PGStock[],6,FALSE)</f>
        <v>#N/A</v>
      </c>
      <c r="N1717" s="62" t="e">
        <f>+Table8[[#This Row],[SalesBot]]*Table8[[#This Row],[Bonus]]</f>
        <v>#N/A</v>
      </c>
    </row>
    <row r="1718" spans="1:14" ht="23.25" customHeight="1" x14ac:dyDescent="0.25">
      <c r="A1718" s="59">
        <f t="shared" si="183"/>
        <v>1900</v>
      </c>
      <c r="B1718" s="59">
        <f t="shared" si="184"/>
        <v>1</v>
      </c>
      <c r="C1718" s="60"/>
      <c r="D1718" s="61"/>
      <c r="F1718" s="23" t="e">
        <f>VLOOKUP(E1718,Customers[],2,FALSE)</f>
        <v>#N/A</v>
      </c>
      <c r="G1718" s="23" t="e">
        <f>VLOOKUP(E1718,Customers[],3,FALSE)</f>
        <v>#N/A</v>
      </c>
      <c r="H1718" s="23" t="e">
        <f>VLOOKUP(E1718,Customers[],4,FALSE)</f>
        <v>#N/A</v>
      </c>
      <c r="J1718" s="29" t="e">
        <f>VLOOKUP(I1718,PGStock[],2,FALSE)</f>
        <v>#N/A</v>
      </c>
      <c r="K1718" s="30" t="e">
        <f>VLOOKUP(I1718,PGStock[],3,FALSE)</f>
        <v>#N/A</v>
      </c>
      <c r="M1718" s="62" t="e">
        <f>VLOOKUP(I1718,PGStock[],6,FALSE)</f>
        <v>#N/A</v>
      </c>
      <c r="N1718" s="62" t="e">
        <f>+Table8[[#This Row],[SalesBot]]*Table8[[#This Row],[Bonus]]</f>
        <v>#N/A</v>
      </c>
    </row>
    <row r="1719" spans="1:14" ht="23.25" customHeight="1" x14ac:dyDescent="0.25">
      <c r="A1719" s="59">
        <f t="shared" si="183"/>
        <v>1900</v>
      </c>
      <c r="B1719" s="59">
        <f t="shared" si="184"/>
        <v>1</v>
      </c>
      <c r="C1719" s="60"/>
      <c r="D1719" s="61"/>
      <c r="F1719" s="23" t="e">
        <f>VLOOKUP(E1719,Customers[],2,FALSE)</f>
        <v>#N/A</v>
      </c>
      <c r="G1719" s="23" t="e">
        <f>VLOOKUP(E1719,Customers[],3,FALSE)</f>
        <v>#N/A</v>
      </c>
      <c r="H1719" s="23" t="e">
        <f>VLOOKUP(E1719,Customers[],4,FALSE)</f>
        <v>#N/A</v>
      </c>
      <c r="J1719" s="29" t="e">
        <f>VLOOKUP(I1719,PGStock[],2,FALSE)</f>
        <v>#N/A</v>
      </c>
      <c r="K1719" s="30" t="e">
        <f>VLOOKUP(I1719,PGStock[],3,FALSE)</f>
        <v>#N/A</v>
      </c>
      <c r="M1719" s="62" t="e">
        <f>VLOOKUP(I1719,PGStock[],6,FALSE)</f>
        <v>#N/A</v>
      </c>
      <c r="N1719" s="62" t="e">
        <f>+Table8[[#This Row],[SalesBot]]*Table8[[#This Row],[Bonus]]</f>
        <v>#N/A</v>
      </c>
    </row>
    <row r="1720" spans="1:14" ht="23.25" customHeight="1" x14ac:dyDescent="0.25">
      <c r="A1720" s="59">
        <f t="shared" si="183"/>
        <v>1900</v>
      </c>
      <c r="B1720" s="59">
        <f t="shared" si="184"/>
        <v>1</v>
      </c>
      <c r="C1720" s="60"/>
      <c r="D1720" s="61"/>
      <c r="F1720" s="23" t="e">
        <f>VLOOKUP(E1720,Customers[],2,FALSE)</f>
        <v>#N/A</v>
      </c>
      <c r="G1720" s="23" t="e">
        <f>VLOOKUP(E1720,Customers[],3,FALSE)</f>
        <v>#N/A</v>
      </c>
      <c r="H1720" s="23" t="e">
        <f>VLOOKUP(E1720,Customers[],4,FALSE)</f>
        <v>#N/A</v>
      </c>
      <c r="J1720" s="29" t="e">
        <f>VLOOKUP(I1720,PGStock[],2,FALSE)</f>
        <v>#N/A</v>
      </c>
      <c r="K1720" s="30" t="e">
        <f>J1722</f>
        <v>#N/A</v>
      </c>
      <c r="M1720" s="62" t="e">
        <f>VLOOKUP(I1720,PGStock[],6,FALSE)</f>
        <v>#N/A</v>
      </c>
      <c r="N1720" s="62" t="e">
        <f>+Table8[[#This Row],[SalesBot]]*Table8[[#This Row],[Bonus]]</f>
        <v>#N/A</v>
      </c>
    </row>
    <row r="1721" spans="1:14" ht="23.25" customHeight="1" x14ac:dyDescent="0.25">
      <c r="A1721" s="59">
        <f t="shared" ref="A1721:A1734" si="185">YEAR(C1721)</f>
        <v>1900</v>
      </c>
      <c r="B1721" s="59">
        <f t="shared" ref="B1721:B1734" si="186">MONTH(C1721)</f>
        <v>1</v>
      </c>
      <c r="C1721" s="60"/>
      <c r="D1721" s="61"/>
      <c r="F1721" s="23" t="e">
        <f>VLOOKUP(E1721,Customers[],2,FALSE)</f>
        <v>#N/A</v>
      </c>
      <c r="G1721" s="23" t="e">
        <f>VLOOKUP(E1721,Customers[],3,FALSE)</f>
        <v>#N/A</v>
      </c>
      <c r="H1721" s="23" t="e">
        <f>VLOOKUP(E1721,Customers[],4,FALSE)</f>
        <v>#N/A</v>
      </c>
      <c r="J1721" s="29" t="e">
        <f>VLOOKUP(I1721,PGStock[],2,FALSE)</f>
        <v>#N/A</v>
      </c>
      <c r="K1721" s="30" t="e">
        <f>VLOOKUP(I1721,PGStock[],3,FALSE)</f>
        <v>#N/A</v>
      </c>
      <c r="M1721" s="62" t="e">
        <f>VLOOKUP(I1721,PGStock[],6,FALSE)</f>
        <v>#N/A</v>
      </c>
      <c r="N1721" s="62" t="e">
        <f>+Table8[[#This Row],[SalesBot]]*Table8[[#This Row],[Bonus]]</f>
        <v>#N/A</v>
      </c>
    </row>
    <row r="1722" spans="1:14" ht="23.25" customHeight="1" x14ac:dyDescent="0.25">
      <c r="A1722" s="59">
        <f t="shared" si="185"/>
        <v>1900</v>
      </c>
      <c r="B1722" s="59">
        <f t="shared" si="186"/>
        <v>1</v>
      </c>
      <c r="C1722" s="60"/>
      <c r="D1722" s="61"/>
      <c r="F1722" s="23" t="e">
        <f>VLOOKUP(E1722,Customers[],2,FALSE)</f>
        <v>#N/A</v>
      </c>
      <c r="G1722" s="23" t="e">
        <f>VLOOKUP(E1722,Customers[],3,FALSE)</f>
        <v>#N/A</v>
      </c>
      <c r="H1722" s="23" t="e">
        <f>VLOOKUP(E1722,Customers[],4,FALSE)</f>
        <v>#N/A</v>
      </c>
      <c r="J1722" s="29" t="e">
        <f>VLOOKUP(I1722,PGStock[],2,FALSE)</f>
        <v>#N/A</v>
      </c>
      <c r="K1722" s="30" t="e">
        <f>VLOOKUP(I1722,PGStock[],3,FALSE)</f>
        <v>#N/A</v>
      </c>
      <c r="M1722" s="62" t="e">
        <f>VLOOKUP(I1722,PGStock[],6,FALSE)</f>
        <v>#N/A</v>
      </c>
      <c r="N1722" s="62" t="e">
        <f>+Table8[[#This Row],[SalesBot]]*Table8[[#This Row],[Bonus]]</f>
        <v>#N/A</v>
      </c>
    </row>
    <row r="1723" spans="1:14" ht="23.25" customHeight="1" x14ac:dyDescent="0.25">
      <c r="A1723" s="59">
        <f t="shared" si="185"/>
        <v>1900</v>
      </c>
      <c r="B1723" s="59">
        <f t="shared" si="186"/>
        <v>1</v>
      </c>
      <c r="C1723" s="60"/>
      <c r="D1723" s="61"/>
      <c r="F1723" s="23" t="e">
        <f>VLOOKUP(E1723,Customers[],2,FALSE)</f>
        <v>#N/A</v>
      </c>
      <c r="G1723" s="23" t="e">
        <f>VLOOKUP(E1723,Customers[],3,FALSE)</f>
        <v>#N/A</v>
      </c>
      <c r="H1723" s="23" t="e">
        <f>VLOOKUP(E1723,Customers[],4,FALSE)</f>
        <v>#N/A</v>
      </c>
      <c r="J1723" s="29" t="e">
        <f>VLOOKUP(I1723,PGStock[],2,FALSE)</f>
        <v>#N/A</v>
      </c>
      <c r="K1723" s="30" t="e">
        <f>VLOOKUP(I1723,PGStock[],3,FALSE)</f>
        <v>#N/A</v>
      </c>
      <c r="M1723" s="62" t="e">
        <f>VLOOKUP(I1723,PGStock[],6,FALSE)</f>
        <v>#N/A</v>
      </c>
      <c r="N1723" s="62" t="e">
        <f>+Table8[[#This Row],[SalesBot]]*Table8[[#This Row],[Bonus]]</f>
        <v>#N/A</v>
      </c>
    </row>
    <row r="1724" spans="1:14" ht="23.25" customHeight="1" x14ac:dyDescent="0.25">
      <c r="A1724" s="59">
        <f t="shared" si="185"/>
        <v>1900</v>
      </c>
      <c r="B1724" s="59">
        <f t="shared" si="186"/>
        <v>1</v>
      </c>
      <c r="C1724" s="60"/>
      <c r="D1724" s="61"/>
      <c r="F1724" s="23" t="e">
        <f>VLOOKUP(E1724,Customers[],2,FALSE)</f>
        <v>#N/A</v>
      </c>
      <c r="G1724" s="23" t="e">
        <f>VLOOKUP(E1724,Customers[],3,FALSE)</f>
        <v>#N/A</v>
      </c>
      <c r="H1724" s="23" t="e">
        <f>VLOOKUP(E1724,Customers[],4,FALSE)</f>
        <v>#N/A</v>
      </c>
      <c r="J1724" s="29" t="e">
        <f>VLOOKUP(I1724,PGStock[],2,FALSE)</f>
        <v>#N/A</v>
      </c>
      <c r="K1724" s="30" t="e">
        <f>VLOOKUP(I1724,PGStock[],3,FALSE)</f>
        <v>#N/A</v>
      </c>
      <c r="M1724" s="62" t="e">
        <f>VLOOKUP(I1724,PGStock[],6,FALSE)</f>
        <v>#N/A</v>
      </c>
      <c r="N1724" s="62" t="e">
        <f>+Table8[[#This Row],[SalesBot]]*Table8[[#This Row],[Bonus]]</f>
        <v>#N/A</v>
      </c>
    </row>
    <row r="1725" spans="1:14" ht="23.25" customHeight="1" x14ac:dyDescent="0.25">
      <c r="A1725" s="59">
        <f t="shared" si="185"/>
        <v>1900</v>
      </c>
      <c r="B1725" s="59">
        <f t="shared" si="186"/>
        <v>1</v>
      </c>
      <c r="C1725" s="60"/>
      <c r="D1725" s="61"/>
      <c r="F1725" s="23" t="e">
        <f>VLOOKUP(E1725,Customers[],2,FALSE)</f>
        <v>#N/A</v>
      </c>
      <c r="G1725" s="23" t="e">
        <f>VLOOKUP(E1725,Customers[],3,FALSE)</f>
        <v>#N/A</v>
      </c>
      <c r="H1725" s="23" t="e">
        <f>VLOOKUP(E1725,Customers[],4,FALSE)</f>
        <v>#N/A</v>
      </c>
      <c r="J1725" s="29" t="e">
        <f>VLOOKUP(I1725,PGStock[],2,FALSE)</f>
        <v>#N/A</v>
      </c>
      <c r="K1725" s="30" t="e">
        <f>VLOOKUP(I1725,PGStock[],3,FALSE)</f>
        <v>#N/A</v>
      </c>
      <c r="M1725" s="62" t="e">
        <f>VLOOKUP(I1725,PGStock[],6,FALSE)</f>
        <v>#N/A</v>
      </c>
      <c r="N1725" s="62" t="e">
        <f>+Table8[[#This Row],[SalesBot]]*Table8[[#This Row],[Bonus]]</f>
        <v>#N/A</v>
      </c>
    </row>
    <row r="1726" spans="1:14" ht="23.25" customHeight="1" x14ac:dyDescent="0.25">
      <c r="A1726" s="59">
        <f t="shared" si="185"/>
        <v>1900</v>
      </c>
      <c r="B1726" s="59">
        <f t="shared" si="186"/>
        <v>1</v>
      </c>
      <c r="C1726" s="60"/>
      <c r="D1726" s="61"/>
      <c r="F1726" s="23" t="e">
        <f>VLOOKUP(E1726,Customers[],2,FALSE)</f>
        <v>#N/A</v>
      </c>
      <c r="G1726" s="23" t="e">
        <f>VLOOKUP(E1726,Customers[],3,FALSE)</f>
        <v>#N/A</v>
      </c>
      <c r="H1726" s="23" t="e">
        <f>VLOOKUP(E1726,Customers[],4,FALSE)</f>
        <v>#N/A</v>
      </c>
      <c r="J1726" s="29" t="e">
        <f>VLOOKUP(I1726,PGStock[],2,FALSE)</f>
        <v>#N/A</v>
      </c>
      <c r="K1726" s="30" t="e">
        <f>VLOOKUP(I1726,PGStock[],3,FALSE)</f>
        <v>#N/A</v>
      </c>
      <c r="M1726" s="62" t="e">
        <f>VLOOKUP(I1726,PGStock[],6,FALSE)</f>
        <v>#N/A</v>
      </c>
      <c r="N1726" s="62" t="e">
        <f>+Table8[[#This Row],[SalesBot]]*Table8[[#This Row],[Bonus]]</f>
        <v>#N/A</v>
      </c>
    </row>
    <row r="1727" spans="1:14" ht="23.25" customHeight="1" x14ac:dyDescent="0.25">
      <c r="A1727" s="59">
        <f t="shared" si="185"/>
        <v>1900</v>
      </c>
      <c r="B1727" s="59">
        <f t="shared" si="186"/>
        <v>1</v>
      </c>
      <c r="C1727" s="60"/>
      <c r="D1727" s="61"/>
      <c r="F1727" s="23" t="e">
        <f>VLOOKUP(E1727,Customers[],2,FALSE)</f>
        <v>#N/A</v>
      </c>
      <c r="G1727" s="23" t="e">
        <f>VLOOKUP(E1727,Customers[],3,FALSE)</f>
        <v>#N/A</v>
      </c>
      <c r="H1727" s="23" t="e">
        <f>VLOOKUP(E1727,Customers[],4,FALSE)</f>
        <v>#N/A</v>
      </c>
      <c r="J1727" s="29" t="e">
        <f>VLOOKUP(I1727,PGStock[],2,FALSE)</f>
        <v>#N/A</v>
      </c>
      <c r="K1727" s="30" t="e">
        <f>VLOOKUP(I1727,PGStock[],3,FALSE)</f>
        <v>#N/A</v>
      </c>
      <c r="M1727" s="62" t="e">
        <f>VLOOKUP(I1727,PGStock[],6,FALSE)</f>
        <v>#N/A</v>
      </c>
      <c r="N1727" s="62" t="e">
        <f>+Table8[[#This Row],[SalesBot]]*Table8[[#This Row],[Bonus]]</f>
        <v>#N/A</v>
      </c>
    </row>
    <row r="1728" spans="1:14" ht="23.25" customHeight="1" x14ac:dyDescent="0.25">
      <c r="A1728" s="59">
        <f t="shared" si="185"/>
        <v>1900</v>
      </c>
      <c r="B1728" s="59">
        <f t="shared" si="186"/>
        <v>1</v>
      </c>
      <c r="C1728" s="60"/>
      <c r="D1728" s="61"/>
      <c r="F1728" s="23" t="e">
        <f>VLOOKUP(E1728,Customers[],2,FALSE)</f>
        <v>#N/A</v>
      </c>
      <c r="G1728" s="23" t="e">
        <f>VLOOKUP(E1728,Customers[],3,FALSE)</f>
        <v>#N/A</v>
      </c>
      <c r="H1728" s="23" t="e">
        <f>VLOOKUP(E1728,Customers[],4,FALSE)</f>
        <v>#N/A</v>
      </c>
      <c r="J1728" s="29" t="e">
        <f>VLOOKUP(I1728,PGStock[],2,FALSE)</f>
        <v>#N/A</v>
      </c>
      <c r="K1728" s="30" t="e">
        <f>VLOOKUP(I1728,PGStock[],3,FALSE)</f>
        <v>#N/A</v>
      </c>
      <c r="M1728" s="62" t="e">
        <f>VLOOKUP(I1728,PGStock[],6,FALSE)</f>
        <v>#N/A</v>
      </c>
      <c r="N1728" s="62" t="e">
        <f>+Table8[[#This Row],[SalesBot]]*Table8[[#This Row],[Bonus]]</f>
        <v>#N/A</v>
      </c>
    </row>
    <row r="1729" spans="1:14" ht="23.25" customHeight="1" x14ac:dyDescent="0.25">
      <c r="A1729" s="59">
        <f t="shared" si="185"/>
        <v>1900</v>
      </c>
      <c r="B1729" s="59">
        <f t="shared" si="186"/>
        <v>1</v>
      </c>
      <c r="C1729" s="60"/>
      <c r="D1729" s="61"/>
      <c r="F1729" s="23" t="e">
        <f>VLOOKUP(E1729,Customers[],2,FALSE)</f>
        <v>#N/A</v>
      </c>
      <c r="G1729" s="23" t="e">
        <f>VLOOKUP(E1729,Customers[],3,FALSE)</f>
        <v>#N/A</v>
      </c>
      <c r="H1729" s="23" t="e">
        <f>VLOOKUP(E1729,Customers[],4,FALSE)</f>
        <v>#N/A</v>
      </c>
      <c r="J1729" s="29" t="e">
        <f>VLOOKUP(I1729,PGStock[],2,FALSE)</f>
        <v>#N/A</v>
      </c>
      <c r="K1729" s="30" t="e">
        <f>VLOOKUP(I1729,PGStock[],3,FALSE)</f>
        <v>#N/A</v>
      </c>
      <c r="M1729" s="62" t="e">
        <f>VLOOKUP(I1729,PGStock[],6,FALSE)</f>
        <v>#N/A</v>
      </c>
      <c r="N1729" s="62" t="e">
        <f>+Table8[[#This Row],[SalesBot]]*Table8[[#This Row],[Bonus]]</f>
        <v>#N/A</v>
      </c>
    </row>
    <row r="1730" spans="1:14" ht="23.25" customHeight="1" x14ac:dyDescent="0.25">
      <c r="A1730" s="59">
        <f t="shared" si="185"/>
        <v>1900</v>
      </c>
      <c r="B1730" s="59">
        <f t="shared" si="186"/>
        <v>1</v>
      </c>
      <c r="C1730" s="60"/>
      <c r="D1730" s="61"/>
      <c r="F1730" s="23" t="e">
        <f>VLOOKUP(E1730,Customers[],2,FALSE)</f>
        <v>#N/A</v>
      </c>
      <c r="G1730" s="23" t="e">
        <f>VLOOKUP(E1730,Customers[],3,FALSE)</f>
        <v>#N/A</v>
      </c>
      <c r="H1730" s="23" t="e">
        <f>VLOOKUP(E1730,Customers[],4,FALSE)</f>
        <v>#N/A</v>
      </c>
      <c r="J1730" s="29" t="e">
        <f>VLOOKUP(I1730,PGStock[],2,FALSE)</f>
        <v>#N/A</v>
      </c>
      <c r="K1730" s="30" t="e">
        <f>VLOOKUP(I1730,PGStock[],3,FALSE)</f>
        <v>#N/A</v>
      </c>
      <c r="M1730" s="62" t="e">
        <f>VLOOKUP(I1730,PGStock[],6,FALSE)</f>
        <v>#N/A</v>
      </c>
      <c r="N1730" s="62" t="e">
        <f>+Table8[[#This Row],[SalesBot]]*Table8[[#This Row],[Bonus]]</f>
        <v>#N/A</v>
      </c>
    </row>
    <row r="1731" spans="1:14" ht="23.25" customHeight="1" x14ac:dyDescent="0.25">
      <c r="A1731" s="59">
        <f t="shared" si="185"/>
        <v>1900</v>
      </c>
      <c r="B1731" s="59">
        <f t="shared" si="186"/>
        <v>1</v>
      </c>
      <c r="C1731" s="60"/>
      <c r="D1731" s="61"/>
      <c r="F1731" s="23" t="e">
        <f>VLOOKUP(E1731,Customers[],2,FALSE)</f>
        <v>#N/A</v>
      </c>
      <c r="G1731" s="23" t="e">
        <f>VLOOKUP(E1731,Customers[],3,FALSE)</f>
        <v>#N/A</v>
      </c>
      <c r="H1731" s="23" t="e">
        <f>VLOOKUP(E1731,Customers[],4,FALSE)</f>
        <v>#N/A</v>
      </c>
      <c r="J1731" s="29" t="e">
        <f>VLOOKUP(I1731,PGStock[],2,FALSE)</f>
        <v>#N/A</v>
      </c>
      <c r="K1731" s="30" t="e">
        <f>VLOOKUP(I1731,PGStock[],3,FALSE)</f>
        <v>#N/A</v>
      </c>
      <c r="M1731" s="62" t="e">
        <f>VLOOKUP(I1731,PGStock[],6,FALSE)</f>
        <v>#N/A</v>
      </c>
      <c r="N1731" s="62" t="e">
        <f>+Table8[[#This Row],[SalesBot]]*Table8[[#This Row],[Bonus]]</f>
        <v>#N/A</v>
      </c>
    </row>
    <row r="1732" spans="1:14" ht="23.25" customHeight="1" x14ac:dyDescent="0.25">
      <c r="A1732" s="59">
        <f t="shared" si="185"/>
        <v>1900</v>
      </c>
      <c r="B1732" s="59">
        <f t="shared" si="186"/>
        <v>1</v>
      </c>
      <c r="C1732" s="60"/>
      <c r="D1732" s="61"/>
      <c r="F1732" s="23" t="e">
        <f>VLOOKUP(E1732,Customers[],2,FALSE)</f>
        <v>#N/A</v>
      </c>
      <c r="G1732" s="23" t="e">
        <f>VLOOKUP(E1732,Customers[],3,FALSE)</f>
        <v>#N/A</v>
      </c>
      <c r="H1732" s="23" t="e">
        <f>VLOOKUP(E1732,Customers[],4,FALSE)</f>
        <v>#N/A</v>
      </c>
      <c r="J1732" s="29" t="e">
        <f>VLOOKUP(I1732,PGStock[],2,FALSE)</f>
        <v>#N/A</v>
      </c>
      <c r="K1732" s="30" t="e">
        <f>VLOOKUP(I1732,PGStock[],3,FALSE)</f>
        <v>#N/A</v>
      </c>
      <c r="M1732" s="62" t="e">
        <f>VLOOKUP(I1732,PGStock[],6,FALSE)</f>
        <v>#N/A</v>
      </c>
      <c r="N1732" s="62" t="e">
        <f>+Table8[[#This Row],[SalesBot]]*Table8[[#This Row],[Bonus]]</f>
        <v>#N/A</v>
      </c>
    </row>
    <row r="1733" spans="1:14" ht="23.25" customHeight="1" x14ac:dyDescent="0.25">
      <c r="A1733" s="59">
        <f t="shared" si="185"/>
        <v>1900</v>
      </c>
      <c r="B1733" s="59">
        <f t="shared" si="186"/>
        <v>1</v>
      </c>
      <c r="C1733" s="60"/>
      <c r="D1733" s="61"/>
      <c r="F1733" s="23" t="e">
        <f>VLOOKUP(E1733,Customers[],2,FALSE)</f>
        <v>#N/A</v>
      </c>
      <c r="G1733" s="23" t="e">
        <f>VLOOKUP(E1733,Customers[],3,FALSE)</f>
        <v>#N/A</v>
      </c>
      <c r="H1733" s="23" t="e">
        <f>VLOOKUP(E1733,Customers[],4,FALSE)</f>
        <v>#N/A</v>
      </c>
      <c r="J1733" s="29" t="e">
        <f>VLOOKUP(I1733,PGStock[],2,FALSE)</f>
        <v>#N/A</v>
      </c>
      <c r="K1733" s="30" t="e">
        <f>VLOOKUP(I1733,PGStock[],3,FALSE)</f>
        <v>#N/A</v>
      </c>
      <c r="M1733" s="62" t="e">
        <f>VLOOKUP(I1733,PGStock[],6,FALSE)</f>
        <v>#N/A</v>
      </c>
      <c r="N1733" s="62" t="e">
        <f>+Table8[[#This Row],[SalesBot]]*Table8[[#This Row],[Bonus]]</f>
        <v>#N/A</v>
      </c>
    </row>
    <row r="1734" spans="1:14" ht="23.25" customHeight="1" x14ac:dyDescent="0.25">
      <c r="A1734" s="59">
        <f t="shared" si="185"/>
        <v>1900</v>
      </c>
      <c r="B1734" s="59">
        <f t="shared" si="186"/>
        <v>1</v>
      </c>
      <c r="C1734" s="60"/>
      <c r="D1734" s="61"/>
      <c r="F1734" s="23" t="e">
        <f>VLOOKUP(E1734,Customers[],2,FALSE)</f>
        <v>#N/A</v>
      </c>
      <c r="G1734" s="23" t="e">
        <f>VLOOKUP(E1734,Customers[],3,FALSE)</f>
        <v>#N/A</v>
      </c>
      <c r="H1734" s="23" t="e">
        <f>VLOOKUP(E1734,Customers[],4,FALSE)</f>
        <v>#N/A</v>
      </c>
      <c r="J1734" s="29" t="e">
        <f>VLOOKUP(I1734,PGStock[],2,FALSE)</f>
        <v>#N/A</v>
      </c>
      <c r="K1734" s="30" t="e">
        <f>VLOOKUP(I1734,PGStock[],3,FALSE)</f>
        <v>#N/A</v>
      </c>
      <c r="M1734" s="62" t="e">
        <f>VLOOKUP(I1734,PGStock[],6,FALSE)</f>
        <v>#N/A</v>
      </c>
      <c r="N1734" s="62" t="e">
        <f>+Table8[[#This Row],[SalesBot]]*Table8[[#This Row],[Bonus]]</f>
        <v>#N/A</v>
      </c>
    </row>
    <row r="1735" spans="1:14" ht="23.25" customHeight="1" x14ac:dyDescent="0.25">
      <c r="A1735" s="59">
        <f t="shared" ref="A1735:A1748" si="187">YEAR(C1735)</f>
        <v>1900</v>
      </c>
      <c r="B1735" s="59">
        <f t="shared" ref="B1735:B1748" si="188">MONTH(C1735)</f>
        <v>1</v>
      </c>
      <c r="C1735" s="60"/>
      <c r="D1735" s="61"/>
      <c r="F1735" s="23" t="e">
        <f>VLOOKUP(E1735,Customers[],2,FALSE)</f>
        <v>#N/A</v>
      </c>
      <c r="G1735" s="23" t="e">
        <f>VLOOKUP(E1735,Customers[],3,FALSE)</f>
        <v>#N/A</v>
      </c>
      <c r="H1735" s="23" t="e">
        <f>VLOOKUP(E1735,Customers[],4,FALSE)</f>
        <v>#N/A</v>
      </c>
      <c r="J1735" s="29" t="e">
        <f>VLOOKUP(I1735,PGStock[],2,FALSE)</f>
        <v>#N/A</v>
      </c>
      <c r="K1735" s="30" t="e">
        <f>VLOOKUP(I1735,PGStock[],3,FALSE)</f>
        <v>#N/A</v>
      </c>
      <c r="M1735" s="62" t="e">
        <f>VLOOKUP(I1735,PGStock[],6,FALSE)</f>
        <v>#N/A</v>
      </c>
      <c r="N1735" s="62" t="e">
        <f>+Table8[[#This Row],[SalesBot]]*Table8[[#This Row],[Bonus]]</f>
        <v>#N/A</v>
      </c>
    </row>
    <row r="1736" spans="1:14" ht="23.25" customHeight="1" x14ac:dyDescent="0.25">
      <c r="A1736" s="59">
        <f t="shared" si="187"/>
        <v>1900</v>
      </c>
      <c r="B1736" s="59">
        <f t="shared" si="188"/>
        <v>1</v>
      </c>
      <c r="C1736" s="60"/>
      <c r="D1736" s="61"/>
      <c r="F1736" s="23" t="e">
        <f>VLOOKUP(E1736,Customers[],2,FALSE)</f>
        <v>#N/A</v>
      </c>
      <c r="G1736" s="23" t="e">
        <f>VLOOKUP(E1736,Customers[],3,FALSE)</f>
        <v>#N/A</v>
      </c>
      <c r="H1736" s="23" t="e">
        <f>VLOOKUP(E1736,Customers[],4,FALSE)</f>
        <v>#N/A</v>
      </c>
      <c r="J1736" s="29" t="e">
        <f>VLOOKUP(I1736,PGStock[],2,FALSE)</f>
        <v>#N/A</v>
      </c>
      <c r="K1736" s="30" t="e">
        <f>VLOOKUP(I1736,PGStock[],3,FALSE)</f>
        <v>#N/A</v>
      </c>
      <c r="M1736" s="62" t="e">
        <f>VLOOKUP(I1736,PGStock[],6,FALSE)</f>
        <v>#N/A</v>
      </c>
      <c r="N1736" s="62" t="e">
        <f>+Table8[[#This Row],[SalesBot]]*Table8[[#This Row],[Bonus]]</f>
        <v>#N/A</v>
      </c>
    </row>
    <row r="1737" spans="1:14" ht="23.25" customHeight="1" x14ac:dyDescent="0.25">
      <c r="A1737" s="59">
        <f t="shared" si="187"/>
        <v>1900</v>
      </c>
      <c r="B1737" s="59">
        <f t="shared" si="188"/>
        <v>1</v>
      </c>
      <c r="C1737" s="60"/>
      <c r="D1737" s="61"/>
      <c r="F1737" s="23" t="e">
        <f>VLOOKUP(E1737,Customers[],2,FALSE)</f>
        <v>#N/A</v>
      </c>
      <c r="G1737" s="23" t="e">
        <f>VLOOKUP(E1737,Customers[],3,FALSE)</f>
        <v>#N/A</v>
      </c>
      <c r="H1737" s="23" t="e">
        <f>VLOOKUP(E1737,Customers[],4,FALSE)</f>
        <v>#N/A</v>
      </c>
      <c r="J1737" s="29" t="e">
        <f>VLOOKUP(I1737,PGStock[],2,FALSE)</f>
        <v>#N/A</v>
      </c>
      <c r="K1737" s="30" t="e">
        <f>VLOOKUP(I1737,PGStock[],3,FALSE)</f>
        <v>#N/A</v>
      </c>
      <c r="M1737" s="62" t="e">
        <f>VLOOKUP(I1737,PGStock[],6,FALSE)</f>
        <v>#N/A</v>
      </c>
      <c r="N1737" s="62" t="e">
        <f>+Table8[[#This Row],[SalesBot]]*Table8[[#This Row],[Bonus]]</f>
        <v>#N/A</v>
      </c>
    </row>
    <row r="1738" spans="1:14" ht="23.25" customHeight="1" x14ac:dyDescent="0.25">
      <c r="A1738" s="59">
        <f t="shared" si="187"/>
        <v>1900</v>
      </c>
      <c r="B1738" s="59">
        <f t="shared" si="188"/>
        <v>1</v>
      </c>
      <c r="C1738" s="60"/>
      <c r="D1738" s="61"/>
      <c r="F1738" s="23" t="e">
        <f>VLOOKUP(E1738,Customers[],2,FALSE)</f>
        <v>#N/A</v>
      </c>
      <c r="G1738" s="23" t="e">
        <f>VLOOKUP(E1738,Customers[],3,FALSE)</f>
        <v>#N/A</v>
      </c>
      <c r="H1738" s="23" t="e">
        <f>VLOOKUP(E1738,Customers[],4,FALSE)</f>
        <v>#N/A</v>
      </c>
      <c r="J1738" s="29" t="e">
        <f>VLOOKUP(I1738,PGStock[],2,FALSE)</f>
        <v>#N/A</v>
      </c>
      <c r="K1738" s="30" t="e">
        <f>VLOOKUP(I1738,PGStock[],3,FALSE)</f>
        <v>#N/A</v>
      </c>
      <c r="M1738" s="62" t="e">
        <f>VLOOKUP(I1738,PGStock[],6,FALSE)</f>
        <v>#N/A</v>
      </c>
      <c r="N1738" s="62" t="e">
        <f>+Table8[[#This Row],[SalesBot]]*Table8[[#This Row],[Bonus]]</f>
        <v>#N/A</v>
      </c>
    </row>
    <row r="1739" spans="1:14" ht="23.25" customHeight="1" x14ac:dyDescent="0.25">
      <c r="A1739" s="59">
        <f t="shared" si="187"/>
        <v>1900</v>
      </c>
      <c r="B1739" s="59">
        <f t="shared" si="188"/>
        <v>1</v>
      </c>
      <c r="C1739" s="60"/>
      <c r="D1739" s="61"/>
      <c r="F1739" s="23" t="e">
        <f>VLOOKUP(E1739,Customers[],2,FALSE)</f>
        <v>#N/A</v>
      </c>
      <c r="G1739" s="23" t="e">
        <f>VLOOKUP(E1739,Customers[],3,FALSE)</f>
        <v>#N/A</v>
      </c>
      <c r="H1739" s="23" t="e">
        <f>VLOOKUP(E1739,Customers[],4,FALSE)</f>
        <v>#N/A</v>
      </c>
      <c r="J1739" s="29" t="e">
        <f>VLOOKUP(I1739,PGStock[],2,FALSE)</f>
        <v>#N/A</v>
      </c>
      <c r="K1739" s="30" t="e">
        <f>VLOOKUP(I1739,PGStock[],3,FALSE)</f>
        <v>#N/A</v>
      </c>
      <c r="M1739" s="62" t="e">
        <f>VLOOKUP(I1739,PGStock[],6,FALSE)</f>
        <v>#N/A</v>
      </c>
      <c r="N1739" s="62" t="e">
        <f>+Table8[[#This Row],[SalesBot]]*Table8[[#This Row],[Bonus]]</f>
        <v>#N/A</v>
      </c>
    </row>
    <row r="1740" spans="1:14" ht="23.25" customHeight="1" x14ac:dyDescent="0.25">
      <c r="A1740" s="59">
        <f t="shared" si="187"/>
        <v>1900</v>
      </c>
      <c r="B1740" s="59">
        <f t="shared" si="188"/>
        <v>1</v>
      </c>
      <c r="C1740" s="60"/>
      <c r="D1740" s="61"/>
      <c r="F1740" s="23" t="e">
        <f>VLOOKUP(E1740,Customers[],2,FALSE)</f>
        <v>#N/A</v>
      </c>
      <c r="G1740" s="23" t="e">
        <f>VLOOKUP(E1740,Customers[],3,FALSE)</f>
        <v>#N/A</v>
      </c>
      <c r="H1740" s="23" t="e">
        <f>VLOOKUP(E1740,Customers[],4,FALSE)</f>
        <v>#N/A</v>
      </c>
      <c r="J1740" s="29" t="e">
        <f>VLOOKUP(I1740,PGStock[],2,FALSE)</f>
        <v>#N/A</v>
      </c>
      <c r="K1740" s="30" t="e">
        <f>VLOOKUP(I1740,PGStock[],3,FALSE)</f>
        <v>#N/A</v>
      </c>
      <c r="M1740" s="62" t="e">
        <f>VLOOKUP(I1740,PGStock[],6,FALSE)</f>
        <v>#N/A</v>
      </c>
      <c r="N1740" s="62" t="e">
        <f>+Table8[[#This Row],[SalesBot]]*Table8[[#This Row],[Bonus]]</f>
        <v>#N/A</v>
      </c>
    </row>
    <row r="1741" spans="1:14" ht="23.25" customHeight="1" x14ac:dyDescent="0.25">
      <c r="A1741" s="59">
        <f t="shared" si="187"/>
        <v>1900</v>
      </c>
      <c r="B1741" s="59">
        <f t="shared" si="188"/>
        <v>1</v>
      </c>
      <c r="C1741" s="60"/>
      <c r="D1741" s="61"/>
      <c r="F1741" s="23" t="e">
        <f>VLOOKUP(E1741,Customers[],2,FALSE)</f>
        <v>#N/A</v>
      </c>
      <c r="G1741" s="23" t="e">
        <f>VLOOKUP(E1741,Customers[],3,FALSE)</f>
        <v>#N/A</v>
      </c>
      <c r="H1741" s="23" t="e">
        <f>VLOOKUP(E1741,Customers[],4,FALSE)</f>
        <v>#N/A</v>
      </c>
      <c r="J1741" s="29" t="e">
        <f>VLOOKUP(I1741,PGStock[],2,FALSE)</f>
        <v>#N/A</v>
      </c>
      <c r="K1741" s="30" t="e">
        <f>VLOOKUP(I1741,PGStock[],3,FALSE)</f>
        <v>#N/A</v>
      </c>
      <c r="M1741" s="62" t="e">
        <f>VLOOKUP(I1741,PGStock[],6,FALSE)</f>
        <v>#N/A</v>
      </c>
      <c r="N1741" s="62" t="e">
        <f>+Table8[[#This Row],[SalesBot]]*Table8[[#This Row],[Bonus]]</f>
        <v>#N/A</v>
      </c>
    </row>
    <row r="1742" spans="1:14" ht="23.25" customHeight="1" x14ac:dyDescent="0.25">
      <c r="A1742" s="59">
        <f t="shared" si="187"/>
        <v>1900</v>
      </c>
      <c r="B1742" s="59">
        <f t="shared" si="188"/>
        <v>1</v>
      </c>
      <c r="C1742" s="60"/>
      <c r="D1742" s="61"/>
      <c r="F1742" s="23" t="e">
        <f>VLOOKUP(E1742,Customers[],2,FALSE)</f>
        <v>#N/A</v>
      </c>
      <c r="G1742" s="23" t="e">
        <f>VLOOKUP(E1742,Customers[],3,FALSE)</f>
        <v>#N/A</v>
      </c>
      <c r="H1742" s="23" t="e">
        <f>VLOOKUP(E1742,Customers[],4,FALSE)</f>
        <v>#N/A</v>
      </c>
      <c r="J1742" s="29" t="e">
        <f>VLOOKUP(I1742,PGStock[],2,FALSE)</f>
        <v>#N/A</v>
      </c>
      <c r="K1742" s="30" t="e">
        <f>VLOOKUP(I1742,PGStock[],3,FALSE)</f>
        <v>#N/A</v>
      </c>
      <c r="M1742" s="62" t="e">
        <f>VLOOKUP(I1742,PGStock[],6,FALSE)</f>
        <v>#N/A</v>
      </c>
      <c r="N1742" s="62" t="e">
        <f>+Table8[[#This Row],[SalesBot]]*Table8[[#This Row],[Bonus]]</f>
        <v>#N/A</v>
      </c>
    </row>
    <row r="1743" spans="1:14" ht="23.25" customHeight="1" x14ac:dyDescent="0.25">
      <c r="A1743" s="59">
        <f t="shared" si="187"/>
        <v>1900</v>
      </c>
      <c r="B1743" s="59">
        <f t="shared" si="188"/>
        <v>1</v>
      </c>
      <c r="C1743" s="60"/>
      <c r="D1743" s="61"/>
      <c r="F1743" s="23" t="e">
        <f>VLOOKUP(E1743,Customers[],2,FALSE)</f>
        <v>#N/A</v>
      </c>
      <c r="G1743" s="23" t="e">
        <f>VLOOKUP(E1743,Customers[],3,FALSE)</f>
        <v>#N/A</v>
      </c>
      <c r="H1743" s="23" t="e">
        <f>VLOOKUP(E1743,Customers[],4,FALSE)</f>
        <v>#N/A</v>
      </c>
      <c r="J1743" s="29" t="e">
        <f>VLOOKUP(I1743,PGStock[],2,FALSE)</f>
        <v>#N/A</v>
      </c>
      <c r="K1743" s="30" t="e">
        <f>VLOOKUP(I1743,PGStock[],3,FALSE)</f>
        <v>#N/A</v>
      </c>
      <c r="M1743" s="62" t="e">
        <f>VLOOKUP(I1743,PGStock[],6,FALSE)</f>
        <v>#N/A</v>
      </c>
      <c r="N1743" s="62" t="e">
        <f>+Table8[[#This Row],[SalesBot]]*Table8[[#This Row],[Bonus]]</f>
        <v>#N/A</v>
      </c>
    </row>
    <row r="1744" spans="1:14" ht="23.25" customHeight="1" x14ac:dyDescent="0.25">
      <c r="A1744" s="59">
        <f t="shared" si="187"/>
        <v>1900</v>
      </c>
      <c r="B1744" s="59">
        <f t="shared" si="188"/>
        <v>1</v>
      </c>
      <c r="C1744" s="60"/>
      <c r="D1744" s="61"/>
      <c r="F1744" s="23" t="e">
        <f>VLOOKUP(E1744,Customers[],2,FALSE)</f>
        <v>#N/A</v>
      </c>
      <c r="G1744" s="23" t="e">
        <f>VLOOKUP(E1744,Customers[],3,FALSE)</f>
        <v>#N/A</v>
      </c>
      <c r="H1744" s="23" t="e">
        <f>VLOOKUP(E1744,Customers[],4,FALSE)</f>
        <v>#N/A</v>
      </c>
      <c r="J1744" s="29" t="e">
        <f>VLOOKUP(I1744,PGStock[],2,FALSE)</f>
        <v>#N/A</v>
      </c>
      <c r="K1744" s="30" t="e">
        <f>VLOOKUP(I1744,PGStock[],3,FALSE)</f>
        <v>#N/A</v>
      </c>
      <c r="M1744" s="62" t="e">
        <f>VLOOKUP(I1744,PGStock[],6,FALSE)</f>
        <v>#N/A</v>
      </c>
      <c r="N1744" s="62" t="e">
        <f>+Table8[[#This Row],[SalesBot]]*Table8[[#This Row],[Bonus]]</f>
        <v>#N/A</v>
      </c>
    </row>
    <row r="1745" spans="1:14" ht="23.25" customHeight="1" x14ac:dyDescent="0.25">
      <c r="A1745" s="59">
        <f t="shared" si="187"/>
        <v>1900</v>
      </c>
      <c r="B1745" s="59">
        <f t="shared" si="188"/>
        <v>1</v>
      </c>
      <c r="C1745" s="60"/>
      <c r="D1745" s="61"/>
      <c r="F1745" s="23" t="e">
        <f>VLOOKUP(E1745,Customers[],2,FALSE)</f>
        <v>#N/A</v>
      </c>
      <c r="G1745" s="23" t="e">
        <f>VLOOKUP(E1745,Customers[],3,FALSE)</f>
        <v>#N/A</v>
      </c>
      <c r="H1745" s="23" t="e">
        <f>VLOOKUP(E1745,Customers[],4,FALSE)</f>
        <v>#N/A</v>
      </c>
      <c r="J1745" s="29" t="e">
        <f>VLOOKUP(I1745,PGStock[],2,FALSE)</f>
        <v>#N/A</v>
      </c>
      <c r="K1745" s="30" t="e">
        <f>VLOOKUP(I1745,PGStock[],3,FALSE)</f>
        <v>#N/A</v>
      </c>
      <c r="M1745" s="62" t="e">
        <f>VLOOKUP(I1745,PGStock[],6,FALSE)</f>
        <v>#N/A</v>
      </c>
      <c r="N1745" s="62" t="e">
        <f>+Table8[[#This Row],[SalesBot]]*Table8[[#This Row],[Bonus]]</f>
        <v>#N/A</v>
      </c>
    </row>
    <row r="1746" spans="1:14" ht="23.25" customHeight="1" x14ac:dyDescent="0.25">
      <c r="A1746" s="59">
        <f t="shared" si="187"/>
        <v>1900</v>
      </c>
      <c r="B1746" s="59">
        <f t="shared" si="188"/>
        <v>1</v>
      </c>
      <c r="C1746" s="60"/>
      <c r="D1746" s="61"/>
      <c r="F1746" s="23" t="e">
        <f>VLOOKUP(E1746,Customers[],2,FALSE)</f>
        <v>#N/A</v>
      </c>
      <c r="G1746" s="23" t="e">
        <f>VLOOKUP(E1746,Customers[],3,FALSE)</f>
        <v>#N/A</v>
      </c>
      <c r="H1746" s="23" t="e">
        <f>VLOOKUP(E1746,Customers[],4,FALSE)</f>
        <v>#N/A</v>
      </c>
      <c r="J1746" s="29" t="e">
        <f>VLOOKUP(I1746,PGStock[],2,FALSE)</f>
        <v>#N/A</v>
      </c>
      <c r="K1746" s="30" t="e">
        <f>VLOOKUP(I1746,PGStock[],3,FALSE)</f>
        <v>#N/A</v>
      </c>
      <c r="M1746" s="62" t="e">
        <f>VLOOKUP(I1746,PGStock[],6,FALSE)</f>
        <v>#N/A</v>
      </c>
      <c r="N1746" s="62" t="e">
        <f>+Table8[[#This Row],[SalesBot]]*Table8[[#This Row],[Bonus]]</f>
        <v>#N/A</v>
      </c>
    </row>
    <row r="1747" spans="1:14" ht="23.25" customHeight="1" x14ac:dyDescent="0.25">
      <c r="A1747" s="59">
        <f t="shared" si="187"/>
        <v>1900</v>
      </c>
      <c r="B1747" s="59">
        <f t="shared" si="188"/>
        <v>1</v>
      </c>
      <c r="C1747" s="60"/>
      <c r="D1747" s="61"/>
      <c r="F1747" s="23" t="e">
        <f>VLOOKUP(E1747,Customers[],2,FALSE)</f>
        <v>#N/A</v>
      </c>
      <c r="G1747" s="23" t="e">
        <f>VLOOKUP(E1747,Customers[],3,FALSE)</f>
        <v>#N/A</v>
      </c>
      <c r="H1747" s="23" t="e">
        <f>VLOOKUP(E1747,Customers[],4,FALSE)</f>
        <v>#N/A</v>
      </c>
      <c r="J1747" s="29" t="e">
        <f>VLOOKUP(I1747,PGStock[],2,FALSE)</f>
        <v>#N/A</v>
      </c>
      <c r="K1747" s="30" t="e">
        <f>VLOOKUP(I1747,PGStock[],3,FALSE)</f>
        <v>#N/A</v>
      </c>
      <c r="M1747" s="62" t="e">
        <f>VLOOKUP(I1747,PGStock[],6,FALSE)</f>
        <v>#N/A</v>
      </c>
      <c r="N1747" s="62" t="e">
        <f>+Table8[[#This Row],[SalesBot]]*Table8[[#This Row],[Bonus]]</f>
        <v>#N/A</v>
      </c>
    </row>
    <row r="1748" spans="1:14" ht="23.25" customHeight="1" x14ac:dyDescent="0.25">
      <c r="A1748" s="59">
        <f t="shared" si="187"/>
        <v>1900</v>
      </c>
      <c r="B1748" s="59">
        <f t="shared" si="188"/>
        <v>1</v>
      </c>
      <c r="C1748" s="60"/>
      <c r="D1748" s="61"/>
      <c r="F1748" s="23" t="e">
        <f>VLOOKUP(E1748,Customers[],2,FALSE)</f>
        <v>#N/A</v>
      </c>
      <c r="G1748" s="23" t="e">
        <f>VLOOKUP(E1748,Customers[],3,FALSE)</f>
        <v>#N/A</v>
      </c>
      <c r="H1748" s="23" t="e">
        <f>VLOOKUP(E1748,Customers[],4,FALSE)</f>
        <v>#N/A</v>
      </c>
      <c r="J1748" s="29" t="e">
        <f>VLOOKUP(I1748,PGStock[],2,FALSE)</f>
        <v>#N/A</v>
      </c>
      <c r="K1748" s="30" t="e">
        <f>VLOOKUP(I1748,PGStock[],3,FALSE)</f>
        <v>#N/A</v>
      </c>
      <c r="M1748" s="62" t="e">
        <f>VLOOKUP(I1748,PGStock[],6,FALSE)</f>
        <v>#N/A</v>
      </c>
      <c r="N1748" s="62" t="e">
        <f>+Table8[[#This Row],[SalesBot]]*Table8[[#This Row],[Bonus]]</f>
        <v>#N/A</v>
      </c>
    </row>
    <row r="1749" spans="1:14" ht="23.25" customHeight="1" x14ac:dyDescent="0.25">
      <c r="A1749" s="59">
        <f t="shared" ref="A1749:A1762" si="189">YEAR(C1749)</f>
        <v>1900</v>
      </c>
      <c r="B1749" s="59">
        <f t="shared" ref="B1749:B1762" si="190">MONTH(C1749)</f>
        <v>1</v>
      </c>
      <c r="C1749" s="60"/>
      <c r="D1749" s="61"/>
      <c r="F1749" s="23" t="e">
        <f>VLOOKUP(E1749,Customers[],2,FALSE)</f>
        <v>#N/A</v>
      </c>
      <c r="G1749" s="23" t="e">
        <f>VLOOKUP(E1749,Customers[],3,FALSE)</f>
        <v>#N/A</v>
      </c>
      <c r="H1749" s="23" t="e">
        <f>VLOOKUP(E1749,Customers[],4,FALSE)</f>
        <v>#N/A</v>
      </c>
      <c r="J1749" s="29" t="e">
        <f>VLOOKUP(I1749,PGStock[],2,FALSE)</f>
        <v>#N/A</v>
      </c>
      <c r="K1749" s="30" t="e">
        <f>VLOOKUP(I1749,PGStock[],3,FALSE)</f>
        <v>#N/A</v>
      </c>
      <c r="M1749" s="62" t="e">
        <f>VLOOKUP(I1749,PGStock[],6,FALSE)</f>
        <v>#N/A</v>
      </c>
      <c r="N1749" s="62" t="e">
        <f>+Table8[[#This Row],[SalesBot]]*Table8[[#This Row],[Bonus]]</f>
        <v>#N/A</v>
      </c>
    </row>
    <row r="1750" spans="1:14" ht="23.25" customHeight="1" x14ac:dyDescent="0.25">
      <c r="A1750" s="59">
        <f t="shared" si="189"/>
        <v>1900</v>
      </c>
      <c r="B1750" s="59">
        <f t="shared" si="190"/>
        <v>1</v>
      </c>
      <c r="C1750" s="60"/>
      <c r="D1750" s="61"/>
      <c r="F1750" s="23" t="e">
        <f>VLOOKUP(E1750,Customers[],2,FALSE)</f>
        <v>#N/A</v>
      </c>
      <c r="G1750" s="23" t="e">
        <f>VLOOKUP(E1750,Customers[],3,FALSE)</f>
        <v>#N/A</v>
      </c>
      <c r="H1750" s="23" t="e">
        <f>VLOOKUP(E1750,Customers[],4,FALSE)</f>
        <v>#N/A</v>
      </c>
      <c r="J1750" s="29" t="e">
        <f>VLOOKUP(I1750,PGStock[],2,FALSE)</f>
        <v>#N/A</v>
      </c>
      <c r="K1750" s="30" t="e">
        <f>VLOOKUP(I1750,PGStock[],3,FALSE)</f>
        <v>#N/A</v>
      </c>
      <c r="M1750" s="62" t="e">
        <f>VLOOKUP(I1750,PGStock[],6,FALSE)</f>
        <v>#N/A</v>
      </c>
      <c r="N1750" s="62" t="e">
        <f>+Table8[[#This Row],[SalesBot]]*Table8[[#This Row],[Bonus]]</f>
        <v>#N/A</v>
      </c>
    </row>
    <row r="1751" spans="1:14" ht="23.25" customHeight="1" x14ac:dyDescent="0.25">
      <c r="A1751" s="59">
        <f t="shared" si="189"/>
        <v>1900</v>
      </c>
      <c r="B1751" s="59">
        <f t="shared" si="190"/>
        <v>1</v>
      </c>
      <c r="C1751" s="60"/>
      <c r="D1751" s="61"/>
      <c r="F1751" s="23" t="e">
        <f>VLOOKUP(E1751,Customers[],2,FALSE)</f>
        <v>#N/A</v>
      </c>
      <c r="G1751" s="23" t="e">
        <f>VLOOKUP(E1751,Customers[],3,FALSE)</f>
        <v>#N/A</v>
      </c>
      <c r="H1751" s="23" t="e">
        <f>VLOOKUP(E1751,Customers[],4,FALSE)</f>
        <v>#N/A</v>
      </c>
      <c r="J1751" s="29" t="e">
        <f>VLOOKUP(I1751,PGStock[],2,FALSE)</f>
        <v>#N/A</v>
      </c>
      <c r="K1751" s="30" t="e">
        <f>VLOOKUP(I1751,PGStock[],3,FALSE)</f>
        <v>#N/A</v>
      </c>
      <c r="M1751" s="62" t="e">
        <f>VLOOKUP(I1751,PGStock[],6,FALSE)</f>
        <v>#N/A</v>
      </c>
      <c r="N1751" s="62" t="e">
        <f>+Table8[[#This Row],[SalesBot]]*Table8[[#This Row],[Bonus]]</f>
        <v>#N/A</v>
      </c>
    </row>
    <row r="1752" spans="1:14" ht="23.25" customHeight="1" x14ac:dyDescent="0.25">
      <c r="A1752" s="59">
        <f t="shared" si="189"/>
        <v>1900</v>
      </c>
      <c r="B1752" s="59">
        <f t="shared" si="190"/>
        <v>1</v>
      </c>
      <c r="C1752" s="60"/>
      <c r="D1752" s="61"/>
      <c r="F1752" s="23" t="e">
        <f>VLOOKUP(E1752,Customers[],2,FALSE)</f>
        <v>#N/A</v>
      </c>
      <c r="G1752" s="23" t="e">
        <f>VLOOKUP(E1752,Customers[],3,FALSE)</f>
        <v>#N/A</v>
      </c>
      <c r="H1752" s="23" t="e">
        <f>VLOOKUP(E1752,Customers[],4,FALSE)</f>
        <v>#N/A</v>
      </c>
      <c r="J1752" s="29" t="e">
        <f>VLOOKUP(I1752,PGStock[],2,FALSE)</f>
        <v>#N/A</v>
      </c>
      <c r="K1752" s="30" t="e">
        <f>VLOOKUP(I1752,PGStock[],3,FALSE)</f>
        <v>#N/A</v>
      </c>
      <c r="M1752" s="62" t="e">
        <f>VLOOKUP(I1752,PGStock[],6,FALSE)</f>
        <v>#N/A</v>
      </c>
      <c r="N1752" s="62" t="e">
        <f>+Table8[[#This Row],[SalesBot]]*Table8[[#This Row],[Bonus]]</f>
        <v>#N/A</v>
      </c>
    </row>
    <row r="1753" spans="1:14" ht="23.25" customHeight="1" x14ac:dyDescent="0.25">
      <c r="A1753" s="59">
        <f t="shared" si="189"/>
        <v>1900</v>
      </c>
      <c r="B1753" s="59">
        <f t="shared" si="190"/>
        <v>1</v>
      </c>
      <c r="C1753" s="60"/>
      <c r="D1753" s="61"/>
      <c r="F1753" s="23" t="e">
        <f>VLOOKUP(E1753,Customers[],2,FALSE)</f>
        <v>#N/A</v>
      </c>
      <c r="G1753" s="23" t="e">
        <f>VLOOKUP(E1753,Customers[],3,FALSE)</f>
        <v>#N/A</v>
      </c>
      <c r="H1753" s="23" t="e">
        <f>VLOOKUP(E1753,Customers[],4,FALSE)</f>
        <v>#N/A</v>
      </c>
      <c r="J1753" s="29" t="e">
        <f>VLOOKUP(I1753,PGStock[],2,FALSE)</f>
        <v>#N/A</v>
      </c>
      <c r="K1753" s="30" t="e">
        <f>VLOOKUP(I1753,PGStock[],3,FALSE)</f>
        <v>#N/A</v>
      </c>
      <c r="M1753" s="62" t="e">
        <f>VLOOKUP(I1753,PGStock[],6,FALSE)</f>
        <v>#N/A</v>
      </c>
      <c r="N1753" s="62" t="e">
        <f>+Table8[[#This Row],[SalesBot]]*Table8[[#This Row],[Bonus]]</f>
        <v>#N/A</v>
      </c>
    </row>
    <row r="1754" spans="1:14" ht="23.25" customHeight="1" x14ac:dyDescent="0.25">
      <c r="A1754" s="59">
        <f t="shared" si="189"/>
        <v>1900</v>
      </c>
      <c r="B1754" s="59">
        <f t="shared" si="190"/>
        <v>1</v>
      </c>
      <c r="C1754" s="60"/>
      <c r="D1754" s="61"/>
      <c r="F1754" s="23" t="e">
        <f>VLOOKUP(E1754,Customers[],2,FALSE)</f>
        <v>#N/A</v>
      </c>
      <c r="G1754" s="23" t="e">
        <f>VLOOKUP(E1754,Customers[],3,FALSE)</f>
        <v>#N/A</v>
      </c>
      <c r="H1754" s="23" t="e">
        <f>VLOOKUP(E1754,Customers[],4,FALSE)</f>
        <v>#N/A</v>
      </c>
      <c r="J1754" s="29" t="e">
        <f>VLOOKUP(I1754,PGStock[],2,FALSE)</f>
        <v>#N/A</v>
      </c>
      <c r="K1754" s="30" t="e">
        <f>VLOOKUP(I1754,PGStock[],3,FALSE)</f>
        <v>#N/A</v>
      </c>
      <c r="M1754" s="62" t="e">
        <f>VLOOKUP(I1754,PGStock[],6,FALSE)</f>
        <v>#N/A</v>
      </c>
      <c r="N1754" s="62" t="e">
        <f>+Table8[[#This Row],[SalesBot]]*Table8[[#This Row],[Bonus]]</f>
        <v>#N/A</v>
      </c>
    </row>
    <row r="1755" spans="1:14" ht="23.25" customHeight="1" x14ac:dyDescent="0.25">
      <c r="A1755" s="59">
        <f t="shared" si="189"/>
        <v>1900</v>
      </c>
      <c r="B1755" s="59">
        <f t="shared" si="190"/>
        <v>1</v>
      </c>
      <c r="C1755" s="60"/>
      <c r="D1755" s="61"/>
      <c r="F1755" s="23" t="e">
        <f>VLOOKUP(E1755,Customers[],2,FALSE)</f>
        <v>#N/A</v>
      </c>
      <c r="G1755" s="23" t="e">
        <f>VLOOKUP(E1755,Customers[],3,FALSE)</f>
        <v>#N/A</v>
      </c>
      <c r="H1755" s="23" t="e">
        <f>VLOOKUP(E1755,Customers[],4,FALSE)</f>
        <v>#N/A</v>
      </c>
      <c r="J1755" s="29" t="e">
        <f>VLOOKUP(I1755,PGStock[],2,FALSE)</f>
        <v>#N/A</v>
      </c>
      <c r="K1755" s="30" t="e">
        <f>VLOOKUP(I1755,PGStock[],3,FALSE)</f>
        <v>#N/A</v>
      </c>
      <c r="M1755" s="62" t="e">
        <f>VLOOKUP(I1755,PGStock[],6,FALSE)</f>
        <v>#N/A</v>
      </c>
      <c r="N1755" s="62" t="e">
        <f>+Table8[[#This Row],[SalesBot]]*Table8[[#This Row],[Bonus]]</f>
        <v>#N/A</v>
      </c>
    </row>
    <row r="1756" spans="1:14" ht="23.25" customHeight="1" x14ac:dyDescent="0.25">
      <c r="A1756" s="59">
        <f t="shared" si="189"/>
        <v>1900</v>
      </c>
      <c r="B1756" s="59">
        <f t="shared" si="190"/>
        <v>1</v>
      </c>
      <c r="C1756" s="60"/>
      <c r="D1756" s="61"/>
      <c r="F1756" s="23" t="e">
        <f>VLOOKUP(E1756,Customers[],2,FALSE)</f>
        <v>#N/A</v>
      </c>
      <c r="G1756" s="23" t="e">
        <f>VLOOKUP(E1756,Customers[],3,FALSE)</f>
        <v>#N/A</v>
      </c>
      <c r="H1756" s="23" t="e">
        <f>VLOOKUP(E1756,Customers[],4,FALSE)</f>
        <v>#N/A</v>
      </c>
      <c r="J1756" s="29" t="e">
        <f>VLOOKUP(I1756,PGStock[],2,FALSE)</f>
        <v>#N/A</v>
      </c>
      <c r="K1756" s="30" t="e">
        <f>VLOOKUP(I1756,PGStock[],3,FALSE)</f>
        <v>#N/A</v>
      </c>
      <c r="M1756" s="62" t="e">
        <f>VLOOKUP(I1756,PGStock[],6,FALSE)</f>
        <v>#N/A</v>
      </c>
      <c r="N1756" s="62" t="e">
        <f>+Table8[[#This Row],[SalesBot]]*Table8[[#This Row],[Bonus]]</f>
        <v>#N/A</v>
      </c>
    </row>
    <row r="1757" spans="1:14" ht="23.25" customHeight="1" x14ac:dyDescent="0.25">
      <c r="A1757" s="59">
        <f t="shared" si="189"/>
        <v>1900</v>
      </c>
      <c r="B1757" s="59">
        <f t="shared" si="190"/>
        <v>1</v>
      </c>
      <c r="C1757" s="60"/>
      <c r="D1757" s="61"/>
      <c r="F1757" s="23" t="e">
        <f>VLOOKUP(E1757,Customers[],2,FALSE)</f>
        <v>#N/A</v>
      </c>
      <c r="G1757" s="23" t="e">
        <f>VLOOKUP(E1757,Customers[],3,FALSE)</f>
        <v>#N/A</v>
      </c>
      <c r="H1757" s="23" t="e">
        <f>VLOOKUP(E1757,Customers[],4,FALSE)</f>
        <v>#N/A</v>
      </c>
      <c r="J1757" s="29" t="e">
        <f>VLOOKUP(I1757,PGStock[],2,FALSE)</f>
        <v>#N/A</v>
      </c>
      <c r="K1757" s="30" t="e">
        <f>VLOOKUP(I1757,PGStock[],3,FALSE)</f>
        <v>#N/A</v>
      </c>
      <c r="M1757" s="62" t="e">
        <f>VLOOKUP(I1757,PGStock[],6,FALSE)</f>
        <v>#N/A</v>
      </c>
      <c r="N1757" s="62" t="e">
        <f>+Table8[[#This Row],[SalesBot]]*Table8[[#This Row],[Bonus]]</f>
        <v>#N/A</v>
      </c>
    </row>
    <row r="1758" spans="1:14" ht="23.25" customHeight="1" x14ac:dyDescent="0.25">
      <c r="A1758" s="59">
        <f t="shared" si="189"/>
        <v>1900</v>
      </c>
      <c r="B1758" s="59">
        <f t="shared" si="190"/>
        <v>1</v>
      </c>
      <c r="C1758" s="60"/>
      <c r="D1758" s="61"/>
      <c r="F1758" s="23" t="e">
        <f>VLOOKUP(E1758,Customers[],2,FALSE)</f>
        <v>#N/A</v>
      </c>
      <c r="G1758" s="23" t="e">
        <f>VLOOKUP(E1758,Customers[],3,FALSE)</f>
        <v>#N/A</v>
      </c>
      <c r="H1758" s="23" t="e">
        <f>VLOOKUP(E1758,Customers[],4,FALSE)</f>
        <v>#N/A</v>
      </c>
      <c r="J1758" s="29" t="e">
        <f>VLOOKUP(I1758,PGStock[],2,FALSE)</f>
        <v>#N/A</v>
      </c>
      <c r="K1758" s="30" t="e">
        <f>VLOOKUP(I1758,PGStock[],3,FALSE)</f>
        <v>#N/A</v>
      </c>
      <c r="M1758" s="62" t="e">
        <f>VLOOKUP(I1758,PGStock[],6,FALSE)</f>
        <v>#N/A</v>
      </c>
      <c r="N1758" s="62" t="e">
        <f>+Table8[[#This Row],[SalesBot]]*Table8[[#This Row],[Bonus]]</f>
        <v>#N/A</v>
      </c>
    </row>
    <row r="1759" spans="1:14" ht="23.25" customHeight="1" x14ac:dyDescent="0.25">
      <c r="A1759" s="59">
        <f t="shared" si="189"/>
        <v>1900</v>
      </c>
      <c r="B1759" s="59">
        <f t="shared" si="190"/>
        <v>1</v>
      </c>
      <c r="C1759" s="60"/>
      <c r="D1759" s="61"/>
      <c r="F1759" s="23" t="e">
        <f>VLOOKUP(E1759,Customers[],2,FALSE)</f>
        <v>#N/A</v>
      </c>
      <c r="G1759" s="23" t="e">
        <f>VLOOKUP(E1759,Customers[],3,FALSE)</f>
        <v>#N/A</v>
      </c>
      <c r="H1759" s="23" t="e">
        <f>VLOOKUP(E1759,Customers[],4,FALSE)</f>
        <v>#N/A</v>
      </c>
      <c r="J1759" s="29" t="e">
        <f>VLOOKUP(I1759,PGStock[],2,FALSE)</f>
        <v>#N/A</v>
      </c>
      <c r="K1759" s="30" t="e">
        <f>VLOOKUP(I1759,PGStock[],3,FALSE)</f>
        <v>#N/A</v>
      </c>
      <c r="M1759" s="62" t="e">
        <f>VLOOKUP(I1759,PGStock[],6,FALSE)</f>
        <v>#N/A</v>
      </c>
      <c r="N1759" s="62" t="e">
        <f>+Table8[[#This Row],[SalesBot]]*Table8[[#This Row],[Bonus]]</f>
        <v>#N/A</v>
      </c>
    </row>
    <row r="1760" spans="1:14" ht="23.25" customHeight="1" x14ac:dyDescent="0.25">
      <c r="A1760" s="59">
        <f t="shared" si="189"/>
        <v>1900</v>
      </c>
      <c r="B1760" s="59">
        <f t="shared" si="190"/>
        <v>1</v>
      </c>
      <c r="C1760" s="60"/>
      <c r="D1760" s="61"/>
      <c r="F1760" s="23" t="e">
        <f>VLOOKUP(E1760,Customers[],2,FALSE)</f>
        <v>#N/A</v>
      </c>
      <c r="G1760" s="23" t="e">
        <f>VLOOKUP(E1760,Customers[],3,FALSE)</f>
        <v>#N/A</v>
      </c>
      <c r="H1760" s="23" t="e">
        <f>VLOOKUP(E1760,Customers[],4,FALSE)</f>
        <v>#N/A</v>
      </c>
      <c r="J1760" s="29" t="e">
        <f>VLOOKUP(I1760,PGStock[],2,FALSE)</f>
        <v>#N/A</v>
      </c>
      <c r="K1760" s="30" t="e">
        <f>VLOOKUP(I1760,PGStock[],3,FALSE)</f>
        <v>#N/A</v>
      </c>
      <c r="M1760" s="62" t="e">
        <f>VLOOKUP(I1760,PGStock[],6,FALSE)</f>
        <v>#N/A</v>
      </c>
      <c r="N1760" s="62" t="e">
        <f>+Table8[[#This Row],[SalesBot]]*Table8[[#This Row],[Bonus]]</f>
        <v>#N/A</v>
      </c>
    </row>
    <row r="1761" spans="1:14" ht="23.25" customHeight="1" x14ac:dyDescent="0.25">
      <c r="A1761" s="59">
        <f t="shared" si="189"/>
        <v>1900</v>
      </c>
      <c r="B1761" s="59">
        <f t="shared" si="190"/>
        <v>1</v>
      </c>
      <c r="C1761" s="60"/>
      <c r="D1761" s="61"/>
      <c r="F1761" s="23" t="e">
        <f>VLOOKUP(E1761,Customers[],2,FALSE)</f>
        <v>#N/A</v>
      </c>
      <c r="G1761" s="23" t="e">
        <f>VLOOKUP(E1761,Customers[],3,FALSE)</f>
        <v>#N/A</v>
      </c>
      <c r="H1761" s="23" t="e">
        <f>VLOOKUP(E1761,Customers[],4,FALSE)</f>
        <v>#N/A</v>
      </c>
      <c r="J1761" s="29" t="e">
        <f>VLOOKUP(I1761,PGStock[],2,FALSE)</f>
        <v>#N/A</v>
      </c>
      <c r="K1761" s="30" t="e">
        <f>VLOOKUP(I1761,PGStock[],3,FALSE)</f>
        <v>#N/A</v>
      </c>
      <c r="M1761" s="62" t="e">
        <f>VLOOKUP(I1761,PGStock[],6,FALSE)</f>
        <v>#N/A</v>
      </c>
      <c r="N1761" s="62" t="e">
        <f>+Table8[[#This Row],[SalesBot]]*Table8[[#This Row],[Bonus]]</f>
        <v>#N/A</v>
      </c>
    </row>
    <row r="1762" spans="1:14" ht="23.25" customHeight="1" x14ac:dyDescent="0.25">
      <c r="A1762" s="59">
        <f t="shared" si="189"/>
        <v>1900</v>
      </c>
      <c r="B1762" s="59">
        <f t="shared" si="190"/>
        <v>1</v>
      </c>
      <c r="C1762" s="60"/>
      <c r="D1762" s="61"/>
      <c r="F1762" s="23" t="e">
        <f>VLOOKUP(E1762,Customers[],2,FALSE)</f>
        <v>#N/A</v>
      </c>
      <c r="G1762" s="23" t="e">
        <f>VLOOKUP(E1762,Customers[],3,FALSE)</f>
        <v>#N/A</v>
      </c>
      <c r="H1762" s="23" t="e">
        <f>VLOOKUP(E1762,Customers[],4,FALSE)</f>
        <v>#N/A</v>
      </c>
      <c r="J1762" s="29" t="e">
        <f>VLOOKUP(I1762,PGStock[],2,FALSE)</f>
        <v>#N/A</v>
      </c>
      <c r="K1762" s="30" t="e">
        <f>VLOOKUP(I1762,PGStock[],3,FALSE)</f>
        <v>#N/A</v>
      </c>
      <c r="M1762" s="62" t="e">
        <f>VLOOKUP(I1762,PGStock[],6,FALSE)</f>
        <v>#N/A</v>
      </c>
      <c r="N1762" s="62" t="e">
        <f>+Table8[[#This Row],[SalesBot]]*Table8[[#This Row],[Bonus]]</f>
        <v>#N/A</v>
      </c>
    </row>
    <row r="1763" spans="1:14" ht="23.25" customHeight="1" x14ac:dyDescent="0.25">
      <c r="A1763" s="59">
        <f t="shared" si="183"/>
        <v>1900</v>
      </c>
      <c r="B1763" s="59">
        <f t="shared" si="184"/>
        <v>1</v>
      </c>
      <c r="C1763" s="60"/>
      <c r="D1763" s="61"/>
      <c r="F1763" s="23" t="e">
        <f>VLOOKUP(E1763,Customers[],2,FALSE)</f>
        <v>#N/A</v>
      </c>
      <c r="G1763" s="23" t="e">
        <f>VLOOKUP(E1763,Customers[],3,FALSE)</f>
        <v>#N/A</v>
      </c>
      <c r="H1763" s="23" t="e">
        <f>VLOOKUP(E1763,Customers[],4,FALSE)</f>
        <v>#N/A</v>
      </c>
      <c r="J1763" s="29" t="e">
        <f>VLOOKUP(I1763,PGStock[],2,FALSE)</f>
        <v>#N/A</v>
      </c>
      <c r="K1763" s="30" t="e">
        <f>VLOOKUP(I1763,PGStock[],3,FALSE)</f>
        <v>#N/A</v>
      </c>
      <c r="M1763" s="62" t="e">
        <f>VLOOKUP(I1763,PGStock[],6,FALSE)</f>
        <v>#N/A</v>
      </c>
      <c r="N1763" s="62" t="e">
        <f>+Table8[[#This Row],[SalesBot]]*Table8[[#This Row],[Bonus]]</f>
        <v>#N/A</v>
      </c>
    </row>
    <row r="1764" spans="1:14" ht="23.25" customHeight="1" x14ac:dyDescent="0.25">
      <c r="A1764" s="26">
        <f t="shared" ref="A1764:A1773" si="191">YEAR(C1764)</f>
        <v>1900</v>
      </c>
      <c r="B1764" s="26">
        <f t="shared" ref="B1764:B1773" si="192">MONTH(C1764)</f>
        <v>1</v>
      </c>
      <c r="C1764" s="60"/>
      <c r="D1764" s="61"/>
      <c r="F1764" s="23" t="e">
        <f>VLOOKUP(E1764,Customers[],2,FALSE)</f>
        <v>#N/A</v>
      </c>
      <c r="G1764" s="23" t="e">
        <f>VLOOKUP(E1764,Customers[],3,FALSE)</f>
        <v>#N/A</v>
      </c>
      <c r="H1764" s="23" t="e">
        <f>VLOOKUP(E1764,Customers[],4,FALSE)</f>
        <v>#N/A</v>
      </c>
      <c r="J1764" s="29" t="e">
        <f>VLOOKUP(I1764,PGStock[],2,FALSE)</f>
        <v>#N/A</v>
      </c>
      <c r="K1764" s="30" t="e">
        <f>VLOOKUP(I1764,PGStock[],3,FALSE)</f>
        <v>#N/A</v>
      </c>
      <c r="M1764" s="31" t="e">
        <f>VLOOKUP(I1764,PGStock[],6,FALSE)</f>
        <v>#N/A</v>
      </c>
      <c r="N1764" s="31" t="e">
        <f>+Table8[[#This Row],[SalesBot]]*Table8[[#This Row],[Bonus]]</f>
        <v>#N/A</v>
      </c>
    </row>
    <row r="1765" spans="1:14" ht="23.25" customHeight="1" x14ac:dyDescent="0.25">
      <c r="A1765" s="26">
        <f t="shared" si="191"/>
        <v>1900</v>
      </c>
      <c r="B1765" s="26">
        <f t="shared" si="192"/>
        <v>1</v>
      </c>
      <c r="C1765" s="20"/>
      <c r="D1765" s="21"/>
      <c r="F1765" s="23" t="e">
        <f>VLOOKUP(E1765,Customers[],2,FALSE)</f>
        <v>#N/A</v>
      </c>
      <c r="G1765" s="23" t="e">
        <f>VLOOKUP(E1765,Customers[],3,FALSE)</f>
        <v>#N/A</v>
      </c>
      <c r="H1765" s="23" t="e">
        <f>VLOOKUP(E1765,Customers[],4,FALSE)</f>
        <v>#N/A</v>
      </c>
      <c r="J1765" s="29" t="e">
        <f>VLOOKUP(I1765,PGStock[],2,FALSE)</f>
        <v>#N/A</v>
      </c>
      <c r="K1765" s="30" t="e">
        <f>VLOOKUP(I1765,PGStock[],3,FALSE)</f>
        <v>#N/A</v>
      </c>
      <c r="M1765" s="31" t="e">
        <f>VLOOKUP(I1765,PGStock[],6,FALSE)</f>
        <v>#N/A</v>
      </c>
      <c r="N1765" s="31" t="e">
        <f>+Table8[[#This Row],[SalesBot]]*Table8[[#This Row],[Bonus]]</f>
        <v>#N/A</v>
      </c>
    </row>
    <row r="1766" spans="1:14" ht="23.25" customHeight="1" x14ac:dyDescent="0.25">
      <c r="A1766" s="26">
        <f t="shared" si="191"/>
        <v>1900</v>
      </c>
      <c r="B1766" s="26">
        <f t="shared" si="192"/>
        <v>1</v>
      </c>
      <c r="C1766" s="20"/>
      <c r="D1766" s="21"/>
      <c r="F1766" s="23" t="e">
        <f>VLOOKUP(E1766,Customers[],2,FALSE)</f>
        <v>#N/A</v>
      </c>
      <c r="G1766" s="23" t="e">
        <f>VLOOKUP(E1766,Customers[],3,FALSE)</f>
        <v>#N/A</v>
      </c>
      <c r="H1766" s="23" t="e">
        <f>VLOOKUP(E1766,Customers[],4,FALSE)</f>
        <v>#N/A</v>
      </c>
      <c r="J1766" s="29" t="e">
        <f>VLOOKUP(I1766,PGStock[],2,FALSE)</f>
        <v>#N/A</v>
      </c>
      <c r="K1766" s="30" t="e">
        <f>VLOOKUP(I1766,PGStock[],3,FALSE)</f>
        <v>#N/A</v>
      </c>
      <c r="M1766" s="31" t="e">
        <f>VLOOKUP(I1766,PGStock[],6,FALSE)</f>
        <v>#N/A</v>
      </c>
      <c r="N1766" s="31" t="e">
        <f>+Table8[[#This Row],[SalesBot]]*Table8[[#This Row],[Bonus]]</f>
        <v>#N/A</v>
      </c>
    </row>
    <row r="1767" spans="1:14" ht="23.25" customHeight="1" x14ac:dyDescent="0.25">
      <c r="A1767" s="26">
        <f t="shared" si="191"/>
        <v>1900</v>
      </c>
      <c r="B1767" s="26">
        <f t="shared" si="192"/>
        <v>1</v>
      </c>
      <c r="C1767" s="20"/>
      <c r="D1767" s="61"/>
      <c r="F1767" s="23" t="e">
        <f>VLOOKUP(E1767,Customers[],2,FALSE)</f>
        <v>#N/A</v>
      </c>
      <c r="G1767" s="23" t="e">
        <f>VLOOKUP(E1767,Customers[],3,FALSE)</f>
        <v>#N/A</v>
      </c>
      <c r="H1767" s="23" t="e">
        <f>VLOOKUP(E1767,Customers[],4,FALSE)</f>
        <v>#N/A</v>
      </c>
      <c r="J1767" s="29" t="e">
        <f>VLOOKUP(I1767,PGStock[],2,FALSE)</f>
        <v>#N/A</v>
      </c>
      <c r="K1767" s="30" t="e">
        <f>VLOOKUP(I1767,PGStock[],3,FALSE)</f>
        <v>#N/A</v>
      </c>
      <c r="M1767" s="31" t="e">
        <f>VLOOKUP(I1767,PGStock[],6,FALSE)</f>
        <v>#N/A</v>
      </c>
      <c r="N1767" s="31" t="e">
        <f>+Table8[[#This Row],[SalesBot]]*Table8[[#This Row],[Bonus]]</f>
        <v>#N/A</v>
      </c>
    </row>
    <row r="1768" spans="1:14" ht="23.25" customHeight="1" x14ac:dyDescent="0.25">
      <c r="A1768" s="26">
        <f t="shared" si="191"/>
        <v>1900</v>
      </c>
      <c r="B1768" s="26">
        <f t="shared" si="192"/>
        <v>1</v>
      </c>
      <c r="C1768" s="20"/>
      <c r="D1768" s="61"/>
      <c r="F1768" s="23" t="e">
        <f>VLOOKUP(E1768,Customers[],2,FALSE)</f>
        <v>#N/A</v>
      </c>
      <c r="G1768" s="23" t="e">
        <f>VLOOKUP(E1768,Customers[],3,FALSE)</f>
        <v>#N/A</v>
      </c>
      <c r="H1768" s="23" t="e">
        <f>VLOOKUP(E1768,Customers[],4,FALSE)</f>
        <v>#N/A</v>
      </c>
      <c r="J1768" s="29" t="e">
        <f>VLOOKUP(I1768,PGStock[],2,FALSE)</f>
        <v>#N/A</v>
      </c>
      <c r="K1768" s="30" t="e">
        <f>VLOOKUP(I1768,PGStock[],3,FALSE)</f>
        <v>#N/A</v>
      </c>
      <c r="M1768" s="31" t="e">
        <f>VLOOKUP(I1768,PGStock[],6,FALSE)</f>
        <v>#N/A</v>
      </c>
      <c r="N1768" s="31" t="e">
        <f>+Table8[[#This Row],[SalesBot]]*Table8[[#This Row],[Bonus]]</f>
        <v>#N/A</v>
      </c>
    </row>
    <row r="1769" spans="1:14" ht="23.25" customHeight="1" x14ac:dyDescent="0.25">
      <c r="A1769" s="26">
        <f t="shared" si="191"/>
        <v>1900</v>
      </c>
      <c r="B1769" s="26">
        <f t="shared" si="192"/>
        <v>1</v>
      </c>
      <c r="C1769" s="20"/>
      <c r="D1769" s="21"/>
      <c r="F1769" s="23" t="e">
        <f>VLOOKUP(E1769,Customers[],2,FALSE)</f>
        <v>#N/A</v>
      </c>
      <c r="G1769" s="23" t="e">
        <f>VLOOKUP(E1769,Customers[],3,FALSE)</f>
        <v>#N/A</v>
      </c>
      <c r="H1769" s="23" t="e">
        <f>VLOOKUP(E1769,Customers[],4,FALSE)</f>
        <v>#N/A</v>
      </c>
      <c r="J1769" s="29" t="e">
        <f>VLOOKUP(I1769,PGStock[],2,FALSE)</f>
        <v>#N/A</v>
      </c>
      <c r="K1769" s="30" t="e">
        <f>VLOOKUP(I1769,PGStock[],3,FALSE)</f>
        <v>#N/A</v>
      </c>
      <c r="M1769" s="31" t="e">
        <f>VLOOKUP(I1769,PGStock[],6,FALSE)</f>
        <v>#N/A</v>
      </c>
      <c r="N1769" s="31" t="e">
        <f>+Table8[[#This Row],[SalesBot]]*Table8[[#This Row],[Bonus]]</f>
        <v>#N/A</v>
      </c>
    </row>
    <row r="1770" spans="1:14" ht="23.25" customHeight="1" x14ac:dyDescent="0.25">
      <c r="A1770" s="26">
        <f t="shared" si="191"/>
        <v>1900</v>
      </c>
      <c r="B1770" s="26">
        <f t="shared" si="192"/>
        <v>1</v>
      </c>
      <c r="C1770" s="20"/>
      <c r="D1770" s="61"/>
      <c r="F1770" s="23" t="e">
        <f>VLOOKUP(E1770,Customers[],2,FALSE)</f>
        <v>#N/A</v>
      </c>
      <c r="G1770" s="23" t="e">
        <f>VLOOKUP(E1770,Customers[],3,FALSE)</f>
        <v>#N/A</v>
      </c>
      <c r="H1770" s="23" t="e">
        <f>VLOOKUP(E1770,Customers[],4,FALSE)</f>
        <v>#N/A</v>
      </c>
      <c r="J1770" s="29" t="e">
        <f>VLOOKUP(I1770,PGStock[],2,FALSE)</f>
        <v>#N/A</v>
      </c>
      <c r="K1770" s="30" t="e">
        <f>VLOOKUP(I1770,PGStock[],3,FALSE)</f>
        <v>#N/A</v>
      </c>
      <c r="M1770" s="31" t="e">
        <f>VLOOKUP(I1770,PGStock[],6,FALSE)</f>
        <v>#N/A</v>
      </c>
      <c r="N1770" s="31" t="e">
        <f>+Table8[[#This Row],[SalesBot]]*Table8[[#This Row],[Bonus]]</f>
        <v>#N/A</v>
      </c>
    </row>
    <row r="1771" spans="1:14" ht="23.25" customHeight="1" x14ac:dyDescent="0.25">
      <c r="A1771" s="26">
        <f t="shared" si="191"/>
        <v>1900</v>
      </c>
      <c r="B1771" s="26">
        <f t="shared" si="192"/>
        <v>1</v>
      </c>
      <c r="C1771" s="20"/>
      <c r="D1771" s="61"/>
      <c r="F1771" s="23" t="e">
        <f>VLOOKUP(E1771,Customers[],2,FALSE)</f>
        <v>#N/A</v>
      </c>
      <c r="G1771" s="23" t="e">
        <f>VLOOKUP(E1771,Customers[],3,FALSE)</f>
        <v>#N/A</v>
      </c>
      <c r="H1771" s="23" t="e">
        <f>VLOOKUP(E1771,Customers[],4,FALSE)</f>
        <v>#N/A</v>
      </c>
      <c r="J1771" s="29" t="e">
        <f>VLOOKUP(I1771,PGStock[],2,FALSE)</f>
        <v>#N/A</v>
      </c>
      <c r="K1771" s="30" t="e">
        <f>VLOOKUP(I1771,PGStock[],3,FALSE)</f>
        <v>#N/A</v>
      </c>
      <c r="M1771" s="31" t="e">
        <f>VLOOKUP(I1771,PGStock[],6,FALSE)</f>
        <v>#N/A</v>
      </c>
      <c r="N1771" s="31" t="e">
        <f>+Table8[[#This Row],[SalesBot]]*Table8[[#This Row],[Bonus]]</f>
        <v>#N/A</v>
      </c>
    </row>
    <row r="1772" spans="1:14" ht="23.25" customHeight="1" x14ac:dyDescent="0.25">
      <c r="A1772" s="26">
        <f t="shared" si="191"/>
        <v>1900</v>
      </c>
      <c r="B1772" s="26">
        <f t="shared" si="192"/>
        <v>1</v>
      </c>
      <c r="C1772" s="20"/>
      <c r="D1772" s="61"/>
      <c r="F1772" s="23" t="e">
        <f>VLOOKUP(E1772,Customers[],2,FALSE)</f>
        <v>#N/A</v>
      </c>
      <c r="G1772" s="23" t="e">
        <f>VLOOKUP(E1772,Customers[],3,FALSE)</f>
        <v>#N/A</v>
      </c>
      <c r="H1772" s="23" t="e">
        <f>VLOOKUP(E1772,Customers[],4,FALSE)</f>
        <v>#N/A</v>
      </c>
      <c r="J1772" s="29" t="e">
        <f>VLOOKUP(I1772,PGStock[],2,FALSE)</f>
        <v>#N/A</v>
      </c>
      <c r="K1772" s="30" t="e">
        <f>VLOOKUP(I1772,PGStock[],3,FALSE)</f>
        <v>#N/A</v>
      </c>
      <c r="M1772" s="31" t="e">
        <f>VLOOKUP(I1772,PGStock[],6,FALSE)</f>
        <v>#N/A</v>
      </c>
      <c r="N1772" s="31" t="e">
        <f>+Table8[[#This Row],[SalesBot]]*Table8[[#This Row],[Bonus]]</f>
        <v>#N/A</v>
      </c>
    </row>
    <row r="1773" spans="1:14" ht="23.25" customHeight="1" x14ac:dyDescent="0.25">
      <c r="A1773" s="26">
        <f t="shared" si="191"/>
        <v>1900</v>
      </c>
      <c r="B1773" s="26">
        <f t="shared" si="192"/>
        <v>1</v>
      </c>
      <c r="C1773" s="20"/>
      <c r="D1773" s="21"/>
      <c r="F1773" s="23" t="e">
        <f>VLOOKUP(E1773,Customers[],2,FALSE)</f>
        <v>#N/A</v>
      </c>
      <c r="G1773" s="23" t="e">
        <f>VLOOKUP(E1773,Customers[],3,FALSE)</f>
        <v>#N/A</v>
      </c>
      <c r="H1773" s="23" t="e">
        <f>VLOOKUP(E1773,Customers[],4,FALSE)</f>
        <v>#N/A</v>
      </c>
      <c r="J1773" s="29" t="e">
        <f>VLOOKUP(I1773,PGStock[],2,FALSE)</f>
        <v>#N/A</v>
      </c>
      <c r="K1773" s="30" t="e">
        <f>VLOOKUP(I1773,PGStock[],3,FALSE)</f>
        <v>#N/A</v>
      </c>
      <c r="M1773" s="31" t="e">
        <f>VLOOKUP(I1773,PGStock[],6,FALSE)</f>
        <v>#N/A</v>
      </c>
      <c r="N1773" s="31" t="e">
        <f>+Table8[[#This Row],[SalesBot]]*Table8[[#This Row],[Bonus]]</f>
        <v>#N/A</v>
      </c>
    </row>
    <row r="1774" spans="1:14" ht="23.25" customHeight="1" x14ac:dyDescent="0.25">
      <c r="A1774" s="26">
        <f t="shared" ref="A1774:A1783" si="193">YEAR(C1774)</f>
        <v>1900</v>
      </c>
      <c r="B1774" s="26">
        <f t="shared" ref="B1774:B1783" si="194">MONTH(C1774)</f>
        <v>1</v>
      </c>
      <c r="C1774" s="20"/>
      <c r="D1774" s="21"/>
      <c r="F1774" s="23" t="e">
        <f>VLOOKUP(E1774,Customers[],2,FALSE)</f>
        <v>#N/A</v>
      </c>
      <c r="G1774" s="23" t="e">
        <f>VLOOKUP(E1774,Customers[],3,FALSE)</f>
        <v>#N/A</v>
      </c>
      <c r="H1774" s="23" t="e">
        <f>VLOOKUP(E1774,Customers[],4,FALSE)</f>
        <v>#N/A</v>
      </c>
      <c r="J1774" s="29" t="e">
        <f>VLOOKUP(I1774,PGStock[],2,FALSE)</f>
        <v>#N/A</v>
      </c>
      <c r="K1774" s="30" t="e">
        <f>VLOOKUP(I1774,PGStock[],3,FALSE)</f>
        <v>#N/A</v>
      </c>
      <c r="M1774" s="31" t="e">
        <f>VLOOKUP(I1774,PGStock[],6,FALSE)</f>
        <v>#N/A</v>
      </c>
      <c r="N1774" s="31" t="e">
        <f>+Table8[[#This Row],[SalesBot]]*Table8[[#This Row],[Bonus]]</f>
        <v>#N/A</v>
      </c>
    </row>
    <row r="1775" spans="1:14" ht="23.25" customHeight="1" x14ac:dyDescent="0.25">
      <c r="A1775" s="26">
        <f t="shared" si="193"/>
        <v>1900</v>
      </c>
      <c r="B1775" s="26">
        <f t="shared" si="194"/>
        <v>1</v>
      </c>
      <c r="C1775" s="20"/>
      <c r="D1775" s="21"/>
      <c r="F1775" s="23" t="e">
        <f>VLOOKUP(E1775,Customers[],2,FALSE)</f>
        <v>#N/A</v>
      </c>
      <c r="G1775" s="23" t="e">
        <f>VLOOKUP(E1775,Customers[],3,FALSE)</f>
        <v>#N/A</v>
      </c>
      <c r="H1775" s="23" t="e">
        <f>VLOOKUP(E1775,Customers[],4,FALSE)</f>
        <v>#N/A</v>
      </c>
      <c r="J1775" s="29" t="e">
        <f>VLOOKUP(I1775,PGStock[],2,FALSE)</f>
        <v>#N/A</v>
      </c>
      <c r="K1775" s="30" t="e">
        <f>VLOOKUP(I1775,PGStock[],3,FALSE)</f>
        <v>#N/A</v>
      </c>
      <c r="M1775" s="31" t="e">
        <f>VLOOKUP(I1775,PGStock[],6,FALSE)</f>
        <v>#N/A</v>
      </c>
      <c r="N1775" s="31" t="e">
        <f>+Table8[[#This Row],[SalesBot]]*Table8[[#This Row],[Bonus]]</f>
        <v>#N/A</v>
      </c>
    </row>
    <row r="1776" spans="1:14" ht="23.25" customHeight="1" x14ac:dyDescent="0.25">
      <c r="A1776" s="26">
        <f t="shared" si="193"/>
        <v>1900</v>
      </c>
      <c r="B1776" s="26">
        <f t="shared" si="194"/>
        <v>1</v>
      </c>
      <c r="C1776" s="20"/>
      <c r="D1776" s="61"/>
      <c r="F1776" s="23" t="e">
        <f>VLOOKUP(E1776,Customers[],2,FALSE)</f>
        <v>#N/A</v>
      </c>
      <c r="G1776" s="23" t="e">
        <f>VLOOKUP(E1776,Customers[],3,FALSE)</f>
        <v>#N/A</v>
      </c>
      <c r="H1776" s="23" t="e">
        <f>VLOOKUP(E1776,Customers[],4,FALSE)</f>
        <v>#N/A</v>
      </c>
      <c r="J1776" s="29" t="e">
        <f>VLOOKUP(I1776,PGStock[],2,FALSE)</f>
        <v>#N/A</v>
      </c>
      <c r="K1776" s="30" t="e">
        <f>VLOOKUP(I1776,PGStock[],3,FALSE)</f>
        <v>#N/A</v>
      </c>
      <c r="M1776" s="31" t="e">
        <f>VLOOKUP(I1776,PGStock[],6,FALSE)</f>
        <v>#N/A</v>
      </c>
      <c r="N1776" s="31" t="e">
        <f>+Table8[[#This Row],[SalesBot]]*Table8[[#This Row],[Bonus]]</f>
        <v>#N/A</v>
      </c>
    </row>
    <row r="1777" spans="1:14" ht="23.25" customHeight="1" x14ac:dyDescent="0.25">
      <c r="A1777" s="26">
        <f t="shared" si="193"/>
        <v>1900</v>
      </c>
      <c r="B1777" s="26">
        <f t="shared" si="194"/>
        <v>1</v>
      </c>
      <c r="C1777" s="20"/>
      <c r="D1777" s="21"/>
      <c r="F1777" s="23" t="e">
        <f>VLOOKUP(E1777,Customers[],2,FALSE)</f>
        <v>#N/A</v>
      </c>
      <c r="G1777" s="23" t="e">
        <f>VLOOKUP(E1777,Customers[],3,FALSE)</f>
        <v>#N/A</v>
      </c>
      <c r="H1777" s="23" t="e">
        <f>VLOOKUP(E1777,Customers[],4,FALSE)</f>
        <v>#N/A</v>
      </c>
      <c r="J1777" s="29" t="e">
        <f>VLOOKUP(I1777,PGStock[],2,FALSE)</f>
        <v>#N/A</v>
      </c>
      <c r="K1777" s="30" t="e">
        <f>VLOOKUP(I1777,PGStock[],3,FALSE)</f>
        <v>#N/A</v>
      </c>
      <c r="M1777" s="31" t="e">
        <f>VLOOKUP(I1777,PGStock[],6,FALSE)</f>
        <v>#N/A</v>
      </c>
      <c r="N1777" s="31" t="e">
        <f>+Table8[[#This Row],[SalesBot]]*Table8[[#This Row],[Bonus]]</f>
        <v>#N/A</v>
      </c>
    </row>
    <row r="1778" spans="1:14" ht="23.25" customHeight="1" x14ac:dyDescent="0.25">
      <c r="A1778" s="26">
        <f t="shared" si="193"/>
        <v>1900</v>
      </c>
      <c r="B1778" s="26">
        <f t="shared" si="194"/>
        <v>1</v>
      </c>
      <c r="C1778" s="20"/>
      <c r="D1778" s="21"/>
      <c r="F1778" s="23" t="e">
        <f>VLOOKUP(E1778,Customers[],2,FALSE)</f>
        <v>#N/A</v>
      </c>
      <c r="G1778" s="23" t="e">
        <f>VLOOKUP(E1778,Customers[],3,FALSE)</f>
        <v>#N/A</v>
      </c>
      <c r="H1778" s="23" t="e">
        <f>VLOOKUP(E1778,Customers[],4,FALSE)</f>
        <v>#N/A</v>
      </c>
      <c r="J1778" s="29" t="e">
        <f>VLOOKUP(I1778,PGStock[],2,FALSE)</f>
        <v>#N/A</v>
      </c>
      <c r="K1778" s="30" t="e">
        <f>VLOOKUP(I1778,PGStock[],3,FALSE)</f>
        <v>#N/A</v>
      </c>
      <c r="M1778" s="31" t="e">
        <f>VLOOKUP(I1778,PGStock[],6,FALSE)</f>
        <v>#N/A</v>
      </c>
      <c r="N1778" s="31" t="e">
        <f>+Table8[[#This Row],[SalesBot]]*Table8[[#This Row],[Bonus]]</f>
        <v>#N/A</v>
      </c>
    </row>
    <row r="1779" spans="1:14" ht="23.25" customHeight="1" x14ac:dyDescent="0.25">
      <c r="A1779" s="26">
        <f t="shared" si="193"/>
        <v>1900</v>
      </c>
      <c r="B1779" s="26">
        <f t="shared" si="194"/>
        <v>1</v>
      </c>
      <c r="C1779" s="20"/>
      <c r="D1779" s="61"/>
      <c r="F1779" s="23" t="e">
        <f>VLOOKUP(E1779,Customers[],2,FALSE)</f>
        <v>#N/A</v>
      </c>
      <c r="G1779" s="23" t="e">
        <f>VLOOKUP(E1779,Customers[],3,FALSE)</f>
        <v>#N/A</v>
      </c>
      <c r="H1779" s="23" t="e">
        <f>VLOOKUP(E1779,Customers[],4,FALSE)</f>
        <v>#N/A</v>
      </c>
      <c r="J1779" s="29" t="e">
        <f>VLOOKUP(I1779,PGStock[],2,FALSE)</f>
        <v>#N/A</v>
      </c>
      <c r="K1779" s="30" t="e">
        <f>VLOOKUP(I1779,PGStock[],3,FALSE)</f>
        <v>#N/A</v>
      </c>
      <c r="M1779" s="31" t="e">
        <f>VLOOKUP(I1779,PGStock[],6,FALSE)</f>
        <v>#N/A</v>
      </c>
      <c r="N1779" s="31" t="e">
        <f>+Table8[[#This Row],[SalesBot]]*Table8[[#This Row],[Bonus]]</f>
        <v>#N/A</v>
      </c>
    </row>
    <row r="1780" spans="1:14" ht="23.25" customHeight="1" x14ac:dyDescent="0.25">
      <c r="A1780" s="26">
        <f t="shared" si="193"/>
        <v>1900</v>
      </c>
      <c r="B1780" s="26">
        <f t="shared" si="194"/>
        <v>1</v>
      </c>
      <c r="C1780" s="20"/>
      <c r="D1780" s="61"/>
      <c r="F1780" s="23" t="e">
        <f>VLOOKUP(E1780,Customers[],2,FALSE)</f>
        <v>#N/A</v>
      </c>
      <c r="G1780" s="23" t="e">
        <f>VLOOKUP(E1780,Customers[],3,FALSE)</f>
        <v>#N/A</v>
      </c>
      <c r="H1780" s="23" t="e">
        <f>VLOOKUP(E1780,Customers[],4,FALSE)</f>
        <v>#N/A</v>
      </c>
      <c r="J1780" s="29" t="e">
        <f>VLOOKUP(I1780,PGStock[],2,FALSE)</f>
        <v>#N/A</v>
      </c>
      <c r="K1780" s="30" t="e">
        <f>VLOOKUP(I1780,PGStock[],3,FALSE)</f>
        <v>#N/A</v>
      </c>
      <c r="M1780" s="31" t="e">
        <f>VLOOKUP(I1780,PGStock[],6,FALSE)</f>
        <v>#N/A</v>
      </c>
      <c r="N1780" s="31" t="e">
        <f>+Table8[[#This Row],[SalesBot]]*Table8[[#This Row],[Bonus]]</f>
        <v>#N/A</v>
      </c>
    </row>
    <row r="1781" spans="1:14" ht="23.25" customHeight="1" x14ac:dyDescent="0.25">
      <c r="A1781" s="26">
        <f t="shared" si="193"/>
        <v>1900</v>
      </c>
      <c r="B1781" s="26">
        <f t="shared" si="194"/>
        <v>1</v>
      </c>
      <c r="C1781" s="20"/>
      <c r="D1781" s="21"/>
      <c r="F1781" s="23" t="e">
        <f>VLOOKUP(E1781,Customers[],2,FALSE)</f>
        <v>#N/A</v>
      </c>
      <c r="G1781" s="23" t="e">
        <f>VLOOKUP(E1781,Customers[],3,FALSE)</f>
        <v>#N/A</v>
      </c>
      <c r="H1781" s="23" t="e">
        <f>VLOOKUP(E1781,Customers[],4,FALSE)</f>
        <v>#N/A</v>
      </c>
      <c r="J1781" s="29" t="e">
        <f>VLOOKUP(I1781,PGStock[],2,FALSE)</f>
        <v>#N/A</v>
      </c>
      <c r="K1781" s="30" t="e">
        <f>VLOOKUP(I1781,PGStock[],3,FALSE)</f>
        <v>#N/A</v>
      </c>
      <c r="M1781" s="31" t="e">
        <f>VLOOKUP(I1781,PGStock[],6,FALSE)</f>
        <v>#N/A</v>
      </c>
      <c r="N1781" s="31" t="e">
        <f>+Table8[[#This Row],[SalesBot]]*Table8[[#This Row],[Bonus]]</f>
        <v>#N/A</v>
      </c>
    </row>
    <row r="1782" spans="1:14" ht="23.25" customHeight="1" x14ac:dyDescent="0.25">
      <c r="A1782" s="26">
        <f t="shared" si="193"/>
        <v>1900</v>
      </c>
      <c r="B1782" s="26">
        <f t="shared" si="194"/>
        <v>1</v>
      </c>
      <c r="C1782" s="20"/>
      <c r="D1782" s="21"/>
      <c r="F1782" s="23" t="e">
        <f>VLOOKUP(E1782,Customers[],2,FALSE)</f>
        <v>#N/A</v>
      </c>
      <c r="G1782" s="23" t="e">
        <f>VLOOKUP(E1782,Customers[],3,FALSE)</f>
        <v>#N/A</v>
      </c>
      <c r="H1782" s="23" t="e">
        <f>VLOOKUP(E1782,Customers[],4,FALSE)</f>
        <v>#N/A</v>
      </c>
      <c r="J1782" s="29" t="e">
        <f>VLOOKUP(I1782,PGStock[],2,FALSE)</f>
        <v>#N/A</v>
      </c>
      <c r="K1782" s="30" t="e">
        <f>VLOOKUP(I1782,PGStock[],3,FALSE)</f>
        <v>#N/A</v>
      </c>
      <c r="M1782" s="31" t="e">
        <f>VLOOKUP(I1782,PGStock[],6,FALSE)</f>
        <v>#N/A</v>
      </c>
      <c r="N1782" s="31" t="e">
        <f>+Table8[[#This Row],[SalesBot]]*Table8[[#This Row],[Bonus]]</f>
        <v>#N/A</v>
      </c>
    </row>
    <row r="1783" spans="1:14" ht="23.25" customHeight="1" x14ac:dyDescent="0.25">
      <c r="A1783" s="26">
        <f t="shared" si="193"/>
        <v>1900</v>
      </c>
      <c r="B1783" s="26">
        <f t="shared" si="194"/>
        <v>1</v>
      </c>
      <c r="C1783" s="20"/>
      <c r="D1783" s="61"/>
      <c r="F1783" s="23" t="e">
        <f>VLOOKUP(E1783,Customers[],2,FALSE)</f>
        <v>#N/A</v>
      </c>
      <c r="G1783" s="23" t="e">
        <f>VLOOKUP(E1783,Customers[],3,FALSE)</f>
        <v>#N/A</v>
      </c>
      <c r="H1783" s="23" t="e">
        <f>VLOOKUP(E1783,Customers[],4,FALSE)</f>
        <v>#N/A</v>
      </c>
      <c r="J1783" s="29" t="e">
        <f>VLOOKUP(I1783,PGStock[],2,FALSE)</f>
        <v>#N/A</v>
      </c>
      <c r="K1783" s="30" t="e">
        <f>VLOOKUP(I1783,PGStock[],3,FALSE)</f>
        <v>#N/A</v>
      </c>
      <c r="M1783" s="31" t="e">
        <f>VLOOKUP(I1783,PGStock[],6,FALSE)</f>
        <v>#N/A</v>
      </c>
      <c r="N1783" s="31" t="e">
        <f>+Table8[[#This Row],[SalesBot]]*Table8[[#This Row],[Bonus]]</f>
        <v>#N/A</v>
      </c>
    </row>
    <row r="1784" spans="1:14" ht="23.25" customHeight="1" x14ac:dyDescent="0.25">
      <c r="A1784" s="59">
        <f t="shared" si="183"/>
        <v>1900</v>
      </c>
      <c r="B1784" s="59">
        <f t="shared" si="184"/>
        <v>1</v>
      </c>
      <c r="C1784" s="20"/>
      <c r="D1784" s="61"/>
      <c r="F1784" s="23" t="e">
        <f>VLOOKUP(E1784,Customers[],2,FALSE)</f>
        <v>#N/A</v>
      </c>
      <c r="G1784" s="23" t="e">
        <f>VLOOKUP(E1784,Customers[],3,FALSE)</f>
        <v>#N/A</v>
      </c>
      <c r="H1784" s="23" t="e">
        <f>VLOOKUP(E1784,Customers[],4,FALSE)</f>
        <v>#N/A</v>
      </c>
      <c r="J1784" s="29" t="e">
        <f>VLOOKUP(I1784,PGStock[],2,FALSE)</f>
        <v>#N/A</v>
      </c>
      <c r="K1784" s="30" t="e">
        <f>VLOOKUP(I1784,PGStock[],3,FALSE)</f>
        <v>#N/A</v>
      </c>
      <c r="M1784" s="62" t="e">
        <f>VLOOKUP(I1784,PGStock[],6,FALSE)</f>
        <v>#N/A</v>
      </c>
      <c r="N1784" s="62" t="e">
        <f>+Table8[[#This Row],[SalesBot]]*Table8[[#This Row],[Bonus]]</f>
        <v>#N/A</v>
      </c>
    </row>
    <row r="1785" spans="1:14" ht="23.25" customHeight="1" x14ac:dyDescent="0.25">
      <c r="A1785" s="77">
        <f t="shared" ref="A1785:A1796" si="195">YEAR(C1785)</f>
        <v>1900</v>
      </c>
      <c r="B1785" s="77">
        <f t="shared" ref="B1785:B1796" si="196">MONTH(C1785)</f>
        <v>1</v>
      </c>
      <c r="C1785" s="20"/>
      <c r="D1785" s="21"/>
      <c r="F1785" s="23" t="e">
        <f>VLOOKUP(E1785,Customers[],2,FALSE)</f>
        <v>#N/A</v>
      </c>
      <c r="G1785" s="23" t="e">
        <f>VLOOKUP(E1785,Customers[],3,FALSE)</f>
        <v>#N/A</v>
      </c>
      <c r="H1785" s="23" t="e">
        <f>VLOOKUP(E1785,Customers[],4,FALSE)</f>
        <v>#N/A</v>
      </c>
      <c r="J1785" s="29" t="e">
        <f>VLOOKUP(I1785,PGStock[],2,FALSE)</f>
        <v>#N/A</v>
      </c>
      <c r="K1785" s="30" t="e">
        <f>VLOOKUP(I1785,PGStock[],3,FALSE)</f>
        <v>#N/A</v>
      </c>
      <c r="M1785" s="80" t="e">
        <f>VLOOKUP(I1785,PGStock[],6,FALSE)</f>
        <v>#N/A</v>
      </c>
      <c r="N1785" s="80" t="e">
        <f>+Table8[[#This Row],[SalesBot]]*Table8[[#This Row],[Bonus]]</f>
        <v>#N/A</v>
      </c>
    </row>
    <row r="1786" spans="1:14" ht="23.25" customHeight="1" x14ac:dyDescent="0.25">
      <c r="A1786" s="77">
        <f t="shared" si="195"/>
        <v>1900</v>
      </c>
      <c r="B1786" s="77">
        <f t="shared" si="196"/>
        <v>1</v>
      </c>
      <c r="C1786" s="20"/>
      <c r="D1786" s="61"/>
      <c r="F1786" s="23" t="e">
        <f>VLOOKUP(E1786,Customers[],2,FALSE)</f>
        <v>#N/A</v>
      </c>
      <c r="G1786" s="23" t="e">
        <f>VLOOKUP(E1786,Customers[],3,FALSE)</f>
        <v>#N/A</v>
      </c>
      <c r="H1786" s="23" t="e">
        <f>VLOOKUP(E1786,Customers[],4,FALSE)</f>
        <v>#N/A</v>
      </c>
      <c r="J1786" s="29" t="e">
        <f>VLOOKUP(I1786,PGStock[],2,FALSE)</f>
        <v>#N/A</v>
      </c>
      <c r="K1786" s="30" t="e">
        <f>VLOOKUP(I1786,PGStock[],3,FALSE)</f>
        <v>#N/A</v>
      </c>
      <c r="M1786" s="80" t="e">
        <f>VLOOKUP(I1786,PGStock[],6,FALSE)</f>
        <v>#N/A</v>
      </c>
      <c r="N1786" s="80" t="e">
        <f>+Table8[[#This Row],[SalesBot]]*Table8[[#This Row],[Bonus]]</f>
        <v>#N/A</v>
      </c>
    </row>
    <row r="1787" spans="1:14" ht="23.25" customHeight="1" x14ac:dyDescent="0.25">
      <c r="A1787" s="77">
        <f t="shared" si="195"/>
        <v>1900</v>
      </c>
      <c r="B1787" s="77">
        <f t="shared" si="196"/>
        <v>1</v>
      </c>
      <c r="C1787" s="20"/>
      <c r="D1787" s="21"/>
      <c r="F1787" s="23" t="e">
        <f>VLOOKUP(E1787,Customers[],2,FALSE)</f>
        <v>#N/A</v>
      </c>
      <c r="G1787" s="23" t="e">
        <f>VLOOKUP(E1787,Customers[],3,FALSE)</f>
        <v>#N/A</v>
      </c>
      <c r="H1787" s="23" t="e">
        <f>VLOOKUP(E1787,Customers[],4,FALSE)</f>
        <v>#N/A</v>
      </c>
      <c r="J1787" s="29" t="e">
        <f>VLOOKUP(I1787,PGStock[],2,FALSE)</f>
        <v>#N/A</v>
      </c>
      <c r="K1787" s="30" t="e">
        <f>VLOOKUP(I1787,PGStock[],3,FALSE)</f>
        <v>#N/A</v>
      </c>
      <c r="M1787" s="80" t="e">
        <f>VLOOKUP(I1787,PGStock[],6,FALSE)</f>
        <v>#N/A</v>
      </c>
      <c r="N1787" s="80" t="e">
        <f>+Table8[[#This Row],[SalesBot]]*Table8[[#This Row],[Bonus]]</f>
        <v>#N/A</v>
      </c>
    </row>
    <row r="1788" spans="1:14" ht="23.25" customHeight="1" x14ac:dyDescent="0.25">
      <c r="A1788" s="77">
        <f t="shared" si="195"/>
        <v>1900</v>
      </c>
      <c r="B1788" s="77">
        <f t="shared" si="196"/>
        <v>1</v>
      </c>
      <c r="C1788" s="20"/>
      <c r="D1788" s="21"/>
      <c r="F1788" s="23" t="e">
        <f>VLOOKUP(E1788,Customers[],2,FALSE)</f>
        <v>#N/A</v>
      </c>
      <c r="G1788" s="23" t="e">
        <f>VLOOKUP(E1788,Customers[],3,FALSE)</f>
        <v>#N/A</v>
      </c>
      <c r="H1788" s="23" t="e">
        <f>VLOOKUP(E1788,Customers[],4,FALSE)</f>
        <v>#N/A</v>
      </c>
      <c r="J1788" s="29" t="e">
        <f>VLOOKUP(I1788,PGStock[],2,FALSE)</f>
        <v>#N/A</v>
      </c>
      <c r="K1788" s="30" t="e">
        <f>VLOOKUP(I1788,PGStock[],3,FALSE)</f>
        <v>#N/A</v>
      </c>
      <c r="M1788" s="80" t="e">
        <f>VLOOKUP(I1788,PGStock[],6,FALSE)</f>
        <v>#N/A</v>
      </c>
      <c r="N1788" s="80" t="e">
        <f>+Table8[[#This Row],[SalesBot]]*Table8[[#This Row],[Bonus]]</f>
        <v>#N/A</v>
      </c>
    </row>
    <row r="1789" spans="1:14" ht="23.25" customHeight="1" x14ac:dyDescent="0.25">
      <c r="A1789" s="77">
        <f t="shared" si="195"/>
        <v>1900</v>
      </c>
      <c r="B1789" s="77">
        <f t="shared" si="196"/>
        <v>1</v>
      </c>
      <c r="C1789" s="20"/>
      <c r="D1789" s="61"/>
      <c r="F1789" s="23" t="e">
        <f>VLOOKUP(E1789,Customers[],2,FALSE)</f>
        <v>#N/A</v>
      </c>
      <c r="G1789" s="23" t="e">
        <f>VLOOKUP(E1789,Customers[],3,FALSE)</f>
        <v>#N/A</v>
      </c>
      <c r="H1789" s="23" t="e">
        <f>VLOOKUP(E1789,Customers[],4,FALSE)</f>
        <v>#N/A</v>
      </c>
      <c r="J1789" s="29" t="e">
        <f>VLOOKUP(I1789,PGStock[],2,FALSE)</f>
        <v>#N/A</v>
      </c>
      <c r="K1789" s="30" t="e">
        <f>VLOOKUP(I1789,PGStock[],3,FALSE)</f>
        <v>#N/A</v>
      </c>
      <c r="M1789" s="80" t="e">
        <f>VLOOKUP(I1789,PGStock[],6,FALSE)</f>
        <v>#N/A</v>
      </c>
      <c r="N1789" s="80" t="e">
        <f>+Table8[[#This Row],[SalesBot]]*Table8[[#This Row],[Bonus]]</f>
        <v>#N/A</v>
      </c>
    </row>
    <row r="1790" spans="1:14" ht="23.25" customHeight="1" x14ac:dyDescent="0.25">
      <c r="A1790" s="77">
        <f t="shared" si="195"/>
        <v>1900</v>
      </c>
      <c r="B1790" s="77">
        <f t="shared" si="196"/>
        <v>1</v>
      </c>
      <c r="C1790" s="78"/>
      <c r="D1790" s="61"/>
      <c r="F1790" s="23" t="e">
        <f>VLOOKUP(E1790,Customers[],2,FALSE)</f>
        <v>#N/A</v>
      </c>
      <c r="G1790" s="23" t="e">
        <f>VLOOKUP(E1790,Customers[],3,FALSE)</f>
        <v>#N/A</v>
      </c>
      <c r="H1790" s="23" t="e">
        <f>VLOOKUP(E1790,Customers[],4,FALSE)</f>
        <v>#N/A</v>
      </c>
      <c r="J1790" s="29" t="e">
        <f>VLOOKUP(I1790,PGStock[],2,FALSE)</f>
        <v>#N/A</v>
      </c>
      <c r="K1790" s="30" t="e">
        <f>VLOOKUP(I1790,PGStock[],3,FALSE)</f>
        <v>#N/A</v>
      </c>
      <c r="M1790" s="80" t="e">
        <f>VLOOKUP(I1790,PGStock[],6,FALSE)</f>
        <v>#N/A</v>
      </c>
      <c r="N1790" s="80" t="e">
        <f>+Table8[[#This Row],[SalesBot]]*Table8[[#This Row],[Bonus]]</f>
        <v>#N/A</v>
      </c>
    </row>
    <row r="1791" spans="1:14" ht="23.25" customHeight="1" x14ac:dyDescent="0.25">
      <c r="A1791" s="77">
        <f t="shared" si="195"/>
        <v>1900</v>
      </c>
      <c r="B1791" s="77">
        <f t="shared" si="196"/>
        <v>1</v>
      </c>
      <c r="C1791" s="78"/>
      <c r="D1791" s="61"/>
      <c r="F1791" s="23" t="e">
        <f>VLOOKUP(E1791,Customers[],2,FALSE)</f>
        <v>#N/A</v>
      </c>
      <c r="G1791" s="23" t="e">
        <f>VLOOKUP(E1791,Customers[],3,FALSE)</f>
        <v>#N/A</v>
      </c>
      <c r="H1791" s="23" t="e">
        <f>VLOOKUP(E1791,Customers[],4,FALSE)</f>
        <v>#N/A</v>
      </c>
      <c r="J1791" s="29" t="e">
        <f>VLOOKUP(I1791,PGStock[],2,FALSE)</f>
        <v>#N/A</v>
      </c>
      <c r="K1791" s="30" t="e">
        <f>VLOOKUP(I1791,PGStock[],3,FALSE)</f>
        <v>#N/A</v>
      </c>
      <c r="M1791" s="80" t="e">
        <f>VLOOKUP(I1791,PGStock[],6,FALSE)</f>
        <v>#N/A</v>
      </c>
      <c r="N1791" s="80" t="e">
        <f>+Table8[[#This Row],[SalesBot]]*Table8[[#This Row],[Bonus]]</f>
        <v>#N/A</v>
      </c>
    </row>
    <row r="1792" spans="1:14" ht="23.25" customHeight="1" x14ac:dyDescent="0.25">
      <c r="A1792" s="77">
        <f t="shared" si="195"/>
        <v>1900</v>
      </c>
      <c r="B1792" s="77">
        <f t="shared" si="196"/>
        <v>1</v>
      </c>
      <c r="C1792" s="78"/>
      <c r="D1792" s="21"/>
      <c r="F1792" s="23" t="e">
        <f>VLOOKUP(E1792,Customers[],2,FALSE)</f>
        <v>#N/A</v>
      </c>
      <c r="G1792" s="23" t="e">
        <f>VLOOKUP(E1792,Customers[],3,FALSE)</f>
        <v>#N/A</v>
      </c>
      <c r="H1792" s="23" t="e">
        <f>VLOOKUP(E1792,Customers[],4,FALSE)</f>
        <v>#N/A</v>
      </c>
      <c r="J1792" s="29" t="e">
        <f>VLOOKUP(I1792,PGStock[],2,FALSE)</f>
        <v>#N/A</v>
      </c>
      <c r="K1792" s="30" t="e">
        <f>VLOOKUP(I1792,PGStock[],3,FALSE)</f>
        <v>#N/A</v>
      </c>
      <c r="M1792" s="80" t="e">
        <f>VLOOKUP(I1792,PGStock[],6,FALSE)</f>
        <v>#N/A</v>
      </c>
      <c r="N1792" s="80" t="e">
        <f>+Table8[[#This Row],[SalesBot]]*Table8[[#This Row],[Bonus]]</f>
        <v>#N/A</v>
      </c>
    </row>
    <row r="1793" spans="1:14" ht="23.25" customHeight="1" x14ac:dyDescent="0.25">
      <c r="A1793" s="77">
        <f t="shared" si="195"/>
        <v>1900</v>
      </c>
      <c r="B1793" s="77">
        <f t="shared" si="196"/>
        <v>1</v>
      </c>
      <c r="C1793" s="78"/>
      <c r="D1793" s="21"/>
      <c r="F1793" s="23" t="e">
        <f>VLOOKUP(E1793,Customers[],2,FALSE)</f>
        <v>#N/A</v>
      </c>
      <c r="G1793" s="23" t="e">
        <f>VLOOKUP(E1793,Customers[],3,FALSE)</f>
        <v>#N/A</v>
      </c>
      <c r="H1793" s="23" t="e">
        <f>VLOOKUP(E1793,Customers[],4,FALSE)</f>
        <v>#N/A</v>
      </c>
      <c r="J1793" s="29" t="e">
        <f>VLOOKUP(I1793,PGStock[],2,FALSE)</f>
        <v>#N/A</v>
      </c>
      <c r="K1793" s="30" t="e">
        <f>VLOOKUP(I1793,PGStock[],3,FALSE)</f>
        <v>#N/A</v>
      </c>
      <c r="M1793" s="80" t="e">
        <f>VLOOKUP(I1793,PGStock[],6,FALSE)</f>
        <v>#N/A</v>
      </c>
      <c r="N1793" s="80" t="e">
        <f>+Table8[[#This Row],[SalesBot]]*Table8[[#This Row],[Bonus]]</f>
        <v>#N/A</v>
      </c>
    </row>
    <row r="1794" spans="1:14" ht="23.25" customHeight="1" x14ac:dyDescent="0.25">
      <c r="A1794" s="77">
        <f t="shared" si="195"/>
        <v>1900</v>
      </c>
      <c r="B1794" s="77">
        <f t="shared" si="196"/>
        <v>1</v>
      </c>
      <c r="C1794" s="78"/>
      <c r="D1794" s="21"/>
      <c r="F1794" s="23" t="e">
        <f>VLOOKUP(E1794,Customers[],2,FALSE)</f>
        <v>#N/A</v>
      </c>
      <c r="G1794" s="23" t="e">
        <f>VLOOKUP(E1794,Customers[],3,FALSE)</f>
        <v>#N/A</v>
      </c>
      <c r="H1794" s="23" t="e">
        <f>VLOOKUP(E1794,Customers[],4,FALSE)</f>
        <v>#N/A</v>
      </c>
      <c r="J1794" s="29" t="e">
        <f>VLOOKUP(I1794,PGStock[],2,FALSE)</f>
        <v>#N/A</v>
      </c>
      <c r="K1794" s="30" t="e">
        <f>VLOOKUP(I1794,PGStock[],3,FALSE)</f>
        <v>#N/A</v>
      </c>
      <c r="M1794" s="80" t="e">
        <f>VLOOKUP(I1794,PGStock[],6,FALSE)</f>
        <v>#N/A</v>
      </c>
      <c r="N1794" s="80" t="e">
        <f>+Table8[[#This Row],[SalesBot]]*Table8[[#This Row],[Bonus]]</f>
        <v>#N/A</v>
      </c>
    </row>
    <row r="1795" spans="1:14" ht="23.25" customHeight="1" x14ac:dyDescent="0.25">
      <c r="A1795" s="77">
        <f t="shared" si="195"/>
        <v>1900</v>
      </c>
      <c r="B1795" s="77">
        <f t="shared" si="196"/>
        <v>1</v>
      </c>
      <c r="C1795" s="78"/>
      <c r="D1795" s="21"/>
      <c r="F1795" s="23" t="e">
        <f>VLOOKUP(E1795,Customers[],2,FALSE)</f>
        <v>#N/A</v>
      </c>
      <c r="G1795" s="23" t="e">
        <f>VLOOKUP(E1795,Customers[],3,FALSE)</f>
        <v>#N/A</v>
      </c>
      <c r="H1795" s="23" t="e">
        <f>VLOOKUP(E1795,Customers[],4,FALSE)</f>
        <v>#N/A</v>
      </c>
      <c r="J1795" s="29" t="e">
        <f>VLOOKUP(I1795,PGStock[],2,FALSE)</f>
        <v>#N/A</v>
      </c>
      <c r="K1795" s="30" t="e">
        <f>VLOOKUP(I1795,PGStock[],3,FALSE)</f>
        <v>#N/A</v>
      </c>
      <c r="M1795" s="80" t="e">
        <f>VLOOKUP(I1795,PGStock[],6,FALSE)</f>
        <v>#N/A</v>
      </c>
      <c r="N1795" s="80" t="e">
        <f>+Table8[[#This Row],[SalesBot]]*Table8[[#This Row],[Bonus]]</f>
        <v>#N/A</v>
      </c>
    </row>
    <row r="1796" spans="1:14" ht="23.25" customHeight="1" x14ac:dyDescent="0.25">
      <c r="A1796" s="77">
        <f t="shared" si="195"/>
        <v>1900</v>
      </c>
      <c r="B1796" s="77">
        <f t="shared" si="196"/>
        <v>1</v>
      </c>
      <c r="C1796" s="78"/>
      <c r="D1796" s="21"/>
      <c r="F1796" s="23" t="e">
        <f>VLOOKUP(E1796,Customers[],2,FALSE)</f>
        <v>#N/A</v>
      </c>
      <c r="G1796" s="23" t="e">
        <f>VLOOKUP(E1796,Customers[],3,FALSE)</f>
        <v>#N/A</v>
      </c>
      <c r="H1796" s="23" t="e">
        <f>VLOOKUP(E1796,Customers[],4,FALSE)</f>
        <v>#N/A</v>
      </c>
      <c r="J1796" s="29" t="e">
        <f>VLOOKUP(I1796,PGStock[],2,FALSE)</f>
        <v>#N/A</v>
      </c>
      <c r="K1796" s="30" t="e">
        <f>VLOOKUP(I1796,PGStock[],3,FALSE)</f>
        <v>#N/A</v>
      </c>
      <c r="M1796" s="80" t="e">
        <f>VLOOKUP(I1796,PGStock[],6,FALSE)</f>
        <v>#N/A</v>
      </c>
      <c r="N1796" s="80" t="e">
        <f>+Table8[[#This Row],[SalesBot]]*Table8[[#This Row],[Bonus]]</f>
        <v>#N/A</v>
      </c>
    </row>
    <row r="1797" spans="1:14" ht="23.25" customHeight="1" x14ac:dyDescent="0.25">
      <c r="A1797" s="77">
        <f t="shared" ref="A1797:A1808" si="197">YEAR(C1797)</f>
        <v>1900</v>
      </c>
      <c r="B1797" s="77">
        <f t="shared" ref="B1797:B1808" si="198">MONTH(C1797)</f>
        <v>1</v>
      </c>
      <c r="C1797" s="78"/>
      <c r="D1797" s="61"/>
      <c r="F1797" s="23" t="e">
        <f>VLOOKUP(E1797,Customers[],2,FALSE)</f>
        <v>#N/A</v>
      </c>
      <c r="G1797" s="23" t="e">
        <f>VLOOKUP(E1797,Customers[],3,FALSE)</f>
        <v>#N/A</v>
      </c>
      <c r="H1797" s="23" t="e">
        <f>VLOOKUP(E1797,Customers[],4,FALSE)</f>
        <v>#N/A</v>
      </c>
      <c r="J1797" s="29" t="e">
        <f>VLOOKUP(I1797,PGStock[],2,FALSE)</f>
        <v>#N/A</v>
      </c>
      <c r="K1797" s="30" t="e">
        <f>VLOOKUP(I1797,PGStock[],3,FALSE)</f>
        <v>#N/A</v>
      </c>
      <c r="M1797" s="80" t="e">
        <f>VLOOKUP(I1797,PGStock[],6,FALSE)</f>
        <v>#N/A</v>
      </c>
      <c r="N1797" s="80" t="e">
        <f>+Table8[[#This Row],[SalesBot]]*Table8[[#This Row],[Bonus]]</f>
        <v>#N/A</v>
      </c>
    </row>
    <row r="1798" spans="1:14" ht="23.25" customHeight="1" x14ac:dyDescent="0.25">
      <c r="A1798" s="77">
        <f t="shared" si="197"/>
        <v>1900</v>
      </c>
      <c r="B1798" s="77">
        <f t="shared" si="198"/>
        <v>1</v>
      </c>
      <c r="C1798" s="78"/>
      <c r="D1798" s="21"/>
      <c r="F1798" s="23" t="e">
        <f>VLOOKUP(E1798,Customers[],2,FALSE)</f>
        <v>#N/A</v>
      </c>
      <c r="G1798" s="23" t="e">
        <f>VLOOKUP(E1798,Customers[],3,FALSE)</f>
        <v>#N/A</v>
      </c>
      <c r="H1798" s="23" t="e">
        <f>VLOOKUP(E1798,Customers[],4,FALSE)</f>
        <v>#N/A</v>
      </c>
      <c r="J1798" s="29" t="e">
        <f>VLOOKUP(I1798,PGStock[],2,FALSE)</f>
        <v>#N/A</v>
      </c>
      <c r="K1798" s="30" t="e">
        <f>VLOOKUP(I1798,PGStock[],3,FALSE)</f>
        <v>#N/A</v>
      </c>
      <c r="M1798" s="80" t="e">
        <f>VLOOKUP(I1798,PGStock[],6,FALSE)</f>
        <v>#N/A</v>
      </c>
      <c r="N1798" s="80" t="e">
        <f>+Table8[[#This Row],[SalesBot]]*Table8[[#This Row],[Bonus]]</f>
        <v>#N/A</v>
      </c>
    </row>
    <row r="1799" spans="1:14" ht="23.25" customHeight="1" x14ac:dyDescent="0.25">
      <c r="A1799" s="77">
        <f t="shared" si="197"/>
        <v>1900</v>
      </c>
      <c r="B1799" s="77">
        <f t="shared" si="198"/>
        <v>1</v>
      </c>
      <c r="C1799" s="78"/>
      <c r="D1799" s="61"/>
      <c r="F1799" s="23" t="e">
        <f>VLOOKUP(E1799,Customers[],2,FALSE)</f>
        <v>#N/A</v>
      </c>
      <c r="G1799" s="23" t="e">
        <f>VLOOKUP(E1799,Customers[],3,FALSE)</f>
        <v>#N/A</v>
      </c>
      <c r="H1799" s="23" t="e">
        <f>VLOOKUP(E1799,Customers[],4,FALSE)</f>
        <v>#N/A</v>
      </c>
      <c r="J1799" s="29" t="e">
        <f>VLOOKUP(I1799,PGStock[],2,FALSE)</f>
        <v>#N/A</v>
      </c>
      <c r="K1799" s="30" t="e">
        <f>VLOOKUP(I1799,PGStock[],3,FALSE)</f>
        <v>#N/A</v>
      </c>
      <c r="M1799" s="80" t="e">
        <f>VLOOKUP(I1799,PGStock[],6,FALSE)</f>
        <v>#N/A</v>
      </c>
      <c r="N1799" s="80" t="e">
        <f>+Table8[[#This Row],[SalesBot]]*Table8[[#This Row],[Bonus]]</f>
        <v>#N/A</v>
      </c>
    </row>
    <row r="1800" spans="1:14" ht="23.25" customHeight="1" x14ac:dyDescent="0.25">
      <c r="A1800" s="77">
        <f t="shared" si="197"/>
        <v>1900</v>
      </c>
      <c r="B1800" s="77">
        <f t="shared" si="198"/>
        <v>1</v>
      </c>
      <c r="C1800" s="78"/>
      <c r="D1800" s="61"/>
      <c r="F1800" s="23" t="e">
        <f>VLOOKUP(E1800,Customers[],2,FALSE)</f>
        <v>#N/A</v>
      </c>
      <c r="G1800" s="23" t="e">
        <f>VLOOKUP(E1800,Customers[],3,FALSE)</f>
        <v>#N/A</v>
      </c>
      <c r="H1800" s="23" t="e">
        <f>VLOOKUP(E1800,Customers[],4,FALSE)</f>
        <v>#N/A</v>
      </c>
      <c r="J1800" s="29" t="e">
        <f>VLOOKUP(I1800,PGStock[],2,FALSE)</f>
        <v>#N/A</v>
      </c>
      <c r="K1800" s="30" t="e">
        <f>VLOOKUP(I1800,PGStock[],3,FALSE)</f>
        <v>#N/A</v>
      </c>
      <c r="M1800" s="80" t="e">
        <f>VLOOKUP(I1800,PGStock[],6,FALSE)</f>
        <v>#N/A</v>
      </c>
      <c r="N1800" s="80" t="e">
        <f>+Table8[[#This Row],[SalesBot]]*Table8[[#This Row],[Bonus]]</f>
        <v>#N/A</v>
      </c>
    </row>
    <row r="1801" spans="1:14" ht="23.25" customHeight="1" x14ac:dyDescent="0.25">
      <c r="A1801" s="77">
        <f t="shared" si="197"/>
        <v>1900</v>
      </c>
      <c r="B1801" s="77">
        <f t="shared" si="198"/>
        <v>1</v>
      </c>
      <c r="C1801" s="78"/>
      <c r="D1801" s="21"/>
      <c r="F1801" s="23" t="e">
        <f>VLOOKUP(E1801,Customers[],2,FALSE)</f>
        <v>#N/A</v>
      </c>
      <c r="G1801" s="23" t="e">
        <f>VLOOKUP(E1801,Customers[],3,FALSE)</f>
        <v>#N/A</v>
      </c>
      <c r="H1801" s="23" t="e">
        <f>VLOOKUP(E1801,Customers[],4,FALSE)</f>
        <v>#N/A</v>
      </c>
      <c r="J1801" s="29" t="e">
        <f>VLOOKUP(I1801,PGStock[],2,FALSE)</f>
        <v>#N/A</v>
      </c>
      <c r="K1801" s="30" t="e">
        <f>VLOOKUP(I1801,PGStock[],3,FALSE)</f>
        <v>#N/A</v>
      </c>
      <c r="M1801" s="80" t="e">
        <f>VLOOKUP(I1801,PGStock[],6,FALSE)</f>
        <v>#N/A</v>
      </c>
      <c r="N1801" s="80" t="e">
        <f>+Table8[[#This Row],[SalesBot]]*Table8[[#This Row],[Bonus]]</f>
        <v>#N/A</v>
      </c>
    </row>
    <row r="1802" spans="1:14" ht="23.25" customHeight="1" x14ac:dyDescent="0.25">
      <c r="A1802" s="77">
        <f t="shared" si="197"/>
        <v>1900</v>
      </c>
      <c r="B1802" s="77">
        <f t="shared" si="198"/>
        <v>1</v>
      </c>
      <c r="C1802" s="78"/>
      <c r="D1802" s="21"/>
      <c r="F1802" s="23" t="e">
        <f>VLOOKUP(E1802,Customers[],2,FALSE)</f>
        <v>#N/A</v>
      </c>
      <c r="G1802" s="23" t="e">
        <f>VLOOKUP(E1802,Customers[],3,FALSE)</f>
        <v>#N/A</v>
      </c>
      <c r="H1802" s="23" t="e">
        <f>VLOOKUP(E1802,Customers[],4,FALSE)</f>
        <v>#N/A</v>
      </c>
      <c r="J1802" s="29" t="e">
        <f>VLOOKUP(I1802,PGStock[],2,FALSE)</f>
        <v>#N/A</v>
      </c>
      <c r="K1802" s="30" t="e">
        <f>VLOOKUP(I1802,PGStock[],3,FALSE)</f>
        <v>#N/A</v>
      </c>
      <c r="M1802" s="80" t="e">
        <f>VLOOKUP(I1802,PGStock[],6,FALSE)</f>
        <v>#N/A</v>
      </c>
      <c r="N1802" s="80" t="e">
        <f>+Table8[[#This Row],[SalesBot]]*Table8[[#This Row],[Bonus]]</f>
        <v>#N/A</v>
      </c>
    </row>
    <row r="1803" spans="1:14" ht="23.25" customHeight="1" x14ac:dyDescent="0.25">
      <c r="A1803" s="77">
        <f t="shared" si="197"/>
        <v>1900</v>
      </c>
      <c r="B1803" s="77">
        <f t="shared" si="198"/>
        <v>1</v>
      </c>
      <c r="C1803" s="78"/>
      <c r="D1803" s="61"/>
      <c r="F1803" s="23" t="e">
        <f>VLOOKUP(E1803,Customers[],2,FALSE)</f>
        <v>#N/A</v>
      </c>
      <c r="G1803" s="23" t="e">
        <f>VLOOKUP(E1803,Customers[],3,FALSE)</f>
        <v>#N/A</v>
      </c>
      <c r="H1803" s="23" t="e">
        <f>VLOOKUP(E1803,Customers[],4,FALSE)</f>
        <v>#N/A</v>
      </c>
      <c r="J1803" s="29" t="e">
        <f>VLOOKUP(I1803,PGStock[],2,FALSE)</f>
        <v>#N/A</v>
      </c>
      <c r="K1803" s="30" t="e">
        <f>VLOOKUP(I1803,PGStock[],3,FALSE)</f>
        <v>#N/A</v>
      </c>
      <c r="M1803" s="80" t="e">
        <f>VLOOKUP(I1803,PGStock[],6,FALSE)</f>
        <v>#N/A</v>
      </c>
      <c r="N1803" s="80" t="e">
        <f>+Table8[[#This Row],[SalesBot]]*Table8[[#This Row],[Bonus]]</f>
        <v>#N/A</v>
      </c>
    </row>
    <row r="1804" spans="1:14" ht="23.25" customHeight="1" x14ac:dyDescent="0.25">
      <c r="A1804" s="77">
        <f t="shared" si="197"/>
        <v>1900</v>
      </c>
      <c r="B1804" s="77">
        <f t="shared" si="198"/>
        <v>1</v>
      </c>
      <c r="C1804" s="78"/>
      <c r="D1804" s="21"/>
      <c r="F1804" s="23" t="e">
        <f>VLOOKUP(E1804,Customers[],2,FALSE)</f>
        <v>#N/A</v>
      </c>
      <c r="G1804" s="23" t="e">
        <f>VLOOKUP(E1804,Customers[],3,FALSE)</f>
        <v>#N/A</v>
      </c>
      <c r="H1804" s="23" t="e">
        <f>VLOOKUP(E1804,Customers[],4,FALSE)</f>
        <v>#N/A</v>
      </c>
      <c r="J1804" s="29" t="e">
        <f>VLOOKUP(I1804,PGStock[],2,FALSE)</f>
        <v>#N/A</v>
      </c>
      <c r="K1804" s="30" t="e">
        <f>VLOOKUP(I1804,PGStock[],3,FALSE)</f>
        <v>#N/A</v>
      </c>
      <c r="M1804" s="80" t="e">
        <f>VLOOKUP(I1804,PGStock[],6,FALSE)</f>
        <v>#N/A</v>
      </c>
      <c r="N1804" s="80" t="e">
        <f>+Table8[[#This Row],[SalesBot]]*Table8[[#This Row],[Bonus]]</f>
        <v>#N/A</v>
      </c>
    </row>
    <row r="1805" spans="1:14" ht="23.25" customHeight="1" x14ac:dyDescent="0.25">
      <c r="A1805" s="77">
        <f t="shared" si="197"/>
        <v>1900</v>
      </c>
      <c r="B1805" s="77">
        <f t="shared" si="198"/>
        <v>1</v>
      </c>
      <c r="C1805" s="78"/>
      <c r="D1805" s="61"/>
      <c r="F1805" s="23" t="e">
        <f>VLOOKUP(E1805,Customers[],2,FALSE)</f>
        <v>#N/A</v>
      </c>
      <c r="G1805" s="23" t="e">
        <f>VLOOKUP(E1805,Customers[],3,FALSE)</f>
        <v>#N/A</v>
      </c>
      <c r="H1805" s="23" t="e">
        <f>VLOOKUP(E1805,Customers[],4,FALSE)</f>
        <v>#N/A</v>
      </c>
      <c r="J1805" s="29" t="e">
        <f>VLOOKUP(I1805,PGStock[],2,FALSE)</f>
        <v>#N/A</v>
      </c>
      <c r="K1805" s="30" t="e">
        <f>VLOOKUP(I1805,PGStock[],3,FALSE)</f>
        <v>#N/A</v>
      </c>
      <c r="M1805" s="80" t="e">
        <f>VLOOKUP(I1805,PGStock[],6,FALSE)</f>
        <v>#N/A</v>
      </c>
      <c r="N1805" s="80" t="e">
        <f>+Table8[[#This Row],[SalesBot]]*Table8[[#This Row],[Bonus]]</f>
        <v>#N/A</v>
      </c>
    </row>
    <row r="1806" spans="1:14" ht="23.25" customHeight="1" x14ac:dyDescent="0.25">
      <c r="A1806" s="77">
        <f t="shared" si="197"/>
        <v>1900</v>
      </c>
      <c r="B1806" s="77">
        <f t="shared" si="198"/>
        <v>1</v>
      </c>
      <c r="C1806" s="78"/>
      <c r="D1806" s="21"/>
      <c r="F1806" s="23" t="e">
        <f>VLOOKUP(E1806,Customers[],2,FALSE)</f>
        <v>#N/A</v>
      </c>
      <c r="G1806" s="23" t="e">
        <f>VLOOKUP(E1806,Customers[],3,FALSE)</f>
        <v>#N/A</v>
      </c>
      <c r="H1806" s="23" t="e">
        <f>VLOOKUP(E1806,Customers[],4,FALSE)</f>
        <v>#N/A</v>
      </c>
      <c r="J1806" s="29" t="e">
        <f>VLOOKUP(I1806,PGStock[],2,FALSE)</f>
        <v>#N/A</v>
      </c>
      <c r="K1806" s="30" t="e">
        <f>VLOOKUP(I1806,PGStock[],3,FALSE)</f>
        <v>#N/A</v>
      </c>
      <c r="M1806" s="80" t="e">
        <f>VLOOKUP(I1806,PGStock[],6,FALSE)</f>
        <v>#N/A</v>
      </c>
      <c r="N1806" s="80" t="e">
        <f>+Table8[[#This Row],[SalesBot]]*Table8[[#This Row],[Bonus]]</f>
        <v>#N/A</v>
      </c>
    </row>
    <row r="1807" spans="1:14" ht="23.25" customHeight="1" x14ac:dyDescent="0.25">
      <c r="A1807" s="77">
        <f t="shared" si="197"/>
        <v>1900</v>
      </c>
      <c r="B1807" s="77">
        <f t="shared" si="198"/>
        <v>1</v>
      </c>
      <c r="C1807" s="78"/>
      <c r="D1807" s="61"/>
      <c r="F1807" s="23" t="e">
        <f>VLOOKUP(E1807,Customers[],2,FALSE)</f>
        <v>#N/A</v>
      </c>
      <c r="G1807" s="23" t="e">
        <f>VLOOKUP(E1807,Customers[],3,FALSE)</f>
        <v>#N/A</v>
      </c>
      <c r="H1807" s="23" t="e">
        <f>VLOOKUP(E1807,Customers[],4,FALSE)</f>
        <v>#N/A</v>
      </c>
      <c r="J1807" s="29" t="e">
        <f>VLOOKUP(I1807,PGStock[],2,FALSE)</f>
        <v>#N/A</v>
      </c>
      <c r="K1807" s="30" t="e">
        <f>VLOOKUP(I1807,PGStock[],3,FALSE)</f>
        <v>#N/A</v>
      </c>
      <c r="M1807" s="80" t="e">
        <f>VLOOKUP(I1807,PGStock[],6,FALSE)</f>
        <v>#N/A</v>
      </c>
      <c r="N1807" s="80" t="e">
        <f>+Table8[[#This Row],[SalesBot]]*Table8[[#This Row],[Bonus]]</f>
        <v>#N/A</v>
      </c>
    </row>
    <row r="1808" spans="1:14" ht="23.25" customHeight="1" x14ac:dyDescent="0.25">
      <c r="A1808" s="77">
        <f t="shared" si="197"/>
        <v>1900</v>
      </c>
      <c r="B1808" s="77">
        <f t="shared" si="198"/>
        <v>1</v>
      </c>
      <c r="C1808" s="78"/>
      <c r="D1808" s="21"/>
      <c r="F1808" s="23" t="e">
        <f>VLOOKUP(E1808,Customers[],2,FALSE)</f>
        <v>#N/A</v>
      </c>
      <c r="G1808" s="23" t="e">
        <f>VLOOKUP(E1808,Customers[],3,FALSE)</f>
        <v>#N/A</v>
      </c>
      <c r="H1808" s="23" t="e">
        <f>VLOOKUP(E1808,Customers[],4,FALSE)</f>
        <v>#N/A</v>
      </c>
      <c r="J1808" s="29" t="e">
        <f>VLOOKUP(I1808,PGStock[],2,FALSE)</f>
        <v>#N/A</v>
      </c>
      <c r="K1808" s="30" t="e">
        <f>VLOOKUP(I1808,PGStock[],3,FALSE)</f>
        <v>#N/A</v>
      </c>
      <c r="M1808" s="80" t="e">
        <f>VLOOKUP(I1808,PGStock[],6,FALSE)</f>
        <v>#N/A</v>
      </c>
      <c r="N1808" s="80" t="e">
        <f>+Table8[[#This Row],[SalesBot]]*Table8[[#This Row],[Bonus]]</f>
        <v>#N/A</v>
      </c>
    </row>
    <row r="1809" spans="1:14" ht="23.25" customHeight="1" x14ac:dyDescent="0.25">
      <c r="A1809" s="77">
        <f t="shared" ref="A1809:A1820" si="199">YEAR(C1809)</f>
        <v>1900</v>
      </c>
      <c r="B1809" s="77">
        <f t="shared" ref="B1809:B1820" si="200">MONTH(C1809)</f>
        <v>1</v>
      </c>
      <c r="C1809" s="78"/>
      <c r="D1809" s="61"/>
      <c r="F1809" s="23" t="e">
        <f>VLOOKUP(E1809,Customers[],2,FALSE)</f>
        <v>#N/A</v>
      </c>
      <c r="G1809" s="23" t="e">
        <f>VLOOKUP(E1809,Customers[],3,FALSE)</f>
        <v>#N/A</v>
      </c>
      <c r="H1809" s="23" t="e">
        <f>VLOOKUP(E1809,Customers[],4,FALSE)</f>
        <v>#N/A</v>
      </c>
      <c r="J1809" s="29" t="e">
        <f>VLOOKUP(I1809,PGStock[],2,FALSE)</f>
        <v>#N/A</v>
      </c>
      <c r="K1809" s="30" t="e">
        <f>VLOOKUP(I1809,PGStock[],3,FALSE)</f>
        <v>#N/A</v>
      </c>
      <c r="M1809" s="80" t="e">
        <f>VLOOKUP(I1809,PGStock[],6,FALSE)</f>
        <v>#N/A</v>
      </c>
      <c r="N1809" s="80" t="e">
        <f>+Table8[[#This Row],[SalesBot]]*Table8[[#This Row],[Bonus]]</f>
        <v>#N/A</v>
      </c>
    </row>
    <row r="1810" spans="1:14" ht="23.25" customHeight="1" x14ac:dyDescent="0.25">
      <c r="A1810" s="77">
        <f t="shared" si="199"/>
        <v>1900</v>
      </c>
      <c r="B1810" s="77">
        <f t="shared" si="200"/>
        <v>1</v>
      </c>
      <c r="C1810" s="78"/>
      <c r="D1810" s="21"/>
      <c r="F1810" s="23" t="e">
        <f>VLOOKUP(E1810,Customers[],2,FALSE)</f>
        <v>#N/A</v>
      </c>
      <c r="G1810" s="23" t="e">
        <f>VLOOKUP(E1810,Customers[],3,FALSE)</f>
        <v>#N/A</v>
      </c>
      <c r="H1810" s="23" t="e">
        <f>VLOOKUP(E1810,Customers[],4,FALSE)</f>
        <v>#N/A</v>
      </c>
      <c r="J1810" s="29" t="e">
        <f>VLOOKUP(I1810,PGStock[],2,FALSE)</f>
        <v>#N/A</v>
      </c>
      <c r="K1810" s="30" t="e">
        <f>VLOOKUP(I1810,PGStock[],3,FALSE)</f>
        <v>#N/A</v>
      </c>
      <c r="M1810" s="80" t="e">
        <f>VLOOKUP(I1810,PGStock[],6,FALSE)</f>
        <v>#N/A</v>
      </c>
      <c r="N1810" s="80" t="e">
        <f>+Table8[[#This Row],[SalesBot]]*Table8[[#This Row],[Bonus]]</f>
        <v>#N/A</v>
      </c>
    </row>
    <row r="1811" spans="1:14" ht="23.25" customHeight="1" x14ac:dyDescent="0.25">
      <c r="A1811" s="77">
        <f t="shared" si="199"/>
        <v>1900</v>
      </c>
      <c r="B1811" s="77">
        <f t="shared" si="200"/>
        <v>1</v>
      </c>
      <c r="C1811" s="78"/>
      <c r="D1811" s="61"/>
      <c r="F1811" s="23" t="e">
        <f>VLOOKUP(E1811,Customers[],2,FALSE)</f>
        <v>#N/A</v>
      </c>
      <c r="G1811" s="23" t="e">
        <f>VLOOKUP(E1811,Customers[],3,FALSE)</f>
        <v>#N/A</v>
      </c>
      <c r="H1811" s="23" t="e">
        <f>VLOOKUP(E1811,Customers[],4,FALSE)</f>
        <v>#N/A</v>
      </c>
      <c r="J1811" s="29" t="e">
        <f>VLOOKUP(I1811,PGStock[],2,FALSE)</f>
        <v>#N/A</v>
      </c>
      <c r="K1811" s="30" t="e">
        <f>VLOOKUP(I1811,PGStock[],3,FALSE)</f>
        <v>#N/A</v>
      </c>
      <c r="M1811" s="80" t="e">
        <f>VLOOKUP(I1811,PGStock[],6,FALSE)</f>
        <v>#N/A</v>
      </c>
      <c r="N1811" s="80" t="e">
        <f>+Table8[[#This Row],[SalesBot]]*Table8[[#This Row],[Bonus]]</f>
        <v>#N/A</v>
      </c>
    </row>
    <row r="1812" spans="1:14" ht="23.25" customHeight="1" x14ac:dyDescent="0.25">
      <c r="A1812" s="77">
        <f t="shared" si="199"/>
        <v>1900</v>
      </c>
      <c r="B1812" s="77">
        <f t="shared" si="200"/>
        <v>1</v>
      </c>
      <c r="C1812" s="78"/>
      <c r="D1812" s="61"/>
      <c r="F1812" s="23" t="e">
        <f>VLOOKUP(E1812,Customers[],2,FALSE)</f>
        <v>#N/A</v>
      </c>
      <c r="G1812" s="23" t="e">
        <f>VLOOKUP(E1812,Customers[],3,FALSE)</f>
        <v>#N/A</v>
      </c>
      <c r="H1812" s="23" t="e">
        <f>VLOOKUP(E1812,Customers[],4,FALSE)</f>
        <v>#N/A</v>
      </c>
      <c r="J1812" s="29" t="e">
        <f>VLOOKUP(I1812,PGStock[],2,FALSE)</f>
        <v>#N/A</v>
      </c>
      <c r="K1812" s="30" t="e">
        <f>VLOOKUP(I1812,PGStock[],3,FALSE)</f>
        <v>#N/A</v>
      </c>
      <c r="M1812" s="80" t="e">
        <f>VLOOKUP(I1812,PGStock[],6,FALSE)</f>
        <v>#N/A</v>
      </c>
      <c r="N1812" s="80" t="e">
        <f>+Table8[[#This Row],[SalesBot]]*Table8[[#This Row],[Bonus]]</f>
        <v>#N/A</v>
      </c>
    </row>
    <row r="1813" spans="1:14" ht="23.25" customHeight="1" x14ac:dyDescent="0.25">
      <c r="A1813" s="77">
        <f t="shared" si="199"/>
        <v>1900</v>
      </c>
      <c r="B1813" s="77">
        <f t="shared" si="200"/>
        <v>1</v>
      </c>
      <c r="C1813" s="78"/>
      <c r="D1813" s="21"/>
      <c r="F1813" s="23" t="e">
        <f>VLOOKUP(E1813,Customers[],2,FALSE)</f>
        <v>#N/A</v>
      </c>
      <c r="G1813" s="23" t="e">
        <f>VLOOKUP(E1813,Customers[],3,FALSE)</f>
        <v>#N/A</v>
      </c>
      <c r="H1813" s="23" t="e">
        <f>VLOOKUP(E1813,Customers[],4,FALSE)</f>
        <v>#N/A</v>
      </c>
      <c r="J1813" s="29" t="e">
        <f>VLOOKUP(I1813,PGStock[],2,FALSE)</f>
        <v>#N/A</v>
      </c>
      <c r="K1813" s="30" t="e">
        <f>VLOOKUP(I1813,PGStock[],3,FALSE)</f>
        <v>#N/A</v>
      </c>
      <c r="M1813" s="80" t="e">
        <f>VLOOKUP(I1813,PGStock[],6,FALSE)</f>
        <v>#N/A</v>
      </c>
      <c r="N1813" s="80" t="e">
        <f>+Table8[[#This Row],[SalesBot]]*Table8[[#This Row],[Bonus]]</f>
        <v>#N/A</v>
      </c>
    </row>
    <row r="1814" spans="1:14" ht="23.25" customHeight="1" x14ac:dyDescent="0.25">
      <c r="A1814" s="77">
        <f t="shared" si="199"/>
        <v>1900</v>
      </c>
      <c r="B1814" s="77">
        <f t="shared" si="200"/>
        <v>1</v>
      </c>
      <c r="C1814" s="78"/>
      <c r="D1814" s="61"/>
      <c r="F1814" s="23" t="e">
        <f>VLOOKUP(E1814,Customers[],2,FALSE)</f>
        <v>#N/A</v>
      </c>
      <c r="G1814" s="23" t="e">
        <f>VLOOKUP(E1814,Customers[],3,FALSE)</f>
        <v>#N/A</v>
      </c>
      <c r="H1814" s="23" t="e">
        <f>VLOOKUP(E1814,Customers[],4,FALSE)</f>
        <v>#N/A</v>
      </c>
      <c r="J1814" s="29" t="e">
        <f>VLOOKUP(I1814,PGStock[],2,FALSE)</f>
        <v>#N/A</v>
      </c>
      <c r="K1814" s="30" t="e">
        <f>VLOOKUP(I1814,PGStock[],3,FALSE)</f>
        <v>#N/A</v>
      </c>
      <c r="M1814" s="80" t="e">
        <f>VLOOKUP(I1814,PGStock[],6,FALSE)</f>
        <v>#N/A</v>
      </c>
      <c r="N1814" s="80" t="e">
        <f>+Table8[[#This Row],[SalesBot]]*Table8[[#This Row],[Bonus]]</f>
        <v>#N/A</v>
      </c>
    </row>
    <row r="1815" spans="1:14" ht="23.25" customHeight="1" x14ac:dyDescent="0.25">
      <c r="A1815" s="77">
        <f t="shared" si="199"/>
        <v>1900</v>
      </c>
      <c r="B1815" s="77">
        <f t="shared" si="200"/>
        <v>1</v>
      </c>
      <c r="C1815" s="78"/>
      <c r="D1815" s="21"/>
      <c r="F1815" s="23" t="e">
        <f>VLOOKUP(E1815,Customers[],2,FALSE)</f>
        <v>#N/A</v>
      </c>
      <c r="G1815" s="23" t="e">
        <f>VLOOKUP(E1815,Customers[],3,FALSE)</f>
        <v>#N/A</v>
      </c>
      <c r="H1815" s="23" t="e">
        <f>VLOOKUP(E1815,Customers[],4,FALSE)</f>
        <v>#N/A</v>
      </c>
      <c r="J1815" s="29" t="e">
        <f>VLOOKUP(I1815,PGStock[],2,FALSE)</f>
        <v>#N/A</v>
      </c>
      <c r="K1815" s="30" t="e">
        <f>VLOOKUP(I1815,PGStock[],3,FALSE)</f>
        <v>#N/A</v>
      </c>
      <c r="M1815" s="80" t="e">
        <f>VLOOKUP(I1815,PGStock[],6,FALSE)</f>
        <v>#N/A</v>
      </c>
      <c r="N1815" s="80" t="e">
        <f>+Table8[[#This Row],[SalesBot]]*Table8[[#This Row],[Bonus]]</f>
        <v>#N/A</v>
      </c>
    </row>
    <row r="1816" spans="1:14" ht="23.25" customHeight="1" x14ac:dyDescent="0.25">
      <c r="A1816" s="77">
        <f t="shared" si="199"/>
        <v>1900</v>
      </c>
      <c r="B1816" s="77">
        <f t="shared" si="200"/>
        <v>1</v>
      </c>
      <c r="C1816" s="78"/>
      <c r="D1816" s="61"/>
      <c r="F1816" s="23" t="e">
        <f>VLOOKUP(E1816,Customers[],2,FALSE)</f>
        <v>#N/A</v>
      </c>
      <c r="G1816" s="23" t="e">
        <f>VLOOKUP(E1816,Customers[],3,FALSE)</f>
        <v>#N/A</v>
      </c>
      <c r="H1816" s="23" t="e">
        <f>VLOOKUP(E1816,Customers[],4,FALSE)</f>
        <v>#N/A</v>
      </c>
      <c r="J1816" s="29" t="e">
        <f>VLOOKUP(I1816,PGStock[],2,FALSE)</f>
        <v>#N/A</v>
      </c>
      <c r="K1816" s="30" t="e">
        <f>VLOOKUP(I1816,PGStock[],3,FALSE)</f>
        <v>#N/A</v>
      </c>
      <c r="M1816" s="80" t="e">
        <f>VLOOKUP(I1816,PGStock[],6,FALSE)</f>
        <v>#N/A</v>
      </c>
      <c r="N1816" s="80" t="e">
        <f>+Table8[[#This Row],[SalesBot]]*Table8[[#This Row],[Bonus]]</f>
        <v>#N/A</v>
      </c>
    </row>
    <row r="1817" spans="1:14" ht="23.25" customHeight="1" x14ac:dyDescent="0.25">
      <c r="A1817" s="77">
        <f t="shared" si="199"/>
        <v>1900</v>
      </c>
      <c r="B1817" s="77">
        <f t="shared" si="200"/>
        <v>1</v>
      </c>
      <c r="C1817" s="78"/>
      <c r="D1817" s="21"/>
      <c r="F1817" s="23" t="e">
        <f>VLOOKUP(E1817,Customers[],2,FALSE)</f>
        <v>#N/A</v>
      </c>
      <c r="G1817" s="23" t="e">
        <f>VLOOKUP(E1817,Customers[],3,FALSE)</f>
        <v>#N/A</v>
      </c>
      <c r="H1817" s="23" t="e">
        <f>VLOOKUP(E1817,Customers[],4,FALSE)</f>
        <v>#N/A</v>
      </c>
      <c r="J1817" s="29" t="e">
        <f>VLOOKUP(I1817,PGStock[],2,FALSE)</f>
        <v>#N/A</v>
      </c>
      <c r="K1817" s="30" t="e">
        <f>VLOOKUP(I1817,PGStock[],3,FALSE)</f>
        <v>#N/A</v>
      </c>
      <c r="M1817" s="80" t="e">
        <f>VLOOKUP(I1817,PGStock[],6,FALSE)</f>
        <v>#N/A</v>
      </c>
      <c r="N1817" s="80" t="e">
        <f>+Table8[[#This Row],[SalesBot]]*Table8[[#This Row],[Bonus]]</f>
        <v>#N/A</v>
      </c>
    </row>
    <row r="1818" spans="1:14" ht="23.25" customHeight="1" x14ac:dyDescent="0.25">
      <c r="A1818" s="77">
        <f t="shared" si="199"/>
        <v>1900</v>
      </c>
      <c r="B1818" s="77">
        <f t="shared" si="200"/>
        <v>1</v>
      </c>
      <c r="C1818" s="78"/>
      <c r="D1818" s="79"/>
      <c r="F1818" s="23" t="e">
        <f>VLOOKUP(E1818,Customers[],2,FALSE)</f>
        <v>#N/A</v>
      </c>
      <c r="G1818" s="23" t="e">
        <f>VLOOKUP(E1818,Customers[],3,FALSE)</f>
        <v>#N/A</v>
      </c>
      <c r="H1818" s="23" t="e">
        <f>VLOOKUP(E1818,Customers[],4,FALSE)</f>
        <v>#N/A</v>
      </c>
      <c r="J1818" s="29" t="e">
        <f>VLOOKUP(I1818,PGStock[],2,FALSE)</f>
        <v>#N/A</v>
      </c>
      <c r="K1818" s="30" t="e">
        <f>VLOOKUP(I1818,PGStock[],3,FALSE)</f>
        <v>#N/A</v>
      </c>
      <c r="M1818" s="80" t="e">
        <f>VLOOKUP(I1818,PGStock[],6,FALSE)</f>
        <v>#N/A</v>
      </c>
      <c r="N1818" s="80" t="e">
        <f>+Table8[[#This Row],[SalesBot]]*Table8[[#This Row],[Bonus]]</f>
        <v>#N/A</v>
      </c>
    </row>
    <row r="1819" spans="1:14" ht="23.25" customHeight="1" x14ac:dyDescent="0.25">
      <c r="A1819" s="77">
        <f t="shared" si="199"/>
        <v>1900</v>
      </c>
      <c r="B1819" s="77">
        <f t="shared" si="200"/>
        <v>1</v>
      </c>
      <c r="C1819" s="78"/>
      <c r="D1819" s="61"/>
      <c r="F1819" s="23" t="e">
        <f>VLOOKUP(E1819,Customers[],2,FALSE)</f>
        <v>#N/A</v>
      </c>
      <c r="G1819" s="23" t="e">
        <f>VLOOKUP(E1819,Customers[],3,FALSE)</f>
        <v>#N/A</v>
      </c>
      <c r="H1819" s="23" t="e">
        <f>VLOOKUP(E1819,Customers[],4,FALSE)</f>
        <v>#N/A</v>
      </c>
      <c r="J1819" s="29" t="e">
        <f>VLOOKUP(I1819,PGStock[],2,FALSE)</f>
        <v>#N/A</v>
      </c>
      <c r="K1819" s="30" t="e">
        <f>VLOOKUP(I1819,PGStock[],3,FALSE)</f>
        <v>#N/A</v>
      </c>
      <c r="M1819" s="80" t="e">
        <f>VLOOKUP(I1819,PGStock[],6,FALSE)</f>
        <v>#N/A</v>
      </c>
      <c r="N1819" s="80" t="e">
        <f>+Table8[[#This Row],[SalesBot]]*Table8[[#This Row],[Bonus]]</f>
        <v>#N/A</v>
      </c>
    </row>
    <row r="1820" spans="1:14" ht="23.25" customHeight="1" x14ac:dyDescent="0.25">
      <c r="A1820" s="77">
        <f t="shared" si="199"/>
        <v>1900</v>
      </c>
      <c r="B1820" s="77">
        <f t="shared" si="200"/>
        <v>1</v>
      </c>
      <c r="C1820" s="78"/>
      <c r="D1820" s="21"/>
      <c r="F1820" s="23" t="e">
        <f>VLOOKUP(E1820,Customers[],2,FALSE)</f>
        <v>#N/A</v>
      </c>
      <c r="G1820" s="23" t="e">
        <f>VLOOKUP(E1820,Customers[],3,FALSE)</f>
        <v>#N/A</v>
      </c>
      <c r="H1820" s="23" t="e">
        <f>VLOOKUP(E1820,Customers[],4,FALSE)</f>
        <v>#N/A</v>
      </c>
      <c r="J1820" s="29" t="e">
        <f>VLOOKUP(I1820,PGStock[],2,FALSE)</f>
        <v>#N/A</v>
      </c>
      <c r="K1820" s="30" t="e">
        <f>VLOOKUP(I1820,PGStock[],3,FALSE)</f>
        <v>#N/A</v>
      </c>
      <c r="M1820" s="80" t="e">
        <f>VLOOKUP(I1820,PGStock[],6,FALSE)</f>
        <v>#N/A</v>
      </c>
      <c r="N1820" s="80" t="e">
        <f>+Table8[[#This Row],[SalesBot]]*Table8[[#This Row],[Bonus]]</f>
        <v>#N/A</v>
      </c>
    </row>
    <row r="1821" spans="1:14" ht="23.25" customHeight="1" x14ac:dyDescent="0.25">
      <c r="A1821" s="59">
        <f t="shared" si="183"/>
        <v>1900</v>
      </c>
      <c r="B1821" s="59">
        <f t="shared" si="184"/>
        <v>1</v>
      </c>
      <c r="C1821" s="60"/>
      <c r="D1821" s="61"/>
      <c r="F1821" s="23" t="e">
        <f>VLOOKUP(E1821,Customers[],2,FALSE)</f>
        <v>#N/A</v>
      </c>
      <c r="G1821" s="23" t="e">
        <f>VLOOKUP(E1821,Customers[],3,FALSE)</f>
        <v>#N/A</v>
      </c>
      <c r="H1821" s="23" t="e">
        <f>VLOOKUP(E1821,Customers[],4,FALSE)</f>
        <v>#N/A</v>
      </c>
      <c r="J1821" s="29" t="e">
        <f>VLOOKUP(I1821,PGStock[],2,FALSE)</f>
        <v>#N/A</v>
      </c>
      <c r="K1821" s="30" t="e">
        <f>VLOOKUP(I1821,PGStock[],3,FALSE)</f>
        <v>#N/A</v>
      </c>
      <c r="M1821" s="62" t="e">
        <f>VLOOKUP(I1821,PGStock[],6,FALSE)</f>
        <v>#N/A</v>
      </c>
      <c r="N1821" s="62" t="e">
        <f>+Table8[[#This Row],[SalesBot]]*Table8[[#This Row],[Bonus]]</f>
        <v>#N/A</v>
      </c>
    </row>
    <row r="1822" spans="1:14" ht="23.25" customHeight="1" x14ac:dyDescent="0.25">
      <c r="A1822" s="59">
        <f t="shared" si="179"/>
        <v>1900</v>
      </c>
      <c r="B1822" s="59">
        <f t="shared" si="180"/>
        <v>1</v>
      </c>
      <c r="C1822" s="60"/>
      <c r="D1822" s="21"/>
      <c r="F1822" s="23" t="e">
        <f>VLOOKUP(E1822,Customers[],2,FALSE)</f>
        <v>#N/A</v>
      </c>
      <c r="G1822" s="23" t="e">
        <f>VLOOKUP(E1822,Customers[],3,FALSE)</f>
        <v>#N/A</v>
      </c>
      <c r="H1822" s="23" t="e">
        <f>VLOOKUP(E1822,Customers[],4,FALSE)</f>
        <v>#N/A</v>
      </c>
      <c r="J1822" s="29" t="e">
        <f>VLOOKUP(I1822,PGStock[],2,FALSE)</f>
        <v>#N/A</v>
      </c>
      <c r="K1822" s="30" t="e">
        <f>VLOOKUP(I1822,PGStock[],3,FALSE)</f>
        <v>#N/A</v>
      </c>
      <c r="M1822" s="62" t="e">
        <f>VLOOKUP(I1822,PGStock[],6,FALSE)</f>
        <v>#N/A</v>
      </c>
      <c r="N1822" s="62" t="e">
        <f>+Table8[[#This Row],[SalesBot]]*Table8[[#This Row],[Bonus]]</f>
        <v>#N/A</v>
      </c>
    </row>
    <row r="1823" spans="1:14" ht="23.25" customHeight="1" x14ac:dyDescent="0.25">
      <c r="A1823" s="59">
        <f t="shared" si="153"/>
        <v>1900</v>
      </c>
      <c r="B1823" s="59">
        <f t="shared" si="154"/>
        <v>1</v>
      </c>
      <c r="C1823" s="60"/>
      <c r="D1823" s="79"/>
      <c r="F1823" s="23" t="e">
        <f>VLOOKUP(E1823,Customers[],2,FALSE)</f>
        <v>#N/A</v>
      </c>
      <c r="G1823" s="23" t="e">
        <f>VLOOKUP(E1823,Customers[],3,FALSE)</f>
        <v>#N/A</v>
      </c>
      <c r="H1823" s="23" t="e">
        <f>VLOOKUP(E1823,Customers[],4,FALSE)</f>
        <v>#N/A</v>
      </c>
      <c r="J1823" s="29" t="e">
        <f>VLOOKUP(I1823,PGStock[],2,FALSE)</f>
        <v>#N/A</v>
      </c>
      <c r="K1823" s="30" t="e">
        <f>VLOOKUP(I1823,PGStock[],3,FALSE)</f>
        <v>#N/A</v>
      </c>
      <c r="M1823" s="62" t="e">
        <f>VLOOKUP(I1823,PGStock[],6,FALSE)</f>
        <v>#N/A</v>
      </c>
      <c r="N1823" s="62" t="e">
        <f>+Table8[[#This Row],[SalesBot]]*Table8[[#This Row],[Bonus]]</f>
        <v>#N/A</v>
      </c>
    </row>
    <row r="1824" spans="1:14" ht="23.25" customHeight="1" x14ac:dyDescent="0.25">
      <c r="A1824" s="59">
        <f t="shared" si="153"/>
        <v>1900</v>
      </c>
      <c r="B1824" s="59">
        <f t="shared" si="154"/>
        <v>1</v>
      </c>
      <c r="C1824" s="60"/>
      <c r="D1824" s="61"/>
      <c r="F1824" s="23" t="e">
        <f>VLOOKUP(E1824,Customers[],2,FALSE)</f>
        <v>#N/A</v>
      </c>
      <c r="G1824" s="23" t="e">
        <f>VLOOKUP(E1824,Customers[],3,FALSE)</f>
        <v>#N/A</v>
      </c>
      <c r="H1824" s="23" t="e">
        <f>VLOOKUP(E1824,Customers[],4,FALSE)</f>
        <v>#N/A</v>
      </c>
      <c r="J1824" s="29" t="e">
        <f>VLOOKUP(I1824,PGStock[],2,FALSE)</f>
        <v>#N/A</v>
      </c>
      <c r="K1824" s="30" t="e">
        <f>VLOOKUP(I1824,PGStock[],3,FALSE)</f>
        <v>#N/A</v>
      </c>
      <c r="M1824" s="62" t="e">
        <f>VLOOKUP(I1824,PGStock[],6,FALSE)</f>
        <v>#N/A</v>
      </c>
      <c r="N1824" s="62" t="e">
        <f>+Table8[[#This Row],[SalesBot]]*Table8[[#This Row],[Bonus]]</f>
        <v>#N/A</v>
      </c>
    </row>
    <row r="1825" spans="1:14" ht="23.25" customHeight="1" x14ac:dyDescent="0.25">
      <c r="A1825" s="59">
        <f t="shared" si="111"/>
        <v>1900</v>
      </c>
      <c r="B1825" s="59">
        <f t="shared" si="112"/>
        <v>1</v>
      </c>
      <c r="C1825" s="60"/>
      <c r="D1825" s="21"/>
      <c r="F1825" s="23" t="e">
        <f>VLOOKUP(E1825,Customers[],2,FALSE)</f>
        <v>#N/A</v>
      </c>
      <c r="G1825" s="23" t="e">
        <f>VLOOKUP(E1825,Customers[],3,FALSE)</f>
        <v>#N/A</v>
      </c>
      <c r="H1825" s="23" t="e">
        <f>VLOOKUP(E1825,Customers[],4,FALSE)</f>
        <v>#N/A</v>
      </c>
      <c r="J1825" s="29" t="e">
        <f>VLOOKUP(I1825,PGStock[],2,FALSE)</f>
        <v>#N/A</v>
      </c>
      <c r="K1825" s="30" t="e">
        <f>VLOOKUP(I1825,PGStock[],3,FALSE)</f>
        <v>#N/A</v>
      </c>
      <c r="M1825" s="62" t="e">
        <f>VLOOKUP(I1825,PGStock[],6,FALSE)</f>
        <v>#N/A</v>
      </c>
      <c r="N1825" s="62" t="e">
        <f>+Table8[[#This Row],[SalesBot]]*Table8[[#This Row],[Bonus]]</f>
        <v>#N/A</v>
      </c>
    </row>
    <row r="1826" spans="1:14" ht="23.25" customHeight="1" x14ac:dyDescent="0.25">
      <c r="A1826" s="59">
        <f t="shared" si="111"/>
        <v>1900</v>
      </c>
      <c r="B1826" s="59">
        <f t="shared" si="112"/>
        <v>1</v>
      </c>
      <c r="C1826" s="60"/>
      <c r="D1826" s="21"/>
      <c r="F1826" s="23" t="e">
        <f>VLOOKUP(E1826,Customers[],2,FALSE)</f>
        <v>#N/A</v>
      </c>
      <c r="G1826" s="23" t="e">
        <f>VLOOKUP(E1826,Customers[],3,FALSE)</f>
        <v>#N/A</v>
      </c>
      <c r="H1826" s="23" t="e">
        <f>VLOOKUP(E1826,Customers[],4,FALSE)</f>
        <v>#N/A</v>
      </c>
      <c r="J1826" s="29" t="e">
        <f>VLOOKUP(I1826,PGStock[],2,FALSE)</f>
        <v>#N/A</v>
      </c>
      <c r="K1826" s="30" t="e">
        <f>VLOOKUP(I1826,PGStock[],3,FALSE)</f>
        <v>#N/A</v>
      </c>
      <c r="M1826" s="62" t="e">
        <f>VLOOKUP(I1826,PGStock[],6,FALSE)</f>
        <v>#N/A</v>
      </c>
      <c r="N1826" s="62" t="e">
        <f>+Table8[[#This Row],[SalesBot]]*Table8[[#This Row],[Bonus]]</f>
        <v>#N/A</v>
      </c>
    </row>
    <row r="1827" spans="1:14" ht="23.25" customHeight="1" x14ac:dyDescent="0.25">
      <c r="A1827" s="77">
        <f t="shared" ref="A1827:A1833" si="201">YEAR(C1827)</f>
        <v>1900</v>
      </c>
      <c r="B1827" s="77">
        <f t="shared" ref="B1827:B1833" si="202">MONTH(C1827)</f>
        <v>1</v>
      </c>
      <c r="C1827" s="60"/>
      <c r="D1827" s="61"/>
      <c r="F1827" s="23" t="e">
        <f>VLOOKUP(E1827,Customers[],2,FALSE)</f>
        <v>#N/A</v>
      </c>
      <c r="G1827" s="23" t="e">
        <f>VLOOKUP(E1827,Customers[],3,FALSE)</f>
        <v>#N/A</v>
      </c>
      <c r="H1827" s="23" t="e">
        <f>VLOOKUP(E1827,Customers[],4,FALSE)</f>
        <v>#N/A</v>
      </c>
      <c r="J1827" s="29" t="e">
        <f>VLOOKUP(I1827,PGStock[],2,FALSE)</f>
        <v>#N/A</v>
      </c>
      <c r="K1827" s="30" t="e">
        <f>VLOOKUP(I1827,PGStock[],3,FALSE)</f>
        <v>#N/A</v>
      </c>
      <c r="M1827" s="80" t="e">
        <f>VLOOKUP(I1827,PGStock[],6,FALSE)</f>
        <v>#N/A</v>
      </c>
      <c r="N1827" s="80" t="e">
        <f>+Table8[[#This Row],[SalesBot]]*Table8[[#This Row],[Bonus]]</f>
        <v>#N/A</v>
      </c>
    </row>
    <row r="1828" spans="1:14" ht="23.25" customHeight="1" x14ac:dyDescent="0.25">
      <c r="A1828" s="77">
        <f t="shared" si="201"/>
        <v>1900</v>
      </c>
      <c r="B1828" s="77">
        <f t="shared" si="202"/>
        <v>1</v>
      </c>
      <c r="C1828" s="60"/>
      <c r="D1828" s="61"/>
      <c r="F1828" s="23" t="e">
        <f>VLOOKUP(E1828,Customers[],2,FALSE)</f>
        <v>#N/A</v>
      </c>
      <c r="G1828" s="23" t="e">
        <f>VLOOKUP(E1828,Customers[],3,FALSE)</f>
        <v>#N/A</v>
      </c>
      <c r="H1828" s="23" t="e">
        <f>VLOOKUP(E1828,Customers[],4,FALSE)</f>
        <v>#N/A</v>
      </c>
      <c r="J1828" s="29" t="e">
        <f>VLOOKUP(I1828,PGStock[],2,FALSE)</f>
        <v>#N/A</v>
      </c>
      <c r="K1828" s="30" t="e">
        <f>VLOOKUP(I1828,PGStock[],3,FALSE)</f>
        <v>#N/A</v>
      </c>
      <c r="M1828" s="80" t="e">
        <f>VLOOKUP(I1828,PGStock[],6,FALSE)</f>
        <v>#N/A</v>
      </c>
      <c r="N1828" s="80" t="e">
        <f>+Table8[[#This Row],[SalesBot]]*Table8[[#This Row],[Bonus]]</f>
        <v>#N/A</v>
      </c>
    </row>
    <row r="1829" spans="1:14" ht="23.25" customHeight="1" x14ac:dyDescent="0.25">
      <c r="A1829" s="77">
        <f t="shared" si="201"/>
        <v>1900</v>
      </c>
      <c r="B1829" s="77">
        <f t="shared" si="202"/>
        <v>1</v>
      </c>
      <c r="C1829" s="60"/>
      <c r="D1829" s="21"/>
      <c r="F1829" s="23" t="e">
        <f>VLOOKUP(E1829,Customers[],2,FALSE)</f>
        <v>#N/A</v>
      </c>
      <c r="G1829" s="23" t="e">
        <f>VLOOKUP(E1829,Customers[],3,FALSE)</f>
        <v>#N/A</v>
      </c>
      <c r="H1829" s="23" t="e">
        <f>VLOOKUP(E1829,Customers[],4,FALSE)</f>
        <v>#N/A</v>
      </c>
      <c r="J1829" s="29" t="e">
        <f>VLOOKUP(I1829,PGStock[],2,FALSE)</f>
        <v>#N/A</v>
      </c>
      <c r="K1829" s="30" t="e">
        <f>VLOOKUP(I1829,PGStock[],3,FALSE)</f>
        <v>#N/A</v>
      </c>
      <c r="M1829" s="80" t="e">
        <f>VLOOKUP(I1829,PGStock[],6,FALSE)</f>
        <v>#N/A</v>
      </c>
      <c r="N1829" s="80" t="e">
        <f>+Table8[[#This Row],[SalesBot]]*Table8[[#This Row],[Bonus]]</f>
        <v>#N/A</v>
      </c>
    </row>
    <row r="1830" spans="1:14" ht="23.25" customHeight="1" x14ac:dyDescent="0.25">
      <c r="A1830" s="77">
        <f t="shared" si="201"/>
        <v>1900</v>
      </c>
      <c r="B1830" s="77">
        <f t="shared" si="202"/>
        <v>1</v>
      </c>
      <c r="C1830" s="60"/>
      <c r="D1830" s="79"/>
      <c r="F1830" s="23" t="e">
        <f>VLOOKUP(E1830,Customers[],2,FALSE)</f>
        <v>#N/A</v>
      </c>
      <c r="G1830" s="23" t="e">
        <f>VLOOKUP(E1830,Customers[],3,FALSE)</f>
        <v>#N/A</v>
      </c>
      <c r="H1830" s="23" t="e">
        <f>VLOOKUP(E1830,Customers[],4,FALSE)</f>
        <v>#N/A</v>
      </c>
      <c r="J1830" s="29" t="e">
        <f>VLOOKUP(I1830,PGStock[],2,FALSE)</f>
        <v>#N/A</v>
      </c>
      <c r="K1830" s="30" t="e">
        <f>VLOOKUP(I1830,PGStock[],3,FALSE)</f>
        <v>#N/A</v>
      </c>
      <c r="M1830" s="80" t="e">
        <f>VLOOKUP(I1830,PGStock[],6,FALSE)</f>
        <v>#N/A</v>
      </c>
      <c r="N1830" s="80" t="e">
        <f>+Table8[[#This Row],[SalesBot]]*Table8[[#This Row],[Bonus]]</f>
        <v>#N/A</v>
      </c>
    </row>
    <row r="1831" spans="1:14" ht="23.25" customHeight="1" x14ac:dyDescent="0.25">
      <c r="A1831" s="77">
        <f t="shared" si="201"/>
        <v>1900</v>
      </c>
      <c r="B1831" s="77">
        <f t="shared" si="202"/>
        <v>1</v>
      </c>
      <c r="C1831" s="78"/>
      <c r="D1831" s="21"/>
      <c r="F1831" s="23" t="e">
        <f>VLOOKUP(E1831,Customers[],2,FALSE)</f>
        <v>#N/A</v>
      </c>
      <c r="G1831" s="23" t="e">
        <f>VLOOKUP(E1831,Customers[],3,FALSE)</f>
        <v>#N/A</v>
      </c>
      <c r="H1831" s="23" t="e">
        <f>VLOOKUP(E1831,Customers[],4,FALSE)</f>
        <v>#N/A</v>
      </c>
      <c r="J1831" s="29" t="e">
        <f>VLOOKUP(I1831,PGStock[],2,FALSE)</f>
        <v>#N/A</v>
      </c>
      <c r="K1831" s="30" t="e">
        <f>VLOOKUP(I1831,PGStock[],3,FALSE)</f>
        <v>#N/A</v>
      </c>
      <c r="M1831" s="80" t="e">
        <f>VLOOKUP(I1831,PGStock[],6,FALSE)</f>
        <v>#N/A</v>
      </c>
      <c r="N1831" s="80" t="e">
        <f>+Table8[[#This Row],[SalesBot]]*Table8[[#This Row],[Bonus]]</f>
        <v>#N/A</v>
      </c>
    </row>
    <row r="1832" spans="1:14" ht="23.25" customHeight="1" x14ac:dyDescent="0.25">
      <c r="A1832" s="77">
        <f t="shared" si="201"/>
        <v>1900</v>
      </c>
      <c r="B1832" s="77">
        <f t="shared" si="202"/>
        <v>1</v>
      </c>
      <c r="C1832" s="78"/>
      <c r="D1832" s="61"/>
      <c r="F1832" s="23" t="e">
        <f>VLOOKUP(E1832,Customers[],2,FALSE)</f>
        <v>#N/A</v>
      </c>
      <c r="G1832" s="23" t="e">
        <f>VLOOKUP(E1832,Customers[],3,FALSE)</f>
        <v>#N/A</v>
      </c>
      <c r="H1832" s="23" t="e">
        <f>VLOOKUP(E1832,Customers[],4,FALSE)</f>
        <v>#N/A</v>
      </c>
      <c r="J1832" s="29" t="e">
        <f>VLOOKUP(I1832,PGStock[],2,FALSE)</f>
        <v>#N/A</v>
      </c>
      <c r="K1832" s="30" t="e">
        <f>VLOOKUP(I1832,PGStock[],3,FALSE)</f>
        <v>#N/A</v>
      </c>
      <c r="M1832" s="80" t="e">
        <f>VLOOKUP(I1832,PGStock[],6,FALSE)</f>
        <v>#N/A</v>
      </c>
      <c r="N1832" s="80" t="e">
        <f>+Table8[[#This Row],[SalesBot]]*Table8[[#This Row],[Bonus]]</f>
        <v>#N/A</v>
      </c>
    </row>
    <row r="1833" spans="1:14" ht="23.25" customHeight="1" x14ac:dyDescent="0.25">
      <c r="A1833" s="77">
        <f t="shared" si="201"/>
        <v>1900</v>
      </c>
      <c r="B1833" s="77">
        <f t="shared" si="202"/>
        <v>1</v>
      </c>
      <c r="C1833" s="78"/>
      <c r="D1833" s="61"/>
      <c r="F1833" s="23" t="e">
        <f>VLOOKUP(E1833,Customers[],2,FALSE)</f>
        <v>#N/A</v>
      </c>
      <c r="G1833" s="23" t="e">
        <f>VLOOKUP(E1833,Customers[],3,FALSE)</f>
        <v>#N/A</v>
      </c>
      <c r="H1833" s="23" t="e">
        <f>VLOOKUP(E1833,Customers[],4,FALSE)</f>
        <v>#N/A</v>
      </c>
      <c r="J1833" s="29" t="e">
        <f>VLOOKUP(I1833,PGStock[],2,FALSE)</f>
        <v>#N/A</v>
      </c>
      <c r="K1833" s="30" t="e">
        <f>VLOOKUP(I1833,PGStock[],3,FALSE)</f>
        <v>#N/A</v>
      </c>
      <c r="M1833" s="80" t="e">
        <f>VLOOKUP(I1833,PGStock[],6,FALSE)</f>
        <v>#N/A</v>
      </c>
      <c r="N1833" s="80" t="e">
        <f>+Table8[[#This Row],[SalesBot]]*Table8[[#This Row],[Bonus]]</f>
        <v>#N/A</v>
      </c>
    </row>
    <row r="1834" spans="1:14" ht="23.25" customHeight="1" x14ac:dyDescent="0.25">
      <c r="A1834" s="77">
        <f t="shared" ref="A1834:A1841" si="203">YEAR(C1834)</f>
        <v>1900</v>
      </c>
      <c r="B1834" s="77">
        <f t="shared" ref="B1834:B1841" si="204">MONTH(C1834)</f>
        <v>1</v>
      </c>
      <c r="C1834" s="78"/>
      <c r="D1834" s="21"/>
      <c r="F1834" s="23" t="e">
        <f>VLOOKUP(E1834,Customers[],2,FALSE)</f>
        <v>#N/A</v>
      </c>
      <c r="G1834" s="23" t="e">
        <f>VLOOKUP(E1834,Customers[],3,FALSE)</f>
        <v>#N/A</v>
      </c>
      <c r="H1834" s="23" t="e">
        <f>VLOOKUP(E1834,Customers[],4,FALSE)</f>
        <v>#N/A</v>
      </c>
      <c r="J1834" s="29" t="e">
        <f>VLOOKUP(I1834,PGStock[],2,FALSE)</f>
        <v>#N/A</v>
      </c>
      <c r="K1834" s="30" t="e">
        <f>VLOOKUP(I1834,PGStock[],3,FALSE)</f>
        <v>#N/A</v>
      </c>
      <c r="M1834" s="80" t="e">
        <f>VLOOKUP(I1834,PGStock[],6,FALSE)</f>
        <v>#N/A</v>
      </c>
      <c r="N1834" s="80" t="e">
        <f>+Table8[[#This Row],[SalesBot]]*Table8[[#This Row],[Bonus]]</f>
        <v>#N/A</v>
      </c>
    </row>
    <row r="1835" spans="1:14" ht="23.25" customHeight="1" x14ac:dyDescent="0.25">
      <c r="A1835" s="77">
        <f t="shared" si="203"/>
        <v>1900</v>
      </c>
      <c r="B1835" s="77">
        <f t="shared" si="204"/>
        <v>1</v>
      </c>
      <c r="C1835" s="78"/>
      <c r="D1835" s="79"/>
      <c r="F1835" s="23" t="e">
        <f>VLOOKUP(E1835,Customers[],2,FALSE)</f>
        <v>#N/A</v>
      </c>
      <c r="G1835" s="23" t="e">
        <f>VLOOKUP(E1835,Customers[],3,FALSE)</f>
        <v>#N/A</v>
      </c>
      <c r="H1835" s="23" t="e">
        <f>VLOOKUP(E1835,Customers[],4,FALSE)</f>
        <v>#N/A</v>
      </c>
      <c r="J1835" s="29" t="e">
        <f>VLOOKUP(I1835,PGStock[],2,FALSE)</f>
        <v>#N/A</v>
      </c>
      <c r="K1835" s="30" t="e">
        <f>VLOOKUP(I1835,PGStock[],3,FALSE)</f>
        <v>#N/A</v>
      </c>
      <c r="M1835" s="80" t="e">
        <f>VLOOKUP(I1835,PGStock[],6,FALSE)</f>
        <v>#N/A</v>
      </c>
      <c r="N1835" s="80" t="e">
        <f>+Table8[[#This Row],[SalesBot]]*Table8[[#This Row],[Bonus]]</f>
        <v>#N/A</v>
      </c>
    </row>
    <row r="1836" spans="1:14" ht="23.25" customHeight="1" x14ac:dyDescent="0.25">
      <c r="A1836" s="77">
        <f t="shared" si="203"/>
        <v>1900</v>
      </c>
      <c r="B1836" s="77">
        <f t="shared" si="204"/>
        <v>1</v>
      </c>
      <c r="C1836" s="78"/>
      <c r="D1836" s="21"/>
      <c r="F1836" s="23" t="e">
        <f>VLOOKUP(E1836,Customers[],2,FALSE)</f>
        <v>#N/A</v>
      </c>
      <c r="G1836" s="23" t="e">
        <f>VLOOKUP(E1836,Customers[],3,FALSE)</f>
        <v>#N/A</v>
      </c>
      <c r="H1836" s="23" t="e">
        <f>VLOOKUP(E1836,Customers[],4,FALSE)</f>
        <v>#N/A</v>
      </c>
      <c r="J1836" s="29" t="e">
        <f>VLOOKUP(I1836,PGStock[],2,FALSE)</f>
        <v>#N/A</v>
      </c>
      <c r="K1836" s="30" t="e">
        <f>VLOOKUP(I1836,PGStock[],3,FALSE)</f>
        <v>#N/A</v>
      </c>
      <c r="M1836" s="80" t="e">
        <f>VLOOKUP(I1836,PGStock[],6,FALSE)</f>
        <v>#N/A</v>
      </c>
      <c r="N1836" s="80" t="e">
        <f>+Table8[[#This Row],[SalesBot]]*Table8[[#This Row],[Bonus]]</f>
        <v>#N/A</v>
      </c>
    </row>
    <row r="1837" spans="1:14" ht="23.25" customHeight="1" x14ac:dyDescent="0.25">
      <c r="A1837" s="77">
        <f t="shared" si="203"/>
        <v>1900</v>
      </c>
      <c r="B1837" s="77">
        <f t="shared" si="204"/>
        <v>1</v>
      </c>
      <c r="C1837" s="78"/>
      <c r="D1837" s="61"/>
      <c r="F1837" s="23" t="e">
        <f>VLOOKUP(E1837,Customers[],2,FALSE)</f>
        <v>#N/A</v>
      </c>
      <c r="G1837" s="23" t="e">
        <f>VLOOKUP(E1837,Customers[],3,FALSE)</f>
        <v>#N/A</v>
      </c>
      <c r="H1837" s="23" t="e">
        <f>VLOOKUP(E1837,Customers[],4,FALSE)</f>
        <v>#N/A</v>
      </c>
      <c r="J1837" s="29" t="e">
        <f>VLOOKUP(I1837,PGStock[],2,FALSE)</f>
        <v>#N/A</v>
      </c>
      <c r="K1837" s="30" t="e">
        <f>VLOOKUP(I1837,PGStock[],3,FALSE)</f>
        <v>#N/A</v>
      </c>
      <c r="M1837" s="80" t="e">
        <f>VLOOKUP(I1837,PGStock[],6,FALSE)</f>
        <v>#N/A</v>
      </c>
      <c r="N1837" s="80" t="e">
        <f>+Table8[[#This Row],[SalesBot]]*Table8[[#This Row],[Bonus]]</f>
        <v>#N/A</v>
      </c>
    </row>
    <row r="1838" spans="1:14" ht="23.25" customHeight="1" x14ac:dyDescent="0.25">
      <c r="A1838" s="26">
        <f>YEAR(C1838)</f>
        <v>1900</v>
      </c>
      <c r="B1838" s="26">
        <f>MONTH(C1838)</f>
        <v>1</v>
      </c>
      <c r="C1838" s="78"/>
      <c r="D1838" s="21"/>
      <c r="F1838" s="23" t="e">
        <f>VLOOKUP(E1838,Customers[],2,FALSE)</f>
        <v>#N/A</v>
      </c>
      <c r="G1838" s="23" t="e">
        <f>VLOOKUP(E1838,Customers[],3,FALSE)</f>
        <v>#N/A</v>
      </c>
      <c r="H1838" s="23" t="e">
        <f>VLOOKUP(E1838,Customers[],4,FALSE)</f>
        <v>#N/A</v>
      </c>
      <c r="J1838" s="29" t="e">
        <f>VLOOKUP(I1838,PGStock[],2,FALSE)</f>
        <v>#N/A</v>
      </c>
      <c r="K1838" s="30" t="e">
        <f>VLOOKUP(I1838,PGStock[],3,FALSE)</f>
        <v>#N/A</v>
      </c>
      <c r="M1838" s="31" t="e">
        <f>VLOOKUP(I1838,PGStock[],6,FALSE)</f>
        <v>#N/A</v>
      </c>
      <c r="N1838" s="31" t="e">
        <f>+Table8[[#This Row],[SalesBot]]*Table8[[#This Row],[Bonus]]</f>
        <v>#N/A</v>
      </c>
    </row>
    <row r="1839" spans="1:14" ht="23.25" customHeight="1" x14ac:dyDescent="0.25">
      <c r="A1839" s="77">
        <f t="shared" si="203"/>
        <v>1900</v>
      </c>
      <c r="B1839" s="77">
        <f t="shared" si="204"/>
        <v>1</v>
      </c>
      <c r="C1839" s="78"/>
      <c r="D1839" s="61"/>
      <c r="F1839" s="23" t="e">
        <f>VLOOKUP(E1839,Customers[],2,FALSE)</f>
        <v>#N/A</v>
      </c>
      <c r="G1839" s="23" t="e">
        <f>VLOOKUP(E1839,Customers[],3,FALSE)</f>
        <v>#N/A</v>
      </c>
      <c r="H1839" s="23" t="e">
        <f>VLOOKUP(E1839,Customers[],4,FALSE)</f>
        <v>#N/A</v>
      </c>
      <c r="J1839" s="29" t="e">
        <f>VLOOKUP(I1839,PGStock[],2,FALSE)</f>
        <v>#N/A</v>
      </c>
      <c r="K1839" s="30" t="e">
        <f>VLOOKUP(I1839,PGStock[],3,FALSE)</f>
        <v>#N/A</v>
      </c>
      <c r="M1839" s="80" t="e">
        <f>VLOOKUP(I1839,PGStock[],6,FALSE)</f>
        <v>#N/A</v>
      </c>
      <c r="N1839" s="80" t="e">
        <f>+Table8[[#This Row],[SalesBot]]*Table8[[#This Row],[Bonus]]</f>
        <v>#N/A</v>
      </c>
    </row>
    <row r="1840" spans="1:14" ht="23.25" customHeight="1" x14ac:dyDescent="0.25">
      <c r="A1840" s="77">
        <f t="shared" si="203"/>
        <v>1900</v>
      </c>
      <c r="B1840" s="77">
        <f t="shared" si="204"/>
        <v>1</v>
      </c>
      <c r="C1840" s="78"/>
      <c r="D1840" s="79"/>
      <c r="F1840" s="23" t="e">
        <f>VLOOKUP(E1840,Customers[],2,FALSE)</f>
        <v>#N/A</v>
      </c>
      <c r="G1840" s="23" t="e">
        <f>VLOOKUP(E1840,Customers[],3,FALSE)</f>
        <v>#N/A</v>
      </c>
      <c r="H1840" s="23" t="e">
        <f>VLOOKUP(E1840,Customers[],4,FALSE)</f>
        <v>#N/A</v>
      </c>
      <c r="J1840" s="29" t="e">
        <f>VLOOKUP(I1840,PGStock[],2,FALSE)</f>
        <v>#N/A</v>
      </c>
      <c r="K1840" s="30" t="e">
        <f>VLOOKUP(I1840,PGStock[],3,FALSE)</f>
        <v>#N/A</v>
      </c>
      <c r="M1840" s="80" t="e">
        <f>VLOOKUP(I1840,PGStock[],6,FALSE)</f>
        <v>#N/A</v>
      </c>
      <c r="N1840" s="80" t="e">
        <f>+Table8[[#This Row],[SalesBot]]*Table8[[#This Row],[Bonus]]</f>
        <v>#N/A</v>
      </c>
    </row>
    <row r="1841" spans="1:14" ht="23.25" customHeight="1" x14ac:dyDescent="0.25">
      <c r="A1841" s="77">
        <f t="shared" si="203"/>
        <v>1900</v>
      </c>
      <c r="B1841" s="77">
        <f t="shared" si="204"/>
        <v>1</v>
      </c>
      <c r="C1841" s="78"/>
      <c r="D1841" s="21"/>
      <c r="F1841" s="23" t="e">
        <f>VLOOKUP(E1841,Customers[],2,FALSE)</f>
        <v>#N/A</v>
      </c>
      <c r="G1841" s="23" t="e">
        <f>VLOOKUP(E1841,Customers[],3,FALSE)</f>
        <v>#N/A</v>
      </c>
      <c r="H1841" s="23" t="e">
        <f>VLOOKUP(E1841,Customers[],4,FALSE)</f>
        <v>#N/A</v>
      </c>
      <c r="J1841" s="29" t="e">
        <f>VLOOKUP(I1841,PGStock[],2,FALSE)</f>
        <v>#N/A</v>
      </c>
      <c r="K1841" s="30" t="e">
        <f>VLOOKUP(I1841,PGStock[],3,FALSE)</f>
        <v>#N/A</v>
      </c>
      <c r="M1841" s="80" t="e">
        <f>VLOOKUP(I1841,PGStock[],6,FALSE)</f>
        <v>#N/A</v>
      </c>
      <c r="N1841" s="80" t="e">
        <f>+Table8[[#This Row],[SalesBot]]*Table8[[#This Row],[Bonus]]</f>
        <v>#N/A</v>
      </c>
    </row>
    <row r="1842" spans="1:14" ht="23.25" customHeight="1" x14ac:dyDescent="0.25">
      <c r="A1842" s="77">
        <f t="shared" ref="A1842:A1849" si="205">YEAR(C1842)</f>
        <v>1900</v>
      </c>
      <c r="B1842" s="77">
        <f t="shared" ref="B1842:B1849" si="206">MONTH(C1842)</f>
        <v>1</v>
      </c>
      <c r="C1842" s="78"/>
      <c r="D1842" s="61"/>
      <c r="F1842" s="23" t="e">
        <f>VLOOKUP(E1842,Customers[],2,FALSE)</f>
        <v>#N/A</v>
      </c>
      <c r="G1842" s="23" t="e">
        <f>VLOOKUP(E1842,Customers[],3,FALSE)</f>
        <v>#N/A</v>
      </c>
      <c r="H1842" s="23" t="e">
        <f>VLOOKUP(E1842,Customers[],4,FALSE)</f>
        <v>#N/A</v>
      </c>
      <c r="J1842" s="29" t="e">
        <f>VLOOKUP(I1842,PGStock[],2,FALSE)</f>
        <v>#N/A</v>
      </c>
      <c r="K1842" s="30" t="e">
        <f>VLOOKUP(I1842,PGStock[],3,FALSE)</f>
        <v>#N/A</v>
      </c>
      <c r="M1842" s="80" t="e">
        <f>VLOOKUP(I1842,PGStock[],6,FALSE)</f>
        <v>#N/A</v>
      </c>
      <c r="N1842" s="80" t="e">
        <f>+Table8[[#This Row],[SalesBot]]*Table8[[#This Row],[Bonus]]</f>
        <v>#N/A</v>
      </c>
    </row>
    <row r="1843" spans="1:14" ht="23.25" customHeight="1" x14ac:dyDescent="0.25">
      <c r="A1843" s="77">
        <f t="shared" si="205"/>
        <v>1900</v>
      </c>
      <c r="B1843" s="77">
        <f t="shared" si="206"/>
        <v>1</v>
      </c>
      <c r="C1843" s="78"/>
      <c r="D1843" s="61"/>
      <c r="F1843" s="23" t="e">
        <f>VLOOKUP(E1843,Customers[],2,FALSE)</f>
        <v>#N/A</v>
      </c>
      <c r="G1843" s="23" t="e">
        <f>VLOOKUP(E1843,Customers[],3,FALSE)</f>
        <v>#N/A</v>
      </c>
      <c r="H1843" s="23" t="e">
        <f>VLOOKUP(E1843,Customers[],4,FALSE)</f>
        <v>#N/A</v>
      </c>
      <c r="J1843" s="29" t="e">
        <f>VLOOKUP(I1843,PGStock[],2,FALSE)</f>
        <v>#N/A</v>
      </c>
      <c r="K1843" s="30" t="e">
        <f>VLOOKUP(I1843,PGStock[],3,FALSE)</f>
        <v>#N/A</v>
      </c>
      <c r="M1843" s="80" t="e">
        <f>VLOOKUP(I1843,PGStock[],6,FALSE)</f>
        <v>#N/A</v>
      </c>
      <c r="N1843" s="80" t="e">
        <f>+Table8[[#This Row],[SalesBot]]*Table8[[#This Row],[Bonus]]</f>
        <v>#N/A</v>
      </c>
    </row>
    <row r="1844" spans="1:14" ht="23.25" customHeight="1" x14ac:dyDescent="0.25">
      <c r="A1844" s="77">
        <f t="shared" si="205"/>
        <v>1900</v>
      </c>
      <c r="B1844" s="77">
        <f t="shared" si="206"/>
        <v>1</v>
      </c>
      <c r="C1844" s="78"/>
      <c r="D1844" s="21"/>
      <c r="F1844" s="23" t="e">
        <f>VLOOKUP(E1844,Customers[],2,FALSE)</f>
        <v>#N/A</v>
      </c>
      <c r="G1844" s="23" t="e">
        <f>VLOOKUP(E1844,Customers[],3,FALSE)</f>
        <v>#N/A</v>
      </c>
      <c r="H1844" s="23" t="e">
        <f>VLOOKUP(E1844,Customers[],4,FALSE)</f>
        <v>#N/A</v>
      </c>
      <c r="J1844" s="29" t="e">
        <f>VLOOKUP(I1844,PGStock[],2,FALSE)</f>
        <v>#N/A</v>
      </c>
      <c r="K1844" s="30" t="e">
        <f>VLOOKUP(I1844,PGStock[],3,FALSE)</f>
        <v>#N/A</v>
      </c>
      <c r="M1844" s="80" t="e">
        <f>VLOOKUP(I1844,PGStock[],6,FALSE)</f>
        <v>#N/A</v>
      </c>
      <c r="N1844" s="80" t="e">
        <f>+Table8[[#This Row],[SalesBot]]*Table8[[#This Row],[Bonus]]</f>
        <v>#N/A</v>
      </c>
    </row>
    <row r="1845" spans="1:14" ht="23.25" customHeight="1" x14ac:dyDescent="0.25">
      <c r="A1845" s="77">
        <f t="shared" si="205"/>
        <v>1900</v>
      </c>
      <c r="B1845" s="77">
        <f t="shared" si="206"/>
        <v>1</v>
      </c>
      <c r="C1845" s="78"/>
      <c r="D1845" s="79"/>
      <c r="F1845" s="23" t="e">
        <f>VLOOKUP(E1845,Customers[],2,FALSE)</f>
        <v>#N/A</v>
      </c>
      <c r="G1845" s="23" t="e">
        <f>VLOOKUP(E1845,Customers[],3,FALSE)</f>
        <v>#N/A</v>
      </c>
      <c r="H1845" s="23" t="e">
        <f>VLOOKUP(E1845,Customers[],4,FALSE)</f>
        <v>#N/A</v>
      </c>
      <c r="J1845" s="29" t="e">
        <f>VLOOKUP(I1845,PGStock[],2,FALSE)</f>
        <v>#N/A</v>
      </c>
      <c r="K1845" s="30" t="e">
        <f>VLOOKUP(I1845,PGStock[],3,FALSE)</f>
        <v>#N/A</v>
      </c>
      <c r="M1845" s="80" t="e">
        <f>VLOOKUP(I1845,PGStock[],6,FALSE)</f>
        <v>#N/A</v>
      </c>
      <c r="N1845" s="80" t="e">
        <f>+Table8[[#This Row],[SalesBot]]*Table8[[#This Row],[Bonus]]</f>
        <v>#N/A</v>
      </c>
    </row>
    <row r="1846" spans="1:14" ht="23.25" customHeight="1" x14ac:dyDescent="0.25">
      <c r="A1846" s="77">
        <f t="shared" si="205"/>
        <v>1900</v>
      </c>
      <c r="B1846" s="77">
        <f t="shared" si="206"/>
        <v>1</v>
      </c>
      <c r="C1846" s="78"/>
      <c r="D1846" s="21"/>
      <c r="F1846" s="23" t="e">
        <f>VLOOKUP(E1846,Customers[],2,FALSE)</f>
        <v>#N/A</v>
      </c>
      <c r="G1846" s="23" t="e">
        <f>VLOOKUP(E1846,Customers[],3,FALSE)</f>
        <v>#N/A</v>
      </c>
      <c r="H1846" s="23" t="e">
        <f>VLOOKUP(E1846,Customers[],4,FALSE)</f>
        <v>#N/A</v>
      </c>
      <c r="J1846" s="29" t="e">
        <f>VLOOKUP(I1846,PGStock[],2,FALSE)</f>
        <v>#N/A</v>
      </c>
      <c r="K1846" s="30" t="e">
        <f>VLOOKUP(I1846,PGStock[],3,FALSE)</f>
        <v>#N/A</v>
      </c>
      <c r="M1846" s="80" t="e">
        <f>VLOOKUP(I1846,PGStock[],6,FALSE)</f>
        <v>#N/A</v>
      </c>
      <c r="N1846" s="80" t="e">
        <f>+Table8[[#This Row],[SalesBot]]*Table8[[#This Row],[Bonus]]</f>
        <v>#N/A</v>
      </c>
    </row>
    <row r="1847" spans="1:14" ht="23.25" customHeight="1" x14ac:dyDescent="0.25">
      <c r="A1847" s="77">
        <f t="shared" si="205"/>
        <v>1900</v>
      </c>
      <c r="B1847" s="77">
        <f t="shared" si="206"/>
        <v>1</v>
      </c>
      <c r="C1847" s="78"/>
      <c r="D1847" s="61"/>
      <c r="F1847" s="23" t="e">
        <f>VLOOKUP(E1847,Customers[],2,FALSE)</f>
        <v>#N/A</v>
      </c>
      <c r="G1847" s="23" t="e">
        <f>VLOOKUP(E1847,Customers[],3,FALSE)</f>
        <v>#N/A</v>
      </c>
      <c r="H1847" s="23" t="e">
        <f>VLOOKUP(E1847,Customers[],4,FALSE)</f>
        <v>#N/A</v>
      </c>
      <c r="J1847" s="29" t="e">
        <f>VLOOKUP(I1847,PGStock[],2,FALSE)</f>
        <v>#N/A</v>
      </c>
      <c r="K1847" s="30" t="e">
        <f>VLOOKUP(I1847,PGStock[],3,FALSE)</f>
        <v>#N/A</v>
      </c>
      <c r="M1847" s="80" t="e">
        <f>VLOOKUP(I1847,PGStock[],6,FALSE)</f>
        <v>#N/A</v>
      </c>
      <c r="N1847" s="80" t="e">
        <f>+Table8[[#This Row],[SalesBot]]*Table8[[#This Row],[Bonus]]</f>
        <v>#N/A</v>
      </c>
    </row>
    <row r="1848" spans="1:14" ht="23.25" customHeight="1" x14ac:dyDescent="0.25">
      <c r="A1848" s="77">
        <f t="shared" si="205"/>
        <v>1900</v>
      </c>
      <c r="B1848" s="77">
        <f t="shared" si="206"/>
        <v>1</v>
      </c>
      <c r="C1848" s="78"/>
      <c r="D1848" s="21"/>
      <c r="F1848" s="23" t="e">
        <f>VLOOKUP(E1848,Customers[],2,FALSE)</f>
        <v>#N/A</v>
      </c>
      <c r="G1848" s="23" t="e">
        <f>VLOOKUP(E1848,Customers[],3,FALSE)</f>
        <v>#N/A</v>
      </c>
      <c r="H1848" s="23" t="e">
        <f>VLOOKUP(E1848,Customers[],4,FALSE)</f>
        <v>#N/A</v>
      </c>
      <c r="J1848" s="29" t="e">
        <f>VLOOKUP(I1848,PGStock[],2,FALSE)</f>
        <v>#N/A</v>
      </c>
      <c r="K1848" s="30" t="e">
        <f>VLOOKUP(I1848,PGStock[],3,FALSE)</f>
        <v>#N/A</v>
      </c>
      <c r="M1848" s="80" t="e">
        <f>VLOOKUP(I1848,PGStock[],6,FALSE)</f>
        <v>#N/A</v>
      </c>
      <c r="N1848" s="80" t="e">
        <f>+Table8[[#This Row],[SalesBot]]*Table8[[#This Row],[Bonus]]</f>
        <v>#N/A</v>
      </c>
    </row>
    <row r="1849" spans="1:14" ht="23.25" customHeight="1" x14ac:dyDescent="0.25">
      <c r="A1849" s="77">
        <f t="shared" si="205"/>
        <v>1900</v>
      </c>
      <c r="B1849" s="77">
        <f t="shared" si="206"/>
        <v>1</v>
      </c>
      <c r="C1849" s="78"/>
      <c r="D1849" s="61"/>
      <c r="F1849" s="23" t="e">
        <f>VLOOKUP(E1849,Customers[],2,FALSE)</f>
        <v>#N/A</v>
      </c>
      <c r="G1849" s="23" t="e">
        <f>VLOOKUP(E1849,Customers[],3,FALSE)</f>
        <v>#N/A</v>
      </c>
      <c r="H1849" s="23" t="e">
        <f>VLOOKUP(E1849,Customers[],4,FALSE)</f>
        <v>#N/A</v>
      </c>
      <c r="J1849" s="29" t="e">
        <f>VLOOKUP(I1849,PGStock[],2,FALSE)</f>
        <v>#N/A</v>
      </c>
      <c r="K1849" s="30" t="e">
        <f>VLOOKUP(I1849,PGStock[],3,FALSE)</f>
        <v>#N/A</v>
      </c>
      <c r="M1849" s="80" t="e">
        <f>VLOOKUP(I1849,PGStock[],6,FALSE)</f>
        <v>#N/A</v>
      </c>
      <c r="N1849" s="80" t="e">
        <f>+Table8[[#This Row],[SalesBot]]*Table8[[#This Row],[Bonus]]</f>
        <v>#N/A</v>
      </c>
    </row>
    <row r="1850" spans="1:14" ht="23.25" customHeight="1" x14ac:dyDescent="0.25">
      <c r="A1850" s="77">
        <f t="shared" ref="A1850:A1857" si="207">YEAR(C1850)</f>
        <v>1900</v>
      </c>
      <c r="B1850" s="77">
        <f t="shared" ref="B1850:B1857" si="208">MONTH(C1850)</f>
        <v>1</v>
      </c>
      <c r="C1850" s="78"/>
      <c r="D1850" s="79"/>
      <c r="F1850" s="23" t="e">
        <f>VLOOKUP(E1850,Customers[],2,FALSE)</f>
        <v>#N/A</v>
      </c>
      <c r="G1850" s="23" t="e">
        <f>VLOOKUP(E1850,Customers[],3,FALSE)</f>
        <v>#N/A</v>
      </c>
      <c r="H1850" s="23" t="e">
        <f>VLOOKUP(E1850,Customers[],4,FALSE)</f>
        <v>#N/A</v>
      </c>
      <c r="J1850" s="29" t="e">
        <f>VLOOKUP(I1850,PGStock[],2,FALSE)</f>
        <v>#N/A</v>
      </c>
      <c r="K1850" s="30" t="e">
        <f>VLOOKUP(I1850,PGStock[],3,FALSE)</f>
        <v>#N/A</v>
      </c>
      <c r="M1850" s="80" t="e">
        <f>VLOOKUP(I1850,PGStock[],6,FALSE)</f>
        <v>#N/A</v>
      </c>
      <c r="N1850" s="80" t="e">
        <f>+Table8[[#This Row],[SalesBot]]*Table8[[#This Row],[Bonus]]</f>
        <v>#N/A</v>
      </c>
    </row>
    <row r="1851" spans="1:14" ht="23.25" customHeight="1" x14ac:dyDescent="0.25">
      <c r="A1851" s="77">
        <f t="shared" si="207"/>
        <v>1900</v>
      </c>
      <c r="B1851" s="77">
        <f t="shared" si="208"/>
        <v>1</v>
      </c>
      <c r="C1851" s="78"/>
      <c r="D1851" s="61"/>
      <c r="F1851" s="23" t="e">
        <f>VLOOKUP(E1851,Customers[],2,FALSE)</f>
        <v>#N/A</v>
      </c>
      <c r="G1851" s="23" t="e">
        <f>VLOOKUP(E1851,Customers[],3,FALSE)</f>
        <v>#N/A</v>
      </c>
      <c r="H1851" s="23" t="e">
        <f>VLOOKUP(E1851,Customers[],4,FALSE)</f>
        <v>#N/A</v>
      </c>
      <c r="J1851" s="29" t="e">
        <f>VLOOKUP(I1851,PGStock[],2,FALSE)</f>
        <v>#N/A</v>
      </c>
      <c r="K1851" s="30" t="e">
        <f>VLOOKUP(I1851,PGStock[],3,FALSE)</f>
        <v>#N/A</v>
      </c>
      <c r="M1851" s="80" t="e">
        <f>VLOOKUP(I1851,PGStock[],6,FALSE)</f>
        <v>#N/A</v>
      </c>
      <c r="N1851" s="80" t="e">
        <f>+Table8[[#This Row],[SalesBot]]*Table8[[#This Row],[Bonus]]</f>
        <v>#N/A</v>
      </c>
    </row>
    <row r="1852" spans="1:14" ht="23.25" customHeight="1" x14ac:dyDescent="0.25">
      <c r="A1852" s="77">
        <f t="shared" si="207"/>
        <v>1900</v>
      </c>
      <c r="B1852" s="77">
        <f t="shared" si="208"/>
        <v>1</v>
      </c>
      <c r="C1852" s="78"/>
      <c r="D1852" s="21"/>
      <c r="F1852" s="23" t="e">
        <f>VLOOKUP(E1852,Customers[],2,FALSE)</f>
        <v>#N/A</v>
      </c>
      <c r="G1852" s="23" t="e">
        <f>VLOOKUP(E1852,Customers[],3,FALSE)</f>
        <v>#N/A</v>
      </c>
      <c r="H1852" s="23" t="e">
        <f>VLOOKUP(E1852,Customers[],4,FALSE)</f>
        <v>#N/A</v>
      </c>
      <c r="J1852" s="29" t="e">
        <f>VLOOKUP(I1852,PGStock[],2,FALSE)</f>
        <v>#N/A</v>
      </c>
      <c r="K1852" s="30" t="e">
        <f>VLOOKUP(I1852,PGStock[],3,FALSE)</f>
        <v>#N/A</v>
      </c>
      <c r="M1852" s="80" t="e">
        <f>VLOOKUP(I1852,PGStock[],6,FALSE)</f>
        <v>#N/A</v>
      </c>
      <c r="N1852" s="80" t="e">
        <f>+Table8[[#This Row],[SalesBot]]*Table8[[#This Row],[Bonus]]</f>
        <v>#N/A</v>
      </c>
    </row>
    <row r="1853" spans="1:14" ht="23.25" customHeight="1" x14ac:dyDescent="0.25">
      <c r="A1853" s="77">
        <f t="shared" si="207"/>
        <v>1900</v>
      </c>
      <c r="B1853" s="77">
        <f t="shared" si="208"/>
        <v>1</v>
      </c>
      <c r="C1853" s="78"/>
      <c r="D1853" s="21"/>
      <c r="F1853" s="23" t="e">
        <f>VLOOKUP(E1853,Customers[],2,FALSE)</f>
        <v>#N/A</v>
      </c>
      <c r="G1853" s="23" t="e">
        <f>VLOOKUP(E1853,Customers[],3,FALSE)</f>
        <v>#N/A</v>
      </c>
      <c r="H1853" s="23" t="e">
        <f>VLOOKUP(E1853,Customers[],4,FALSE)</f>
        <v>#N/A</v>
      </c>
      <c r="J1853" s="29" t="e">
        <f>VLOOKUP(I1853,PGStock[],2,FALSE)</f>
        <v>#N/A</v>
      </c>
      <c r="K1853" s="30" t="e">
        <f>VLOOKUP(I1853,PGStock[],3,FALSE)</f>
        <v>#N/A</v>
      </c>
      <c r="M1853" s="80" t="e">
        <f>VLOOKUP(I1853,PGStock[],6,FALSE)</f>
        <v>#N/A</v>
      </c>
      <c r="N1853" s="80" t="e">
        <f>+Table8[[#This Row],[SalesBot]]*Table8[[#This Row],[Bonus]]</f>
        <v>#N/A</v>
      </c>
    </row>
    <row r="1854" spans="1:14" ht="23.25" customHeight="1" x14ac:dyDescent="0.25">
      <c r="A1854" s="77">
        <f t="shared" si="207"/>
        <v>1900</v>
      </c>
      <c r="B1854" s="77">
        <f t="shared" si="208"/>
        <v>1</v>
      </c>
      <c r="C1854" s="78"/>
      <c r="D1854" s="61"/>
      <c r="F1854" s="23" t="e">
        <f>VLOOKUP(E1854,Customers[],2,FALSE)</f>
        <v>#N/A</v>
      </c>
      <c r="G1854" s="23" t="e">
        <f>VLOOKUP(E1854,Customers[],3,FALSE)</f>
        <v>#N/A</v>
      </c>
      <c r="H1854" s="23" t="e">
        <f>VLOOKUP(E1854,Customers[],4,FALSE)</f>
        <v>#N/A</v>
      </c>
      <c r="J1854" s="29" t="e">
        <f>VLOOKUP(I1854,PGStock[],2,FALSE)</f>
        <v>#N/A</v>
      </c>
      <c r="K1854" s="30" t="e">
        <f>VLOOKUP(I1854,PGStock[],3,FALSE)</f>
        <v>#N/A</v>
      </c>
      <c r="M1854" s="80" t="e">
        <f>VLOOKUP(I1854,PGStock[],6,FALSE)</f>
        <v>#N/A</v>
      </c>
      <c r="N1854" s="80" t="e">
        <f>+Table8[[#This Row],[SalesBot]]*Table8[[#This Row],[Bonus]]</f>
        <v>#N/A</v>
      </c>
    </row>
    <row r="1855" spans="1:14" ht="23.25" customHeight="1" x14ac:dyDescent="0.25">
      <c r="A1855" s="77">
        <f t="shared" si="207"/>
        <v>1900</v>
      </c>
      <c r="B1855" s="77">
        <f t="shared" si="208"/>
        <v>1</v>
      </c>
      <c r="C1855" s="78"/>
      <c r="D1855" s="79"/>
      <c r="F1855" s="23" t="e">
        <f>VLOOKUP(E1855,Customers[],2,FALSE)</f>
        <v>#N/A</v>
      </c>
      <c r="G1855" s="23" t="e">
        <f>VLOOKUP(E1855,Customers[],3,FALSE)</f>
        <v>#N/A</v>
      </c>
      <c r="H1855" s="23" t="e">
        <f>VLOOKUP(E1855,Customers[],4,FALSE)</f>
        <v>#N/A</v>
      </c>
      <c r="J1855" s="29" t="e">
        <f>VLOOKUP(I1855,PGStock[],2,FALSE)</f>
        <v>#N/A</v>
      </c>
      <c r="K1855" s="30" t="e">
        <f>VLOOKUP(I1855,PGStock[],3,FALSE)</f>
        <v>#N/A</v>
      </c>
      <c r="M1855" s="80" t="e">
        <f>VLOOKUP(I1855,PGStock[],6,FALSE)</f>
        <v>#N/A</v>
      </c>
      <c r="N1855" s="80" t="e">
        <f>+Table8[[#This Row],[SalesBot]]*Table8[[#This Row],[Bonus]]</f>
        <v>#N/A</v>
      </c>
    </row>
    <row r="1856" spans="1:14" ht="23.25" customHeight="1" x14ac:dyDescent="0.25">
      <c r="A1856" s="77">
        <f t="shared" si="207"/>
        <v>1900</v>
      </c>
      <c r="B1856" s="77">
        <f t="shared" si="208"/>
        <v>1</v>
      </c>
      <c r="C1856" s="78"/>
      <c r="D1856" s="61"/>
      <c r="F1856" s="23" t="e">
        <f>VLOOKUP(E1856,Customers[],2,FALSE)</f>
        <v>#N/A</v>
      </c>
      <c r="G1856" s="23" t="e">
        <f>VLOOKUP(E1856,Customers[],3,FALSE)</f>
        <v>#N/A</v>
      </c>
      <c r="H1856" s="23" t="e">
        <f>VLOOKUP(E1856,Customers[],4,FALSE)</f>
        <v>#N/A</v>
      </c>
      <c r="J1856" s="29" t="e">
        <f>VLOOKUP(I1856,PGStock[],2,FALSE)</f>
        <v>#N/A</v>
      </c>
      <c r="K1856" s="30" t="e">
        <f>VLOOKUP(I1856,PGStock[],3,FALSE)</f>
        <v>#N/A</v>
      </c>
      <c r="M1856" s="80" t="e">
        <f>VLOOKUP(I1856,PGStock[],6,FALSE)</f>
        <v>#N/A</v>
      </c>
      <c r="N1856" s="80" t="e">
        <f>+Table8[[#This Row],[SalesBot]]*Table8[[#This Row],[Bonus]]</f>
        <v>#N/A</v>
      </c>
    </row>
    <row r="1857" spans="1:14" ht="23.25" customHeight="1" x14ac:dyDescent="0.25">
      <c r="A1857" s="77">
        <f t="shared" si="207"/>
        <v>1900</v>
      </c>
      <c r="B1857" s="77">
        <f t="shared" si="208"/>
        <v>1</v>
      </c>
      <c r="C1857" s="78"/>
      <c r="D1857" s="21"/>
      <c r="F1857" s="23" t="e">
        <f>VLOOKUP(E1857,Customers[],2,FALSE)</f>
        <v>#N/A</v>
      </c>
      <c r="G1857" s="23" t="e">
        <f>VLOOKUP(E1857,Customers[],3,FALSE)</f>
        <v>#N/A</v>
      </c>
      <c r="H1857" s="23" t="e">
        <f>VLOOKUP(E1857,Customers[],4,FALSE)</f>
        <v>#N/A</v>
      </c>
      <c r="J1857" s="29" t="e">
        <f>VLOOKUP(I1857,PGStock[],2,FALSE)</f>
        <v>#N/A</v>
      </c>
      <c r="K1857" s="30" t="e">
        <f>VLOOKUP(I1857,PGStock[],3,FALSE)</f>
        <v>#N/A</v>
      </c>
      <c r="M1857" s="80" t="e">
        <f>VLOOKUP(I1857,PGStock[],6,FALSE)</f>
        <v>#N/A</v>
      </c>
      <c r="N1857" s="80" t="e">
        <f>+Table8[[#This Row],[SalesBot]]*Table8[[#This Row],[Bonus]]</f>
        <v>#N/A</v>
      </c>
    </row>
    <row r="1858" spans="1:14" ht="23.25" customHeight="1" x14ac:dyDescent="0.25">
      <c r="A1858" s="77">
        <f t="shared" ref="A1858:A1865" si="209">YEAR(C1858)</f>
        <v>1900</v>
      </c>
      <c r="B1858" s="77">
        <f t="shared" ref="B1858:B1865" si="210">MONTH(C1858)</f>
        <v>1</v>
      </c>
      <c r="C1858" s="78"/>
      <c r="D1858" s="61"/>
      <c r="F1858" s="23" t="e">
        <f>VLOOKUP(E1858,Customers[],2,FALSE)</f>
        <v>#N/A</v>
      </c>
      <c r="G1858" s="23" t="e">
        <f>VLOOKUP(E1858,Customers[],3,FALSE)</f>
        <v>#N/A</v>
      </c>
      <c r="H1858" s="23" t="e">
        <f>VLOOKUP(E1858,Customers[],4,FALSE)</f>
        <v>#N/A</v>
      </c>
      <c r="J1858" s="29" t="e">
        <f>VLOOKUP(I1858,PGStock[],2,FALSE)</f>
        <v>#N/A</v>
      </c>
      <c r="K1858" s="30" t="e">
        <f>VLOOKUP(I1858,PGStock[],3,FALSE)</f>
        <v>#N/A</v>
      </c>
      <c r="M1858" s="80" t="e">
        <f>VLOOKUP(I1858,PGStock[],6,FALSE)</f>
        <v>#N/A</v>
      </c>
      <c r="N1858" s="80" t="e">
        <f>+Table8[[#This Row],[SalesBot]]*Table8[[#This Row],[Bonus]]</f>
        <v>#N/A</v>
      </c>
    </row>
    <row r="1859" spans="1:14" ht="23.25" customHeight="1" x14ac:dyDescent="0.25">
      <c r="A1859" s="77">
        <f t="shared" si="209"/>
        <v>1900</v>
      </c>
      <c r="B1859" s="77">
        <f t="shared" si="210"/>
        <v>1</v>
      </c>
      <c r="C1859" s="78"/>
      <c r="D1859" s="61"/>
      <c r="F1859" s="23" t="e">
        <f>VLOOKUP(E1859,Customers[],2,FALSE)</f>
        <v>#N/A</v>
      </c>
      <c r="G1859" s="23" t="e">
        <f>VLOOKUP(E1859,Customers[],3,FALSE)</f>
        <v>#N/A</v>
      </c>
      <c r="H1859" s="23" t="e">
        <f>VLOOKUP(E1859,Customers[],4,FALSE)</f>
        <v>#N/A</v>
      </c>
      <c r="J1859" s="29" t="e">
        <f>VLOOKUP(I1859,PGStock[],2,FALSE)</f>
        <v>#N/A</v>
      </c>
      <c r="K1859" s="30" t="e">
        <f>VLOOKUP(I1859,PGStock[],3,FALSE)</f>
        <v>#N/A</v>
      </c>
      <c r="M1859" s="80" t="e">
        <f>VLOOKUP(I1859,PGStock[],6,FALSE)</f>
        <v>#N/A</v>
      </c>
      <c r="N1859" s="80" t="e">
        <f>+Table8[[#This Row],[SalesBot]]*Table8[[#This Row],[Bonus]]</f>
        <v>#N/A</v>
      </c>
    </row>
    <row r="1860" spans="1:14" ht="23.25" customHeight="1" x14ac:dyDescent="0.25">
      <c r="A1860" s="77">
        <f t="shared" si="209"/>
        <v>1900</v>
      </c>
      <c r="B1860" s="77">
        <f t="shared" si="210"/>
        <v>1</v>
      </c>
      <c r="C1860" s="78"/>
      <c r="D1860" s="61"/>
      <c r="F1860" s="23" t="e">
        <f>VLOOKUP(E1860,Customers[],2,FALSE)</f>
        <v>#N/A</v>
      </c>
      <c r="G1860" s="23" t="e">
        <f>VLOOKUP(E1860,Customers[],3,FALSE)</f>
        <v>#N/A</v>
      </c>
      <c r="H1860" s="23" t="e">
        <f>VLOOKUP(E1860,Customers[],4,FALSE)</f>
        <v>#N/A</v>
      </c>
      <c r="J1860" s="29" t="e">
        <f>VLOOKUP(I1860,PGStock[],2,FALSE)</f>
        <v>#N/A</v>
      </c>
      <c r="K1860" s="30" t="e">
        <f>VLOOKUP(I1860,PGStock[],3,FALSE)</f>
        <v>#N/A</v>
      </c>
      <c r="M1860" s="80" t="e">
        <f>VLOOKUP(I1860,PGStock[],6,FALSE)</f>
        <v>#N/A</v>
      </c>
      <c r="N1860" s="80" t="e">
        <f>+Table8[[#This Row],[SalesBot]]*Table8[[#This Row],[Bonus]]</f>
        <v>#N/A</v>
      </c>
    </row>
    <row r="1861" spans="1:14" ht="23.25" customHeight="1" x14ac:dyDescent="0.25">
      <c r="A1861" s="77">
        <f t="shared" si="209"/>
        <v>1900</v>
      </c>
      <c r="B1861" s="77">
        <f t="shared" si="210"/>
        <v>1</v>
      </c>
      <c r="C1861" s="78"/>
      <c r="D1861" s="61"/>
      <c r="F1861" s="23" t="e">
        <f>VLOOKUP(E1861,Customers[],2,FALSE)</f>
        <v>#N/A</v>
      </c>
      <c r="G1861" s="23" t="e">
        <f>VLOOKUP(E1861,Customers[],3,FALSE)</f>
        <v>#N/A</v>
      </c>
      <c r="H1861" s="23" t="e">
        <f>VLOOKUP(E1861,Customers[],4,FALSE)</f>
        <v>#N/A</v>
      </c>
      <c r="J1861" s="29" t="e">
        <f>VLOOKUP(I1861,PGStock[],2,FALSE)</f>
        <v>#N/A</v>
      </c>
      <c r="K1861" s="30" t="e">
        <f>VLOOKUP(I1861,PGStock[],3,FALSE)</f>
        <v>#N/A</v>
      </c>
      <c r="M1861" s="80" t="e">
        <f>VLOOKUP(I1861,PGStock[],6,FALSE)</f>
        <v>#N/A</v>
      </c>
      <c r="N1861" s="80" t="e">
        <f>+Table8[[#This Row],[SalesBot]]*Table8[[#This Row],[Bonus]]</f>
        <v>#N/A</v>
      </c>
    </row>
    <row r="1862" spans="1:14" ht="23.25" customHeight="1" x14ac:dyDescent="0.25">
      <c r="A1862" s="77">
        <f t="shared" si="209"/>
        <v>1900</v>
      </c>
      <c r="B1862" s="77">
        <f t="shared" si="210"/>
        <v>1</v>
      </c>
      <c r="C1862" s="78"/>
      <c r="D1862" s="61"/>
      <c r="F1862" s="23" t="e">
        <f>VLOOKUP(E1862,Customers[],2,FALSE)</f>
        <v>#N/A</v>
      </c>
      <c r="G1862" s="23" t="e">
        <f>VLOOKUP(E1862,Customers[],3,FALSE)</f>
        <v>#N/A</v>
      </c>
      <c r="H1862" s="23" t="e">
        <f>VLOOKUP(E1862,Customers[],4,FALSE)</f>
        <v>#N/A</v>
      </c>
      <c r="J1862" s="29" t="e">
        <f>VLOOKUP(I1862,PGStock[],2,FALSE)</f>
        <v>#N/A</v>
      </c>
      <c r="K1862" s="30" t="e">
        <f>VLOOKUP(I1862,PGStock[],3,FALSE)</f>
        <v>#N/A</v>
      </c>
      <c r="M1862" s="80" t="e">
        <f>VLOOKUP(I1862,PGStock[],6,FALSE)</f>
        <v>#N/A</v>
      </c>
      <c r="N1862" s="80" t="e">
        <f>+Table8[[#This Row],[SalesBot]]*Table8[[#This Row],[Bonus]]</f>
        <v>#N/A</v>
      </c>
    </row>
    <row r="1863" spans="1:14" ht="23.25" customHeight="1" x14ac:dyDescent="0.25">
      <c r="A1863" s="77">
        <f t="shared" si="209"/>
        <v>1900</v>
      </c>
      <c r="B1863" s="77">
        <f t="shared" si="210"/>
        <v>1</v>
      </c>
      <c r="C1863" s="78"/>
      <c r="D1863" s="21"/>
      <c r="F1863" s="23" t="e">
        <f>VLOOKUP(E1863,Customers[],2,FALSE)</f>
        <v>#N/A</v>
      </c>
      <c r="G1863" s="23" t="e">
        <f>VLOOKUP(E1863,Customers[],3,FALSE)</f>
        <v>#N/A</v>
      </c>
      <c r="H1863" s="23" t="e">
        <f>VLOOKUP(E1863,Customers[],4,FALSE)</f>
        <v>#N/A</v>
      </c>
      <c r="J1863" s="29" t="e">
        <f>VLOOKUP(I1863,PGStock[],2,FALSE)</f>
        <v>#N/A</v>
      </c>
      <c r="K1863" s="30" t="e">
        <f>VLOOKUP(I1863,PGStock[],3,FALSE)</f>
        <v>#N/A</v>
      </c>
      <c r="M1863" s="80" t="e">
        <f>VLOOKUP(I1863,PGStock[],6,FALSE)</f>
        <v>#N/A</v>
      </c>
      <c r="N1863" s="80" t="e">
        <f>+Table8[[#This Row],[SalesBot]]*Table8[[#This Row],[Bonus]]</f>
        <v>#N/A</v>
      </c>
    </row>
    <row r="1864" spans="1:14" ht="23.25" customHeight="1" x14ac:dyDescent="0.25">
      <c r="A1864" s="77">
        <f t="shared" si="209"/>
        <v>1900</v>
      </c>
      <c r="B1864" s="77">
        <f t="shared" si="210"/>
        <v>1</v>
      </c>
      <c r="C1864" s="78"/>
      <c r="D1864" s="21"/>
      <c r="F1864" s="23" t="e">
        <f>VLOOKUP(E1864,Customers[],2,FALSE)</f>
        <v>#N/A</v>
      </c>
      <c r="G1864" s="23" t="e">
        <f>VLOOKUP(E1864,Customers[],3,FALSE)</f>
        <v>#N/A</v>
      </c>
      <c r="H1864" s="23" t="e">
        <f>VLOOKUP(E1864,Customers[],4,FALSE)</f>
        <v>#N/A</v>
      </c>
      <c r="J1864" s="29" t="e">
        <f>VLOOKUP(I1864,PGStock[],2,FALSE)</f>
        <v>#N/A</v>
      </c>
      <c r="K1864" s="30" t="e">
        <f>VLOOKUP(I1864,PGStock[],3,FALSE)</f>
        <v>#N/A</v>
      </c>
      <c r="M1864" s="80" t="e">
        <f>VLOOKUP(I1864,PGStock[],6,FALSE)</f>
        <v>#N/A</v>
      </c>
      <c r="N1864" s="80" t="e">
        <f>+Table8[[#This Row],[SalesBot]]*Table8[[#This Row],[Bonus]]</f>
        <v>#N/A</v>
      </c>
    </row>
    <row r="1865" spans="1:14" ht="23.25" customHeight="1" x14ac:dyDescent="0.25">
      <c r="A1865" s="77">
        <f t="shared" si="209"/>
        <v>1900</v>
      </c>
      <c r="B1865" s="77">
        <f t="shared" si="210"/>
        <v>1</v>
      </c>
      <c r="C1865" s="78"/>
      <c r="D1865" s="21"/>
      <c r="F1865" s="23" t="e">
        <f>VLOOKUP(E1865,Customers[],2,FALSE)</f>
        <v>#N/A</v>
      </c>
      <c r="G1865" s="23" t="e">
        <f>VLOOKUP(E1865,Customers[],3,FALSE)</f>
        <v>#N/A</v>
      </c>
      <c r="H1865" s="23" t="e">
        <f>VLOOKUP(E1865,Customers[],4,FALSE)</f>
        <v>#N/A</v>
      </c>
      <c r="J1865" s="29" t="e">
        <f>VLOOKUP(I1865,PGStock[],2,FALSE)</f>
        <v>#N/A</v>
      </c>
      <c r="K1865" s="30" t="e">
        <f>VLOOKUP(I1865,PGStock[],3,FALSE)</f>
        <v>#N/A</v>
      </c>
      <c r="M1865" s="80" t="e">
        <f>VLOOKUP(I1865,PGStock[],6,FALSE)</f>
        <v>#N/A</v>
      </c>
      <c r="N1865" s="80" t="e">
        <f>+Table8[[#This Row],[SalesBot]]*Table8[[#This Row],[Bonus]]</f>
        <v>#N/A</v>
      </c>
    </row>
    <row r="1866" spans="1:14" ht="23.25" customHeight="1" x14ac:dyDescent="0.25">
      <c r="A1866" s="77">
        <f t="shared" ref="A1866:A1900" si="211">YEAR(C1866)</f>
        <v>1900</v>
      </c>
      <c r="B1866" s="77">
        <f t="shared" ref="B1866:B1900" si="212">MONTH(C1866)</f>
        <v>1</v>
      </c>
      <c r="C1866" s="78"/>
      <c r="D1866" s="21"/>
      <c r="F1866" s="23" t="e">
        <f>VLOOKUP(E1866,Customers[],2,FALSE)</f>
        <v>#N/A</v>
      </c>
      <c r="G1866" s="23" t="e">
        <f>VLOOKUP(E1866,Customers[],3,FALSE)</f>
        <v>#N/A</v>
      </c>
      <c r="H1866" s="23" t="e">
        <f>VLOOKUP(E1866,Customers[],4,FALSE)</f>
        <v>#N/A</v>
      </c>
      <c r="J1866" s="29" t="e">
        <f>VLOOKUP(I1866,PGStock[],2,FALSE)</f>
        <v>#N/A</v>
      </c>
      <c r="K1866" s="30" t="e">
        <f>VLOOKUP(I1866,PGStock[],3,FALSE)</f>
        <v>#N/A</v>
      </c>
      <c r="M1866" s="80" t="e">
        <f>VLOOKUP(I1866,PGStock[],6,FALSE)</f>
        <v>#N/A</v>
      </c>
      <c r="N1866" s="80" t="e">
        <f>+Table8[[#This Row],[SalesBot]]*Table8[[#This Row],[Bonus]]</f>
        <v>#N/A</v>
      </c>
    </row>
    <row r="1867" spans="1:14" ht="23.25" customHeight="1" x14ac:dyDescent="0.25">
      <c r="A1867" s="77">
        <f t="shared" si="211"/>
        <v>1900</v>
      </c>
      <c r="B1867" s="77">
        <f t="shared" si="212"/>
        <v>1</v>
      </c>
      <c r="C1867" s="78"/>
      <c r="D1867" s="61"/>
      <c r="F1867" s="23" t="e">
        <f>VLOOKUP(E1867,Customers[],2,FALSE)</f>
        <v>#N/A</v>
      </c>
      <c r="G1867" s="23" t="e">
        <f>VLOOKUP(E1867,Customers[],3,FALSE)</f>
        <v>#N/A</v>
      </c>
      <c r="H1867" s="23" t="e">
        <f>VLOOKUP(E1867,Customers[],4,FALSE)</f>
        <v>#N/A</v>
      </c>
      <c r="J1867" s="29" t="e">
        <f>VLOOKUP(I1867,PGStock[],2,FALSE)</f>
        <v>#N/A</v>
      </c>
      <c r="K1867" s="30" t="e">
        <f>VLOOKUP(I1867,PGStock[],3,FALSE)</f>
        <v>#N/A</v>
      </c>
      <c r="M1867" s="80" t="e">
        <f>VLOOKUP(I1867,PGStock[],6,FALSE)</f>
        <v>#N/A</v>
      </c>
      <c r="N1867" s="80" t="e">
        <f>+Table8[[#This Row],[SalesBot]]*Table8[[#This Row],[Bonus]]</f>
        <v>#N/A</v>
      </c>
    </row>
    <row r="1868" spans="1:14" ht="23.25" customHeight="1" x14ac:dyDescent="0.25">
      <c r="A1868" s="77">
        <f t="shared" si="211"/>
        <v>1900</v>
      </c>
      <c r="B1868" s="77">
        <f t="shared" si="212"/>
        <v>1</v>
      </c>
      <c r="C1868" s="78"/>
      <c r="D1868" s="61"/>
      <c r="F1868" s="23" t="e">
        <f>VLOOKUP(E1868,Customers[],2,FALSE)</f>
        <v>#N/A</v>
      </c>
      <c r="G1868" s="23" t="e">
        <f>VLOOKUP(E1868,Customers[],3,FALSE)</f>
        <v>#N/A</v>
      </c>
      <c r="H1868" s="23" t="e">
        <f>VLOOKUP(E1868,Customers[],4,FALSE)</f>
        <v>#N/A</v>
      </c>
      <c r="J1868" s="29" t="e">
        <f>VLOOKUP(I1868,PGStock[],2,FALSE)</f>
        <v>#N/A</v>
      </c>
      <c r="K1868" s="30" t="e">
        <f>VLOOKUP(I1868,PGStock[],3,FALSE)</f>
        <v>#N/A</v>
      </c>
      <c r="M1868" s="80" t="e">
        <f>VLOOKUP(I1868,PGStock[],6,FALSE)</f>
        <v>#N/A</v>
      </c>
      <c r="N1868" s="80" t="e">
        <f>+Table8[[#This Row],[SalesBot]]*Table8[[#This Row],[Bonus]]</f>
        <v>#N/A</v>
      </c>
    </row>
    <row r="1869" spans="1:14" ht="23.25" customHeight="1" x14ac:dyDescent="0.25">
      <c r="A1869" s="77">
        <f t="shared" si="211"/>
        <v>1900</v>
      </c>
      <c r="B1869" s="77">
        <f t="shared" si="212"/>
        <v>1</v>
      </c>
      <c r="C1869" s="78"/>
      <c r="D1869" s="61"/>
      <c r="F1869" s="23" t="e">
        <f>VLOOKUP(E1869,Customers[],2,FALSE)</f>
        <v>#N/A</v>
      </c>
      <c r="G1869" s="23" t="e">
        <f>VLOOKUP(E1869,Customers[],3,FALSE)</f>
        <v>#N/A</v>
      </c>
      <c r="H1869" s="23" t="e">
        <f>VLOOKUP(E1869,Customers[],4,FALSE)</f>
        <v>#N/A</v>
      </c>
      <c r="J1869" s="29" t="e">
        <f>VLOOKUP(I1869,PGStock[],2,FALSE)</f>
        <v>#N/A</v>
      </c>
      <c r="K1869" s="30" t="e">
        <f>VLOOKUP(I1869,PGStock[],3,FALSE)</f>
        <v>#N/A</v>
      </c>
      <c r="M1869" s="80" t="e">
        <f>VLOOKUP(I1869,PGStock[],6,FALSE)</f>
        <v>#N/A</v>
      </c>
      <c r="N1869" s="80" t="e">
        <f>+Table8[[#This Row],[SalesBot]]*Table8[[#This Row],[Bonus]]</f>
        <v>#N/A</v>
      </c>
    </row>
    <row r="1870" spans="1:14" ht="23.25" customHeight="1" x14ac:dyDescent="0.25">
      <c r="A1870" s="77">
        <f t="shared" si="211"/>
        <v>1900</v>
      </c>
      <c r="B1870" s="77">
        <f t="shared" si="212"/>
        <v>1</v>
      </c>
      <c r="C1870" s="78"/>
      <c r="D1870" s="61"/>
      <c r="F1870" s="23" t="e">
        <f>VLOOKUP(E1870,Customers[],2,FALSE)</f>
        <v>#N/A</v>
      </c>
      <c r="G1870" s="23" t="e">
        <f>VLOOKUP(E1870,Customers[],3,FALSE)</f>
        <v>#N/A</v>
      </c>
      <c r="H1870" s="23" t="e">
        <f>VLOOKUP(E1870,Customers[],4,FALSE)</f>
        <v>#N/A</v>
      </c>
      <c r="J1870" s="29" t="e">
        <f>VLOOKUP(I1870,PGStock[],2,FALSE)</f>
        <v>#N/A</v>
      </c>
      <c r="K1870" s="30" t="e">
        <f>VLOOKUP(I1870,PGStock[],3,FALSE)</f>
        <v>#N/A</v>
      </c>
      <c r="M1870" s="80" t="e">
        <f>VLOOKUP(I1870,PGStock[],6,FALSE)</f>
        <v>#N/A</v>
      </c>
      <c r="N1870" s="80" t="e">
        <f>+Table8[[#This Row],[SalesBot]]*Table8[[#This Row],[Bonus]]</f>
        <v>#N/A</v>
      </c>
    </row>
    <row r="1871" spans="1:14" ht="23.25" customHeight="1" x14ac:dyDescent="0.25">
      <c r="A1871" s="77">
        <f t="shared" si="211"/>
        <v>1900</v>
      </c>
      <c r="B1871" s="77">
        <f t="shared" si="212"/>
        <v>1</v>
      </c>
      <c r="C1871" s="78"/>
      <c r="D1871" s="79"/>
      <c r="F1871" s="23" t="e">
        <f>VLOOKUP(E1871,Customers[],2,FALSE)</f>
        <v>#N/A</v>
      </c>
      <c r="G1871" s="23" t="e">
        <f>VLOOKUP(E1871,Customers[],3,FALSE)</f>
        <v>#N/A</v>
      </c>
      <c r="H1871" s="23" t="e">
        <f>VLOOKUP(E1871,Customers[],4,FALSE)</f>
        <v>#N/A</v>
      </c>
      <c r="J1871" s="29" t="e">
        <f>VLOOKUP(I1871,PGStock[],2,FALSE)</f>
        <v>#N/A</v>
      </c>
      <c r="K1871" s="30" t="e">
        <f>VLOOKUP(I1871,PGStock[],3,FALSE)</f>
        <v>#N/A</v>
      </c>
      <c r="M1871" s="80" t="e">
        <f>VLOOKUP(I1871,PGStock[],6,FALSE)</f>
        <v>#N/A</v>
      </c>
      <c r="N1871" s="80" t="e">
        <f>+Table8[[#This Row],[SalesBot]]*Table8[[#This Row],[Bonus]]</f>
        <v>#N/A</v>
      </c>
    </row>
    <row r="1872" spans="1:14" ht="23.25" customHeight="1" x14ac:dyDescent="0.25">
      <c r="A1872" s="82">
        <f t="shared" ref="A1872:A1880" si="213">YEAR(C1872)</f>
        <v>1900</v>
      </c>
      <c r="B1872" s="82">
        <f t="shared" ref="B1872:B1880" si="214">MONTH(C1872)</f>
        <v>1</v>
      </c>
      <c r="C1872" s="78"/>
      <c r="D1872" s="79"/>
      <c r="F1872" s="23" t="e">
        <f>VLOOKUP(E1872,Customers[],2,FALSE)</f>
        <v>#N/A</v>
      </c>
      <c r="G1872" s="23" t="e">
        <f>VLOOKUP(E1872,Customers[],3,FALSE)</f>
        <v>#N/A</v>
      </c>
      <c r="H1872" s="23" t="e">
        <f>VLOOKUP(E1872,Customers[],4,FALSE)</f>
        <v>#N/A</v>
      </c>
      <c r="J1872" s="29" t="e">
        <f>VLOOKUP(I1872,PGStock[],2,FALSE)</f>
        <v>#N/A</v>
      </c>
      <c r="K1872" s="30" t="e">
        <f>VLOOKUP(I1872,PGStock[],3,FALSE)</f>
        <v>#N/A</v>
      </c>
      <c r="M1872" s="85" t="e">
        <f>VLOOKUP(I1872,PGStock[],6,FALSE)</f>
        <v>#N/A</v>
      </c>
      <c r="N1872" s="85" t="e">
        <f>+Table8[[#This Row],[SalesBot]]*Table8[[#This Row],[Bonus]]</f>
        <v>#N/A</v>
      </c>
    </row>
    <row r="1873" spans="1:14" ht="23.25" customHeight="1" x14ac:dyDescent="0.25">
      <c r="A1873" s="82">
        <f t="shared" si="213"/>
        <v>1900</v>
      </c>
      <c r="B1873" s="82">
        <f t="shared" si="214"/>
        <v>1</v>
      </c>
      <c r="C1873" s="78"/>
      <c r="D1873" s="79"/>
      <c r="F1873" s="23" t="e">
        <f>VLOOKUP(E1873,Customers[],2,FALSE)</f>
        <v>#N/A</v>
      </c>
      <c r="G1873" s="23" t="e">
        <f>VLOOKUP(E1873,Customers[],3,FALSE)</f>
        <v>#N/A</v>
      </c>
      <c r="H1873" s="23" t="e">
        <f>VLOOKUP(E1873,Customers[],4,FALSE)</f>
        <v>#N/A</v>
      </c>
      <c r="J1873" s="29" t="e">
        <f>VLOOKUP(I1873,PGStock[],2,FALSE)</f>
        <v>#N/A</v>
      </c>
      <c r="K1873" s="30" t="e">
        <f>VLOOKUP(I1873,PGStock[],3,FALSE)</f>
        <v>#N/A</v>
      </c>
      <c r="M1873" s="85" t="e">
        <f>VLOOKUP(I1873,PGStock[],6,FALSE)</f>
        <v>#N/A</v>
      </c>
      <c r="N1873" s="85" t="e">
        <f>+Table8[[#This Row],[SalesBot]]*Table8[[#This Row],[Bonus]]</f>
        <v>#N/A</v>
      </c>
    </row>
    <row r="1874" spans="1:14" ht="23.25" customHeight="1" x14ac:dyDescent="0.25">
      <c r="A1874" s="82">
        <f t="shared" si="213"/>
        <v>1900</v>
      </c>
      <c r="B1874" s="82">
        <f t="shared" si="214"/>
        <v>1</v>
      </c>
      <c r="C1874" s="78"/>
      <c r="D1874" s="84"/>
      <c r="F1874" s="23" t="e">
        <f>VLOOKUP(E1874,Customers[],2,FALSE)</f>
        <v>#N/A</v>
      </c>
      <c r="G1874" s="23" t="e">
        <f>VLOOKUP(E1874,Customers[],3,FALSE)</f>
        <v>#N/A</v>
      </c>
      <c r="H1874" s="23" t="e">
        <f>VLOOKUP(E1874,Customers[],4,FALSE)</f>
        <v>#N/A</v>
      </c>
      <c r="J1874" s="29" t="e">
        <f>VLOOKUP(I1874,PGStock[],2,FALSE)</f>
        <v>#N/A</v>
      </c>
      <c r="K1874" s="30" t="e">
        <f>VLOOKUP(I1874,PGStock[],3,FALSE)</f>
        <v>#N/A</v>
      </c>
      <c r="M1874" s="85" t="e">
        <f>VLOOKUP(I1874,PGStock[],6,FALSE)</f>
        <v>#N/A</v>
      </c>
      <c r="N1874" s="85" t="e">
        <f>+Table8[[#This Row],[SalesBot]]*Table8[[#This Row],[Bonus]]</f>
        <v>#N/A</v>
      </c>
    </row>
    <row r="1875" spans="1:14" ht="23.25" customHeight="1" x14ac:dyDescent="0.25">
      <c r="A1875" s="82">
        <f t="shared" si="213"/>
        <v>1900</v>
      </c>
      <c r="B1875" s="82">
        <f t="shared" si="214"/>
        <v>1</v>
      </c>
      <c r="C1875" s="78"/>
      <c r="D1875" s="84"/>
      <c r="F1875" s="23" t="e">
        <f>VLOOKUP(E1875,Customers[],2,FALSE)</f>
        <v>#N/A</v>
      </c>
      <c r="G1875" s="23" t="e">
        <f>VLOOKUP(E1875,Customers[],3,FALSE)</f>
        <v>#N/A</v>
      </c>
      <c r="H1875" s="23" t="e">
        <f>VLOOKUP(E1875,Customers[],4,FALSE)</f>
        <v>#N/A</v>
      </c>
      <c r="J1875" s="29" t="e">
        <f>VLOOKUP(I1875,PGStock[],2,FALSE)</f>
        <v>#N/A</v>
      </c>
      <c r="K1875" s="30" t="e">
        <f>VLOOKUP(I1875,PGStock[],3,FALSE)</f>
        <v>#N/A</v>
      </c>
      <c r="M1875" s="85" t="e">
        <f>VLOOKUP(I1875,PGStock[],6,FALSE)</f>
        <v>#N/A</v>
      </c>
      <c r="N1875" s="85" t="e">
        <f>+Table8[[#This Row],[SalesBot]]*Table8[[#This Row],[Bonus]]</f>
        <v>#N/A</v>
      </c>
    </row>
    <row r="1876" spans="1:14" ht="23.25" customHeight="1" x14ac:dyDescent="0.25">
      <c r="A1876" s="82">
        <f t="shared" si="213"/>
        <v>1900</v>
      </c>
      <c r="B1876" s="82">
        <f t="shared" si="214"/>
        <v>1</v>
      </c>
      <c r="C1876" s="78"/>
      <c r="D1876" s="84"/>
      <c r="F1876" s="23" t="e">
        <f>VLOOKUP(E1876,Customers[],2,FALSE)</f>
        <v>#N/A</v>
      </c>
      <c r="G1876" s="23" t="e">
        <f>VLOOKUP(E1876,Customers[],3,FALSE)</f>
        <v>#N/A</v>
      </c>
      <c r="H1876" s="23" t="e">
        <f>VLOOKUP(E1876,Customers[],4,FALSE)</f>
        <v>#N/A</v>
      </c>
      <c r="J1876" s="29" t="e">
        <f>VLOOKUP(I1876,PGStock[],2,FALSE)</f>
        <v>#N/A</v>
      </c>
      <c r="K1876" s="30" t="e">
        <f>VLOOKUP(I1876,PGStock[],3,FALSE)</f>
        <v>#N/A</v>
      </c>
      <c r="M1876" s="85" t="e">
        <f>VLOOKUP(I1876,PGStock[],6,FALSE)</f>
        <v>#N/A</v>
      </c>
      <c r="N1876" s="85" t="e">
        <f>+Table8[[#This Row],[SalesBot]]*Table8[[#This Row],[Bonus]]</f>
        <v>#N/A</v>
      </c>
    </row>
    <row r="1877" spans="1:14" ht="23.25" customHeight="1" x14ac:dyDescent="0.25">
      <c r="A1877" s="82">
        <f t="shared" si="213"/>
        <v>1900</v>
      </c>
      <c r="B1877" s="82">
        <f t="shared" si="214"/>
        <v>1</v>
      </c>
      <c r="C1877" s="78"/>
      <c r="D1877" s="84"/>
      <c r="F1877" s="23" t="e">
        <f>VLOOKUP(E1877,Customers[],2,FALSE)</f>
        <v>#N/A</v>
      </c>
      <c r="G1877" s="23" t="e">
        <f>VLOOKUP(E1877,Customers[],3,FALSE)</f>
        <v>#N/A</v>
      </c>
      <c r="H1877" s="23" t="e">
        <f>VLOOKUP(E1877,Customers[],4,FALSE)</f>
        <v>#N/A</v>
      </c>
      <c r="J1877" s="29" t="e">
        <f>VLOOKUP(I1877,PGStock[],2,FALSE)</f>
        <v>#N/A</v>
      </c>
      <c r="K1877" s="30" t="e">
        <f>VLOOKUP(I1877,PGStock[],3,FALSE)</f>
        <v>#N/A</v>
      </c>
      <c r="M1877" s="85" t="e">
        <f>VLOOKUP(I1877,PGStock[],6,FALSE)</f>
        <v>#N/A</v>
      </c>
      <c r="N1877" s="85" t="e">
        <f>+Table8[[#This Row],[SalesBot]]*Table8[[#This Row],[Bonus]]</f>
        <v>#N/A</v>
      </c>
    </row>
    <row r="1878" spans="1:14" ht="23.25" customHeight="1" x14ac:dyDescent="0.25">
      <c r="A1878" s="82">
        <f t="shared" si="213"/>
        <v>1900</v>
      </c>
      <c r="B1878" s="82">
        <f t="shared" si="214"/>
        <v>1</v>
      </c>
      <c r="C1878" s="78"/>
      <c r="D1878" s="84"/>
      <c r="F1878" s="23" t="e">
        <f>VLOOKUP(E1878,Customers[],2,FALSE)</f>
        <v>#N/A</v>
      </c>
      <c r="G1878" s="23" t="e">
        <f>VLOOKUP(E1878,Customers[],3,FALSE)</f>
        <v>#N/A</v>
      </c>
      <c r="H1878" s="23" t="e">
        <f>VLOOKUP(E1878,Customers[],4,FALSE)</f>
        <v>#N/A</v>
      </c>
      <c r="J1878" s="29" t="e">
        <f>VLOOKUP(I1878,PGStock[],2,FALSE)</f>
        <v>#N/A</v>
      </c>
      <c r="K1878" s="30" t="e">
        <f>VLOOKUP(I1878,PGStock[],3,FALSE)</f>
        <v>#N/A</v>
      </c>
      <c r="M1878" s="85" t="e">
        <f>VLOOKUP(I1878,PGStock[],6,FALSE)</f>
        <v>#N/A</v>
      </c>
      <c r="N1878" s="85" t="e">
        <f>+Table8[[#This Row],[SalesBot]]*Table8[[#This Row],[Bonus]]</f>
        <v>#N/A</v>
      </c>
    </row>
    <row r="1879" spans="1:14" ht="23.25" customHeight="1" x14ac:dyDescent="0.25">
      <c r="A1879" s="82">
        <f t="shared" si="213"/>
        <v>1900</v>
      </c>
      <c r="B1879" s="82">
        <f t="shared" si="214"/>
        <v>1</v>
      </c>
      <c r="C1879" s="20"/>
      <c r="D1879" s="61"/>
      <c r="F1879" s="23" t="e">
        <f>VLOOKUP(E1879,Customers[],2,FALSE)</f>
        <v>#N/A</v>
      </c>
      <c r="G1879" s="23" t="e">
        <f>VLOOKUP(E1879,Customers[],3,FALSE)</f>
        <v>#N/A</v>
      </c>
      <c r="H1879" s="23" t="e">
        <f>VLOOKUP(E1879,Customers[],4,FALSE)</f>
        <v>#N/A</v>
      </c>
      <c r="J1879" s="29" t="e">
        <f>VLOOKUP(I1879,PGStock[],2,FALSE)</f>
        <v>#N/A</v>
      </c>
      <c r="K1879" s="30" t="e">
        <f>VLOOKUP(I1879,PGStock[],3,FALSE)</f>
        <v>#N/A</v>
      </c>
      <c r="M1879" s="85" t="e">
        <f>VLOOKUP(I1879,PGStock[],6,FALSE)</f>
        <v>#N/A</v>
      </c>
      <c r="N1879" s="85" t="e">
        <f>+Table8[[#This Row],[SalesBot]]*Table8[[#This Row],[Bonus]]</f>
        <v>#N/A</v>
      </c>
    </row>
    <row r="1880" spans="1:14" ht="23.25" customHeight="1" x14ac:dyDescent="0.25">
      <c r="A1880" s="82">
        <f t="shared" si="213"/>
        <v>1900</v>
      </c>
      <c r="B1880" s="82">
        <f t="shared" si="214"/>
        <v>1</v>
      </c>
      <c r="C1880" s="20"/>
      <c r="D1880" s="61"/>
      <c r="F1880" s="23" t="e">
        <f>VLOOKUP(E1880,Customers[],2,FALSE)</f>
        <v>#N/A</v>
      </c>
      <c r="G1880" s="23" t="e">
        <f>VLOOKUP(E1880,Customers[],3,FALSE)</f>
        <v>#N/A</v>
      </c>
      <c r="H1880" s="23" t="e">
        <f>VLOOKUP(E1880,Customers[],4,FALSE)</f>
        <v>#N/A</v>
      </c>
      <c r="J1880" s="29" t="e">
        <f>VLOOKUP(I1880,PGStock[],2,FALSE)</f>
        <v>#N/A</v>
      </c>
      <c r="K1880" s="30" t="e">
        <f>VLOOKUP(I1880,PGStock[],3,FALSE)</f>
        <v>#N/A</v>
      </c>
      <c r="M1880" s="85" t="e">
        <f>VLOOKUP(I1880,PGStock[],6,FALSE)</f>
        <v>#N/A</v>
      </c>
      <c r="N1880" s="85" t="e">
        <f>+Table8[[#This Row],[SalesBot]]*Table8[[#This Row],[Bonus]]</f>
        <v>#N/A</v>
      </c>
    </row>
    <row r="1881" spans="1:14" ht="23.25" customHeight="1" x14ac:dyDescent="0.25">
      <c r="A1881" s="82">
        <f t="shared" ref="A1881:A1889" si="215">YEAR(C1881)</f>
        <v>1900</v>
      </c>
      <c r="B1881" s="82">
        <f t="shared" ref="B1881:B1889" si="216">MONTH(C1881)</f>
        <v>1</v>
      </c>
      <c r="C1881" s="20"/>
      <c r="D1881" s="61"/>
      <c r="F1881" s="23" t="e">
        <f>VLOOKUP(E1881,Customers[],2,FALSE)</f>
        <v>#N/A</v>
      </c>
      <c r="G1881" s="23" t="e">
        <f>VLOOKUP(E1881,Customers[],3,FALSE)</f>
        <v>#N/A</v>
      </c>
      <c r="H1881" s="23" t="e">
        <f>VLOOKUP(E1881,Customers[],4,FALSE)</f>
        <v>#N/A</v>
      </c>
      <c r="J1881" s="29" t="e">
        <f>VLOOKUP(I1881,PGStock[],2,FALSE)</f>
        <v>#N/A</v>
      </c>
      <c r="K1881" s="30" t="e">
        <f>VLOOKUP(I1881,PGStock[],3,FALSE)</f>
        <v>#N/A</v>
      </c>
      <c r="M1881" s="85" t="e">
        <f>VLOOKUP(I1881,PGStock[],6,FALSE)</f>
        <v>#N/A</v>
      </c>
      <c r="N1881" s="85" t="e">
        <f>+Table8[[#This Row],[SalesBot]]*Table8[[#This Row],[Bonus]]</f>
        <v>#N/A</v>
      </c>
    </row>
    <row r="1882" spans="1:14" ht="23.25" customHeight="1" x14ac:dyDescent="0.25">
      <c r="A1882" s="82">
        <f t="shared" si="215"/>
        <v>1900</v>
      </c>
      <c r="B1882" s="82">
        <f t="shared" si="216"/>
        <v>1</v>
      </c>
      <c r="C1882" s="20"/>
      <c r="D1882" s="21"/>
      <c r="F1882" s="23" t="e">
        <f>VLOOKUP(E1882,Customers[],2,FALSE)</f>
        <v>#N/A</v>
      </c>
      <c r="G1882" s="23" t="e">
        <f>VLOOKUP(E1882,Customers[],3,FALSE)</f>
        <v>#N/A</v>
      </c>
      <c r="H1882" s="23" t="e">
        <f>VLOOKUP(E1882,Customers[],4,FALSE)</f>
        <v>#N/A</v>
      </c>
      <c r="J1882" s="29" t="e">
        <f>VLOOKUP(I1882,PGStock[],2,FALSE)</f>
        <v>#N/A</v>
      </c>
      <c r="K1882" s="30" t="e">
        <f>VLOOKUP(I1882,PGStock[],3,FALSE)</f>
        <v>#N/A</v>
      </c>
      <c r="M1882" s="85" t="e">
        <f>VLOOKUP(I1882,PGStock[],6,FALSE)</f>
        <v>#N/A</v>
      </c>
      <c r="N1882" s="85" t="e">
        <f>+Table8[[#This Row],[SalesBot]]*Table8[[#This Row],[Bonus]]</f>
        <v>#N/A</v>
      </c>
    </row>
    <row r="1883" spans="1:14" ht="23.25" customHeight="1" x14ac:dyDescent="0.25">
      <c r="A1883" s="82">
        <f t="shared" si="215"/>
        <v>1900</v>
      </c>
      <c r="B1883" s="82">
        <f t="shared" si="216"/>
        <v>1</v>
      </c>
      <c r="C1883" s="20"/>
      <c r="D1883" s="21"/>
      <c r="F1883" s="23" t="e">
        <f>VLOOKUP(E1883,Customers[],2,FALSE)</f>
        <v>#N/A</v>
      </c>
      <c r="G1883" s="23" t="e">
        <f>VLOOKUP(E1883,Customers[],3,FALSE)</f>
        <v>#N/A</v>
      </c>
      <c r="H1883" s="23" t="e">
        <f>VLOOKUP(E1883,Customers[],4,FALSE)</f>
        <v>#N/A</v>
      </c>
      <c r="J1883" s="29" t="e">
        <f>VLOOKUP(I1883,PGStock[],2,FALSE)</f>
        <v>#N/A</v>
      </c>
      <c r="K1883" s="30" t="e">
        <f>VLOOKUP(I1883,PGStock[],3,FALSE)</f>
        <v>#N/A</v>
      </c>
      <c r="M1883" s="85" t="e">
        <f>VLOOKUP(I1883,PGStock[],6,FALSE)</f>
        <v>#N/A</v>
      </c>
      <c r="N1883" s="85" t="e">
        <f>+Table8[[#This Row],[SalesBot]]*Table8[[#This Row],[Bonus]]</f>
        <v>#N/A</v>
      </c>
    </row>
    <row r="1884" spans="1:14" ht="23.25" customHeight="1" x14ac:dyDescent="0.25">
      <c r="A1884" s="82">
        <f t="shared" si="215"/>
        <v>1900</v>
      </c>
      <c r="B1884" s="82">
        <f t="shared" si="216"/>
        <v>1</v>
      </c>
      <c r="C1884" s="20"/>
      <c r="D1884" s="21"/>
      <c r="F1884" s="23" t="e">
        <f>VLOOKUP(E1884,Customers[],2,FALSE)</f>
        <v>#N/A</v>
      </c>
      <c r="G1884" s="23" t="e">
        <f>VLOOKUP(E1884,Customers[],3,FALSE)</f>
        <v>#N/A</v>
      </c>
      <c r="H1884" s="23" t="e">
        <f>VLOOKUP(E1884,Customers[],4,FALSE)</f>
        <v>#N/A</v>
      </c>
      <c r="J1884" s="29" t="e">
        <f>VLOOKUP(I1884,PGStock[],2,FALSE)</f>
        <v>#N/A</v>
      </c>
      <c r="K1884" s="30" t="e">
        <f>VLOOKUP(I1884,PGStock[],3,FALSE)</f>
        <v>#N/A</v>
      </c>
      <c r="M1884" s="85" t="e">
        <f>VLOOKUP(I1884,PGStock[],6,FALSE)</f>
        <v>#N/A</v>
      </c>
      <c r="N1884" s="85" t="e">
        <f>+Table8[[#This Row],[SalesBot]]*Table8[[#This Row],[Bonus]]</f>
        <v>#N/A</v>
      </c>
    </row>
    <row r="1885" spans="1:14" ht="23.25" customHeight="1" x14ac:dyDescent="0.25">
      <c r="A1885" s="82">
        <f t="shared" si="215"/>
        <v>1900</v>
      </c>
      <c r="B1885" s="82">
        <f t="shared" si="216"/>
        <v>1</v>
      </c>
      <c r="C1885" s="20"/>
      <c r="D1885" s="61"/>
      <c r="F1885" s="23" t="e">
        <f>VLOOKUP(E1885,Customers[],2,FALSE)</f>
        <v>#N/A</v>
      </c>
      <c r="G1885" s="23" t="e">
        <f>VLOOKUP(E1885,Customers[],3,FALSE)</f>
        <v>#N/A</v>
      </c>
      <c r="H1885" s="23" t="e">
        <f>VLOOKUP(E1885,Customers[],4,FALSE)</f>
        <v>#N/A</v>
      </c>
      <c r="J1885" s="29" t="e">
        <f>VLOOKUP(I1885,PGStock[],2,FALSE)</f>
        <v>#N/A</v>
      </c>
      <c r="K1885" s="30" t="e">
        <f>VLOOKUP(I1885,PGStock[],3,FALSE)</f>
        <v>#N/A</v>
      </c>
      <c r="M1885" s="85" t="e">
        <f>VLOOKUP(I1885,PGStock[],6,FALSE)</f>
        <v>#N/A</v>
      </c>
      <c r="N1885" s="85" t="e">
        <f>+Table8[[#This Row],[SalesBot]]*Table8[[#This Row],[Bonus]]</f>
        <v>#N/A</v>
      </c>
    </row>
    <row r="1886" spans="1:14" ht="23.25" customHeight="1" x14ac:dyDescent="0.25">
      <c r="A1886" s="82">
        <f t="shared" si="215"/>
        <v>1900</v>
      </c>
      <c r="B1886" s="82">
        <f t="shared" si="216"/>
        <v>1</v>
      </c>
      <c r="C1886" s="20"/>
      <c r="D1886" s="61"/>
      <c r="F1886" s="23" t="e">
        <f>VLOOKUP(E1886,Customers[],2,FALSE)</f>
        <v>#N/A</v>
      </c>
      <c r="G1886" s="23" t="e">
        <f>VLOOKUP(E1886,Customers[],3,FALSE)</f>
        <v>#N/A</v>
      </c>
      <c r="H1886" s="23" t="e">
        <f>VLOOKUP(E1886,Customers[],4,FALSE)</f>
        <v>#N/A</v>
      </c>
      <c r="J1886" s="29" t="e">
        <f>VLOOKUP(I1886,PGStock[],2,FALSE)</f>
        <v>#N/A</v>
      </c>
      <c r="K1886" s="30" t="e">
        <f>VLOOKUP(I1886,PGStock[],3,FALSE)</f>
        <v>#N/A</v>
      </c>
      <c r="M1886" s="85" t="e">
        <f>VLOOKUP(I1886,PGStock[],6,FALSE)</f>
        <v>#N/A</v>
      </c>
      <c r="N1886" s="85" t="e">
        <f>+Table8[[#This Row],[SalesBot]]*Table8[[#This Row],[Bonus]]</f>
        <v>#N/A</v>
      </c>
    </row>
    <row r="1887" spans="1:14" ht="23.25" customHeight="1" x14ac:dyDescent="0.25">
      <c r="A1887" s="82">
        <f t="shared" si="215"/>
        <v>1900</v>
      </c>
      <c r="B1887" s="82">
        <f t="shared" si="216"/>
        <v>1</v>
      </c>
      <c r="C1887" s="20"/>
      <c r="D1887" s="79"/>
      <c r="F1887" s="23" t="e">
        <f>VLOOKUP(E1887,Customers[],2,FALSE)</f>
        <v>#N/A</v>
      </c>
      <c r="G1887" s="23" t="e">
        <f>VLOOKUP(E1887,Customers[],3,FALSE)</f>
        <v>#N/A</v>
      </c>
      <c r="H1887" s="23" t="e">
        <f>VLOOKUP(E1887,Customers[],4,FALSE)</f>
        <v>#N/A</v>
      </c>
      <c r="J1887" s="29" t="e">
        <f>VLOOKUP(I1887,PGStock[],2,FALSE)</f>
        <v>#N/A</v>
      </c>
      <c r="K1887" s="30" t="e">
        <f>VLOOKUP(I1887,PGStock[],3,FALSE)</f>
        <v>#N/A</v>
      </c>
      <c r="M1887" s="85" t="e">
        <f>VLOOKUP(I1887,PGStock[],6,FALSE)</f>
        <v>#N/A</v>
      </c>
      <c r="N1887" s="85" t="e">
        <f>+Table8[[#This Row],[SalesBot]]*Table8[[#This Row],[Bonus]]</f>
        <v>#N/A</v>
      </c>
    </row>
    <row r="1888" spans="1:14" ht="23.25" customHeight="1" x14ac:dyDescent="0.25">
      <c r="A1888" s="82">
        <f t="shared" si="215"/>
        <v>1900</v>
      </c>
      <c r="B1888" s="82">
        <f t="shared" si="216"/>
        <v>1</v>
      </c>
      <c r="C1888" s="20"/>
      <c r="D1888" s="79"/>
      <c r="F1888" s="23" t="e">
        <f>VLOOKUP(E1888,Customers[],2,FALSE)</f>
        <v>#N/A</v>
      </c>
      <c r="G1888" s="23" t="e">
        <f>VLOOKUP(E1888,Customers[],3,FALSE)</f>
        <v>#N/A</v>
      </c>
      <c r="H1888" s="23" t="e">
        <f>VLOOKUP(E1888,Customers[],4,FALSE)</f>
        <v>#N/A</v>
      </c>
      <c r="J1888" s="29" t="e">
        <f>VLOOKUP(I1888,PGStock[],2,FALSE)</f>
        <v>#N/A</v>
      </c>
      <c r="K1888" s="30" t="e">
        <f>VLOOKUP(I1888,PGStock[],3,FALSE)</f>
        <v>#N/A</v>
      </c>
      <c r="M1888" s="85" t="e">
        <f>VLOOKUP(I1888,PGStock[],6,FALSE)</f>
        <v>#N/A</v>
      </c>
      <c r="N1888" s="85" t="e">
        <f>+Table8[[#This Row],[SalesBot]]*Table8[[#This Row],[Bonus]]</f>
        <v>#N/A</v>
      </c>
    </row>
    <row r="1889" spans="1:14" ht="23.25" customHeight="1" x14ac:dyDescent="0.25">
      <c r="A1889" s="82">
        <f t="shared" si="215"/>
        <v>1900</v>
      </c>
      <c r="B1889" s="82">
        <f t="shared" si="216"/>
        <v>1</v>
      </c>
      <c r="C1889" s="20"/>
      <c r="D1889" s="84"/>
      <c r="F1889" s="23" t="e">
        <f>VLOOKUP(E1889,Customers[],2,FALSE)</f>
        <v>#N/A</v>
      </c>
      <c r="G1889" s="23" t="e">
        <f>VLOOKUP(E1889,Customers[],3,FALSE)</f>
        <v>#N/A</v>
      </c>
      <c r="H1889" s="23" t="e">
        <f>VLOOKUP(E1889,Customers[],4,FALSE)</f>
        <v>#N/A</v>
      </c>
      <c r="J1889" s="29" t="e">
        <f>VLOOKUP(I1889,PGStock[],2,FALSE)</f>
        <v>#N/A</v>
      </c>
      <c r="K1889" s="30" t="e">
        <f>VLOOKUP(I1889,PGStock[],3,FALSE)</f>
        <v>#N/A</v>
      </c>
      <c r="M1889" s="85" t="e">
        <f>VLOOKUP(I1889,PGStock[],6,FALSE)</f>
        <v>#N/A</v>
      </c>
      <c r="N1889" s="85" t="e">
        <f>+Table8[[#This Row],[SalesBot]]*Table8[[#This Row],[Bonus]]</f>
        <v>#N/A</v>
      </c>
    </row>
    <row r="1890" spans="1:14" ht="23.25" customHeight="1" x14ac:dyDescent="0.25">
      <c r="A1890" s="82">
        <f t="shared" ref="A1890:A1898" si="217">YEAR(C1890)</f>
        <v>1900</v>
      </c>
      <c r="B1890" s="82">
        <f t="shared" ref="B1890:B1898" si="218">MONTH(C1890)</f>
        <v>1</v>
      </c>
      <c r="C1890" s="20"/>
      <c r="D1890" s="84"/>
      <c r="F1890" s="23" t="e">
        <f>VLOOKUP(E1890,Customers[],2,FALSE)</f>
        <v>#N/A</v>
      </c>
      <c r="G1890" s="23" t="e">
        <f>VLOOKUP(E1890,Customers[],3,FALSE)</f>
        <v>#N/A</v>
      </c>
      <c r="H1890" s="23" t="e">
        <f>VLOOKUP(E1890,Customers[],4,FALSE)</f>
        <v>#N/A</v>
      </c>
      <c r="J1890" s="29" t="e">
        <f>VLOOKUP(I1890,PGStock[],2,FALSE)</f>
        <v>#N/A</v>
      </c>
      <c r="K1890" s="30" t="e">
        <f>VLOOKUP(I1890,PGStock[],3,FALSE)</f>
        <v>#N/A</v>
      </c>
      <c r="M1890" s="85" t="e">
        <f>VLOOKUP(I1890,PGStock[],6,FALSE)</f>
        <v>#N/A</v>
      </c>
      <c r="N1890" s="85" t="e">
        <f>+Table8[[#This Row],[SalesBot]]*Table8[[#This Row],[Bonus]]</f>
        <v>#N/A</v>
      </c>
    </row>
    <row r="1891" spans="1:14" ht="23.25" customHeight="1" x14ac:dyDescent="0.25">
      <c r="A1891" s="82">
        <f t="shared" si="217"/>
        <v>1900</v>
      </c>
      <c r="B1891" s="82">
        <f t="shared" si="218"/>
        <v>1</v>
      </c>
      <c r="C1891" s="83"/>
      <c r="D1891" s="61"/>
      <c r="F1891" s="23" t="e">
        <f>VLOOKUP(E1891,Customers[],2,FALSE)</f>
        <v>#N/A</v>
      </c>
      <c r="G1891" s="23" t="e">
        <f>VLOOKUP(E1891,Customers[],3,FALSE)</f>
        <v>#N/A</v>
      </c>
      <c r="H1891" s="23" t="e">
        <f>VLOOKUP(E1891,Customers[],4,FALSE)</f>
        <v>#N/A</v>
      </c>
      <c r="J1891" s="29" t="e">
        <f>VLOOKUP(I1891,PGStock[],2,FALSE)</f>
        <v>#N/A</v>
      </c>
      <c r="K1891" s="30" t="e">
        <f>VLOOKUP(I1891,PGStock[],3,FALSE)</f>
        <v>#N/A</v>
      </c>
      <c r="M1891" s="85" t="e">
        <f>VLOOKUP(I1891,PGStock[],6,FALSE)</f>
        <v>#N/A</v>
      </c>
      <c r="N1891" s="85" t="e">
        <f>+Table8[[#This Row],[SalesBot]]*Table8[[#This Row],[Bonus]]</f>
        <v>#N/A</v>
      </c>
    </row>
    <row r="1892" spans="1:14" ht="23.25" customHeight="1" x14ac:dyDescent="0.25">
      <c r="A1892" s="82">
        <f t="shared" si="217"/>
        <v>1900</v>
      </c>
      <c r="B1892" s="82">
        <f t="shared" si="218"/>
        <v>1</v>
      </c>
      <c r="C1892" s="83"/>
      <c r="D1892" s="61"/>
      <c r="F1892" s="23" t="e">
        <f>VLOOKUP(E1892,Customers[],2,FALSE)</f>
        <v>#N/A</v>
      </c>
      <c r="G1892" s="23" t="e">
        <f>VLOOKUP(E1892,Customers[],3,FALSE)</f>
        <v>#N/A</v>
      </c>
      <c r="H1892" s="23" t="e">
        <f>VLOOKUP(E1892,Customers[],4,FALSE)</f>
        <v>#N/A</v>
      </c>
      <c r="J1892" s="29" t="e">
        <f>VLOOKUP(I1892,PGStock[],2,FALSE)</f>
        <v>#N/A</v>
      </c>
      <c r="K1892" s="30" t="e">
        <f>VLOOKUP(I1892,PGStock[],3,FALSE)</f>
        <v>#N/A</v>
      </c>
      <c r="M1892" s="85" t="e">
        <f>VLOOKUP(I1892,PGStock[],6,FALSE)</f>
        <v>#N/A</v>
      </c>
      <c r="N1892" s="85" t="e">
        <f>+Table8[[#This Row],[SalesBot]]*Table8[[#This Row],[Bonus]]</f>
        <v>#N/A</v>
      </c>
    </row>
    <row r="1893" spans="1:14" ht="23.25" customHeight="1" x14ac:dyDescent="0.25">
      <c r="A1893" s="82">
        <f t="shared" si="217"/>
        <v>1900</v>
      </c>
      <c r="B1893" s="82">
        <f t="shared" si="218"/>
        <v>1</v>
      </c>
      <c r="C1893" s="83"/>
      <c r="D1893" s="21"/>
      <c r="F1893" s="23" t="e">
        <f>VLOOKUP(E1893,Customers[],2,FALSE)</f>
        <v>#N/A</v>
      </c>
      <c r="G1893" s="23" t="e">
        <f>VLOOKUP(E1893,Customers[],3,FALSE)</f>
        <v>#N/A</v>
      </c>
      <c r="H1893" s="23" t="e">
        <f>VLOOKUP(E1893,Customers[],4,FALSE)</f>
        <v>#N/A</v>
      </c>
      <c r="J1893" s="29" t="e">
        <f>VLOOKUP(I1893,PGStock[],2,FALSE)</f>
        <v>#N/A</v>
      </c>
      <c r="K1893" s="30" t="e">
        <f>VLOOKUP(I1893,PGStock[],3,FALSE)</f>
        <v>#N/A</v>
      </c>
      <c r="M1893" s="85" t="e">
        <f>VLOOKUP(I1893,PGStock[],6,FALSE)</f>
        <v>#N/A</v>
      </c>
      <c r="N1893" s="85" t="e">
        <f>+Table8[[#This Row],[SalesBot]]*Table8[[#This Row],[Bonus]]</f>
        <v>#N/A</v>
      </c>
    </row>
    <row r="1894" spans="1:14" ht="23.25" customHeight="1" x14ac:dyDescent="0.25">
      <c r="A1894" s="82">
        <f t="shared" si="217"/>
        <v>1900</v>
      </c>
      <c r="B1894" s="82">
        <f t="shared" si="218"/>
        <v>1</v>
      </c>
      <c r="C1894" s="83"/>
      <c r="D1894" s="61"/>
      <c r="F1894" s="23" t="e">
        <f>VLOOKUP(E1894,Customers[],2,FALSE)</f>
        <v>#N/A</v>
      </c>
      <c r="G1894" s="23" t="e">
        <f>VLOOKUP(E1894,Customers[],3,FALSE)</f>
        <v>#N/A</v>
      </c>
      <c r="H1894" s="23" t="e">
        <f>VLOOKUP(E1894,Customers[],4,FALSE)</f>
        <v>#N/A</v>
      </c>
      <c r="J1894" s="29" t="e">
        <f>VLOOKUP(I1894,PGStock[],2,FALSE)</f>
        <v>#N/A</v>
      </c>
      <c r="K1894" s="30" t="e">
        <f>VLOOKUP(I1894,PGStock[],3,FALSE)</f>
        <v>#N/A</v>
      </c>
      <c r="M1894" s="85" t="e">
        <f>VLOOKUP(I1894,PGStock[],6,FALSE)</f>
        <v>#N/A</v>
      </c>
      <c r="N1894" s="85" t="e">
        <f>+Table8[[#This Row],[SalesBot]]*Table8[[#This Row],[Bonus]]</f>
        <v>#N/A</v>
      </c>
    </row>
    <row r="1895" spans="1:14" ht="23.25" customHeight="1" x14ac:dyDescent="0.25">
      <c r="A1895" s="82">
        <f t="shared" si="217"/>
        <v>1900</v>
      </c>
      <c r="B1895" s="82">
        <f t="shared" si="218"/>
        <v>1</v>
      </c>
      <c r="C1895" s="83"/>
      <c r="D1895" s="61"/>
      <c r="F1895" s="23" t="e">
        <f>VLOOKUP(E1895,Customers[],2,FALSE)</f>
        <v>#N/A</v>
      </c>
      <c r="G1895" s="23" t="e">
        <f>VLOOKUP(E1895,Customers[],3,FALSE)</f>
        <v>#N/A</v>
      </c>
      <c r="H1895" s="23" t="e">
        <f>VLOOKUP(E1895,Customers[],4,FALSE)</f>
        <v>#N/A</v>
      </c>
      <c r="J1895" s="29" t="e">
        <f>VLOOKUP(I1895,PGStock[],2,FALSE)</f>
        <v>#N/A</v>
      </c>
      <c r="K1895" s="30" t="e">
        <f>VLOOKUP(I1895,PGStock[],3,FALSE)</f>
        <v>#N/A</v>
      </c>
      <c r="M1895" s="85" t="e">
        <f>VLOOKUP(I1895,PGStock[],6,FALSE)</f>
        <v>#N/A</v>
      </c>
      <c r="N1895" s="85" t="e">
        <f>+Table8[[#This Row],[SalesBot]]*Table8[[#This Row],[Bonus]]</f>
        <v>#N/A</v>
      </c>
    </row>
    <row r="1896" spans="1:14" ht="23.25" customHeight="1" x14ac:dyDescent="0.25">
      <c r="A1896" s="82">
        <f t="shared" si="217"/>
        <v>1900</v>
      </c>
      <c r="B1896" s="82">
        <f t="shared" si="218"/>
        <v>1</v>
      </c>
      <c r="C1896" s="83"/>
      <c r="D1896" s="79"/>
      <c r="F1896" s="23" t="e">
        <f>VLOOKUP(E1896,Customers[],2,FALSE)</f>
        <v>#N/A</v>
      </c>
      <c r="G1896" s="23" t="e">
        <f>VLOOKUP(E1896,Customers[],3,FALSE)</f>
        <v>#N/A</v>
      </c>
      <c r="H1896" s="23" t="e">
        <f>VLOOKUP(E1896,Customers[],4,FALSE)</f>
        <v>#N/A</v>
      </c>
      <c r="J1896" s="29" t="e">
        <f>VLOOKUP(I1896,PGStock[],2,FALSE)</f>
        <v>#N/A</v>
      </c>
      <c r="K1896" s="30" t="e">
        <f>VLOOKUP(I1896,PGStock[],3,FALSE)</f>
        <v>#N/A</v>
      </c>
      <c r="M1896" s="85" t="e">
        <f>VLOOKUP(I1896,PGStock[],6,FALSE)</f>
        <v>#N/A</v>
      </c>
      <c r="N1896" s="85" t="e">
        <f>+Table8[[#This Row],[SalesBot]]*Table8[[#This Row],[Bonus]]</f>
        <v>#N/A</v>
      </c>
    </row>
    <row r="1897" spans="1:14" ht="23.25" customHeight="1" x14ac:dyDescent="0.25">
      <c r="A1897" s="82">
        <f t="shared" si="217"/>
        <v>1900</v>
      </c>
      <c r="B1897" s="82">
        <f t="shared" si="218"/>
        <v>1</v>
      </c>
      <c r="C1897" s="83"/>
      <c r="D1897" s="79"/>
      <c r="F1897" s="23" t="e">
        <f>VLOOKUP(E1897,Customers[],2,FALSE)</f>
        <v>#N/A</v>
      </c>
      <c r="G1897" s="23" t="e">
        <f>VLOOKUP(E1897,Customers[],3,FALSE)</f>
        <v>#N/A</v>
      </c>
      <c r="H1897" s="23" t="e">
        <f>VLOOKUP(E1897,Customers[],4,FALSE)</f>
        <v>#N/A</v>
      </c>
      <c r="J1897" s="29" t="e">
        <f>VLOOKUP(I1897,PGStock[],2,FALSE)</f>
        <v>#N/A</v>
      </c>
      <c r="K1897" s="30" t="e">
        <f>VLOOKUP(I1897,PGStock[],3,FALSE)</f>
        <v>#N/A</v>
      </c>
      <c r="M1897" s="85" t="e">
        <f>VLOOKUP(I1897,PGStock[],6,FALSE)</f>
        <v>#N/A</v>
      </c>
      <c r="N1897" s="85" t="e">
        <f>+Table8[[#This Row],[SalesBot]]*Table8[[#This Row],[Bonus]]</f>
        <v>#N/A</v>
      </c>
    </row>
    <row r="1898" spans="1:14" ht="23.25" customHeight="1" x14ac:dyDescent="0.25">
      <c r="A1898" s="82">
        <f t="shared" si="217"/>
        <v>1900</v>
      </c>
      <c r="B1898" s="82">
        <f t="shared" si="218"/>
        <v>1</v>
      </c>
      <c r="C1898" s="83"/>
      <c r="D1898" s="84"/>
      <c r="F1898" s="23" t="e">
        <f>VLOOKUP(E1898,Customers[],2,FALSE)</f>
        <v>#N/A</v>
      </c>
      <c r="G1898" s="23" t="e">
        <f>VLOOKUP(E1898,Customers[],3,FALSE)</f>
        <v>#N/A</v>
      </c>
      <c r="H1898" s="23" t="e">
        <f>VLOOKUP(E1898,Customers[],4,FALSE)</f>
        <v>#N/A</v>
      </c>
      <c r="J1898" s="29" t="e">
        <f>VLOOKUP(I1898,PGStock[],2,FALSE)</f>
        <v>#N/A</v>
      </c>
      <c r="K1898" s="30" t="e">
        <f>VLOOKUP(I1898,PGStock[],3,FALSE)</f>
        <v>#N/A</v>
      </c>
      <c r="M1898" s="85" t="e">
        <f>VLOOKUP(I1898,PGStock[],6,FALSE)</f>
        <v>#N/A</v>
      </c>
      <c r="N1898" s="85" t="e">
        <f>+Table8[[#This Row],[SalesBot]]*Table8[[#This Row],[Bonus]]</f>
        <v>#N/A</v>
      </c>
    </row>
    <row r="1899" spans="1:14" ht="23.25" customHeight="1" x14ac:dyDescent="0.25">
      <c r="A1899" s="77">
        <f t="shared" si="211"/>
        <v>1900</v>
      </c>
      <c r="B1899" s="77">
        <f t="shared" si="212"/>
        <v>1</v>
      </c>
      <c r="C1899" s="83"/>
      <c r="D1899" s="84"/>
      <c r="F1899" s="23" t="e">
        <f>VLOOKUP(E1899,Customers[],2,FALSE)</f>
        <v>#N/A</v>
      </c>
      <c r="G1899" s="23" t="e">
        <f>VLOOKUP(E1899,Customers[],3,FALSE)</f>
        <v>#N/A</v>
      </c>
      <c r="H1899" s="23" t="e">
        <f>VLOOKUP(E1899,Customers[],4,FALSE)</f>
        <v>#N/A</v>
      </c>
      <c r="J1899" s="29" t="e">
        <f>VLOOKUP(I1899,PGStock[],2,FALSE)</f>
        <v>#N/A</v>
      </c>
      <c r="K1899" s="30" t="e">
        <f>VLOOKUP(I1899,PGStock[],3,FALSE)</f>
        <v>#N/A</v>
      </c>
      <c r="M1899" s="80" t="e">
        <f>VLOOKUP(I1899,PGStock[],6,FALSE)</f>
        <v>#N/A</v>
      </c>
      <c r="N1899" s="80" t="e">
        <f>+Table8[[#This Row],[SalesBot]]*Table8[[#This Row],[Bonus]]</f>
        <v>#N/A</v>
      </c>
    </row>
    <row r="1900" spans="1:14" ht="23.25" customHeight="1" x14ac:dyDescent="0.25">
      <c r="A1900" s="77">
        <f t="shared" si="211"/>
        <v>1900</v>
      </c>
      <c r="B1900" s="77">
        <f t="shared" si="212"/>
        <v>1</v>
      </c>
      <c r="C1900" s="83"/>
      <c r="D1900" s="84"/>
      <c r="F1900" s="23" t="e">
        <f>VLOOKUP(E1900,Customers[],2,FALSE)</f>
        <v>#N/A</v>
      </c>
      <c r="G1900" s="23" t="e">
        <f>VLOOKUP(E1900,Customers[],3,FALSE)</f>
        <v>#N/A</v>
      </c>
      <c r="H1900" s="23" t="e">
        <f>VLOOKUP(E1900,Customers[],4,FALSE)</f>
        <v>#N/A</v>
      </c>
      <c r="J1900" s="29" t="e">
        <f>VLOOKUP(I1900,PGStock[],2,FALSE)</f>
        <v>#N/A</v>
      </c>
      <c r="K1900" s="30" t="e">
        <f>VLOOKUP(I1900,PGStock[],3,FALSE)</f>
        <v>#N/A</v>
      </c>
      <c r="M1900" s="80" t="e">
        <f>VLOOKUP(I1900,PGStock[],6,FALSE)</f>
        <v>#N/A</v>
      </c>
      <c r="N1900" s="80" t="e">
        <f>+Table8[[#This Row],[SalesBot]]*Table8[[#This Row],[Bonus]]</f>
        <v>#N/A</v>
      </c>
    </row>
    <row r="1901" spans="1:14" ht="23.25" customHeight="1" x14ac:dyDescent="0.25">
      <c r="A1901" s="59">
        <f t="shared" si="111"/>
        <v>1900</v>
      </c>
      <c r="B1901" s="59">
        <f t="shared" si="112"/>
        <v>1</v>
      </c>
      <c r="C1901" s="83"/>
      <c r="D1901" s="84"/>
      <c r="F1901" s="23" t="e">
        <f>VLOOKUP(E1901,Customers[],2,FALSE)</f>
        <v>#N/A</v>
      </c>
      <c r="G1901" s="23" t="e">
        <f>VLOOKUP(E1901,Customers[],3,FALSE)</f>
        <v>#N/A</v>
      </c>
      <c r="H1901" s="23" t="e">
        <f>VLOOKUP(E1901,Customers[],4,FALSE)</f>
        <v>#N/A</v>
      </c>
      <c r="J1901" s="29" t="e">
        <f>VLOOKUP(I1901,PGStock[],2,FALSE)</f>
        <v>#N/A</v>
      </c>
      <c r="K1901" s="30" t="e">
        <f>VLOOKUP(I1901,PGStock[],3,FALSE)</f>
        <v>#N/A</v>
      </c>
      <c r="M1901" s="62" t="e">
        <f>VLOOKUP(I1901,PGStock[],6,FALSE)</f>
        <v>#N/A</v>
      </c>
      <c r="N1901" s="62" t="e">
        <f>+Table8[[#This Row],[SalesBot]]*Table8[[#This Row],[Bonus]]</f>
        <v>#N/A</v>
      </c>
    </row>
    <row r="1902" spans="1:14" ht="23.25" customHeight="1" x14ac:dyDescent="0.25">
      <c r="A1902" s="59">
        <f t="shared" si="111"/>
        <v>1900</v>
      </c>
      <c r="B1902" s="59">
        <f t="shared" si="112"/>
        <v>1</v>
      </c>
      <c r="C1902" s="60"/>
      <c r="D1902" s="61"/>
      <c r="F1902" s="23" t="e">
        <f>VLOOKUP(E1902,Customers[],2,FALSE)</f>
        <v>#N/A</v>
      </c>
      <c r="G1902" s="23" t="e">
        <f>VLOOKUP(E1902,Customers[],3,FALSE)</f>
        <v>#N/A</v>
      </c>
      <c r="H1902" s="23" t="e">
        <f>VLOOKUP(E1902,Customers[],4,FALSE)</f>
        <v>#N/A</v>
      </c>
      <c r="J1902" s="29" t="e">
        <f>VLOOKUP(I1902,PGStock[],2,FALSE)</f>
        <v>#N/A</v>
      </c>
      <c r="K1902" s="30" t="e">
        <f>VLOOKUP(I1902,PGStock[],3,FALSE)</f>
        <v>#N/A</v>
      </c>
      <c r="M1902" s="62" t="e">
        <f>VLOOKUP(I1902,PGStock[],6,FALSE)</f>
        <v>#N/A</v>
      </c>
      <c r="N1902" s="62" t="e">
        <f>+Table8[[#This Row],[SalesBot]]*Table8[[#This Row],[Bonus]]</f>
        <v>#N/A</v>
      </c>
    </row>
    <row r="1903" spans="1:14" ht="23.25" customHeight="1" x14ac:dyDescent="0.25">
      <c r="A1903" s="86">
        <f t="shared" ref="A1903:A1914" si="219">YEAR(C1903)</f>
        <v>1900</v>
      </c>
      <c r="B1903" s="86">
        <f t="shared" ref="B1903:B1914" si="220">MONTH(C1903)</f>
        <v>1</v>
      </c>
      <c r="C1903" s="60"/>
      <c r="D1903" s="61"/>
      <c r="F1903" s="23" t="e">
        <f>VLOOKUP(E1903,Customers[],2,FALSE)</f>
        <v>#N/A</v>
      </c>
      <c r="G1903" s="23" t="e">
        <f>VLOOKUP(E1903,Customers[],3,FALSE)</f>
        <v>#N/A</v>
      </c>
      <c r="H1903" s="23" t="e">
        <f>VLOOKUP(E1903,Customers[],4,FALSE)</f>
        <v>#N/A</v>
      </c>
      <c r="J1903" s="29" t="e">
        <f>VLOOKUP(I1903,PGStock[],2,FALSE)</f>
        <v>#N/A</v>
      </c>
      <c r="K1903" s="30" t="e">
        <f>VLOOKUP(I1903,PGStock[],3,FALSE)</f>
        <v>#N/A</v>
      </c>
      <c r="M1903" s="88" t="e">
        <f>VLOOKUP(I1903,PGStock[],6,FALSE)</f>
        <v>#N/A</v>
      </c>
      <c r="N1903" s="88" t="e">
        <f>+Table8[[#This Row],[SalesBot]]*Table8[[#This Row],[Bonus]]</f>
        <v>#N/A</v>
      </c>
    </row>
    <row r="1904" spans="1:14" ht="23.25" customHeight="1" x14ac:dyDescent="0.25">
      <c r="A1904" s="86">
        <f t="shared" si="219"/>
        <v>1900</v>
      </c>
      <c r="B1904" s="86">
        <f t="shared" si="220"/>
        <v>1</v>
      </c>
      <c r="C1904" s="60"/>
      <c r="D1904" s="61"/>
      <c r="F1904" s="23" t="e">
        <f>VLOOKUP(E1904,Customers[],2,FALSE)</f>
        <v>#N/A</v>
      </c>
      <c r="G1904" s="23" t="e">
        <f>VLOOKUP(E1904,Customers[],3,FALSE)</f>
        <v>#N/A</v>
      </c>
      <c r="H1904" s="23" t="e">
        <f>VLOOKUP(E1904,Customers[],4,FALSE)</f>
        <v>#N/A</v>
      </c>
      <c r="J1904" s="29" t="e">
        <f>VLOOKUP(I1904,PGStock[],2,FALSE)</f>
        <v>#N/A</v>
      </c>
      <c r="K1904" s="30" t="e">
        <f>VLOOKUP(I1904,PGStock[],3,FALSE)</f>
        <v>#N/A</v>
      </c>
      <c r="M1904" s="88" t="e">
        <f>VLOOKUP(I1904,PGStock[],6,FALSE)</f>
        <v>#N/A</v>
      </c>
      <c r="N1904" s="88" t="e">
        <f>+Table8[[#This Row],[SalesBot]]*Table8[[#This Row],[Bonus]]</f>
        <v>#N/A</v>
      </c>
    </row>
    <row r="1905" spans="1:14" ht="23.25" customHeight="1" x14ac:dyDescent="0.25">
      <c r="A1905" s="86">
        <f t="shared" si="219"/>
        <v>1900</v>
      </c>
      <c r="B1905" s="86">
        <f t="shared" si="220"/>
        <v>1</v>
      </c>
      <c r="C1905" s="60"/>
      <c r="D1905" s="87"/>
      <c r="F1905" s="23" t="e">
        <f>VLOOKUP(E1905,Customers[],2,FALSE)</f>
        <v>#N/A</v>
      </c>
      <c r="G1905" s="23" t="e">
        <f>VLOOKUP(E1905,Customers[],3,FALSE)</f>
        <v>#N/A</v>
      </c>
      <c r="H1905" s="23" t="e">
        <f>VLOOKUP(E1905,Customers[],4,FALSE)</f>
        <v>#N/A</v>
      </c>
      <c r="J1905" s="29" t="e">
        <f>VLOOKUP(I1905,PGStock[],2,FALSE)</f>
        <v>#N/A</v>
      </c>
      <c r="K1905" s="30" t="e">
        <f>VLOOKUP(I1905,PGStock[],3,FALSE)</f>
        <v>#N/A</v>
      </c>
      <c r="M1905" s="88" t="e">
        <f>VLOOKUP(I1905,PGStock[],6,FALSE)</f>
        <v>#N/A</v>
      </c>
      <c r="N1905" s="88" t="e">
        <f>+Table8[[#This Row],[SalesBot]]*Table8[[#This Row],[Bonus]]</f>
        <v>#N/A</v>
      </c>
    </row>
    <row r="1906" spans="1:14" ht="23.25" customHeight="1" x14ac:dyDescent="0.25">
      <c r="A1906" s="86">
        <f t="shared" si="219"/>
        <v>1900</v>
      </c>
      <c r="B1906" s="86">
        <f t="shared" si="220"/>
        <v>1</v>
      </c>
      <c r="C1906" s="60"/>
      <c r="D1906" s="87"/>
      <c r="F1906" s="23" t="e">
        <f>VLOOKUP(E1906,Customers[],2,FALSE)</f>
        <v>#N/A</v>
      </c>
      <c r="G1906" s="23" t="e">
        <f>VLOOKUP(E1906,Customers[],3,FALSE)</f>
        <v>#N/A</v>
      </c>
      <c r="H1906" s="23" t="e">
        <f>VLOOKUP(E1906,Customers[],4,FALSE)</f>
        <v>#N/A</v>
      </c>
      <c r="J1906" s="29" t="e">
        <f>VLOOKUP(I1906,PGStock[],2,FALSE)</f>
        <v>#N/A</v>
      </c>
      <c r="K1906" s="30" t="e">
        <f>VLOOKUP(I1906,PGStock[],3,FALSE)</f>
        <v>#N/A</v>
      </c>
      <c r="M1906" s="88" t="e">
        <f>VLOOKUP(I1906,PGStock[],6,FALSE)</f>
        <v>#N/A</v>
      </c>
      <c r="N1906" s="88" t="e">
        <f>+Table8[[#This Row],[SalesBot]]*Table8[[#This Row],[Bonus]]</f>
        <v>#N/A</v>
      </c>
    </row>
    <row r="1907" spans="1:14" ht="23.25" customHeight="1" x14ac:dyDescent="0.25">
      <c r="A1907" s="86">
        <f t="shared" si="219"/>
        <v>1900</v>
      </c>
      <c r="B1907" s="86">
        <f t="shared" si="220"/>
        <v>1</v>
      </c>
      <c r="C1907" s="60"/>
      <c r="D1907" s="87"/>
      <c r="F1907" s="23" t="e">
        <f>VLOOKUP(E1907,Customers[],2,FALSE)</f>
        <v>#N/A</v>
      </c>
      <c r="G1907" s="23" t="e">
        <f>VLOOKUP(E1907,Customers[],3,FALSE)</f>
        <v>#N/A</v>
      </c>
      <c r="H1907" s="23" t="e">
        <f>VLOOKUP(E1907,Customers[],4,FALSE)</f>
        <v>#N/A</v>
      </c>
      <c r="J1907" s="29" t="e">
        <f>VLOOKUP(I1907,PGStock[],2,FALSE)</f>
        <v>#N/A</v>
      </c>
      <c r="K1907" s="30" t="e">
        <f>VLOOKUP(I1907,PGStock[],3,FALSE)</f>
        <v>#N/A</v>
      </c>
      <c r="M1907" s="88" t="e">
        <f>VLOOKUP(I1907,PGStock[],6,FALSE)</f>
        <v>#N/A</v>
      </c>
      <c r="N1907" s="88" t="e">
        <f>+Table8[[#This Row],[SalesBot]]*Table8[[#This Row],[Bonus]]</f>
        <v>#N/A</v>
      </c>
    </row>
    <row r="1908" spans="1:14" ht="23.25" customHeight="1" x14ac:dyDescent="0.25">
      <c r="A1908" s="86">
        <f t="shared" si="219"/>
        <v>1900</v>
      </c>
      <c r="B1908" s="86">
        <f t="shared" si="220"/>
        <v>1</v>
      </c>
      <c r="C1908" s="60"/>
      <c r="D1908" s="87"/>
      <c r="F1908" s="23" t="e">
        <f>VLOOKUP(E1908,Customers[],2,FALSE)</f>
        <v>#N/A</v>
      </c>
      <c r="G1908" s="23" t="e">
        <f>VLOOKUP(E1908,Customers[],3,FALSE)</f>
        <v>#N/A</v>
      </c>
      <c r="H1908" s="23" t="e">
        <f>VLOOKUP(E1908,Customers[],4,FALSE)</f>
        <v>#N/A</v>
      </c>
      <c r="J1908" s="29" t="e">
        <f>VLOOKUP(I1908,PGStock[],2,FALSE)</f>
        <v>#N/A</v>
      </c>
      <c r="K1908" s="30" t="e">
        <f>VLOOKUP(I1908,PGStock[],3,FALSE)</f>
        <v>#N/A</v>
      </c>
      <c r="M1908" s="88" t="e">
        <f>VLOOKUP(I1908,PGStock[],6,FALSE)</f>
        <v>#N/A</v>
      </c>
      <c r="N1908" s="88" t="e">
        <f>+Table8[[#This Row],[SalesBot]]*Table8[[#This Row],[Bonus]]</f>
        <v>#N/A</v>
      </c>
    </row>
    <row r="1909" spans="1:14" ht="23.25" customHeight="1" x14ac:dyDescent="0.25">
      <c r="A1909" s="86">
        <f t="shared" si="219"/>
        <v>1900</v>
      </c>
      <c r="B1909" s="86">
        <f t="shared" si="220"/>
        <v>1</v>
      </c>
      <c r="C1909" s="60"/>
      <c r="D1909" s="87"/>
      <c r="F1909" s="23" t="e">
        <f>VLOOKUP(E1909,Customers[],2,FALSE)</f>
        <v>#N/A</v>
      </c>
      <c r="G1909" s="23" t="e">
        <f>VLOOKUP(E1909,Customers[],3,FALSE)</f>
        <v>#N/A</v>
      </c>
      <c r="H1909" s="23" t="e">
        <f>VLOOKUP(E1909,Customers[],4,FALSE)</f>
        <v>#N/A</v>
      </c>
      <c r="J1909" s="29" t="e">
        <f>VLOOKUP(I1909,PGStock[],2,FALSE)</f>
        <v>#N/A</v>
      </c>
      <c r="K1909" s="30" t="e">
        <f>VLOOKUP(I1909,PGStock[],3,FALSE)</f>
        <v>#N/A</v>
      </c>
      <c r="M1909" s="88" t="e">
        <f>VLOOKUP(I1909,PGStock[],6,FALSE)</f>
        <v>#N/A</v>
      </c>
      <c r="N1909" s="88" t="e">
        <f>+Table8[[#This Row],[SalesBot]]*Table8[[#This Row],[Bonus]]</f>
        <v>#N/A</v>
      </c>
    </row>
    <row r="1910" spans="1:14" ht="23.25" customHeight="1" x14ac:dyDescent="0.25">
      <c r="A1910" s="86">
        <f t="shared" si="219"/>
        <v>1900</v>
      </c>
      <c r="B1910" s="86">
        <f t="shared" si="220"/>
        <v>1</v>
      </c>
      <c r="C1910" s="60"/>
      <c r="D1910" s="87"/>
      <c r="F1910" s="23" t="e">
        <f>VLOOKUP(E1910,Customers[],2,FALSE)</f>
        <v>#N/A</v>
      </c>
      <c r="G1910" s="23" t="e">
        <f>VLOOKUP(E1910,Customers[],3,FALSE)</f>
        <v>#N/A</v>
      </c>
      <c r="H1910" s="23" t="e">
        <f>VLOOKUP(E1910,Customers[],4,FALSE)</f>
        <v>#N/A</v>
      </c>
      <c r="J1910" s="29" t="e">
        <f>VLOOKUP(I1910,PGStock[],2,FALSE)</f>
        <v>#N/A</v>
      </c>
      <c r="K1910" s="30" t="e">
        <f>VLOOKUP(I1910,PGStock[],3,FALSE)</f>
        <v>#N/A</v>
      </c>
      <c r="M1910" s="88" t="e">
        <f>VLOOKUP(I1910,PGStock[],6,FALSE)</f>
        <v>#N/A</v>
      </c>
      <c r="N1910" s="88" t="e">
        <f>+Table8[[#This Row],[SalesBot]]*Table8[[#This Row],[Bonus]]</f>
        <v>#N/A</v>
      </c>
    </row>
    <row r="1911" spans="1:14" ht="23.25" customHeight="1" x14ac:dyDescent="0.25">
      <c r="A1911" s="86">
        <f t="shared" si="219"/>
        <v>1900</v>
      </c>
      <c r="B1911" s="86">
        <f t="shared" si="220"/>
        <v>1</v>
      </c>
      <c r="C1911" s="60"/>
      <c r="D1911" s="87"/>
      <c r="F1911" s="23" t="e">
        <f>VLOOKUP(E1911,Customers[],2,FALSE)</f>
        <v>#N/A</v>
      </c>
      <c r="G1911" s="23" t="e">
        <f>VLOOKUP(E1911,Customers[],3,FALSE)</f>
        <v>#N/A</v>
      </c>
      <c r="H1911" s="23" t="e">
        <f>VLOOKUP(E1911,Customers[],4,FALSE)</f>
        <v>#N/A</v>
      </c>
      <c r="J1911" s="29" t="e">
        <f>VLOOKUP(I1911,PGStock[],2,FALSE)</f>
        <v>#N/A</v>
      </c>
      <c r="K1911" s="30" t="e">
        <f>VLOOKUP(I1911,PGStock[],3,FALSE)</f>
        <v>#N/A</v>
      </c>
      <c r="M1911" s="88" t="e">
        <f>VLOOKUP(I1911,PGStock[],6,FALSE)</f>
        <v>#N/A</v>
      </c>
      <c r="N1911" s="88" t="e">
        <f>+Table8[[#This Row],[SalesBot]]*Table8[[#This Row],[Bonus]]</f>
        <v>#N/A</v>
      </c>
    </row>
    <row r="1912" spans="1:14" ht="23.25" customHeight="1" x14ac:dyDescent="0.25">
      <c r="A1912" s="86">
        <f t="shared" si="219"/>
        <v>1900</v>
      </c>
      <c r="B1912" s="86">
        <f t="shared" si="220"/>
        <v>1</v>
      </c>
      <c r="C1912" s="60"/>
      <c r="D1912" s="87"/>
      <c r="F1912" s="23" t="e">
        <f>VLOOKUP(E1912,Customers[],2,FALSE)</f>
        <v>#N/A</v>
      </c>
      <c r="G1912" s="23" t="e">
        <f>VLOOKUP(E1912,Customers[],3,FALSE)</f>
        <v>#N/A</v>
      </c>
      <c r="H1912" s="23" t="e">
        <f>VLOOKUP(E1912,Customers[],4,FALSE)</f>
        <v>#N/A</v>
      </c>
      <c r="J1912" s="29" t="e">
        <f>VLOOKUP(I1912,PGStock[],2,FALSE)</f>
        <v>#N/A</v>
      </c>
      <c r="K1912" s="30" t="e">
        <f>VLOOKUP(I1912,PGStock[],3,FALSE)</f>
        <v>#N/A</v>
      </c>
      <c r="M1912" s="88" t="e">
        <f>VLOOKUP(I1912,PGStock[],6,FALSE)</f>
        <v>#N/A</v>
      </c>
      <c r="N1912" s="88" t="e">
        <f>+Table8[[#This Row],[SalesBot]]*Table8[[#This Row],[Bonus]]</f>
        <v>#N/A</v>
      </c>
    </row>
    <row r="1913" spans="1:14" ht="23.25" customHeight="1" x14ac:dyDescent="0.25">
      <c r="A1913" s="86">
        <f t="shared" si="219"/>
        <v>1900</v>
      </c>
      <c r="B1913" s="86">
        <f t="shared" si="220"/>
        <v>1</v>
      </c>
      <c r="C1913" s="60"/>
      <c r="D1913" s="87"/>
      <c r="F1913" s="23" t="e">
        <f>VLOOKUP(E1913,Customers[],2,FALSE)</f>
        <v>#N/A</v>
      </c>
      <c r="G1913" s="23" t="e">
        <f>VLOOKUP(E1913,Customers[],3,FALSE)</f>
        <v>#N/A</v>
      </c>
      <c r="H1913" s="23" t="e">
        <f>VLOOKUP(E1913,Customers[],4,FALSE)</f>
        <v>#N/A</v>
      </c>
      <c r="J1913" s="29" t="e">
        <f>VLOOKUP(I1913,PGStock[],2,FALSE)</f>
        <v>#N/A</v>
      </c>
      <c r="K1913" s="30" t="e">
        <f>VLOOKUP(I1913,PGStock[],3,FALSE)</f>
        <v>#N/A</v>
      </c>
      <c r="M1913" s="88" t="e">
        <f>VLOOKUP(I1913,PGStock[],6,FALSE)</f>
        <v>#N/A</v>
      </c>
      <c r="N1913" s="88" t="e">
        <f>+Table8[[#This Row],[SalesBot]]*Table8[[#This Row],[Bonus]]</f>
        <v>#N/A</v>
      </c>
    </row>
    <row r="1914" spans="1:14" ht="23.25" customHeight="1" x14ac:dyDescent="0.25">
      <c r="A1914" s="86">
        <f t="shared" si="219"/>
        <v>1900</v>
      </c>
      <c r="B1914" s="86">
        <f t="shared" si="220"/>
        <v>1</v>
      </c>
      <c r="C1914" s="60"/>
      <c r="D1914" s="87"/>
      <c r="F1914" s="23" t="e">
        <f>VLOOKUP(E1914,Customers[],2,FALSE)</f>
        <v>#N/A</v>
      </c>
      <c r="G1914" s="23" t="e">
        <f>VLOOKUP(E1914,Customers[],3,FALSE)</f>
        <v>#N/A</v>
      </c>
      <c r="H1914" s="23" t="e">
        <f>VLOOKUP(E1914,Customers[],4,FALSE)</f>
        <v>#N/A</v>
      </c>
      <c r="J1914" s="29" t="e">
        <f>VLOOKUP(I1914,PGStock[],2,FALSE)</f>
        <v>#N/A</v>
      </c>
      <c r="K1914" s="30" t="e">
        <f>VLOOKUP(I1914,PGStock[],3,FALSE)</f>
        <v>#N/A</v>
      </c>
      <c r="M1914" s="88" t="e">
        <f>VLOOKUP(I1914,PGStock[],6,FALSE)</f>
        <v>#N/A</v>
      </c>
      <c r="N1914" s="88" t="e">
        <f>+Table8[[#This Row],[SalesBot]]*Table8[[#This Row],[Bonus]]</f>
        <v>#N/A</v>
      </c>
    </row>
    <row r="1915" spans="1:14" ht="23.25" customHeight="1" x14ac:dyDescent="0.25">
      <c r="A1915" s="86">
        <f t="shared" ref="A1915:A1926" si="221">YEAR(C1915)</f>
        <v>1900</v>
      </c>
      <c r="B1915" s="86">
        <f t="shared" ref="B1915:B1926" si="222">MONTH(C1915)</f>
        <v>1</v>
      </c>
      <c r="C1915" s="60"/>
      <c r="D1915" s="87"/>
      <c r="F1915" s="23" t="e">
        <f>VLOOKUP(E1915,Customers[],2,FALSE)</f>
        <v>#N/A</v>
      </c>
      <c r="G1915" s="23" t="e">
        <f>VLOOKUP(E1915,Customers[],3,FALSE)</f>
        <v>#N/A</v>
      </c>
      <c r="H1915" s="23" t="e">
        <f>VLOOKUP(E1915,Customers[],4,FALSE)</f>
        <v>#N/A</v>
      </c>
      <c r="J1915" s="29" t="e">
        <f>VLOOKUP(I1915,PGStock[],2,FALSE)</f>
        <v>#N/A</v>
      </c>
      <c r="K1915" s="30" t="e">
        <f>VLOOKUP(I1915,PGStock[],3,FALSE)</f>
        <v>#N/A</v>
      </c>
      <c r="M1915" s="88" t="e">
        <f>VLOOKUP(I1915,PGStock[],6,FALSE)</f>
        <v>#N/A</v>
      </c>
      <c r="N1915" s="88" t="e">
        <f>+Table8[[#This Row],[SalesBot]]*Table8[[#This Row],[Bonus]]</f>
        <v>#N/A</v>
      </c>
    </row>
    <row r="1916" spans="1:14" ht="23.25" customHeight="1" x14ac:dyDescent="0.25">
      <c r="A1916" s="86">
        <f t="shared" si="221"/>
        <v>1900</v>
      </c>
      <c r="B1916" s="86">
        <f t="shared" si="222"/>
        <v>1</v>
      </c>
      <c r="C1916" s="60"/>
      <c r="D1916" s="87"/>
      <c r="F1916" s="23" t="e">
        <f>VLOOKUP(E1916,Customers[],2,FALSE)</f>
        <v>#N/A</v>
      </c>
      <c r="G1916" s="23" t="e">
        <f>VLOOKUP(E1916,Customers[],3,FALSE)</f>
        <v>#N/A</v>
      </c>
      <c r="H1916" s="23" t="e">
        <f>VLOOKUP(E1916,Customers[],4,FALSE)</f>
        <v>#N/A</v>
      </c>
      <c r="J1916" s="29" t="e">
        <f>VLOOKUP(I1916,PGStock[],2,FALSE)</f>
        <v>#N/A</v>
      </c>
      <c r="K1916" s="30" t="e">
        <f>VLOOKUP(I1916,PGStock[],3,FALSE)</f>
        <v>#N/A</v>
      </c>
      <c r="M1916" s="88" t="e">
        <f>VLOOKUP(I1916,PGStock[],6,FALSE)</f>
        <v>#N/A</v>
      </c>
      <c r="N1916" s="88" t="e">
        <f>+Table8[[#This Row],[SalesBot]]*Table8[[#This Row],[Bonus]]</f>
        <v>#N/A</v>
      </c>
    </row>
    <row r="1917" spans="1:14" ht="23.25" customHeight="1" x14ac:dyDescent="0.25">
      <c r="A1917" s="86">
        <f t="shared" si="221"/>
        <v>1900</v>
      </c>
      <c r="B1917" s="86">
        <f t="shared" si="222"/>
        <v>1</v>
      </c>
      <c r="C1917" s="60"/>
      <c r="D1917" s="87"/>
      <c r="F1917" s="23" t="e">
        <f>VLOOKUP(E1917,Customers[],2,FALSE)</f>
        <v>#N/A</v>
      </c>
      <c r="G1917" s="23" t="e">
        <f>VLOOKUP(E1917,Customers[],3,FALSE)</f>
        <v>#N/A</v>
      </c>
      <c r="H1917" s="23" t="e">
        <f>VLOOKUP(E1917,Customers[],4,FALSE)</f>
        <v>#N/A</v>
      </c>
      <c r="J1917" s="29" t="e">
        <f>VLOOKUP(I1917,PGStock[],2,FALSE)</f>
        <v>#N/A</v>
      </c>
      <c r="K1917" s="30" t="e">
        <f>VLOOKUP(I1917,PGStock[],3,FALSE)</f>
        <v>#N/A</v>
      </c>
      <c r="M1917" s="88" t="e">
        <f>VLOOKUP(I1917,PGStock[],6,FALSE)</f>
        <v>#N/A</v>
      </c>
      <c r="N1917" s="88" t="e">
        <f>+Table8[[#This Row],[SalesBot]]*Table8[[#This Row],[Bonus]]</f>
        <v>#N/A</v>
      </c>
    </row>
    <row r="1918" spans="1:14" ht="23.25" customHeight="1" x14ac:dyDescent="0.25">
      <c r="A1918" s="86">
        <f t="shared" si="221"/>
        <v>1900</v>
      </c>
      <c r="B1918" s="86">
        <f t="shared" si="222"/>
        <v>1</v>
      </c>
      <c r="C1918" s="60"/>
      <c r="D1918" s="87"/>
      <c r="F1918" s="23" t="e">
        <f>VLOOKUP(E1918,Customers[],2,FALSE)</f>
        <v>#N/A</v>
      </c>
      <c r="G1918" s="23" t="e">
        <f>VLOOKUP(E1918,Customers[],3,FALSE)</f>
        <v>#N/A</v>
      </c>
      <c r="H1918" s="23" t="e">
        <f>VLOOKUP(E1918,Customers[],4,FALSE)</f>
        <v>#N/A</v>
      </c>
      <c r="J1918" s="29" t="e">
        <f>VLOOKUP(I1918,PGStock[],2,FALSE)</f>
        <v>#N/A</v>
      </c>
      <c r="K1918" s="30" t="e">
        <f>VLOOKUP(I1918,PGStock[],3,FALSE)</f>
        <v>#N/A</v>
      </c>
      <c r="M1918" s="88" t="e">
        <f>VLOOKUP(I1918,PGStock[],6,FALSE)</f>
        <v>#N/A</v>
      </c>
      <c r="N1918" s="88" t="e">
        <f>+Table8[[#This Row],[SalesBot]]*Table8[[#This Row],[Bonus]]</f>
        <v>#N/A</v>
      </c>
    </row>
    <row r="1919" spans="1:14" ht="23.25" customHeight="1" x14ac:dyDescent="0.25">
      <c r="A1919" s="86">
        <f t="shared" si="221"/>
        <v>1900</v>
      </c>
      <c r="B1919" s="86">
        <f t="shared" si="222"/>
        <v>1</v>
      </c>
      <c r="C1919" s="60"/>
      <c r="D1919" s="87"/>
      <c r="F1919" s="23" t="e">
        <f>VLOOKUP(E1919,Customers[],2,FALSE)</f>
        <v>#N/A</v>
      </c>
      <c r="G1919" s="23" t="e">
        <f>VLOOKUP(E1919,Customers[],3,FALSE)</f>
        <v>#N/A</v>
      </c>
      <c r="H1919" s="23" t="e">
        <f>VLOOKUP(E1919,Customers[],4,FALSE)</f>
        <v>#N/A</v>
      </c>
      <c r="J1919" s="29" t="e">
        <f>VLOOKUP(I1919,PGStock[],2,FALSE)</f>
        <v>#N/A</v>
      </c>
      <c r="K1919" s="30" t="e">
        <f>VLOOKUP(I1919,PGStock[],3,FALSE)</f>
        <v>#N/A</v>
      </c>
      <c r="M1919" s="88" t="e">
        <f>VLOOKUP(I1919,PGStock[],6,FALSE)</f>
        <v>#N/A</v>
      </c>
      <c r="N1919" s="88" t="e">
        <f>+Table8[[#This Row],[SalesBot]]*Table8[[#This Row],[Bonus]]</f>
        <v>#N/A</v>
      </c>
    </row>
    <row r="1920" spans="1:14" ht="23.25" customHeight="1" x14ac:dyDescent="0.25">
      <c r="A1920" s="86">
        <f t="shared" si="221"/>
        <v>1900</v>
      </c>
      <c r="B1920" s="86">
        <f t="shared" si="222"/>
        <v>1</v>
      </c>
      <c r="C1920" s="60"/>
      <c r="D1920" s="87"/>
      <c r="F1920" s="23" t="e">
        <f>VLOOKUP(E1920,Customers[],2,FALSE)</f>
        <v>#N/A</v>
      </c>
      <c r="G1920" s="23" t="e">
        <f>VLOOKUP(E1920,Customers[],3,FALSE)</f>
        <v>#N/A</v>
      </c>
      <c r="H1920" s="23" t="e">
        <f>VLOOKUP(E1920,Customers[],4,FALSE)</f>
        <v>#N/A</v>
      </c>
      <c r="J1920" s="29" t="e">
        <f>VLOOKUP(I1920,PGStock[],2,FALSE)</f>
        <v>#N/A</v>
      </c>
      <c r="K1920" s="30" t="e">
        <f>VLOOKUP(I1920,PGStock[],3,FALSE)</f>
        <v>#N/A</v>
      </c>
      <c r="M1920" s="88" t="e">
        <f>VLOOKUP(I1920,PGStock[],6,FALSE)</f>
        <v>#N/A</v>
      </c>
      <c r="N1920" s="88" t="e">
        <f>+Table8[[#This Row],[SalesBot]]*Table8[[#This Row],[Bonus]]</f>
        <v>#N/A</v>
      </c>
    </row>
    <row r="1921" spans="1:14" ht="23.25" customHeight="1" x14ac:dyDescent="0.25">
      <c r="A1921" s="86">
        <f t="shared" si="221"/>
        <v>1900</v>
      </c>
      <c r="B1921" s="86">
        <f t="shared" si="222"/>
        <v>1</v>
      </c>
      <c r="C1921" s="60"/>
      <c r="D1921" s="87"/>
      <c r="F1921" s="23" t="e">
        <f>VLOOKUP(E1921,Customers[],2,FALSE)</f>
        <v>#N/A</v>
      </c>
      <c r="G1921" s="23" t="e">
        <f>VLOOKUP(E1921,Customers[],3,FALSE)</f>
        <v>#N/A</v>
      </c>
      <c r="H1921" s="23" t="e">
        <f>VLOOKUP(E1921,Customers[],4,FALSE)</f>
        <v>#N/A</v>
      </c>
      <c r="J1921" s="29" t="e">
        <f>VLOOKUP(I1921,PGStock[],2,FALSE)</f>
        <v>#N/A</v>
      </c>
      <c r="K1921" s="30" t="e">
        <f>VLOOKUP(I1921,PGStock[],3,FALSE)</f>
        <v>#N/A</v>
      </c>
      <c r="M1921" s="88" t="e">
        <f>VLOOKUP(I1921,PGStock[],6,FALSE)</f>
        <v>#N/A</v>
      </c>
      <c r="N1921" s="88" t="e">
        <f>+Table8[[#This Row],[SalesBot]]*Table8[[#This Row],[Bonus]]</f>
        <v>#N/A</v>
      </c>
    </row>
    <row r="1922" spans="1:14" ht="23.25" customHeight="1" x14ac:dyDescent="0.25">
      <c r="A1922" s="86">
        <f t="shared" si="221"/>
        <v>1900</v>
      </c>
      <c r="B1922" s="86">
        <f t="shared" si="222"/>
        <v>1</v>
      </c>
      <c r="C1922" s="60"/>
      <c r="D1922" s="87"/>
      <c r="F1922" s="23" t="e">
        <f>VLOOKUP(E1922,Customers[],2,FALSE)</f>
        <v>#N/A</v>
      </c>
      <c r="G1922" s="23" t="e">
        <f>VLOOKUP(E1922,Customers[],3,FALSE)</f>
        <v>#N/A</v>
      </c>
      <c r="H1922" s="23" t="e">
        <f>VLOOKUP(E1922,Customers[],4,FALSE)</f>
        <v>#N/A</v>
      </c>
      <c r="J1922" s="29" t="e">
        <f>VLOOKUP(I1922,PGStock[],2,FALSE)</f>
        <v>#N/A</v>
      </c>
      <c r="K1922" s="30" t="e">
        <f>VLOOKUP(I1922,PGStock[],3,FALSE)</f>
        <v>#N/A</v>
      </c>
      <c r="M1922" s="88" t="e">
        <f>VLOOKUP(I1922,PGStock[],6,FALSE)</f>
        <v>#N/A</v>
      </c>
      <c r="N1922" s="88" t="e">
        <f>+Table8[[#This Row],[SalesBot]]*Table8[[#This Row],[Bonus]]</f>
        <v>#N/A</v>
      </c>
    </row>
    <row r="1923" spans="1:14" ht="23.25" customHeight="1" x14ac:dyDescent="0.25">
      <c r="A1923" s="86">
        <f t="shared" si="221"/>
        <v>1900</v>
      </c>
      <c r="B1923" s="86">
        <f t="shared" si="222"/>
        <v>1</v>
      </c>
      <c r="C1923" s="60"/>
      <c r="D1923" s="87"/>
      <c r="F1923" s="23" t="e">
        <f>VLOOKUP(E1923,Customers[],2,FALSE)</f>
        <v>#N/A</v>
      </c>
      <c r="G1923" s="23" t="e">
        <f>VLOOKUP(E1923,Customers[],3,FALSE)</f>
        <v>#N/A</v>
      </c>
      <c r="H1923" s="23" t="e">
        <f>VLOOKUP(E1923,Customers[],4,FALSE)</f>
        <v>#N/A</v>
      </c>
      <c r="J1923" s="29" t="e">
        <f>VLOOKUP(I1923,PGStock[],2,FALSE)</f>
        <v>#N/A</v>
      </c>
      <c r="K1923" s="30" t="e">
        <f>VLOOKUP(I1923,PGStock[],3,FALSE)</f>
        <v>#N/A</v>
      </c>
      <c r="M1923" s="88" t="e">
        <f>VLOOKUP(I1923,PGStock[],6,FALSE)</f>
        <v>#N/A</v>
      </c>
      <c r="N1923" s="88" t="e">
        <f>+Table8[[#This Row],[SalesBot]]*Table8[[#This Row],[Bonus]]</f>
        <v>#N/A</v>
      </c>
    </row>
    <row r="1924" spans="1:14" ht="23.25" customHeight="1" x14ac:dyDescent="0.25">
      <c r="A1924" s="86">
        <f t="shared" si="221"/>
        <v>1900</v>
      </c>
      <c r="B1924" s="86">
        <f t="shared" si="222"/>
        <v>1</v>
      </c>
      <c r="C1924" s="60"/>
      <c r="D1924" s="87"/>
      <c r="F1924" s="23" t="e">
        <f>VLOOKUP(E1924,Customers[],2,FALSE)</f>
        <v>#N/A</v>
      </c>
      <c r="G1924" s="23" t="e">
        <f>VLOOKUP(E1924,Customers[],3,FALSE)</f>
        <v>#N/A</v>
      </c>
      <c r="H1924" s="23" t="e">
        <f>VLOOKUP(E1924,Customers[],4,FALSE)</f>
        <v>#N/A</v>
      </c>
      <c r="J1924" s="29" t="e">
        <f>VLOOKUP(I1924,PGStock[],2,FALSE)</f>
        <v>#N/A</v>
      </c>
      <c r="K1924" s="30" t="e">
        <f>VLOOKUP(I1924,PGStock[],3,FALSE)</f>
        <v>#N/A</v>
      </c>
      <c r="M1924" s="88" t="e">
        <f>VLOOKUP(I1924,PGStock[],6,FALSE)</f>
        <v>#N/A</v>
      </c>
      <c r="N1924" s="88" t="e">
        <f>+Table8[[#This Row],[SalesBot]]*Table8[[#This Row],[Bonus]]</f>
        <v>#N/A</v>
      </c>
    </row>
    <row r="1925" spans="1:14" ht="23.25" customHeight="1" x14ac:dyDescent="0.25">
      <c r="A1925" s="86">
        <f t="shared" si="221"/>
        <v>1900</v>
      </c>
      <c r="B1925" s="86">
        <f t="shared" si="222"/>
        <v>1</v>
      </c>
      <c r="C1925" s="60"/>
      <c r="D1925" s="87"/>
      <c r="F1925" s="23" t="e">
        <f>VLOOKUP(E1925,Customers[],2,FALSE)</f>
        <v>#N/A</v>
      </c>
      <c r="G1925" s="23" t="e">
        <f>VLOOKUP(E1925,Customers[],3,FALSE)</f>
        <v>#N/A</v>
      </c>
      <c r="H1925" s="23" t="e">
        <f>VLOOKUP(E1925,Customers[],4,FALSE)</f>
        <v>#N/A</v>
      </c>
      <c r="J1925" s="29" t="e">
        <f>VLOOKUP(I1925,PGStock[],2,FALSE)</f>
        <v>#N/A</v>
      </c>
      <c r="K1925" s="30" t="e">
        <f>VLOOKUP(I1925,PGStock[],3,FALSE)</f>
        <v>#N/A</v>
      </c>
      <c r="M1925" s="88" t="e">
        <f>VLOOKUP(I1925,PGStock[],6,FALSE)</f>
        <v>#N/A</v>
      </c>
      <c r="N1925" s="88" t="e">
        <f>+Table8[[#This Row],[SalesBot]]*Table8[[#This Row],[Bonus]]</f>
        <v>#N/A</v>
      </c>
    </row>
    <row r="1926" spans="1:14" ht="23.25" customHeight="1" x14ac:dyDescent="0.25">
      <c r="A1926" s="86">
        <f t="shared" si="221"/>
        <v>1900</v>
      </c>
      <c r="B1926" s="86">
        <f t="shared" si="222"/>
        <v>1</v>
      </c>
      <c r="C1926" s="60"/>
      <c r="D1926" s="87"/>
      <c r="F1926" s="23" t="e">
        <f>VLOOKUP(E1926,Customers[],2,FALSE)</f>
        <v>#N/A</v>
      </c>
      <c r="G1926" s="23" t="e">
        <f>VLOOKUP(E1926,Customers[],3,FALSE)</f>
        <v>#N/A</v>
      </c>
      <c r="H1926" s="23" t="e">
        <f>VLOOKUP(E1926,Customers[],4,FALSE)</f>
        <v>#N/A</v>
      </c>
      <c r="J1926" s="29" t="e">
        <f>VLOOKUP(I1926,PGStock[],2,FALSE)</f>
        <v>#N/A</v>
      </c>
      <c r="K1926" s="30" t="e">
        <f>VLOOKUP(I1926,PGStock[],3,FALSE)</f>
        <v>#N/A</v>
      </c>
      <c r="M1926" s="88" t="e">
        <f>VLOOKUP(I1926,PGStock[],6,FALSE)</f>
        <v>#N/A</v>
      </c>
      <c r="N1926" s="88" t="e">
        <f>+Table8[[#This Row],[SalesBot]]*Table8[[#This Row],[Bonus]]</f>
        <v>#N/A</v>
      </c>
    </row>
    <row r="1927" spans="1:14" ht="23.25" customHeight="1" x14ac:dyDescent="0.25">
      <c r="A1927" s="86">
        <f t="shared" ref="A1927:A1964" si="223">YEAR(C1927)</f>
        <v>1900</v>
      </c>
      <c r="B1927" s="86">
        <f t="shared" ref="B1927:B1964" si="224">MONTH(C1927)</f>
        <v>1</v>
      </c>
      <c r="C1927" s="60"/>
      <c r="D1927" s="87"/>
      <c r="F1927" s="23" t="e">
        <f>VLOOKUP(E1927,Customers[],2,FALSE)</f>
        <v>#N/A</v>
      </c>
      <c r="G1927" s="23" t="e">
        <f>VLOOKUP(E1927,Customers[],3,FALSE)</f>
        <v>#N/A</v>
      </c>
      <c r="H1927" s="23" t="e">
        <f>VLOOKUP(E1927,Customers[],4,FALSE)</f>
        <v>#N/A</v>
      </c>
      <c r="J1927" s="29" t="e">
        <f>VLOOKUP(I1927,PGStock[],2,FALSE)</f>
        <v>#N/A</v>
      </c>
      <c r="K1927" s="30" t="e">
        <f>VLOOKUP(I1927,PGStock[],3,FALSE)</f>
        <v>#N/A</v>
      </c>
      <c r="M1927" s="88" t="e">
        <f>VLOOKUP(I1927,PGStock[],6,FALSE)</f>
        <v>#N/A</v>
      </c>
      <c r="N1927" s="88" t="e">
        <f>+Table8[[#This Row],[SalesBot]]*Table8[[#This Row],[Bonus]]</f>
        <v>#N/A</v>
      </c>
    </row>
    <row r="1928" spans="1:14" ht="23.25" customHeight="1" x14ac:dyDescent="0.25">
      <c r="A1928" s="86">
        <f t="shared" si="223"/>
        <v>1900</v>
      </c>
      <c r="B1928" s="86">
        <f t="shared" si="224"/>
        <v>1</v>
      </c>
      <c r="C1928" s="60"/>
      <c r="D1928" s="87"/>
      <c r="F1928" s="23" t="e">
        <f>VLOOKUP(E1928,Customers[],2,FALSE)</f>
        <v>#N/A</v>
      </c>
      <c r="G1928" s="23" t="e">
        <f>VLOOKUP(E1928,Customers[],3,FALSE)</f>
        <v>#N/A</v>
      </c>
      <c r="H1928" s="23" t="e">
        <f>VLOOKUP(E1928,Customers[],4,FALSE)</f>
        <v>#N/A</v>
      </c>
      <c r="J1928" s="29" t="e">
        <f>VLOOKUP(I1928,PGStock[],2,FALSE)</f>
        <v>#N/A</v>
      </c>
      <c r="K1928" s="30" t="e">
        <f>VLOOKUP(I1928,PGStock[],3,FALSE)</f>
        <v>#N/A</v>
      </c>
      <c r="M1928" s="88" t="e">
        <f>VLOOKUP(I1928,PGStock[],6,FALSE)</f>
        <v>#N/A</v>
      </c>
      <c r="N1928" s="88" t="e">
        <f>+Table8[[#This Row],[SalesBot]]*Table8[[#This Row],[Bonus]]</f>
        <v>#N/A</v>
      </c>
    </row>
    <row r="1929" spans="1:14" ht="23.25" customHeight="1" x14ac:dyDescent="0.25">
      <c r="A1929" s="86">
        <f t="shared" ref="A1929:A1937" si="225">YEAR(C1929)</f>
        <v>1900</v>
      </c>
      <c r="B1929" s="86">
        <f t="shared" ref="B1929:B1937" si="226">MONTH(C1929)</f>
        <v>1</v>
      </c>
      <c r="C1929" s="60"/>
      <c r="D1929" s="87"/>
      <c r="F1929" s="23" t="e">
        <f>VLOOKUP(E1929,Customers[],2,FALSE)</f>
        <v>#N/A</v>
      </c>
      <c r="G1929" s="23" t="e">
        <f>VLOOKUP(E1929,Customers[],3,FALSE)</f>
        <v>#N/A</v>
      </c>
      <c r="H1929" s="23" t="e">
        <f>VLOOKUP(E1929,Customers[],4,FALSE)</f>
        <v>#N/A</v>
      </c>
      <c r="J1929" s="29" t="e">
        <f>VLOOKUP(I1929,PGStock[],2,FALSE)</f>
        <v>#N/A</v>
      </c>
      <c r="K1929" s="30" t="e">
        <f>VLOOKUP(I1929,PGStock[],3,FALSE)</f>
        <v>#N/A</v>
      </c>
      <c r="M1929" s="88" t="e">
        <f>VLOOKUP(I1929,PGStock[],6,FALSE)</f>
        <v>#N/A</v>
      </c>
      <c r="N1929" s="88" t="e">
        <f>+Table8[[#This Row],[SalesBot]]*Table8[[#This Row],[Bonus]]</f>
        <v>#N/A</v>
      </c>
    </row>
    <row r="1930" spans="1:14" ht="23.25" customHeight="1" x14ac:dyDescent="0.25">
      <c r="A1930" s="86">
        <f t="shared" si="225"/>
        <v>1900</v>
      </c>
      <c r="B1930" s="86">
        <f t="shared" si="226"/>
        <v>1</v>
      </c>
      <c r="C1930" s="60"/>
      <c r="D1930" s="87"/>
      <c r="F1930" s="23" t="e">
        <f>VLOOKUP(E1930,Customers[],2,FALSE)</f>
        <v>#N/A</v>
      </c>
      <c r="G1930" s="23" t="e">
        <f>VLOOKUP(E1930,Customers[],3,FALSE)</f>
        <v>#N/A</v>
      </c>
      <c r="H1930" s="23" t="e">
        <f>VLOOKUP(E1930,Customers[],4,FALSE)</f>
        <v>#N/A</v>
      </c>
      <c r="J1930" s="29" t="e">
        <f>VLOOKUP(I1930,PGStock[],2,FALSE)</f>
        <v>#N/A</v>
      </c>
      <c r="K1930" s="30" t="e">
        <f>VLOOKUP(I1930,PGStock[],3,FALSE)</f>
        <v>#N/A</v>
      </c>
      <c r="M1930" s="88" t="e">
        <f>VLOOKUP(I1930,PGStock[],6,FALSE)</f>
        <v>#N/A</v>
      </c>
      <c r="N1930" s="88" t="e">
        <f>+Table8[[#This Row],[SalesBot]]*Table8[[#This Row],[Bonus]]</f>
        <v>#N/A</v>
      </c>
    </row>
    <row r="1931" spans="1:14" ht="23.25" customHeight="1" x14ac:dyDescent="0.25">
      <c r="A1931" s="86">
        <f t="shared" si="225"/>
        <v>1900</v>
      </c>
      <c r="B1931" s="86">
        <f t="shared" si="226"/>
        <v>1</v>
      </c>
      <c r="C1931" s="60"/>
      <c r="D1931" s="87"/>
      <c r="F1931" s="23" t="e">
        <f>VLOOKUP(E1931,Customers[],2,FALSE)</f>
        <v>#N/A</v>
      </c>
      <c r="G1931" s="23" t="e">
        <f>VLOOKUP(E1931,Customers[],3,FALSE)</f>
        <v>#N/A</v>
      </c>
      <c r="H1931" s="23" t="e">
        <f>VLOOKUP(E1931,Customers[],4,FALSE)</f>
        <v>#N/A</v>
      </c>
      <c r="J1931" s="29" t="e">
        <f>VLOOKUP(I1931,PGStock[],2,FALSE)</f>
        <v>#N/A</v>
      </c>
      <c r="K1931" s="30" t="e">
        <f>VLOOKUP(I1931,PGStock[],3,FALSE)</f>
        <v>#N/A</v>
      </c>
      <c r="M1931" s="88" t="e">
        <f>VLOOKUP(I1931,PGStock[],6,FALSE)</f>
        <v>#N/A</v>
      </c>
      <c r="N1931" s="88" t="e">
        <f>+Table8[[#This Row],[SalesBot]]*Table8[[#This Row],[Bonus]]</f>
        <v>#N/A</v>
      </c>
    </row>
    <row r="1932" spans="1:14" ht="23.25" customHeight="1" x14ac:dyDescent="0.25">
      <c r="A1932" s="86">
        <f t="shared" si="225"/>
        <v>1900</v>
      </c>
      <c r="B1932" s="86">
        <f t="shared" si="226"/>
        <v>1</v>
      </c>
      <c r="C1932" s="60"/>
      <c r="D1932" s="87"/>
      <c r="F1932" s="23" t="e">
        <f>VLOOKUP(E1932,Customers[],2,FALSE)</f>
        <v>#N/A</v>
      </c>
      <c r="G1932" s="23" t="e">
        <f>VLOOKUP(E1932,Customers[],3,FALSE)</f>
        <v>#N/A</v>
      </c>
      <c r="H1932" s="23" t="e">
        <f>VLOOKUP(E1932,Customers[],4,FALSE)</f>
        <v>#N/A</v>
      </c>
      <c r="J1932" s="29" t="e">
        <f>VLOOKUP(I1932,PGStock[],2,FALSE)</f>
        <v>#N/A</v>
      </c>
      <c r="K1932" s="30" t="e">
        <f>VLOOKUP(I1932,PGStock[],3,FALSE)</f>
        <v>#N/A</v>
      </c>
      <c r="M1932" s="88" t="e">
        <f>VLOOKUP(I1932,PGStock[],6,FALSE)</f>
        <v>#N/A</v>
      </c>
      <c r="N1932" s="88" t="e">
        <f>+Table8[[#This Row],[SalesBot]]*Table8[[#This Row],[Bonus]]</f>
        <v>#N/A</v>
      </c>
    </row>
    <row r="1933" spans="1:14" ht="23.25" customHeight="1" x14ac:dyDescent="0.25">
      <c r="A1933" s="86">
        <f t="shared" si="225"/>
        <v>1900</v>
      </c>
      <c r="B1933" s="86">
        <f t="shared" si="226"/>
        <v>1</v>
      </c>
      <c r="C1933" s="60"/>
      <c r="D1933" s="87"/>
      <c r="F1933" s="23" t="e">
        <f>VLOOKUP(E1933,Customers[],2,FALSE)</f>
        <v>#N/A</v>
      </c>
      <c r="G1933" s="23" t="e">
        <f>VLOOKUP(E1933,Customers[],3,FALSE)</f>
        <v>#N/A</v>
      </c>
      <c r="H1933" s="23" t="e">
        <f>VLOOKUP(E1933,Customers[],4,FALSE)</f>
        <v>#N/A</v>
      </c>
      <c r="J1933" s="29" t="e">
        <f>VLOOKUP(I1933,PGStock[],2,FALSE)</f>
        <v>#N/A</v>
      </c>
      <c r="K1933" s="30" t="e">
        <f>VLOOKUP(I1933,PGStock[],3,FALSE)</f>
        <v>#N/A</v>
      </c>
      <c r="M1933" s="88" t="e">
        <f>VLOOKUP(I1933,PGStock[],6,FALSE)</f>
        <v>#N/A</v>
      </c>
      <c r="N1933" s="88" t="e">
        <f>+Table8[[#This Row],[SalesBot]]*Table8[[#This Row],[Bonus]]</f>
        <v>#N/A</v>
      </c>
    </row>
    <row r="1934" spans="1:14" ht="23.25" customHeight="1" x14ac:dyDescent="0.25">
      <c r="A1934" s="86">
        <f t="shared" si="225"/>
        <v>1900</v>
      </c>
      <c r="B1934" s="86">
        <f t="shared" si="226"/>
        <v>1</v>
      </c>
      <c r="C1934" s="60"/>
      <c r="D1934" s="87"/>
      <c r="F1934" s="23" t="e">
        <f>VLOOKUP(E1934,Customers[],2,FALSE)</f>
        <v>#N/A</v>
      </c>
      <c r="G1934" s="23" t="e">
        <f>VLOOKUP(E1934,Customers[],3,FALSE)</f>
        <v>#N/A</v>
      </c>
      <c r="H1934" s="23" t="e">
        <f>VLOOKUP(E1934,Customers[],4,FALSE)</f>
        <v>#N/A</v>
      </c>
      <c r="J1934" s="29" t="e">
        <f>VLOOKUP(I1934,PGStock[],2,FALSE)</f>
        <v>#N/A</v>
      </c>
      <c r="K1934" s="30" t="e">
        <f>VLOOKUP(I1934,PGStock[],3,FALSE)</f>
        <v>#N/A</v>
      </c>
      <c r="M1934" s="88" t="e">
        <f>VLOOKUP(I1934,PGStock[],6,FALSE)</f>
        <v>#N/A</v>
      </c>
      <c r="N1934" s="88" t="e">
        <f>+Table8[[#This Row],[SalesBot]]*Table8[[#This Row],[Bonus]]</f>
        <v>#N/A</v>
      </c>
    </row>
    <row r="1935" spans="1:14" ht="23.25" customHeight="1" x14ac:dyDescent="0.25">
      <c r="A1935" s="86">
        <f t="shared" si="225"/>
        <v>1900</v>
      </c>
      <c r="B1935" s="86">
        <f t="shared" si="226"/>
        <v>1</v>
      </c>
      <c r="C1935" s="60"/>
      <c r="D1935" s="87"/>
      <c r="F1935" s="23" t="e">
        <f>VLOOKUP(E1935,Customers[],2,FALSE)</f>
        <v>#N/A</v>
      </c>
      <c r="G1935" s="23" t="e">
        <f>VLOOKUP(E1935,Customers[],3,FALSE)</f>
        <v>#N/A</v>
      </c>
      <c r="H1935" s="23" t="e">
        <f>VLOOKUP(E1935,Customers[],4,FALSE)</f>
        <v>#N/A</v>
      </c>
      <c r="J1935" s="29" t="e">
        <f>VLOOKUP(I1935,PGStock[],2,FALSE)</f>
        <v>#N/A</v>
      </c>
      <c r="K1935" s="30" t="e">
        <f>VLOOKUP(I1935,PGStock[],3,FALSE)</f>
        <v>#N/A</v>
      </c>
      <c r="M1935" s="88" t="e">
        <f>VLOOKUP(I1935,PGStock[],6,FALSE)</f>
        <v>#N/A</v>
      </c>
      <c r="N1935" s="88" t="e">
        <f>+Table8[[#This Row],[SalesBot]]*Table8[[#This Row],[Bonus]]</f>
        <v>#N/A</v>
      </c>
    </row>
    <row r="1936" spans="1:14" ht="23.25" customHeight="1" x14ac:dyDescent="0.25">
      <c r="A1936" s="86">
        <f t="shared" si="225"/>
        <v>1900</v>
      </c>
      <c r="B1936" s="86">
        <f t="shared" si="226"/>
        <v>1</v>
      </c>
      <c r="C1936" s="60"/>
      <c r="D1936" s="87"/>
      <c r="F1936" s="23" t="e">
        <f>VLOOKUP(E1936,Customers[],2,FALSE)</f>
        <v>#N/A</v>
      </c>
      <c r="G1936" s="23" t="e">
        <f>VLOOKUP(E1936,Customers[],3,FALSE)</f>
        <v>#N/A</v>
      </c>
      <c r="H1936" s="23" t="e">
        <f>VLOOKUP(E1936,Customers[],4,FALSE)</f>
        <v>#N/A</v>
      </c>
      <c r="J1936" s="29" t="e">
        <f>VLOOKUP(I1936,PGStock[],2,FALSE)</f>
        <v>#N/A</v>
      </c>
      <c r="K1936" s="30" t="e">
        <f>VLOOKUP(I1936,PGStock[],3,FALSE)</f>
        <v>#N/A</v>
      </c>
      <c r="M1936" s="88" t="e">
        <f>VLOOKUP(I1936,PGStock[],6,FALSE)</f>
        <v>#N/A</v>
      </c>
      <c r="N1936" s="88" t="e">
        <f>+Table8[[#This Row],[SalesBot]]*Table8[[#This Row],[Bonus]]</f>
        <v>#N/A</v>
      </c>
    </row>
    <row r="1937" spans="1:14" ht="23.25" customHeight="1" x14ac:dyDescent="0.25">
      <c r="A1937" s="86">
        <f t="shared" si="225"/>
        <v>1900</v>
      </c>
      <c r="B1937" s="86">
        <f t="shared" si="226"/>
        <v>1</v>
      </c>
      <c r="C1937" s="97"/>
      <c r="D1937" s="87"/>
      <c r="F1937" s="23" t="e">
        <f>VLOOKUP(E1937,Customers[],2,FALSE)</f>
        <v>#N/A</v>
      </c>
      <c r="G1937" s="23" t="e">
        <f>VLOOKUP(E1937,Customers[],3,FALSE)</f>
        <v>#N/A</v>
      </c>
      <c r="H1937" s="23" t="e">
        <f>VLOOKUP(E1937,Customers[],4,FALSE)</f>
        <v>#N/A</v>
      </c>
      <c r="J1937" s="29" t="e">
        <f>VLOOKUP(I1937,PGStock[],2,FALSE)</f>
        <v>#N/A</v>
      </c>
      <c r="K1937" s="30" t="e">
        <f>VLOOKUP(I1937,PGStock[],3,FALSE)</f>
        <v>#N/A</v>
      </c>
      <c r="M1937" s="88" t="e">
        <f>VLOOKUP(I1937,PGStock[],6,FALSE)</f>
        <v>#N/A</v>
      </c>
      <c r="N1937" s="88" t="e">
        <f>+Table8[[#This Row],[SalesBot]]*Table8[[#This Row],[Bonus]]</f>
        <v>#N/A</v>
      </c>
    </row>
    <row r="1938" spans="1:14" ht="23.25" customHeight="1" x14ac:dyDescent="0.25">
      <c r="A1938" s="86">
        <f t="shared" ref="A1938:A1946" si="227">YEAR(C1938)</f>
        <v>1900</v>
      </c>
      <c r="B1938" s="86">
        <f t="shared" ref="B1938:B1946" si="228">MONTH(C1938)</f>
        <v>1</v>
      </c>
      <c r="C1938" s="97"/>
      <c r="D1938" s="87"/>
      <c r="E1938" s="89"/>
      <c r="F1938" s="23" t="e">
        <f>VLOOKUP(E1938,Customers[],2,FALSE)</f>
        <v>#N/A</v>
      </c>
      <c r="G1938" s="23" t="e">
        <f>VLOOKUP(E1938,Customers[],3,FALSE)</f>
        <v>#N/A</v>
      </c>
      <c r="H1938" s="23" t="e">
        <f>VLOOKUP(E1938,Customers[],4,FALSE)</f>
        <v>#N/A</v>
      </c>
      <c r="J1938" s="29" t="e">
        <f>VLOOKUP(I1938,PGStock[],2,FALSE)</f>
        <v>#N/A</v>
      </c>
      <c r="K1938" s="30" t="e">
        <f>VLOOKUP(I1938,PGStock[],3,FALSE)</f>
        <v>#N/A</v>
      </c>
      <c r="M1938" s="88" t="e">
        <f>VLOOKUP(I1938,PGStock[],6,FALSE)</f>
        <v>#N/A</v>
      </c>
      <c r="N1938" s="88" t="e">
        <f>+Table8[[#This Row],[SalesBot]]*Table8[[#This Row],[Bonus]]</f>
        <v>#N/A</v>
      </c>
    </row>
    <row r="1939" spans="1:14" ht="23.25" customHeight="1" x14ac:dyDescent="0.25">
      <c r="A1939" s="86">
        <f t="shared" si="227"/>
        <v>1900</v>
      </c>
      <c r="B1939" s="86">
        <f t="shared" si="228"/>
        <v>1</v>
      </c>
      <c r="C1939" s="97"/>
      <c r="D1939" s="87"/>
      <c r="E1939" s="89"/>
      <c r="F1939" s="23" t="e">
        <f>VLOOKUP(E1939,Customers[],2,FALSE)</f>
        <v>#N/A</v>
      </c>
      <c r="G1939" s="23" t="e">
        <f>VLOOKUP(E1939,Customers[],3,FALSE)</f>
        <v>#N/A</v>
      </c>
      <c r="H1939" s="23" t="e">
        <f>VLOOKUP(E1939,Customers[],4,FALSE)</f>
        <v>#N/A</v>
      </c>
      <c r="J1939" s="29" t="e">
        <f>VLOOKUP(I1939,PGStock[],2,FALSE)</f>
        <v>#N/A</v>
      </c>
      <c r="K1939" s="30" t="e">
        <f>VLOOKUP(I1939,PGStock[],3,FALSE)</f>
        <v>#N/A</v>
      </c>
      <c r="M1939" s="88" t="e">
        <f>VLOOKUP(I1939,PGStock[],6,FALSE)</f>
        <v>#N/A</v>
      </c>
      <c r="N1939" s="88" t="e">
        <f>+Table8[[#This Row],[SalesBot]]*Table8[[#This Row],[Bonus]]</f>
        <v>#N/A</v>
      </c>
    </row>
    <row r="1940" spans="1:14" ht="23.25" customHeight="1" x14ac:dyDescent="0.25">
      <c r="A1940" s="86">
        <f t="shared" si="227"/>
        <v>1900</v>
      </c>
      <c r="B1940" s="86">
        <f t="shared" si="228"/>
        <v>1</v>
      </c>
      <c r="C1940" s="97"/>
      <c r="D1940" s="87"/>
      <c r="E1940" s="89"/>
      <c r="F1940" s="23" t="e">
        <f>VLOOKUP(E1940,Customers[],2,FALSE)</f>
        <v>#N/A</v>
      </c>
      <c r="G1940" s="23" t="e">
        <f>VLOOKUP(E1940,Customers[],3,FALSE)</f>
        <v>#N/A</v>
      </c>
      <c r="H1940" s="23" t="e">
        <f>VLOOKUP(E1940,Customers[],4,FALSE)</f>
        <v>#N/A</v>
      </c>
      <c r="J1940" s="29" t="e">
        <f>VLOOKUP(I1940,PGStock[],2,FALSE)</f>
        <v>#N/A</v>
      </c>
      <c r="K1940" s="30" t="e">
        <f>VLOOKUP(I1940,PGStock[],3,FALSE)</f>
        <v>#N/A</v>
      </c>
      <c r="M1940" s="88" t="e">
        <f>VLOOKUP(I1940,PGStock[],6,FALSE)</f>
        <v>#N/A</v>
      </c>
      <c r="N1940" s="88" t="e">
        <f>+Table8[[#This Row],[SalesBot]]*Table8[[#This Row],[Bonus]]</f>
        <v>#N/A</v>
      </c>
    </row>
    <row r="1941" spans="1:14" ht="23.25" customHeight="1" x14ac:dyDescent="0.25">
      <c r="A1941" s="86">
        <f t="shared" si="227"/>
        <v>1900</v>
      </c>
      <c r="B1941" s="86">
        <f t="shared" si="228"/>
        <v>1</v>
      </c>
      <c r="C1941" s="97"/>
      <c r="D1941" s="87"/>
      <c r="E1941" s="89"/>
      <c r="F1941" s="23" t="e">
        <f>VLOOKUP(E1941,Customers[],2,FALSE)</f>
        <v>#N/A</v>
      </c>
      <c r="G1941" s="23" t="e">
        <f>VLOOKUP(E1941,Customers[],3,FALSE)</f>
        <v>#N/A</v>
      </c>
      <c r="H1941" s="23" t="e">
        <f>VLOOKUP(E1941,Customers[],4,FALSE)</f>
        <v>#N/A</v>
      </c>
      <c r="J1941" s="29" t="e">
        <f>VLOOKUP(I1941,PGStock[],2,FALSE)</f>
        <v>#N/A</v>
      </c>
      <c r="K1941" s="30" t="e">
        <f>VLOOKUP(I1941,PGStock[],3,FALSE)</f>
        <v>#N/A</v>
      </c>
      <c r="M1941" s="88" t="e">
        <f>VLOOKUP(I1941,PGStock[],6,FALSE)</f>
        <v>#N/A</v>
      </c>
      <c r="N1941" s="88" t="e">
        <f>+Table8[[#This Row],[SalesBot]]*Table8[[#This Row],[Bonus]]</f>
        <v>#N/A</v>
      </c>
    </row>
    <row r="1942" spans="1:14" ht="23.25" customHeight="1" x14ac:dyDescent="0.25">
      <c r="A1942" s="86">
        <f t="shared" si="227"/>
        <v>1900</v>
      </c>
      <c r="B1942" s="86">
        <f t="shared" si="228"/>
        <v>1</v>
      </c>
      <c r="C1942" s="97"/>
      <c r="D1942" s="87"/>
      <c r="E1942" s="89"/>
      <c r="F1942" s="23" t="e">
        <f>VLOOKUP(E1942,Customers[],2,FALSE)</f>
        <v>#N/A</v>
      </c>
      <c r="G1942" s="23" t="e">
        <f>VLOOKUP(E1942,Customers[],3,FALSE)</f>
        <v>#N/A</v>
      </c>
      <c r="H1942" s="23" t="e">
        <f>VLOOKUP(E1942,Customers[],4,FALSE)</f>
        <v>#N/A</v>
      </c>
      <c r="J1942" s="29" t="e">
        <f>VLOOKUP(I1942,PGStock[],2,FALSE)</f>
        <v>#N/A</v>
      </c>
      <c r="K1942" s="30" t="e">
        <f>VLOOKUP(I1942,PGStock[],3,FALSE)</f>
        <v>#N/A</v>
      </c>
      <c r="M1942" s="88" t="e">
        <f>VLOOKUP(I1942,PGStock[],6,FALSE)</f>
        <v>#N/A</v>
      </c>
      <c r="N1942" s="88" t="e">
        <f>+Table8[[#This Row],[SalesBot]]*Table8[[#This Row],[Bonus]]</f>
        <v>#N/A</v>
      </c>
    </row>
    <row r="1943" spans="1:14" ht="23.25" customHeight="1" x14ac:dyDescent="0.25">
      <c r="A1943" s="86">
        <f t="shared" si="227"/>
        <v>1900</v>
      </c>
      <c r="B1943" s="86">
        <f t="shared" si="228"/>
        <v>1</v>
      </c>
      <c r="C1943" s="97"/>
      <c r="D1943" s="87"/>
      <c r="E1943" s="89"/>
      <c r="F1943" s="23" t="e">
        <f>VLOOKUP(E1943,Customers[],2,FALSE)</f>
        <v>#N/A</v>
      </c>
      <c r="G1943" s="23" t="e">
        <f>VLOOKUP(E1943,Customers[],3,FALSE)</f>
        <v>#N/A</v>
      </c>
      <c r="H1943" s="23" t="e">
        <f>VLOOKUP(E1943,Customers[],4,FALSE)</f>
        <v>#N/A</v>
      </c>
      <c r="J1943" s="29" t="e">
        <f>VLOOKUP(I1943,PGStock[],2,FALSE)</f>
        <v>#N/A</v>
      </c>
      <c r="K1943" s="30" t="e">
        <f>VLOOKUP(I1943,PGStock[],3,FALSE)</f>
        <v>#N/A</v>
      </c>
      <c r="M1943" s="88" t="e">
        <f>VLOOKUP(I1943,PGStock[],6,FALSE)</f>
        <v>#N/A</v>
      </c>
      <c r="N1943" s="88" t="e">
        <f>+Table8[[#This Row],[SalesBot]]*Table8[[#This Row],[Bonus]]</f>
        <v>#N/A</v>
      </c>
    </row>
    <row r="1944" spans="1:14" ht="23.25" customHeight="1" x14ac:dyDescent="0.25">
      <c r="A1944" s="86">
        <f t="shared" si="227"/>
        <v>1900</v>
      </c>
      <c r="B1944" s="86">
        <f t="shared" si="228"/>
        <v>1</v>
      </c>
      <c r="C1944" s="97"/>
      <c r="D1944" s="87"/>
      <c r="E1944" s="89"/>
      <c r="F1944" s="23" t="e">
        <f>VLOOKUP(E1944,Customers[],2,FALSE)</f>
        <v>#N/A</v>
      </c>
      <c r="G1944" s="23" t="e">
        <f>VLOOKUP(E1944,Customers[],3,FALSE)</f>
        <v>#N/A</v>
      </c>
      <c r="H1944" s="23" t="e">
        <f>VLOOKUP(E1944,Customers[],4,FALSE)</f>
        <v>#N/A</v>
      </c>
      <c r="J1944" s="29" t="e">
        <f>VLOOKUP(I1944,PGStock[],2,FALSE)</f>
        <v>#N/A</v>
      </c>
      <c r="K1944" s="30" t="e">
        <f>VLOOKUP(I1944,PGStock[],3,FALSE)</f>
        <v>#N/A</v>
      </c>
      <c r="M1944" s="88" t="e">
        <f>VLOOKUP(I1944,PGStock[],6,FALSE)</f>
        <v>#N/A</v>
      </c>
      <c r="N1944" s="88" t="e">
        <f>+Table8[[#This Row],[SalesBot]]*Table8[[#This Row],[Bonus]]</f>
        <v>#N/A</v>
      </c>
    </row>
    <row r="1945" spans="1:14" ht="23.25" customHeight="1" x14ac:dyDescent="0.25">
      <c r="A1945" s="86">
        <f t="shared" si="227"/>
        <v>1900</v>
      </c>
      <c r="B1945" s="86">
        <f t="shared" si="228"/>
        <v>1</v>
      </c>
      <c r="C1945" s="97"/>
      <c r="D1945" s="87"/>
      <c r="F1945" s="23" t="e">
        <f>VLOOKUP(E1945,Customers[],2,FALSE)</f>
        <v>#N/A</v>
      </c>
      <c r="G1945" s="23" t="e">
        <f>VLOOKUP(E1945,Customers[],3,FALSE)</f>
        <v>#N/A</v>
      </c>
      <c r="H1945" s="23" t="e">
        <f>VLOOKUP(E1945,Customers[],4,FALSE)</f>
        <v>#N/A</v>
      </c>
      <c r="J1945" s="29" t="e">
        <f>VLOOKUP(I1945,PGStock[],2,FALSE)</f>
        <v>#N/A</v>
      </c>
      <c r="K1945" s="30" t="e">
        <f>VLOOKUP(I1945,PGStock[],3,FALSE)</f>
        <v>#N/A</v>
      </c>
      <c r="M1945" s="88" t="e">
        <f>VLOOKUP(I1945,PGStock[],6,FALSE)</f>
        <v>#N/A</v>
      </c>
      <c r="N1945" s="88" t="e">
        <f>+Table8[[#This Row],[SalesBot]]*Table8[[#This Row],[Bonus]]</f>
        <v>#N/A</v>
      </c>
    </row>
    <row r="1946" spans="1:14" ht="23.25" customHeight="1" x14ac:dyDescent="0.25">
      <c r="A1946" s="86">
        <f t="shared" si="227"/>
        <v>1900</v>
      </c>
      <c r="B1946" s="86">
        <f t="shared" si="228"/>
        <v>1</v>
      </c>
      <c r="C1946" s="97"/>
      <c r="D1946" s="87"/>
      <c r="F1946" s="23" t="e">
        <f>VLOOKUP(E1946,Customers[],2,FALSE)</f>
        <v>#N/A</v>
      </c>
      <c r="G1946" s="23" t="e">
        <f>VLOOKUP(E1946,Customers[],3,FALSE)</f>
        <v>#N/A</v>
      </c>
      <c r="H1946" s="23" t="e">
        <f>VLOOKUP(E1946,Customers[],4,FALSE)</f>
        <v>#N/A</v>
      </c>
      <c r="J1946" s="29" t="e">
        <f>VLOOKUP(I1946,PGStock[],2,FALSE)</f>
        <v>#N/A</v>
      </c>
      <c r="K1946" s="30" t="e">
        <f>VLOOKUP(I1946,PGStock[],3,FALSE)</f>
        <v>#N/A</v>
      </c>
      <c r="M1946" s="88" t="e">
        <f>VLOOKUP(I1946,PGStock[],6,FALSE)</f>
        <v>#N/A</v>
      </c>
      <c r="N1946" s="88" t="e">
        <f>+Table8[[#This Row],[SalesBot]]*Table8[[#This Row],[Bonus]]</f>
        <v>#N/A</v>
      </c>
    </row>
    <row r="1947" spans="1:14" ht="23.25" customHeight="1" x14ac:dyDescent="0.25">
      <c r="A1947" s="86">
        <f t="shared" si="223"/>
        <v>1900</v>
      </c>
      <c r="B1947" s="86">
        <f t="shared" si="224"/>
        <v>1</v>
      </c>
      <c r="C1947" s="97"/>
      <c r="D1947" s="87"/>
      <c r="F1947" s="23" t="e">
        <f>VLOOKUP(E1947,Customers[],2,FALSE)</f>
        <v>#N/A</v>
      </c>
      <c r="G1947" s="23" t="e">
        <f>VLOOKUP(E1947,Customers[],3,FALSE)</f>
        <v>#N/A</v>
      </c>
      <c r="H1947" s="23" t="e">
        <f>VLOOKUP(E1947,Customers[],4,FALSE)</f>
        <v>#N/A</v>
      </c>
      <c r="J1947" s="29" t="e">
        <f>VLOOKUP(I1947,PGStock[],2,FALSE)</f>
        <v>#N/A</v>
      </c>
      <c r="K1947" s="30" t="e">
        <f>VLOOKUP(I1947,PGStock[],3,FALSE)</f>
        <v>#N/A</v>
      </c>
      <c r="M1947" s="88" t="e">
        <f>VLOOKUP(I1947,PGStock[],6,FALSE)</f>
        <v>#N/A</v>
      </c>
      <c r="N1947" s="88" t="e">
        <f>+Table8[[#This Row],[SalesBot]]*Table8[[#This Row],[Bonus]]</f>
        <v>#N/A</v>
      </c>
    </row>
    <row r="1948" spans="1:14" ht="23.25" customHeight="1" x14ac:dyDescent="0.25">
      <c r="A1948" s="86">
        <f t="shared" si="223"/>
        <v>1900</v>
      </c>
      <c r="B1948" s="86">
        <f t="shared" si="224"/>
        <v>1</v>
      </c>
      <c r="C1948" s="97"/>
      <c r="D1948" s="87"/>
      <c r="F1948" s="23" t="e">
        <f>VLOOKUP(E1948,Customers[],2,FALSE)</f>
        <v>#N/A</v>
      </c>
      <c r="G1948" s="23" t="e">
        <f>VLOOKUP(E1948,Customers[],3,FALSE)</f>
        <v>#N/A</v>
      </c>
      <c r="H1948" s="23" t="e">
        <f>VLOOKUP(E1948,Customers[],4,FALSE)</f>
        <v>#N/A</v>
      </c>
      <c r="J1948" s="29" t="e">
        <f>VLOOKUP(I1948,PGStock[],2,FALSE)</f>
        <v>#N/A</v>
      </c>
      <c r="K1948" s="30" t="e">
        <f>VLOOKUP(I1948,PGStock[],3,FALSE)</f>
        <v>#N/A</v>
      </c>
      <c r="M1948" s="88" t="e">
        <f>VLOOKUP(I1948,PGStock[],6,FALSE)</f>
        <v>#N/A</v>
      </c>
      <c r="N1948" s="88" t="e">
        <f>+Table8[[#This Row],[SalesBot]]*Table8[[#This Row],[Bonus]]</f>
        <v>#N/A</v>
      </c>
    </row>
    <row r="1949" spans="1:14" ht="23.25" customHeight="1" x14ac:dyDescent="0.25">
      <c r="A1949" s="86">
        <f t="shared" ref="A1949:A1955" si="229">YEAR(C1949)</f>
        <v>1900</v>
      </c>
      <c r="B1949" s="86">
        <f t="shared" ref="B1949:B1955" si="230">MONTH(C1949)</f>
        <v>1</v>
      </c>
      <c r="C1949" s="97"/>
      <c r="D1949" s="87"/>
      <c r="F1949" s="23" t="e">
        <f>VLOOKUP(E1949,Customers[],2,FALSE)</f>
        <v>#N/A</v>
      </c>
      <c r="G1949" s="23" t="e">
        <f>VLOOKUP(E1949,Customers[],3,FALSE)</f>
        <v>#N/A</v>
      </c>
      <c r="H1949" s="23" t="e">
        <f>VLOOKUP(E1949,Customers[],4,FALSE)</f>
        <v>#N/A</v>
      </c>
      <c r="J1949" s="29" t="e">
        <f>VLOOKUP(I1949,PGStock[],2,FALSE)</f>
        <v>#N/A</v>
      </c>
      <c r="K1949" s="30" t="e">
        <f>VLOOKUP(I1949,PGStock[],3,FALSE)</f>
        <v>#N/A</v>
      </c>
      <c r="M1949" s="88" t="e">
        <f>VLOOKUP(I1949,PGStock[],6,FALSE)</f>
        <v>#N/A</v>
      </c>
      <c r="N1949" s="88" t="e">
        <f>+Table8[[#This Row],[SalesBot]]*Table8[[#This Row],[Bonus]]</f>
        <v>#N/A</v>
      </c>
    </row>
    <row r="1950" spans="1:14" ht="23.25" customHeight="1" x14ac:dyDescent="0.25">
      <c r="A1950" s="86">
        <f t="shared" si="229"/>
        <v>1900</v>
      </c>
      <c r="B1950" s="86">
        <f t="shared" si="230"/>
        <v>1</v>
      </c>
      <c r="C1950" s="97"/>
      <c r="D1950" s="87"/>
      <c r="F1950" s="23" t="e">
        <f>VLOOKUP(E1950,Customers[],2,FALSE)</f>
        <v>#N/A</v>
      </c>
      <c r="G1950" s="23" t="e">
        <f>VLOOKUP(E1950,Customers[],3,FALSE)</f>
        <v>#N/A</v>
      </c>
      <c r="H1950" s="23" t="e">
        <f>VLOOKUP(E1950,Customers[],4,FALSE)</f>
        <v>#N/A</v>
      </c>
      <c r="J1950" s="29" t="e">
        <f>VLOOKUP(I1950,PGStock[],2,FALSE)</f>
        <v>#N/A</v>
      </c>
      <c r="K1950" s="30" t="e">
        <f>VLOOKUP(I1950,PGStock[],3,FALSE)</f>
        <v>#N/A</v>
      </c>
      <c r="M1950" s="88" t="e">
        <f>VLOOKUP(I1950,PGStock[],6,FALSE)</f>
        <v>#N/A</v>
      </c>
      <c r="N1950" s="88" t="e">
        <f>+Table8[[#This Row],[SalesBot]]*Table8[[#This Row],[Bonus]]</f>
        <v>#N/A</v>
      </c>
    </row>
    <row r="1951" spans="1:14" ht="23.25" customHeight="1" x14ac:dyDescent="0.25">
      <c r="A1951" s="86">
        <f t="shared" si="229"/>
        <v>1900</v>
      </c>
      <c r="B1951" s="86">
        <f t="shared" si="230"/>
        <v>1</v>
      </c>
      <c r="C1951" s="97"/>
      <c r="D1951" s="87"/>
      <c r="F1951" s="23" t="e">
        <f>VLOOKUP(E1951,Customers[],2,FALSE)</f>
        <v>#N/A</v>
      </c>
      <c r="G1951" s="23" t="e">
        <f>VLOOKUP(E1951,Customers[],3,FALSE)</f>
        <v>#N/A</v>
      </c>
      <c r="H1951" s="23" t="e">
        <f>VLOOKUP(E1951,Customers[],4,FALSE)</f>
        <v>#N/A</v>
      </c>
      <c r="J1951" s="29" t="e">
        <f>VLOOKUP(I1951,PGStock[],2,FALSE)</f>
        <v>#N/A</v>
      </c>
      <c r="K1951" s="30" t="e">
        <f>VLOOKUP(I1951,PGStock[],3,FALSE)</f>
        <v>#N/A</v>
      </c>
      <c r="M1951" s="88" t="e">
        <f>VLOOKUP(I1951,PGStock[],6,FALSE)</f>
        <v>#N/A</v>
      </c>
      <c r="N1951" s="88" t="e">
        <f>+Table8[[#This Row],[SalesBot]]*Table8[[#This Row],[Bonus]]</f>
        <v>#N/A</v>
      </c>
    </row>
    <row r="1952" spans="1:14" ht="23.25" customHeight="1" x14ac:dyDescent="0.25">
      <c r="A1952" s="86">
        <f t="shared" si="229"/>
        <v>1900</v>
      </c>
      <c r="B1952" s="86">
        <f t="shared" si="230"/>
        <v>1</v>
      </c>
      <c r="C1952" s="97"/>
      <c r="D1952" s="87"/>
      <c r="F1952" s="23" t="e">
        <f>VLOOKUP(E1952,Customers[],2,FALSE)</f>
        <v>#N/A</v>
      </c>
      <c r="G1952" s="23" t="e">
        <f>VLOOKUP(E1952,Customers[],3,FALSE)</f>
        <v>#N/A</v>
      </c>
      <c r="H1952" s="23" t="e">
        <f>VLOOKUP(E1952,Customers[],4,FALSE)</f>
        <v>#N/A</v>
      </c>
      <c r="J1952" s="29" t="e">
        <f>VLOOKUP(I1952,PGStock[],2,FALSE)</f>
        <v>#N/A</v>
      </c>
      <c r="K1952" s="30" t="e">
        <f>VLOOKUP(I1952,PGStock[],3,FALSE)</f>
        <v>#N/A</v>
      </c>
      <c r="M1952" s="88" t="e">
        <f>VLOOKUP(I1952,PGStock[],6,FALSE)</f>
        <v>#N/A</v>
      </c>
      <c r="N1952" s="88" t="e">
        <f>+Table8[[#This Row],[SalesBot]]*Table8[[#This Row],[Bonus]]</f>
        <v>#N/A</v>
      </c>
    </row>
    <row r="1953" spans="1:14" ht="23.25" customHeight="1" x14ac:dyDescent="0.25">
      <c r="A1953" s="86">
        <f t="shared" si="229"/>
        <v>1900</v>
      </c>
      <c r="B1953" s="86">
        <f t="shared" si="230"/>
        <v>1</v>
      </c>
      <c r="C1953" s="97"/>
      <c r="D1953" s="87"/>
      <c r="F1953" s="23" t="e">
        <f>VLOOKUP(E1953,Customers[],2,FALSE)</f>
        <v>#N/A</v>
      </c>
      <c r="G1953" s="23" t="e">
        <f>VLOOKUP(E1953,Customers[],3,FALSE)</f>
        <v>#N/A</v>
      </c>
      <c r="H1953" s="23" t="e">
        <f>VLOOKUP(E1953,Customers[],4,FALSE)</f>
        <v>#N/A</v>
      </c>
      <c r="J1953" s="29" t="e">
        <f>VLOOKUP(I1953,PGStock[],2,FALSE)</f>
        <v>#N/A</v>
      </c>
      <c r="K1953" s="30" t="e">
        <f>VLOOKUP(I1953,PGStock[],3,FALSE)</f>
        <v>#N/A</v>
      </c>
      <c r="M1953" s="88" t="e">
        <f>VLOOKUP(I1953,PGStock[],6,FALSE)</f>
        <v>#N/A</v>
      </c>
      <c r="N1953" s="88" t="e">
        <f>+Table8[[#This Row],[SalesBot]]*Table8[[#This Row],[Bonus]]</f>
        <v>#N/A</v>
      </c>
    </row>
    <row r="1954" spans="1:14" ht="23.25" customHeight="1" x14ac:dyDescent="0.25">
      <c r="A1954" s="86">
        <f t="shared" si="229"/>
        <v>1900</v>
      </c>
      <c r="B1954" s="86">
        <f t="shared" si="230"/>
        <v>1</v>
      </c>
      <c r="C1954" s="97"/>
      <c r="D1954" s="87"/>
      <c r="F1954" s="23" t="e">
        <f>VLOOKUP(E1954,Customers[],2,FALSE)</f>
        <v>#N/A</v>
      </c>
      <c r="G1954" s="23" t="e">
        <f>VLOOKUP(E1954,Customers[],3,FALSE)</f>
        <v>#N/A</v>
      </c>
      <c r="H1954" s="23" t="e">
        <f>VLOOKUP(E1954,Customers[],4,FALSE)</f>
        <v>#N/A</v>
      </c>
      <c r="J1954" s="29" t="e">
        <f>VLOOKUP(I1954,PGStock[],2,FALSE)</f>
        <v>#N/A</v>
      </c>
      <c r="K1954" s="30" t="e">
        <f>VLOOKUP(I1954,PGStock[],3,FALSE)</f>
        <v>#N/A</v>
      </c>
      <c r="M1954" s="88" t="e">
        <f>VLOOKUP(I1954,PGStock[],6,FALSE)</f>
        <v>#N/A</v>
      </c>
      <c r="N1954" s="88" t="e">
        <f>+Table8[[#This Row],[SalesBot]]*Table8[[#This Row],[Bonus]]</f>
        <v>#N/A</v>
      </c>
    </row>
    <row r="1955" spans="1:14" ht="23.25" customHeight="1" x14ac:dyDescent="0.25">
      <c r="A1955" s="86">
        <f t="shared" si="229"/>
        <v>1900</v>
      </c>
      <c r="B1955" s="86">
        <f t="shared" si="230"/>
        <v>1</v>
      </c>
      <c r="C1955" s="97"/>
      <c r="D1955" s="87"/>
      <c r="F1955" s="23" t="e">
        <f>VLOOKUP(E1955,Customers[],2,FALSE)</f>
        <v>#N/A</v>
      </c>
      <c r="G1955" s="23" t="e">
        <f>VLOOKUP(E1955,Customers[],3,FALSE)</f>
        <v>#N/A</v>
      </c>
      <c r="H1955" s="23" t="e">
        <f>VLOOKUP(E1955,Customers[],4,FALSE)</f>
        <v>#N/A</v>
      </c>
      <c r="J1955" s="29" t="e">
        <f>VLOOKUP(I1955,PGStock[],2,FALSE)</f>
        <v>#N/A</v>
      </c>
      <c r="K1955" s="30" t="e">
        <f>VLOOKUP(I1955,PGStock[],3,FALSE)</f>
        <v>#N/A</v>
      </c>
      <c r="M1955" s="88" t="e">
        <f>VLOOKUP(I1955,PGStock[],6,FALSE)</f>
        <v>#N/A</v>
      </c>
      <c r="N1955" s="88" t="e">
        <f>+Table8[[#This Row],[SalesBot]]*Table8[[#This Row],[Bonus]]</f>
        <v>#N/A</v>
      </c>
    </row>
    <row r="1956" spans="1:14" ht="23.25" customHeight="1" x14ac:dyDescent="0.25">
      <c r="A1956" s="86">
        <f t="shared" ref="A1956:A1962" si="231">YEAR(C1956)</f>
        <v>1900</v>
      </c>
      <c r="B1956" s="86">
        <f t="shared" ref="B1956:B1962" si="232">MONTH(C1956)</f>
        <v>1</v>
      </c>
      <c r="C1956" s="97"/>
      <c r="D1956" s="87"/>
      <c r="F1956" s="23" t="e">
        <f>VLOOKUP(E1956,Customers[],2,FALSE)</f>
        <v>#N/A</v>
      </c>
      <c r="G1956" s="23" t="e">
        <f>VLOOKUP(E1956,Customers[],3,FALSE)</f>
        <v>#N/A</v>
      </c>
      <c r="H1956" s="23" t="e">
        <f>VLOOKUP(E1956,Customers[],4,FALSE)</f>
        <v>#N/A</v>
      </c>
      <c r="J1956" s="29" t="e">
        <f>VLOOKUP(I1956,PGStock[],2,FALSE)</f>
        <v>#N/A</v>
      </c>
      <c r="K1956" s="30" t="e">
        <f>VLOOKUP(I1956,PGStock[],3,FALSE)</f>
        <v>#N/A</v>
      </c>
      <c r="M1956" s="88" t="e">
        <f>VLOOKUP(I1956,PGStock[],6,FALSE)</f>
        <v>#N/A</v>
      </c>
      <c r="N1956" s="88" t="e">
        <f>+Table8[[#This Row],[SalesBot]]*Table8[[#This Row],[Bonus]]</f>
        <v>#N/A</v>
      </c>
    </row>
    <row r="1957" spans="1:14" ht="23.25" customHeight="1" x14ac:dyDescent="0.25">
      <c r="A1957" s="86">
        <f t="shared" si="231"/>
        <v>1900</v>
      </c>
      <c r="B1957" s="86">
        <f t="shared" si="232"/>
        <v>1</v>
      </c>
      <c r="C1957" s="97"/>
      <c r="D1957" s="87"/>
      <c r="F1957" s="23" t="e">
        <f>VLOOKUP(E1957,Customers[],2,FALSE)</f>
        <v>#N/A</v>
      </c>
      <c r="G1957" s="23" t="e">
        <f>VLOOKUP(E1957,Customers[],3,FALSE)</f>
        <v>#N/A</v>
      </c>
      <c r="H1957" s="23" t="e">
        <f>VLOOKUP(E1957,Customers[],4,FALSE)</f>
        <v>#N/A</v>
      </c>
      <c r="J1957" s="29" t="e">
        <f>VLOOKUP(I1957,PGStock[],2,FALSE)</f>
        <v>#N/A</v>
      </c>
      <c r="K1957" s="30" t="e">
        <f>VLOOKUP(I1957,PGStock[],3,FALSE)</f>
        <v>#N/A</v>
      </c>
      <c r="M1957" s="88" t="e">
        <f>VLOOKUP(I1957,PGStock[],6,FALSE)</f>
        <v>#N/A</v>
      </c>
      <c r="N1957" s="88" t="e">
        <f>+Table8[[#This Row],[SalesBot]]*Table8[[#This Row],[Bonus]]</f>
        <v>#N/A</v>
      </c>
    </row>
    <row r="1958" spans="1:14" ht="23.25" customHeight="1" x14ac:dyDescent="0.25">
      <c r="A1958" s="86">
        <f t="shared" si="231"/>
        <v>1900</v>
      </c>
      <c r="B1958" s="86">
        <f t="shared" si="232"/>
        <v>1</v>
      </c>
      <c r="C1958" s="97"/>
      <c r="D1958" s="87"/>
      <c r="F1958" s="23" t="e">
        <f>VLOOKUP(E1958,Customers[],2,FALSE)</f>
        <v>#N/A</v>
      </c>
      <c r="G1958" s="23" t="e">
        <f>VLOOKUP(E1958,Customers[],3,FALSE)</f>
        <v>#N/A</v>
      </c>
      <c r="H1958" s="23" t="e">
        <f>VLOOKUP(E1958,Customers[],4,FALSE)</f>
        <v>#N/A</v>
      </c>
      <c r="J1958" s="29" t="e">
        <f>VLOOKUP(I1958,PGStock[],2,FALSE)</f>
        <v>#N/A</v>
      </c>
      <c r="K1958" s="30" t="e">
        <f>VLOOKUP(I1958,PGStock[],3,FALSE)</f>
        <v>#N/A</v>
      </c>
      <c r="M1958" s="88" t="e">
        <f>VLOOKUP(I1958,PGStock[],6,FALSE)</f>
        <v>#N/A</v>
      </c>
      <c r="N1958" s="88" t="e">
        <f>+Table8[[#This Row],[SalesBot]]*Table8[[#This Row],[Bonus]]</f>
        <v>#N/A</v>
      </c>
    </row>
    <row r="1959" spans="1:14" ht="23.25" customHeight="1" x14ac:dyDescent="0.25">
      <c r="A1959" s="86">
        <f t="shared" si="231"/>
        <v>1900</v>
      </c>
      <c r="B1959" s="86">
        <f t="shared" si="232"/>
        <v>1</v>
      </c>
      <c r="C1959" s="97"/>
      <c r="D1959" s="87"/>
      <c r="F1959" s="23" t="e">
        <f>VLOOKUP(E1959,Customers[],2,FALSE)</f>
        <v>#N/A</v>
      </c>
      <c r="G1959" s="23" t="e">
        <f>VLOOKUP(E1959,Customers[],3,FALSE)</f>
        <v>#N/A</v>
      </c>
      <c r="H1959" s="23" t="e">
        <f>VLOOKUP(E1959,Customers[],4,FALSE)</f>
        <v>#N/A</v>
      </c>
      <c r="J1959" s="29" t="e">
        <f>VLOOKUP(I1959,PGStock[],2,FALSE)</f>
        <v>#N/A</v>
      </c>
      <c r="K1959" s="30" t="e">
        <f>VLOOKUP(I1959,PGStock[],3,FALSE)</f>
        <v>#N/A</v>
      </c>
      <c r="M1959" s="88" t="e">
        <f>VLOOKUP(I1959,PGStock[],6,FALSE)</f>
        <v>#N/A</v>
      </c>
      <c r="N1959" s="88" t="e">
        <f>+Table8[[#This Row],[SalesBot]]*Table8[[#This Row],[Bonus]]</f>
        <v>#N/A</v>
      </c>
    </row>
    <row r="1960" spans="1:14" ht="23.25" customHeight="1" x14ac:dyDescent="0.25">
      <c r="A1960" s="86">
        <f t="shared" si="231"/>
        <v>1900</v>
      </c>
      <c r="B1960" s="86">
        <f t="shared" si="232"/>
        <v>1</v>
      </c>
      <c r="C1960" s="97"/>
      <c r="D1960" s="87"/>
      <c r="F1960" s="23" t="e">
        <f>VLOOKUP(E1960,Customers[],2,FALSE)</f>
        <v>#N/A</v>
      </c>
      <c r="G1960" s="23" t="e">
        <f>VLOOKUP(E1960,Customers[],3,FALSE)</f>
        <v>#N/A</v>
      </c>
      <c r="H1960" s="23" t="e">
        <f>VLOOKUP(E1960,Customers[],4,FALSE)</f>
        <v>#N/A</v>
      </c>
      <c r="J1960" s="29" t="e">
        <f>VLOOKUP(I1960,PGStock[],2,FALSE)</f>
        <v>#N/A</v>
      </c>
      <c r="K1960" s="30" t="e">
        <f>VLOOKUP(I1960,PGStock[],3,FALSE)</f>
        <v>#N/A</v>
      </c>
      <c r="M1960" s="88" t="e">
        <f>VLOOKUP(I1960,PGStock[],6,FALSE)</f>
        <v>#N/A</v>
      </c>
      <c r="N1960" s="88" t="e">
        <f>+Table8[[#This Row],[SalesBot]]*Table8[[#This Row],[Bonus]]</f>
        <v>#N/A</v>
      </c>
    </row>
    <row r="1961" spans="1:14" ht="23.25" customHeight="1" x14ac:dyDescent="0.25">
      <c r="A1961" s="86">
        <f t="shared" si="231"/>
        <v>1900</v>
      </c>
      <c r="B1961" s="86">
        <f t="shared" si="232"/>
        <v>1</v>
      </c>
      <c r="C1961" s="97"/>
      <c r="D1961" s="87"/>
      <c r="F1961" s="23" t="e">
        <f>VLOOKUP(E1961,Customers[],2,FALSE)</f>
        <v>#N/A</v>
      </c>
      <c r="G1961" s="23" t="e">
        <f>VLOOKUP(E1961,Customers[],3,FALSE)</f>
        <v>#N/A</v>
      </c>
      <c r="H1961" s="23" t="e">
        <f>VLOOKUP(E1961,Customers[],4,FALSE)</f>
        <v>#N/A</v>
      </c>
      <c r="J1961" s="29" t="e">
        <f>VLOOKUP(I1961,PGStock[],2,FALSE)</f>
        <v>#N/A</v>
      </c>
      <c r="K1961" s="30" t="e">
        <f>VLOOKUP(I1961,PGStock[],3,FALSE)</f>
        <v>#N/A</v>
      </c>
      <c r="M1961" s="88" t="e">
        <f>VLOOKUP(I1961,PGStock[],6,FALSE)</f>
        <v>#N/A</v>
      </c>
      <c r="N1961" s="88" t="e">
        <f>+Table8[[#This Row],[SalesBot]]*Table8[[#This Row],[Bonus]]</f>
        <v>#N/A</v>
      </c>
    </row>
    <row r="1962" spans="1:14" ht="23.25" customHeight="1" x14ac:dyDescent="0.25">
      <c r="A1962" s="86">
        <f t="shared" si="231"/>
        <v>1900</v>
      </c>
      <c r="B1962" s="86">
        <f t="shared" si="232"/>
        <v>1</v>
      </c>
      <c r="C1962" s="97"/>
      <c r="D1962" s="87"/>
      <c r="F1962" s="23" t="e">
        <f>VLOOKUP(E1962,Customers[],2,FALSE)</f>
        <v>#N/A</v>
      </c>
      <c r="G1962" s="23" t="e">
        <f>VLOOKUP(E1962,Customers[],3,FALSE)</f>
        <v>#N/A</v>
      </c>
      <c r="H1962" s="23" t="e">
        <f>VLOOKUP(E1962,Customers[],4,FALSE)</f>
        <v>#N/A</v>
      </c>
      <c r="J1962" s="29" t="e">
        <f>VLOOKUP(I1962,PGStock[],2,FALSE)</f>
        <v>#N/A</v>
      </c>
      <c r="K1962" s="30" t="e">
        <f>VLOOKUP(I1962,PGStock[],3,FALSE)</f>
        <v>#N/A</v>
      </c>
      <c r="M1962" s="88" t="e">
        <f>VLOOKUP(I1962,PGStock[],6,FALSE)</f>
        <v>#N/A</v>
      </c>
      <c r="N1962" s="88" t="e">
        <f>+Table8[[#This Row],[SalesBot]]*Table8[[#This Row],[Bonus]]</f>
        <v>#N/A</v>
      </c>
    </row>
    <row r="1963" spans="1:14" ht="23.25" customHeight="1" x14ac:dyDescent="0.25">
      <c r="A1963" s="86">
        <f t="shared" si="223"/>
        <v>1900</v>
      </c>
      <c r="B1963" s="86">
        <f t="shared" si="224"/>
        <v>1</v>
      </c>
      <c r="C1963" s="97"/>
      <c r="D1963" s="87"/>
      <c r="F1963" s="23" t="e">
        <f>VLOOKUP(E1963,Customers[],2,FALSE)</f>
        <v>#N/A</v>
      </c>
      <c r="G1963" s="23" t="e">
        <f>VLOOKUP(E1963,Customers[],3,FALSE)</f>
        <v>#N/A</v>
      </c>
      <c r="H1963" s="23" t="e">
        <f>VLOOKUP(E1963,Customers[],4,FALSE)</f>
        <v>#N/A</v>
      </c>
      <c r="J1963" s="29" t="e">
        <f>VLOOKUP(I1963,PGStock[],2,FALSE)</f>
        <v>#N/A</v>
      </c>
      <c r="K1963" s="30" t="e">
        <f>VLOOKUP(I1963,PGStock[],3,FALSE)</f>
        <v>#N/A</v>
      </c>
      <c r="M1963" s="88" t="e">
        <f>VLOOKUP(I1963,PGStock[],6,FALSE)</f>
        <v>#N/A</v>
      </c>
      <c r="N1963" s="88" t="e">
        <f>+Table8[[#This Row],[SalesBot]]*Table8[[#This Row],[Bonus]]</f>
        <v>#N/A</v>
      </c>
    </row>
    <row r="1964" spans="1:14" ht="23.25" customHeight="1" x14ac:dyDescent="0.25">
      <c r="A1964" s="86">
        <f t="shared" si="223"/>
        <v>1900</v>
      </c>
      <c r="B1964" s="86">
        <f t="shared" si="224"/>
        <v>1</v>
      </c>
      <c r="C1964" s="97"/>
      <c r="D1964" s="87"/>
      <c r="F1964" s="23" t="e">
        <f>VLOOKUP(E1964,Customers[],2,FALSE)</f>
        <v>#N/A</v>
      </c>
      <c r="G1964" s="23" t="e">
        <f>VLOOKUP(E1964,Customers[],3,FALSE)</f>
        <v>#N/A</v>
      </c>
      <c r="H1964" s="23" t="e">
        <f>VLOOKUP(E1964,Customers[],4,FALSE)</f>
        <v>#N/A</v>
      </c>
      <c r="J1964" s="29" t="e">
        <f>VLOOKUP(I1964,PGStock[],2,FALSE)</f>
        <v>#N/A</v>
      </c>
      <c r="K1964" s="30" t="e">
        <f>VLOOKUP(I1964,PGStock[],3,FALSE)</f>
        <v>#N/A</v>
      </c>
      <c r="M1964" s="88" t="e">
        <f>VLOOKUP(I1964,PGStock[],6,FALSE)</f>
        <v>#N/A</v>
      </c>
      <c r="N1964" s="88" t="e">
        <f>+Table8[[#This Row],[SalesBot]]*Table8[[#This Row],[Bonus]]</f>
        <v>#N/A</v>
      </c>
    </row>
    <row r="1965" spans="1:14" ht="23.25" customHeight="1" x14ac:dyDescent="0.25">
      <c r="A1965" s="86">
        <f t="shared" ref="A1965:A1967" si="233">YEAR(C1965)</f>
        <v>1900</v>
      </c>
      <c r="B1965" s="86">
        <f t="shared" ref="B1965:B1967" si="234">MONTH(C1965)</f>
        <v>1</v>
      </c>
      <c r="C1965" s="97"/>
      <c r="D1965" s="87"/>
      <c r="F1965" s="23" t="e">
        <f>VLOOKUP(E1965,Customers[],2,FALSE)</f>
        <v>#N/A</v>
      </c>
      <c r="G1965" s="23" t="e">
        <f>VLOOKUP(E1965,Customers[],3,FALSE)</f>
        <v>#N/A</v>
      </c>
      <c r="H1965" s="23" t="e">
        <f>VLOOKUP(E1965,Customers[],4,FALSE)</f>
        <v>#N/A</v>
      </c>
      <c r="J1965" s="29" t="e">
        <f>VLOOKUP(I1965,PGStock[],2,FALSE)</f>
        <v>#N/A</v>
      </c>
      <c r="K1965" s="30" t="e">
        <f>VLOOKUP(I1965,PGStock[],3,FALSE)</f>
        <v>#N/A</v>
      </c>
      <c r="M1965" s="88" t="e">
        <f>VLOOKUP(I1965,PGStock[],6,FALSE)</f>
        <v>#N/A</v>
      </c>
      <c r="N1965" s="88" t="e">
        <f>+Table8[[#This Row],[SalesBot]]*Table8[[#This Row],[Bonus]]</f>
        <v>#N/A</v>
      </c>
    </row>
    <row r="1966" spans="1:14" ht="23.25" customHeight="1" x14ac:dyDescent="0.25">
      <c r="A1966" s="86">
        <f t="shared" si="233"/>
        <v>1900</v>
      </c>
      <c r="B1966" s="86">
        <f t="shared" si="234"/>
        <v>1</v>
      </c>
      <c r="C1966" s="97"/>
      <c r="D1966" s="87"/>
      <c r="F1966" s="23" t="e">
        <f>VLOOKUP(E1966,Customers[],2,FALSE)</f>
        <v>#N/A</v>
      </c>
      <c r="G1966" s="23" t="e">
        <f>VLOOKUP(E1966,Customers[],3,FALSE)</f>
        <v>#N/A</v>
      </c>
      <c r="H1966" s="23" t="e">
        <f>VLOOKUP(E1966,Customers[],4,FALSE)</f>
        <v>#N/A</v>
      </c>
      <c r="J1966" s="29" t="e">
        <f>VLOOKUP(I1966,PGStock[],2,FALSE)</f>
        <v>#N/A</v>
      </c>
      <c r="K1966" s="30" t="e">
        <f>VLOOKUP(I1966,PGStock[],3,FALSE)</f>
        <v>#N/A</v>
      </c>
      <c r="M1966" s="88" t="e">
        <f>VLOOKUP(I1966,PGStock[],6,FALSE)</f>
        <v>#N/A</v>
      </c>
      <c r="N1966" s="88" t="e">
        <f>+Table8[[#This Row],[SalesBot]]*Table8[[#This Row],[Bonus]]</f>
        <v>#N/A</v>
      </c>
    </row>
    <row r="1967" spans="1:14" ht="23.25" customHeight="1" x14ac:dyDescent="0.25">
      <c r="A1967" s="86">
        <f t="shared" si="233"/>
        <v>1900</v>
      </c>
      <c r="B1967" s="86">
        <f t="shared" si="234"/>
        <v>1</v>
      </c>
      <c r="C1967" s="97"/>
      <c r="D1967" s="87"/>
      <c r="F1967" s="23" t="e">
        <f>VLOOKUP(E1967,Customers[],2,FALSE)</f>
        <v>#N/A</v>
      </c>
      <c r="G1967" s="23" t="e">
        <f>VLOOKUP(E1967,Customers[],3,FALSE)</f>
        <v>#N/A</v>
      </c>
      <c r="H1967" s="23" t="e">
        <f>VLOOKUP(E1967,Customers[],4,FALSE)</f>
        <v>#N/A</v>
      </c>
      <c r="J1967" s="29" t="e">
        <f>VLOOKUP(I1967,PGStock[],2,FALSE)</f>
        <v>#N/A</v>
      </c>
      <c r="K1967" s="30" t="e">
        <f>VLOOKUP(I1967,PGStock[],3,FALSE)</f>
        <v>#N/A</v>
      </c>
      <c r="M1967" s="88" t="e">
        <f>VLOOKUP(I1967,PGStock[],6,FALSE)</f>
        <v>#N/A</v>
      </c>
      <c r="N1967" s="88" t="e">
        <f>+Table8[[#This Row],[SalesBot]]*Table8[[#This Row],[Bonus]]</f>
        <v>#N/A</v>
      </c>
    </row>
    <row r="1968" spans="1:14" ht="23.25" customHeight="1" x14ac:dyDescent="0.25">
      <c r="A1968" s="86">
        <f t="shared" ref="A1968:A1973" si="235">YEAR(C1968)</f>
        <v>1900</v>
      </c>
      <c r="B1968" s="86">
        <f t="shared" ref="B1968:B1973" si="236">MONTH(C1968)</f>
        <v>1</v>
      </c>
      <c r="C1968" s="97"/>
      <c r="D1968" s="87"/>
      <c r="F1968" s="23" t="e">
        <f>VLOOKUP(E1968,Customers[],2,FALSE)</f>
        <v>#N/A</v>
      </c>
      <c r="G1968" s="23" t="e">
        <f>VLOOKUP(E1968,Customers[],3,FALSE)</f>
        <v>#N/A</v>
      </c>
      <c r="H1968" s="23" t="e">
        <f>VLOOKUP(E1968,Customers[],4,FALSE)</f>
        <v>#N/A</v>
      </c>
      <c r="J1968" s="29" t="e">
        <f>VLOOKUP(I1968,PGStock[],2,FALSE)</f>
        <v>#N/A</v>
      </c>
      <c r="K1968" s="30" t="e">
        <f>VLOOKUP(I1968,PGStock[],3,FALSE)</f>
        <v>#N/A</v>
      </c>
      <c r="M1968" s="88" t="e">
        <f>VLOOKUP(I1968,PGStock[],6,FALSE)</f>
        <v>#N/A</v>
      </c>
      <c r="N1968" s="88" t="e">
        <f>+Table8[[#This Row],[SalesBot]]*Table8[[#This Row],[Bonus]]</f>
        <v>#N/A</v>
      </c>
    </row>
    <row r="1969" spans="1:14" ht="23.25" customHeight="1" x14ac:dyDescent="0.25">
      <c r="A1969" s="86">
        <f t="shared" si="235"/>
        <v>1900</v>
      </c>
      <c r="B1969" s="86">
        <f t="shared" si="236"/>
        <v>1</v>
      </c>
      <c r="C1969" s="97"/>
      <c r="D1969" s="87"/>
      <c r="F1969" s="23" t="e">
        <f>VLOOKUP(E1969,Customers[],2,FALSE)</f>
        <v>#N/A</v>
      </c>
      <c r="G1969" s="23" t="e">
        <f>VLOOKUP(E1969,Customers[],3,FALSE)</f>
        <v>#N/A</v>
      </c>
      <c r="H1969" s="23" t="e">
        <f>VLOOKUP(E1969,Customers[],4,FALSE)</f>
        <v>#N/A</v>
      </c>
      <c r="J1969" s="29" t="e">
        <f>VLOOKUP(I1969,PGStock[],2,FALSE)</f>
        <v>#N/A</v>
      </c>
      <c r="K1969" s="30" t="e">
        <f>VLOOKUP(I1969,PGStock[],3,FALSE)</f>
        <v>#N/A</v>
      </c>
      <c r="M1969" s="88" t="e">
        <f>VLOOKUP(I1969,PGStock[],6,FALSE)</f>
        <v>#N/A</v>
      </c>
      <c r="N1969" s="88" t="e">
        <f>+Table8[[#This Row],[SalesBot]]*Table8[[#This Row],[Bonus]]</f>
        <v>#N/A</v>
      </c>
    </row>
    <row r="1970" spans="1:14" ht="23.25" customHeight="1" x14ac:dyDescent="0.25">
      <c r="A1970" s="59">
        <f t="shared" si="235"/>
        <v>1900</v>
      </c>
      <c r="B1970" s="59">
        <f t="shared" si="236"/>
        <v>1</v>
      </c>
      <c r="C1970" s="97"/>
      <c r="D1970" s="87"/>
      <c r="F1970" s="23" t="e">
        <f>VLOOKUP(E1970,Customers[],2,FALSE)</f>
        <v>#N/A</v>
      </c>
      <c r="G1970" s="23" t="e">
        <f>VLOOKUP(E1970,Customers[],3,FALSE)</f>
        <v>#N/A</v>
      </c>
      <c r="H1970" s="23" t="e">
        <f>VLOOKUP(E1970,Customers[],4,FALSE)</f>
        <v>#N/A</v>
      </c>
      <c r="J1970" s="29" t="e">
        <f>VLOOKUP(I1970,PGStock[],2,FALSE)</f>
        <v>#N/A</v>
      </c>
      <c r="K1970" s="30" t="e">
        <f>VLOOKUP(I1970,PGStock[],3,FALSE)</f>
        <v>#N/A</v>
      </c>
      <c r="M1970" s="62" t="e">
        <f>VLOOKUP(I1970,PGStock[],6,FALSE)</f>
        <v>#N/A</v>
      </c>
      <c r="N1970" s="62" t="e">
        <f>+Table8[[#This Row],[SalesBot]]*Table8[[#This Row],[Bonus]]</f>
        <v>#N/A</v>
      </c>
    </row>
    <row r="1971" spans="1:14" ht="23.25" customHeight="1" x14ac:dyDescent="0.25">
      <c r="A1971" s="59">
        <f t="shared" si="235"/>
        <v>1900</v>
      </c>
      <c r="B1971" s="59">
        <f t="shared" si="236"/>
        <v>1</v>
      </c>
      <c r="C1971" s="97"/>
      <c r="D1971" s="61"/>
      <c r="F1971" s="23" t="e">
        <f>VLOOKUP(E1971,Customers[],2,FALSE)</f>
        <v>#N/A</v>
      </c>
      <c r="G1971" s="23" t="e">
        <f>VLOOKUP(E1971,Customers[],3,FALSE)</f>
        <v>#N/A</v>
      </c>
      <c r="H1971" s="23" t="e">
        <f>VLOOKUP(E1971,Customers[],4,FALSE)</f>
        <v>#N/A</v>
      </c>
      <c r="J1971" s="29" t="e">
        <f>VLOOKUP(I1971,PGStock[],2,FALSE)</f>
        <v>#N/A</v>
      </c>
      <c r="K1971" s="30" t="e">
        <f>VLOOKUP(I1971,PGStock[],3,FALSE)</f>
        <v>#N/A</v>
      </c>
      <c r="M1971" s="62" t="e">
        <f>VLOOKUP(I1971,PGStock[],6,FALSE)</f>
        <v>#N/A</v>
      </c>
      <c r="N1971" s="62" t="e">
        <f>+Table8[[#This Row],[SalesBot]]*Table8[[#This Row],[Bonus]]</f>
        <v>#N/A</v>
      </c>
    </row>
    <row r="1972" spans="1:14" ht="23.25" customHeight="1" x14ac:dyDescent="0.25">
      <c r="A1972" s="59">
        <f t="shared" si="235"/>
        <v>1900</v>
      </c>
      <c r="B1972" s="59">
        <f t="shared" si="236"/>
        <v>1</v>
      </c>
      <c r="C1972" s="97"/>
      <c r="D1972" s="61"/>
      <c r="F1972" s="23" t="e">
        <f>VLOOKUP(E1972,Customers[],2,FALSE)</f>
        <v>#N/A</v>
      </c>
      <c r="G1972" s="23" t="e">
        <f>VLOOKUP(E1972,Customers[],3,FALSE)</f>
        <v>#N/A</v>
      </c>
      <c r="H1972" s="23" t="e">
        <f>VLOOKUP(E1972,Customers[],4,FALSE)</f>
        <v>#N/A</v>
      </c>
      <c r="J1972" s="29" t="e">
        <f>VLOOKUP(I1972,PGStock[],2,FALSE)</f>
        <v>#N/A</v>
      </c>
      <c r="K1972" s="30" t="e">
        <f>VLOOKUP(I1972,PGStock[],3,FALSE)</f>
        <v>#N/A</v>
      </c>
      <c r="M1972" s="62" t="e">
        <f>VLOOKUP(I1972,PGStock[],6,FALSE)</f>
        <v>#N/A</v>
      </c>
      <c r="N1972" s="62" t="e">
        <f>+Table8[[#This Row],[SalesBot]]*Table8[[#This Row],[Bonus]]</f>
        <v>#N/A</v>
      </c>
    </row>
    <row r="1973" spans="1:14" ht="23.25" customHeight="1" x14ac:dyDescent="0.25">
      <c r="A1973" s="86">
        <f t="shared" si="235"/>
        <v>1900</v>
      </c>
      <c r="B1973" s="86">
        <f t="shared" si="236"/>
        <v>1</v>
      </c>
      <c r="C1973" s="97"/>
      <c r="D1973" s="87"/>
      <c r="F1973" s="23" t="e">
        <f>VLOOKUP(E1973,Customers[],2,FALSE)</f>
        <v>#N/A</v>
      </c>
      <c r="G1973" s="23" t="e">
        <f>VLOOKUP(E1973,Customers[],3,FALSE)</f>
        <v>#N/A</v>
      </c>
      <c r="H1973" s="23" t="e">
        <f>VLOOKUP(E1973,Customers[],4,FALSE)</f>
        <v>#N/A</v>
      </c>
      <c r="J1973" s="29" t="e">
        <f>VLOOKUP(I1973,PGStock[],2,FALSE)</f>
        <v>#N/A</v>
      </c>
      <c r="K1973" s="30" t="e">
        <f>VLOOKUP(I1973,PGStock[],3,FALSE)</f>
        <v>#N/A</v>
      </c>
      <c r="M1973" s="88" t="e">
        <f>VLOOKUP(I1973,PGStock[],6,FALSE)</f>
        <v>#N/A</v>
      </c>
      <c r="N1973" s="88" t="e">
        <f>+Table8[[#This Row],[SalesBot]]*Table8[[#This Row],[Bonus]]</f>
        <v>#N/A</v>
      </c>
    </row>
    <row r="1974" spans="1:14" ht="23.25" customHeight="1" x14ac:dyDescent="0.25">
      <c r="A1974" s="59">
        <f t="shared" si="110"/>
        <v>1900</v>
      </c>
      <c r="B1974" s="59">
        <f t="shared" si="83"/>
        <v>1</v>
      </c>
      <c r="C1974" s="97"/>
      <c r="D1974" s="87"/>
      <c r="F1974" s="23" t="e">
        <f>VLOOKUP(E1974,Customers[],2,FALSE)</f>
        <v>#N/A</v>
      </c>
      <c r="G1974" s="23" t="e">
        <f>VLOOKUP(E1974,Customers[],3,FALSE)</f>
        <v>#N/A</v>
      </c>
      <c r="H1974" s="23" t="e">
        <f>VLOOKUP(E1974,Customers[],4,FALSE)</f>
        <v>#N/A</v>
      </c>
      <c r="J1974" s="29" t="e">
        <f>VLOOKUP(I1974,PGStock[],2,FALSE)</f>
        <v>#N/A</v>
      </c>
      <c r="K1974" s="30" t="e">
        <f>VLOOKUP(I1974,PGStock[],3,FALSE)</f>
        <v>#N/A</v>
      </c>
      <c r="M1974" s="62" t="e">
        <f>VLOOKUP(I1974,PGStock[],6,FALSE)</f>
        <v>#N/A</v>
      </c>
      <c r="N1974" s="62" t="e">
        <f>+Table8[[#This Row],[SalesBot]]*Table8[[#This Row],[Bonus]]</f>
        <v>#N/A</v>
      </c>
    </row>
    <row r="1975" spans="1:14" ht="23.25" customHeight="1" x14ac:dyDescent="0.25">
      <c r="A1975" s="59">
        <f t="shared" si="110"/>
        <v>1900</v>
      </c>
      <c r="B1975" s="59">
        <f t="shared" ref="B1975:B2225" si="237">MONTH(C1975)</f>
        <v>1</v>
      </c>
      <c r="C1975" s="97"/>
      <c r="D1975" s="87"/>
      <c r="F1975" s="23" t="e">
        <f>VLOOKUP(E1975,Customers[],2,FALSE)</f>
        <v>#N/A</v>
      </c>
      <c r="G1975" s="23" t="e">
        <f>VLOOKUP(E1975,Customers[],3,FALSE)</f>
        <v>#N/A</v>
      </c>
      <c r="H1975" s="23" t="e">
        <f>VLOOKUP(E1975,Customers[],4,FALSE)</f>
        <v>#N/A</v>
      </c>
      <c r="J1975" s="29" t="e">
        <f>VLOOKUP(I1975,PGStock[],2,FALSE)</f>
        <v>#N/A</v>
      </c>
      <c r="K1975" s="30" t="e">
        <f>VLOOKUP(I1975,PGStock[],3,FALSE)</f>
        <v>#N/A</v>
      </c>
      <c r="M1975" s="62" t="e">
        <f>VLOOKUP(I1975,PGStock[],6,FALSE)</f>
        <v>#N/A</v>
      </c>
      <c r="N1975" s="62" t="e">
        <f>+Table8[[#This Row],[SalesBot]]*Table8[[#This Row],[Bonus]]</f>
        <v>#N/A</v>
      </c>
    </row>
    <row r="1976" spans="1:14" ht="23.25" customHeight="1" x14ac:dyDescent="0.25">
      <c r="A1976" s="59">
        <f t="shared" si="110"/>
        <v>1900</v>
      </c>
      <c r="B1976" s="59">
        <f t="shared" si="237"/>
        <v>1</v>
      </c>
      <c r="C1976" s="97"/>
      <c r="D1976" s="87"/>
      <c r="F1976" s="23" t="e">
        <f>VLOOKUP(E1976,Customers[],2,FALSE)</f>
        <v>#N/A</v>
      </c>
      <c r="G1976" s="23" t="e">
        <f>VLOOKUP(E1976,Customers[],3,FALSE)</f>
        <v>#N/A</v>
      </c>
      <c r="H1976" s="23" t="e">
        <f>VLOOKUP(E1976,Customers[],4,FALSE)</f>
        <v>#N/A</v>
      </c>
      <c r="J1976" s="29" t="e">
        <f>VLOOKUP(I1976,PGStock[],2,FALSE)</f>
        <v>#N/A</v>
      </c>
      <c r="K1976" s="30" t="e">
        <f>VLOOKUP(I1976,PGStock[],3,FALSE)</f>
        <v>#N/A</v>
      </c>
      <c r="M1976" s="62" t="e">
        <f>VLOOKUP(I1976,PGStock[],6,FALSE)</f>
        <v>#N/A</v>
      </c>
      <c r="N1976" s="62" t="e">
        <f>+Table8[[#This Row],[SalesBot]]*Table8[[#This Row],[Bonus]]</f>
        <v>#N/A</v>
      </c>
    </row>
    <row r="1977" spans="1:14" ht="23.25" customHeight="1" x14ac:dyDescent="0.25">
      <c r="A1977" s="59">
        <f t="shared" ref="A1977:A1979" si="238">YEAR(C1977)</f>
        <v>1900</v>
      </c>
      <c r="B1977" s="59">
        <f t="shared" ref="B1977:B1979" si="239">MONTH(C1977)</f>
        <v>1</v>
      </c>
      <c r="C1977" s="97"/>
      <c r="D1977" s="61"/>
      <c r="F1977" s="23" t="e">
        <f>VLOOKUP(E1977,Customers[],2,FALSE)</f>
        <v>#N/A</v>
      </c>
      <c r="G1977" s="23" t="e">
        <f>VLOOKUP(E1977,Customers[],3,FALSE)</f>
        <v>#N/A</v>
      </c>
      <c r="H1977" s="23" t="e">
        <f>VLOOKUP(E1977,Customers[],4,FALSE)</f>
        <v>#N/A</v>
      </c>
      <c r="J1977" s="29" t="e">
        <f>VLOOKUP(I1977,PGStock[],2,FALSE)</f>
        <v>#N/A</v>
      </c>
      <c r="K1977" s="30" t="e">
        <f>VLOOKUP(I1977,PGStock[],3,FALSE)</f>
        <v>#N/A</v>
      </c>
      <c r="M1977" s="62" t="e">
        <f>VLOOKUP(I1977,PGStock[],6,FALSE)</f>
        <v>#N/A</v>
      </c>
      <c r="N1977" s="62" t="e">
        <f>+Table8[[#This Row],[SalesBot]]*Table8[[#This Row],[Bonus]]</f>
        <v>#N/A</v>
      </c>
    </row>
    <row r="1978" spans="1:14" ht="23.25" customHeight="1" x14ac:dyDescent="0.25">
      <c r="A1978" s="59">
        <f t="shared" si="238"/>
        <v>1900</v>
      </c>
      <c r="B1978" s="59">
        <f t="shared" si="239"/>
        <v>1</v>
      </c>
      <c r="C1978" s="97"/>
      <c r="D1978" s="61"/>
      <c r="F1978" s="23" t="e">
        <f>VLOOKUP(E1978,Customers[],2,FALSE)</f>
        <v>#N/A</v>
      </c>
      <c r="G1978" s="23" t="e">
        <f>VLOOKUP(E1978,Customers[],3,FALSE)</f>
        <v>#N/A</v>
      </c>
      <c r="H1978" s="23" t="e">
        <f>VLOOKUP(E1978,Customers[],4,FALSE)</f>
        <v>#N/A</v>
      </c>
      <c r="J1978" s="29" t="e">
        <f>VLOOKUP(I1978,PGStock[],2,FALSE)</f>
        <v>#N/A</v>
      </c>
      <c r="K1978" s="30" t="e">
        <f>VLOOKUP(I1978,PGStock[],3,FALSE)</f>
        <v>#N/A</v>
      </c>
      <c r="M1978" s="62" t="e">
        <f>VLOOKUP(I1978,PGStock[],6,FALSE)</f>
        <v>#N/A</v>
      </c>
      <c r="N1978" s="62" t="e">
        <f>+Table8[[#This Row],[SalesBot]]*Table8[[#This Row],[Bonus]]</f>
        <v>#N/A</v>
      </c>
    </row>
    <row r="1979" spans="1:14" ht="23.25" customHeight="1" x14ac:dyDescent="0.25">
      <c r="A1979" s="59">
        <f t="shared" si="238"/>
        <v>1900</v>
      </c>
      <c r="B1979" s="59">
        <f t="shared" si="239"/>
        <v>1</v>
      </c>
      <c r="C1979" s="97"/>
      <c r="D1979" s="87"/>
      <c r="F1979" s="23" t="e">
        <f>VLOOKUP(E1979,Customers[],2,FALSE)</f>
        <v>#N/A</v>
      </c>
      <c r="G1979" s="23" t="e">
        <f>VLOOKUP(E1979,Customers[],3,FALSE)</f>
        <v>#N/A</v>
      </c>
      <c r="H1979" s="23" t="e">
        <f>VLOOKUP(E1979,Customers[],4,FALSE)</f>
        <v>#N/A</v>
      </c>
      <c r="J1979" s="29" t="e">
        <f>VLOOKUP(I1979,PGStock[],2,FALSE)</f>
        <v>#N/A</v>
      </c>
      <c r="K1979" s="30" t="e">
        <f>VLOOKUP(I1979,PGStock[],3,FALSE)</f>
        <v>#N/A</v>
      </c>
      <c r="M1979" s="62" t="e">
        <f>VLOOKUP(I1979,PGStock[],6,FALSE)</f>
        <v>#N/A</v>
      </c>
      <c r="N1979" s="62" t="e">
        <f>+Table8[[#This Row],[SalesBot]]*Table8[[#This Row],[Bonus]]</f>
        <v>#N/A</v>
      </c>
    </row>
    <row r="1980" spans="1:14" ht="23.25" customHeight="1" x14ac:dyDescent="0.25">
      <c r="A1980" s="59">
        <f t="shared" ref="A1980:A1982" si="240">YEAR(C1980)</f>
        <v>1900</v>
      </c>
      <c r="B1980" s="59">
        <f t="shared" ref="B1980:B1982" si="241">MONTH(C1980)</f>
        <v>1</v>
      </c>
      <c r="C1980" s="97"/>
      <c r="D1980" s="87"/>
      <c r="F1980" s="23" t="e">
        <f>VLOOKUP(E1980,Customers[],2,FALSE)</f>
        <v>#N/A</v>
      </c>
      <c r="G1980" s="23" t="e">
        <f>VLOOKUP(E1980,Customers[],3,FALSE)</f>
        <v>#N/A</v>
      </c>
      <c r="H1980" s="23" t="e">
        <f>VLOOKUP(E1980,Customers[],4,FALSE)</f>
        <v>#N/A</v>
      </c>
      <c r="J1980" s="29" t="e">
        <f>VLOOKUP(I1980,PGStock[],2,FALSE)</f>
        <v>#N/A</v>
      </c>
      <c r="K1980" s="30" t="e">
        <f>VLOOKUP(I1980,PGStock[],3,FALSE)</f>
        <v>#N/A</v>
      </c>
      <c r="M1980" s="62" t="e">
        <f>VLOOKUP(I1980,PGStock[],6,FALSE)</f>
        <v>#N/A</v>
      </c>
      <c r="N1980" s="62" t="e">
        <f>+Table8[[#This Row],[SalesBot]]*Table8[[#This Row],[Bonus]]</f>
        <v>#N/A</v>
      </c>
    </row>
    <row r="1981" spans="1:14" ht="23.25" customHeight="1" x14ac:dyDescent="0.25">
      <c r="A1981" s="59">
        <f t="shared" si="240"/>
        <v>1900</v>
      </c>
      <c r="B1981" s="59">
        <f t="shared" si="241"/>
        <v>1</v>
      </c>
      <c r="C1981" s="97"/>
      <c r="D1981" s="87"/>
      <c r="F1981" s="23" t="e">
        <f>VLOOKUP(E1981,Customers[],2,FALSE)</f>
        <v>#N/A</v>
      </c>
      <c r="G1981" s="23" t="e">
        <f>VLOOKUP(E1981,Customers[],3,FALSE)</f>
        <v>#N/A</v>
      </c>
      <c r="H1981" s="23" t="e">
        <f>VLOOKUP(E1981,Customers[],4,FALSE)</f>
        <v>#N/A</v>
      </c>
      <c r="J1981" s="29" t="e">
        <f>VLOOKUP(I1981,PGStock[],2,FALSE)</f>
        <v>#N/A</v>
      </c>
      <c r="K1981" s="30" t="e">
        <f>VLOOKUP(I1981,PGStock[],3,FALSE)</f>
        <v>#N/A</v>
      </c>
      <c r="M1981" s="62" t="e">
        <f>VLOOKUP(I1981,PGStock[],6,FALSE)</f>
        <v>#N/A</v>
      </c>
      <c r="N1981" s="62" t="e">
        <f>+Table8[[#This Row],[SalesBot]]*Table8[[#This Row],[Bonus]]</f>
        <v>#N/A</v>
      </c>
    </row>
    <row r="1982" spans="1:14" ht="23.25" customHeight="1" x14ac:dyDescent="0.25">
      <c r="A1982" s="59">
        <f t="shared" si="240"/>
        <v>1900</v>
      </c>
      <c r="B1982" s="59">
        <f t="shared" si="241"/>
        <v>1</v>
      </c>
      <c r="C1982" s="97"/>
      <c r="D1982" s="87"/>
      <c r="F1982" s="23" t="e">
        <f>VLOOKUP(E1982,Customers[],2,FALSE)</f>
        <v>#N/A</v>
      </c>
      <c r="G1982" s="23" t="e">
        <f>VLOOKUP(E1982,Customers[],3,FALSE)</f>
        <v>#N/A</v>
      </c>
      <c r="H1982" s="23" t="e">
        <f>VLOOKUP(E1982,Customers[],4,FALSE)</f>
        <v>#N/A</v>
      </c>
      <c r="J1982" s="29" t="e">
        <f>VLOOKUP(I1982,PGStock[],2,FALSE)</f>
        <v>#N/A</v>
      </c>
      <c r="K1982" s="30" t="e">
        <f>VLOOKUP(I1982,PGStock[],3,FALSE)</f>
        <v>#N/A</v>
      </c>
      <c r="M1982" s="62" t="e">
        <f>VLOOKUP(I1982,PGStock[],6,FALSE)</f>
        <v>#N/A</v>
      </c>
      <c r="N1982" s="62" t="e">
        <f>+Table8[[#This Row],[SalesBot]]*Table8[[#This Row],[Bonus]]</f>
        <v>#N/A</v>
      </c>
    </row>
    <row r="1983" spans="1:14" ht="23.25" customHeight="1" x14ac:dyDescent="0.25">
      <c r="A1983" s="59">
        <f t="shared" ref="A1983:A1985" si="242">YEAR(C1983)</f>
        <v>1900</v>
      </c>
      <c r="B1983" s="59">
        <f t="shared" ref="B1983:B1985" si="243">MONTH(C1983)</f>
        <v>1</v>
      </c>
      <c r="C1983" s="97"/>
      <c r="D1983" s="61"/>
      <c r="F1983" s="23" t="e">
        <f>VLOOKUP(E1983,Customers[],2,FALSE)</f>
        <v>#N/A</v>
      </c>
      <c r="G1983" s="23" t="e">
        <f>VLOOKUP(E1983,Customers[],3,FALSE)</f>
        <v>#N/A</v>
      </c>
      <c r="H1983" s="23" t="e">
        <f>VLOOKUP(E1983,Customers[],4,FALSE)</f>
        <v>#N/A</v>
      </c>
      <c r="J1983" s="29" t="e">
        <f>VLOOKUP(I1983,PGStock[],2,FALSE)</f>
        <v>#N/A</v>
      </c>
      <c r="K1983" s="30" t="e">
        <f>VLOOKUP(I1983,PGStock[],3,FALSE)</f>
        <v>#N/A</v>
      </c>
      <c r="M1983" s="62" t="e">
        <f>VLOOKUP(I1983,PGStock[],6,FALSE)</f>
        <v>#N/A</v>
      </c>
      <c r="N1983" s="62" t="e">
        <f>+Table8[[#This Row],[SalesBot]]*Table8[[#This Row],[Bonus]]</f>
        <v>#N/A</v>
      </c>
    </row>
    <row r="1984" spans="1:14" ht="23.25" customHeight="1" x14ac:dyDescent="0.25">
      <c r="A1984" s="59">
        <f t="shared" si="242"/>
        <v>1900</v>
      </c>
      <c r="B1984" s="59">
        <f t="shared" si="243"/>
        <v>1</v>
      </c>
      <c r="C1984" s="97"/>
      <c r="D1984" s="61"/>
      <c r="F1984" s="23" t="e">
        <f>VLOOKUP(E1984,Customers[],2,FALSE)</f>
        <v>#N/A</v>
      </c>
      <c r="G1984" s="23" t="e">
        <f>VLOOKUP(E1984,Customers[],3,FALSE)</f>
        <v>#N/A</v>
      </c>
      <c r="H1984" s="23" t="e">
        <f>VLOOKUP(E1984,Customers[],4,FALSE)</f>
        <v>#N/A</v>
      </c>
      <c r="J1984" s="29" t="e">
        <f>VLOOKUP(I1984,PGStock[],2,FALSE)</f>
        <v>#N/A</v>
      </c>
      <c r="K1984" s="30" t="e">
        <f>VLOOKUP(I1984,PGStock[],3,FALSE)</f>
        <v>#N/A</v>
      </c>
      <c r="M1984" s="62" t="e">
        <f>VLOOKUP(I1984,PGStock[],6,FALSE)</f>
        <v>#N/A</v>
      </c>
      <c r="N1984" s="62" t="e">
        <f>+Table8[[#This Row],[SalesBot]]*Table8[[#This Row],[Bonus]]</f>
        <v>#N/A</v>
      </c>
    </row>
    <row r="1985" spans="1:14" ht="23.25" customHeight="1" x14ac:dyDescent="0.25">
      <c r="A1985" s="59">
        <f t="shared" si="242"/>
        <v>1900</v>
      </c>
      <c r="B1985" s="59">
        <f t="shared" si="243"/>
        <v>1</v>
      </c>
      <c r="C1985" s="97"/>
      <c r="D1985" s="61"/>
      <c r="F1985" s="23" t="e">
        <f>VLOOKUP(E1985,Customers[],2,FALSE)</f>
        <v>#N/A</v>
      </c>
      <c r="G1985" s="23" t="e">
        <f>VLOOKUP(E1985,Customers[],3,FALSE)</f>
        <v>#N/A</v>
      </c>
      <c r="H1985" s="23" t="e">
        <f>VLOOKUP(E1985,Customers[],4,FALSE)</f>
        <v>#N/A</v>
      </c>
      <c r="J1985" s="29" t="e">
        <f>VLOOKUP(I1985,PGStock[],2,FALSE)</f>
        <v>#N/A</v>
      </c>
      <c r="K1985" s="30" t="e">
        <f>VLOOKUP(I1985,PGStock[],3,FALSE)</f>
        <v>#N/A</v>
      </c>
      <c r="M1985" s="62" t="e">
        <f>VLOOKUP(I1985,PGStock[],6,FALSE)</f>
        <v>#N/A</v>
      </c>
      <c r="N1985" s="62" t="e">
        <f>+Table8[[#This Row],[SalesBot]]*Table8[[#This Row],[Bonus]]</f>
        <v>#N/A</v>
      </c>
    </row>
    <row r="1986" spans="1:14" ht="23.25" customHeight="1" x14ac:dyDescent="0.25">
      <c r="A1986" s="59">
        <f t="shared" ref="A1986:A1988" si="244">YEAR(C1986)</f>
        <v>1900</v>
      </c>
      <c r="B1986" s="59">
        <f t="shared" ref="B1986:B1988" si="245">MONTH(C1986)</f>
        <v>1</v>
      </c>
      <c r="C1986" s="97"/>
      <c r="D1986" s="61"/>
      <c r="F1986" s="23" t="e">
        <f>VLOOKUP(E1986,Customers[],2,FALSE)</f>
        <v>#N/A</v>
      </c>
      <c r="G1986" s="23" t="e">
        <f>VLOOKUP(E1986,Customers[],3,FALSE)</f>
        <v>#N/A</v>
      </c>
      <c r="H1986" s="23" t="e">
        <f>VLOOKUP(E1986,Customers[],4,FALSE)</f>
        <v>#N/A</v>
      </c>
      <c r="J1986" s="29" t="e">
        <f>VLOOKUP(I1986,PGStock[],2,FALSE)</f>
        <v>#N/A</v>
      </c>
      <c r="K1986" s="30" t="e">
        <f>VLOOKUP(I1986,PGStock[],3,FALSE)</f>
        <v>#N/A</v>
      </c>
      <c r="M1986" s="62" t="e">
        <f>VLOOKUP(I1986,PGStock[],6,FALSE)</f>
        <v>#N/A</v>
      </c>
      <c r="N1986" s="62" t="e">
        <f>+Table8[[#This Row],[SalesBot]]*Table8[[#This Row],[Bonus]]</f>
        <v>#N/A</v>
      </c>
    </row>
    <row r="1987" spans="1:14" ht="23.25" customHeight="1" x14ac:dyDescent="0.25">
      <c r="A1987" s="59">
        <f t="shared" si="244"/>
        <v>1900</v>
      </c>
      <c r="B1987" s="59">
        <f t="shared" si="245"/>
        <v>1</v>
      </c>
      <c r="C1987" s="97"/>
      <c r="D1987" s="61"/>
      <c r="F1987" s="23" t="e">
        <f>VLOOKUP(E1987,Customers[],2,FALSE)</f>
        <v>#N/A</v>
      </c>
      <c r="G1987" s="23" t="e">
        <f>VLOOKUP(E1987,Customers[],3,FALSE)</f>
        <v>#N/A</v>
      </c>
      <c r="H1987" s="23" t="e">
        <f>VLOOKUP(E1987,Customers[],4,FALSE)</f>
        <v>#N/A</v>
      </c>
      <c r="J1987" s="29" t="e">
        <f>VLOOKUP(I1987,PGStock[],2,FALSE)</f>
        <v>#N/A</v>
      </c>
      <c r="K1987" s="30" t="e">
        <f>VLOOKUP(I1987,PGStock[],3,FALSE)</f>
        <v>#N/A</v>
      </c>
      <c r="M1987" s="62" t="e">
        <f>VLOOKUP(I1987,PGStock[],6,FALSE)</f>
        <v>#N/A</v>
      </c>
      <c r="N1987" s="62" t="e">
        <f>+Table8[[#This Row],[SalesBot]]*Table8[[#This Row],[Bonus]]</f>
        <v>#N/A</v>
      </c>
    </row>
    <row r="1988" spans="1:14" ht="23.25" customHeight="1" x14ac:dyDescent="0.25">
      <c r="A1988" s="59">
        <f t="shared" si="244"/>
        <v>1900</v>
      </c>
      <c r="B1988" s="59">
        <f t="shared" si="245"/>
        <v>1</v>
      </c>
      <c r="C1988" s="97"/>
      <c r="D1988" s="61"/>
      <c r="F1988" s="23" t="e">
        <f>VLOOKUP(E1988,Customers[],2,FALSE)</f>
        <v>#N/A</v>
      </c>
      <c r="G1988" s="23" t="e">
        <f>VLOOKUP(E1988,Customers[],3,FALSE)</f>
        <v>#N/A</v>
      </c>
      <c r="H1988" s="23" t="e">
        <f>VLOOKUP(E1988,Customers[],4,FALSE)</f>
        <v>#N/A</v>
      </c>
      <c r="J1988" s="29" t="e">
        <f>VLOOKUP(I1988,PGStock[],2,FALSE)</f>
        <v>#N/A</v>
      </c>
      <c r="K1988" s="30" t="e">
        <f>VLOOKUP(I1988,PGStock[],3,FALSE)</f>
        <v>#N/A</v>
      </c>
      <c r="M1988" s="62" t="e">
        <f>VLOOKUP(I1988,PGStock[],6,FALSE)</f>
        <v>#N/A</v>
      </c>
      <c r="N1988" s="62" t="e">
        <f>+Table8[[#This Row],[SalesBot]]*Table8[[#This Row],[Bonus]]</f>
        <v>#N/A</v>
      </c>
    </row>
    <row r="1989" spans="1:14" ht="23.25" customHeight="1" x14ac:dyDescent="0.25">
      <c r="A1989" s="59">
        <f t="shared" ref="A1989:A1991" si="246">YEAR(C1989)</f>
        <v>1900</v>
      </c>
      <c r="B1989" s="59">
        <f t="shared" ref="B1989:B1991" si="247">MONTH(C1989)</f>
        <v>1</v>
      </c>
      <c r="C1989" s="97"/>
      <c r="D1989" s="61"/>
      <c r="F1989" s="23" t="e">
        <f>VLOOKUP(E1989,Customers[],2,FALSE)</f>
        <v>#N/A</v>
      </c>
      <c r="G1989" s="23" t="e">
        <f>VLOOKUP(E1989,Customers[],3,FALSE)</f>
        <v>#N/A</v>
      </c>
      <c r="H1989" s="23" t="e">
        <f>VLOOKUP(E1989,Customers[],4,FALSE)</f>
        <v>#N/A</v>
      </c>
      <c r="J1989" s="29" t="e">
        <f>VLOOKUP(I1989,PGStock[],2,FALSE)</f>
        <v>#N/A</v>
      </c>
      <c r="K1989" s="30" t="e">
        <f>VLOOKUP(I1989,PGStock[],3,FALSE)</f>
        <v>#N/A</v>
      </c>
      <c r="M1989" s="62" t="e">
        <f>VLOOKUP(I1989,PGStock[],6,FALSE)</f>
        <v>#N/A</v>
      </c>
      <c r="N1989" s="62" t="e">
        <f>+Table8[[#This Row],[SalesBot]]*Table8[[#This Row],[Bonus]]</f>
        <v>#N/A</v>
      </c>
    </row>
    <row r="1990" spans="1:14" ht="23.25" customHeight="1" x14ac:dyDescent="0.25">
      <c r="A1990" s="59">
        <f t="shared" si="246"/>
        <v>1900</v>
      </c>
      <c r="B1990" s="59">
        <f t="shared" si="247"/>
        <v>1</v>
      </c>
      <c r="C1990" s="97"/>
      <c r="D1990" s="61"/>
      <c r="F1990" s="23" t="e">
        <f>VLOOKUP(E1990,Customers[],2,FALSE)</f>
        <v>#N/A</v>
      </c>
      <c r="G1990" s="23" t="e">
        <f>VLOOKUP(E1990,Customers[],3,FALSE)</f>
        <v>#N/A</v>
      </c>
      <c r="H1990" s="23" t="e">
        <f>VLOOKUP(E1990,Customers[],4,FALSE)</f>
        <v>#N/A</v>
      </c>
      <c r="J1990" s="29" t="e">
        <f>VLOOKUP(I1990,PGStock[],2,FALSE)</f>
        <v>#N/A</v>
      </c>
      <c r="K1990" s="30" t="e">
        <f>VLOOKUP(I1990,PGStock[],3,FALSE)</f>
        <v>#N/A</v>
      </c>
      <c r="M1990" s="62" t="e">
        <f>VLOOKUP(I1990,PGStock[],6,FALSE)</f>
        <v>#N/A</v>
      </c>
      <c r="N1990" s="62" t="e">
        <f>+Table8[[#This Row],[SalesBot]]*Table8[[#This Row],[Bonus]]</f>
        <v>#N/A</v>
      </c>
    </row>
    <row r="1991" spans="1:14" ht="23.25" customHeight="1" x14ac:dyDescent="0.25">
      <c r="A1991" s="59">
        <f t="shared" si="246"/>
        <v>1900</v>
      </c>
      <c r="B1991" s="59">
        <f t="shared" si="247"/>
        <v>1</v>
      </c>
      <c r="C1991" s="97"/>
      <c r="D1991" s="61"/>
      <c r="F1991" s="23" t="e">
        <f>VLOOKUP(E1991,Customers[],2,FALSE)</f>
        <v>#N/A</v>
      </c>
      <c r="G1991" s="23" t="e">
        <f>VLOOKUP(E1991,Customers[],3,FALSE)</f>
        <v>#N/A</v>
      </c>
      <c r="H1991" s="23" t="e">
        <f>VLOOKUP(E1991,Customers[],4,FALSE)</f>
        <v>#N/A</v>
      </c>
      <c r="J1991" s="29" t="e">
        <f>VLOOKUP(I1991,PGStock[],2,FALSE)</f>
        <v>#N/A</v>
      </c>
      <c r="K1991" s="30" t="e">
        <f>VLOOKUP(I1991,PGStock[],3,FALSE)</f>
        <v>#N/A</v>
      </c>
      <c r="M1991" s="62" t="e">
        <f>VLOOKUP(I1991,PGStock[],6,FALSE)</f>
        <v>#N/A</v>
      </c>
      <c r="N1991" s="62" t="e">
        <f>+Table8[[#This Row],[SalesBot]]*Table8[[#This Row],[Bonus]]</f>
        <v>#N/A</v>
      </c>
    </row>
    <row r="1992" spans="1:14" ht="23.25" customHeight="1" x14ac:dyDescent="0.25">
      <c r="A1992" s="59">
        <f t="shared" ref="A1992:A1994" si="248">YEAR(C1992)</f>
        <v>1900</v>
      </c>
      <c r="B1992" s="59">
        <f t="shared" ref="B1992:B1994" si="249">MONTH(C1992)</f>
        <v>1</v>
      </c>
      <c r="C1992" s="97"/>
      <c r="D1992" s="61"/>
      <c r="F1992" s="23" t="e">
        <f>VLOOKUP(E1992,Customers[],2,FALSE)</f>
        <v>#N/A</v>
      </c>
      <c r="G1992" s="23" t="e">
        <f>VLOOKUP(E1992,Customers[],3,FALSE)</f>
        <v>#N/A</v>
      </c>
      <c r="H1992" s="23" t="e">
        <f>VLOOKUP(E1992,Customers[],4,FALSE)</f>
        <v>#N/A</v>
      </c>
      <c r="J1992" s="29" t="e">
        <f>VLOOKUP(I1992,PGStock[],2,FALSE)</f>
        <v>#N/A</v>
      </c>
      <c r="K1992" s="30" t="e">
        <f>VLOOKUP(I1992,PGStock[],3,FALSE)</f>
        <v>#N/A</v>
      </c>
      <c r="M1992" s="62" t="e">
        <f>VLOOKUP(I1992,PGStock[],6,FALSE)</f>
        <v>#N/A</v>
      </c>
      <c r="N1992" s="62" t="e">
        <f>+Table8[[#This Row],[SalesBot]]*Table8[[#This Row],[Bonus]]</f>
        <v>#N/A</v>
      </c>
    </row>
    <row r="1993" spans="1:14" ht="23.25" customHeight="1" x14ac:dyDescent="0.25">
      <c r="A1993" s="59">
        <f t="shared" si="248"/>
        <v>1900</v>
      </c>
      <c r="B1993" s="59">
        <f t="shared" si="249"/>
        <v>1</v>
      </c>
      <c r="C1993" s="97"/>
      <c r="D1993" s="61"/>
      <c r="F1993" s="23" t="e">
        <f>VLOOKUP(E1993,Customers[],2,FALSE)</f>
        <v>#N/A</v>
      </c>
      <c r="G1993" s="23" t="e">
        <f>VLOOKUP(E1993,Customers[],3,FALSE)</f>
        <v>#N/A</v>
      </c>
      <c r="H1993" s="23" t="e">
        <f>VLOOKUP(E1993,Customers[],4,FALSE)</f>
        <v>#N/A</v>
      </c>
      <c r="J1993" s="29" t="e">
        <f>VLOOKUP(I1993,PGStock[],2,FALSE)</f>
        <v>#N/A</v>
      </c>
      <c r="K1993" s="30" t="e">
        <f>VLOOKUP(I1993,PGStock[],3,FALSE)</f>
        <v>#N/A</v>
      </c>
      <c r="M1993" s="62" t="e">
        <f>VLOOKUP(I1993,PGStock[],6,FALSE)</f>
        <v>#N/A</v>
      </c>
      <c r="N1993" s="62" t="e">
        <f>+Table8[[#This Row],[SalesBot]]*Table8[[#This Row],[Bonus]]</f>
        <v>#N/A</v>
      </c>
    </row>
    <row r="1994" spans="1:14" ht="23.25" customHeight="1" x14ac:dyDescent="0.25">
      <c r="A1994" s="59">
        <f t="shared" si="248"/>
        <v>1900</v>
      </c>
      <c r="B1994" s="59">
        <f t="shared" si="249"/>
        <v>1</v>
      </c>
      <c r="C1994" s="97"/>
      <c r="D1994" s="61"/>
      <c r="F1994" s="23" t="e">
        <f>VLOOKUP(E1994,Customers[],2,FALSE)</f>
        <v>#N/A</v>
      </c>
      <c r="G1994" s="23" t="e">
        <f>VLOOKUP(E1994,Customers[],3,FALSE)</f>
        <v>#N/A</v>
      </c>
      <c r="H1994" s="23" t="e">
        <f>VLOOKUP(E1994,Customers[],4,FALSE)</f>
        <v>#N/A</v>
      </c>
      <c r="J1994" s="29" t="e">
        <f>VLOOKUP(I1994,PGStock[],2,FALSE)</f>
        <v>#N/A</v>
      </c>
      <c r="K1994" s="30" t="e">
        <f>VLOOKUP(I1994,PGStock[],3,FALSE)</f>
        <v>#N/A</v>
      </c>
      <c r="M1994" s="62" t="e">
        <f>VLOOKUP(I1994,PGStock[],6,FALSE)</f>
        <v>#N/A</v>
      </c>
      <c r="N1994" s="62" t="e">
        <f>+Table8[[#This Row],[SalesBot]]*Table8[[#This Row],[Bonus]]</f>
        <v>#N/A</v>
      </c>
    </row>
    <row r="1995" spans="1:14" ht="23.25" customHeight="1" x14ac:dyDescent="0.25">
      <c r="A1995" s="59">
        <f t="shared" ref="A1995:A1997" si="250">YEAR(C1995)</f>
        <v>1900</v>
      </c>
      <c r="B1995" s="59">
        <f t="shared" ref="B1995:B1997" si="251">MONTH(C1995)</f>
        <v>1</v>
      </c>
      <c r="C1995" s="97"/>
      <c r="D1995" s="61"/>
      <c r="F1995" s="23" t="e">
        <f>VLOOKUP(E1995,Customers[],2,FALSE)</f>
        <v>#N/A</v>
      </c>
      <c r="G1995" s="23" t="e">
        <f>VLOOKUP(E1995,Customers[],3,FALSE)</f>
        <v>#N/A</v>
      </c>
      <c r="H1995" s="23" t="e">
        <f>VLOOKUP(E1995,Customers[],4,FALSE)</f>
        <v>#N/A</v>
      </c>
      <c r="J1995" s="29" t="e">
        <f>VLOOKUP(I1995,PGStock[],2,FALSE)</f>
        <v>#N/A</v>
      </c>
      <c r="K1995" s="30" t="e">
        <f>VLOOKUP(I1995,PGStock[],3,FALSE)</f>
        <v>#N/A</v>
      </c>
      <c r="M1995" s="62" t="e">
        <f>VLOOKUP(I1995,PGStock[],6,FALSE)</f>
        <v>#N/A</v>
      </c>
      <c r="N1995" s="62" t="e">
        <f>+Table8[[#This Row],[SalesBot]]*Table8[[#This Row],[Bonus]]</f>
        <v>#N/A</v>
      </c>
    </row>
    <row r="1996" spans="1:14" ht="23.25" customHeight="1" x14ac:dyDescent="0.25">
      <c r="A1996" s="59">
        <f t="shared" si="250"/>
        <v>1900</v>
      </c>
      <c r="B1996" s="59">
        <f t="shared" si="251"/>
        <v>1</v>
      </c>
      <c r="C1996" s="97"/>
      <c r="D1996" s="61"/>
      <c r="F1996" s="23" t="e">
        <f>VLOOKUP(E1996,Customers[],2,FALSE)</f>
        <v>#N/A</v>
      </c>
      <c r="G1996" s="23" t="e">
        <f>VLOOKUP(E1996,Customers[],3,FALSE)</f>
        <v>#N/A</v>
      </c>
      <c r="H1996" s="23" t="e">
        <f>VLOOKUP(E1996,Customers[],4,FALSE)</f>
        <v>#N/A</v>
      </c>
      <c r="J1996" s="29" t="e">
        <f>VLOOKUP(I1996,PGStock[],2,FALSE)</f>
        <v>#N/A</v>
      </c>
      <c r="K1996" s="30" t="e">
        <f>VLOOKUP(I1996,PGStock[],3,FALSE)</f>
        <v>#N/A</v>
      </c>
      <c r="M1996" s="62" t="e">
        <f>VLOOKUP(I1996,PGStock[],6,FALSE)</f>
        <v>#N/A</v>
      </c>
      <c r="N1996" s="62" t="e">
        <f>+Table8[[#This Row],[SalesBot]]*Table8[[#This Row],[Bonus]]</f>
        <v>#N/A</v>
      </c>
    </row>
    <row r="1997" spans="1:14" ht="23.25" customHeight="1" x14ac:dyDescent="0.25">
      <c r="A1997" s="59">
        <f t="shared" si="250"/>
        <v>1900</v>
      </c>
      <c r="B1997" s="59">
        <f t="shared" si="251"/>
        <v>1</v>
      </c>
      <c r="C1997" s="97"/>
      <c r="D1997" s="61"/>
      <c r="F1997" s="23" t="e">
        <f>VLOOKUP(E1997,Customers[],2,FALSE)</f>
        <v>#N/A</v>
      </c>
      <c r="G1997" s="23" t="e">
        <f>VLOOKUP(E1997,Customers[],3,FALSE)</f>
        <v>#N/A</v>
      </c>
      <c r="H1997" s="23" t="e">
        <f>VLOOKUP(E1997,Customers[],4,FALSE)</f>
        <v>#N/A</v>
      </c>
      <c r="J1997" s="29" t="e">
        <f>VLOOKUP(I1997,PGStock[],2,FALSE)</f>
        <v>#N/A</v>
      </c>
      <c r="K1997" s="30" t="e">
        <f>VLOOKUP(I1997,PGStock[],3,FALSE)</f>
        <v>#N/A</v>
      </c>
      <c r="M1997" s="62" t="e">
        <f>VLOOKUP(I1997,PGStock[],6,FALSE)</f>
        <v>#N/A</v>
      </c>
      <c r="N1997" s="62" t="e">
        <f>+Table8[[#This Row],[SalesBot]]*Table8[[#This Row],[Bonus]]</f>
        <v>#N/A</v>
      </c>
    </row>
    <row r="1998" spans="1:14" ht="23.25" customHeight="1" x14ac:dyDescent="0.25">
      <c r="A1998" s="59">
        <f t="shared" ref="A1998:A2000" si="252">YEAR(C1998)</f>
        <v>1900</v>
      </c>
      <c r="B1998" s="59">
        <f t="shared" ref="B1998:B2000" si="253">MONTH(C1998)</f>
        <v>1</v>
      </c>
      <c r="C1998" s="97"/>
      <c r="D1998" s="61"/>
      <c r="F1998" s="23" t="e">
        <f>VLOOKUP(E1998,Customers[],2,FALSE)</f>
        <v>#N/A</v>
      </c>
      <c r="G1998" s="23" t="e">
        <f>VLOOKUP(E1998,Customers[],3,FALSE)</f>
        <v>#N/A</v>
      </c>
      <c r="H1998" s="23" t="e">
        <f>VLOOKUP(E1998,Customers[],4,FALSE)</f>
        <v>#N/A</v>
      </c>
      <c r="J1998" s="29" t="e">
        <f>VLOOKUP(I1998,PGStock[],2,FALSE)</f>
        <v>#N/A</v>
      </c>
      <c r="K1998" s="30" t="e">
        <f>VLOOKUP(I1998,PGStock[],3,FALSE)</f>
        <v>#N/A</v>
      </c>
      <c r="M1998" s="62" t="e">
        <f>VLOOKUP(I1998,PGStock[],6,FALSE)</f>
        <v>#N/A</v>
      </c>
      <c r="N1998" s="62" t="e">
        <f>+Table8[[#This Row],[SalesBot]]*Table8[[#This Row],[Bonus]]</f>
        <v>#N/A</v>
      </c>
    </row>
    <row r="1999" spans="1:14" ht="23.25" customHeight="1" x14ac:dyDescent="0.25">
      <c r="A1999" s="59">
        <f t="shared" si="252"/>
        <v>1900</v>
      </c>
      <c r="B1999" s="59">
        <f t="shared" si="253"/>
        <v>1</v>
      </c>
      <c r="C1999" s="97"/>
      <c r="D1999" s="61"/>
      <c r="F1999" s="23" t="e">
        <f>VLOOKUP(E1999,Customers[],2,FALSE)</f>
        <v>#N/A</v>
      </c>
      <c r="G1999" s="23" t="e">
        <f>VLOOKUP(E1999,Customers[],3,FALSE)</f>
        <v>#N/A</v>
      </c>
      <c r="H1999" s="23" t="e">
        <f>VLOOKUP(E1999,Customers[],4,FALSE)</f>
        <v>#N/A</v>
      </c>
      <c r="J1999" s="29" t="e">
        <f>VLOOKUP(I1999,PGStock[],2,FALSE)</f>
        <v>#N/A</v>
      </c>
      <c r="K1999" s="30" t="e">
        <f>VLOOKUP(I1999,PGStock[],3,FALSE)</f>
        <v>#N/A</v>
      </c>
      <c r="M1999" s="62" t="e">
        <f>VLOOKUP(I1999,PGStock[],6,FALSE)</f>
        <v>#N/A</v>
      </c>
      <c r="N1999" s="62" t="e">
        <f>+Table8[[#This Row],[SalesBot]]*Table8[[#This Row],[Bonus]]</f>
        <v>#N/A</v>
      </c>
    </row>
    <row r="2000" spans="1:14" ht="23.25" customHeight="1" x14ac:dyDescent="0.25">
      <c r="A2000" s="59">
        <f t="shared" si="252"/>
        <v>1900</v>
      </c>
      <c r="B2000" s="59">
        <f t="shared" si="253"/>
        <v>1</v>
      </c>
      <c r="C2000" s="97"/>
      <c r="D2000" s="61"/>
      <c r="F2000" s="23" t="e">
        <f>VLOOKUP(E2000,Customers[],2,FALSE)</f>
        <v>#N/A</v>
      </c>
      <c r="G2000" s="23" t="e">
        <f>VLOOKUP(E2000,Customers[],3,FALSE)</f>
        <v>#N/A</v>
      </c>
      <c r="H2000" s="23" t="e">
        <f>VLOOKUP(E2000,Customers[],4,FALSE)</f>
        <v>#N/A</v>
      </c>
      <c r="J2000" s="29" t="e">
        <f>VLOOKUP(I2000,PGStock[],2,FALSE)</f>
        <v>#N/A</v>
      </c>
      <c r="K2000" s="30" t="e">
        <f>VLOOKUP(I2000,PGStock[],3,FALSE)</f>
        <v>#N/A</v>
      </c>
      <c r="M2000" s="62" t="e">
        <f>VLOOKUP(I2000,PGStock[],6,FALSE)</f>
        <v>#N/A</v>
      </c>
      <c r="N2000" s="62" t="e">
        <f>+Table8[[#This Row],[SalesBot]]*Table8[[#This Row],[Bonus]]</f>
        <v>#N/A</v>
      </c>
    </row>
    <row r="2001" spans="1:14" ht="23.25" customHeight="1" x14ac:dyDescent="0.25">
      <c r="A2001" s="59">
        <f t="shared" ref="A2001:A2013" si="254">YEAR(C2001)</f>
        <v>1900</v>
      </c>
      <c r="B2001" s="59">
        <f t="shared" ref="B2001:B2013" si="255">MONTH(C2001)</f>
        <v>1</v>
      </c>
      <c r="C2001" s="97"/>
      <c r="D2001" s="61"/>
      <c r="F2001" s="23" t="e">
        <f>VLOOKUP(E2001,Customers[],2,FALSE)</f>
        <v>#N/A</v>
      </c>
      <c r="G2001" s="23" t="e">
        <f>VLOOKUP(E2001,Customers[],3,FALSE)</f>
        <v>#N/A</v>
      </c>
      <c r="H2001" s="23" t="e">
        <f>VLOOKUP(E2001,Customers[],4,FALSE)</f>
        <v>#N/A</v>
      </c>
      <c r="J2001" s="29" t="e">
        <f>VLOOKUP(I2001,PGStock[],2,FALSE)</f>
        <v>#N/A</v>
      </c>
      <c r="K2001" s="30" t="e">
        <f>VLOOKUP(I2001,PGStock[],3,FALSE)</f>
        <v>#N/A</v>
      </c>
      <c r="M2001" s="62" t="e">
        <f>VLOOKUP(I2001,PGStock[],6,FALSE)</f>
        <v>#N/A</v>
      </c>
      <c r="N2001" s="62" t="e">
        <f>+Table8[[#This Row],[SalesBot]]*Table8[[#This Row],[Bonus]]</f>
        <v>#N/A</v>
      </c>
    </row>
    <row r="2002" spans="1:14" ht="23.25" customHeight="1" x14ac:dyDescent="0.25">
      <c r="A2002" s="59">
        <f t="shared" si="254"/>
        <v>1900</v>
      </c>
      <c r="B2002" s="59">
        <f t="shared" si="255"/>
        <v>1</v>
      </c>
      <c r="C2002" s="97"/>
      <c r="D2002" s="61"/>
      <c r="F2002" s="23" t="e">
        <f>VLOOKUP(E2002,Customers[],2,FALSE)</f>
        <v>#N/A</v>
      </c>
      <c r="G2002" s="23" t="e">
        <f>VLOOKUP(E2002,Customers[],3,FALSE)</f>
        <v>#N/A</v>
      </c>
      <c r="H2002" s="23" t="e">
        <f>VLOOKUP(E2002,Customers[],4,FALSE)</f>
        <v>#N/A</v>
      </c>
      <c r="J2002" s="29" t="e">
        <f>VLOOKUP(I2002,PGStock[],2,FALSE)</f>
        <v>#N/A</v>
      </c>
      <c r="K2002" s="30" t="e">
        <f>VLOOKUP(I2002,PGStock[],3,FALSE)</f>
        <v>#N/A</v>
      </c>
      <c r="M2002" s="62" t="e">
        <f>VLOOKUP(I2002,PGStock[],6,FALSE)</f>
        <v>#N/A</v>
      </c>
      <c r="N2002" s="62" t="e">
        <f>+Table8[[#This Row],[SalesBot]]*Table8[[#This Row],[Bonus]]</f>
        <v>#N/A</v>
      </c>
    </row>
    <row r="2003" spans="1:14" ht="23.25" customHeight="1" x14ac:dyDescent="0.25">
      <c r="A2003" s="59">
        <f t="shared" si="254"/>
        <v>1900</v>
      </c>
      <c r="B2003" s="59">
        <f t="shared" si="255"/>
        <v>1</v>
      </c>
      <c r="C2003" s="97"/>
      <c r="D2003" s="61"/>
      <c r="F2003" s="23" t="e">
        <f>VLOOKUP(E2003,Customers[],2,FALSE)</f>
        <v>#N/A</v>
      </c>
      <c r="G2003" s="23" t="e">
        <f>VLOOKUP(E2003,Customers[],3,FALSE)</f>
        <v>#N/A</v>
      </c>
      <c r="H2003" s="23" t="e">
        <f>VLOOKUP(E2003,Customers[],4,FALSE)</f>
        <v>#N/A</v>
      </c>
      <c r="J2003" s="29" t="e">
        <f>VLOOKUP(I2003,PGStock[],2,FALSE)</f>
        <v>#N/A</v>
      </c>
      <c r="K2003" s="30" t="e">
        <f>VLOOKUP(I2003,PGStock[],3,FALSE)</f>
        <v>#N/A</v>
      </c>
      <c r="M2003" s="62" t="e">
        <f>VLOOKUP(I2003,PGStock[],6,FALSE)</f>
        <v>#N/A</v>
      </c>
      <c r="N2003" s="62" t="e">
        <f>+Table8[[#This Row],[SalesBot]]*Table8[[#This Row],[Bonus]]</f>
        <v>#N/A</v>
      </c>
    </row>
    <row r="2004" spans="1:14" ht="23.25" customHeight="1" x14ac:dyDescent="0.25">
      <c r="A2004" s="59">
        <f t="shared" si="254"/>
        <v>1900</v>
      </c>
      <c r="B2004" s="59">
        <f t="shared" si="255"/>
        <v>1</v>
      </c>
      <c r="C2004" s="97"/>
      <c r="D2004" s="61"/>
      <c r="F2004" s="23" t="e">
        <f>VLOOKUP(E2004,Customers[],2,FALSE)</f>
        <v>#N/A</v>
      </c>
      <c r="G2004" s="23" t="e">
        <f>VLOOKUP(E2004,Customers[],3,FALSE)</f>
        <v>#N/A</v>
      </c>
      <c r="H2004" s="23" t="e">
        <f>VLOOKUP(E2004,Customers[],4,FALSE)</f>
        <v>#N/A</v>
      </c>
      <c r="J2004" s="29" t="e">
        <f>VLOOKUP(I2004,PGStock[],2,FALSE)</f>
        <v>#N/A</v>
      </c>
      <c r="K2004" s="30" t="e">
        <f>VLOOKUP(I2004,PGStock[],3,FALSE)</f>
        <v>#N/A</v>
      </c>
      <c r="M2004" s="62" t="e">
        <f>VLOOKUP(I2004,PGStock[],6,FALSE)</f>
        <v>#N/A</v>
      </c>
      <c r="N2004" s="62" t="e">
        <f>+Table8[[#This Row],[SalesBot]]*Table8[[#This Row],[Bonus]]</f>
        <v>#N/A</v>
      </c>
    </row>
    <row r="2005" spans="1:14" ht="23.25" customHeight="1" x14ac:dyDescent="0.25">
      <c r="A2005" s="59">
        <f t="shared" si="254"/>
        <v>1900</v>
      </c>
      <c r="B2005" s="59">
        <f t="shared" si="255"/>
        <v>1</v>
      </c>
      <c r="C2005" s="97"/>
      <c r="D2005" s="61"/>
      <c r="F2005" s="23" t="e">
        <f>VLOOKUP(E2005,Customers[],2,FALSE)</f>
        <v>#N/A</v>
      </c>
      <c r="G2005" s="23" t="e">
        <f>VLOOKUP(E2005,Customers[],3,FALSE)</f>
        <v>#N/A</v>
      </c>
      <c r="H2005" s="23" t="e">
        <f>VLOOKUP(E2005,Customers[],4,FALSE)</f>
        <v>#N/A</v>
      </c>
      <c r="J2005" s="29" t="e">
        <f>VLOOKUP(I2005,PGStock[],2,FALSE)</f>
        <v>#N/A</v>
      </c>
      <c r="K2005" s="30" t="e">
        <f>VLOOKUP(I2005,PGStock[],3,FALSE)</f>
        <v>#N/A</v>
      </c>
      <c r="M2005" s="62" t="e">
        <f>VLOOKUP(I2005,PGStock[],6,FALSE)</f>
        <v>#N/A</v>
      </c>
      <c r="N2005" s="62" t="e">
        <f>+Table8[[#This Row],[SalesBot]]*Table8[[#This Row],[Bonus]]</f>
        <v>#N/A</v>
      </c>
    </row>
    <row r="2006" spans="1:14" ht="23.25" customHeight="1" x14ac:dyDescent="0.25">
      <c r="A2006" s="59">
        <f t="shared" si="254"/>
        <v>1900</v>
      </c>
      <c r="B2006" s="59">
        <f t="shared" si="255"/>
        <v>1</v>
      </c>
      <c r="C2006" s="97"/>
      <c r="D2006" s="61"/>
      <c r="F2006" s="23" t="e">
        <f>VLOOKUP(E2006,Customers[],2,FALSE)</f>
        <v>#N/A</v>
      </c>
      <c r="G2006" s="23" t="e">
        <f>VLOOKUP(E2006,Customers[],3,FALSE)</f>
        <v>#N/A</v>
      </c>
      <c r="H2006" s="23" t="e">
        <f>VLOOKUP(E2006,Customers[],4,FALSE)</f>
        <v>#N/A</v>
      </c>
      <c r="J2006" s="29" t="e">
        <f>VLOOKUP(I2006,PGStock[],2,FALSE)</f>
        <v>#N/A</v>
      </c>
      <c r="K2006" s="30" t="e">
        <f>VLOOKUP(I2006,PGStock[],3,FALSE)</f>
        <v>#N/A</v>
      </c>
      <c r="M2006" s="62" t="e">
        <f>VLOOKUP(I2006,PGStock[],6,FALSE)</f>
        <v>#N/A</v>
      </c>
      <c r="N2006" s="62" t="e">
        <f>+Table8[[#This Row],[SalesBot]]*Table8[[#This Row],[Bonus]]</f>
        <v>#N/A</v>
      </c>
    </row>
    <row r="2007" spans="1:14" ht="23.25" customHeight="1" x14ac:dyDescent="0.25">
      <c r="A2007" s="59">
        <f t="shared" si="254"/>
        <v>1900</v>
      </c>
      <c r="B2007" s="59">
        <f t="shared" si="255"/>
        <v>1</v>
      </c>
      <c r="C2007" s="97"/>
      <c r="D2007" s="61"/>
      <c r="F2007" s="23" t="e">
        <f>VLOOKUP(E2007,Customers[],2,FALSE)</f>
        <v>#N/A</v>
      </c>
      <c r="G2007" s="23" t="e">
        <f>VLOOKUP(E2007,Customers[],3,FALSE)</f>
        <v>#N/A</v>
      </c>
      <c r="H2007" s="23" t="e">
        <f>VLOOKUP(E2007,Customers[],4,FALSE)</f>
        <v>#N/A</v>
      </c>
      <c r="J2007" s="29" t="e">
        <f>VLOOKUP(I2007,PGStock[],2,FALSE)</f>
        <v>#N/A</v>
      </c>
      <c r="K2007" s="30" t="e">
        <f>VLOOKUP(I2007,PGStock[],3,FALSE)</f>
        <v>#N/A</v>
      </c>
      <c r="M2007" s="62" t="e">
        <f>VLOOKUP(I2007,PGStock[],6,FALSE)</f>
        <v>#N/A</v>
      </c>
      <c r="N2007" s="62" t="e">
        <f>+Table8[[#This Row],[SalesBot]]*Table8[[#This Row],[Bonus]]</f>
        <v>#N/A</v>
      </c>
    </row>
    <row r="2008" spans="1:14" ht="23.25" customHeight="1" x14ac:dyDescent="0.25">
      <c r="A2008" s="59">
        <f t="shared" si="254"/>
        <v>1900</v>
      </c>
      <c r="B2008" s="59">
        <f t="shared" si="255"/>
        <v>1</v>
      </c>
      <c r="C2008" s="97"/>
      <c r="D2008" s="61"/>
      <c r="F2008" s="23" t="e">
        <f>VLOOKUP(E2008,Customers[],2,FALSE)</f>
        <v>#N/A</v>
      </c>
      <c r="G2008" s="23" t="e">
        <f>VLOOKUP(E2008,Customers[],3,FALSE)</f>
        <v>#N/A</v>
      </c>
      <c r="H2008" s="23" t="e">
        <f>VLOOKUP(E2008,Customers[],4,FALSE)</f>
        <v>#N/A</v>
      </c>
      <c r="J2008" s="29" t="e">
        <f>VLOOKUP(I2008,PGStock[],2,FALSE)</f>
        <v>#N/A</v>
      </c>
      <c r="K2008" s="30" t="e">
        <f>VLOOKUP(I2008,PGStock[],3,FALSE)</f>
        <v>#N/A</v>
      </c>
      <c r="M2008" s="62" t="e">
        <f>VLOOKUP(I2008,PGStock[],6,FALSE)</f>
        <v>#N/A</v>
      </c>
      <c r="N2008" s="62" t="e">
        <f>+Table8[[#This Row],[SalesBot]]*Table8[[#This Row],[Bonus]]</f>
        <v>#N/A</v>
      </c>
    </row>
    <row r="2009" spans="1:14" ht="23.25" customHeight="1" x14ac:dyDescent="0.25">
      <c r="A2009" s="59">
        <f t="shared" si="254"/>
        <v>1900</v>
      </c>
      <c r="B2009" s="59">
        <f t="shared" si="255"/>
        <v>1</v>
      </c>
      <c r="C2009" s="97"/>
      <c r="D2009" s="61"/>
      <c r="F2009" s="23" t="e">
        <f>VLOOKUP(E2008,Customers[],2,FALSE)</f>
        <v>#N/A</v>
      </c>
      <c r="G2009" s="23" t="e">
        <f>VLOOKUP(E2008,Customers[],3,FALSE)</f>
        <v>#N/A</v>
      </c>
      <c r="H2009" s="23" t="e">
        <f>VLOOKUP(E2008,Customers[],4,FALSE)</f>
        <v>#N/A</v>
      </c>
      <c r="J2009" s="29" t="e">
        <f>VLOOKUP(I2009,PGStock[],2,FALSE)</f>
        <v>#N/A</v>
      </c>
      <c r="K2009" s="30" t="e">
        <f>VLOOKUP(I2009,PGStock[],3,FALSE)</f>
        <v>#N/A</v>
      </c>
      <c r="M2009" s="62" t="e">
        <f>VLOOKUP(I2009,PGStock[],6,FALSE)</f>
        <v>#N/A</v>
      </c>
      <c r="N2009" s="62" t="e">
        <f>+Table8[[#This Row],[SalesBot]]*Table8[[#This Row],[Bonus]]</f>
        <v>#N/A</v>
      </c>
    </row>
    <row r="2010" spans="1:14" ht="23.25" customHeight="1" x14ac:dyDescent="0.25">
      <c r="A2010" s="59">
        <f t="shared" si="254"/>
        <v>1900</v>
      </c>
      <c r="B2010" s="59">
        <f t="shared" si="255"/>
        <v>1</v>
      </c>
      <c r="C2010" s="97"/>
      <c r="D2010" s="61"/>
      <c r="F2010" s="23" t="e">
        <f>VLOOKUP(E2010,Customers[],2,FALSE)</f>
        <v>#N/A</v>
      </c>
      <c r="G2010" s="23" t="e">
        <f>VLOOKUP(E2010,Customers[],3,FALSE)</f>
        <v>#N/A</v>
      </c>
      <c r="H2010" s="23" t="e">
        <f>VLOOKUP(E2010,Customers[],4,FALSE)</f>
        <v>#N/A</v>
      </c>
      <c r="J2010" s="29" t="e">
        <f>VLOOKUP(I2010,PGStock[],2,FALSE)</f>
        <v>#N/A</v>
      </c>
      <c r="K2010" s="30" t="e">
        <f>VLOOKUP(I2010,PGStock[],3,FALSE)</f>
        <v>#N/A</v>
      </c>
      <c r="M2010" s="62" t="e">
        <f>VLOOKUP(I2010,PGStock[],6,FALSE)</f>
        <v>#N/A</v>
      </c>
      <c r="N2010" s="62" t="e">
        <f>+Table8[[#This Row],[SalesBot]]*Table8[[#This Row],[Bonus]]</f>
        <v>#N/A</v>
      </c>
    </row>
    <row r="2011" spans="1:14" ht="23.25" customHeight="1" x14ac:dyDescent="0.25">
      <c r="A2011" s="59">
        <f t="shared" si="254"/>
        <v>1900</v>
      </c>
      <c r="B2011" s="59">
        <f t="shared" si="255"/>
        <v>1</v>
      </c>
      <c r="C2011" s="97"/>
      <c r="D2011" s="61"/>
      <c r="F2011" s="23" t="e">
        <f>VLOOKUP(E2011,Customers[],2,FALSE)</f>
        <v>#N/A</v>
      </c>
      <c r="G2011" s="23" t="e">
        <f>VLOOKUP(E2011,Customers[],3,FALSE)</f>
        <v>#N/A</v>
      </c>
      <c r="H2011" s="23" t="e">
        <f>VLOOKUP(E2011,Customers[],4,FALSE)</f>
        <v>#N/A</v>
      </c>
      <c r="J2011" s="29" t="e">
        <f>VLOOKUP(I2011,PGStock[],2,FALSE)</f>
        <v>#N/A</v>
      </c>
      <c r="K2011" s="30" t="e">
        <f>VLOOKUP(I2011,PGStock[],3,FALSE)</f>
        <v>#N/A</v>
      </c>
      <c r="M2011" s="62" t="e">
        <f>VLOOKUP(I2011,PGStock[],6,FALSE)</f>
        <v>#N/A</v>
      </c>
      <c r="N2011" s="62" t="e">
        <f>+Table8[[#This Row],[SalesBot]]*Table8[[#This Row],[Bonus]]</f>
        <v>#N/A</v>
      </c>
    </row>
    <row r="2012" spans="1:14" ht="23.25" customHeight="1" x14ac:dyDescent="0.25">
      <c r="A2012" s="59">
        <f t="shared" si="254"/>
        <v>1900</v>
      </c>
      <c r="B2012" s="59">
        <f t="shared" si="255"/>
        <v>1</v>
      </c>
      <c r="C2012" s="97"/>
      <c r="D2012" s="61"/>
      <c r="F2012" s="23" t="e">
        <f>VLOOKUP(E2012,Customers[],2,FALSE)</f>
        <v>#N/A</v>
      </c>
      <c r="G2012" s="23" t="e">
        <f>VLOOKUP(E2012,Customers[],3,FALSE)</f>
        <v>#N/A</v>
      </c>
      <c r="H2012" s="23" t="e">
        <f>VLOOKUP(E2012,Customers[],4,FALSE)</f>
        <v>#N/A</v>
      </c>
      <c r="J2012" s="29" t="e">
        <f>VLOOKUP(I2012,PGStock[],2,FALSE)</f>
        <v>#N/A</v>
      </c>
      <c r="K2012" s="30" t="e">
        <f>VLOOKUP(I2012,PGStock[],3,FALSE)</f>
        <v>#N/A</v>
      </c>
      <c r="M2012" s="62" t="e">
        <f>VLOOKUP(I2012,PGStock[],6,FALSE)</f>
        <v>#N/A</v>
      </c>
      <c r="N2012" s="62" t="e">
        <f>+Table8[[#This Row],[SalesBot]]*Table8[[#This Row],[Bonus]]</f>
        <v>#N/A</v>
      </c>
    </row>
    <row r="2013" spans="1:14" ht="23.25" customHeight="1" x14ac:dyDescent="0.25">
      <c r="A2013" s="59">
        <f t="shared" si="254"/>
        <v>1900</v>
      </c>
      <c r="B2013" s="59">
        <f t="shared" si="255"/>
        <v>1</v>
      </c>
      <c r="C2013" s="97"/>
      <c r="D2013" s="61"/>
      <c r="F2013" s="23" t="e">
        <f>VLOOKUP(E2013,Customers[],2,FALSE)</f>
        <v>#N/A</v>
      </c>
      <c r="G2013" s="23" t="e">
        <f>VLOOKUP(E2013,Customers[],3,FALSE)</f>
        <v>#N/A</v>
      </c>
      <c r="H2013" s="23" t="e">
        <f>VLOOKUP(E2013,Customers[],4,FALSE)</f>
        <v>#N/A</v>
      </c>
      <c r="J2013" s="29" t="e">
        <f>VLOOKUP(I2013,PGStock[],2,FALSE)</f>
        <v>#N/A</v>
      </c>
      <c r="K2013" s="30" t="e">
        <f>VLOOKUP(I2013,PGStock[],3,FALSE)</f>
        <v>#N/A</v>
      </c>
      <c r="M2013" s="62" t="e">
        <f>VLOOKUP(I2013,PGStock[],6,FALSE)</f>
        <v>#N/A</v>
      </c>
      <c r="N2013" s="62" t="e">
        <f>+Table8[[#This Row],[SalesBot]]*Table8[[#This Row],[Bonus]]</f>
        <v>#N/A</v>
      </c>
    </row>
    <row r="2014" spans="1:14" ht="23.25" customHeight="1" x14ac:dyDescent="0.25">
      <c r="A2014" s="59">
        <f t="shared" ref="A2014:A2026" si="256">YEAR(C2014)</f>
        <v>1900</v>
      </c>
      <c r="B2014" s="59">
        <f t="shared" ref="B2014:B2026" si="257">MONTH(C2014)</f>
        <v>1</v>
      </c>
      <c r="C2014" s="97"/>
      <c r="D2014" s="61"/>
      <c r="F2014" s="23" t="e">
        <f>VLOOKUP(E2014,Customers[],2,FALSE)</f>
        <v>#N/A</v>
      </c>
      <c r="G2014" s="23" t="e">
        <f>VLOOKUP(E2014,Customers[],3,FALSE)</f>
        <v>#N/A</v>
      </c>
      <c r="H2014" s="23" t="e">
        <f>VLOOKUP(E2014,Customers[],4,FALSE)</f>
        <v>#N/A</v>
      </c>
      <c r="J2014" s="29" t="e">
        <f>VLOOKUP(I2014,PGStock[],2,FALSE)</f>
        <v>#N/A</v>
      </c>
      <c r="K2014" s="30" t="e">
        <f>VLOOKUP(I2014,PGStock[],3,FALSE)</f>
        <v>#N/A</v>
      </c>
      <c r="M2014" s="62" t="e">
        <f>VLOOKUP(I2014,PGStock[],6,FALSE)</f>
        <v>#N/A</v>
      </c>
      <c r="N2014" s="62" t="e">
        <f>+Table8[[#This Row],[SalesBot]]*Table8[[#This Row],[Bonus]]</f>
        <v>#N/A</v>
      </c>
    </row>
    <row r="2015" spans="1:14" ht="23.25" customHeight="1" x14ac:dyDescent="0.25">
      <c r="A2015" s="59">
        <f t="shared" si="256"/>
        <v>1900</v>
      </c>
      <c r="B2015" s="59">
        <f t="shared" si="257"/>
        <v>1</v>
      </c>
      <c r="C2015" s="97"/>
      <c r="D2015" s="61"/>
      <c r="F2015" s="23" t="e">
        <f>VLOOKUP(E2015,Customers[],2,FALSE)</f>
        <v>#N/A</v>
      </c>
      <c r="G2015" s="23" t="e">
        <f>VLOOKUP(E2015,Customers[],3,FALSE)</f>
        <v>#N/A</v>
      </c>
      <c r="H2015" s="23" t="e">
        <f>VLOOKUP(E2015,Customers[],4,FALSE)</f>
        <v>#N/A</v>
      </c>
      <c r="J2015" s="29" t="e">
        <f>VLOOKUP(I2015,PGStock[],2,FALSE)</f>
        <v>#N/A</v>
      </c>
      <c r="K2015" s="30" t="e">
        <f>VLOOKUP(I2015,PGStock[],3,FALSE)</f>
        <v>#N/A</v>
      </c>
      <c r="M2015" s="62" t="e">
        <f>VLOOKUP(I2015,PGStock[],6,FALSE)</f>
        <v>#N/A</v>
      </c>
      <c r="N2015" s="62" t="e">
        <f>+Table8[[#This Row],[SalesBot]]*Table8[[#This Row],[Bonus]]</f>
        <v>#N/A</v>
      </c>
    </row>
    <row r="2016" spans="1:14" ht="23.25" customHeight="1" x14ac:dyDescent="0.25">
      <c r="A2016" s="59">
        <f t="shared" si="256"/>
        <v>1900</v>
      </c>
      <c r="B2016" s="59">
        <f t="shared" si="257"/>
        <v>1</v>
      </c>
      <c r="C2016" s="97"/>
      <c r="D2016" s="61"/>
      <c r="F2016" s="23" t="e">
        <f>VLOOKUP(E2016,Customers[],2,FALSE)</f>
        <v>#N/A</v>
      </c>
      <c r="G2016" s="23" t="e">
        <f>VLOOKUP(E2016,Customers[],3,FALSE)</f>
        <v>#N/A</v>
      </c>
      <c r="H2016" s="23" t="e">
        <f>VLOOKUP(E2016,Customers[],4,FALSE)</f>
        <v>#N/A</v>
      </c>
      <c r="J2016" s="29" t="e">
        <f>VLOOKUP(I2016,PGStock[],2,FALSE)</f>
        <v>#N/A</v>
      </c>
      <c r="K2016" s="30" t="e">
        <f>VLOOKUP(I2016,PGStock[],3,FALSE)</f>
        <v>#N/A</v>
      </c>
      <c r="M2016" s="62" t="e">
        <f>VLOOKUP(I2016,PGStock[],6,FALSE)</f>
        <v>#N/A</v>
      </c>
      <c r="N2016" s="62" t="e">
        <f>+Table8[[#This Row],[SalesBot]]*Table8[[#This Row],[Bonus]]</f>
        <v>#N/A</v>
      </c>
    </row>
    <row r="2017" spans="1:14" ht="23.25" customHeight="1" x14ac:dyDescent="0.25">
      <c r="A2017" s="59">
        <f t="shared" si="256"/>
        <v>1900</v>
      </c>
      <c r="B2017" s="59">
        <f t="shared" si="257"/>
        <v>1</v>
      </c>
      <c r="C2017" s="97"/>
      <c r="D2017" s="61"/>
      <c r="F2017" s="23" t="e">
        <f>VLOOKUP(E2017,Customers[],2,FALSE)</f>
        <v>#N/A</v>
      </c>
      <c r="G2017" s="23" t="e">
        <f>VLOOKUP(E2017,Customers[],3,FALSE)</f>
        <v>#N/A</v>
      </c>
      <c r="H2017" s="23" t="e">
        <f>VLOOKUP(E2017,Customers[],4,FALSE)</f>
        <v>#N/A</v>
      </c>
      <c r="J2017" s="29" t="e">
        <f>VLOOKUP(I2017,PGStock[],2,FALSE)</f>
        <v>#N/A</v>
      </c>
      <c r="K2017" s="30" t="e">
        <f>VLOOKUP(I2017,PGStock[],3,FALSE)</f>
        <v>#N/A</v>
      </c>
      <c r="M2017" s="62" t="e">
        <f>VLOOKUP(I2017,PGStock[],6,FALSE)</f>
        <v>#N/A</v>
      </c>
      <c r="N2017" s="62" t="e">
        <f>+Table8[[#This Row],[SalesBot]]*Table8[[#This Row],[Bonus]]</f>
        <v>#N/A</v>
      </c>
    </row>
    <row r="2018" spans="1:14" ht="23.25" customHeight="1" x14ac:dyDescent="0.25">
      <c r="A2018" s="59">
        <f t="shared" si="256"/>
        <v>1900</v>
      </c>
      <c r="B2018" s="59">
        <f t="shared" si="257"/>
        <v>1</v>
      </c>
      <c r="C2018" s="97"/>
      <c r="D2018" s="61"/>
      <c r="F2018" s="23" t="e">
        <f>VLOOKUP(E2018,Customers[],2,FALSE)</f>
        <v>#N/A</v>
      </c>
      <c r="G2018" s="23" t="e">
        <f>VLOOKUP(E2018,Customers[],3,FALSE)</f>
        <v>#N/A</v>
      </c>
      <c r="H2018" s="23" t="e">
        <f>VLOOKUP(E2018,Customers[],4,FALSE)</f>
        <v>#N/A</v>
      </c>
      <c r="J2018" s="29" t="e">
        <f>VLOOKUP(I2018,PGStock[],2,FALSE)</f>
        <v>#N/A</v>
      </c>
      <c r="K2018" s="30" t="e">
        <f>VLOOKUP(I2018,PGStock[],3,FALSE)</f>
        <v>#N/A</v>
      </c>
      <c r="M2018" s="62" t="e">
        <f>VLOOKUP(I2018,PGStock[],6,FALSE)</f>
        <v>#N/A</v>
      </c>
      <c r="N2018" s="62" t="e">
        <f>+Table8[[#This Row],[SalesBot]]*Table8[[#This Row],[Bonus]]</f>
        <v>#N/A</v>
      </c>
    </row>
    <row r="2019" spans="1:14" ht="23.25" customHeight="1" x14ac:dyDescent="0.25">
      <c r="A2019" s="59">
        <f t="shared" si="256"/>
        <v>1900</v>
      </c>
      <c r="B2019" s="59">
        <f t="shared" si="257"/>
        <v>1</v>
      </c>
      <c r="C2019" s="97"/>
      <c r="D2019" s="61"/>
      <c r="F2019" s="23" t="e">
        <f>VLOOKUP(E2019,Customers[],2,FALSE)</f>
        <v>#N/A</v>
      </c>
      <c r="G2019" s="23" t="e">
        <f>VLOOKUP(E2019,Customers[],3,FALSE)</f>
        <v>#N/A</v>
      </c>
      <c r="H2019" s="23" t="e">
        <f>VLOOKUP(E2019,Customers[],4,FALSE)</f>
        <v>#N/A</v>
      </c>
      <c r="J2019" s="29" t="e">
        <f>VLOOKUP(I2019,PGStock[],2,FALSE)</f>
        <v>#N/A</v>
      </c>
      <c r="K2019" s="30" t="e">
        <f>VLOOKUP(I2019,PGStock[],3,FALSE)</f>
        <v>#N/A</v>
      </c>
      <c r="M2019" s="62" t="e">
        <f>VLOOKUP(I2019,PGStock[],6,FALSE)</f>
        <v>#N/A</v>
      </c>
      <c r="N2019" s="62" t="e">
        <f>+Table8[[#This Row],[SalesBot]]*Table8[[#This Row],[Bonus]]</f>
        <v>#N/A</v>
      </c>
    </row>
    <row r="2020" spans="1:14" ht="23.25" customHeight="1" x14ac:dyDescent="0.25">
      <c r="A2020" s="59">
        <f t="shared" si="256"/>
        <v>1900</v>
      </c>
      <c r="B2020" s="59">
        <f t="shared" si="257"/>
        <v>1</v>
      </c>
      <c r="C2020" s="97"/>
      <c r="D2020" s="61"/>
      <c r="F2020" s="23" t="e">
        <f>VLOOKUP(E2020,Customers[],2,FALSE)</f>
        <v>#N/A</v>
      </c>
      <c r="G2020" s="23" t="e">
        <f>VLOOKUP(E2020,Customers[],3,FALSE)</f>
        <v>#N/A</v>
      </c>
      <c r="H2020" s="23" t="e">
        <f>VLOOKUP(E2020,Customers[],4,FALSE)</f>
        <v>#N/A</v>
      </c>
      <c r="J2020" s="29" t="e">
        <f>VLOOKUP(I2020,PGStock[],2,FALSE)</f>
        <v>#N/A</v>
      </c>
      <c r="K2020" s="30" t="e">
        <f>VLOOKUP(I2020,PGStock[],3,FALSE)</f>
        <v>#N/A</v>
      </c>
      <c r="M2020" s="62" t="e">
        <f>VLOOKUP(I2020,PGStock[],6,FALSE)</f>
        <v>#N/A</v>
      </c>
      <c r="N2020" s="62" t="e">
        <f>+Table8[[#This Row],[SalesBot]]*Table8[[#This Row],[Bonus]]</f>
        <v>#N/A</v>
      </c>
    </row>
    <row r="2021" spans="1:14" ht="23.25" customHeight="1" x14ac:dyDescent="0.25">
      <c r="A2021" s="59">
        <f t="shared" si="256"/>
        <v>1900</v>
      </c>
      <c r="B2021" s="59">
        <f t="shared" si="257"/>
        <v>1</v>
      </c>
      <c r="C2021" s="97"/>
      <c r="D2021" s="61"/>
      <c r="F2021" s="23" t="e">
        <f>VLOOKUP(E2021,Customers[],2,FALSE)</f>
        <v>#N/A</v>
      </c>
      <c r="G2021" s="23" t="e">
        <f>VLOOKUP(E2021,Customers[],3,FALSE)</f>
        <v>#N/A</v>
      </c>
      <c r="H2021" s="23" t="e">
        <f>VLOOKUP(E2021,Customers[],4,FALSE)</f>
        <v>#N/A</v>
      </c>
      <c r="J2021" s="29" t="e">
        <f>VLOOKUP(I2021,PGStock[],2,FALSE)</f>
        <v>#N/A</v>
      </c>
      <c r="K2021" s="30" t="e">
        <f>VLOOKUP(I2021,PGStock[],3,FALSE)</f>
        <v>#N/A</v>
      </c>
      <c r="M2021" s="62" t="e">
        <f>VLOOKUP(I2021,PGStock[],6,FALSE)</f>
        <v>#N/A</v>
      </c>
      <c r="N2021" s="62" t="e">
        <f>+Table8[[#This Row],[SalesBot]]*Table8[[#This Row],[Bonus]]</f>
        <v>#N/A</v>
      </c>
    </row>
    <row r="2022" spans="1:14" ht="23.25" customHeight="1" x14ac:dyDescent="0.25">
      <c r="A2022" s="59">
        <f t="shared" si="256"/>
        <v>1900</v>
      </c>
      <c r="B2022" s="59">
        <f t="shared" si="257"/>
        <v>1</v>
      </c>
      <c r="C2022" s="97"/>
      <c r="D2022" s="61"/>
      <c r="F2022" s="23" t="e">
        <f>VLOOKUP(E2022,Customers[],2,FALSE)</f>
        <v>#N/A</v>
      </c>
      <c r="G2022" s="23" t="e">
        <f>VLOOKUP(E2022,Customers[],3,FALSE)</f>
        <v>#N/A</v>
      </c>
      <c r="H2022" s="23" t="e">
        <f>VLOOKUP(E2022,Customers[],4,FALSE)</f>
        <v>#N/A</v>
      </c>
      <c r="J2022" s="29" t="e">
        <f>VLOOKUP(I2022,PGStock[],2,FALSE)</f>
        <v>#N/A</v>
      </c>
      <c r="K2022" s="30" t="e">
        <f>VLOOKUP(I2022,PGStock[],3,FALSE)</f>
        <v>#N/A</v>
      </c>
      <c r="M2022" s="62" t="e">
        <f>VLOOKUP(I2022,PGStock[],6,FALSE)</f>
        <v>#N/A</v>
      </c>
      <c r="N2022" s="62" t="e">
        <f>+Table8[[#This Row],[SalesBot]]*Table8[[#This Row],[Bonus]]</f>
        <v>#N/A</v>
      </c>
    </row>
    <row r="2023" spans="1:14" ht="23.25" customHeight="1" x14ac:dyDescent="0.25">
      <c r="A2023" s="59">
        <f t="shared" si="256"/>
        <v>1900</v>
      </c>
      <c r="B2023" s="59">
        <f t="shared" si="257"/>
        <v>1</v>
      </c>
      <c r="C2023" s="97"/>
      <c r="D2023" s="61"/>
      <c r="F2023" s="23" t="e">
        <f>VLOOKUP(E2023,Customers[],2,FALSE)</f>
        <v>#N/A</v>
      </c>
      <c r="G2023" s="23" t="e">
        <f>VLOOKUP(E2023,Customers[],3,FALSE)</f>
        <v>#N/A</v>
      </c>
      <c r="H2023" s="23" t="e">
        <f>VLOOKUP(E2023,Customers[],4,FALSE)</f>
        <v>#N/A</v>
      </c>
      <c r="J2023" s="29" t="e">
        <f>VLOOKUP(I2023,PGStock[],2,FALSE)</f>
        <v>#N/A</v>
      </c>
      <c r="K2023" s="30" t="e">
        <f>VLOOKUP(I2023,PGStock[],3,FALSE)</f>
        <v>#N/A</v>
      </c>
      <c r="M2023" s="62" t="e">
        <f>VLOOKUP(I2023,PGStock[],6,FALSE)</f>
        <v>#N/A</v>
      </c>
      <c r="N2023" s="62" t="e">
        <f>+Table8[[#This Row],[SalesBot]]*Table8[[#This Row],[Bonus]]</f>
        <v>#N/A</v>
      </c>
    </row>
    <row r="2024" spans="1:14" ht="23.25" customHeight="1" x14ac:dyDescent="0.25">
      <c r="A2024" s="59">
        <f t="shared" si="256"/>
        <v>1900</v>
      </c>
      <c r="B2024" s="59">
        <f t="shared" si="257"/>
        <v>1</v>
      </c>
      <c r="C2024" s="97"/>
      <c r="D2024" s="61"/>
      <c r="F2024" s="23" t="e">
        <f>VLOOKUP(E2024,Customers[],2,FALSE)</f>
        <v>#N/A</v>
      </c>
      <c r="G2024" s="23" t="e">
        <f>VLOOKUP(E2024,Customers[],3,FALSE)</f>
        <v>#N/A</v>
      </c>
      <c r="H2024" s="23" t="e">
        <f>VLOOKUP(E2024,Customers[],4,FALSE)</f>
        <v>#N/A</v>
      </c>
      <c r="J2024" s="29" t="e">
        <f>VLOOKUP(I2024,PGStock[],2,FALSE)</f>
        <v>#N/A</v>
      </c>
      <c r="K2024" s="30" t="e">
        <f>VLOOKUP(I2024,PGStock[],3,FALSE)</f>
        <v>#N/A</v>
      </c>
      <c r="M2024" s="62" t="e">
        <f>VLOOKUP(I2024,PGStock[],6,FALSE)</f>
        <v>#N/A</v>
      </c>
      <c r="N2024" s="62" t="e">
        <f>+Table8[[#This Row],[SalesBot]]*Table8[[#This Row],[Bonus]]</f>
        <v>#N/A</v>
      </c>
    </row>
    <row r="2025" spans="1:14" ht="23.25" customHeight="1" x14ac:dyDescent="0.25">
      <c r="A2025" s="59">
        <f t="shared" si="256"/>
        <v>1900</v>
      </c>
      <c r="B2025" s="59">
        <f t="shared" si="257"/>
        <v>1</v>
      </c>
      <c r="C2025" s="97"/>
      <c r="D2025" s="61"/>
      <c r="F2025" s="23" t="e">
        <f>VLOOKUP(E2025,Customers[],2,FALSE)</f>
        <v>#N/A</v>
      </c>
      <c r="G2025" s="23" t="e">
        <f>VLOOKUP(E2025,Customers[],3,FALSE)</f>
        <v>#N/A</v>
      </c>
      <c r="H2025" s="23" t="e">
        <f>VLOOKUP(E2025,Customers[],4,FALSE)</f>
        <v>#N/A</v>
      </c>
      <c r="J2025" s="29" t="e">
        <f>VLOOKUP(I2025,PGStock[],2,FALSE)</f>
        <v>#N/A</v>
      </c>
      <c r="K2025" s="30" t="e">
        <f>VLOOKUP(I2025,PGStock[],3,FALSE)</f>
        <v>#N/A</v>
      </c>
      <c r="M2025" s="62" t="e">
        <f>VLOOKUP(I2025,PGStock[],6,FALSE)</f>
        <v>#N/A</v>
      </c>
      <c r="N2025" s="62" t="e">
        <f>+Table8[[#This Row],[SalesBot]]*Table8[[#This Row],[Bonus]]</f>
        <v>#N/A</v>
      </c>
    </row>
    <row r="2026" spans="1:14" ht="23.25" customHeight="1" x14ac:dyDescent="0.25">
      <c r="A2026" s="59">
        <f t="shared" si="256"/>
        <v>1900</v>
      </c>
      <c r="B2026" s="59">
        <f t="shared" si="257"/>
        <v>1</v>
      </c>
      <c r="C2026" s="97"/>
      <c r="D2026" s="61"/>
      <c r="F2026" s="23" t="e">
        <f>VLOOKUP(E2026,Customers[],2,FALSE)</f>
        <v>#N/A</v>
      </c>
      <c r="G2026" s="23" t="e">
        <f>VLOOKUP(E2026,Customers[],3,FALSE)</f>
        <v>#N/A</v>
      </c>
      <c r="H2026" s="23" t="e">
        <f>VLOOKUP(E2026,Customers[],4,FALSE)</f>
        <v>#N/A</v>
      </c>
      <c r="J2026" s="29" t="e">
        <f>VLOOKUP(I2026,PGStock[],2,FALSE)</f>
        <v>#N/A</v>
      </c>
      <c r="K2026" s="30" t="e">
        <f>VLOOKUP(I2026,PGStock[],3,FALSE)</f>
        <v>#N/A</v>
      </c>
      <c r="M2026" s="62" t="e">
        <f>VLOOKUP(I2026,PGStock[],6,FALSE)</f>
        <v>#N/A</v>
      </c>
      <c r="N2026" s="62" t="e">
        <f>+Table8[[#This Row],[SalesBot]]*Table8[[#This Row],[Bonus]]</f>
        <v>#N/A</v>
      </c>
    </row>
    <row r="2027" spans="1:14" ht="23.25" customHeight="1" x14ac:dyDescent="0.25">
      <c r="A2027" s="59">
        <f t="shared" ref="A2027:A2039" si="258">YEAR(C2027)</f>
        <v>1900</v>
      </c>
      <c r="B2027" s="59">
        <f t="shared" ref="B2027:B2039" si="259">MONTH(C2027)</f>
        <v>1</v>
      </c>
      <c r="C2027" s="97"/>
      <c r="D2027" s="61"/>
      <c r="F2027" s="23" t="e">
        <f>VLOOKUP(E2027,Customers[],2,FALSE)</f>
        <v>#N/A</v>
      </c>
      <c r="G2027" s="23" t="e">
        <f>VLOOKUP(E2027,Customers[],3,FALSE)</f>
        <v>#N/A</v>
      </c>
      <c r="H2027" s="23" t="e">
        <f>VLOOKUP(E2027,Customers[],4,FALSE)</f>
        <v>#N/A</v>
      </c>
      <c r="J2027" s="29" t="e">
        <f>VLOOKUP(I2027,PGStock[],2,FALSE)</f>
        <v>#N/A</v>
      </c>
      <c r="K2027" s="30" t="e">
        <f>VLOOKUP(I2027,PGStock[],3,FALSE)</f>
        <v>#N/A</v>
      </c>
      <c r="M2027" s="62" t="e">
        <f>VLOOKUP(I2027,PGStock[],6,FALSE)</f>
        <v>#N/A</v>
      </c>
      <c r="N2027" s="62" t="e">
        <f>+Table8[[#This Row],[SalesBot]]*Table8[[#This Row],[Bonus]]</f>
        <v>#N/A</v>
      </c>
    </row>
    <row r="2028" spans="1:14" ht="23.25" customHeight="1" x14ac:dyDescent="0.25">
      <c r="A2028" s="59">
        <f t="shared" si="258"/>
        <v>1900</v>
      </c>
      <c r="B2028" s="59">
        <f t="shared" si="259"/>
        <v>1</v>
      </c>
      <c r="C2028" s="97"/>
      <c r="D2028" s="61"/>
      <c r="F2028" s="23" t="e">
        <f>VLOOKUP(E2028,Customers[],2,FALSE)</f>
        <v>#N/A</v>
      </c>
      <c r="G2028" s="23" t="e">
        <f>VLOOKUP(E2028,Customers[],3,FALSE)</f>
        <v>#N/A</v>
      </c>
      <c r="H2028" s="23" t="e">
        <f>VLOOKUP(E2028,Customers[],4,FALSE)</f>
        <v>#N/A</v>
      </c>
      <c r="J2028" s="29" t="e">
        <f>VLOOKUP(I2028,PGStock[],2,FALSE)</f>
        <v>#N/A</v>
      </c>
      <c r="K2028" s="30" t="e">
        <f>VLOOKUP(I2028,PGStock[],3,FALSE)</f>
        <v>#N/A</v>
      </c>
      <c r="M2028" s="62" t="e">
        <f>VLOOKUP(I2028,PGStock[],6,FALSE)</f>
        <v>#N/A</v>
      </c>
      <c r="N2028" s="62" t="e">
        <f>+Table8[[#This Row],[SalesBot]]*Table8[[#This Row],[Bonus]]</f>
        <v>#N/A</v>
      </c>
    </row>
    <row r="2029" spans="1:14" ht="23.25" customHeight="1" x14ac:dyDescent="0.25">
      <c r="A2029" s="59">
        <f t="shared" si="258"/>
        <v>1900</v>
      </c>
      <c r="B2029" s="59">
        <f t="shared" si="259"/>
        <v>1</v>
      </c>
      <c r="C2029" s="97"/>
      <c r="D2029" s="61"/>
      <c r="F2029" s="23" t="e">
        <f>VLOOKUP(E2029,Customers[],2,FALSE)</f>
        <v>#N/A</v>
      </c>
      <c r="G2029" s="23" t="e">
        <f>VLOOKUP(E2029,Customers[],3,FALSE)</f>
        <v>#N/A</v>
      </c>
      <c r="H2029" s="23" t="e">
        <f>VLOOKUP(E2029,Customers[],4,FALSE)</f>
        <v>#N/A</v>
      </c>
      <c r="J2029" s="29" t="e">
        <f>VLOOKUP(I2029,PGStock[],2,FALSE)</f>
        <v>#N/A</v>
      </c>
      <c r="K2029" s="30" t="e">
        <f>VLOOKUP(I2029,PGStock[],3,FALSE)</f>
        <v>#N/A</v>
      </c>
      <c r="M2029" s="62" t="e">
        <f>VLOOKUP(I2029,PGStock[],6,FALSE)</f>
        <v>#N/A</v>
      </c>
      <c r="N2029" s="62" t="e">
        <f>+Table8[[#This Row],[SalesBot]]*Table8[[#This Row],[Bonus]]</f>
        <v>#N/A</v>
      </c>
    </row>
    <row r="2030" spans="1:14" ht="23.25" customHeight="1" x14ac:dyDescent="0.25">
      <c r="A2030" s="59">
        <f t="shared" si="258"/>
        <v>1900</v>
      </c>
      <c r="B2030" s="59">
        <f t="shared" si="259"/>
        <v>1</v>
      </c>
      <c r="C2030" s="97"/>
      <c r="D2030" s="61"/>
      <c r="F2030" s="23" t="e">
        <f>VLOOKUP(E2030,Customers[],2,FALSE)</f>
        <v>#N/A</v>
      </c>
      <c r="G2030" s="23" t="e">
        <f>VLOOKUP(E2030,Customers[],3,FALSE)</f>
        <v>#N/A</v>
      </c>
      <c r="H2030" s="23" t="e">
        <f>VLOOKUP(E2030,Customers[],4,FALSE)</f>
        <v>#N/A</v>
      </c>
      <c r="J2030" s="29" t="e">
        <f>VLOOKUP(I2030,PGStock[],2,FALSE)</f>
        <v>#N/A</v>
      </c>
      <c r="K2030" s="30" t="e">
        <f>VLOOKUP(I2030,PGStock[],3,FALSE)</f>
        <v>#N/A</v>
      </c>
      <c r="M2030" s="62" t="e">
        <f>VLOOKUP(I2030,PGStock[],6,FALSE)</f>
        <v>#N/A</v>
      </c>
      <c r="N2030" s="62" t="e">
        <f>+Table8[[#This Row],[SalesBot]]*Table8[[#This Row],[Bonus]]</f>
        <v>#N/A</v>
      </c>
    </row>
    <row r="2031" spans="1:14" ht="23.25" customHeight="1" x14ac:dyDescent="0.25">
      <c r="A2031" s="59">
        <f t="shared" si="258"/>
        <v>1900</v>
      </c>
      <c r="B2031" s="59">
        <f t="shared" si="259"/>
        <v>1</v>
      </c>
      <c r="C2031" s="97"/>
      <c r="D2031" s="61"/>
      <c r="F2031" s="23" t="e">
        <f>VLOOKUP(E2031,Customers[],2,FALSE)</f>
        <v>#N/A</v>
      </c>
      <c r="G2031" s="23" t="e">
        <f>VLOOKUP(E2031,Customers[],3,FALSE)</f>
        <v>#N/A</v>
      </c>
      <c r="H2031" s="23" t="e">
        <f>VLOOKUP(E2031,Customers[],4,FALSE)</f>
        <v>#N/A</v>
      </c>
      <c r="J2031" s="29" t="e">
        <f>VLOOKUP(I2031,PGStock[],2,FALSE)</f>
        <v>#N/A</v>
      </c>
      <c r="K2031" s="30" t="e">
        <f>VLOOKUP(I2031,PGStock[],3,FALSE)</f>
        <v>#N/A</v>
      </c>
      <c r="M2031" s="62" t="e">
        <f>VLOOKUP(I2031,PGStock[],6,FALSE)</f>
        <v>#N/A</v>
      </c>
      <c r="N2031" s="62" t="e">
        <f>+Table8[[#This Row],[SalesBot]]*Table8[[#This Row],[Bonus]]</f>
        <v>#N/A</v>
      </c>
    </row>
    <row r="2032" spans="1:14" ht="23.25" customHeight="1" x14ac:dyDescent="0.25">
      <c r="A2032" s="59">
        <f t="shared" si="258"/>
        <v>1900</v>
      </c>
      <c r="B2032" s="59">
        <f t="shared" si="259"/>
        <v>1</v>
      </c>
      <c r="C2032" s="97"/>
      <c r="D2032" s="61"/>
      <c r="F2032" s="23" t="e">
        <f>VLOOKUP(E2032,Customers[],2,FALSE)</f>
        <v>#N/A</v>
      </c>
      <c r="G2032" s="23" t="e">
        <f>VLOOKUP(E2032,Customers[],3,FALSE)</f>
        <v>#N/A</v>
      </c>
      <c r="H2032" s="23" t="e">
        <f>VLOOKUP(E2032,Customers[],4,FALSE)</f>
        <v>#N/A</v>
      </c>
      <c r="J2032" s="29" t="e">
        <f>VLOOKUP(I2032,PGStock[],2,FALSE)</f>
        <v>#N/A</v>
      </c>
      <c r="K2032" s="30" t="e">
        <f>VLOOKUP(I2032,PGStock[],3,FALSE)</f>
        <v>#N/A</v>
      </c>
      <c r="M2032" s="62" t="e">
        <f>VLOOKUP(I2032,PGStock[],6,FALSE)</f>
        <v>#N/A</v>
      </c>
      <c r="N2032" s="62" t="e">
        <f>+Table8[[#This Row],[SalesBot]]*Table8[[#This Row],[Bonus]]</f>
        <v>#N/A</v>
      </c>
    </row>
    <row r="2033" spans="1:14" ht="23.25" customHeight="1" x14ac:dyDescent="0.25">
      <c r="A2033" s="59">
        <f t="shared" si="258"/>
        <v>1900</v>
      </c>
      <c r="B2033" s="59">
        <f t="shared" si="259"/>
        <v>1</v>
      </c>
      <c r="C2033" s="97"/>
      <c r="D2033" s="61"/>
      <c r="F2033" s="23" t="e">
        <f>VLOOKUP(E2033,Customers[],2,FALSE)</f>
        <v>#N/A</v>
      </c>
      <c r="G2033" s="23" t="e">
        <f>VLOOKUP(E2033,Customers[],3,FALSE)</f>
        <v>#N/A</v>
      </c>
      <c r="H2033" s="23" t="e">
        <f>VLOOKUP(E2033,Customers[],4,FALSE)</f>
        <v>#N/A</v>
      </c>
      <c r="J2033" s="29" t="e">
        <f>VLOOKUP(I2033,PGStock[],2,FALSE)</f>
        <v>#N/A</v>
      </c>
      <c r="K2033" s="30" t="e">
        <f>VLOOKUP(I2033,PGStock[],3,FALSE)</f>
        <v>#N/A</v>
      </c>
      <c r="M2033" s="62" t="e">
        <f>VLOOKUP(I2033,PGStock[],6,FALSE)</f>
        <v>#N/A</v>
      </c>
      <c r="N2033" s="62" t="e">
        <f>+Table8[[#This Row],[SalesBot]]*Table8[[#This Row],[Bonus]]</f>
        <v>#N/A</v>
      </c>
    </row>
    <row r="2034" spans="1:14" ht="23.25" customHeight="1" x14ac:dyDescent="0.25">
      <c r="A2034" s="59">
        <f t="shared" si="258"/>
        <v>1900</v>
      </c>
      <c r="B2034" s="59">
        <f t="shared" si="259"/>
        <v>1</v>
      </c>
      <c r="C2034" s="97"/>
      <c r="D2034" s="61"/>
      <c r="F2034" s="23" t="e">
        <f>VLOOKUP(E2034,Customers[],2,FALSE)</f>
        <v>#N/A</v>
      </c>
      <c r="G2034" s="23" t="e">
        <f>VLOOKUP(E2034,Customers[],3,FALSE)</f>
        <v>#N/A</v>
      </c>
      <c r="H2034" s="23" t="e">
        <f>VLOOKUP(E2034,Customers[],4,FALSE)</f>
        <v>#N/A</v>
      </c>
      <c r="J2034" s="29" t="e">
        <f>VLOOKUP(I2034,PGStock[],2,FALSE)</f>
        <v>#N/A</v>
      </c>
      <c r="K2034" s="30" t="e">
        <f>VLOOKUP(I2034,PGStock[],3,FALSE)</f>
        <v>#N/A</v>
      </c>
      <c r="M2034" s="62" t="e">
        <f>VLOOKUP(I2034,PGStock[],6,FALSE)</f>
        <v>#N/A</v>
      </c>
      <c r="N2034" s="62" t="e">
        <f>+Table8[[#This Row],[SalesBot]]*Table8[[#This Row],[Bonus]]</f>
        <v>#N/A</v>
      </c>
    </row>
    <row r="2035" spans="1:14" ht="23.25" customHeight="1" x14ac:dyDescent="0.25">
      <c r="A2035" s="59">
        <f t="shared" si="258"/>
        <v>1900</v>
      </c>
      <c r="B2035" s="59">
        <f t="shared" si="259"/>
        <v>1</v>
      </c>
      <c r="C2035" s="97"/>
      <c r="D2035" s="61"/>
      <c r="F2035" s="23" t="e">
        <f>VLOOKUP(E2035,Customers[],2,FALSE)</f>
        <v>#N/A</v>
      </c>
      <c r="G2035" s="23" t="e">
        <f>VLOOKUP(E2035,Customers[],3,FALSE)</f>
        <v>#N/A</v>
      </c>
      <c r="H2035" s="23" t="e">
        <f>VLOOKUP(E2035,Customers[],4,FALSE)</f>
        <v>#N/A</v>
      </c>
      <c r="J2035" s="29" t="e">
        <f>VLOOKUP(I2035,PGStock[],2,FALSE)</f>
        <v>#N/A</v>
      </c>
      <c r="K2035" s="30" t="e">
        <f>VLOOKUP(I2035,PGStock[],3,FALSE)</f>
        <v>#N/A</v>
      </c>
      <c r="M2035" s="62" t="e">
        <f>VLOOKUP(I2035,PGStock[],6,FALSE)</f>
        <v>#N/A</v>
      </c>
      <c r="N2035" s="62" t="e">
        <f>+Table8[[#This Row],[SalesBot]]*Table8[[#This Row],[Bonus]]</f>
        <v>#N/A</v>
      </c>
    </row>
    <row r="2036" spans="1:14" ht="23.25" customHeight="1" x14ac:dyDescent="0.25">
      <c r="A2036" s="59">
        <f t="shared" si="258"/>
        <v>1900</v>
      </c>
      <c r="B2036" s="59">
        <f t="shared" si="259"/>
        <v>1</v>
      </c>
      <c r="C2036" s="97"/>
      <c r="D2036" s="61"/>
      <c r="F2036" s="23" t="e">
        <f>VLOOKUP(E2036,Customers[],2,FALSE)</f>
        <v>#N/A</v>
      </c>
      <c r="G2036" s="23" t="e">
        <f>VLOOKUP(E2036,Customers[],3,FALSE)</f>
        <v>#N/A</v>
      </c>
      <c r="H2036" s="23" t="e">
        <f>VLOOKUP(E2036,Customers[],4,FALSE)</f>
        <v>#N/A</v>
      </c>
      <c r="J2036" s="29" t="e">
        <f>VLOOKUP(I2036,PGStock[],2,FALSE)</f>
        <v>#N/A</v>
      </c>
      <c r="K2036" s="30" t="e">
        <f>VLOOKUP(I2036,PGStock[],3,FALSE)</f>
        <v>#N/A</v>
      </c>
      <c r="M2036" s="62" t="e">
        <f>VLOOKUP(I2036,PGStock[],6,FALSE)</f>
        <v>#N/A</v>
      </c>
      <c r="N2036" s="62" t="e">
        <f>+Table8[[#This Row],[SalesBot]]*Table8[[#This Row],[Bonus]]</f>
        <v>#N/A</v>
      </c>
    </row>
    <row r="2037" spans="1:14" ht="23.25" customHeight="1" x14ac:dyDescent="0.25">
      <c r="A2037" s="59">
        <f t="shared" si="258"/>
        <v>1900</v>
      </c>
      <c r="B2037" s="59">
        <f t="shared" si="259"/>
        <v>1</v>
      </c>
      <c r="C2037" s="97"/>
      <c r="D2037" s="61"/>
      <c r="F2037" s="23" t="e">
        <f>VLOOKUP(E2037,Customers[],2,FALSE)</f>
        <v>#N/A</v>
      </c>
      <c r="G2037" s="23" t="e">
        <f>VLOOKUP(E2037,Customers[],3,FALSE)</f>
        <v>#N/A</v>
      </c>
      <c r="H2037" s="23" t="e">
        <f>VLOOKUP(E2037,Customers[],4,FALSE)</f>
        <v>#N/A</v>
      </c>
      <c r="J2037" s="29" t="e">
        <f>VLOOKUP(I2037,PGStock[],2,FALSE)</f>
        <v>#N/A</v>
      </c>
      <c r="K2037" s="30" t="e">
        <f>VLOOKUP(I2037,PGStock[],3,FALSE)</f>
        <v>#N/A</v>
      </c>
      <c r="M2037" s="62" t="e">
        <f>VLOOKUP(I2037,PGStock[],6,FALSE)</f>
        <v>#N/A</v>
      </c>
      <c r="N2037" s="62" t="e">
        <f>+Table8[[#This Row],[SalesBot]]*Table8[[#This Row],[Bonus]]</f>
        <v>#N/A</v>
      </c>
    </row>
    <row r="2038" spans="1:14" ht="23.25" customHeight="1" x14ac:dyDescent="0.25">
      <c r="A2038" s="59">
        <f t="shared" si="258"/>
        <v>1900</v>
      </c>
      <c r="B2038" s="59">
        <f t="shared" si="259"/>
        <v>1</v>
      </c>
      <c r="C2038" s="97"/>
      <c r="D2038" s="61"/>
      <c r="F2038" s="23" t="e">
        <f>VLOOKUP(E2038,Customers[],2,FALSE)</f>
        <v>#N/A</v>
      </c>
      <c r="G2038" s="23" t="e">
        <f>VLOOKUP(E2038,Customers[],3,FALSE)</f>
        <v>#N/A</v>
      </c>
      <c r="H2038" s="23" t="e">
        <f>VLOOKUP(E2038,Customers[],4,FALSE)</f>
        <v>#N/A</v>
      </c>
      <c r="J2038" s="29" t="e">
        <f>VLOOKUP(I2038,PGStock[],2,FALSE)</f>
        <v>#N/A</v>
      </c>
      <c r="K2038" s="30" t="e">
        <f>VLOOKUP(I2038,PGStock[],3,FALSE)</f>
        <v>#N/A</v>
      </c>
      <c r="M2038" s="62" t="e">
        <f>VLOOKUP(I2038,PGStock[],6,FALSE)</f>
        <v>#N/A</v>
      </c>
      <c r="N2038" s="62" t="e">
        <f>+Table8[[#This Row],[SalesBot]]*Table8[[#This Row],[Bonus]]</f>
        <v>#N/A</v>
      </c>
    </row>
    <row r="2039" spans="1:14" ht="23.25" customHeight="1" x14ac:dyDescent="0.25">
      <c r="A2039" s="59">
        <f t="shared" si="258"/>
        <v>1900</v>
      </c>
      <c r="B2039" s="59">
        <f t="shared" si="259"/>
        <v>1</v>
      </c>
      <c r="C2039" s="97"/>
      <c r="D2039" s="61"/>
      <c r="F2039" s="23" t="e">
        <f>VLOOKUP(E2039,Customers[],2,FALSE)</f>
        <v>#N/A</v>
      </c>
      <c r="G2039" s="23" t="e">
        <f>VLOOKUP(E2039,Customers[],3,FALSE)</f>
        <v>#N/A</v>
      </c>
      <c r="H2039" s="23" t="e">
        <f>VLOOKUP(E2039,Customers[],4,FALSE)</f>
        <v>#N/A</v>
      </c>
      <c r="J2039" s="29" t="e">
        <f>VLOOKUP(I2039,PGStock[],2,FALSE)</f>
        <v>#N/A</v>
      </c>
      <c r="K2039" s="30" t="e">
        <f>VLOOKUP(I2039,PGStock[],3,FALSE)</f>
        <v>#N/A</v>
      </c>
      <c r="M2039" s="62" t="e">
        <f>VLOOKUP(I2039,PGStock[],6,FALSE)</f>
        <v>#N/A</v>
      </c>
      <c r="N2039" s="62" t="e">
        <f>+Table8[[#This Row],[SalesBot]]*Table8[[#This Row],[Bonus]]</f>
        <v>#N/A</v>
      </c>
    </row>
    <row r="2040" spans="1:14" ht="23.25" customHeight="1" x14ac:dyDescent="0.25">
      <c r="A2040" s="59">
        <f t="shared" ref="A2040:A2052" si="260">YEAR(C2040)</f>
        <v>1900</v>
      </c>
      <c r="B2040" s="59">
        <f t="shared" ref="B2040:B2052" si="261">MONTH(C2040)</f>
        <v>1</v>
      </c>
      <c r="C2040" s="97"/>
      <c r="D2040" s="61"/>
      <c r="F2040" s="23" t="e">
        <f>VLOOKUP(E2040,Customers[],2,FALSE)</f>
        <v>#N/A</v>
      </c>
      <c r="G2040" s="23" t="e">
        <f>VLOOKUP(E2040,Customers[],3,FALSE)</f>
        <v>#N/A</v>
      </c>
      <c r="H2040" s="23" t="e">
        <f>VLOOKUP(E2040,Customers[],4,FALSE)</f>
        <v>#N/A</v>
      </c>
      <c r="J2040" s="29" t="e">
        <f>VLOOKUP(I2040,PGStock[],2,FALSE)</f>
        <v>#N/A</v>
      </c>
      <c r="K2040" s="30" t="e">
        <f>VLOOKUP(I2040,PGStock[],3,FALSE)</f>
        <v>#N/A</v>
      </c>
      <c r="M2040" s="62" t="e">
        <f>VLOOKUP(I2040,PGStock[],6,FALSE)</f>
        <v>#N/A</v>
      </c>
      <c r="N2040" s="62" t="e">
        <f>+Table8[[#This Row],[SalesBot]]*Table8[[#This Row],[Bonus]]</f>
        <v>#N/A</v>
      </c>
    </row>
    <row r="2041" spans="1:14" ht="23.25" customHeight="1" x14ac:dyDescent="0.25">
      <c r="A2041" s="59">
        <f t="shared" si="260"/>
        <v>1900</v>
      </c>
      <c r="B2041" s="59">
        <f t="shared" si="261"/>
        <v>1</v>
      </c>
      <c r="C2041" s="97"/>
      <c r="D2041" s="61"/>
      <c r="F2041" s="23" t="e">
        <f>VLOOKUP(E2041,Customers[],2,FALSE)</f>
        <v>#N/A</v>
      </c>
      <c r="G2041" s="23" t="e">
        <f>VLOOKUP(E2041,Customers[],3,FALSE)</f>
        <v>#N/A</v>
      </c>
      <c r="H2041" s="23" t="e">
        <f>VLOOKUP(E2041,Customers[],4,FALSE)</f>
        <v>#N/A</v>
      </c>
      <c r="J2041" s="29" t="e">
        <f>VLOOKUP(I2041,PGStock[],2,FALSE)</f>
        <v>#N/A</v>
      </c>
      <c r="K2041" s="30" t="e">
        <f>VLOOKUP(I2041,PGStock[],3,FALSE)</f>
        <v>#N/A</v>
      </c>
      <c r="M2041" s="62" t="e">
        <f>VLOOKUP(I2041,PGStock[],6,FALSE)</f>
        <v>#N/A</v>
      </c>
      <c r="N2041" s="62" t="e">
        <f>+Table8[[#This Row],[SalesBot]]*Table8[[#This Row],[Bonus]]</f>
        <v>#N/A</v>
      </c>
    </row>
    <row r="2042" spans="1:14" ht="23.25" customHeight="1" x14ac:dyDescent="0.25">
      <c r="A2042" s="59">
        <f t="shared" si="260"/>
        <v>1900</v>
      </c>
      <c r="B2042" s="59">
        <f t="shared" si="261"/>
        <v>1</v>
      </c>
      <c r="C2042" s="97"/>
      <c r="D2042" s="61"/>
      <c r="F2042" s="23" t="e">
        <f>VLOOKUP(E2042,Customers[],2,FALSE)</f>
        <v>#N/A</v>
      </c>
      <c r="G2042" s="23" t="e">
        <f>VLOOKUP(E2042,Customers[],3,FALSE)</f>
        <v>#N/A</v>
      </c>
      <c r="H2042" s="23" t="e">
        <f>VLOOKUP(E2042,Customers[],4,FALSE)</f>
        <v>#N/A</v>
      </c>
      <c r="J2042" s="29" t="e">
        <f>VLOOKUP(I2042,PGStock[],2,FALSE)</f>
        <v>#N/A</v>
      </c>
      <c r="K2042" s="30" t="e">
        <f>VLOOKUP(I2042,PGStock[],3,FALSE)</f>
        <v>#N/A</v>
      </c>
      <c r="M2042" s="62" t="e">
        <f>VLOOKUP(I2042,PGStock[],6,FALSE)</f>
        <v>#N/A</v>
      </c>
      <c r="N2042" s="62" t="e">
        <f>+Table8[[#This Row],[SalesBot]]*Table8[[#This Row],[Bonus]]</f>
        <v>#N/A</v>
      </c>
    </row>
    <row r="2043" spans="1:14" ht="23.25" customHeight="1" x14ac:dyDescent="0.25">
      <c r="A2043" s="59">
        <f t="shared" si="260"/>
        <v>1900</v>
      </c>
      <c r="B2043" s="59">
        <f t="shared" si="261"/>
        <v>1</v>
      </c>
      <c r="C2043" s="97"/>
      <c r="D2043" s="61"/>
      <c r="F2043" s="23" t="e">
        <f>VLOOKUP(E2043,Customers[],2,FALSE)</f>
        <v>#N/A</v>
      </c>
      <c r="G2043" s="23" t="e">
        <f>VLOOKUP(E2043,Customers[],3,FALSE)</f>
        <v>#N/A</v>
      </c>
      <c r="H2043" s="23" t="e">
        <f>VLOOKUP(E2043,Customers[],4,FALSE)</f>
        <v>#N/A</v>
      </c>
      <c r="J2043" s="29" t="e">
        <f>VLOOKUP(I2043,PGStock[],2,FALSE)</f>
        <v>#N/A</v>
      </c>
      <c r="K2043" s="30" t="e">
        <f>VLOOKUP(I2043,PGStock[],3,FALSE)</f>
        <v>#N/A</v>
      </c>
      <c r="M2043" s="62" t="e">
        <f>VLOOKUP(I2043,PGStock[],6,FALSE)</f>
        <v>#N/A</v>
      </c>
      <c r="N2043" s="62" t="e">
        <f>+Table8[[#This Row],[SalesBot]]*Table8[[#This Row],[Bonus]]</f>
        <v>#N/A</v>
      </c>
    </row>
    <row r="2044" spans="1:14" ht="23.25" customHeight="1" x14ac:dyDescent="0.25">
      <c r="A2044" s="59">
        <f t="shared" si="260"/>
        <v>1900</v>
      </c>
      <c r="B2044" s="59">
        <f t="shared" si="261"/>
        <v>1</v>
      </c>
      <c r="C2044" s="97"/>
      <c r="D2044" s="61"/>
      <c r="F2044" s="23" t="e">
        <f>VLOOKUP(E2044,Customers[],2,FALSE)</f>
        <v>#N/A</v>
      </c>
      <c r="G2044" s="23" t="e">
        <f>VLOOKUP(E2044,Customers[],3,FALSE)</f>
        <v>#N/A</v>
      </c>
      <c r="H2044" s="23" t="e">
        <f>VLOOKUP(E2044,Customers[],4,FALSE)</f>
        <v>#N/A</v>
      </c>
      <c r="J2044" s="29" t="e">
        <f>VLOOKUP(I2044,PGStock[],2,FALSE)</f>
        <v>#N/A</v>
      </c>
      <c r="K2044" s="30" t="e">
        <f>VLOOKUP(I2044,PGStock[],3,FALSE)</f>
        <v>#N/A</v>
      </c>
      <c r="M2044" s="62" t="e">
        <f>VLOOKUP(I2044,PGStock[],6,FALSE)</f>
        <v>#N/A</v>
      </c>
      <c r="N2044" s="62" t="e">
        <f>+Table8[[#This Row],[SalesBot]]*Table8[[#This Row],[Bonus]]</f>
        <v>#N/A</v>
      </c>
    </row>
    <row r="2045" spans="1:14" ht="23.25" customHeight="1" x14ac:dyDescent="0.25">
      <c r="A2045" s="59">
        <f t="shared" si="260"/>
        <v>1900</v>
      </c>
      <c r="B2045" s="59">
        <f t="shared" si="261"/>
        <v>1</v>
      </c>
      <c r="C2045" s="97"/>
      <c r="D2045" s="61"/>
      <c r="F2045" s="23" t="e">
        <f>VLOOKUP(E2045,Customers[],2,FALSE)</f>
        <v>#N/A</v>
      </c>
      <c r="G2045" s="23" t="e">
        <f>VLOOKUP(E2045,Customers[],3,FALSE)</f>
        <v>#N/A</v>
      </c>
      <c r="H2045" s="23" t="e">
        <f>VLOOKUP(E2045,Customers[],4,FALSE)</f>
        <v>#N/A</v>
      </c>
      <c r="J2045" s="29" t="e">
        <f>VLOOKUP(I2045,PGStock[],2,FALSE)</f>
        <v>#N/A</v>
      </c>
      <c r="K2045" s="30" t="e">
        <f>VLOOKUP(I2045,PGStock[],3,FALSE)</f>
        <v>#N/A</v>
      </c>
      <c r="M2045" s="62" t="e">
        <f>VLOOKUP(I2045,PGStock[],6,FALSE)</f>
        <v>#N/A</v>
      </c>
      <c r="N2045" s="62" t="e">
        <f>+Table8[[#This Row],[SalesBot]]*Table8[[#This Row],[Bonus]]</f>
        <v>#N/A</v>
      </c>
    </row>
    <row r="2046" spans="1:14" ht="23.25" customHeight="1" x14ac:dyDescent="0.25">
      <c r="A2046" s="59">
        <f t="shared" si="260"/>
        <v>1900</v>
      </c>
      <c r="B2046" s="59">
        <f t="shared" si="261"/>
        <v>1</v>
      </c>
      <c r="C2046" s="97"/>
      <c r="D2046" s="61"/>
      <c r="F2046" s="23" t="e">
        <f>VLOOKUP(E2046,Customers[],2,FALSE)</f>
        <v>#N/A</v>
      </c>
      <c r="G2046" s="23" t="e">
        <f>VLOOKUP(E2046,Customers[],3,FALSE)</f>
        <v>#N/A</v>
      </c>
      <c r="H2046" s="23" t="e">
        <f>VLOOKUP(E2046,Customers[],4,FALSE)</f>
        <v>#N/A</v>
      </c>
      <c r="J2046" s="29" t="e">
        <f>VLOOKUP(I2046,PGStock[],2,FALSE)</f>
        <v>#N/A</v>
      </c>
      <c r="K2046" s="30" t="e">
        <f>VLOOKUP(I2046,PGStock[],3,FALSE)</f>
        <v>#N/A</v>
      </c>
      <c r="M2046" s="62" t="e">
        <f>VLOOKUP(I2046,PGStock[],6,FALSE)</f>
        <v>#N/A</v>
      </c>
      <c r="N2046" s="62" t="e">
        <f>+Table8[[#This Row],[SalesBot]]*Table8[[#This Row],[Bonus]]</f>
        <v>#N/A</v>
      </c>
    </row>
    <row r="2047" spans="1:14" ht="23.25" customHeight="1" x14ac:dyDescent="0.25">
      <c r="A2047" s="59">
        <f t="shared" si="260"/>
        <v>1900</v>
      </c>
      <c r="B2047" s="59">
        <f t="shared" si="261"/>
        <v>1</v>
      </c>
      <c r="C2047" s="97"/>
      <c r="D2047" s="61"/>
      <c r="F2047" s="23" t="e">
        <f>VLOOKUP(E2047,Customers[],2,FALSE)</f>
        <v>#N/A</v>
      </c>
      <c r="G2047" s="23" t="e">
        <f>VLOOKUP(E2047,Customers[],3,FALSE)</f>
        <v>#N/A</v>
      </c>
      <c r="H2047" s="23" t="e">
        <f>VLOOKUP(E2047,Customers[],4,FALSE)</f>
        <v>#N/A</v>
      </c>
      <c r="J2047" s="29" t="e">
        <f>VLOOKUP(I2047,PGStock[],2,FALSE)</f>
        <v>#N/A</v>
      </c>
      <c r="K2047" s="30" t="e">
        <f>VLOOKUP(I2047,PGStock[],3,FALSE)</f>
        <v>#N/A</v>
      </c>
      <c r="M2047" s="62" t="e">
        <f>VLOOKUP(I2047,PGStock[],6,FALSE)</f>
        <v>#N/A</v>
      </c>
      <c r="N2047" s="62" t="e">
        <f>+Table8[[#This Row],[SalesBot]]*Table8[[#This Row],[Bonus]]</f>
        <v>#N/A</v>
      </c>
    </row>
    <row r="2048" spans="1:14" ht="23.25" customHeight="1" x14ac:dyDescent="0.25">
      <c r="A2048" s="59">
        <f t="shared" si="260"/>
        <v>1900</v>
      </c>
      <c r="B2048" s="59">
        <f t="shared" si="261"/>
        <v>1</v>
      </c>
      <c r="C2048" s="97"/>
      <c r="D2048" s="61"/>
      <c r="F2048" s="23" t="e">
        <f>VLOOKUP(E2048,Customers[],2,FALSE)</f>
        <v>#N/A</v>
      </c>
      <c r="G2048" s="23" t="e">
        <f>VLOOKUP(E2048,Customers[],3,FALSE)</f>
        <v>#N/A</v>
      </c>
      <c r="H2048" s="23" t="e">
        <f>VLOOKUP(E2048,Customers[],4,FALSE)</f>
        <v>#N/A</v>
      </c>
      <c r="J2048" s="29" t="e">
        <f>VLOOKUP(I2048,PGStock[],2,FALSE)</f>
        <v>#N/A</v>
      </c>
      <c r="K2048" s="30" t="e">
        <f>VLOOKUP(I2048,PGStock[],3,FALSE)</f>
        <v>#N/A</v>
      </c>
      <c r="M2048" s="62" t="e">
        <f>VLOOKUP(I2048,PGStock[],6,FALSE)</f>
        <v>#N/A</v>
      </c>
      <c r="N2048" s="62" t="e">
        <f>+Table8[[#This Row],[SalesBot]]*Table8[[#This Row],[Bonus]]</f>
        <v>#N/A</v>
      </c>
    </row>
    <row r="2049" spans="1:14" ht="23.25" customHeight="1" x14ac:dyDescent="0.25">
      <c r="A2049" s="59">
        <f t="shared" si="260"/>
        <v>1900</v>
      </c>
      <c r="B2049" s="59">
        <f t="shared" si="261"/>
        <v>1</v>
      </c>
      <c r="C2049" s="97"/>
      <c r="D2049" s="61"/>
      <c r="F2049" s="23" t="e">
        <f>VLOOKUP(E2049,Customers[],2,FALSE)</f>
        <v>#N/A</v>
      </c>
      <c r="G2049" s="23" t="e">
        <f>VLOOKUP(E2049,Customers[],3,FALSE)</f>
        <v>#N/A</v>
      </c>
      <c r="H2049" s="23" t="e">
        <f>VLOOKUP(E2049,Customers[],4,FALSE)</f>
        <v>#N/A</v>
      </c>
      <c r="J2049" s="29" t="e">
        <f>VLOOKUP(I2049,PGStock[],2,FALSE)</f>
        <v>#N/A</v>
      </c>
      <c r="K2049" s="30" t="e">
        <f>VLOOKUP(I2049,PGStock[],3,FALSE)</f>
        <v>#N/A</v>
      </c>
      <c r="M2049" s="62" t="e">
        <f>VLOOKUP(I2049,PGStock[],6,FALSE)</f>
        <v>#N/A</v>
      </c>
      <c r="N2049" s="62" t="e">
        <f>+Table8[[#This Row],[SalesBot]]*Table8[[#This Row],[Bonus]]</f>
        <v>#N/A</v>
      </c>
    </row>
    <row r="2050" spans="1:14" ht="23.25" customHeight="1" x14ac:dyDescent="0.25">
      <c r="A2050" s="59">
        <f t="shared" si="260"/>
        <v>1900</v>
      </c>
      <c r="B2050" s="59">
        <f t="shared" si="261"/>
        <v>1</v>
      </c>
      <c r="C2050" s="97"/>
      <c r="D2050" s="61"/>
      <c r="F2050" s="23" t="e">
        <f>VLOOKUP(E2050,Customers[],2,FALSE)</f>
        <v>#N/A</v>
      </c>
      <c r="G2050" s="23" t="e">
        <f>VLOOKUP(E2050,Customers[],3,FALSE)</f>
        <v>#N/A</v>
      </c>
      <c r="H2050" s="23" t="e">
        <f>VLOOKUP(E2050,Customers[],4,FALSE)</f>
        <v>#N/A</v>
      </c>
      <c r="J2050" s="29" t="e">
        <f>VLOOKUP(I2050,PGStock[],2,FALSE)</f>
        <v>#N/A</v>
      </c>
      <c r="K2050" s="30" t="e">
        <f>VLOOKUP(I2050,PGStock[],3,FALSE)</f>
        <v>#N/A</v>
      </c>
      <c r="M2050" s="62" t="e">
        <f>VLOOKUP(I2050,PGStock[],6,FALSE)</f>
        <v>#N/A</v>
      </c>
      <c r="N2050" s="62" t="e">
        <f>+Table8[[#This Row],[SalesBot]]*Table8[[#This Row],[Bonus]]</f>
        <v>#N/A</v>
      </c>
    </row>
    <row r="2051" spans="1:14" ht="23.25" customHeight="1" x14ac:dyDescent="0.25">
      <c r="A2051" s="59">
        <f t="shared" si="260"/>
        <v>1900</v>
      </c>
      <c r="B2051" s="59">
        <f t="shared" si="261"/>
        <v>1</v>
      </c>
      <c r="C2051" s="97"/>
      <c r="D2051" s="61"/>
      <c r="F2051" s="23" t="e">
        <f>VLOOKUP(E2051,Customers[],2,FALSE)</f>
        <v>#N/A</v>
      </c>
      <c r="G2051" s="23" t="e">
        <f>VLOOKUP(E2051,Customers[],3,FALSE)</f>
        <v>#N/A</v>
      </c>
      <c r="H2051" s="23" t="e">
        <f>VLOOKUP(E2051,Customers[],4,FALSE)</f>
        <v>#N/A</v>
      </c>
      <c r="J2051" s="29" t="e">
        <f>VLOOKUP(I2051,PGStock[],2,FALSE)</f>
        <v>#N/A</v>
      </c>
      <c r="K2051" s="30" t="e">
        <f>VLOOKUP(I2051,PGStock[],3,FALSE)</f>
        <v>#N/A</v>
      </c>
      <c r="M2051" s="62" t="e">
        <f>VLOOKUP(I2051,PGStock[],6,FALSE)</f>
        <v>#N/A</v>
      </c>
      <c r="N2051" s="62" t="e">
        <f>+Table8[[#This Row],[SalesBot]]*Table8[[#This Row],[Bonus]]</f>
        <v>#N/A</v>
      </c>
    </row>
    <row r="2052" spans="1:14" ht="23.25" customHeight="1" x14ac:dyDescent="0.25">
      <c r="A2052" s="59">
        <f t="shared" si="260"/>
        <v>1900</v>
      </c>
      <c r="B2052" s="59">
        <f t="shared" si="261"/>
        <v>1</v>
      </c>
      <c r="C2052" s="97"/>
      <c r="D2052" s="61"/>
      <c r="F2052" s="23" t="e">
        <f>VLOOKUP(E2052,Customers[],2,FALSE)</f>
        <v>#N/A</v>
      </c>
      <c r="G2052" s="23" t="e">
        <f>VLOOKUP(E2052,Customers[],3,FALSE)</f>
        <v>#N/A</v>
      </c>
      <c r="H2052" s="23" t="e">
        <f>VLOOKUP(E2052,Customers[],4,FALSE)</f>
        <v>#N/A</v>
      </c>
      <c r="J2052" s="29" t="e">
        <f>VLOOKUP(I2052,PGStock[],2,FALSE)</f>
        <v>#N/A</v>
      </c>
      <c r="K2052" s="30" t="e">
        <f>VLOOKUP(I2052,PGStock[],3,FALSE)</f>
        <v>#N/A</v>
      </c>
      <c r="M2052" s="62" t="e">
        <f>VLOOKUP(I2052,PGStock[],6,FALSE)</f>
        <v>#N/A</v>
      </c>
      <c r="N2052" s="62" t="e">
        <f>+Table8[[#This Row],[SalesBot]]*Table8[[#This Row],[Bonus]]</f>
        <v>#N/A</v>
      </c>
    </row>
    <row r="2053" spans="1:14" ht="23.25" customHeight="1" x14ac:dyDescent="0.25">
      <c r="A2053" s="59">
        <f t="shared" ref="A2053:A2065" si="262">YEAR(C2053)</f>
        <v>1900</v>
      </c>
      <c r="B2053" s="59">
        <f t="shared" ref="B2053:B2065" si="263">MONTH(C2053)</f>
        <v>1</v>
      </c>
      <c r="C2053" s="97"/>
      <c r="D2053" s="61"/>
      <c r="F2053" s="23" t="e">
        <f>VLOOKUP(E2053,Customers[],2,FALSE)</f>
        <v>#N/A</v>
      </c>
      <c r="G2053" s="23" t="e">
        <f>VLOOKUP(E2053,Customers[],3,FALSE)</f>
        <v>#N/A</v>
      </c>
      <c r="H2053" s="23" t="e">
        <f>VLOOKUP(E2053,Customers[],4,FALSE)</f>
        <v>#N/A</v>
      </c>
      <c r="J2053" s="29" t="e">
        <f>VLOOKUP(I2053,PGStock[],2,FALSE)</f>
        <v>#N/A</v>
      </c>
      <c r="K2053" s="30" t="e">
        <f>VLOOKUP(I2053,PGStock[],3,FALSE)</f>
        <v>#N/A</v>
      </c>
      <c r="M2053" s="62" t="e">
        <f>VLOOKUP(I2053,PGStock[],6,FALSE)</f>
        <v>#N/A</v>
      </c>
      <c r="N2053" s="62" t="e">
        <f>+Table8[[#This Row],[SalesBot]]*Table8[[#This Row],[Bonus]]</f>
        <v>#N/A</v>
      </c>
    </row>
    <row r="2054" spans="1:14" ht="23.25" customHeight="1" x14ac:dyDescent="0.25">
      <c r="A2054" s="59">
        <f t="shared" si="262"/>
        <v>1900</v>
      </c>
      <c r="B2054" s="59">
        <f t="shared" si="263"/>
        <v>1</v>
      </c>
      <c r="C2054" s="97"/>
      <c r="D2054" s="61"/>
      <c r="F2054" s="23" t="e">
        <f>VLOOKUP(E2054,Customers[],2,FALSE)</f>
        <v>#N/A</v>
      </c>
      <c r="G2054" s="23" t="e">
        <f>VLOOKUP(E2054,Customers[],3,FALSE)</f>
        <v>#N/A</v>
      </c>
      <c r="H2054" s="23" t="e">
        <f>VLOOKUP(E2054,Customers[],4,FALSE)</f>
        <v>#N/A</v>
      </c>
      <c r="J2054" s="29" t="e">
        <f>VLOOKUP(I2054,PGStock[],2,FALSE)</f>
        <v>#N/A</v>
      </c>
      <c r="K2054" s="30" t="e">
        <f>VLOOKUP(I2054,PGStock[],3,FALSE)</f>
        <v>#N/A</v>
      </c>
      <c r="M2054" s="62" t="e">
        <f>VLOOKUP(I2054,PGStock[],6,FALSE)</f>
        <v>#N/A</v>
      </c>
      <c r="N2054" s="62" t="e">
        <f>+Table8[[#This Row],[SalesBot]]*Table8[[#This Row],[Bonus]]</f>
        <v>#N/A</v>
      </c>
    </row>
    <row r="2055" spans="1:14" ht="23.25" customHeight="1" x14ac:dyDescent="0.25">
      <c r="A2055" s="59">
        <f t="shared" si="262"/>
        <v>1900</v>
      </c>
      <c r="B2055" s="59">
        <f t="shared" si="263"/>
        <v>1</v>
      </c>
      <c r="C2055" s="97"/>
      <c r="D2055" s="61"/>
      <c r="F2055" s="23" t="e">
        <f>VLOOKUP(E2055,Customers[],2,FALSE)</f>
        <v>#N/A</v>
      </c>
      <c r="G2055" s="23" t="e">
        <f>VLOOKUP(E2055,Customers[],3,FALSE)</f>
        <v>#N/A</v>
      </c>
      <c r="H2055" s="23" t="e">
        <f>VLOOKUP(E2055,Customers[],4,FALSE)</f>
        <v>#N/A</v>
      </c>
      <c r="J2055" s="29" t="e">
        <f>VLOOKUP(I2055,PGStock[],2,FALSE)</f>
        <v>#N/A</v>
      </c>
      <c r="K2055" s="30" t="e">
        <f>VLOOKUP(I2055,PGStock[],3,FALSE)</f>
        <v>#N/A</v>
      </c>
      <c r="M2055" s="62" t="e">
        <f>VLOOKUP(I2055,PGStock[],6,FALSE)</f>
        <v>#N/A</v>
      </c>
      <c r="N2055" s="62" t="e">
        <f>+Table8[[#This Row],[SalesBot]]*Table8[[#This Row],[Bonus]]</f>
        <v>#N/A</v>
      </c>
    </row>
    <row r="2056" spans="1:14" ht="23.25" customHeight="1" x14ac:dyDescent="0.25">
      <c r="A2056" s="59">
        <f t="shared" si="262"/>
        <v>1900</v>
      </c>
      <c r="B2056" s="59">
        <f t="shared" si="263"/>
        <v>1</v>
      </c>
      <c r="C2056" s="97"/>
      <c r="D2056" s="61"/>
      <c r="F2056" s="23" t="e">
        <f>VLOOKUP(E2056,Customers[],2,FALSE)</f>
        <v>#N/A</v>
      </c>
      <c r="G2056" s="23" t="e">
        <f>VLOOKUP(E2056,Customers[],3,FALSE)</f>
        <v>#N/A</v>
      </c>
      <c r="H2056" s="23" t="e">
        <f>VLOOKUP(E2056,Customers[],4,FALSE)</f>
        <v>#N/A</v>
      </c>
      <c r="J2056" s="29" t="e">
        <f>VLOOKUP(I2056,PGStock[],2,FALSE)</f>
        <v>#N/A</v>
      </c>
      <c r="K2056" s="30" t="e">
        <f>VLOOKUP(I2056,PGStock[],3,FALSE)</f>
        <v>#N/A</v>
      </c>
      <c r="M2056" s="62" t="e">
        <f>VLOOKUP(I2056,PGStock[],6,FALSE)</f>
        <v>#N/A</v>
      </c>
      <c r="N2056" s="62" t="e">
        <f>+Table8[[#This Row],[SalesBot]]*Table8[[#This Row],[Bonus]]</f>
        <v>#N/A</v>
      </c>
    </row>
    <row r="2057" spans="1:14" ht="23.25" customHeight="1" x14ac:dyDescent="0.25">
      <c r="A2057" s="59">
        <f t="shared" si="262"/>
        <v>1900</v>
      </c>
      <c r="B2057" s="59">
        <f t="shared" si="263"/>
        <v>1</v>
      </c>
      <c r="C2057" s="97"/>
      <c r="D2057" s="61"/>
      <c r="F2057" s="23" t="e">
        <f>VLOOKUP(E2057,Customers[],2,FALSE)</f>
        <v>#N/A</v>
      </c>
      <c r="G2057" s="23" t="e">
        <f>VLOOKUP(E2057,Customers[],3,FALSE)</f>
        <v>#N/A</v>
      </c>
      <c r="H2057" s="23" t="e">
        <f>VLOOKUP(E2057,Customers[],4,FALSE)</f>
        <v>#N/A</v>
      </c>
      <c r="J2057" s="29" t="e">
        <f>VLOOKUP(I2057,PGStock[],2,FALSE)</f>
        <v>#N/A</v>
      </c>
      <c r="K2057" s="30" t="e">
        <f>VLOOKUP(I2057,PGStock[],3,FALSE)</f>
        <v>#N/A</v>
      </c>
      <c r="M2057" s="62" t="e">
        <f>VLOOKUP(I2057,PGStock[],6,FALSE)</f>
        <v>#N/A</v>
      </c>
      <c r="N2057" s="62" t="e">
        <f>+Table8[[#This Row],[SalesBot]]*Table8[[#This Row],[Bonus]]</f>
        <v>#N/A</v>
      </c>
    </row>
    <row r="2058" spans="1:14" ht="23.25" customHeight="1" x14ac:dyDescent="0.25">
      <c r="A2058" s="59">
        <f t="shared" si="262"/>
        <v>1900</v>
      </c>
      <c r="B2058" s="59">
        <f t="shared" si="263"/>
        <v>1</v>
      </c>
      <c r="C2058" s="97"/>
      <c r="D2058" s="61"/>
      <c r="F2058" s="23" t="e">
        <f>VLOOKUP(E2058,Customers[],2,FALSE)</f>
        <v>#N/A</v>
      </c>
      <c r="G2058" s="23" t="e">
        <f>VLOOKUP(E2058,Customers[],3,FALSE)</f>
        <v>#N/A</v>
      </c>
      <c r="H2058" s="23" t="e">
        <f>VLOOKUP(E2058,Customers[],4,FALSE)</f>
        <v>#N/A</v>
      </c>
      <c r="J2058" s="29" t="e">
        <f>VLOOKUP(I2058,PGStock[],2,FALSE)</f>
        <v>#N/A</v>
      </c>
      <c r="K2058" s="30" t="e">
        <f>VLOOKUP(I2058,PGStock[],3,FALSE)</f>
        <v>#N/A</v>
      </c>
      <c r="M2058" s="62" t="e">
        <f>VLOOKUP(I2058,PGStock[],6,FALSE)</f>
        <v>#N/A</v>
      </c>
      <c r="N2058" s="62" t="e">
        <f>+Table8[[#This Row],[SalesBot]]*Table8[[#This Row],[Bonus]]</f>
        <v>#N/A</v>
      </c>
    </row>
    <row r="2059" spans="1:14" ht="23.25" customHeight="1" x14ac:dyDescent="0.25">
      <c r="A2059" s="59">
        <f t="shared" si="262"/>
        <v>1900</v>
      </c>
      <c r="B2059" s="59">
        <f t="shared" si="263"/>
        <v>1</v>
      </c>
      <c r="C2059" s="97"/>
      <c r="D2059" s="61"/>
      <c r="F2059" s="23" t="e">
        <f>VLOOKUP(E2059,Customers[],2,FALSE)</f>
        <v>#N/A</v>
      </c>
      <c r="G2059" s="23" t="e">
        <f>VLOOKUP(E2059,Customers[],3,FALSE)</f>
        <v>#N/A</v>
      </c>
      <c r="H2059" s="23" t="e">
        <f>VLOOKUP(E2059,Customers[],4,FALSE)</f>
        <v>#N/A</v>
      </c>
      <c r="J2059" s="29" t="e">
        <f>VLOOKUP(I2059,PGStock[],2,FALSE)</f>
        <v>#N/A</v>
      </c>
      <c r="K2059" s="30" t="e">
        <f>VLOOKUP(I2059,PGStock[],3,FALSE)</f>
        <v>#N/A</v>
      </c>
      <c r="M2059" s="62" t="e">
        <f>VLOOKUP(I2059,PGStock[],6,FALSE)</f>
        <v>#N/A</v>
      </c>
      <c r="N2059" s="62" t="e">
        <f>+Table8[[#This Row],[SalesBot]]*Table8[[#This Row],[Bonus]]</f>
        <v>#N/A</v>
      </c>
    </row>
    <row r="2060" spans="1:14" ht="23.25" customHeight="1" x14ac:dyDescent="0.25">
      <c r="A2060" s="59">
        <f t="shared" si="262"/>
        <v>1900</v>
      </c>
      <c r="B2060" s="59">
        <f t="shared" si="263"/>
        <v>1</v>
      </c>
      <c r="C2060" s="97"/>
      <c r="D2060" s="61"/>
      <c r="F2060" s="23" t="e">
        <f>VLOOKUP(E2060,Customers[],2,FALSE)</f>
        <v>#N/A</v>
      </c>
      <c r="G2060" s="23" t="e">
        <f>VLOOKUP(E2060,Customers[],3,FALSE)</f>
        <v>#N/A</v>
      </c>
      <c r="H2060" s="23" t="e">
        <f>VLOOKUP(E2060,Customers[],4,FALSE)</f>
        <v>#N/A</v>
      </c>
      <c r="J2060" s="29" t="e">
        <f>VLOOKUP(I2060,PGStock[],2,FALSE)</f>
        <v>#N/A</v>
      </c>
      <c r="K2060" s="30" t="e">
        <f>VLOOKUP(I2060,PGStock[],3,FALSE)</f>
        <v>#N/A</v>
      </c>
      <c r="M2060" s="62" t="e">
        <f>VLOOKUP(I2060,PGStock[],6,FALSE)</f>
        <v>#N/A</v>
      </c>
      <c r="N2060" s="62" t="e">
        <f>+Table8[[#This Row],[SalesBot]]*Table8[[#This Row],[Bonus]]</f>
        <v>#N/A</v>
      </c>
    </row>
    <row r="2061" spans="1:14" ht="23.25" customHeight="1" x14ac:dyDescent="0.25">
      <c r="A2061" s="59">
        <f t="shared" si="262"/>
        <v>1900</v>
      </c>
      <c r="B2061" s="59">
        <f t="shared" si="263"/>
        <v>1</v>
      </c>
      <c r="C2061" s="97"/>
      <c r="D2061" s="61"/>
      <c r="F2061" s="23" t="e">
        <f>VLOOKUP(E2061,Customers[],2,FALSE)</f>
        <v>#N/A</v>
      </c>
      <c r="G2061" s="23" t="e">
        <f>VLOOKUP(E2061,Customers[],3,FALSE)</f>
        <v>#N/A</v>
      </c>
      <c r="H2061" s="23" t="e">
        <f>VLOOKUP(E2061,Customers[],4,FALSE)</f>
        <v>#N/A</v>
      </c>
      <c r="J2061" s="29" t="e">
        <f>VLOOKUP(I2061,PGStock[],2,FALSE)</f>
        <v>#N/A</v>
      </c>
      <c r="K2061" s="30" t="e">
        <f>VLOOKUP(I2061,PGStock[],3,FALSE)</f>
        <v>#N/A</v>
      </c>
      <c r="M2061" s="62" t="e">
        <f>VLOOKUP(I2061,PGStock[],6,FALSE)</f>
        <v>#N/A</v>
      </c>
      <c r="N2061" s="62" t="e">
        <f>+Table8[[#This Row],[SalesBot]]*Table8[[#This Row],[Bonus]]</f>
        <v>#N/A</v>
      </c>
    </row>
    <row r="2062" spans="1:14" ht="23.25" customHeight="1" x14ac:dyDescent="0.25">
      <c r="A2062" s="59">
        <f t="shared" si="262"/>
        <v>1900</v>
      </c>
      <c r="B2062" s="59">
        <f t="shared" si="263"/>
        <v>1</v>
      </c>
      <c r="C2062" s="97"/>
      <c r="D2062" s="61"/>
      <c r="F2062" s="23" t="e">
        <f>VLOOKUP(E2062,Customers[],2,FALSE)</f>
        <v>#N/A</v>
      </c>
      <c r="G2062" s="23" t="e">
        <f>VLOOKUP(E2062,Customers[],3,FALSE)</f>
        <v>#N/A</v>
      </c>
      <c r="H2062" s="23" t="e">
        <f>VLOOKUP(E2062,Customers[],4,FALSE)</f>
        <v>#N/A</v>
      </c>
      <c r="J2062" s="29" t="e">
        <f>VLOOKUP(I2062,PGStock[],2,FALSE)</f>
        <v>#N/A</v>
      </c>
      <c r="K2062" s="30" t="e">
        <f>VLOOKUP(I2062,PGStock[],3,FALSE)</f>
        <v>#N/A</v>
      </c>
      <c r="M2062" s="62" t="e">
        <f>VLOOKUP(I2062,PGStock[],6,FALSE)</f>
        <v>#N/A</v>
      </c>
      <c r="N2062" s="62" t="e">
        <f>+Table8[[#This Row],[SalesBot]]*Table8[[#This Row],[Bonus]]</f>
        <v>#N/A</v>
      </c>
    </row>
    <row r="2063" spans="1:14" ht="23.25" customHeight="1" x14ac:dyDescent="0.25">
      <c r="A2063" s="59">
        <f t="shared" si="262"/>
        <v>1900</v>
      </c>
      <c r="B2063" s="59">
        <f t="shared" si="263"/>
        <v>1</v>
      </c>
      <c r="C2063" s="97"/>
      <c r="D2063" s="61"/>
      <c r="F2063" s="23" t="e">
        <f>VLOOKUP(E2063,Customers[],2,FALSE)</f>
        <v>#N/A</v>
      </c>
      <c r="G2063" s="23" t="e">
        <f>VLOOKUP(E2063,Customers[],3,FALSE)</f>
        <v>#N/A</v>
      </c>
      <c r="H2063" s="23" t="e">
        <f>VLOOKUP(E2063,Customers[],4,FALSE)</f>
        <v>#N/A</v>
      </c>
      <c r="J2063" s="29" t="e">
        <f>VLOOKUP(I2063,PGStock[],2,FALSE)</f>
        <v>#N/A</v>
      </c>
      <c r="K2063" s="30" t="e">
        <f>VLOOKUP(I2063,PGStock[],3,FALSE)</f>
        <v>#N/A</v>
      </c>
      <c r="M2063" s="62" t="e">
        <f>VLOOKUP(I2063,PGStock[],6,FALSE)</f>
        <v>#N/A</v>
      </c>
      <c r="N2063" s="62" t="e">
        <f>+Table8[[#This Row],[SalesBot]]*Table8[[#This Row],[Bonus]]</f>
        <v>#N/A</v>
      </c>
    </row>
    <row r="2064" spans="1:14" ht="23.25" customHeight="1" x14ac:dyDescent="0.25">
      <c r="A2064" s="59">
        <f t="shared" si="262"/>
        <v>1900</v>
      </c>
      <c r="B2064" s="59">
        <f t="shared" si="263"/>
        <v>1</v>
      </c>
      <c r="C2064" s="97"/>
      <c r="D2064" s="61"/>
      <c r="F2064" s="23" t="e">
        <f>VLOOKUP(E2064,Customers[],2,FALSE)</f>
        <v>#N/A</v>
      </c>
      <c r="G2064" s="23" t="e">
        <f>VLOOKUP(E2064,Customers[],3,FALSE)</f>
        <v>#N/A</v>
      </c>
      <c r="H2064" s="23" t="e">
        <f>VLOOKUP(E2064,Customers[],4,FALSE)</f>
        <v>#N/A</v>
      </c>
      <c r="J2064" s="29" t="e">
        <f>VLOOKUP(I2064,PGStock[],2,FALSE)</f>
        <v>#N/A</v>
      </c>
      <c r="K2064" s="30" t="e">
        <f>VLOOKUP(I2064,PGStock[],3,FALSE)</f>
        <v>#N/A</v>
      </c>
      <c r="M2064" s="62" t="e">
        <f>VLOOKUP(I2064,PGStock[],6,FALSE)</f>
        <v>#N/A</v>
      </c>
      <c r="N2064" s="62" t="e">
        <f>+Table8[[#This Row],[SalesBot]]*Table8[[#This Row],[Bonus]]</f>
        <v>#N/A</v>
      </c>
    </row>
    <row r="2065" spans="1:14" ht="23.25" customHeight="1" x14ac:dyDescent="0.25">
      <c r="A2065" s="59">
        <f t="shared" si="262"/>
        <v>1900</v>
      </c>
      <c r="B2065" s="59">
        <f t="shared" si="263"/>
        <v>1</v>
      </c>
      <c r="C2065" s="97"/>
      <c r="D2065" s="61"/>
      <c r="F2065" s="23" t="e">
        <f>VLOOKUP(E2065,Customers[],2,FALSE)</f>
        <v>#N/A</v>
      </c>
      <c r="G2065" s="23" t="e">
        <f>VLOOKUP(E2065,Customers[],3,FALSE)</f>
        <v>#N/A</v>
      </c>
      <c r="H2065" s="23" t="e">
        <f>VLOOKUP(E2065,Customers[],4,FALSE)</f>
        <v>#N/A</v>
      </c>
      <c r="J2065" s="29" t="e">
        <f>VLOOKUP(I2065,PGStock[],2,FALSE)</f>
        <v>#N/A</v>
      </c>
      <c r="K2065" s="30" t="e">
        <f>VLOOKUP(I2065,PGStock[],3,FALSE)</f>
        <v>#N/A</v>
      </c>
      <c r="M2065" s="62" t="e">
        <f>VLOOKUP(I2065,PGStock[],6,FALSE)</f>
        <v>#N/A</v>
      </c>
      <c r="N2065" s="62" t="e">
        <f>+Table8[[#This Row],[SalesBot]]*Table8[[#This Row],[Bonus]]</f>
        <v>#N/A</v>
      </c>
    </row>
    <row r="2066" spans="1:14" ht="23.25" customHeight="1" x14ac:dyDescent="0.25">
      <c r="A2066" s="59">
        <f t="shared" ref="A2066:A2068" si="264">YEAR(C2066)</f>
        <v>1900</v>
      </c>
      <c r="B2066" s="59">
        <f t="shared" ref="B2066:B2068" si="265">MONTH(C2066)</f>
        <v>1</v>
      </c>
      <c r="C2066" s="97"/>
      <c r="D2066" s="61"/>
      <c r="F2066" s="23" t="e">
        <f>VLOOKUP(E2066,Customers[],2,FALSE)</f>
        <v>#N/A</v>
      </c>
      <c r="G2066" s="23" t="e">
        <f>VLOOKUP(E2066,Customers[],3,FALSE)</f>
        <v>#N/A</v>
      </c>
      <c r="H2066" s="23" t="e">
        <f>VLOOKUP(E2066,Customers[],4,FALSE)</f>
        <v>#N/A</v>
      </c>
      <c r="J2066" s="29" t="e">
        <f>VLOOKUP(I2066,PGStock[],2,FALSE)</f>
        <v>#N/A</v>
      </c>
      <c r="K2066" s="30" t="e">
        <f>VLOOKUP(I2066,PGStock[],3,FALSE)</f>
        <v>#N/A</v>
      </c>
      <c r="M2066" s="62" t="e">
        <f>VLOOKUP(I2066,PGStock[],6,FALSE)</f>
        <v>#N/A</v>
      </c>
      <c r="N2066" s="62" t="e">
        <f>+Table8[[#This Row],[SalesBot]]*Table8[[#This Row],[Bonus]]</f>
        <v>#N/A</v>
      </c>
    </row>
    <row r="2067" spans="1:14" ht="23.25" customHeight="1" x14ac:dyDescent="0.25">
      <c r="A2067" s="59">
        <f t="shared" si="264"/>
        <v>1900</v>
      </c>
      <c r="B2067" s="59">
        <f t="shared" si="265"/>
        <v>1</v>
      </c>
      <c r="C2067" s="97"/>
      <c r="D2067" s="61"/>
      <c r="F2067" s="23" t="e">
        <f>VLOOKUP(E2067,Customers[],2,FALSE)</f>
        <v>#N/A</v>
      </c>
      <c r="G2067" s="23" t="e">
        <f>VLOOKUP(E2067,Customers[],3,FALSE)</f>
        <v>#N/A</v>
      </c>
      <c r="H2067" s="23" t="e">
        <f>VLOOKUP(E2067,Customers[],4,FALSE)</f>
        <v>#N/A</v>
      </c>
      <c r="J2067" s="29" t="e">
        <f>VLOOKUP(I2067,PGStock[],2,FALSE)</f>
        <v>#N/A</v>
      </c>
      <c r="K2067" s="30" t="e">
        <f>VLOOKUP(I2067,PGStock[],3,FALSE)</f>
        <v>#N/A</v>
      </c>
      <c r="M2067" s="62" t="e">
        <f>VLOOKUP(I2067,PGStock[],6,FALSE)</f>
        <v>#N/A</v>
      </c>
      <c r="N2067" s="62" t="e">
        <f>+Table8[[#This Row],[SalesBot]]*Table8[[#This Row],[Bonus]]</f>
        <v>#N/A</v>
      </c>
    </row>
    <row r="2068" spans="1:14" ht="23.25" customHeight="1" x14ac:dyDescent="0.25">
      <c r="A2068" s="59">
        <f t="shared" si="264"/>
        <v>1900</v>
      </c>
      <c r="B2068" s="59">
        <f t="shared" si="265"/>
        <v>1</v>
      </c>
      <c r="C2068" s="97"/>
      <c r="D2068" s="61"/>
      <c r="F2068" s="23" t="e">
        <f>VLOOKUP(E2068,Customers[],2,FALSE)</f>
        <v>#N/A</v>
      </c>
      <c r="G2068" s="23" t="e">
        <f>VLOOKUP(E2068,Customers[],3,FALSE)</f>
        <v>#N/A</v>
      </c>
      <c r="H2068" s="23" t="e">
        <f>VLOOKUP(E2068,Customers[],4,FALSE)</f>
        <v>#N/A</v>
      </c>
      <c r="J2068" s="29" t="e">
        <f>VLOOKUP(I2068,PGStock[],2,FALSE)</f>
        <v>#N/A</v>
      </c>
      <c r="K2068" s="30" t="e">
        <f>VLOOKUP(I2068,PGStock[],3,FALSE)</f>
        <v>#N/A</v>
      </c>
      <c r="M2068" s="62" t="e">
        <f>VLOOKUP(I2068,PGStock[],6,FALSE)</f>
        <v>#N/A</v>
      </c>
      <c r="N2068" s="62" t="e">
        <f>+Table8[[#This Row],[SalesBot]]*Table8[[#This Row],[Bonus]]</f>
        <v>#N/A</v>
      </c>
    </row>
    <row r="2069" spans="1:14" ht="23.25" customHeight="1" x14ac:dyDescent="0.25">
      <c r="A2069" s="59">
        <f t="shared" ref="A2069:A2071" si="266">YEAR(C2069)</f>
        <v>1900</v>
      </c>
      <c r="B2069" s="59">
        <f t="shared" ref="B2069:B2071" si="267">MONTH(C2069)</f>
        <v>1</v>
      </c>
      <c r="C2069" s="97"/>
      <c r="D2069" s="61"/>
      <c r="F2069" s="23" t="e">
        <f>VLOOKUP(E2069,Customers[],2,FALSE)</f>
        <v>#N/A</v>
      </c>
      <c r="G2069" s="23" t="e">
        <f>VLOOKUP(E2069,Customers[],3,FALSE)</f>
        <v>#N/A</v>
      </c>
      <c r="H2069" s="23" t="e">
        <f>VLOOKUP(E2069,Customers[],4,FALSE)</f>
        <v>#N/A</v>
      </c>
      <c r="J2069" s="29" t="e">
        <f>VLOOKUP(I2069,PGStock[],2,FALSE)</f>
        <v>#N/A</v>
      </c>
      <c r="K2069" s="30" t="e">
        <f>VLOOKUP(I2069,PGStock[],3,FALSE)</f>
        <v>#N/A</v>
      </c>
      <c r="M2069" s="62" t="e">
        <f>VLOOKUP(I2069,PGStock[],6,FALSE)</f>
        <v>#N/A</v>
      </c>
      <c r="N2069" s="62" t="e">
        <f>+Table8[[#This Row],[SalesBot]]*Table8[[#This Row],[Bonus]]</f>
        <v>#N/A</v>
      </c>
    </row>
    <row r="2070" spans="1:14" ht="23.25" customHeight="1" x14ac:dyDescent="0.25">
      <c r="A2070" s="59">
        <f t="shared" si="266"/>
        <v>1900</v>
      </c>
      <c r="B2070" s="59">
        <f t="shared" si="267"/>
        <v>1</v>
      </c>
      <c r="C2070" s="97"/>
      <c r="D2070" s="61"/>
      <c r="F2070" s="23" t="e">
        <f>VLOOKUP(E2070,Customers[],2,FALSE)</f>
        <v>#N/A</v>
      </c>
      <c r="G2070" s="23" t="e">
        <f>VLOOKUP(E2070,Customers[],3,FALSE)</f>
        <v>#N/A</v>
      </c>
      <c r="H2070" s="23" t="e">
        <f>VLOOKUP(E2070,Customers[],4,FALSE)</f>
        <v>#N/A</v>
      </c>
      <c r="J2070" s="29" t="e">
        <f>VLOOKUP(I2070,PGStock[],2,FALSE)</f>
        <v>#N/A</v>
      </c>
      <c r="K2070" s="30" t="e">
        <f>VLOOKUP(I2070,PGStock[],3,FALSE)</f>
        <v>#N/A</v>
      </c>
      <c r="M2070" s="62" t="e">
        <f>VLOOKUP(I2070,PGStock[],6,FALSE)</f>
        <v>#N/A</v>
      </c>
      <c r="N2070" s="62" t="e">
        <f>+Table8[[#This Row],[SalesBot]]*Table8[[#This Row],[Bonus]]</f>
        <v>#N/A</v>
      </c>
    </row>
    <row r="2071" spans="1:14" ht="23.25" customHeight="1" x14ac:dyDescent="0.25">
      <c r="A2071" s="59">
        <f t="shared" si="266"/>
        <v>1900</v>
      </c>
      <c r="B2071" s="59">
        <f t="shared" si="267"/>
        <v>1</v>
      </c>
      <c r="C2071" s="97"/>
      <c r="D2071" s="61"/>
      <c r="F2071" s="23" t="e">
        <f>VLOOKUP(E2071,Customers[],2,FALSE)</f>
        <v>#N/A</v>
      </c>
      <c r="G2071" s="23" t="e">
        <f>VLOOKUP(E2071,Customers[],3,FALSE)</f>
        <v>#N/A</v>
      </c>
      <c r="H2071" s="23" t="e">
        <f>VLOOKUP(E2071,Customers[],4,FALSE)</f>
        <v>#N/A</v>
      </c>
      <c r="J2071" s="29" t="e">
        <f>VLOOKUP(I2071,PGStock[],2,FALSE)</f>
        <v>#N/A</v>
      </c>
      <c r="K2071" s="30" t="e">
        <f>VLOOKUP(I2071,PGStock[],3,FALSE)</f>
        <v>#N/A</v>
      </c>
      <c r="M2071" s="62" t="e">
        <f>VLOOKUP(I2071,PGStock[],6,FALSE)</f>
        <v>#N/A</v>
      </c>
      <c r="N2071" s="62" t="e">
        <f>+Table8[[#This Row],[SalesBot]]*Table8[[#This Row],[Bonus]]</f>
        <v>#N/A</v>
      </c>
    </row>
    <row r="2072" spans="1:14" ht="24" customHeight="1" x14ac:dyDescent="0.25">
      <c r="A2072" s="59">
        <f t="shared" ref="A2072:A2074" si="268">YEAR(C2072)</f>
        <v>1900</v>
      </c>
      <c r="B2072" s="59">
        <f t="shared" ref="B2072:B2074" si="269">MONTH(C2072)</f>
        <v>1</v>
      </c>
      <c r="C2072" s="97"/>
      <c r="D2072" s="61"/>
      <c r="F2072" s="23" t="e">
        <f>VLOOKUP(E2072,Customers[],2,FALSE)</f>
        <v>#N/A</v>
      </c>
      <c r="G2072" s="23" t="e">
        <f>VLOOKUP(E2072,Customers[],3,FALSE)</f>
        <v>#N/A</v>
      </c>
      <c r="H2072" s="23" t="e">
        <f>VLOOKUP(E2072,Customers[],4,FALSE)</f>
        <v>#N/A</v>
      </c>
      <c r="J2072" s="29" t="e">
        <f>VLOOKUP(I2072,PGStock[],2,FALSE)</f>
        <v>#N/A</v>
      </c>
      <c r="K2072" s="30" t="e">
        <f>VLOOKUP(I2072,PGStock[],3,FALSE)</f>
        <v>#N/A</v>
      </c>
      <c r="M2072" s="62" t="e">
        <f>VLOOKUP(I2072,PGStock[],6,FALSE)</f>
        <v>#N/A</v>
      </c>
      <c r="N2072" s="62" t="e">
        <f>+Table8[[#This Row],[SalesBot]]*Table8[[#This Row],[Bonus]]</f>
        <v>#N/A</v>
      </c>
    </row>
    <row r="2073" spans="1:14" ht="23.25" customHeight="1" x14ac:dyDescent="0.25">
      <c r="A2073" s="59">
        <f t="shared" si="268"/>
        <v>1900</v>
      </c>
      <c r="B2073" s="59">
        <f t="shared" si="269"/>
        <v>1</v>
      </c>
      <c r="C2073" s="97"/>
      <c r="D2073" s="61"/>
      <c r="F2073" s="23" t="e">
        <f>VLOOKUP(E2073,Customers[],2,FALSE)</f>
        <v>#N/A</v>
      </c>
      <c r="G2073" s="23" t="e">
        <f>VLOOKUP(E2073,Customers[],3,FALSE)</f>
        <v>#N/A</v>
      </c>
      <c r="H2073" s="23" t="e">
        <f>VLOOKUP(E2073,Customers[],4,FALSE)</f>
        <v>#N/A</v>
      </c>
      <c r="J2073" s="29" t="e">
        <f>VLOOKUP(I2073,PGStock[],2,FALSE)</f>
        <v>#N/A</v>
      </c>
      <c r="K2073" s="30" t="e">
        <f>VLOOKUP(I2073,PGStock[],3,FALSE)</f>
        <v>#N/A</v>
      </c>
      <c r="M2073" s="62" t="e">
        <f>VLOOKUP(I2073,PGStock[],6,FALSE)</f>
        <v>#N/A</v>
      </c>
      <c r="N2073" s="62" t="e">
        <f>+Table8[[#This Row],[SalesBot]]*Table8[[#This Row],[Bonus]]</f>
        <v>#N/A</v>
      </c>
    </row>
    <row r="2074" spans="1:14" ht="23.25" customHeight="1" x14ac:dyDescent="0.25">
      <c r="A2074" s="59">
        <f t="shared" si="268"/>
        <v>1900</v>
      </c>
      <c r="B2074" s="59">
        <f t="shared" si="269"/>
        <v>1</v>
      </c>
      <c r="C2074" s="97"/>
      <c r="D2074" s="61"/>
      <c r="F2074" s="23" t="e">
        <f>VLOOKUP(E2074,Customers[],2,FALSE)</f>
        <v>#N/A</v>
      </c>
      <c r="G2074" s="23" t="e">
        <f>VLOOKUP(E2074,Customers[],3,FALSE)</f>
        <v>#N/A</v>
      </c>
      <c r="H2074" s="23" t="e">
        <f>VLOOKUP(E2074,Customers[],4,FALSE)</f>
        <v>#N/A</v>
      </c>
      <c r="J2074" s="29" t="e">
        <f>VLOOKUP(I2074,PGStock[],2,FALSE)</f>
        <v>#N/A</v>
      </c>
      <c r="K2074" s="30" t="e">
        <f>VLOOKUP(I2074,PGStock[],3,FALSE)</f>
        <v>#N/A</v>
      </c>
      <c r="M2074" s="62" t="e">
        <f>VLOOKUP(I2074,PGStock[],6,FALSE)</f>
        <v>#N/A</v>
      </c>
      <c r="N2074" s="62" t="e">
        <f>+Table8[[#This Row],[SalesBot]]*Table8[[#This Row],[Bonus]]</f>
        <v>#N/A</v>
      </c>
    </row>
    <row r="2075" spans="1:14" ht="23.25" customHeight="1" x14ac:dyDescent="0.25">
      <c r="A2075" s="59">
        <f t="shared" ref="A2075:A2141" si="270">YEAR(C2075)</f>
        <v>1900</v>
      </c>
      <c r="B2075" s="59">
        <f t="shared" ref="B2075:B2141" si="271">MONTH(C2075)</f>
        <v>1</v>
      </c>
      <c r="C2075" s="97"/>
      <c r="D2075" s="61"/>
      <c r="F2075" s="23" t="e">
        <f>VLOOKUP(E2075,Customers[],2,FALSE)</f>
        <v>#N/A</v>
      </c>
      <c r="G2075" s="23" t="e">
        <f>VLOOKUP(E2075,Customers[],3,FALSE)</f>
        <v>#N/A</v>
      </c>
      <c r="H2075" s="23" t="e">
        <f>VLOOKUP(E2075,Customers[],4,FALSE)</f>
        <v>#N/A</v>
      </c>
      <c r="J2075" s="29" t="e">
        <f>VLOOKUP(I2075,PGStock[],2,FALSE)</f>
        <v>#N/A</v>
      </c>
      <c r="K2075" s="30" t="e">
        <f>VLOOKUP(I2075,PGStock[],3,FALSE)</f>
        <v>#N/A</v>
      </c>
      <c r="M2075" s="62" t="e">
        <f>VLOOKUP(I2075,PGStock[],6,FALSE)</f>
        <v>#N/A</v>
      </c>
      <c r="N2075" s="62" t="e">
        <f>+Table8[[#This Row],[SalesBot]]*Table8[[#This Row],[Bonus]]</f>
        <v>#N/A</v>
      </c>
    </row>
    <row r="2076" spans="1:14" ht="23.25" customHeight="1" x14ac:dyDescent="0.25">
      <c r="A2076" s="59">
        <f t="shared" si="270"/>
        <v>1900</v>
      </c>
      <c r="B2076" s="59">
        <f t="shared" si="271"/>
        <v>1</v>
      </c>
      <c r="C2076" s="97"/>
      <c r="D2076" s="61"/>
      <c r="F2076" s="23" t="e">
        <f>VLOOKUP(E2076,Customers[],2,FALSE)</f>
        <v>#N/A</v>
      </c>
      <c r="G2076" s="23" t="e">
        <f>VLOOKUP(E2076,Customers[],3,FALSE)</f>
        <v>#N/A</v>
      </c>
      <c r="H2076" s="23" t="e">
        <f>VLOOKUP(E2076,Customers[],4,FALSE)</f>
        <v>#N/A</v>
      </c>
      <c r="J2076" s="29" t="e">
        <f>VLOOKUP(I2076,PGStock[],2,FALSE)</f>
        <v>#N/A</v>
      </c>
      <c r="K2076" s="30" t="e">
        <f>VLOOKUP(I2076,PGStock[],3,FALSE)</f>
        <v>#N/A</v>
      </c>
      <c r="M2076" s="62" t="e">
        <f>VLOOKUP(I2076,PGStock[],6,FALSE)</f>
        <v>#N/A</v>
      </c>
      <c r="N2076" s="62" t="e">
        <f>+Table8[[#This Row],[SalesBot]]*Table8[[#This Row],[Bonus]]</f>
        <v>#N/A</v>
      </c>
    </row>
    <row r="2077" spans="1:14" ht="23.25" customHeight="1" x14ac:dyDescent="0.25">
      <c r="A2077" s="59">
        <f t="shared" ref="A2077:A2084" si="272">YEAR(C2077)</f>
        <v>1900</v>
      </c>
      <c r="B2077" s="59">
        <f t="shared" ref="B2077:B2084" si="273">MONTH(C2077)</f>
        <v>1</v>
      </c>
      <c r="C2077" s="97"/>
      <c r="D2077" s="61"/>
      <c r="F2077" s="23" t="e">
        <f>VLOOKUP(E2077,Customers[],2,FALSE)</f>
        <v>#N/A</v>
      </c>
      <c r="G2077" s="23" t="e">
        <f>VLOOKUP(E2077,Customers[],3,FALSE)</f>
        <v>#N/A</v>
      </c>
      <c r="H2077" s="23" t="e">
        <f>VLOOKUP(E2077,Customers[],4,FALSE)</f>
        <v>#N/A</v>
      </c>
      <c r="J2077" s="29" t="e">
        <f>VLOOKUP(I2077,PGStock[],2,FALSE)</f>
        <v>#N/A</v>
      </c>
      <c r="K2077" s="30" t="e">
        <f>VLOOKUP(I2077,PGStock[],3,FALSE)</f>
        <v>#N/A</v>
      </c>
      <c r="M2077" s="62" t="e">
        <f>VLOOKUP(I2077,PGStock[],6,FALSE)</f>
        <v>#N/A</v>
      </c>
      <c r="N2077" s="62" t="e">
        <f>+Table8[[#This Row],[SalesBot]]*Table8[[#This Row],[Bonus]]</f>
        <v>#N/A</v>
      </c>
    </row>
    <row r="2078" spans="1:14" ht="23.25" customHeight="1" x14ac:dyDescent="0.25">
      <c r="A2078" s="59">
        <f t="shared" si="272"/>
        <v>1900</v>
      </c>
      <c r="B2078" s="59">
        <f t="shared" si="273"/>
        <v>1</v>
      </c>
      <c r="C2078" s="97"/>
      <c r="D2078" s="61"/>
      <c r="F2078" s="23" t="e">
        <f>VLOOKUP(E2078,Customers[],2,FALSE)</f>
        <v>#N/A</v>
      </c>
      <c r="G2078" s="23" t="e">
        <f>VLOOKUP(E2078,Customers[],3,FALSE)</f>
        <v>#N/A</v>
      </c>
      <c r="H2078" s="23" t="e">
        <f>VLOOKUP(E2078,Customers[],4,FALSE)</f>
        <v>#N/A</v>
      </c>
      <c r="J2078" s="29" t="e">
        <f>VLOOKUP(I2078,PGStock[],2,FALSE)</f>
        <v>#N/A</v>
      </c>
      <c r="K2078" s="30" t="e">
        <f>VLOOKUP(I2078,PGStock[],3,FALSE)</f>
        <v>#N/A</v>
      </c>
      <c r="M2078" s="62" t="e">
        <f>VLOOKUP(I2078,PGStock[],6,FALSE)</f>
        <v>#N/A</v>
      </c>
      <c r="N2078" s="62" t="e">
        <f>+Table8[[#This Row],[SalesBot]]*Table8[[#This Row],[Bonus]]</f>
        <v>#N/A</v>
      </c>
    </row>
    <row r="2079" spans="1:14" ht="23.25" customHeight="1" x14ac:dyDescent="0.25">
      <c r="A2079" s="59">
        <f t="shared" si="272"/>
        <v>1900</v>
      </c>
      <c r="B2079" s="59">
        <f t="shared" si="273"/>
        <v>1</v>
      </c>
      <c r="C2079" s="97"/>
      <c r="D2079" s="61"/>
      <c r="F2079" s="23" t="e">
        <f>VLOOKUP(E2079,Customers[],2,FALSE)</f>
        <v>#N/A</v>
      </c>
      <c r="G2079" s="23" t="e">
        <f>VLOOKUP(E2079,Customers[],3,FALSE)</f>
        <v>#N/A</v>
      </c>
      <c r="H2079" s="23" t="e">
        <f>VLOOKUP(E2079,Customers[],4,FALSE)</f>
        <v>#N/A</v>
      </c>
      <c r="J2079" s="29" t="e">
        <f>VLOOKUP(I2079,PGStock[],2,FALSE)</f>
        <v>#N/A</v>
      </c>
      <c r="K2079" s="30" t="e">
        <f>VLOOKUP(I2079,PGStock[],3,FALSE)</f>
        <v>#N/A</v>
      </c>
      <c r="M2079" s="62" t="e">
        <f>VLOOKUP(I2079,PGStock[],6,FALSE)</f>
        <v>#N/A</v>
      </c>
      <c r="N2079" s="62" t="e">
        <f>+Table8[[#This Row],[SalesBot]]*Table8[[#This Row],[Bonus]]</f>
        <v>#N/A</v>
      </c>
    </row>
    <row r="2080" spans="1:14" ht="23.25" customHeight="1" x14ac:dyDescent="0.25">
      <c r="A2080" s="59">
        <f t="shared" si="272"/>
        <v>1900</v>
      </c>
      <c r="B2080" s="59">
        <f t="shared" si="273"/>
        <v>1</v>
      </c>
      <c r="C2080" s="97"/>
      <c r="D2080" s="61"/>
      <c r="F2080" s="23" t="e">
        <f>VLOOKUP(E2080,Customers[],2,FALSE)</f>
        <v>#N/A</v>
      </c>
      <c r="G2080" s="23" t="e">
        <f>VLOOKUP(E2080,Customers[],3,FALSE)</f>
        <v>#N/A</v>
      </c>
      <c r="H2080" s="23" t="e">
        <f>VLOOKUP(E2081,Customers[],4,FALSE)</f>
        <v>#N/A</v>
      </c>
      <c r="J2080" s="29" t="e">
        <f>VLOOKUP(I2080,PGStock[],2,FALSE)</f>
        <v>#N/A</v>
      </c>
      <c r="K2080" s="30" t="e">
        <f>VLOOKUP(I2080,PGStock[],3,FALSE)</f>
        <v>#N/A</v>
      </c>
      <c r="M2080" s="62" t="e">
        <f>VLOOKUP(I2080,PGStock[],6,FALSE)</f>
        <v>#N/A</v>
      </c>
      <c r="N2080" s="62" t="e">
        <f>+Table8[[#This Row],[SalesBot]]*Table8[[#This Row],[Bonus]]</f>
        <v>#N/A</v>
      </c>
    </row>
    <row r="2081" spans="1:14" ht="24" customHeight="1" x14ac:dyDescent="0.25">
      <c r="A2081" s="59">
        <f t="shared" si="272"/>
        <v>1900</v>
      </c>
      <c r="B2081" s="59">
        <f t="shared" si="273"/>
        <v>1</v>
      </c>
      <c r="C2081" s="97"/>
      <c r="D2081" s="61"/>
      <c r="F2081" s="23" t="e">
        <f>VLOOKUP(E2081,Customers[],2,FALSE)</f>
        <v>#N/A</v>
      </c>
      <c r="G2081" s="23" t="e">
        <f>VLOOKUP(E2081,Customers[],3,FALSE)</f>
        <v>#N/A</v>
      </c>
      <c r="H2081" s="23" t="e">
        <f>VLOOKUP(E2081,Customers[],4,FALSE)</f>
        <v>#N/A</v>
      </c>
      <c r="J2081" s="29" t="e">
        <f>VLOOKUP(I2081,PGStock[],2,FALSE)</f>
        <v>#N/A</v>
      </c>
      <c r="K2081" s="30" t="e">
        <f>VLOOKUP(I2081,PGStock[],3,FALSE)</f>
        <v>#N/A</v>
      </c>
      <c r="M2081" s="62" t="e">
        <f>VLOOKUP(I2081,PGStock[],6,FALSE)</f>
        <v>#N/A</v>
      </c>
      <c r="N2081" s="62" t="e">
        <f>+Table8[[#This Row],[SalesBot]]*Table8[[#This Row],[Bonus]]</f>
        <v>#N/A</v>
      </c>
    </row>
    <row r="2082" spans="1:14" ht="23.25" customHeight="1" x14ac:dyDescent="0.25">
      <c r="A2082" s="59">
        <f t="shared" si="272"/>
        <v>1900</v>
      </c>
      <c r="B2082" s="59">
        <f t="shared" si="273"/>
        <v>1</v>
      </c>
      <c r="C2082" s="97"/>
      <c r="D2082" s="61"/>
      <c r="F2082" s="23" t="e">
        <f>VLOOKUP(E2082,Customers[],2,FALSE)</f>
        <v>#N/A</v>
      </c>
      <c r="G2082" s="23" t="e">
        <f>VLOOKUP(E2082,Customers[],3,FALSE)</f>
        <v>#N/A</v>
      </c>
      <c r="H2082" s="23" t="e">
        <f>VLOOKUP(E2082,Customers[],4,FALSE)</f>
        <v>#N/A</v>
      </c>
      <c r="J2082" s="29" t="e">
        <f>VLOOKUP(I2082,PGStock[],2,FALSE)</f>
        <v>#N/A</v>
      </c>
      <c r="K2082" s="30" t="e">
        <f>VLOOKUP(I2082,PGStock[],3,FALSE)</f>
        <v>#N/A</v>
      </c>
      <c r="M2082" s="62" t="e">
        <f>VLOOKUP(I2082,PGStock[],6,FALSE)</f>
        <v>#N/A</v>
      </c>
      <c r="N2082" s="62" t="e">
        <f>+Table8[[#This Row],[SalesBot]]*Table8[[#This Row],[Bonus]]</f>
        <v>#N/A</v>
      </c>
    </row>
    <row r="2083" spans="1:14" ht="23.25" customHeight="1" x14ac:dyDescent="0.25">
      <c r="A2083" s="59">
        <f t="shared" si="272"/>
        <v>1900</v>
      </c>
      <c r="B2083" s="59">
        <f t="shared" si="273"/>
        <v>1</v>
      </c>
      <c r="C2083" s="97"/>
      <c r="D2083" s="61"/>
      <c r="F2083" s="23" t="e">
        <f>VLOOKUP(E2083,Customers[],2,FALSE)</f>
        <v>#N/A</v>
      </c>
      <c r="G2083" s="23" t="e">
        <f>VLOOKUP(E2083,Customers[],3,FALSE)</f>
        <v>#N/A</v>
      </c>
      <c r="H2083" s="23" t="e">
        <f>VLOOKUP(E2083,Customers[],4,FALSE)</f>
        <v>#N/A</v>
      </c>
      <c r="J2083" s="29" t="e">
        <f>VLOOKUP(I2083,PGStock[],2,FALSE)</f>
        <v>#N/A</v>
      </c>
      <c r="K2083" s="30" t="e">
        <f>VLOOKUP(I2083,PGStock[],3,FALSE)</f>
        <v>#N/A</v>
      </c>
      <c r="M2083" s="62" t="e">
        <f>VLOOKUP(I2083,PGStock[],6,FALSE)</f>
        <v>#N/A</v>
      </c>
      <c r="N2083" s="62" t="e">
        <f>+Table8[[#This Row],[SalesBot]]*Table8[[#This Row],[Bonus]]</f>
        <v>#N/A</v>
      </c>
    </row>
    <row r="2084" spans="1:14" ht="23.25" customHeight="1" x14ac:dyDescent="0.25">
      <c r="A2084" s="59">
        <f t="shared" si="272"/>
        <v>1900</v>
      </c>
      <c r="B2084" s="59">
        <f t="shared" si="273"/>
        <v>1</v>
      </c>
      <c r="C2084" s="97"/>
      <c r="D2084" s="61"/>
      <c r="F2084" s="23" t="e">
        <f>VLOOKUP(E2084,Customers[],2,FALSE)</f>
        <v>#N/A</v>
      </c>
      <c r="G2084" s="23" t="e">
        <f>VLOOKUP(E2084,Customers[],3,FALSE)</f>
        <v>#N/A</v>
      </c>
      <c r="H2084" s="23" t="e">
        <f>VLOOKUP(E2084,Customers[],4,FALSE)</f>
        <v>#N/A</v>
      </c>
      <c r="J2084" s="29" t="e">
        <f>VLOOKUP(I2084,PGStock[],2,FALSE)</f>
        <v>#N/A</v>
      </c>
      <c r="K2084" s="30" t="e">
        <f>VLOOKUP(I2084,PGStock[],3,FALSE)</f>
        <v>#N/A</v>
      </c>
      <c r="M2084" s="62" t="e">
        <f>VLOOKUP(I2084,PGStock[],6,FALSE)</f>
        <v>#N/A</v>
      </c>
      <c r="N2084" s="62" t="e">
        <f>+Table8[[#This Row],[SalesBot]]*Table8[[#This Row],[Bonus]]</f>
        <v>#N/A</v>
      </c>
    </row>
    <row r="2085" spans="1:14" ht="23.25" customHeight="1" x14ac:dyDescent="0.25">
      <c r="A2085" s="59">
        <f t="shared" ref="A2085:A2092" si="274">YEAR(C2085)</f>
        <v>1900</v>
      </c>
      <c r="B2085" s="59">
        <f t="shared" ref="B2085:B2092" si="275">MONTH(C2085)</f>
        <v>1</v>
      </c>
      <c r="C2085" s="97"/>
      <c r="D2085" s="61"/>
      <c r="F2085" s="23" t="e">
        <f>VLOOKUP(E2085,Customers[],2,FALSE)</f>
        <v>#N/A</v>
      </c>
      <c r="G2085" s="23" t="e">
        <f>VLOOKUP(E2085,Customers[],3,FALSE)</f>
        <v>#N/A</v>
      </c>
      <c r="H2085" s="23" t="e">
        <f>VLOOKUP(E2085,Customers[],4,FALSE)</f>
        <v>#N/A</v>
      </c>
      <c r="J2085" s="29" t="e">
        <f>VLOOKUP(I2085,PGStock[],2,FALSE)</f>
        <v>#N/A</v>
      </c>
      <c r="K2085" s="30" t="e">
        <f>VLOOKUP(I2085,PGStock[],3,FALSE)</f>
        <v>#N/A</v>
      </c>
      <c r="M2085" s="62" t="e">
        <f>VLOOKUP(I2085,PGStock[],6,FALSE)</f>
        <v>#N/A</v>
      </c>
      <c r="N2085" s="62" t="e">
        <f>+Table8[[#This Row],[SalesBot]]*Table8[[#This Row],[Bonus]]</f>
        <v>#N/A</v>
      </c>
    </row>
    <row r="2086" spans="1:14" ht="23.25" customHeight="1" x14ac:dyDescent="0.25">
      <c r="A2086" s="59">
        <f t="shared" si="274"/>
        <v>1900</v>
      </c>
      <c r="B2086" s="59">
        <f t="shared" si="275"/>
        <v>1</v>
      </c>
      <c r="C2086" s="97"/>
      <c r="D2086" s="61"/>
      <c r="F2086" s="23" t="e">
        <f>VLOOKUP(E2086,Customers[],2,FALSE)</f>
        <v>#N/A</v>
      </c>
      <c r="G2086" s="23" t="e">
        <f>VLOOKUP(E2086,Customers[],3,FALSE)</f>
        <v>#N/A</v>
      </c>
      <c r="H2086" s="23" t="e">
        <f>VLOOKUP(E2086,Customers[],4,FALSE)</f>
        <v>#N/A</v>
      </c>
      <c r="J2086" s="29" t="e">
        <f>VLOOKUP(I2086,PGStock[],2,FALSE)</f>
        <v>#N/A</v>
      </c>
      <c r="K2086" s="30" t="e">
        <f>VLOOKUP(I2086,PGStock[],3,FALSE)</f>
        <v>#N/A</v>
      </c>
      <c r="M2086" s="62" t="e">
        <f>VLOOKUP(I2086,PGStock[],6,FALSE)</f>
        <v>#N/A</v>
      </c>
      <c r="N2086" s="62" t="e">
        <f>+Table8[[#This Row],[SalesBot]]*Table8[[#This Row],[Bonus]]</f>
        <v>#N/A</v>
      </c>
    </row>
    <row r="2087" spans="1:14" ht="23.25" customHeight="1" x14ac:dyDescent="0.25">
      <c r="A2087" s="59">
        <f t="shared" si="274"/>
        <v>1900</v>
      </c>
      <c r="B2087" s="59">
        <f t="shared" si="275"/>
        <v>1</v>
      </c>
      <c r="C2087" s="97"/>
      <c r="D2087" s="61"/>
      <c r="F2087" s="23" t="e">
        <f>VLOOKUP(E2087,Customers[],2,FALSE)</f>
        <v>#N/A</v>
      </c>
      <c r="G2087" s="23" t="e">
        <f>VLOOKUP(E2087,Customers[],3,FALSE)</f>
        <v>#N/A</v>
      </c>
      <c r="H2087" s="23" t="e">
        <f>VLOOKUP(E2087,Customers[],4,FALSE)</f>
        <v>#N/A</v>
      </c>
      <c r="J2087" s="29" t="e">
        <f>VLOOKUP(I2087,PGStock[],2,FALSE)</f>
        <v>#N/A</v>
      </c>
      <c r="K2087" s="30" t="e">
        <f>VLOOKUP(I2087,PGStock[],3,FALSE)</f>
        <v>#N/A</v>
      </c>
      <c r="M2087" s="62" t="e">
        <f>VLOOKUP(I2087,PGStock[],6,FALSE)</f>
        <v>#N/A</v>
      </c>
      <c r="N2087" s="62" t="e">
        <f>+Table8[[#This Row],[SalesBot]]*Table8[[#This Row],[Bonus]]</f>
        <v>#N/A</v>
      </c>
    </row>
    <row r="2088" spans="1:14" ht="23.25" customHeight="1" x14ac:dyDescent="0.25">
      <c r="A2088" s="59">
        <f t="shared" si="274"/>
        <v>1900</v>
      </c>
      <c r="B2088" s="59">
        <f t="shared" si="275"/>
        <v>1</v>
      </c>
      <c r="C2088" s="97"/>
      <c r="D2088" s="61"/>
      <c r="F2088" s="23" t="e">
        <f>VLOOKUP(E2088,Customers[],2,FALSE)</f>
        <v>#N/A</v>
      </c>
      <c r="G2088" s="23" t="e">
        <f>VLOOKUP(E2088,Customers[],3,FALSE)</f>
        <v>#N/A</v>
      </c>
      <c r="H2088" s="23" t="e">
        <f>VLOOKUP(E2088,Customers[],4,FALSE)</f>
        <v>#N/A</v>
      </c>
      <c r="J2088" s="29" t="e">
        <f>VLOOKUP(I2088,PGStock[],2,FALSE)</f>
        <v>#N/A</v>
      </c>
      <c r="K2088" s="30" t="e">
        <f>VLOOKUP(I2088,PGStock[],3,FALSE)</f>
        <v>#N/A</v>
      </c>
      <c r="M2088" s="62" t="e">
        <f>VLOOKUP(I2088,PGStock[],6,FALSE)</f>
        <v>#N/A</v>
      </c>
      <c r="N2088" s="62" t="e">
        <f>+Table8[[#This Row],[SalesBot]]*Table8[[#This Row],[Bonus]]</f>
        <v>#N/A</v>
      </c>
    </row>
    <row r="2089" spans="1:14" ht="23.25" customHeight="1" x14ac:dyDescent="0.25">
      <c r="A2089" s="59">
        <f t="shared" si="274"/>
        <v>1900</v>
      </c>
      <c r="B2089" s="59">
        <f t="shared" si="275"/>
        <v>1</v>
      </c>
      <c r="C2089" s="97"/>
      <c r="D2089" s="61"/>
      <c r="F2089" s="23" t="e">
        <f>VLOOKUP(E2089,Customers[],2,FALSE)</f>
        <v>#N/A</v>
      </c>
      <c r="G2089" s="23" t="e">
        <f>VLOOKUP(E2089,Customers[],3,FALSE)</f>
        <v>#N/A</v>
      </c>
      <c r="H2089" s="23" t="e">
        <f>VLOOKUP(E2089,Customers[],4,FALSE)</f>
        <v>#N/A</v>
      </c>
      <c r="J2089" s="29" t="e">
        <f>VLOOKUP(I2089,PGStock[],2,FALSE)</f>
        <v>#N/A</v>
      </c>
      <c r="K2089" s="30" t="e">
        <f>VLOOKUP(I2089,PGStock[],3,FALSE)</f>
        <v>#N/A</v>
      </c>
      <c r="M2089" s="62" t="e">
        <f>VLOOKUP(I2089,PGStock[],6,FALSE)</f>
        <v>#N/A</v>
      </c>
      <c r="N2089" s="62" t="e">
        <f>+Table8[[#This Row],[SalesBot]]*Table8[[#This Row],[Bonus]]</f>
        <v>#N/A</v>
      </c>
    </row>
    <row r="2090" spans="1:14" ht="23.25" customHeight="1" x14ac:dyDescent="0.25">
      <c r="A2090" s="59">
        <f t="shared" si="274"/>
        <v>1900</v>
      </c>
      <c r="B2090" s="59">
        <f t="shared" si="275"/>
        <v>1</v>
      </c>
      <c r="C2090" s="97"/>
      <c r="D2090" s="61"/>
      <c r="F2090" s="23" t="e">
        <f>VLOOKUP(E2090,Customers[],2,FALSE)</f>
        <v>#N/A</v>
      </c>
      <c r="G2090" s="23" t="e">
        <f>VLOOKUP(E2090,Customers[],3,FALSE)</f>
        <v>#N/A</v>
      </c>
      <c r="H2090" s="23" t="e">
        <f>VLOOKUP(E2090,Customers[],4,FALSE)</f>
        <v>#N/A</v>
      </c>
      <c r="J2090" s="29" t="e">
        <f>VLOOKUP(I2090,PGStock[],2,FALSE)</f>
        <v>#N/A</v>
      </c>
      <c r="K2090" s="30" t="e">
        <f>VLOOKUP(I2090,PGStock[],3,FALSE)</f>
        <v>#N/A</v>
      </c>
      <c r="M2090" s="62" t="e">
        <f>VLOOKUP(I2090,PGStock[],6,FALSE)</f>
        <v>#N/A</v>
      </c>
      <c r="N2090" s="62" t="e">
        <f>+Table8[[#This Row],[SalesBot]]*Table8[[#This Row],[Bonus]]</f>
        <v>#N/A</v>
      </c>
    </row>
    <row r="2091" spans="1:14" ht="23.25" customHeight="1" x14ac:dyDescent="0.25">
      <c r="A2091" s="59">
        <f t="shared" si="274"/>
        <v>1900</v>
      </c>
      <c r="B2091" s="59">
        <f t="shared" si="275"/>
        <v>1</v>
      </c>
      <c r="C2091" s="97"/>
      <c r="D2091" s="61"/>
      <c r="F2091" s="23" t="e">
        <f>VLOOKUP(E2091,Customers[],2,FALSE)</f>
        <v>#N/A</v>
      </c>
      <c r="G2091" s="23" t="e">
        <f>VLOOKUP(E2091,Customers[],3,FALSE)</f>
        <v>#N/A</v>
      </c>
      <c r="H2091" s="23" t="e">
        <f>VLOOKUP(E2091,Customers[],4,FALSE)</f>
        <v>#N/A</v>
      </c>
      <c r="J2091" s="29" t="e">
        <f>VLOOKUP(I2091,PGStock[],2,FALSE)</f>
        <v>#N/A</v>
      </c>
      <c r="K2091" s="30" t="e">
        <f>VLOOKUP(I2091,PGStock[],3,FALSE)</f>
        <v>#N/A</v>
      </c>
      <c r="M2091" s="62" t="e">
        <f>VLOOKUP(I2091,PGStock[],6,FALSE)</f>
        <v>#N/A</v>
      </c>
      <c r="N2091" s="62" t="e">
        <f>+Table8[[#This Row],[SalesBot]]*Table8[[#This Row],[Bonus]]</f>
        <v>#N/A</v>
      </c>
    </row>
    <row r="2092" spans="1:14" ht="23.25" customHeight="1" x14ac:dyDescent="0.25">
      <c r="A2092" s="59">
        <f t="shared" si="274"/>
        <v>1900</v>
      </c>
      <c r="B2092" s="59">
        <f t="shared" si="275"/>
        <v>1</v>
      </c>
      <c r="C2092" s="97"/>
      <c r="D2092" s="61"/>
      <c r="F2092" s="23" t="e">
        <f>VLOOKUP(E2092,Customers[],2,FALSE)</f>
        <v>#N/A</v>
      </c>
      <c r="G2092" s="23" t="e">
        <f>VLOOKUP(E2092,Customers[],3,FALSE)</f>
        <v>#N/A</v>
      </c>
      <c r="H2092" s="23" t="e">
        <f>VLOOKUP(E2092,Customers[],4,FALSE)</f>
        <v>#N/A</v>
      </c>
      <c r="J2092" s="29" t="e">
        <f>VLOOKUP(I2092,PGStock[],2,FALSE)</f>
        <v>#N/A</v>
      </c>
      <c r="K2092" s="30" t="e">
        <f>VLOOKUP(I2092,PGStock[],3,FALSE)</f>
        <v>#N/A</v>
      </c>
      <c r="M2092" s="62" t="e">
        <f>VLOOKUP(I2092,PGStock[],6,FALSE)</f>
        <v>#N/A</v>
      </c>
      <c r="N2092" s="62" t="e">
        <f>+Table8[[#This Row],[SalesBot]]*Table8[[#This Row],[Bonus]]</f>
        <v>#N/A</v>
      </c>
    </row>
    <row r="2093" spans="1:14" ht="23.25" customHeight="1" x14ac:dyDescent="0.25">
      <c r="A2093" s="59">
        <f t="shared" ref="A2093:A2100" si="276">YEAR(C2093)</f>
        <v>1900</v>
      </c>
      <c r="B2093" s="59">
        <f t="shared" ref="B2093:B2100" si="277">MONTH(C2093)</f>
        <v>1</v>
      </c>
      <c r="C2093" s="97"/>
      <c r="D2093" s="61"/>
      <c r="F2093" s="23" t="e">
        <f>VLOOKUP(E2093,Customers[],2,FALSE)</f>
        <v>#N/A</v>
      </c>
      <c r="G2093" s="23" t="e">
        <f>VLOOKUP(E2093,Customers[],3,FALSE)</f>
        <v>#N/A</v>
      </c>
      <c r="H2093" s="23" t="e">
        <f>VLOOKUP(E2093,Customers[],4,FALSE)</f>
        <v>#N/A</v>
      </c>
      <c r="J2093" s="29" t="e">
        <f>VLOOKUP(I2093,PGStock[],2,FALSE)</f>
        <v>#N/A</v>
      </c>
      <c r="K2093" s="30" t="e">
        <f>VLOOKUP(I2093,PGStock[],3,FALSE)</f>
        <v>#N/A</v>
      </c>
      <c r="M2093" s="62" t="e">
        <f>VLOOKUP(I2093,PGStock[],6,FALSE)</f>
        <v>#N/A</v>
      </c>
      <c r="N2093" s="62" t="e">
        <f>+Table8[[#This Row],[SalesBot]]*Table8[[#This Row],[Bonus]]</f>
        <v>#N/A</v>
      </c>
    </row>
    <row r="2094" spans="1:14" ht="23.25" customHeight="1" x14ac:dyDescent="0.25">
      <c r="A2094" s="59">
        <f t="shared" si="276"/>
        <v>1900</v>
      </c>
      <c r="B2094" s="59">
        <f t="shared" si="277"/>
        <v>1</v>
      </c>
      <c r="C2094" s="97"/>
      <c r="D2094" s="61"/>
      <c r="F2094" s="23" t="e">
        <f>VLOOKUP(E2094,Customers[],2,FALSE)</f>
        <v>#N/A</v>
      </c>
      <c r="G2094" s="23" t="e">
        <f>VLOOKUP(E2094,Customers[],3,FALSE)</f>
        <v>#N/A</v>
      </c>
      <c r="H2094" s="23" t="e">
        <f>VLOOKUP(E2094,Customers[],4,FALSE)</f>
        <v>#N/A</v>
      </c>
      <c r="J2094" s="29" t="e">
        <f>VLOOKUP(I2094,PGStock[],2,FALSE)</f>
        <v>#N/A</v>
      </c>
      <c r="K2094" s="30" t="e">
        <f>VLOOKUP(I2094,PGStock[],3,FALSE)</f>
        <v>#N/A</v>
      </c>
      <c r="M2094" s="62" t="e">
        <f>VLOOKUP(I2094,PGStock[],6,FALSE)</f>
        <v>#N/A</v>
      </c>
      <c r="N2094" s="62" t="e">
        <f>+Table8[[#This Row],[SalesBot]]*Table8[[#This Row],[Bonus]]</f>
        <v>#N/A</v>
      </c>
    </row>
    <row r="2095" spans="1:14" ht="23.25" customHeight="1" x14ac:dyDescent="0.25">
      <c r="A2095" s="59">
        <f t="shared" si="276"/>
        <v>1900</v>
      </c>
      <c r="B2095" s="59">
        <f t="shared" si="277"/>
        <v>1</v>
      </c>
      <c r="C2095" s="97"/>
      <c r="D2095" s="61"/>
      <c r="F2095" s="23" t="e">
        <f>VLOOKUP(E2095,Customers[],2,FALSE)</f>
        <v>#N/A</v>
      </c>
      <c r="G2095" s="23" t="e">
        <f>VLOOKUP(E2095,Customers[],3,FALSE)</f>
        <v>#N/A</v>
      </c>
      <c r="H2095" s="23" t="e">
        <f>VLOOKUP(E2095,Customers[],4,FALSE)</f>
        <v>#N/A</v>
      </c>
      <c r="J2095" s="29" t="e">
        <f>VLOOKUP(I2095,PGStock[],2,FALSE)</f>
        <v>#N/A</v>
      </c>
      <c r="K2095" s="30" t="e">
        <f>VLOOKUP(I2095,PGStock[],3,FALSE)</f>
        <v>#N/A</v>
      </c>
      <c r="M2095" s="62" t="e">
        <f>VLOOKUP(I2095,PGStock[],6,FALSE)</f>
        <v>#N/A</v>
      </c>
      <c r="N2095" s="62" t="e">
        <f>+Table8[[#This Row],[SalesBot]]*Table8[[#This Row],[Bonus]]</f>
        <v>#N/A</v>
      </c>
    </row>
    <row r="2096" spans="1:14" ht="23.25" customHeight="1" x14ac:dyDescent="0.25">
      <c r="A2096" s="59">
        <f t="shared" si="276"/>
        <v>1900</v>
      </c>
      <c r="B2096" s="59">
        <f t="shared" si="277"/>
        <v>1</v>
      </c>
      <c r="C2096" s="97"/>
      <c r="D2096" s="61"/>
      <c r="F2096" s="23" t="e">
        <f>VLOOKUP(E2096,Customers[],2,FALSE)</f>
        <v>#N/A</v>
      </c>
      <c r="G2096" s="23" t="e">
        <f>VLOOKUP(E2096,Customers[],3,FALSE)</f>
        <v>#N/A</v>
      </c>
      <c r="H2096" s="23" t="e">
        <f>VLOOKUP(E2096,Customers[],4,FALSE)</f>
        <v>#N/A</v>
      </c>
      <c r="J2096" s="29" t="e">
        <f>VLOOKUP(I2096,PGStock[],2,FALSE)</f>
        <v>#N/A</v>
      </c>
      <c r="K2096" s="30" t="e">
        <f>VLOOKUP(I2096,PGStock[],3,FALSE)</f>
        <v>#N/A</v>
      </c>
      <c r="M2096" s="62" t="e">
        <f>VLOOKUP(I2096,PGStock[],6,FALSE)</f>
        <v>#N/A</v>
      </c>
      <c r="N2096" s="62" t="e">
        <f>+Table8[[#This Row],[SalesBot]]*Table8[[#This Row],[Bonus]]</f>
        <v>#N/A</v>
      </c>
    </row>
    <row r="2097" spans="1:14" ht="23.25" customHeight="1" x14ac:dyDescent="0.25">
      <c r="A2097" s="59">
        <f t="shared" si="276"/>
        <v>1900</v>
      </c>
      <c r="B2097" s="59">
        <f t="shared" si="277"/>
        <v>1</v>
      </c>
      <c r="C2097" s="97"/>
      <c r="D2097" s="61"/>
      <c r="F2097" s="23" t="e">
        <f>VLOOKUP(E2097,Customers[],2,FALSE)</f>
        <v>#N/A</v>
      </c>
      <c r="G2097" s="23" t="e">
        <f>VLOOKUP(E2097,Customers[],3,FALSE)</f>
        <v>#N/A</v>
      </c>
      <c r="H2097" s="23" t="e">
        <f>VLOOKUP(E2097,Customers[],4,FALSE)</f>
        <v>#N/A</v>
      </c>
      <c r="J2097" s="29" t="e">
        <f>VLOOKUP(I2097,PGStock[],2,FALSE)</f>
        <v>#N/A</v>
      </c>
      <c r="K2097" s="30" t="e">
        <f>VLOOKUP(I2097,PGStock[],3,FALSE)</f>
        <v>#N/A</v>
      </c>
      <c r="M2097" s="62" t="e">
        <f>VLOOKUP(I2097,PGStock[],6,FALSE)</f>
        <v>#N/A</v>
      </c>
      <c r="N2097" s="62" t="e">
        <f>+Table8[[#This Row],[SalesBot]]*Table8[[#This Row],[Bonus]]</f>
        <v>#N/A</v>
      </c>
    </row>
    <row r="2098" spans="1:14" ht="23.25" customHeight="1" x14ac:dyDescent="0.25">
      <c r="A2098" s="59">
        <f t="shared" si="276"/>
        <v>1900</v>
      </c>
      <c r="B2098" s="59">
        <f t="shared" si="277"/>
        <v>1</v>
      </c>
      <c r="C2098" s="97"/>
      <c r="D2098" s="61"/>
      <c r="F2098" s="23" t="e">
        <f>VLOOKUP(E2098,Customers[],2,FALSE)</f>
        <v>#N/A</v>
      </c>
      <c r="G2098" s="23" t="e">
        <f>VLOOKUP(E2098,Customers[],3,FALSE)</f>
        <v>#N/A</v>
      </c>
      <c r="H2098" s="23" t="e">
        <f>VLOOKUP(E2098,Customers[],4,FALSE)</f>
        <v>#N/A</v>
      </c>
      <c r="J2098" s="29" t="e">
        <f>VLOOKUP(I2098,PGStock[],2,FALSE)</f>
        <v>#N/A</v>
      </c>
      <c r="K2098" s="30" t="e">
        <f>VLOOKUP(I2098,PGStock[],3,FALSE)</f>
        <v>#N/A</v>
      </c>
      <c r="M2098" s="62" t="e">
        <f>VLOOKUP(I2098,PGStock[],6,FALSE)</f>
        <v>#N/A</v>
      </c>
      <c r="N2098" s="62" t="e">
        <f>+Table8[[#This Row],[SalesBot]]*Table8[[#This Row],[Bonus]]</f>
        <v>#N/A</v>
      </c>
    </row>
    <row r="2099" spans="1:14" ht="23.25" customHeight="1" x14ac:dyDescent="0.25">
      <c r="A2099" s="59">
        <f t="shared" si="276"/>
        <v>1900</v>
      </c>
      <c r="B2099" s="59">
        <f t="shared" si="277"/>
        <v>1</v>
      </c>
      <c r="C2099" s="97"/>
      <c r="D2099" s="61"/>
      <c r="F2099" s="23" t="e">
        <f>VLOOKUP(E2099,Customers[],2,FALSE)</f>
        <v>#N/A</v>
      </c>
      <c r="G2099" s="23" t="e">
        <f>VLOOKUP(E2099,Customers[],3,FALSE)</f>
        <v>#N/A</v>
      </c>
      <c r="H2099" s="23" t="e">
        <f>VLOOKUP(E2099,Customers[],4,FALSE)</f>
        <v>#N/A</v>
      </c>
      <c r="J2099" s="29" t="e">
        <f>VLOOKUP(I2099,PGStock[],2,FALSE)</f>
        <v>#N/A</v>
      </c>
      <c r="K2099" s="30" t="e">
        <f>VLOOKUP(I2099,PGStock[],3,FALSE)</f>
        <v>#N/A</v>
      </c>
      <c r="M2099" s="62" t="e">
        <f>VLOOKUP(I2099,PGStock[],6,FALSE)</f>
        <v>#N/A</v>
      </c>
      <c r="N2099" s="62" t="e">
        <f>+Table8[[#This Row],[SalesBot]]*Table8[[#This Row],[Bonus]]</f>
        <v>#N/A</v>
      </c>
    </row>
    <row r="2100" spans="1:14" ht="23.25" customHeight="1" x14ac:dyDescent="0.25">
      <c r="A2100" s="59">
        <f t="shared" si="276"/>
        <v>1900</v>
      </c>
      <c r="B2100" s="59">
        <f t="shared" si="277"/>
        <v>1</v>
      </c>
      <c r="C2100" s="97"/>
      <c r="D2100" s="61"/>
      <c r="F2100" s="23" t="e">
        <f>VLOOKUP(E2100,Customers[],2,FALSE)</f>
        <v>#N/A</v>
      </c>
      <c r="G2100" s="23" t="e">
        <f>VLOOKUP(E2100,Customers[],3,FALSE)</f>
        <v>#N/A</v>
      </c>
      <c r="H2100" s="23" t="e">
        <f>VLOOKUP(E2100,Customers[],4,FALSE)</f>
        <v>#N/A</v>
      </c>
      <c r="J2100" s="29" t="e">
        <f>VLOOKUP(I2100,PGStock[],2,FALSE)</f>
        <v>#N/A</v>
      </c>
      <c r="K2100" s="30" t="e">
        <f>VLOOKUP(I2100,PGStock[],3,FALSE)</f>
        <v>#N/A</v>
      </c>
      <c r="M2100" s="62" t="e">
        <f>VLOOKUP(I2100,PGStock[],6,FALSE)</f>
        <v>#N/A</v>
      </c>
      <c r="N2100" s="62" t="e">
        <f>+Table8[[#This Row],[SalesBot]]*Table8[[#This Row],[Bonus]]</f>
        <v>#N/A</v>
      </c>
    </row>
    <row r="2101" spans="1:14" ht="23.25" customHeight="1" x14ac:dyDescent="0.25">
      <c r="A2101" s="59">
        <f t="shared" ref="A2101:A2108" si="278">YEAR(C2101)</f>
        <v>1900</v>
      </c>
      <c r="B2101" s="59">
        <f t="shared" ref="B2101:B2108" si="279">MONTH(C2101)</f>
        <v>1</v>
      </c>
      <c r="C2101" s="97"/>
      <c r="D2101" s="61"/>
      <c r="F2101" s="23" t="e">
        <f>VLOOKUP(E2101,Customers[],2,FALSE)</f>
        <v>#N/A</v>
      </c>
      <c r="G2101" s="23" t="e">
        <f>VLOOKUP(E2101,Customers[],3,FALSE)</f>
        <v>#N/A</v>
      </c>
      <c r="H2101" s="23" t="e">
        <f>VLOOKUP(E2101,Customers[],4,FALSE)</f>
        <v>#N/A</v>
      </c>
      <c r="J2101" s="29" t="e">
        <f>VLOOKUP(I2101,PGStock[],2,FALSE)</f>
        <v>#N/A</v>
      </c>
      <c r="K2101" s="30" t="e">
        <f>VLOOKUP(I2101,PGStock[],3,FALSE)</f>
        <v>#N/A</v>
      </c>
      <c r="M2101" s="62" t="e">
        <f>VLOOKUP(I2101,PGStock[],6,FALSE)</f>
        <v>#N/A</v>
      </c>
      <c r="N2101" s="62" t="e">
        <f>+Table8[[#This Row],[SalesBot]]*Table8[[#This Row],[Bonus]]</f>
        <v>#N/A</v>
      </c>
    </row>
    <row r="2102" spans="1:14" ht="23.25" customHeight="1" x14ac:dyDescent="0.25">
      <c r="A2102" s="59">
        <f t="shared" si="278"/>
        <v>1900</v>
      </c>
      <c r="B2102" s="59">
        <f t="shared" si="279"/>
        <v>1</v>
      </c>
      <c r="C2102" s="97"/>
      <c r="D2102" s="61"/>
      <c r="F2102" s="23" t="e">
        <f>VLOOKUP(E2102,Customers[],2,FALSE)</f>
        <v>#N/A</v>
      </c>
      <c r="G2102" s="23" t="e">
        <f>VLOOKUP(E2102,Customers[],3,FALSE)</f>
        <v>#N/A</v>
      </c>
      <c r="H2102" s="23" t="e">
        <f>VLOOKUP(E2102,Customers[],4,FALSE)</f>
        <v>#N/A</v>
      </c>
      <c r="J2102" s="29" t="e">
        <f>VLOOKUP(I2102,PGStock[],2,FALSE)</f>
        <v>#N/A</v>
      </c>
      <c r="K2102" s="30" t="e">
        <f>VLOOKUP(I2102,PGStock[],3,FALSE)</f>
        <v>#N/A</v>
      </c>
      <c r="M2102" s="62" t="e">
        <f>VLOOKUP(I2102,PGStock[],6,FALSE)</f>
        <v>#N/A</v>
      </c>
      <c r="N2102" s="62" t="e">
        <f>+Table8[[#This Row],[SalesBot]]*Table8[[#This Row],[Bonus]]</f>
        <v>#N/A</v>
      </c>
    </row>
    <row r="2103" spans="1:14" ht="23.25" customHeight="1" x14ac:dyDescent="0.25">
      <c r="A2103" s="59">
        <f t="shared" si="278"/>
        <v>1900</v>
      </c>
      <c r="B2103" s="59">
        <f t="shared" si="279"/>
        <v>1</v>
      </c>
      <c r="C2103" s="97"/>
      <c r="D2103" s="61"/>
      <c r="F2103" s="23" t="e">
        <f>VLOOKUP(E2103,Customers[],2,FALSE)</f>
        <v>#N/A</v>
      </c>
      <c r="G2103" s="23" t="e">
        <f>VLOOKUP(E2103,Customers[],3,FALSE)</f>
        <v>#N/A</v>
      </c>
      <c r="H2103" s="23" t="e">
        <f>VLOOKUP(E2103,Customers[],4,FALSE)</f>
        <v>#N/A</v>
      </c>
      <c r="J2103" s="29" t="e">
        <f>VLOOKUP(I2103,PGStock[],2,FALSE)</f>
        <v>#N/A</v>
      </c>
      <c r="K2103" s="30" t="e">
        <f>VLOOKUP(I2103,PGStock[],3,FALSE)</f>
        <v>#N/A</v>
      </c>
      <c r="M2103" s="62" t="e">
        <f>VLOOKUP(I2103,PGStock[],6,FALSE)</f>
        <v>#N/A</v>
      </c>
      <c r="N2103" s="62" t="e">
        <f>+Table8[[#This Row],[SalesBot]]*Table8[[#This Row],[Bonus]]</f>
        <v>#N/A</v>
      </c>
    </row>
    <row r="2104" spans="1:14" ht="23.25" customHeight="1" x14ac:dyDescent="0.25">
      <c r="A2104" s="59">
        <f t="shared" si="278"/>
        <v>1900</v>
      </c>
      <c r="B2104" s="59">
        <f t="shared" si="279"/>
        <v>1</v>
      </c>
      <c r="C2104" s="97"/>
      <c r="D2104" s="61"/>
      <c r="F2104" s="23" t="e">
        <f>VLOOKUP(E2104,Customers[],2,FALSE)</f>
        <v>#N/A</v>
      </c>
      <c r="G2104" s="23" t="e">
        <f>VLOOKUP(E2104,Customers[],3,FALSE)</f>
        <v>#N/A</v>
      </c>
      <c r="H2104" s="23" t="e">
        <f>VLOOKUP(E2104,Customers[],4,FALSE)</f>
        <v>#N/A</v>
      </c>
      <c r="J2104" s="29" t="e">
        <f>VLOOKUP(I2104,PGStock[],2,FALSE)</f>
        <v>#N/A</v>
      </c>
      <c r="K2104" s="30" t="e">
        <f>VLOOKUP(I2104,PGStock[],3,FALSE)</f>
        <v>#N/A</v>
      </c>
      <c r="M2104" s="62" t="e">
        <f>VLOOKUP(I2104,PGStock[],6,FALSE)</f>
        <v>#N/A</v>
      </c>
      <c r="N2104" s="62" t="e">
        <f>+Table8[[#This Row],[SalesBot]]*Table8[[#This Row],[Bonus]]</f>
        <v>#N/A</v>
      </c>
    </row>
    <row r="2105" spans="1:14" ht="23.25" customHeight="1" x14ac:dyDescent="0.25">
      <c r="A2105" s="59">
        <f t="shared" si="278"/>
        <v>1900</v>
      </c>
      <c r="B2105" s="59">
        <f t="shared" si="279"/>
        <v>1</v>
      </c>
      <c r="C2105" s="97"/>
      <c r="D2105" s="61"/>
      <c r="F2105" s="23" t="e">
        <f>VLOOKUP(E2105,Customers[],2,FALSE)</f>
        <v>#N/A</v>
      </c>
      <c r="G2105" s="23" t="e">
        <f>VLOOKUP(E2105,Customers[],3,FALSE)</f>
        <v>#N/A</v>
      </c>
      <c r="H2105" s="23" t="e">
        <f>VLOOKUP(E2105,Customers[],4,FALSE)</f>
        <v>#N/A</v>
      </c>
      <c r="J2105" s="29" t="e">
        <f>VLOOKUP(I2105,PGStock[],2,FALSE)</f>
        <v>#N/A</v>
      </c>
      <c r="K2105" s="30" t="e">
        <f>VLOOKUP(I2105,PGStock[],3,FALSE)</f>
        <v>#N/A</v>
      </c>
      <c r="M2105" s="62" t="e">
        <f>VLOOKUP(I2105,PGStock[],6,FALSE)</f>
        <v>#N/A</v>
      </c>
      <c r="N2105" s="62" t="e">
        <f>+Table8[[#This Row],[SalesBot]]*Table8[[#This Row],[Bonus]]</f>
        <v>#N/A</v>
      </c>
    </row>
    <row r="2106" spans="1:14" ht="23.25" customHeight="1" x14ac:dyDescent="0.25">
      <c r="A2106" s="59">
        <f t="shared" si="278"/>
        <v>1900</v>
      </c>
      <c r="B2106" s="59">
        <f t="shared" si="279"/>
        <v>1</v>
      </c>
      <c r="C2106" s="97"/>
      <c r="D2106" s="61"/>
      <c r="F2106" s="23" t="e">
        <f>VLOOKUP(E2106,Customers[],2,FALSE)</f>
        <v>#N/A</v>
      </c>
      <c r="G2106" s="23" t="e">
        <f>VLOOKUP(E2106,Customers[],3,FALSE)</f>
        <v>#N/A</v>
      </c>
      <c r="H2106" s="23" t="e">
        <f>VLOOKUP(E2106,Customers[],4,FALSE)</f>
        <v>#N/A</v>
      </c>
      <c r="J2106" s="29" t="e">
        <f>VLOOKUP(I2106,PGStock[],2,FALSE)</f>
        <v>#N/A</v>
      </c>
      <c r="K2106" s="30" t="e">
        <f>VLOOKUP(I2106,PGStock[],3,FALSE)</f>
        <v>#N/A</v>
      </c>
      <c r="M2106" s="62" t="e">
        <f>VLOOKUP(I2106,PGStock[],6,FALSE)</f>
        <v>#N/A</v>
      </c>
      <c r="N2106" s="62" t="e">
        <f>+Table8[[#This Row],[SalesBot]]*Table8[[#This Row],[Bonus]]</f>
        <v>#N/A</v>
      </c>
    </row>
    <row r="2107" spans="1:14" ht="23.25" customHeight="1" x14ac:dyDescent="0.25">
      <c r="A2107" s="59">
        <f t="shared" si="278"/>
        <v>1900</v>
      </c>
      <c r="B2107" s="59">
        <f t="shared" si="279"/>
        <v>1</v>
      </c>
      <c r="C2107" s="97"/>
      <c r="D2107" s="61"/>
      <c r="F2107" s="23" t="e">
        <f>VLOOKUP(E2107,Customers[],2,FALSE)</f>
        <v>#N/A</v>
      </c>
      <c r="G2107" s="23" t="e">
        <f>VLOOKUP(E2107,Customers[],3,FALSE)</f>
        <v>#N/A</v>
      </c>
      <c r="H2107" s="23" t="e">
        <f>VLOOKUP(E2107,Customers[],4,FALSE)</f>
        <v>#N/A</v>
      </c>
      <c r="J2107" s="29" t="e">
        <f>VLOOKUP(I2107,PGStock[],2,FALSE)</f>
        <v>#N/A</v>
      </c>
      <c r="K2107" s="30" t="e">
        <f>VLOOKUP(I2107,PGStock[],3,FALSE)</f>
        <v>#N/A</v>
      </c>
      <c r="M2107" s="62" t="e">
        <f>VLOOKUP(I2107,PGStock[],6,FALSE)</f>
        <v>#N/A</v>
      </c>
      <c r="N2107" s="62" t="e">
        <f>+Table8[[#This Row],[SalesBot]]*Table8[[#This Row],[Bonus]]</f>
        <v>#N/A</v>
      </c>
    </row>
    <row r="2108" spans="1:14" ht="23.25" customHeight="1" x14ac:dyDescent="0.25">
      <c r="A2108" s="59">
        <f t="shared" si="278"/>
        <v>1900</v>
      </c>
      <c r="B2108" s="59">
        <f t="shared" si="279"/>
        <v>1</v>
      </c>
      <c r="C2108" s="97"/>
      <c r="D2108" s="61"/>
      <c r="F2108" s="23" t="e">
        <f>VLOOKUP(E2108,Customers[],2,FALSE)</f>
        <v>#N/A</v>
      </c>
      <c r="G2108" s="23" t="e">
        <f>VLOOKUP(E2108,Customers[],3,FALSE)</f>
        <v>#N/A</v>
      </c>
      <c r="H2108" s="23" t="e">
        <f>VLOOKUP(E2108,Customers[],4,FALSE)</f>
        <v>#N/A</v>
      </c>
      <c r="J2108" s="29" t="e">
        <f>VLOOKUP(I2108,PGStock[],2,FALSE)</f>
        <v>#N/A</v>
      </c>
      <c r="K2108" s="30" t="e">
        <f>VLOOKUP(I2108,PGStock[],3,FALSE)</f>
        <v>#N/A</v>
      </c>
      <c r="M2108" s="62" t="e">
        <f>VLOOKUP(I2108,PGStock[],6,FALSE)</f>
        <v>#N/A</v>
      </c>
      <c r="N2108" s="62" t="e">
        <f>+Table8[[#This Row],[SalesBot]]*Table8[[#This Row],[Bonus]]</f>
        <v>#N/A</v>
      </c>
    </row>
    <row r="2109" spans="1:14" ht="23.25" customHeight="1" x14ac:dyDescent="0.25">
      <c r="A2109" s="59">
        <f t="shared" ref="A2109:A2116" si="280">YEAR(C2109)</f>
        <v>1900</v>
      </c>
      <c r="B2109" s="59">
        <f t="shared" ref="B2109:B2116" si="281">MONTH(C2109)</f>
        <v>1</v>
      </c>
      <c r="C2109" s="97"/>
      <c r="D2109" s="61"/>
      <c r="F2109" s="23" t="e">
        <f>VLOOKUP(E2109,Customers[],2,FALSE)</f>
        <v>#N/A</v>
      </c>
      <c r="G2109" s="23" t="e">
        <f>VLOOKUP(E2109,Customers[],3,FALSE)</f>
        <v>#N/A</v>
      </c>
      <c r="H2109" s="23" t="e">
        <f>VLOOKUP(E2109,Customers[],4,FALSE)</f>
        <v>#N/A</v>
      </c>
      <c r="J2109" s="29" t="e">
        <f>VLOOKUP(I2109,PGStock[],2,FALSE)</f>
        <v>#N/A</v>
      </c>
      <c r="K2109" s="30" t="e">
        <f>VLOOKUP(I2109,PGStock[],3,FALSE)</f>
        <v>#N/A</v>
      </c>
      <c r="M2109" s="62" t="e">
        <f>VLOOKUP(I2109,PGStock[],6,FALSE)</f>
        <v>#N/A</v>
      </c>
      <c r="N2109" s="62" t="e">
        <f>+Table8[[#This Row],[SalesBot]]*Table8[[#This Row],[Bonus]]</f>
        <v>#N/A</v>
      </c>
    </row>
    <row r="2110" spans="1:14" ht="23.25" customHeight="1" x14ac:dyDescent="0.25">
      <c r="A2110" s="59">
        <f t="shared" si="280"/>
        <v>1900</v>
      </c>
      <c r="B2110" s="59">
        <f t="shared" si="281"/>
        <v>1</v>
      </c>
      <c r="C2110" s="97"/>
      <c r="D2110" s="61"/>
      <c r="F2110" s="23" t="e">
        <f>VLOOKUP(E2110,Customers[],2,FALSE)</f>
        <v>#N/A</v>
      </c>
      <c r="G2110" s="23" t="e">
        <f>VLOOKUP(E2110,Customers[],3,FALSE)</f>
        <v>#N/A</v>
      </c>
      <c r="H2110" s="23" t="e">
        <f>VLOOKUP(E2110,Customers[],4,FALSE)</f>
        <v>#N/A</v>
      </c>
      <c r="J2110" s="29" t="e">
        <f>VLOOKUP(I2110,PGStock[],2,FALSE)</f>
        <v>#N/A</v>
      </c>
      <c r="K2110" s="30" t="e">
        <f>VLOOKUP(I2110,PGStock[],3,FALSE)</f>
        <v>#N/A</v>
      </c>
      <c r="M2110" s="62" t="e">
        <f>VLOOKUP(I2110,PGStock[],6,FALSE)</f>
        <v>#N/A</v>
      </c>
      <c r="N2110" s="62" t="e">
        <f>+Table8[[#This Row],[SalesBot]]*Table8[[#This Row],[Bonus]]</f>
        <v>#N/A</v>
      </c>
    </row>
    <row r="2111" spans="1:14" ht="23.25" customHeight="1" x14ac:dyDescent="0.25">
      <c r="A2111" s="59">
        <f t="shared" si="280"/>
        <v>1900</v>
      </c>
      <c r="B2111" s="59">
        <f t="shared" si="281"/>
        <v>1</v>
      </c>
      <c r="C2111" s="97"/>
      <c r="D2111" s="61"/>
      <c r="F2111" s="23" t="e">
        <f>VLOOKUP(E2111,Customers[],2,FALSE)</f>
        <v>#N/A</v>
      </c>
      <c r="G2111" s="23" t="e">
        <f>VLOOKUP(E2111,Customers[],3,FALSE)</f>
        <v>#N/A</v>
      </c>
      <c r="H2111" s="23" t="e">
        <f>VLOOKUP(E2111,Customers[],4,FALSE)</f>
        <v>#N/A</v>
      </c>
      <c r="J2111" s="29" t="e">
        <f>VLOOKUP(I2111,PGStock[],2,FALSE)</f>
        <v>#N/A</v>
      </c>
      <c r="K2111" s="30" t="e">
        <f>VLOOKUP(I2111,PGStock[],3,FALSE)</f>
        <v>#N/A</v>
      </c>
      <c r="M2111" s="62" t="e">
        <f>VLOOKUP(I2111,PGStock[],6,FALSE)</f>
        <v>#N/A</v>
      </c>
      <c r="N2111" s="62" t="e">
        <f>+Table8[[#This Row],[SalesBot]]*Table8[[#This Row],[Bonus]]</f>
        <v>#N/A</v>
      </c>
    </row>
    <row r="2112" spans="1:14" ht="23.25" customHeight="1" x14ac:dyDescent="0.25">
      <c r="A2112" s="59">
        <f t="shared" si="280"/>
        <v>1900</v>
      </c>
      <c r="B2112" s="59">
        <f t="shared" si="281"/>
        <v>1</v>
      </c>
      <c r="C2112" s="97"/>
      <c r="D2112" s="61"/>
      <c r="F2112" s="23" t="e">
        <f>VLOOKUP(E2112,Customers[],2,FALSE)</f>
        <v>#N/A</v>
      </c>
      <c r="G2112" s="23" t="e">
        <f>VLOOKUP(E2112,Customers[],3,FALSE)</f>
        <v>#N/A</v>
      </c>
      <c r="H2112" s="23" t="e">
        <f>VLOOKUP(E2112,Customers[],4,FALSE)</f>
        <v>#N/A</v>
      </c>
      <c r="J2112" s="29" t="e">
        <f>VLOOKUP(I2112,PGStock[],2,FALSE)</f>
        <v>#N/A</v>
      </c>
      <c r="K2112" s="30" t="e">
        <f>VLOOKUP(I2112,PGStock[],3,FALSE)</f>
        <v>#N/A</v>
      </c>
      <c r="M2112" s="62" t="e">
        <f>VLOOKUP(I2112,PGStock[],6,FALSE)</f>
        <v>#N/A</v>
      </c>
      <c r="N2112" s="62" t="e">
        <f>+Table8[[#This Row],[SalesBot]]*Table8[[#This Row],[Bonus]]</f>
        <v>#N/A</v>
      </c>
    </row>
    <row r="2113" spans="1:14" ht="23.25" customHeight="1" x14ac:dyDescent="0.25">
      <c r="A2113" s="59">
        <f t="shared" si="280"/>
        <v>1900</v>
      </c>
      <c r="B2113" s="59">
        <f t="shared" si="281"/>
        <v>1</v>
      </c>
      <c r="C2113" s="97"/>
      <c r="D2113" s="61"/>
      <c r="F2113" s="23" t="e">
        <f>VLOOKUP(E2113,Customers[],2,FALSE)</f>
        <v>#N/A</v>
      </c>
      <c r="G2113" s="23" t="e">
        <f>VLOOKUP(E2113,Customers[],3,FALSE)</f>
        <v>#N/A</v>
      </c>
      <c r="H2113" s="23" t="e">
        <f>VLOOKUP(E2113,Customers[],4,FALSE)</f>
        <v>#N/A</v>
      </c>
      <c r="J2113" s="29" t="e">
        <f>VLOOKUP(I2113,PGStock[],2,FALSE)</f>
        <v>#N/A</v>
      </c>
      <c r="K2113" s="30" t="e">
        <f>VLOOKUP(I2113,PGStock[],3,FALSE)</f>
        <v>#N/A</v>
      </c>
      <c r="M2113" s="62" t="e">
        <f>VLOOKUP(I2113,PGStock[],6,FALSE)</f>
        <v>#N/A</v>
      </c>
      <c r="N2113" s="62" t="e">
        <f>+Table8[[#This Row],[SalesBot]]*Table8[[#This Row],[Bonus]]</f>
        <v>#N/A</v>
      </c>
    </row>
    <row r="2114" spans="1:14" ht="23.25" customHeight="1" x14ac:dyDescent="0.25">
      <c r="A2114" s="59">
        <f t="shared" si="280"/>
        <v>1900</v>
      </c>
      <c r="B2114" s="59">
        <f t="shared" si="281"/>
        <v>1</v>
      </c>
      <c r="C2114" s="97"/>
      <c r="D2114" s="61"/>
      <c r="F2114" s="23" t="e">
        <f>VLOOKUP(E2114,Customers[],2,FALSE)</f>
        <v>#N/A</v>
      </c>
      <c r="G2114" s="23" t="e">
        <f>VLOOKUP(E2114,Customers[],3,FALSE)</f>
        <v>#N/A</v>
      </c>
      <c r="H2114" s="23" t="e">
        <f>VLOOKUP(E2114,Customers[],4,FALSE)</f>
        <v>#N/A</v>
      </c>
      <c r="J2114" s="29" t="e">
        <f>VLOOKUP(I2114,PGStock[],2,FALSE)</f>
        <v>#N/A</v>
      </c>
      <c r="K2114" s="30" t="e">
        <f>VLOOKUP(I2114,PGStock[],3,FALSE)</f>
        <v>#N/A</v>
      </c>
      <c r="M2114" s="62" t="e">
        <f>VLOOKUP(I2114,PGStock[],6,FALSE)</f>
        <v>#N/A</v>
      </c>
      <c r="N2114" s="62" t="e">
        <f>+Table8[[#This Row],[SalesBot]]*Table8[[#This Row],[Bonus]]</f>
        <v>#N/A</v>
      </c>
    </row>
    <row r="2115" spans="1:14" ht="23.25" customHeight="1" x14ac:dyDescent="0.25">
      <c r="A2115" s="59">
        <f t="shared" si="280"/>
        <v>1900</v>
      </c>
      <c r="B2115" s="59">
        <f t="shared" si="281"/>
        <v>1</v>
      </c>
      <c r="C2115" s="97"/>
      <c r="D2115" s="61"/>
      <c r="F2115" s="23" t="e">
        <f>VLOOKUP(E2115,Customers[],2,FALSE)</f>
        <v>#N/A</v>
      </c>
      <c r="G2115" s="23" t="e">
        <f>VLOOKUP(E2115,Customers[],3,FALSE)</f>
        <v>#N/A</v>
      </c>
      <c r="H2115" s="23" t="e">
        <f>VLOOKUP(E2115,Customers[],4,FALSE)</f>
        <v>#N/A</v>
      </c>
      <c r="J2115" s="29" t="e">
        <f>VLOOKUP(I2115,PGStock[],2,FALSE)</f>
        <v>#N/A</v>
      </c>
      <c r="K2115" s="30" t="e">
        <f>VLOOKUP(I2115,PGStock[],3,FALSE)</f>
        <v>#N/A</v>
      </c>
      <c r="M2115" s="62" t="e">
        <f>VLOOKUP(I2115,PGStock[],6,FALSE)</f>
        <v>#N/A</v>
      </c>
      <c r="N2115" s="62" t="e">
        <f>+Table8[[#This Row],[SalesBot]]*Table8[[#This Row],[Bonus]]</f>
        <v>#N/A</v>
      </c>
    </row>
    <row r="2116" spans="1:14" ht="23.25" customHeight="1" x14ac:dyDescent="0.25">
      <c r="A2116" s="59">
        <f t="shared" si="280"/>
        <v>1900</v>
      </c>
      <c r="B2116" s="59">
        <f t="shared" si="281"/>
        <v>1</v>
      </c>
      <c r="C2116" s="97"/>
      <c r="D2116" s="61"/>
      <c r="F2116" s="23" t="e">
        <f>VLOOKUP(E2116,Customers[],2,FALSE)</f>
        <v>#N/A</v>
      </c>
      <c r="G2116" s="23" t="e">
        <f>VLOOKUP(E2116,Customers[],3,FALSE)</f>
        <v>#N/A</v>
      </c>
      <c r="H2116" s="23" t="e">
        <f>VLOOKUP(E2116,Customers[],4,FALSE)</f>
        <v>#N/A</v>
      </c>
      <c r="J2116" s="29" t="e">
        <f>VLOOKUP(I2116,PGStock[],2,FALSE)</f>
        <v>#N/A</v>
      </c>
      <c r="K2116" s="30" t="e">
        <f>VLOOKUP(I2116,PGStock[],3,FALSE)</f>
        <v>#N/A</v>
      </c>
      <c r="M2116" s="62" t="e">
        <f>VLOOKUP(I2116,PGStock[],6,FALSE)</f>
        <v>#N/A</v>
      </c>
      <c r="N2116" s="62" t="e">
        <f>+Table8[[#This Row],[SalesBot]]*Table8[[#This Row],[Bonus]]</f>
        <v>#N/A</v>
      </c>
    </row>
    <row r="2117" spans="1:14" ht="23.25" customHeight="1" x14ac:dyDescent="0.25">
      <c r="A2117" s="59">
        <f t="shared" ref="A2117:A2124" si="282">YEAR(C2117)</f>
        <v>1900</v>
      </c>
      <c r="B2117" s="59">
        <f t="shared" ref="B2117:B2124" si="283">MONTH(C2117)</f>
        <v>1</v>
      </c>
      <c r="C2117" s="97"/>
      <c r="D2117" s="61"/>
      <c r="F2117" s="23" t="e">
        <f>VLOOKUP(E2117,Customers[],2,FALSE)</f>
        <v>#N/A</v>
      </c>
      <c r="G2117" s="23" t="e">
        <f>VLOOKUP(E2117,Customers[],3,FALSE)</f>
        <v>#N/A</v>
      </c>
      <c r="H2117" s="23" t="e">
        <f>VLOOKUP(E2117,Customers[],4,FALSE)</f>
        <v>#N/A</v>
      </c>
      <c r="J2117" s="29" t="e">
        <f>VLOOKUP(I2117,PGStock[],2,FALSE)</f>
        <v>#N/A</v>
      </c>
      <c r="K2117" s="30" t="e">
        <f>VLOOKUP(I2117,PGStock[],3,FALSE)</f>
        <v>#N/A</v>
      </c>
      <c r="M2117" s="62" t="e">
        <f>VLOOKUP(I2117,PGStock[],6,FALSE)</f>
        <v>#N/A</v>
      </c>
      <c r="N2117" s="62" t="e">
        <f>+Table8[[#This Row],[SalesBot]]*Table8[[#This Row],[Bonus]]</f>
        <v>#N/A</v>
      </c>
    </row>
    <row r="2118" spans="1:14" ht="23.25" customHeight="1" x14ac:dyDescent="0.25">
      <c r="A2118" s="59">
        <f t="shared" si="282"/>
        <v>1900</v>
      </c>
      <c r="B2118" s="59">
        <f t="shared" si="283"/>
        <v>1</v>
      </c>
      <c r="C2118" s="97"/>
      <c r="D2118" s="61"/>
      <c r="F2118" s="23" t="e">
        <f>VLOOKUP(E2118,Customers[],2,FALSE)</f>
        <v>#N/A</v>
      </c>
      <c r="G2118" s="23" t="e">
        <f>VLOOKUP(E2118,Customers[],3,FALSE)</f>
        <v>#N/A</v>
      </c>
      <c r="H2118" s="23" t="e">
        <f>VLOOKUP(E2118,Customers[],4,FALSE)</f>
        <v>#N/A</v>
      </c>
      <c r="J2118" s="29" t="e">
        <f>VLOOKUP(I2118,PGStock[],2,FALSE)</f>
        <v>#N/A</v>
      </c>
      <c r="K2118" s="30" t="e">
        <f>VLOOKUP(I2118,PGStock[],3,FALSE)</f>
        <v>#N/A</v>
      </c>
      <c r="M2118" s="62" t="e">
        <f>VLOOKUP(I2118,PGStock[],6,FALSE)</f>
        <v>#N/A</v>
      </c>
      <c r="N2118" s="62" t="e">
        <f>+Table8[[#This Row],[SalesBot]]*Table8[[#This Row],[Bonus]]</f>
        <v>#N/A</v>
      </c>
    </row>
    <row r="2119" spans="1:14" ht="23.25" customHeight="1" x14ac:dyDescent="0.25">
      <c r="A2119" s="59">
        <f t="shared" si="282"/>
        <v>1900</v>
      </c>
      <c r="B2119" s="59">
        <f t="shared" si="283"/>
        <v>1</v>
      </c>
      <c r="C2119" s="97"/>
      <c r="D2119" s="61"/>
      <c r="F2119" s="23" t="e">
        <f>VLOOKUP(E2119,Customers[],2,FALSE)</f>
        <v>#N/A</v>
      </c>
      <c r="G2119" s="23" t="e">
        <f>VLOOKUP(E2119,Customers[],3,FALSE)</f>
        <v>#N/A</v>
      </c>
      <c r="H2119" s="23" t="e">
        <f>VLOOKUP(E2119,Customers[],4,FALSE)</f>
        <v>#N/A</v>
      </c>
      <c r="J2119" s="29" t="e">
        <f>VLOOKUP(I2119,PGStock[],2,FALSE)</f>
        <v>#N/A</v>
      </c>
      <c r="K2119" s="30" t="e">
        <f>VLOOKUP(I2119,PGStock[],3,FALSE)</f>
        <v>#N/A</v>
      </c>
      <c r="M2119" s="62" t="e">
        <f>VLOOKUP(I2119,PGStock[],6,FALSE)</f>
        <v>#N/A</v>
      </c>
      <c r="N2119" s="62" t="e">
        <f>+Table8[[#This Row],[SalesBot]]*Table8[[#This Row],[Bonus]]</f>
        <v>#N/A</v>
      </c>
    </row>
    <row r="2120" spans="1:14" ht="23.25" customHeight="1" x14ac:dyDescent="0.25">
      <c r="A2120" s="59">
        <f t="shared" si="282"/>
        <v>1900</v>
      </c>
      <c r="B2120" s="59">
        <f t="shared" si="283"/>
        <v>1</v>
      </c>
      <c r="C2120" s="97"/>
      <c r="D2120" s="61"/>
      <c r="F2120" s="23" t="e">
        <f>VLOOKUP(E2120,Customers[],2,FALSE)</f>
        <v>#N/A</v>
      </c>
      <c r="G2120" s="23" t="e">
        <f>VLOOKUP(E2120,Customers[],3,FALSE)</f>
        <v>#N/A</v>
      </c>
      <c r="H2120" s="23" t="e">
        <f>VLOOKUP(E2120,Customers[],4,FALSE)</f>
        <v>#N/A</v>
      </c>
      <c r="J2120" s="29" t="e">
        <f>VLOOKUP(I2120,PGStock[],2,FALSE)</f>
        <v>#N/A</v>
      </c>
      <c r="K2120" s="30" t="e">
        <f>VLOOKUP(I2120,PGStock[],3,FALSE)</f>
        <v>#N/A</v>
      </c>
      <c r="M2120" s="62" t="e">
        <f>VLOOKUP(I2120,PGStock[],6,FALSE)</f>
        <v>#N/A</v>
      </c>
      <c r="N2120" s="62" t="e">
        <f>+Table8[[#This Row],[SalesBot]]*Table8[[#This Row],[Bonus]]</f>
        <v>#N/A</v>
      </c>
    </row>
    <row r="2121" spans="1:14" ht="23.25" customHeight="1" x14ac:dyDescent="0.25">
      <c r="A2121" s="59">
        <f t="shared" si="282"/>
        <v>1900</v>
      </c>
      <c r="B2121" s="59">
        <f t="shared" si="283"/>
        <v>1</v>
      </c>
      <c r="C2121" s="97"/>
      <c r="D2121" s="61"/>
      <c r="F2121" s="23" t="e">
        <f>VLOOKUP(E2121,Customers[],2,FALSE)</f>
        <v>#N/A</v>
      </c>
      <c r="G2121" s="23" t="e">
        <f>VLOOKUP(E2121,Customers[],3,FALSE)</f>
        <v>#N/A</v>
      </c>
      <c r="H2121" s="23" t="e">
        <f>VLOOKUP(E2121,Customers[],4,FALSE)</f>
        <v>#N/A</v>
      </c>
      <c r="J2121" s="29" t="e">
        <f>VLOOKUP(I2121,PGStock[],2,FALSE)</f>
        <v>#N/A</v>
      </c>
      <c r="K2121" s="30" t="e">
        <f>VLOOKUP(I2121,PGStock[],3,FALSE)</f>
        <v>#N/A</v>
      </c>
      <c r="M2121" s="62" t="e">
        <f>VLOOKUP(I2121,PGStock[],6,FALSE)</f>
        <v>#N/A</v>
      </c>
      <c r="N2121" s="62" t="e">
        <f>+Table8[[#This Row],[SalesBot]]*Table8[[#This Row],[Bonus]]</f>
        <v>#N/A</v>
      </c>
    </row>
    <row r="2122" spans="1:14" ht="23.25" customHeight="1" x14ac:dyDescent="0.25">
      <c r="A2122" s="59">
        <f t="shared" si="282"/>
        <v>1900</v>
      </c>
      <c r="B2122" s="59">
        <f t="shared" si="283"/>
        <v>1</v>
      </c>
      <c r="C2122" s="97"/>
      <c r="D2122" s="61"/>
      <c r="F2122" s="23" t="e">
        <f>VLOOKUP(E2122,Customers[],2,FALSE)</f>
        <v>#N/A</v>
      </c>
      <c r="G2122" s="23" t="e">
        <f>VLOOKUP(E2122,Customers[],3,FALSE)</f>
        <v>#N/A</v>
      </c>
      <c r="H2122" s="23" t="e">
        <f>VLOOKUP(E2122,Customers[],4,FALSE)</f>
        <v>#N/A</v>
      </c>
      <c r="J2122" s="29" t="e">
        <f>VLOOKUP(I2122,PGStock[],2,FALSE)</f>
        <v>#N/A</v>
      </c>
      <c r="K2122" s="30" t="e">
        <f>VLOOKUP(I2122,PGStock[],3,FALSE)</f>
        <v>#N/A</v>
      </c>
      <c r="M2122" s="62" t="e">
        <f>VLOOKUP(I2122,PGStock[],6,FALSE)</f>
        <v>#N/A</v>
      </c>
      <c r="N2122" s="62" t="e">
        <f>+Table8[[#This Row],[SalesBot]]*Table8[[#This Row],[Bonus]]</f>
        <v>#N/A</v>
      </c>
    </row>
    <row r="2123" spans="1:14" ht="23.25" customHeight="1" x14ac:dyDescent="0.25">
      <c r="A2123" s="59">
        <f t="shared" si="282"/>
        <v>1900</v>
      </c>
      <c r="B2123" s="59">
        <f t="shared" si="283"/>
        <v>1</v>
      </c>
      <c r="C2123" s="97"/>
      <c r="D2123" s="61"/>
      <c r="F2123" s="23" t="e">
        <f>VLOOKUP(E2123,Customers[],2,FALSE)</f>
        <v>#N/A</v>
      </c>
      <c r="G2123" s="23" t="e">
        <f>VLOOKUP(E2123,Customers[],3,FALSE)</f>
        <v>#N/A</v>
      </c>
      <c r="H2123" s="23" t="e">
        <f>VLOOKUP(E2123,Customers[],4,FALSE)</f>
        <v>#N/A</v>
      </c>
      <c r="J2123" s="29" t="e">
        <f>VLOOKUP(I2123,PGStock[],2,FALSE)</f>
        <v>#N/A</v>
      </c>
      <c r="K2123" s="30" t="e">
        <f>VLOOKUP(I2123,PGStock[],3,FALSE)</f>
        <v>#N/A</v>
      </c>
      <c r="M2123" s="62" t="e">
        <f>VLOOKUP(I2123,PGStock[],6,FALSE)</f>
        <v>#N/A</v>
      </c>
      <c r="N2123" s="62" t="e">
        <f>+Table8[[#This Row],[SalesBot]]*Table8[[#This Row],[Bonus]]</f>
        <v>#N/A</v>
      </c>
    </row>
    <row r="2124" spans="1:14" ht="23.25" customHeight="1" x14ac:dyDescent="0.25">
      <c r="A2124" s="59">
        <f t="shared" si="282"/>
        <v>1900</v>
      </c>
      <c r="B2124" s="59">
        <f t="shared" si="283"/>
        <v>1</v>
      </c>
      <c r="C2124" s="97"/>
      <c r="D2124" s="61"/>
      <c r="F2124" s="23" t="e">
        <f>VLOOKUP(E2124,Customers[],2,FALSE)</f>
        <v>#N/A</v>
      </c>
      <c r="G2124" s="23" t="e">
        <f>VLOOKUP(E2124,Customers[],3,FALSE)</f>
        <v>#N/A</v>
      </c>
      <c r="H2124" s="23" t="e">
        <f>VLOOKUP(E2124,Customers[],4,FALSE)</f>
        <v>#N/A</v>
      </c>
      <c r="J2124" s="29" t="e">
        <f>VLOOKUP(I2124,PGStock[],2,FALSE)</f>
        <v>#N/A</v>
      </c>
      <c r="K2124" s="30" t="e">
        <f>VLOOKUP(I2124,PGStock[],3,FALSE)</f>
        <v>#N/A</v>
      </c>
      <c r="M2124" s="62" t="e">
        <f>VLOOKUP(I2124,PGStock[],6,FALSE)</f>
        <v>#N/A</v>
      </c>
      <c r="N2124" s="62" t="e">
        <f>+Table8[[#This Row],[SalesBot]]*Table8[[#This Row],[Bonus]]</f>
        <v>#N/A</v>
      </c>
    </row>
    <row r="2125" spans="1:14" ht="23.25" customHeight="1" x14ac:dyDescent="0.25">
      <c r="A2125" s="59">
        <f t="shared" ref="A2125:A2132" si="284">YEAR(C2125)</f>
        <v>1900</v>
      </c>
      <c r="B2125" s="59">
        <f t="shared" ref="B2125:B2132" si="285">MONTH(C2125)</f>
        <v>1</v>
      </c>
      <c r="C2125" s="97"/>
      <c r="D2125" s="61"/>
      <c r="F2125" s="23" t="e">
        <f>VLOOKUP(E2125,Customers[],2,FALSE)</f>
        <v>#N/A</v>
      </c>
      <c r="G2125" s="23" t="e">
        <f>VLOOKUP(E2125,Customers[],3,FALSE)</f>
        <v>#N/A</v>
      </c>
      <c r="H2125" s="23" t="e">
        <f>VLOOKUP(E2125,Customers[],4,FALSE)</f>
        <v>#N/A</v>
      </c>
      <c r="J2125" s="29" t="e">
        <f>VLOOKUP(I2125,PGStock[],2,FALSE)</f>
        <v>#N/A</v>
      </c>
      <c r="K2125" s="30" t="e">
        <f>VLOOKUP(I2125,PGStock[],3,FALSE)</f>
        <v>#N/A</v>
      </c>
      <c r="M2125" s="62" t="e">
        <f>VLOOKUP(I2125,PGStock[],6,FALSE)</f>
        <v>#N/A</v>
      </c>
      <c r="N2125" s="62" t="e">
        <f>+Table8[[#This Row],[SalesBot]]*Table8[[#This Row],[Bonus]]</f>
        <v>#N/A</v>
      </c>
    </row>
    <row r="2126" spans="1:14" ht="23.25" customHeight="1" x14ac:dyDescent="0.25">
      <c r="A2126" s="59">
        <f t="shared" si="284"/>
        <v>1900</v>
      </c>
      <c r="B2126" s="59">
        <f t="shared" si="285"/>
        <v>1</v>
      </c>
      <c r="C2126" s="97"/>
      <c r="D2126" s="61"/>
      <c r="F2126" s="23" t="e">
        <f>VLOOKUP(E2126,Customers[],2,FALSE)</f>
        <v>#N/A</v>
      </c>
      <c r="G2126" s="23" t="e">
        <f>VLOOKUP(E2126,Customers[],3,FALSE)</f>
        <v>#N/A</v>
      </c>
      <c r="H2126" s="23" t="e">
        <f>VLOOKUP(E2126,Customers[],4,FALSE)</f>
        <v>#N/A</v>
      </c>
      <c r="J2126" s="29" t="e">
        <f>VLOOKUP(I2126,PGStock[],2,FALSE)</f>
        <v>#N/A</v>
      </c>
      <c r="K2126" s="30" t="e">
        <f>VLOOKUP(I2126,PGStock[],3,FALSE)</f>
        <v>#N/A</v>
      </c>
      <c r="M2126" s="62" t="e">
        <f>VLOOKUP(I2126,PGStock[],6,FALSE)</f>
        <v>#N/A</v>
      </c>
      <c r="N2126" s="62" t="e">
        <f>+Table8[[#This Row],[SalesBot]]*Table8[[#This Row],[Bonus]]</f>
        <v>#N/A</v>
      </c>
    </row>
    <row r="2127" spans="1:14" ht="23.25" customHeight="1" x14ac:dyDescent="0.25">
      <c r="A2127" s="59">
        <f t="shared" si="284"/>
        <v>1900</v>
      </c>
      <c r="B2127" s="59">
        <f t="shared" si="285"/>
        <v>1</v>
      </c>
      <c r="C2127" s="97"/>
      <c r="D2127" s="61"/>
      <c r="F2127" s="23" t="e">
        <f>VLOOKUP(E2127,Customers[],2,FALSE)</f>
        <v>#N/A</v>
      </c>
      <c r="G2127" s="23" t="e">
        <f>VLOOKUP(E2127,Customers[],3,FALSE)</f>
        <v>#N/A</v>
      </c>
      <c r="H2127" s="23" t="e">
        <f>VLOOKUP(E2127,Customers[],4,FALSE)</f>
        <v>#N/A</v>
      </c>
      <c r="J2127" s="29" t="e">
        <f>VLOOKUP(I2127,PGStock[],2,FALSE)</f>
        <v>#N/A</v>
      </c>
      <c r="K2127" s="30" t="e">
        <f>VLOOKUP(I2127,PGStock[],3,FALSE)</f>
        <v>#N/A</v>
      </c>
      <c r="M2127" s="62" t="e">
        <f>VLOOKUP(I2127,PGStock[],6,FALSE)</f>
        <v>#N/A</v>
      </c>
      <c r="N2127" s="62" t="e">
        <f>+Table8[[#This Row],[SalesBot]]*Table8[[#This Row],[Bonus]]</f>
        <v>#N/A</v>
      </c>
    </row>
    <row r="2128" spans="1:14" ht="23.25" customHeight="1" x14ac:dyDescent="0.25">
      <c r="A2128" s="59">
        <f t="shared" si="284"/>
        <v>1900</v>
      </c>
      <c r="B2128" s="59">
        <f t="shared" si="285"/>
        <v>1</v>
      </c>
      <c r="C2128" s="97"/>
      <c r="D2128" s="61"/>
      <c r="F2128" s="23" t="e">
        <f>VLOOKUP(E2128,Customers[],2,FALSE)</f>
        <v>#N/A</v>
      </c>
      <c r="G2128" s="23" t="e">
        <f>VLOOKUP(E2128,Customers[],3,FALSE)</f>
        <v>#N/A</v>
      </c>
      <c r="H2128" s="23" t="e">
        <f>VLOOKUP(E2128,Customers[],4,FALSE)</f>
        <v>#N/A</v>
      </c>
      <c r="J2128" s="29" t="e">
        <f>VLOOKUP(I2128,PGStock[],2,FALSE)</f>
        <v>#N/A</v>
      </c>
      <c r="K2128" s="30" t="e">
        <f>VLOOKUP(I2128,PGStock[],3,FALSE)</f>
        <v>#N/A</v>
      </c>
      <c r="M2128" s="62" t="e">
        <f>VLOOKUP(I2128,PGStock[],6,FALSE)</f>
        <v>#N/A</v>
      </c>
      <c r="N2128" s="62" t="e">
        <f>+Table8[[#This Row],[SalesBot]]*Table8[[#This Row],[Bonus]]</f>
        <v>#N/A</v>
      </c>
    </row>
    <row r="2129" spans="1:14" ht="23.25" customHeight="1" x14ac:dyDescent="0.25">
      <c r="A2129" s="59">
        <f t="shared" si="284"/>
        <v>1900</v>
      </c>
      <c r="B2129" s="59">
        <f t="shared" si="285"/>
        <v>1</v>
      </c>
      <c r="C2129" s="97"/>
      <c r="D2129" s="61"/>
      <c r="F2129" s="23" t="e">
        <f>VLOOKUP(E2129,Customers[],2,FALSE)</f>
        <v>#N/A</v>
      </c>
      <c r="G2129" s="23" t="e">
        <f>VLOOKUP(E2129,Customers[],3,FALSE)</f>
        <v>#N/A</v>
      </c>
      <c r="H2129" s="23" t="e">
        <f>VLOOKUP(E2129,Customers[],4,FALSE)</f>
        <v>#N/A</v>
      </c>
      <c r="J2129" s="29" t="e">
        <f>VLOOKUP(I2129,PGStock[],2,FALSE)</f>
        <v>#N/A</v>
      </c>
      <c r="K2129" s="30" t="e">
        <f>VLOOKUP(I2129,PGStock[],3,FALSE)</f>
        <v>#N/A</v>
      </c>
      <c r="M2129" s="62" t="e">
        <f>VLOOKUP(I2129,PGStock[],6,FALSE)</f>
        <v>#N/A</v>
      </c>
      <c r="N2129" s="62" t="e">
        <f>+Table8[[#This Row],[SalesBot]]*Table8[[#This Row],[Bonus]]</f>
        <v>#N/A</v>
      </c>
    </row>
    <row r="2130" spans="1:14" ht="23.25" customHeight="1" x14ac:dyDescent="0.25">
      <c r="A2130" s="59">
        <f t="shared" si="284"/>
        <v>1900</v>
      </c>
      <c r="B2130" s="59">
        <f t="shared" si="285"/>
        <v>1</v>
      </c>
      <c r="C2130" s="97"/>
      <c r="D2130" s="61"/>
      <c r="F2130" s="23" t="e">
        <f>VLOOKUP(E2130,Customers[],2,FALSE)</f>
        <v>#N/A</v>
      </c>
      <c r="G2130" s="23" t="e">
        <f>VLOOKUP(E2130,Customers[],3,FALSE)</f>
        <v>#N/A</v>
      </c>
      <c r="H2130" s="23" t="e">
        <f>VLOOKUP(E2130,Customers[],4,FALSE)</f>
        <v>#N/A</v>
      </c>
      <c r="J2130" s="29" t="e">
        <f>VLOOKUP(I2130,PGStock[],2,FALSE)</f>
        <v>#N/A</v>
      </c>
      <c r="K2130" s="30" t="e">
        <f>VLOOKUP(I2130,PGStock[],3,FALSE)</f>
        <v>#N/A</v>
      </c>
      <c r="M2130" s="62" t="e">
        <f>VLOOKUP(I2130,PGStock[],6,FALSE)</f>
        <v>#N/A</v>
      </c>
      <c r="N2130" s="62" t="e">
        <f>+Table8[[#This Row],[SalesBot]]*Table8[[#This Row],[Bonus]]</f>
        <v>#N/A</v>
      </c>
    </row>
    <row r="2131" spans="1:14" ht="23.25" customHeight="1" x14ac:dyDescent="0.25">
      <c r="A2131" s="59">
        <f t="shared" si="284"/>
        <v>1900</v>
      </c>
      <c r="B2131" s="59">
        <f t="shared" si="285"/>
        <v>1</v>
      </c>
      <c r="C2131" s="97"/>
      <c r="D2131" s="61"/>
      <c r="F2131" s="23" t="e">
        <f>VLOOKUP(E2131,Customers[],2,FALSE)</f>
        <v>#N/A</v>
      </c>
      <c r="G2131" s="23" t="e">
        <f>VLOOKUP(E2131,Customers[],3,FALSE)</f>
        <v>#N/A</v>
      </c>
      <c r="H2131" s="23" t="e">
        <f>VLOOKUP(E2131,Customers[],4,FALSE)</f>
        <v>#N/A</v>
      </c>
      <c r="J2131" s="29" t="e">
        <f>VLOOKUP(I2131,PGStock[],2,FALSE)</f>
        <v>#N/A</v>
      </c>
      <c r="K2131" s="30" t="e">
        <f>VLOOKUP(I2131,PGStock[],3,FALSE)</f>
        <v>#N/A</v>
      </c>
      <c r="M2131" s="62" t="e">
        <f>VLOOKUP(I2131,PGStock[],6,FALSE)</f>
        <v>#N/A</v>
      </c>
      <c r="N2131" s="62" t="e">
        <f>+Table8[[#This Row],[SalesBot]]*Table8[[#This Row],[Bonus]]</f>
        <v>#N/A</v>
      </c>
    </row>
    <row r="2132" spans="1:14" ht="23.25" customHeight="1" x14ac:dyDescent="0.25">
      <c r="A2132" s="59">
        <f t="shared" si="284"/>
        <v>1900</v>
      </c>
      <c r="B2132" s="59">
        <f t="shared" si="285"/>
        <v>1</v>
      </c>
      <c r="C2132" s="97"/>
      <c r="D2132" s="61"/>
      <c r="F2132" s="23" t="e">
        <f>VLOOKUP(E2132,Customers[],2,FALSE)</f>
        <v>#N/A</v>
      </c>
      <c r="G2132" s="23" t="e">
        <f>VLOOKUP(E2132,Customers[],3,FALSE)</f>
        <v>#N/A</v>
      </c>
      <c r="H2132" s="23" t="e">
        <f>VLOOKUP(E2132,Customers[],4,FALSE)</f>
        <v>#N/A</v>
      </c>
      <c r="J2132" s="29" t="e">
        <f>VLOOKUP(I2132,PGStock[],2,FALSE)</f>
        <v>#N/A</v>
      </c>
      <c r="K2132" s="30" t="e">
        <f>VLOOKUP(I2132,PGStock[],3,FALSE)</f>
        <v>#N/A</v>
      </c>
      <c r="M2132" s="62" t="e">
        <f>VLOOKUP(I2132,PGStock[],6,FALSE)</f>
        <v>#N/A</v>
      </c>
      <c r="N2132" s="62" t="e">
        <f>+Table8[[#This Row],[SalesBot]]*Table8[[#This Row],[Bonus]]</f>
        <v>#N/A</v>
      </c>
    </row>
    <row r="2133" spans="1:14" ht="23.25" customHeight="1" x14ac:dyDescent="0.25">
      <c r="A2133" s="59">
        <f t="shared" ref="A2133:A2140" si="286">YEAR(C2133)</f>
        <v>1900</v>
      </c>
      <c r="B2133" s="59">
        <f t="shared" ref="B2133:B2140" si="287">MONTH(C2133)</f>
        <v>1</v>
      </c>
      <c r="C2133" s="97"/>
      <c r="D2133" s="61"/>
      <c r="F2133" s="23" t="e">
        <f>VLOOKUP(E2133,Customers[],2,FALSE)</f>
        <v>#N/A</v>
      </c>
      <c r="G2133" s="23" t="e">
        <f>VLOOKUP(E2133,Customers[],3,FALSE)</f>
        <v>#N/A</v>
      </c>
      <c r="H2133" s="23" t="e">
        <f>VLOOKUP(E2133,Customers[],4,FALSE)</f>
        <v>#N/A</v>
      </c>
      <c r="J2133" s="29" t="e">
        <f>VLOOKUP(I2133,PGStock[],2,FALSE)</f>
        <v>#N/A</v>
      </c>
      <c r="K2133" s="30" t="e">
        <f>VLOOKUP(I2133,PGStock[],3,FALSE)</f>
        <v>#N/A</v>
      </c>
      <c r="M2133" s="62" t="e">
        <f>VLOOKUP(I2133,PGStock[],6,FALSE)</f>
        <v>#N/A</v>
      </c>
      <c r="N2133" s="62" t="e">
        <f>+Table8[[#This Row],[SalesBot]]*Table8[[#This Row],[Bonus]]</f>
        <v>#N/A</v>
      </c>
    </row>
    <row r="2134" spans="1:14" ht="23.25" customHeight="1" x14ac:dyDescent="0.25">
      <c r="A2134" s="59">
        <f t="shared" si="286"/>
        <v>1900</v>
      </c>
      <c r="B2134" s="59">
        <f t="shared" si="287"/>
        <v>1</v>
      </c>
      <c r="C2134" s="97"/>
      <c r="D2134" s="61"/>
      <c r="F2134" s="23" t="e">
        <f>VLOOKUP(E2134,Customers[],2,FALSE)</f>
        <v>#N/A</v>
      </c>
      <c r="G2134" s="23" t="e">
        <f>VLOOKUP(E2134,Customers[],3,FALSE)</f>
        <v>#N/A</v>
      </c>
      <c r="H2134" s="23" t="e">
        <f>VLOOKUP(E2134,Customers[],4,FALSE)</f>
        <v>#N/A</v>
      </c>
      <c r="J2134" s="29" t="e">
        <f>VLOOKUP(I2134,PGStock[],2,FALSE)</f>
        <v>#N/A</v>
      </c>
      <c r="K2134" s="30" t="e">
        <f>VLOOKUP(I2134,PGStock[],3,FALSE)</f>
        <v>#N/A</v>
      </c>
      <c r="M2134" s="62" t="e">
        <f>VLOOKUP(I2134,PGStock[],6,FALSE)</f>
        <v>#N/A</v>
      </c>
      <c r="N2134" s="62" t="e">
        <f>+Table8[[#This Row],[SalesBot]]*Table8[[#This Row],[Bonus]]</f>
        <v>#N/A</v>
      </c>
    </row>
    <row r="2135" spans="1:14" ht="23.25" customHeight="1" x14ac:dyDescent="0.25">
      <c r="A2135" s="59">
        <f t="shared" si="286"/>
        <v>1900</v>
      </c>
      <c r="B2135" s="59">
        <f t="shared" si="287"/>
        <v>1</v>
      </c>
      <c r="C2135" s="97"/>
      <c r="D2135" s="61"/>
      <c r="F2135" s="23" t="e">
        <f>VLOOKUP(E2135,Customers[],2,FALSE)</f>
        <v>#N/A</v>
      </c>
      <c r="G2135" s="23" t="e">
        <f>VLOOKUP(E2135,Customers[],3,FALSE)</f>
        <v>#N/A</v>
      </c>
      <c r="H2135" s="23" t="e">
        <f>VLOOKUP(E2135,Customers[],4,FALSE)</f>
        <v>#N/A</v>
      </c>
      <c r="J2135" s="29" t="e">
        <f>VLOOKUP(I2135,PGStock[],2,FALSE)</f>
        <v>#N/A</v>
      </c>
      <c r="K2135" s="30" t="e">
        <f>VLOOKUP(I2135,PGStock[],3,FALSE)</f>
        <v>#N/A</v>
      </c>
      <c r="M2135" s="62" t="e">
        <f>VLOOKUP(I2135,PGStock[],6,FALSE)</f>
        <v>#N/A</v>
      </c>
      <c r="N2135" s="62" t="e">
        <f>+Table8[[#This Row],[SalesBot]]*Table8[[#This Row],[Bonus]]</f>
        <v>#N/A</v>
      </c>
    </row>
    <row r="2136" spans="1:14" ht="23.25" customHeight="1" x14ac:dyDescent="0.25">
      <c r="A2136" s="59">
        <f t="shared" si="286"/>
        <v>1900</v>
      </c>
      <c r="B2136" s="59">
        <f t="shared" si="287"/>
        <v>1</v>
      </c>
      <c r="C2136" s="97"/>
      <c r="D2136" s="61"/>
      <c r="F2136" s="23" t="e">
        <f>VLOOKUP(E2136,Customers[],2,FALSE)</f>
        <v>#N/A</v>
      </c>
      <c r="G2136" s="23" t="e">
        <f>VLOOKUP(E2136,Customers[],3,FALSE)</f>
        <v>#N/A</v>
      </c>
      <c r="H2136" s="23" t="e">
        <f>VLOOKUP(E2136,Customers[],4,FALSE)</f>
        <v>#N/A</v>
      </c>
      <c r="J2136" s="29" t="e">
        <f>VLOOKUP(I2136,PGStock[],2,FALSE)</f>
        <v>#N/A</v>
      </c>
      <c r="K2136" s="30" t="e">
        <f>VLOOKUP(I2136,PGStock[],3,FALSE)</f>
        <v>#N/A</v>
      </c>
      <c r="M2136" s="62" t="e">
        <f>VLOOKUP(I2136,PGStock[],6,FALSE)</f>
        <v>#N/A</v>
      </c>
      <c r="N2136" s="62" t="e">
        <f>+Table8[[#This Row],[SalesBot]]*Table8[[#This Row],[Bonus]]</f>
        <v>#N/A</v>
      </c>
    </row>
    <row r="2137" spans="1:14" ht="23.25" customHeight="1" x14ac:dyDescent="0.25">
      <c r="A2137" s="59">
        <f t="shared" si="286"/>
        <v>1900</v>
      </c>
      <c r="B2137" s="59">
        <f t="shared" si="287"/>
        <v>1</v>
      </c>
      <c r="C2137" s="97"/>
      <c r="D2137" s="61"/>
      <c r="F2137" s="23" t="e">
        <f>VLOOKUP(E2137,Customers[],2,FALSE)</f>
        <v>#N/A</v>
      </c>
      <c r="G2137" s="23" t="e">
        <f>VLOOKUP(E2137,Customers[],3,FALSE)</f>
        <v>#N/A</v>
      </c>
      <c r="H2137" s="23" t="e">
        <f>VLOOKUP(E2137,Customers[],4,FALSE)</f>
        <v>#N/A</v>
      </c>
      <c r="J2137" s="29" t="e">
        <f>VLOOKUP(I2137,PGStock[],2,FALSE)</f>
        <v>#N/A</v>
      </c>
      <c r="K2137" s="30" t="e">
        <f>VLOOKUP(I2137,PGStock[],3,FALSE)</f>
        <v>#N/A</v>
      </c>
      <c r="M2137" s="62" t="e">
        <f>VLOOKUP(I2137,PGStock[],6,FALSE)</f>
        <v>#N/A</v>
      </c>
      <c r="N2137" s="62" t="e">
        <f>+Table8[[#This Row],[SalesBot]]*Table8[[#This Row],[Bonus]]</f>
        <v>#N/A</v>
      </c>
    </row>
    <row r="2138" spans="1:14" ht="23.25" customHeight="1" x14ac:dyDescent="0.25">
      <c r="A2138" s="59">
        <f t="shared" si="286"/>
        <v>1900</v>
      </c>
      <c r="B2138" s="59">
        <f t="shared" si="287"/>
        <v>1</v>
      </c>
      <c r="C2138" s="97"/>
      <c r="D2138" s="61"/>
      <c r="F2138" s="23" t="e">
        <f>VLOOKUP(E2138,Customers[],2,FALSE)</f>
        <v>#N/A</v>
      </c>
      <c r="G2138" s="23" t="e">
        <f>VLOOKUP(E2138,Customers[],3,FALSE)</f>
        <v>#N/A</v>
      </c>
      <c r="H2138" s="23" t="e">
        <f>VLOOKUP(E2138,Customers[],4,FALSE)</f>
        <v>#N/A</v>
      </c>
      <c r="J2138" s="29" t="e">
        <f>VLOOKUP(I2138,PGStock[],2,FALSE)</f>
        <v>#N/A</v>
      </c>
      <c r="K2138" s="30" t="e">
        <f>VLOOKUP(I2138,PGStock[],3,FALSE)</f>
        <v>#N/A</v>
      </c>
      <c r="M2138" s="62" t="e">
        <f>VLOOKUP(I2138,PGStock[],6,FALSE)</f>
        <v>#N/A</v>
      </c>
      <c r="N2138" s="62" t="e">
        <f>+Table8[[#This Row],[SalesBot]]*Table8[[#This Row],[Bonus]]</f>
        <v>#N/A</v>
      </c>
    </row>
    <row r="2139" spans="1:14" ht="23.25" customHeight="1" x14ac:dyDescent="0.25">
      <c r="A2139" s="59">
        <f t="shared" si="286"/>
        <v>1900</v>
      </c>
      <c r="B2139" s="59">
        <f t="shared" si="287"/>
        <v>1</v>
      </c>
      <c r="C2139" s="97"/>
      <c r="D2139" s="61"/>
      <c r="F2139" s="23" t="e">
        <f>VLOOKUP(E2139,Customers[],2,FALSE)</f>
        <v>#N/A</v>
      </c>
      <c r="G2139" s="23" t="e">
        <f>VLOOKUP(E2139,Customers[],3,FALSE)</f>
        <v>#N/A</v>
      </c>
      <c r="H2139" s="23" t="e">
        <f>VLOOKUP(E2139,Customers[],4,FALSE)</f>
        <v>#N/A</v>
      </c>
      <c r="J2139" s="29" t="e">
        <f>VLOOKUP(I2139,PGStock[],2,FALSE)</f>
        <v>#N/A</v>
      </c>
      <c r="K2139" s="30" t="e">
        <f>VLOOKUP(I2139,PGStock[],3,FALSE)</f>
        <v>#N/A</v>
      </c>
      <c r="M2139" s="62" t="e">
        <f>VLOOKUP(I2139,PGStock[],6,FALSE)</f>
        <v>#N/A</v>
      </c>
      <c r="N2139" s="62" t="e">
        <f>+Table8[[#This Row],[SalesBot]]*Table8[[#This Row],[Bonus]]</f>
        <v>#N/A</v>
      </c>
    </row>
    <row r="2140" spans="1:14" ht="23.25" customHeight="1" x14ac:dyDescent="0.25">
      <c r="A2140" s="59">
        <f t="shared" si="286"/>
        <v>1900</v>
      </c>
      <c r="B2140" s="59">
        <f t="shared" si="287"/>
        <v>1</v>
      </c>
      <c r="C2140" s="97"/>
      <c r="D2140" s="61"/>
      <c r="F2140" s="23" t="e">
        <f>VLOOKUP(E2140,Customers[],2,FALSE)</f>
        <v>#N/A</v>
      </c>
      <c r="G2140" s="23" t="e">
        <f>VLOOKUP(E2140,Customers[],3,FALSE)</f>
        <v>#N/A</v>
      </c>
      <c r="H2140" s="23" t="e">
        <f>VLOOKUP(E2140,Customers[],4,FALSE)</f>
        <v>#N/A</v>
      </c>
      <c r="J2140" s="29" t="e">
        <f>VLOOKUP(I2140,PGStock[],2,FALSE)</f>
        <v>#N/A</v>
      </c>
      <c r="K2140" s="30" t="e">
        <f>VLOOKUP(I2140,PGStock[],3,FALSE)</f>
        <v>#N/A</v>
      </c>
      <c r="M2140" s="62" t="e">
        <f>VLOOKUP(I2140,PGStock[],6,FALSE)</f>
        <v>#N/A</v>
      </c>
      <c r="N2140" s="62" t="e">
        <f>+Table8[[#This Row],[SalesBot]]*Table8[[#This Row],[Bonus]]</f>
        <v>#N/A</v>
      </c>
    </row>
    <row r="2141" spans="1:14" ht="23.25" customHeight="1" x14ac:dyDescent="0.25">
      <c r="A2141" s="59">
        <f t="shared" si="270"/>
        <v>1900</v>
      </c>
      <c r="B2141" s="59">
        <f t="shared" si="271"/>
        <v>1</v>
      </c>
      <c r="C2141" s="97"/>
      <c r="D2141" s="61"/>
      <c r="F2141" s="23" t="e">
        <f>VLOOKUP(E2141,Customers[],2,FALSE)</f>
        <v>#N/A</v>
      </c>
      <c r="G2141" s="23" t="e">
        <f>VLOOKUP(E2141,Customers[],3,FALSE)</f>
        <v>#N/A</v>
      </c>
      <c r="H2141" s="23" t="e">
        <f>VLOOKUP(E2141,Customers[],4,FALSE)</f>
        <v>#N/A</v>
      </c>
      <c r="J2141" s="29" t="e">
        <f>VLOOKUP(I2141,PGStock[],2,FALSE)</f>
        <v>#N/A</v>
      </c>
      <c r="K2141" s="30" t="e">
        <f>VLOOKUP(I2141,PGStock[],3,FALSE)</f>
        <v>#N/A</v>
      </c>
      <c r="M2141" s="62" t="e">
        <f>VLOOKUP(I2141,PGStock[],6,FALSE)</f>
        <v>#N/A</v>
      </c>
      <c r="N2141" s="62" t="e">
        <f>+Table8[[#This Row],[SalesBot]]*Table8[[#This Row],[Bonus]]</f>
        <v>#N/A</v>
      </c>
    </row>
    <row r="2142" spans="1:14" ht="23.25" customHeight="1" x14ac:dyDescent="0.25">
      <c r="A2142" s="59">
        <f t="shared" ref="A2142:A2144" si="288">YEAR(C2142)</f>
        <v>1900</v>
      </c>
      <c r="B2142" s="59">
        <f t="shared" ref="B2142:B2144" si="289">MONTH(C2142)</f>
        <v>1</v>
      </c>
      <c r="C2142" s="97"/>
      <c r="D2142" s="61"/>
      <c r="F2142" s="23" t="e">
        <f>VLOOKUP(E2142,Customers[],2,FALSE)</f>
        <v>#N/A</v>
      </c>
      <c r="G2142" s="23" t="e">
        <f>VLOOKUP(E2142,Customers[],3,FALSE)</f>
        <v>#N/A</v>
      </c>
      <c r="H2142" s="23" t="e">
        <f>VLOOKUP(E2142,Customers[],4,FALSE)</f>
        <v>#N/A</v>
      </c>
      <c r="J2142" s="29" t="e">
        <f>VLOOKUP(I2142,PGStock[],2,FALSE)</f>
        <v>#N/A</v>
      </c>
      <c r="K2142" s="30" t="e">
        <f>VLOOKUP(I2142,PGStock[],3,FALSE)</f>
        <v>#N/A</v>
      </c>
      <c r="M2142" s="62" t="e">
        <f>VLOOKUP(I2142,PGStock[],6,FALSE)</f>
        <v>#N/A</v>
      </c>
      <c r="N2142" s="62" t="e">
        <f>+Table8[[#This Row],[SalesBot]]*Table8[[#This Row],[Bonus]]</f>
        <v>#N/A</v>
      </c>
    </row>
    <row r="2143" spans="1:14" ht="23.25" customHeight="1" x14ac:dyDescent="0.25">
      <c r="A2143" s="59">
        <f t="shared" si="288"/>
        <v>1900</v>
      </c>
      <c r="B2143" s="59">
        <f t="shared" si="289"/>
        <v>1</v>
      </c>
      <c r="C2143" s="97"/>
      <c r="D2143" s="61"/>
      <c r="F2143" s="23" t="e">
        <f>VLOOKUP(E2143,Customers[],2,FALSE)</f>
        <v>#N/A</v>
      </c>
      <c r="G2143" s="23" t="e">
        <f>VLOOKUP(E2143,Customers[],3,FALSE)</f>
        <v>#N/A</v>
      </c>
      <c r="H2143" s="23" t="e">
        <f>VLOOKUP(E2143,Customers[],4,FALSE)</f>
        <v>#N/A</v>
      </c>
      <c r="J2143" s="29" t="e">
        <f>VLOOKUP(I2143,PGStock[],2,FALSE)</f>
        <v>#N/A</v>
      </c>
      <c r="K2143" s="30" t="e">
        <f>VLOOKUP(I2143,PGStock[],3,FALSE)</f>
        <v>#N/A</v>
      </c>
      <c r="M2143" s="62" t="e">
        <f>VLOOKUP(I2143,PGStock[],6,FALSE)</f>
        <v>#N/A</v>
      </c>
      <c r="N2143" s="62" t="e">
        <f>+Table8[[#This Row],[SalesBot]]*Table8[[#This Row],[Bonus]]</f>
        <v>#N/A</v>
      </c>
    </row>
    <row r="2144" spans="1:14" ht="23.25" customHeight="1" x14ac:dyDescent="0.25">
      <c r="A2144" s="59">
        <f t="shared" si="288"/>
        <v>1900</v>
      </c>
      <c r="B2144" s="59">
        <f t="shared" si="289"/>
        <v>1</v>
      </c>
      <c r="C2144" s="97"/>
      <c r="D2144" s="61"/>
      <c r="F2144" s="23" t="e">
        <f>VLOOKUP(E2144,Customers[],2,FALSE)</f>
        <v>#N/A</v>
      </c>
      <c r="G2144" s="23" t="e">
        <f>VLOOKUP(E2144,Customers[],3,FALSE)</f>
        <v>#N/A</v>
      </c>
      <c r="H2144" s="23" t="e">
        <f>VLOOKUP(E2144,Customers[],4,FALSE)</f>
        <v>#N/A</v>
      </c>
      <c r="J2144" s="29" t="e">
        <f>VLOOKUP(I2144,PGStock[],2,FALSE)</f>
        <v>#N/A</v>
      </c>
      <c r="K2144" s="30" t="e">
        <f>VLOOKUP(I2144,PGStock[],3,FALSE)</f>
        <v>#N/A</v>
      </c>
      <c r="M2144" s="62" t="e">
        <f>VLOOKUP(I2144,PGStock[],6,FALSE)</f>
        <v>#N/A</v>
      </c>
      <c r="N2144" s="62" t="e">
        <f>+Table8[[#This Row],[SalesBot]]*Table8[[#This Row],[Bonus]]</f>
        <v>#N/A</v>
      </c>
    </row>
    <row r="2145" spans="1:14" ht="23.25" customHeight="1" x14ac:dyDescent="0.25">
      <c r="A2145" s="59">
        <f t="shared" ref="A2145:A2221" si="290">YEAR(C2145)</f>
        <v>1900</v>
      </c>
      <c r="B2145" s="59">
        <f t="shared" ref="B2145:B2221" si="291">MONTH(C2145)</f>
        <v>1</v>
      </c>
      <c r="C2145" s="97"/>
      <c r="D2145" s="61"/>
      <c r="F2145" s="23" t="e">
        <f>VLOOKUP(E2145,Customers[],2,FALSE)</f>
        <v>#N/A</v>
      </c>
      <c r="G2145" s="23" t="e">
        <f>VLOOKUP(E2145,Customers[],3,FALSE)</f>
        <v>#N/A</v>
      </c>
      <c r="H2145" s="23" t="e">
        <f>VLOOKUP(E2145,Customers[],4,FALSE)</f>
        <v>#N/A</v>
      </c>
      <c r="J2145" s="29" t="e">
        <f>VLOOKUP(I2145,PGStock[],2,FALSE)</f>
        <v>#N/A</v>
      </c>
      <c r="K2145" s="30" t="e">
        <f>VLOOKUP(I2145,PGStock[],3,FALSE)</f>
        <v>#N/A</v>
      </c>
      <c r="M2145" s="62" t="e">
        <f>VLOOKUP(I2145,PGStock[],6,FALSE)</f>
        <v>#N/A</v>
      </c>
      <c r="N2145" s="62" t="e">
        <f>+Table8[[#This Row],[SalesBot]]*Table8[[#This Row],[Bonus]]</f>
        <v>#N/A</v>
      </c>
    </row>
    <row r="2146" spans="1:14" ht="23.25" customHeight="1" x14ac:dyDescent="0.25">
      <c r="A2146" s="59">
        <f t="shared" si="290"/>
        <v>1900</v>
      </c>
      <c r="B2146" s="59">
        <f t="shared" si="291"/>
        <v>1</v>
      </c>
      <c r="C2146" s="97"/>
      <c r="D2146" s="61"/>
      <c r="F2146" s="23" t="e">
        <f>VLOOKUP(E2146,Customers[],2,FALSE)</f>
        <v>#N/A</v>
      </c>
      <c r="G2146" s="23" t="e">
        <f>VLOOKUP(E2146,Customers[],3,FALSE)</f>
        <v>#N/A</v>
      </c>
      <c r="H2146" s="23" t="e">
        <f>VLOOKUP(E2146,Customers[],4,FALSE)</f>
        <v>#N/A</v>
      </c>
      <c r="J2146" s="29" t="e">
        <f>VLOOKUP(I2146,PGStock[],2,FALSE)</f>
        <v>#N/A</v>
      </c>
      <c r="K2146" s="30" t="e">
        <f>VLOOKUP(I2146,PGStock[],3,FALSE)</f>
        <v>#N/A</v>
      </c>
      <c r="M2146" s="62" t="e">
        <f>VLOOKUP(I2146,PGStock[],6,FALSE)</f>
        <v>#N/A</v>
      </c>
      <c r="N2146" s="62" t="e">
        <f>+Table8[[#This Row],[SalesBot]]*Table8[[#This Row],[Bonus]]</f>
        <v>#N/A</v>
      </c>
    </row>
    <row r="2147" spans="1:14" ht="23.25" customHeight="1" x14ac:dyDescent="0.25">
      <c r="A2147" s="59">
        <f t="shared" ref="A2147:A2152" si="292">YEAR(C2147)</f>
        <v>1900</v>
      </c>
      <c r="B2147" s="59">
        <f t="shared" ref="B2147:B2152" si="293">MONTH(C2147)</f>
        <v>1</v>
      </c>
      <c r="C2147" s="97"/>
      <c r="D2147" s="61"/>
      <c r="F2147" s="23" t="e">
        <f>VLOOKUP(E2147,Customers[],2,FALSE)</f>
        <v>#N/A</v>
      </c>
      <c r="G2147" s="23" t="e">
        <f>VLOOKUP(E2147,Customers[],3,FALSE)</f>
        <v>#N/A</v>
      </c>
      <c r="H2147" s="23" t="e">
        <f>VLOOKUP(E2147,Customers[],4,FALSE)</f>
        <v>#N/A</v>
      </c>
      <c r="J2147" s="29" t="e">
        <f>VLOOKUP(I2147,PGStock[],2,FALSE)</f>
        <v>#N/A</v>
      </c>
      <c r="K2147" s="30" t="e">
        <f>VLOOKUP(I2147,PGStock[],3,FALSE)</f>
        <v>#N/A</v>
      </c>
      <c r="M2147" s="62" t="e">
        <f>VLOOKUP(I2147,PGStock[],6,FALSE)</f>
        <v>#N/A</v>
      </c>
      <c r="N2147" s="62" t="e">
        <f>+Table8[[#This Row],[SalesBot]]*Table8[[#This Row],[Bonus]]</f>
        <v>#N/A</v>
      </c>
    </row>
    <row r="2148" spans="1:14" ht="23.25" customHeight="1" x14ac:dyDescent="0.25">
      <c r="A2148" s="59">
        <f t="shared" si="292"/>
        <v>1900</v>
      </c>
      <c r="B2148" s="59">
        <f t="shared" si="293"/>
        <v>1</v>
      </c>
      <c r="C2148" s="97"/>
      <c r="D2148" s="61"/>
      <c r="F2148" s="23" t="e">
        <f>VLOOKUP(E2148,Customers[],2,FALSE)</f>
        <v>#N/A</v>
      </c>
      <c r="G2148" s="23" t="e">
        <f>VLOOKUP(E2148,Customers[],3,FALSE)</f>
        <v>#N/A</v>
      </c>
      <c r="H2148" s="23" t="e">
        <f>VLOOKUP(E2148,Customers[],4,FALSE)</f>
        <v>#N/A</v>
      </c>
      <c r="J2148" s="29" t="e">
        <f>VLOOKUP(I2148,PGStock[],2,FALSE)</f>
        <v>#N/A</v>
      </c>
      <c r="K2148" s="30" t="e">
        <f>VLOOKUP(I2148,PGStock[],3,FALSE)</f>
        <v>#N/A</v>
      </c>
      <c r="M2148" s="62" t="e">
        <f>VLOOKUP(I2148,PGStock[],6,FALSE)</f>
        <v>#N/A</v>
      </c>
      <c r="N2148" s="62" t="e">
        <f>+Table8[[#This Row],[SalesBot]]*Table8[[#This Row],[Bonus]]</f>
        <v>#N/A</v>
      </c>
    </row>
    <row r="2149" spans="1:14" ht="23.25" customHeight="1" x14ac:dyDescent="0.25">
      <c r="A2149" s="59">
        <f t="shared" si="292"/>
        <v>1900</v>
      </c>
      <c r="B2149" s="59">
        <f t="shared" si="293"/>
        <v>1</v>
      </c>
      <c r="C2149" s="97"/>
      <c r="D2149" s="61"/>
      <c r="F2149" s="23" t="e">
        <f>VLOOKUP(E2149,Customers[],2,FALSE)</f>
        <v>#N/A</v>
      </c>
      <c r="G2149" s="23" t="e">
        <f>VLOOKUP(E2149,Customers[],3,FALSE)</f>
        <v>#N/A</v>
      </c>
      <c r="H2149" s="23" t="e">
        <f>VLOOKUP(E2149,Customers[],4,FALSE)</f>
        <v>#N/A</v>
      </c>
      <c r="J2149" s="29" t="e">
        <f>VLOOKUP(I2149,PGStock[],2,FALSE)</f>
        <v>#N/A</v>
      </c>
      <c r="K2149" s="30" t="e">
        <f>VLOOKUP(I2149,PGStock[],3,FALSE)</f>
        <v>#N/A</v>
      </c>
      <c r="M2149" s="62" t="e">
        <f>VLOOKUP(I2149,PGStock[],6,FALSE)</f>
        <v>#N/A</v>
      </c>
      <c r="N2149" s="62" t="e">
        <f>+Table8[[#This Row],[SalesBot]]*Table8[[#This Row],[Bonus]]</f>
        <v>#N/A</v>
      </c>
    </row>
    <row r="2150" spans="1:14" ht="23.25" customHeight="1" x14ac:dyDescent="0.25">
      <c r="A2150" s="59">
        <f t="shared" si="292"/>
        <v>1900</v>
      </c>
      <c r="B2150" s="59">
        <f t="shared" si="293"/>
        <v>1</v>
      </c>
      <c r="C2150" s="97"/>
      <c r="D2150" s="61"/>
      <c r="F2150" s="23" t="e">
        <f>VLOOKUP(E2150,Customers[],2,FALSE)</f>
        <v>#N/A</v>
      </c>
      <c r="G2150" s="23" t="e">
        <f>VLOOKUP(E2150,Customers[],3,FALSE)</f>
        <v>#N/A</v>
      </c>
      <c r="H2150" s="23" t="e">
        <f>VLOOKUP(E2150,Customers[],4,FALSE)</f>
        <v>#N/A</v>
      </c>
      <c r="J2150" s="29" t="e">
        <f>VLOOKUP(I2150,PGStock[],2,FALSE)</f>
        <v>#N/A</v>
      </c>
      <c r="K2150" s="30" t="e">
        <f>VLOOKUP(I2150,PGStock[],3,FALSE)</f>
        <v>#N/A</v>
      </c>
      <c r="M2150" s="62" t="e">
        <f>VLOOKUP(I2150,PGStock[],6,FALSE)</f>
        <v>#N/A</v>
      </c>
      <c r="N2150" s="62" t="e">
        <f>+Table8[[#This Row],[SalesBot]]*Table8[[#This Row],[Bonus]]</f>
        <v>#N/A</v>
      </c>
    </row>
    <row r="2151" spans="1:14" ht="23.25" customHeight="1" x14ac:dyDescent="0.25">
      <c r="A2151" s="59">
        <f t="shared" si="292"/>
        <v>1900</v>
      </c>
      <c r="B2151" s="59">
        <f t="shared" si="293"/>
        <v>1</v>
      </c>
      <c r="C2151" s="97"/>
      <c r="D2151" s="61"/>
      <c r="F2151" s="23" t="e">
        <f>VLOOKUP(E2151,Customers[],2,FALSE)</f>
        <v>#N/A</v>
      </c>
      <c r="G2151" s="23" t="e">
        <f>VLOOKUP(E2151,Customers[],3,FALSE)</f>
        <v>#N/A</v>
      </c>
      <c r="H2151" s="23" t="e">
        <f>VLOOKUP(E2151,Customers[],4,FALSE)</f>
        <v>#N/A</v>
      </c>
      <c r="J2151" s="29" t="e">
        <f>VLOOKUP(I2151,PGStock[],2,FALSE)</f>
        <v>#N/A</v>
      </c>
      <c r="K2151" s="30" t="e">
        <f>VLOOKUP(I2151,PGStock[],3,FALSE)</f>
        <v>#N/A</v>
      </c>
      <c r="M2151" s="62" t="e">
        <f>VLOOKUP(I2151,PGStock[],6,FALSE)</f>
        <v>#N/A</v>
      </c>
      <c r="N2151" s="62" t="e">
        <f>+Table8[[#This Row],[SalesBot]]*Table8[[#This Row],[Bonus]]</f>
        <v>#N/A</v>
      </c>
    </row>
    <row r="2152" spans="1:14" ht="23.25" customHeight="1" x14ac:dyDescent="0.25">
      <c r="A2152" s="59">
        <f t="shared" si="292"/>
        <v>1900</v>
      </c>
      <c r="B2152" s="59">
        <f t="shared" si="293"/>
        <v>1</v>
      </c>
      <c r="C2152" s="97"/>
      <c r="D2152" s="61"/>
      <c r="F2152" s="23" t="e">
        <f>VLOOKUP(E2152,Customers[],2,FALSE)</f>
        <v>#N/A</v>
      </c>
      <c r="G2152" s="23" t="e">
        <f>VLOOKUP(E2152,Customers[],3,FALSE)</f>
        <v>#N/A</v>
      </c>
      <c r="H2152" s="23" t="e">
        <f>VLOOKUP(E2152,Customers[],4,FALSE)</f>
        <v>#N/A</v>
      </c>
      <c r="J2152" s="29" t="e">
        <f>VLOOKUP(I2152,PGStock[],2,FALSE)</f>
        <v>#N/A</v>
      </c>
      <c r="K2152" s="30" t="e">
        <f>VLOOKUP(I2152,PGStock[],3,FALSE)</f>
        <v>#N/A</v>
      </c>
      <c r="M2152" s="62" t="e">
        <f>VLOOKUP(I2152,PGStock[],6,FALSE)</f>
        <v>#N/A</v>
      </c>
      <c r="N2152" s="62" t="e">
        <f>+Table8[[#This Row],[SalesBot]]*Table8[[#This Row],[Bonus]]</f>
        <v>#N/A</v>
      </c>
    </row>
    <row r="2153" spans="1:14" ht="23.25" customHeight="1" x14ac:dyDescent="0.25">
      <c r="A2153" s="59">
        <f t="shared" ref="A2153:A2158" si="294">YEAR(C2153)</f>
        <v>1900</v>
      </c>
      <c r="B2153" s="59">
        <f t="shared" ref="B2153:B2158" si="295">MONTH(C2153)</f>
        <v>1</v>
      </c>
      <c r="C2153" s="97"/>
      <c r="D2153" s="61"/>
      <c r="F2153" s="23" t="e">
        <f>VLOOKUP(E2153,Customers[],2,FALSE)</f>
        <v>#N/A</v>
      </c>
      <c r="G2153" s="23" t="e">
        <f>VLOOKUP(E2153,Customers[],3,FALSE)</f>
        <v>#N/A</v>
      </c>
      <c r="H2153" s="23" t="e">
        <f>VLOOKUP(E2153,Customers[],4,FALSE)</f>
        <v>#N/A</v>
      </c>
      <c r="J2153" s="29" t="e">
        <f>VLOOKUP(I2153,PGStock[],2,FALSE)</f>
        <v>#N/A</v>
      </c>
      <c r="K2153" s="30" t="e">
        <f>VLOOKUP(I2153,PGStock[],3,FALSE)</f>
        <v>#N/A</v>
      </c>
      <c r="M2153" s="62" t="e">
        <f>VLOOKUP(I2153,PGStock[],6,FALSE)</f>
        <v>#N/A</v>
      </c>
      <c r="N2153" s="62" t="e">
        <f>+Table8[[#This Row],[SalesBot]]*Table8[[#This Row],[Bonus]]</f>
        <v>#N/A</v>
      </c>
    </row>
    <row r="2154" spans="1:14" ht="23.25" customHeight="1" x14ac:dyDescent="0.25">
      <c r="A2154" s="59">
        <f t="shared" si="294"/>
        <v>1900</v>
      </c>
      <c r="B2154" s="59">
        <f t="shared" si="295"/>
        <v>1</v>
      </c>
      <c r="C2154" s="97"/>
      <c r="D2154" s="61"/>
      <c r="F2154" s="23" t="e">
        <f>VLOOKUP(E2154,Customers[],2,FALSE)</f>
        <v>#N/A</v>
      </c>
      <c r="G2154" s="23" t="e">
        <f>VLOOKUP(E2154,Customers[],3,FALSE)</f>
        <v>#N/A</v>
      </c>
      <c r="H2154" s="23" t="e">
        <f>VLOOKUP(E2154,Customers[],4,FALSE)</f>
        <v>#N/A</v>
      </c>
      <c r="J2154" s="29" t="e">
        <f>VLOOKUP(I2154,PGStock[],2,FALSE)</f>
        <v>#N/A</v>
      </c>
      <c r="K2154" s="30" t="e">
        <f>VLOOKUP(I2154,PGStock[],3,FALSE)</f>
        <v>#N/A</v>
      </c>
      <c r="M2154" s="62" t="e">
        <f>VLOOKUP(I2154,PGStock[],6,FALSE)</f>
        <v>#N/A</v>
      </c>
      <c r="N2154" s="62" t="e">
        <f>+Table8[[#This Row],[SalesBot]]*Table8[[#This Row],[Bonus]]</f>
        <v>#N/A</v>
      </c>
    </row>
    <row r="2155" spans="1:14" ht="23.25" customHeight="1" x14ac:dyDescent="0.25">
      <c r="A2155" s="59">
        <f t="shared" si="294"/>
        <v>1900</v>
      </c>
      <c r="B2155" s="59">
        <f t="shared" si="295"/>
        <v>1</v>
      </c>
      <c r="C2155" s="97"/>
      <c r="D2155" s="61"/>
      <c r="F2155" s="23" t="e">
        <f>VLOOKUP(E2155,Customers[],2,FALSE)</f>
        <v>#N/A</v>
      </c>
      <c r="G2155" s="23" t="e">
        <f>VLOOKUP(E2155,Customers[],3,FALSE)</f>
        <v>#N/A</v>
      </c>
      <c r="H2155" s="23" t="e">
        <f>VLOOKUP(E2155,Customers[],4,FALSE)</f>
        <v>#N/A</v>
      </c>
      <c r="J2155" s="29" t="e">
        <f>VLOOKUP(I2155,PGStock[],2,FALSE)</f>
        <v>#N/A</v>
      </c>
      <c r="K2155" s="30" t="e">
        <f>VLOOKUP(I2155,PGStock[],3,FALSE)</f>
        <v>#N/A</v>
      </c>
      <c r="M2155" s="62" t="e">
        <f>VLOOKUP(I2155,PGStock[],6,FALSE)</f>
        <v>#N/A</v>
      </c>
      <c r="N2155" s="62" t="e">
        <f>+Table8[[#This Row],[SalesBot]]*Table8[[#This Row],[Bonus]]</f>
        <v>#N/A</v>
      </c>
    </row>
    <row r="2156" spans="1:14" ht="23.25" customHeight="1" x14ac:dyDescent="0.25">
      <c r="A2156" s="59">
        <f t="shared" si="294"/>
        <v>1900</v>
      </c>
      <c r="B2156" s="59">
        <f t="shared" si="295"/>
        <v>1</v>
      </c>
      <c r="C2156" s="97"/>
      <c r="D2156" s="61"/>
      <c r="F2156" s="23" t="e">
        <f>VLOOKUP(E2156,Customers[],2,FALSE)</f>
        <v>#N/A</v>
      </c>
      <c r="G2156" s="23" t="e">
        <f>VLOOKUP(E2156,Customers[],3,FALSE)</f>
        <v>#N/A</v>
      </c>
      <c r="H2156" s="23" t="e">
        <f>VLOOKUP(E2156,Customers[],4,FALSE)</f>
        <v>#N/A</v>
      </c>
      <c r="J2156" s="29" t="e">
        <f>VLOOKUP(I2156,PGStock[],2,FALSE)</f>
        <v>#N/A</v>
      </c>
      <c r="K2156" s="30" t="e">
        <f>VLOOKUP(I2156,PGStock[],3,FALSE)</f>
        <v>#N/A</v>
      </c>
      <c r="M2156" s="62" t="e">
        <f>VLOOKUP(I2156,PGStock[],6,FALSE)</f>
        <v>#N/A</v>
      </c>
      <c r="N2156" s="62" t="e">
        <f>+Table8[[#This Row],[SalesBot]]*Table8[[#This Row],[Bonus]]</f>
        <v>#N/A</v>
      </c>
    </row>
    <row r="2157" spans="1:14" ht="23.25" customHeight="1" x14ac:dyDescent="0.25">
      <c r="A2157" s="59">
        <f t="shared" si="294"/>
        <v>1900</v>
      </c>
      <c r="B2157" s="59">
        <f t="shared" si="295"/>
        <v>1</v>
      </c>
      <c r="C2157" s="97"/>
      <c r="D2157" s="61"/>
      <c r="F2157" s="23" t="e">
        <f>VLOOKUP(E2157,Customers[],2,FALSE)</f>
        <v>#N/A</v>
      </c>
      <c r="G2157" s="23" t="e">
        <f>VLOOKUP(E2157,Customers[],3,FALSE)</f>
        <v>#N/A</v>
      </c>
      <c r="H2157" s="23" t="e">
        <f>VLOOKUP(E2157,Customers[],4,FALSE)</f>
        <v>#N/A</v>
      </c>
      <c r="J2157" s="29" t="e">
        <f>VLOOKUP(I2157,PGStock[],2,FALSE)</f>
        <v>#N/A</v>
      </c>
      <c r="K2157" s="30" t="e">
        <f>VLOOKUP(I2157,PGStock[],3,FALSE)</f>
        <v>#N/A</v>
      </c>
      <c r="M2157" s="62" t="e">
        <f>VLOOKUP(I2157,PGStock[],6,FALSE)</f>
        <v>#N/A</v>
      </c>
      <c r="N2157" s="62" t="e">
        <f>+Table8[[#This Row],[SalesBot]]*Table8[[#This Row],[Bonus]]</f>
        <v>#N/A</v>
      </c>
    </row>
    <row r="2158" spans="1:14" ht="23.25" customHeight="1" x14ac:dyDescent="0.25">
      <c r="A2158" s="59">
        <f t="shared" si="294"/>
        <v>1900</v>
      </c>
      <c r="B2158" s="59">
        <f t="shared" si="295"/>
        <v>1</v>
      </c>
      <c r="C2158" s="97"/>
      <c r="D2158" s="61"/>
      <c r="F2158" s="23" t="e">
        <f>VLOOKUP(E2158,Customers[],2,FALSE)</f>
        <v>#N/A</v>
      </c>
      <c r="G2158" s="23" t="e">
        <f>VLOOKUP(E2158,Customers[],3,FALSE)</f>
        <v>#N/A</v>
      </c>
      <c r="H2158" s="23" t="e">
        <f>VLOOKUP(E2158,Customers[],4,FALSE)</f>
        <v>#N/A</v>
      </c>
      <c r="J2158" s="29" t="e">
        <f>VLOOKUP(I2158,PGStock[],2,FALSE)</f>
        <v>#N/A</v>
      </c>
      <c r="K2158" s="30" t="e">
        <f>VLOOKUP(I2158,PGStock[],3,FALSE)</f>
        <v>#N/A</v>
      </c>
      <c r="M2158" s="62" t="e">
        <f>VLOOKUP(I2158,PGStock[],6,FALSE)</f>
        <v>#N/A</v>
      </c>
      <c r="N2158" s="62" t="e">
        <f>+Table8[[#This Row],[SalesBot]]*Table8[[#This Row],[Bonus]]</f>
        <v>#N/A</v>
      </c>
    </row>
    <row r="2159" spans="1:14" ht="23.25" customHeight="1" x14ac:dyDescent="0.25">
      <c r="A2159" s="59">
        <f t="shared" ref="A2159:A2164" si="296">YEAR(C2159)</f>
        <v>1900</v>
      </c>
      <c r="B2159" s="59">
        <f t="shared" ref="B2159:B2164" si="297">MONTH(C2159)</f>
        <v>1</v>
      </c>
      <c r="C2159" s="97"/>
      <c r="D2159" s="61"/>
      <c r="F2159" s="23" t="e">
        <f>VLOOKUP(E2159,Customers[],2,FALSE)</f>
        <v>#N/A</v>
      </c>
      <c r="G2159" s="23" t="e">
        <f>VLOOKUP(E2159,Customers[],3,FALSE)</f>
        <v>#N/A</v>
      </c>
      <c r="H2159" s="23" t="e">
        <f>VLOOKUP(E2159,Customers[],4,FALSE)</f>
        <v>#N/A</v>
      </c>
      <c r="J2159" s="29" t="e">
        <f>VLOOKUP(I2159,PGStock[],2,FALSE)</f>
        <v>#N/A</v>
      </c>
      <c r="K2159" s="30" t="e">
        <f>VLOOKUP(I2159,PGStock[],3,FALSE)</f>
        <v>#N/A</v>
      </c>
      <c r="M2159" s="62" t="e">
        <f>VLOOKUP(I2159,PGStock[],6,FALSE)</f>
        <v>#N/A</v>
      </c>
      <c r="N2159" s="62" t="e">
        <f>+Table8[[#This Row],[SalesBot]]*Table8[[#This Row],[Bonus]]</f>
        <v>#N/A</v>
      </c>
    </row>
    <row r="2160" spans="1:14" ht="23.25" customHeight="1" x14ac:dyDescent="0.25">
      <c r="A2160" s="59">
        <f t="shared" si="296"/>
        <v>1900</v>
      </c>
      <c r="B2160" s="59">
        <f t="shared" si="297"/>
        <v>1</v>
      </c>
      <c r="C2160" s="97"/>
      <c r="D2160" s="61"/>
      <c r="F2160" s="23" t="e">
        <f>VLOOKUP(E2160,Customers[],2,FALSE)</f>
        <v>#N/A</v>
      </c>
      <c r="G2160" s="23" t="e">
        <f>VLOOKUP(E2160,Customers[],3,FALSE)</f>
        <v>#N/A</v>
      </c>
      <c r="H2160" s="23" t="e">
        <f>VLOOKUP(E2160,Customers[],4,FALSE)</f>
        <v>#N/A</v>
      </c>
      <c r="J2160" s="29" t="e">
        <f>VLOOKUP(I2160,PGStock[],2,FALSE)</f>
        <v>#N/A</v>
      </c>
      <c r="K2160" s="30" t="e">
        <f>VLOOKUP(I2160,PGStock[],3,FALSE)</f>
        <v>#N/A</v>
      </c>
      <c r="M2160" s="62" t="e">
        <f>VLOOKUP(I2160,PGStock[],6,FALSE)</f>
        <v>#N/A</v>
      </c>
      <c r="N2160" s="62" t="e">
        <f>+Table8[[#This Row],[SalesBot]]*Table8[[#This Row],[Bonus]]</f>
        <v>#N/A</v>
      </c>
    </row>
    <row r="2161" spans="1:14" ht="23.25" customHeight="1" x14ac:dyDescent="0.25">
      <c r="A2161" s="59">
        <f t="shared" si="296"/>
        <v>1900</v>
      </c>
      <c r="B2161" s="59">
        <f t="shared" si="297"/>
        <v>1</v>
      </c>
      <c r="C2161" s="97"/>
      <c r="D2161" s="61"/>
      <c r="F2161" s="23" t="e">
        <f>VLOOKUP(E2161,Customers[],2,FALSE)</f>
        <v>#N/A</v>
      </c>
      <c r="G2161" s="23" t="e">
        <f>VLOOKUP(E2161,Customers[],3,FALSE)</f>
        <v>#N/A</v>
      </c>
      <c r="H2161" s="23" t="e">
        <f>VLOOKUP(E2161,Customers[],4,FALSE)</f>
        <v>#N/A</v>
      </c>
      <c r="J2161" s="29" t="e">
        <f>VLOOKUP(I2161,PGStock[],2,FALSE)</f>
        <v>#N/A</v>
      </c>
      <c r="K2161" s="30" t="e">
        <f>VLOOKUP(I2161,PGStock[],3,FALSE)</f>
        <v>#N/A</v>
      </c>
      <c r="M2161" s="62" t="e">
        <f>VLOOKUP(I2161,PGStock[],6,FALSE)</f>
        <v>#N/A</v>
      </c>
      <c r="N2161" s="62" t="e">
        <f>+Table8[[#This Row],[SalesBot]]*Table8[[#This Row],[Bonus]]</f>
        <v>#N/A</v>
      </c>
    </row>
    <row r="2162" spans="1:14" ht="23.25" customHeight="1" x14ac:dyDescent="0.25">
      <c r="A2162" s="59">
        <f t="shared" si="296"/>
        <v>1900</v>
      </c>
      <c r="B2162" s="59">
        <f t="shared" si="297"/>
        <v>1</v>
      </c>
      <c r="C2162" s="97"/>
      <c r="D2162" s="61"/>
      <c r="F2162" s="23" t="e">
        <f>VLOOKUP(E2162,Customers[],2,FALSE)</f>
        <v>#N/A</v>
      </c>
      <c r="G2162" s="23" t="e">
        <f>VLOOKUP(E2162,Customers[],3,FALSE)</f>
        <v>#N/A</v>
      </c>
      <c r="H2162" s="23" t="e">
        <f>VLOOKUP(E2162,Customers[],4,FALSE)</f>
        <v>#N/A</v>
      </c>
      <c r="J2162" s="29" t="e">
        <f>VLOOKUP(I2162,PGStock[],2,FALSE)</f>
        <v>#N/A</v>
      </c>
      <c r="K2162" s="30" t="e">
        <f>VLOOKUP(I2162,PGStock[],3,FALSE)</f>
        <v>#N/A</v>
      </c>
      <c r="M2162" s="62" t="e">
        <f>VLOOKUP(I2162,PGStock[],6,FALSE)</f>
        <v>#N/A</v>
      </c>
      <c r="N2162" s="62" t="e">
        <f>+Table8[[#This Row],[SalesBot]]*Table8[[#This Row],[Bonus]]</f>
        <v>#N/A</v>
      </c>
    </row>
    <row r="2163" spans="1:14" ht="23.25" customHeight="1" x14ac:dyDescent="0.25">
      <c r="A2163" s="59">
        <f t="shared" si="296"/>
        <v>1900</v>
      </c>
      <c r="B2163" s="59">
        <f t="shared" si="297"/>
        <v>1</v>
      </c>
      <c r="C2163" s="97"/>
      <c r="D2163" s="61"/>
      <c r="F2163" s="23" t="e">
        <f>VLOOKUP(E2163,Customers[],2,FALSE)</f>
        <v>#N/A</v>
      </c>
      <c r="G2163" s="23" t="e">
        <f>VLOOKUP(E2163,Customers[],3,FALSE)</f>
        <v>#N/A</v>
      </c>
      <c r="H2163" s="23" t="e">
        <f>VLOOKUP(E2163,Customers[],4,FALSE)</f>
        <v>#N/A</v>
      </c>
      <c r="J2163" s="29" t="e">
        <f>VLOOKUP(I2163,PGStock[],2,FALSE)</f>
        <v>#N/A</v>
      </c>
      <c r="K2163" s="30" t="e">
        <f>VLOOKUP(I2163,PGStock[],3,FALSE)</f>
        <v>#N/A</v>
      </c>
      <c r="M2163" s="62" t="e">
        <f>VLOOKUP(I2163,PGStock[],6,FALSE)</f>
        <v>#N/A</v>
      </c>
      <c r="N2163" s="62" t="e">
        <f>+Table8[[#This Row],[SalesBot]]*Table8[[#This Row],[Bonus]]</f>
        <v>#N/A</v>
      </c>
    </row>
    <row r="2164" spans="1:14" ht="23.25" customHeight="1" x14ac:dyDescent="0.25">
      <c r="A2164" s="59">
        <f t="shared" si="296"/>
        <v>1900</v>
      </c>
      <c r="B2164" s="59">
        <f t="shared" si="297"/>
        <v>1</v>
      </c>
      <c r="C2164" s="97"/>
      <c r="D2164" s="61"/>
      <c r="F2164" s="23" t="e">
        <f>VLOOKUP(E2164,Customers[],2,FALSE)</f>
        <v>#N/A</v>
      </c>
      <c r="G2164" s="23" t="e">
        <f>VLOOKUP(E2164,Customers[],3,FALSE)</f>
        <v>#N/A</v>
      </c>
      <c r="H2164" s="23" t="e">
        <f>VLOOKUP(E2164,Customers[],4,FALSE)</f>
        <v>#N/A</v>
      </c>
      <c r="J2164" s="29" t="e">
        <f>VLOOKUP(I2164,PGStock[],2,FALSE)</f>
        <v>#N/A</v>
      </c>
      <c r="K2164" s="30" t="e">
        <f>VLOOKUP(I2164,PGStock[],3,FALSE)</f>
        <v>#N/A</v>
      </c>
      <c r="M2164" s="62" t="e">
        <f>VLOOKUP(I2164,PGStock[],6,FALSE)</f>
        <v>#N/A</v>
      </c>
      <c r="N2164" s="62" t="e">
        <f>+Table8[[#This Row],[SalesBot]]*Table8[[#This Row],[Bonus]]</f>
        <v>#N/A</v>
      </c>
    </row>
    <row r="2165" spans="1:14" ht="23.25" customHeight="1" x14ac:dyDescent="0.25">
      <c r="A2165" s="59">
        <f t="shared" ref="A2165:A2170" si="298">YEAR(C2165)</f>
        <v>1900</v>
      </c>
      <c r="B2165" s="59">
        <f t="shared" ref="B2165:B2170" si="299">MONTH(C2165)</f>
        <v>1</v>
      </c>
      <c r="C2165" s="97"/>
      <c r="D2165" s="61"/>
      <c r="F2165" s="23" t="e">
        <f>VLOOKUP(E2165,Customers[],2,FALSE)</f>
        <v>#N/A</v>
      </c>
      <c r="G2165" s="23" t="e">
        <f>VLOOKUP(E2165,Customers[],3,FALSE)</f>
        <v>#N/A</v>
      </c>
      <c r="H2165" s="23" t="e">
        <f>VLOOKUP(E2165,Customers[],4,FALSE)</f>
        <v>#N/A</v>
      </c>
      <c r="J2165" s="29" t="e">
        <f>VLOOKUP(I2165,PGStock[],2,FALSE)</f>
        <v>#N/A</v>
      </c>
      <c r="K2165" s="30" t="e">
        <f>VLOOKUP(I2165,PGStock[],3,FALSE)</f>
        <v>#N/A</v>
      </c>
      <c r="M2165" s="62" t="e">
        <f>VLOOKUP(I2165,PGStock[],6,FALSE)</f>
        <v>#N/A</v>
      </c>
      <c r="N2165" s="62" t="e">
        <f>+Table8[[#This Row],[SalesBot]]*Table8[[#This Row],[Bonus]]</f>
        <v>#N/A</v>
      </c>
    </row>
    <row r="2166" spans="1:14" ht="23.25" customHeight="1" x14ac:dyDescent="0.25">
      <c r="A2166" s="59">
        <f t="shared" si="298"/>
        <v>1900</v>
      </c>
      <c r="B2166" s="59">
        <f t="shared" si="299"/>
        <v>1</v>
      </c>
      <c r="C2166" s="97"/>
      <c r="D2166" s="61"/>
      <c r="F2166" s="23" t="e">
        <f>VLOOKUP(E2166,Customers[],2,FALSE)</f>
        <v>#N/A</v>
      </c>
      <c r="G2166" s="23" t="e">
        <f>VLOOKUP(E2166,Customers[],3,FALSE)</f>
        <v>#N/A</v>
      </c>
      <c r="H2166" s="23" t="e">
        <f>VLOOKUP(E2166,Customers[],4,FALSE)</f>
        <v>#N/A</v>
      </c>
      <c r="J2166" s="29" t="e">
        <f>VLOOKUP(I2166,PGStock[],2,FALSE)</f>
        <v>#N/A</v>
      </c>
      <c r="K2166" s="30" t="e">
        <f>VLOOKUP(I2166,PGStock[],3,FALSE)</f>
        <v>#N/A</v>
      </c>
      <c r="M2166" s="62" t="e">
        <f>VLOOKUP(I2166,PGStock[],6,FALSE)</f>
        <v>#N/A</v>
      </c>
      <c r="N2166" s="62" t="e">
        <f>+Table8[[#This Row],[SalesBot]]*Table8[[#This Row],[Bonus]]</f>
        <v>#N/A</v>
      </c>
    </row>
    <row r="2167" spans="1:14" ht="23.25" customHeight="1" x14ac:dyDescent="0.25">
      <c r="A2167" s="59">
        <f t="shared" si="298"/>
        <v>1900</v>
      </c>
      <c r="B2167" s="59">
        <f t="shared" si="299"/>
        <v>1</v>
      </c>
      <c r="C2167" s="97"/>
      <c r="D2167" s="61"/>
      <c r="F2167" s="23" t="e">
        <f>VLOOKUP(E2167,Customers[],2,FALSE)</f>
        <v>#N/A</v>
      </c>
      <c r="G2167" s="23" t="e">
        <f>VLOOKUP(E2167,Customers[],3,FALSE)</f>
        <v>#N/A</v>
      </c>
      <c r="H2167" s="23" t="e">
        <f>VLOOKUP(E2167,Customers[],4,FALSE)</f>
        <v>#N/A</v>
      </c>
      <c r="J2167" s="29" t="e">
        <f>VLOOKUP(I2167,PGStock[],2,FALSE)</f>
        <v>#N/A</v>
      </c>
      <c r="K2167" s="30" t="e">
        <f>VLOOKUP(I2167,PGStock[],3,FALSE)</f>
        <v>#N/A</v>
      </c>
      <c r="M2167" s="62" t="e">
        <f>VLOOKUP(I2167,PGStock[],6,FALSE)</f>
        <v>#N/A</v>
      </c>
      <c r="N2167" s="62" t="e">
        <f>+Table8[[#This Row],[SalesBot]]*Table8[[#This Row],[Bonus]]</f>
        <v>#N/A</v>
      </c>
    </row>
    <row r="2168" spans="1:14" ht="23.25" customHeight="1" x14ac:dyDescent="0.25">
      <c r="A2168" s="59">
        <f t="shared" si="298"/>
        <v>1900</v>
      </c>
      <c r="B2168" s="59">
        <f t="shared" si="299"/>
        <v>1</v>
      </c>
      <c r="C2168" s="97"/>
      <c r="D2168" s="61"/>
      <c r="F2168" s="23" t="e">
        <f>VLOOKUP(E2168,Customers[],2,FALSE)</f>
        <v>#N/A</v>
      </c>
      <c r="G2168" s="23" t="e">
        <f>VLOOKUP(E2168,Customers[],3,FALSE)</f>
        <v>#N/A</v>
      </c>
      <c r="H2168" s="23" t="e">
        <f>VLOOKUP(E2168,Customers[],4,FALSE)</f>
        <v>#N/A</v>
      </c>
      <c r="J2168" s="29" t="e">
        <f>VLOOKUP(I2168,PGStock[],2,FALSE)</f>
        <v>#N/A</v>
      </c>
      <c r="K2168" s="30" t="e">
        <f>VLOOKUP(I2168,PGStock[],3,FALSE)</f>
        <v>#N/A</v>
      </c>
      <c r="M2168" s="62" t="e">
        <f>VLOOKUP(I2168,PGStock[],6,FALSE)</f>
        <v>#N/A</v>
      </c>
      <c r="N2168" s="62" t="e">
        <f>+Table8[[#This Row],[SalesBot]]*Table8[[#This Row],[Bonus]]</f>
        <v>#N/A</v>
      </c>
    </row>
    <row r="2169" spans="1:14" ht="23.25" customHeight="1" x14ac:dyDescent="0.25">
      <c r="A2169" s="59">
        <f t="shared" si="298"/>
        <v>1900</v>
      </c>
      <c r="B2169" s="59">
        <f t="shared" si="299"/>
        <v>1</v>
      </c>
      <c r="C2169" s="97"/>
      <c r="D2169" s="61"/>
      <c r="F2169" s="23" t="e">
        <f>VLOOKUP(E2169,Customers[],2,FALSE)</f>
        <v>#N/A</v>
      </c>
      <c r="G2169" s="23" t="e">
        <f>VLOOKUP(E2169,Customers[],3,FALSE)</f>
        <v>#N/A</v>
      </c>
      <c r="H2169" s="23" t="e">
        <f>VLOOKUP(E2169,Customers[],4,FALSE)</f>
        <v>#N/A</v>
      </c>
      <c r="J2169" s="29" t="e">
        <f>VLOOKUP(I2169,PGStock[],2,FALSE)</f>
        <v>#N/A</v>
      </c>
      <c r="K2169" s="30" t="e">
        <f>VLOOKUP(I2169,PGStock[],3,FALSE)</f>
        <v>#N/A</v>
      </c>
      <c r="M2169" s="62" t="e">
        <f>VLOOKUP(I2169,PGStock[],6,FALSE)</f>
        <v>#N/A</v>
      </c>
      <c r="N2169" s="62" t="e">
        <f>+Table8[[#This Row],[SalesBot]]*Table8[[#This Row],[Bonus]]</f>
        <v>#N/A</v>
      </c>
    </row>
    <row r="2170" spans="1:14" ht="23.25" customHeight="1" x14ac:dyDescent="0.25">
      <c r="A2170" s="59">
        <f t="shared" si="298"/>
        <v>1900</v>
      </c>
      <c r="B2170" s="59">
        <f t="shared" si="299"/>
        <v>1</v>
      </c>
      <c r="C2170" s="97"/>
      <c r="D2170" s="61"/>
      <c r="F2170" s="23" t="e">
        <f>VLOOKUP(E2170,Customers[],2,FALSE)</f>
        <v>#N/A</v>
      </c>
      <c r="G2170" s="23" t="e">
        <f>VLOOKUP(E2170,Customers[],3,FALSE)</f>
        <v>#N/A</v>
      </c>
      <c r="H2170" s="23" t="e">
        <f>VLOOKUP(E2170,Customers[],4,FALSE)</f>
        <v>#N/A</v>
      </c>
      <c r="J2170" s="29" t="e">
        <f>VLOOKUP(I2170,PGStock[],2,FALSE)</f>
        <v>#N/A</v>
      </c>
      <c r="K2170" s="30" t="e">
        <f>VLOOKUP(I2170,PGStock[],3,FALSE)</f>
        <v>#N/A</v>
      </c>
      <c r="M2170" s="62" t="e">
        <f>VLOOKUP(I2170,PGStock[],6,FALSE)</f>
        <v>#N/A</v>
      </c>
      <c r="N2170" s="62" t="e">
        <f>+Table8[[#This Row],[SalesBot]]*Table8[[#This Row],[Bonus]]</f>
        <v>#N/A</v>
      </c>
    </row>
    <row r="2171" spans="1:14" ht="23.25" customHeight="1" x14ac:dyDescent="0.25">
      <c r="A2171" s="59">
        <f t="shared" ref="A2171:A2176" si="300">YEAR(C2171)</f>
        <v>1900</v>
      </c>
      <c r="B2171" s="59">
        <f t="shared" ref="B2171:B2176" si="301">MONTH(C2171)</f>
        <v>1</v>
      </c>
      <c r="C2171" s="97"/>
      <c r="D2171" s="61"/>
      <c r="F2171" s="23" t="e">
        <f>VLOOKUP(E2171,Customers[],2,FALSE)</f>
        <v>#N/A</v>
      </c>
      <c r="G2171" s="23" t="e">
        <f>VLOOKUP(E2171,Customers[],3,FALSE)</f>
        <v>#N/A</v>
      </c>
      <c r="H2171" s="23" t="e">
        <f>VLOOKUP(E2171,Customers[],4,FALSE)</f>
        <v>#N/A</v>
      </c>
      <c r="J2171" s="29" t="e">
        <f>VLOOKUP(I2171,PGStock[],2,FALSE)</f>
        <v>#N/A</v>
      </c>
      <c r="K2171" s="30" t="e">
        <f>VLOOKUP(I2171,PGStock[],3,FALSE)</f>
        <v>#N/A</v>
      </c>
      <c r="M2171" s="62" t="e">
        <f>VLOOKUP(I2171,PGStock[],6,FALSE)</f>
        <v>#N/A</v>
      </c>
      <c r="N2171" s="62" t="e">
        <f>+Table8[[#This Row],[SalesBot]]*Table8[[#This Row],[Bonus]]</f>
        <v>#N/A</v>
      </c>
    </row>
    <row r="2172" spans="1:14" ht="23.25" customHeight="1" x14ac:dyDescent="0.25">
      <c r="A2172" s="59">
        <f t="shared" si="300"/>
        <v>1900</v>
      </c>
      <c r="B2172" s="59">
        <f t="shared" si="301"/>
        <v>1</v>
      </c>
      <c r="C2172" s="97"/>
      <c r="D2172" s="61"/>
      <c r="F2172" s="23" t="e">
        <f>VLOOKUP(E2172,Customers[],2,FALSE)</f>
        <v>#N/A</v>
      </c>
      <c r="G2172" s="23" t="e">
        <f>VLOOKUP(E2172,Customers[],3,FALSE)</f>
        <v>#N/A</v>
      </c>
      <c r="H2172" s="23" t="e">
        <f>VLOOKUP(E2172,Customers[],4,FALSE)</f>
        <v>#N/A</v>
      </c>
      <c r="J2172" s="29" t="e">
        <f>VLOOKUP(I2172,PGStock[],2,FALSE)</f>
        <v>#N/A</v>
      </c>
      <c r="K2172" s="30" t="e">
        <f>VLOOKUP(I2172,PGStock[],3,FALSE)</f>
        <v>#N/A</v>
      </c>
      <c r="M2172" s="62" t="e">
        <f>VLOOKUP(I2172,PGStock[],6,FALSE)</f>
        <v>#N/A</v>
      </c>
      <c r="N2172" s="62" t="e">
        <f>+Table8[[#This Row],[SalesBot]]*Table8[[#This Row],[Bonus]]</f>
        <v>#N/A</v>
      </c>
    </row>
    <row r="2173" spans="1:14" ht="23.25" customHeight="1" x14ac:dyDescent="0.25">
      <c r="A2173" s="59">
        <f t="shared" si="300"/>
        <v>1900</v>
      </c>
      <c r="B2173" s="59">
        <f t="shared" si="301"/>
        <v>1</v>
      </c>
      <c r="C2173" s="97"/>
      <c r="D2173" s="61"/>
      <c r="F2173" s="23" t="e">
        <f>VLOOKUP(E2173,Customers[],2,FALSE)</f>
        <v>#N/A</v>
      </c>
      <c r="G2173" s="23" t="e">
        <f>VLOOKUP(E2173,Customers[],3,FALSE)</f>
        <v>#N/A</v>
      </c>
      <c r="H2173" s="23" t="e">
        <f>VLOOKUP(E2173,Customers[],4,FALSE)</f>
        <v>#N/A</v>
      </c>
      <c r="J2173" s="29" t="e">
        <f>VLOOKUP(I2173,PGStock[],2,FALSE)</f>
        <v>#N/A</v>
      </c>
      <c r="K2173" s="30" t="e">
        <f>VLOOKUP(I2173,PGStock[],3,FALSE)</f>
        <v>#N/A</v>
      </c>
      <c r="M2173" s="62" t="e">
        <f>VLOOKUP(I2173,PGStock[],6,FALSE)</f>
        <v>#N/A</v>
      </c>
      <c r="N2173" s="62" t="e">
        <f>+Table8[[#This Row],[SalesBot]]*Table8[[#This Row],[Bonus]]</f>
        <v>#N/A</v>
      </c>
    </row>
    <row r="2174" spans="1:14" ht="23.25" customHeight="1" x14ac:dyDescent="0.25">
      <c r="A2174" s="59">
        <f t="shared" si="300"/>
        <v>1900</v>
      </c>
      <c r="B2174" s="59">
        <f t="shared" si="301"/>
        <v>1</v>
      </c>
      <c r="C2174" s="97"/>
      <c r="D2174" s="61"/>
      <c r="F2174" s="23" t="e">
        <f>VLOOKUP(E2174,Customers[],2,FALSE)</f>
        <v>#N/A</v>
      </c>
      <c r="G2174" s="23" t="e">
        <f>VLOOKUP(E2174,Customers[],3,FALSE)</f>
        <v>#N/A</v>
      </c>
      <c r="H2174" s="23" t="e">
        <f>VLOOKUP(E2174,Customers[],4,FALSE)</f>
        <v>#N/A</v>
      </c>
      <c r="J2174" s="29" t="e">
        <f>VLOOKUP(I2174,PGStock[],2,FALSE)</f>
        <v>#N/A</v>
      </c>
      <c r="K2174" s="30" t="e">
        <f>VLOOKUP(I2174,PGStock[],3,FALSE)</f>
        <v>#N/A</v>
      </c>
      <c r="M2174" s="62" t="e">
        <f>VLOOKUP(I2174,PGStock[],6,FALSE)</f>
        <v>#N/A</v>
      </c>
      <c r="N2174" s="62" t="e">
        <f>+Table8[[#This Row],[SalesBot]]*Table8[[#This Row],[Bonus]]</f>
        <v>#N/A</v>
      </c>
    </row>
    <row r="2175" spans="1:14" ht="23.25" customHeight="1" x14ac:dyDescent="0.25">
      <c r="A2175" s="59">
        <f t="shared" si="300"/>
        <v>1900</v>
      </c>
      <c r="B2175" s="59">
        <f t="shared" si="301"/>
        <v>1</v>
      </c>
      <c r="C2175" s="97"/>
      <c r="D2175" s="61"/>
      <c r="F2175" s="23" t="e">
        <f>VLOOKUP(E2175,Customers[],2,FALSE)</f>
        <v>#N/A</v>
      </c>
      <c r="G2175" s="23" t="e">
        <f>VLOOKUP(E2175,Customers[],3,FALSE)</f>
        <v>#N/A</v>
      </c>
      <c r="H2175" s="23" t="e">
        <f>VLOOKUP(E2175,Customers[],4,FALSE)</f>
        <v>#N/A</v>
      </c>
      <c r="J2175" s="29" t="e">
        <f>VLOOKUP(I2175,PGStock[],2,FALSE)</f>
        <v>#N/A</v>
      </c>
      <c r="K2175" s="30" t="e">
        <f>VLOOKUP(I2175,PGStock[],3,FALSE)</f>
        <v>#N/A</v>
      </c>
      <c r="M2175" s="62" t="e">
        <f>VLOOKUP(I2175,PGStock[],6,FALSE)</f>
        <v>#N/A</v>
      </c>
      <c r="N2175" s="62" t="e">
        <f>+Table8[[#This Row],[SalesBot]]*Table8[[#This Row],[Bonus]]</f>
        <v>#N/A</v>
      </c>
    </row>
    <row r="2176" spans="1:14" ht="23.25" customHeight="1" x14ac:dyDescent="0.25">
      <c r="A2176" s="59">
        <f t="shared" si="300"/>
        <v>1900</v>
      </c>
      <c r="B2176" s="59">
        <f t="shared" si="301"/>
        <v>1</v>
      </c>
      <c r="C2176" s="97"/>
      <c r="D2176" s="61"/>
      <c r="F2176" s="23" t="e">
        <f>VLOOKUP(E2176,Customers[],2,FALSE)</f>
        <v>#N/A</v>
      </c>
      <c r="G2176" s="23" t="e">
        <f>VLOOKUP(E2176,Customers[],3,FALSE)</f>
        <v>#N/A</v>
      </c>
      <c r="H2176" s="23" t="e">
        <f>VLOOKUP(E2176,Customers[],4,FALSE)</f>
        <v>#N/A</v>
      </c>
      <c r="J2176" s="29" t="e">
        <f>VLOOKUP(I2176,PGStock[],2,FALSE)</f>
        <v>#N/A</v>
      </c>
      <c r="K2176" s="30" t="e">
        <f>VLOOKUP(I2176,PGStock[],3,FALSE)</f>
        <v>#N/A</v>
      </c>
      <c r="M2176" s="62" t="e">
        <f>VLOOKUP(I2176,PGStock[],6,FALSE)</f>
        <v>#N/A</v>
      </c>
      <c r="N2176" s="62" t="e">
        <f>+Table8[[#This Row],[SalesBot]]*Table8[[#This Row],[Bonus]]</f>
        <v>#N/A</v>
      </c>
    </row>
    <row r="2177" spans="1:14" ht="23.25" customHeight="1" x14ac:dyDescent="0.25">
      <c r="A2177" s="59">
        <f t="shared" ref="A2177:A2182" si="302">YEAR(C2177)</f>
        <v>1900</v>
      </c>
      <c r="B2177" s="59">
        <f t="shared" ref="B2177:B2182" si="303">MONTH(C2177)</f>
        <v>1</v>
      </c>
      <c r="C2177" s="97"/>
      <c r="D2177" s="61"/>
      <c r="F2177" s="23" t="e">
        <f>VLOOKUP(E2177,Customers[],2,FALSE)</f>
        <v>#N/A</v>
      </c>
      <c r="G2177" s="23" t="e">
        <f>VLOOKUP(E2177,Customers[],3,FALSE)</f>
        <v>#N/A</v>
      </c>
      <c r="H2177" s="23" t="e">
        <f>VLOOKUP(E2177,Customers[],4,FALSE)</f>
        <v>#N/A</v>
      </c>
      <c r="J2177" s="29" t="e">
        <f>VLOOKUP(I2177,PGStock[],2,FALSE)</f>
        <v>#N/A</v>
      </c>
      <c r="K2177" s="30" t="e">
        <f>VLOOKUP(I2177,PGStock[],3,FALSE)</f>
        <v>#N/A</v>
      </c>
      <c r="M2177" s="62" t="e">
        <f>VLOOKUP(I2177,PGStock[],6,FALSE)</f>
        <v>#N/A</v>
      </c>
      <c r="N2177" s="62" t="e">
        <f>+Table8[[#This Row],[SalesBot]]*Table8[[#This Row],[Bonus]]</f>
        <v>#N/A</v>
      </c>
    </row>
    <row r="2178" spans="1:14" ht="23.25" customHeight="1" x14ac:dyDescent="0.25">
      <c r="A2178" s="59">
        <f t="shared" si="302"/>
        <v>1900</v>
      </c>
      <c r="B2178" s="59">
        <f t="shared" si="303"/>
        <v>1</v>
      </c>
      <c r="C2178" s="97"/>
      <c r="D2178" s="61"/>
      <c r="F2178" s="23" t="e">
        <f>VLOOKUP(E2178,Customers[],2,FALSE)</f>
        <v>#N/A</v>
      </c>
      <c r="G2178" s="23" t="e">
        <f>VLOOKUP(E2178,Customers[],3,FALSE)</f>
        <v>#N/A</v>
      </c>
      <c r="H2178" s="23" t="e">
        <f>VLOOKUP(E2178,Customers[],4,FALSE)</f>
        <v>#N/A</v>
      </c>
      <c r="J2178" s="29" t="e">
        <f>VLOOKUP(I2178,PGStock[],2,FALSE)</f>
        <v>#N/A</v>
      </c>
      <c r="K2178" s="30" t="e">
        <f>VLOOKUP(I2178,PGStock[],3,FALSE)</f>
        <v>#N/A</v>
      </c>
      <c r="M2178" s="62" t="e">
        <f>VLOOKUP(I2178,PGStock[],6,FALSE)</f>
        <v>#N/A</v>
      </c>
      <c r="N2178" s="62" t="e">
        <f>+Table8[[#This Row],[SalesBot]]*Table8[[#This Row],[Bonus]]</f>
        <v>#N/A</v>
      </c>
    </row>
    <row r="2179" spans="1:14" ht="23.25" customHeight="1" x14ac:dyDescent="0.25">
      <c r="A2179" s="59">
        <f t="shared" si="302"/>
        <v>1900</v>
      </c>
      <c r="B2179" s="59">
        <f t="shared" si="303"/>
        <v>1</v>
      </c>
      <c r="C2179" s="97"/>
      <c r="D2179" s="61"/>
      <c r="F2179" s="23" t="e">
        <f>VLOOKUP(E2179,Customers[],2,FALSE)</f>
        <v>#N/A</v>
      </c>
      <c r="G2179" s="23" t="e">
        <f>VLOOKUP(E2179,Customers[],3,FALSE)</f>
        <v>#N/A</v>
      </c>
      <c r="H2179" s="23" t="e">
        <f>VLOOKUP(E2179,Customers[],4,FALSE)</f>
        <v>#N/A</v>
      </c>
      <c r="J2179" s="29" t="e">
        <f>VLOOKUP(I2179,PGStock[],2,FALSE)</f>
        <v>#N/A</v>
      </c>
      <c r="K2179" s="30" t="e">
        <f>VLOOKUP(I2179,PGStock[],3,FALSE)</f>
        <v>#N/A</v>
      </c>
      <c r="M2179" s="62" t="e">
        <f>VLOOKUP(I2179,PGStock[],6,FALSE)</f>
        <v>#N/A</v>
      </c>
      <c r="N2179" s="62" t="e">
        <f>+Table8[[#This Row],[SalesBot]]*Table8[[#This Row],[Bonus]]</f>
        <v>#N/A</v>
      </c>
    </row>
    <row r="2180" spans="1:14" ht="23.25" customHeight="1" x14ac:dyDescent="0.25">
      <c r="A2180" s="59">
        <f t="shared" si="302"/>
        <v>1900</v>
      </c>
      <c r="B2180" s="59">
        <f t="shared" si="303"/>
        <v>1</v>
      </c>
      <c r="C2180" s="97"/>
      <c r="D2180" s="61"/>
      <c r="F2180" s="23" t="e">
        <f>VLOOKUP(E2180,Customers[],2,FALSE)</f>
        <v>#N/A</v>
      </c>
      <c r="G2180" s="23" t="e">
        <f>VLOOKUP(E2180,Customers[],3,FALSE)</f>
        <v>#N/A</v>
      </c>
      <c r="H2180" s="23" t="e">
        <f>VLOOKUP(E2180,Customers[],4,FALSE)</f>
        <v>#N/A</v>
      </c>
      <c r="J2180" s="29" t="e">
        <f>VLOOKUP(I2180,PGStock[],2,FALSE)</f>
        <v>#N/A</v>
      </c>
      <c r="K2180" s="30" t="e">
        <f>VLOOKUP(I2180,PGStock[],3,FALSE)</f>
        <v>#N/A</v>
      </c>
      <c r="M2180" s="62" t="e">
        <f>VLOOKUP(I2180,PGStock[],6,FALSE)</f>
        <v>#N/A</v>
      </c>
      <c r="N2180" s="62" t="e">
        <f>+Table8[[#This Row],[SalesBot]]*Table8[[#This Row],[Bonus]]</f>
        <v>#N/A</v>
      </c>
    </row>
    <row r="2181" spans="1:14" ht="23.25" customHeight="1" x14ac:dyDescent="0.25">
      <c r="A2181" s="59">
        <f t="shared" si="302"/>
        <v>1900</v>
      </c>
      <c r="B2181" s="59">
        <f t="shared" si="303"/>
        <v>1</v>
      </c>
      <c r="C2181" s="97"/>
      <c r="D2181" s="61"/>
      <c r="F2181" s="23" t="e">
        <f>VLOOKUP(E2181,Customers[],2,FALSE)</f>
        <v>#N/A</v>
      </c>
      <c r="G2181" s="23" t="e">
        <f>VLOOKUP(E2181,Customers[],3,FALSE)</f>
        <v>#N/A</v>
      </c>
      <c r="H2181" s="23" t="e">
        <f>VLOOKUP(E2181,Customers[],4,FALSE)</f>
        <v>#N/A</v>
      </c>
      <c r="J2181" s="29" t="e">
        <f>VLOOKUP(I2181,PGStock[],2,FALSE)</f>
        <v>#N/A</v>
      </c>
      <c r="K2181" s="30" t="e">
        <f>VLOOKUP(I2181,PGStock[],3,FALSE)</f>
        <v>#N/A</v>
      </c>
      <c r="M2181" s="62" t="e">
        <f>VLOOKUP(I2181,PGStock[],6,FALSE)</f>
        <v>#N/A</v>
      </c>
      <c r="N2181" s="62" t="e">
        <f>+Table8[[#This Row],[SalesBot]]*Table8[[#This Row],[Bonus]]</f>
        <v>#N/A</v>
      </c>
    </row>
    <row r="2182" spans="1:14" ht="23.25" customHeight="1" x14ac:dyDescent="0.25">
      <c r="A2182" s="59">
        <f t="shared" si="302"/>
        <v>1900</v>
      </c>
      <c r="B2182" s="59">
        <f t="shared" si="303"/>
        <v>1</v>
      </c>
      <c r="C2182" s="97"/>
      <c r="D2182" s="61"/>
      <c r="F2182" s="23" t="e">
        <f>VLOOKUP(E2182,Customers[],2,FALSE)</f>
        <v>#N/A</v>
      </c>
      <c r="G2182" s="23" t="e">
        <f>VLOOKUP(E2182,Customers[],3,FALSE)</f>
        <v>#N/A</v>
      </c>
      <c r="H2182" s="23" t="e">
        <f>VLOOKUP(E2182,Customers[],4,FALSE)</f>
        <v>#N/A</v>
      </c>
      <c r="J2182" s="29" t="e">
        <f>VLOOKUP(I2182,PGStock[],2,FALSE)</f>
        <v>#N/A</v>
      </c>
      <c r="K2182" s="30" t="e">
        <f>VLOOKUP(I2182,PGStock[],3,FALSE)</f>
        <v>#N/A</v>
      </c>
      <c r="M2182" s="62" t="e">
        <f>VLOOKUP(I2182,PGStock[],6,FALSE)</f>
        <v>#N/A</v>
      </c>
      <c r="N2182" s="62" t="e">
        <f>+Table8[[#This Row],[SalesBot]]*Table8[[#This Row],[Bonus]]</f>
        <v>#N/A</v>
      </c>
    </row>
    <row r="2183" spans="1:14" ht="23.25" customHeight="1" x14ac:dyDescent="0.25">
      <c r="A2183" s="59">
        <f t="shared" ref="A2183:A2220" si="304">YEAR(C2183)</f>
        <v>1900</v>
      </c>
      <c r="B2183" s="59">
        <f t="shared" ref="B2183:B2220" si="305">MONTH(C2183)</f>
        <v>1</v>
      </c>
      <c r="C2183" s="97"/>
      <c r="D2183" s="61"/>
      <c r="F2183" s="23" t="e">
        <f>VLOOKUP(E2183,Customers[],2,FALSE)</f>
        <v>#N/A</v>
      </c>
      <c r="G2183" s="23" t="e">
        <f>VLOOKUP(E2183,Customers[],3,FALSE)</f>
        <v>#N/A</v>
      </c>
      <c r="H2183" s="23" t="e">
        <f>VLOOKUP(E2183,Customers[],4,FALSE)</f>
        <v>#N/A</v>
      </c>
      <c r="J2183" s="29" t="e">
        <f>VLOOKUP(I2183,PGStock[],2,FALSE)</f>
        <v>#N/A</v>
      </c>
      <c r="K2183" s="30" t="e">
        <f>VLOOKUP(I2183,PGStock[],3,FALSE)</f>
        <v>#N/A</v>
      </c>
      <c r="M2183" s="62" t="e">
        <f>VLOOKUP(I2183,PGStock[],6,FALSE)</f>
        <v>#N/A</v>
      </c>
      <c r="N2183" s="62" t="e">
        <f>+Table8[[#This Row],[SalesBot]]*Table8[[#This Row],[Bonus]]</f>
        <v>#N/A</v>
      </c>
    </row>
    <row r="2184" spans="1:14" ht="23.25" customHeight="1" x14ac:dyDescent="0.25">
      <c r="A2184" s="59">
        <f t="shared" si="304"/>
        <v>1900</v>
      </c>
      <c r="B2184" s="59">
        <f t="shared" si="305"/>
        <v>1</v>
      </c>
      <c r="C2184" s="97"/>
      <c r="D2184" s="61"/>
      <c r="F2184" s="23" t="e">
        <f>VLOOKUP(E2184,Customers[],2,FALSE)</f>
        <v>#N/A</v>
      </c>
      <c r="G2184" s="23" t="e">
        <f>VLOOKUP(E2184,Customers[],3,FALSE)</f>
        <v>#N/A</v>
      </c>
      <c r="H2184" s="23" t="e">
        <f>VLOOKUP(E2184,Customers[],4,FALSE)</f>
        <v>#N/A</v>
      </c>
      <c r="J2184" s="29" t="e">
        <f>VLOOKUP(I2184,PGStock[],2,FALSE)</f>
        <v>#N/A</v>
      </c>
      <c r="K2184" s="30" t="e">
        <f>VLOOKUP(I2184,PGStock[],3,FALSE)</f>
        <v>#N/A</v>
      </c>
      <c r="M2184" s="62" t="e">
        <f>VLOOKUP(I2184,PGStock[],6,FALSE)</f>
        <v>#N/A</v>
      </c>
      <c r="N2184" s="62" t="e">
        <f>+Table8[[#This Row],[SalesBot]]*Table8[[#This Row],[Bonus]]</f>
        <v>#N/A</v>
      </c>
    </row>
    <row r="2185" spans="1:14" ht="23.25" customHeight="1" x14ac:dyDescent="0.25">
      <c r="A2185" s="59">
        <f t="shared" ref="A2185:A2192" si="306">YEAR(C2185)</f>
        <v>1900</v>
      </c>
      <c r="B2185" s="59">
        <f t="shared" ref="B2185:B2192" si="307">MONTH(C2185)</f>
        <v>1</v>
      </c>
      <c r="C2185" s="97"/>
      <c r="D2185" s="61"/>
      <c r="F2185" s="23" t="e">
        <f>VLOOKUP(E2185,Customers[],2,FALSE)</f>
        <v>#N/A</v>
      </c>
      <c r="G2185" s="23" t="e">
        <f>VLOOKUP(E2185,Customers[],3,FALSE)</f>
        <v>#N/A</v>
      </c>
      <c r="H2185" s="23" t="e">
        <f>VLOOKUP(E2185,Customers[],4,FALSE)</f>
        <v>#N/A</v>
      </c>
      <c r="J2185" s="29" t="e">
        <f>VLOOKUP(I2185,PGStock[],2,FALSE)</f>
        <v>#N/A</v>
      </c>
      <c r="K2185" s="30" t="e">
        <f>VLOOKUP(I2185,PGStock[],3,FALSE)</f>
        <v>#N/A</v>
      </c>
      <c r="M2185" s="62" t="e">
        <f>VLOOKUP(I2185,PGStock[],6,FALSE)</f>
        <v>#N/A</v>
      </c>
      <c r="N2185" s="62" t="e">
        <f>+Table8[[#This Row],[SalesBot]]*Table8[[#This Row],[Bonus]]</f>
        <v>#N/A</v>
      </c>
    </row>
    <row r="2186" spans="1:14" ht="23.25" customHeight="1" x14ac:dyDescent="0.25">
      <c r="A2186" s="59">
        <f t="shared" si="306"/>
        <v>1900</v>
      </c>
      <c r="B2186" s="59">
        <f t="shared" si="307"/>
        <v>1</v>
      </c>
      <c r="C2186" s="97"/>
      <c r="D2186" s="61"/>
      <c r="F2186" s="23" t="e">
        <f>VLOOKUP(E2186,Customers[],2,FALSE)</f>
        <v>#N/A</v>
      </c>
      <c r="G2186" s="23" t="e">
        <f>VLOOKUP(E2186,Customers[],3,FALSE)</f>
        <v>#N/A</v>
      </c>
      <c r="H2186" s="23" t="e">
        <f>VLOOKUP(E2186,Customers[],4,FALSE)</f>
        <v>#N/A</v>
      </c>
      <c r="J2186" s="29" t="e">
        <f>VLOOKUP(I2186,PGStock[],2,FALSE)</f>
        <v>#N/A</v>
      </c>
      <c r="K2186" s="30" t="e">
        <f>VLOOKUP(I2186,PGStock[],3,FALSE)</f>
        <v>#N/A</v>
      </c>
      <c r="M2186" s="62" t="e">
        <f>VLOOKUP(I2186,PGStock[],6,FALSE)</f>
        <v>#N/A</v>
      </c>
      <c r="N2186" s="62" t="e">
        <f>+Table8[[#This Row],[SalesBot]]*Table8[[#This Row],[Bonus]]</f>
        <v>#N/A</v>
      </c>
    </row>
    <row r="2187" spans="1:14" ht="23.25" customHeight="1" x14ac:dyDescent="0.25">
      <c r="A2187" s="59">
        <f t="shared" si="306"/>
        <v>1900</v>
      </c>
      <c r="B2187" s="59">
        <f t="shared" si="307"/>
        <v>1</v>
      </c>
      <c r="C2187" s="97"/>
      <c r="D2187" s="61"/>
      <c r="F2187" s="23" t="e">
        <f>VLOOKUP(E2187,Customers[],2,FALSE)</f>
        <v>#N/A</v>
      </c>
      <c r="G2187" s="23" t="e">
        <f>VLOOKUP(E2187,Customers[],3,FALSE)</f>
        <v>#N/A</v>
      </c>
      <c r="H2187" s="23" t="e">
        <f>VLOOKUP(E2187,Customers[],4,FALSE)</f>
        <v>#N/A</v>
      </c>
      <c r="J2187" s="29" t="e">
        <f>VLOOKUP(I2187,PGStock[],2,FALSE)</f>
        <v>#N/A</v>
      </c>
      <c r="K2187" s="30" t="e">
        <f>VLOOKUP(I2187,PGStock[],3,FALSE)</f>
        <v>#N/A</v>
      </c>
      <c r="M2187" s="62" t="e">
        <f>VLOOKUP(I2187,PGStock[],6,FALSE)</f>
        <v>#N/A</v>
      </c>
      <c r="N2187" s="62" t="e">
        <f>+Table8[[#This Row],[SalesBot]]*Table8[[#This Row],[Bonus]]</f>
        <v>#N/A</v>
      </c>
    </row>
    <row r="2188" spans="1:14" ht="23.25" customHeight="1" x14ac:dyDescent="0.25">
      <c r="A2188" s="59">
        <f t="shared" si="306"/>
        <v>1900</v>
      </c>
      <c r="B2188" s="59">
        <f t="shared" si="307"/>
        <v>1</v>
      </c>
      <c r="C2188" s="97"/>
      <c r="D2188" s="61"/>
      <c r="F2188" s="23" t="e">
        <f>VLOOKUP(E2188,Customers[],2,FALSE)</f>
        <v>#N/A</v>
      </c>
      <c r="G2188" s="23" t="e">
        <f>VLOOKUP(E2188,Customers[],3,FALSE)</f>
        <v>#N/A</v>
      </c>
      <c r="H2188" s="23" t="e">
        <f>VLOOKUP(E2188,Customers[],4,FALSE)</f>
        <v>#N/A</v>
      </c>
      <c r="J2188" s="29" t="e">
        <f>VLOOKUP(I2188,PGStock[],2,FALSE)</f>
        <v>#N/A</v>
      </c>
      <c r="K2188" s="30" t="e">
        <f>VLOOKUP(I2188,PGStock[],3,FALSE)</f>
        <v>#N/A</v>
      </c>
      <c r="M2188" s="62" t="e">
        <f>VLOOKUP(I2188,PGStock[],6,FALSE)</f>
        <v>#N/A</v>
      </c>
      <c r="N2188" s="62" t="e">
        <f>+Table8[[#This Row],[SalesBot]]*Table8[[#This Row],[Bonus]]</f>
        <v>#N/A</v>
      </c>
    </row>
    <row r="2189" spans="1:14" ht="23.25" customHeight="1" x14ac:dyDescent="0.25">
      <c r="A2189" s="59">
        <f t="shared" si="306"/>
        <v>1900</v>
      </c>
      <c r="B2189" s="59">
        <f t="shared" si="307"/>
        <v>1</v>
      </c>
      <c r="C2189" s="97"/>
      <c r="D2189" s="61"/>
      <c r="F2189" s="23" t="e">
        <f>VLOOKUP(E2189,Customers[],2,FALSE)</f>
        <v>#N/A</v>
      </c>
      <c r="G2189" s="23" t="e">
        <f>VLOOKUP(E2189,Customers[],3,FALSE)</f>
        <v>#N/A</v>
      </c>
      <c r="H2189" s="23" t="e">
        <f>VLOOKUP(E2189,Customers[],4,FALSE)</f>
        <v>#N/A</v>
      </c>
      <c r="J2189" s="29" t="e">
        <f>VLOOKUP(I2189,PGStock[],2,FALSE)</f>
        <v>#N/A</v>
      </c>
      <c r="K2189" s="30" t="e">
        <f>VLOOKUP(I2189,PGStock[],3,FALSE)</f>
        <v>#N/A</v>
      </c>
      <c r="M2189" s="62" t="e">
        <f>VLOOKUP(I2189,PGStock[],6,FALSE)</f>
        <v>#N/A</v>
      </c>
      <c r="N2189" s="62" t="e">
        <f>+Table8[[#This Row],[SalesBot]]*Table8[[#This Row],[Bonus]]</f>
        <v>#N/A</v>
      </c>
    </row>
    <row r="2190" spans="1:14" ht="23.25" customHeight="1" x14ac:dyDescent="0.25">
      <c r="A2190" s="59">
        <f t="shared" si="306"/>
        <v>1900</v>
      </c>
      <c r="B2190" s="59">
        <f t="shared" si="307"/>
        <v>1</v>
      </c>
      <c r="C2190" s="97"/>
      <c r="D2190" s="61"/>
      <c r="F2190" s="23" t="e">
        <f>VLOOKUP(E2190,Customers[],2,FALSE)</f>
        <v>#N/A</v>
      </c>
      <c r="G2190" s="23" t="e">
        <f>VLOOKUP(E2190,Customers[],3,FALSE)</f>
        <v>#N/A</v>
      </c>
      <c r="H2190" s="23" t="e">
        <f>VLOOKUP(E2190,Customers[],4,FALSE)</f>
        <v>#N/A</v>
      </c>
      <c r="J2190" s="29" t="e">
        <f>VLOOKUP(I2190,PGStock[],2,FALSE)</f>
        <v>#N/A</v>
      </c>
      <c r="K2190" s="30" t="e">
        <f>VLOOKUP(I2190,PGStock[],3,FALSE)</f>
        <v>#N/A</v>
      </c>
      <c r="M2190" s="62" t="e">
        <f>VLOOKUP(I2190,PGStock[],6,FALSE)</f>
        <v>#N/A</v>
      </c>
      <c r="N2190" s="62" t="e">
        <f>+Table8[[#This Row],[SalesBot]]*Table8[[#This Row],[Bonus]]</f>
        <v>#N/A</v>
      </c>
    </row>
    <row r="2191" spans="1:14" ht="23.25" customHeight="1" x14ac:dyDescent="0.25">
      <c r="A2191" s="59">
        <f t="shared" si="306"/>
        <v>1900</v>
      </c>
      <c r="B2191" s="59">
        <f t="shared" si="307"/>
        <v>1</v>
      </c>
      <c r="C2191" s="97"/>
      <c r="D2191" s="61"/>
      <c r="F2191" s="23" t="e">
        <f>VLOOKUP(E2191,Customers[],2,FALSE)</f>
        <v>#N/A</v>
      </c>
      <c r="G2191" s="23" t="e">
        <f>VLOOKUP(E2191,Customers[],3,FALSE)</f>
        <v>#N/A</v>
      </c>
      <c r="H2191" s="23" t="e">
        <f>VLOOKUP(E2191,Customers[],4,FALSE)</f>
        <v>#N/A</v>
      </c>
      <c r="J2191" s="29" t="e">
        <f>VLOOKUP(I2191,PGStock[],2,FALSE)</f>
        <v>#N/A</v>
      </c>
      <c r="K2191" s="30" t="e">
        <f>VLOOKUP(I2191,PGStock[],3,FALSE)</f>
        <v>#N/A</v>
      </c>
      <c r="M2191" s="62" t="e">
        <f>VLOOKUP(I2191,PGStock[],6,FALSE)</f>
        <v>#N/A</v>
      </c>
      <c r="N2191" s="62" t="e">
        <f>+Table8[[#This Row],[SalesBot]]*Table8[[#This Row],[Bonus]]</f>
        <v>#N/A</v>
      </c>
    </row>
    <row r="2192" spans="1:14" ht="23.25" customHeight="1" x14ac:dyDescent="0.25">
      <c r="A2192" s="59">
        <f t="shared" si="306"/>
        <v>1900</v>
      </c>
      <c r="B2192" s="59">
        <f t="shared" si="307"/>
        <v>1</v>
      </c>
      <c r="C2192" s="97"/>
      <c r="D2192" s="61"/>
      <c r="F2192" s="23" t="e">
        <f>VLOOKUP(E2192,Customers[],2,FALSE)</f>
        <v>#N/A</v>
      </c>
      <c r="G2192" s="23" t="e">
        <f>VLOOKUP(E2192,Customers[],3,FALSE)</f>
        <v>#N/A</v>
      </c>
      <c r="H2192" s="23" t="e">
        <f>VLOOKUP(E2192,Customers[],4,FALSE)</f>
        <v>#N/A</v>
      </c>
      <c r="J2192" s="29" t="e">
        <f>VLOOKUP(I2192,PGStock[],2,FALSE)</f>
        <v>#N/A</v>
      </c>
      <c r="K2192" s="30" t="e">
        <f>VLOOKUP(I2192,PGStock[],3,FALSE)</f>
        <v>#N/A</v>
      </c>
      <c r="M2192" s="62" t="e">
        <f>VLOOKUP(I2192,PGStock[],6,FALSE)</f>
        <v>#N/A</v>
      </c>
      <c r="N2192" s="62" t="e">
        <f>+Table8[[#This Row],[SalesBot]]*Table8[[#This Row],[Bonus]]</f>
        <v>#N/A</v>
      </c>
    </row>
    <row r="2193" spans="1:14" ht="23.25" customHeight="1" x14ac:dyDescent="0.25">
      <c r="A2193" s="59">
        <f t="shared" ref="A2193:A2200" si="308">YEAR(C2193)</f>
        <v>1900</v>
      </c>
      <c r="B2193" s="59">
        <f t="shared" ref="B2193:B2200" si="309">MONTH(C2193)</f>
        <v>1</v>
      </c>
      <c r="C2193" s="97"/>
      <c r="D2193" s="61"/>
      <c r="F2193" s="23" t="e">
        <f>VLOOKUP(E2193,Customers[],2,FALSE)</f>
        <v>#N/A</v>
      </c>
      <c r="G2193" s="23" t="e">
        <f>VLOOKUP(E2193,Customers[],3,FALSE)</f>
        <v>#N/A</v>
      </c>
      <c r="H2193" s="23" t="e">
        <f>VLOOKUP(E2193,Customers[],4,FALSE)</f>
        <v>#N/A</v>
      </c>
      <c r="J2193" s="29" t="e">
        <f>VLOOKUP(I2193,PGStock[],2,FALSE)</f>
        <v>#N/A</v>
      </c>
      <c r="K2193" s="30" t="e">
        <f>VLOOKUP(I2193,PGStock[],3,FALSE)</f>
        <v>#N/A</v>
      </c>
      <c r="M2193" s="62" t="e">
        <f>VLOOKUP(I2193,PGStock[],6,FALSE)</f>
        <v>#N/A</v>
      </c>
      <c r="N2193" s="62" t="e">
        <f>+Table8[[#This Row],[SalesBot]]*Table8[[#This Row],[Bonus]]</f>
        <v>#N/A</v>
      </c>
    </row>
    <row r="2194" spans="1:14" ht="23.25" customHeight="1" x14ac:dyDescent="0.25">
      <c r="A2194" s="59">
        <f t="shared" si="308"/>
        <v>1900</v>
      </c>
      <c r="B2194" s="59">
        <f t="shared" si="309"/>
        <v>1</v>
      </c>
      <c r="C2194" s="97"/>
      <c r="D2194" s="61"/>
      <c r="F2194" s="23" t="e">
        <f>VLOOKUP(E2194,Customers[],2,FALSE)</f>
        <v>#N/A</v>
      </c>
      <c r="G2194" s="23" t="e">
        <f>VLOOKUP(E2194,Customers[],3,FALSE)</f>
        <v>#N/A</v>
      </c>
      <c r="H2194" s="23" t="e">
        <f>VLOOKUP(E2194,Customers[],4,FALSE)</f>
        <v>#N/A</v>
      </c>
      <c r="J2194" s="29" t="e">
        <f>VLOOKUP(I2194,PGStock[],2,FALSE)</f>
        <v>#N/A</v>
      </c>
      <c r="K2194" s="30" t="e">
        <f>VLOOKUP(I2194,PGStock[],3,FALSE)</f>
        <v>#N/A</v>
      </c>
      <c r="M2194" s="62" t="e">
        <f>VLOOKUP(I2194,PGStock[],6,FALSE)</f>
        <v>#N/A</v>
      </c>
      <c r="N2194" s="62" t="e">
        <f>+Table8[[#This Row],[SalesBot]]*Table8[[#This Row],[Bonus]]</f>
        <v>#N/A</v>
      </c>
    </row>
    <row r="2195" spans="1:14" ht="23.25" customHeight="1" x14ac:dyDescent="0.25">
      <c r="A2195" s="59">
        <f t="shared" si="308"/>
        <v>1900</v>
      </c>
      <c r="B2195" s="59">
        <f t="shared" si="309"/>
        <v>1</v>
      </c>
      <c r="C2195" s="97"/>
      <c r="D2195" s="61"/>
      <c r="F2195" s="23" t="e">
        <f>VLOOKUP(E2195,Customers[],2,FALSE)</f>
        <v>#N/A</v>
      </c>
      <c r="G2195" s="23" t="e">
        <f>VLOOKUP(E2195,Customers[],3,FALSE)</f>
        <v>#N/A</v>
      </c>
      <c r="H2195" s="23" t="e">
        <f>VLOOKUP(E2195,Customers[],4,FALSE)</f>
        <v>#N/A</v>
      </c>
      <c r="J2195" s="29" t="e">
        <f>VLOOKUP(I2195,PGStock[],2,FALSE)</f>
        <v>#N/A</v>
      </c>
      <c r="K2195" s="30" t="e">
        <f>VLOOKUP(I2195,PGStock[],3,FALSE)</f>
        <v>#N/A</v>
      </c>
      <c r="M2195" s="62" t="e">
        <f>VLOOKUP(I2195,PGStock[],6,FALSE)</f>
        <v>#N/A</v>
      </c>
      <c r="N2195" s="62" t="e">
        <f>+Table8[[#This Row],[SalesBot]]*Table8[[#This Row],[Bonus]]</f>
        <v>#N/A</v>
      </c>
    </row>
    <row r="2196" spans="1:14" ht="23.25" customHeight="1" x14ac:dyDescent="0.25">
      <c r="A2196" s="59">
        <f t="shared" si="308"/>
        <v>1900</v>
      </c>
      <c r="B2196" s="59">
        <f t="shared" si="309"/>
        <v>1</v>
      </c>
      <c r="C2196" s="97"/>
      <c r="D2196" s="61"/>
      <c r="F2196" s="23" t="e">
        <f>VLOOKUP(E2196,Customers[],2,FALSE)</f>
        <v>#N/A</v>
      </c>
      <c r="G2196" s="23" t="e">
        <f>VLOOKUP(E2196,Customers[],3,FALSE)</f>
        <v>#N/A</v>
      </c>
      <c r="H2196" s="23" t="e">
        <f>VLOOKUP(E2196,Customers[],4,FALSE)</f>
        <v>#N/A</v>
      </c>
      <c r="J2196" s="29" t="e">
        <f>VLOOKUP(I2196,PGStock[],2,FALSE)</f>
        <v>#N/A</v>
      </c>
      <c r="K2196" s="30" t="e">
        <f>VLOOKUP(I2196,PGStock[],3,FALSE)</f>
        <v>#N/A</v>
      </c>
      <c r="M2196" s="62" t="e">
        <f>VLOOKUP(I2196,PGStock[],6,FALSE)</f>
        <v>#N/A</v>
      </c>
      <c r="N2196" s="62" t="e">
        <f>+Table8[[#This Row],[SalesBot]]*Table8[[#This Row],[Bonus]]</f>
        <v>#N/A</v>
      </c>
    </row>
    <row r="2197" spans="1:14" ht="23.25" customHeight="1" x14ac:dyDescent="0.25">
      <c r="A2197" s="59">
        <f t="shared" si="308"/>
        <v>1900</v>
      </c>
      <c r="B2197" s="59">
        <f t="shared" si="309"/>
        <v>1</v>
      </c>
      <c r="C2197" s="97"/>
      <c r="D2197" s="61"/>
      <c r="F2197" s="23" t="e">
        <f>VLOOKUP(E2197,Customers[],2,FALSE)</f>
        <v>#N/A</v>
      </c>
      <c r="G2197" s="23" t="e">
        <f>VLOOKUP(E2197,Customers[],3,FALSE)</f>
        <v>#N/A</v>
      </c>
      <c r="H2197" s="23" t="e">
        <f>VLOOKUP(E2197,Customers[],4,FALSE)</f>
        <v>#N/A</v>
      </c>
      <c r="J2197" s="29" t="e">
        <f>VLOOKUP(I2197,PGStock[],2,FALSE)</f>
        <v>#N/A</v>
      </c>
      <c r="K2197" s="30" t="e">
        <f>VLOOKUP(I2197,PGStock[],3,FALSE)</f>
        <v>#N/A</v>
      </c>
      <c r="M2197" s="62" t="e">
        <f>VLOOKUP(I2197,PGStock[],6,FALSE)</f>
        <v>#N/A</v>
      </c>
      <c r="N2197" s="62" t="e">
        <f>+Table8[[#This Row],[SalesBot]]*Table8[[#This Row],[Bonus]]</f>
        <v>#N/A</v>
      </c>
    </row>
    <row r="2198" spans="1:14" ht="23.25" customHeight="1" x14ac:dyDescent="0.25">
      <c r="A2198" s="59">
        <f t="shared" si="308"/>
        <v>1900</v>
      </c>
      <c r="B2198" s="59">
        <f t="shared" si="309"/>
        <v>1</v>
      </c>
      <c r="C2198" s="97"/>
      <c r="D2198" s="61"/>
      <c r="F2198" s="23" t="e">
        <f>VLOOKUP(E2198,Customers[],2,FALSE)</f>
        <v>#N/A</v>
      </c>
      <c r="G2198" s="23" t="e">
        <f>VLOOKUP(E2198,Customers[],3,FALSE)</f>
        <v>#N/A</v>
      </c>
      <c r="H2198" s="23" t="e">
        <f>VLOOKUP(E2198,Customers[],4,FALSE)</f>
        <v>#N/A</v>
      </c>
      <c r="J2198" s="29" t="e">
        <f>VLOOKUP(I2198,PGStock[],2,FALSE)</f>
        <v>#N/A</v>
      </c>
      <c r="K2198" s="30" t="e">
        <f>VLOOKUP(I2198,PGStock[],3,FALSE)</f>
        <v>#N/A</v>
      </c>
      <c r="M2198" s="62" t="e">
        <f>VLOOKUP(I2198,PGStock[],6,FALSE)</f>
        <v>#N/A</v>
      </c>
      <c r="N2198" s="62" t="e">
        <f>+Table8[[#This Row],[SalesBot]]*Table8[[#This Row],[Bonus]]</f>
        <v>#N/A</v>
      </c>
    </row>
    <row r="2199" spans="1:14" ht="23.25" customHeight="1" x14ac:dyDescent="0.25">
      <c r="A2199" s="59">
        <f t="shared" si="308"/>
        <v>1900</v>
      </c>
      <c r="B2199" s="59">
        <f t="shared" si="309"/>
        <v>1</v>
      </c>
      <c r="C2199" s="97"/>
      <c r="D2199" s="61"/>
      <c r="F2199" s="23" t="e">
        <f>VLOOKUP(E2199,Customers[],2,FALSE)</f>
        <v>#N/A</v>
      </c>
      <c r="G2199" s="23" t="e">
        <f>VLOOKUP(E2199,Customers[],3,FALSE)</f>
        <v>#N/A</v>
      </c>
      <c r="H2199" s="23" t="e">
        <f>VLOOKUP(E2199,Customers[],4,FALSE)</f>
        <v>#N/A</v>
      </c>
      <c r="J2199" s="29" t="e">
        <f>VLOOKUP(I2199,PGStock[],2,FALSE)</f>
        <v>#N/A</v>
      </c>
      <c r="K2199" s="30" t="e">
        <f>VLOOKUP(I2199,PGStock[],3,FALSE)</f>
        <v>#N/A</v>
      </c>
      <c r="M2199" s="62" t="e">
        <f>VLOOKUP(I2199,PGStock[],6,FALSE)</f>
        <v>#N/A</v>
      </c>
      <c r="N2199" s="62" t="e">
        <f>+Table8[[#This Row],[SalesBot]]*Table8[[#This Row],[Bonus]]</f>
        <v>#N/A</v>
      </c>
    </row>
    <row r="2200" spans="1:14" ht="23.25" customHeight="1" x14ac:dyDescent="0.25">
      <c r="A2200" s="59">
        <f t="shared" si="308"/>
        <v>1900</v>
      </c>
      <c r="B2200" s="59">
        <f t="shared" si="309"/>
        <v>1</v>
      </c>
      <c r="C2200" s="97"/>
      <c r="D2200" s="61"/>
      <c r="F2200" s="23" t="e">
        <f>VLOOKUP(E2200,Customers[],2,FALSE)</f>
        <v>#N/A</v>
      </c>
      <c r="G2200" s="23" t="e">
        <f>VLOOKUP(E2200,Customers[],3,FALSE)</f>
        <v>#N/A</v>
      </c>
      <c r="H2200" s="23" t="e">
        <f>VLOOKUP(E2200,Customers[],4,FALSE)</f>
        <v>#N/A</v>
      </c>
      <c r="J2200" s="29" t="e">
        <f>VLOOKUP(I2200,PGStock[],2,FALSE)</f>
        <v>#N/A</v>
      </c>
      <c r="K2200" s="30" t="e">
        <f>VLOOKUP(I2200,PGStock[],3,FALSE)</f>
        <v>#N/A</v>
      </c>
      <c r="M2200" s="62" t="e">
        <f>VLOOKUP(I2200,PGStock[],6,FALSE)</f>
        <v>#N/A</v>
      </c>
      <c r="N2200" s="62" t="e">
        <f>+Table8[[#This Row],[SalesBot]]*Table8[[#This Row],[Bonus]]</f>
        <v>#N/A</v>
      </c>
    </row>
    <row r="2201" spans="1:14" ht="23.25" customHeight="1" x14ac:dyDescent="0.25">
      <c r="A2201" s="59">
        <f t="shared" ref="A2201:A2208" si="310">YEAR(C2201)</f>
        <v>1900</v>
      </c>
      <c r="B2201" s="59">
        <f t="shared" ref="B2201:B2208" si="311">MONTH(C2201)</f>
        <v>1</v>
      </c>
      <c r="C2201" s="97"/>
      <c r="D2201" s="61"/>
      <c r="F2201" s="23" t="e">
        <f>VLOOKUP(E2201,Customers[],2,FALSE)</f>
        <v>#N/A</v>
      </c>
      <c r="G2201" s="23" t="e">
        <f>VLOOKUP(E2201,Customers[],3,FALSE)</f>
        <v>#N/A</v>
      </c>
      <c r="H2201" s="23" t="e">
        <f>VLOOKUP(E2201,Customers[],4,FALSE)</f>
        <v>#N/A</v>
      </c>
      <c r="J2201" s="29" t="e">
        <f>VLOOKUP(I2201,PGStock[],2,FALSE)</f>
        <v>#N/A</v>
      </c>
      <c r="K2201" s="30" t="e">
        <f>VLOOKUP(I2201,PGStock[],3,FALSE)</f>
        <v>#N/A</v>
      </c>
      <c r="M2201" s="62" t="e">
        <f>VLOOKUP(I2201,PGStock[],6,FALSE)</f>
        <v>#N/A</v>
      </c>
      <c r="N2201" s="62" t="e">
        <f>+Table8[[#This Row],[SalesBot]]*Table8[[#This Row],[Bonus]]</f>
        <v>#N/A</v>
      </c>
    </row>
    <row r="2202" spans="1:14" ht="23.25" customHeight="1" x14ac:dyDescent="0.25">
      <c r="A2202" s="59">
        <f t="shared" si="310"/>
        <v>1900</v>
      </c>
      <c r="B2202" s="59">
        <f t="shared" si="311"/>
        <v>1</v>
      </c>
      <c r="C2202" s="97"/>
      <c r="D2202" s="61"/>
      <c r="F2202" s="23" t="e">
        <f>VLOOKUP(E2202,Customers[],2,FALSE)</f>
        <v>#N/A</v>
      </c>
      <c r="G2202" s="23" t="e">
        <f>VLOOKUP(E2202,Customers[],3,FALSE)</f>
        <v>#N/A</v>
      </c>
      <c r="H2202" s="23" t="e">
        <f>VLOOKUP(E2202,Customers[],4,FALSE)</f>
        <v>#N/A</v>
      </c>
      <c r="J2202" s="29" t="e">
        <f>VLOOKUP(I2202,PGStock[],2,FALSE)</f>
        <v>#N/A</v>
      </c>
      <c r="K2202" s="30" t="e">
        <f>VLOOKUP(I2202,PGStock[],3,FALSE)</f>
        <v>#N/A</v>
      </c>
      <c r="M2202" s="62" t="e">
        <f>VLOOKUP(I2202,PGStock[],6,FALSE)</f>
        <v>#N/A</v>
      </c>
      <c r="N2202" s="62" t="e">
        <f>+Table8[[#This Row],[SalesBot]]*Table8[[#This Row],[Bonus]]</f>
        <v>#N/A</v>
      </c>
    </row>
    <row r="2203" spans="1:14" ht="23.25" customHeight="1" x14ac:dyDescent="0.25">
      <c r="A2203" s="59">
        <f t="shared" si="310"/>
        <v>1900</v>
      </c>
      <c r="B2203" s="59">
        <f t="shared" si="311"/>
        <v>1</v>
      </c>
      <c r="C2203" s="97"/>
      <c r="D2203" s="61"/>
      <c r="F2203" s="23" t="e">
        <f>VLOOKUP(E2203,Customers[],2,FALSE)</f>
        <v>#N/A</v>
      </c>
      <c r="G2203" s="23" t="e">
        <f>VLOOKUP(E2203,Customers[],3,FALSE)</f>
        <v>#N/A</v>
      </c>
      <c r="H2203" s="23" t="e">
        <f>VLOOKUP(E2203,Customers[],4,FALSE)</f>
        <v>#N/A</v>
      </c>
      <c r="J2203" s="29" t="e">
        <f>VLOOKUP(I2203,PGStock[],2,FALSE)</f>
        <v>#N/A</v>
      </c>
      <c r="K2203" s="30" t="e">
        <f>VLOOKUP(I2203,PGStock[],3,FALSE)</f>
        <v>#N/A</v>
      </c>
      <c r="M2203" s="62" t="e">
        <f>VLOOKUP(I2203,PGStock[],6,FALSE)</f>
        <v>#N/A</v>
      </c>
      <c r="N2203" s="62" t="e">
        <f>+Table8[[#This Row],[SalesBot]]*Table8[[#This Row],[Bonus]]</f>
        <v>#N/A</v>
      </c>
    </row>
    <row r="2204" spans="1:14" ht="23.25" customHeight="1" x14ac:dyDescent="0.25">
      <c r="A2204" s="59">
        <f t="shared" si="310"/>
        <v>1900</v>
      </c>
      <c r="B2204" s="59">
        <f t="shared" si="311"/>
        <v>1</v>
      </c>
      <c r="C2204" s="97"/>
      <c r="D2204" s="61"/>
      <c r="F2204" s="23" t="e">
        <f>VLOOKUP(E2204,Customers[],2,FALSE)</f>
        <v>#N/A</v>
      </c>
      <c r="G2204" s="23" t="e">
        <f>VLOOKUP(E2204,Customers[],3,FALSE)</f>
        <v>#N/A</v>
      </c>
      <c r="H2204" s="23" t="e">
        <f>VLOOKUP(E2204,Customers[],4,FALSE)</f>
        <v>#N/A</v>
      </c>
      <c r="J2204" s="29" t="e">
        <f>VLOOKUP(I2204,PGStock[],2,FALSE)</f>
        <v>#N/A</v>
      </c>
      <c r="K2204" s="30" t="e">
        <f>VLOOKUP(I2204,PGStock[],3,FALSE)</f>
        <v>#N/A</v>
      </c>
      <c r="M2204" s="62" t="e">
        <f>VLOOKUP(I2204,PGStock[],6,FALSE)</f>
        <v>#N/A</v>
      </c>
      <c r="N2204" s="62" t="e">
        <f>+Table8[[#This Row],[SalesBot]]*Table8[[#This Row],[Bonus]]</f>
        <v>#N/A</v>
      </c>
    </row>
    <row r="2205" spans="1:14" ht="23.25" customHeight="1" x14ac:dyDescent="0.25">
      <c r="A2205" s="59">
        <f t="shared" si="310"/>
        <v>1900</v>
      </c>
      <c r="B2205" s="59">
        <f t="shared" si="311"/>
        <v>1</v>
      </c>
      <c r="C2205" s="97"/>
      <c r="D2205" s="61"/>
      <c r="F2205" s="23" t="e">
        <f>VLOOKUP(E2205,Customers[],2,FALSE)</f>
        <v>#N/A</v>
      </c>
      <c r="G2205" s="23" t="e">
        <f>VLOOKUP(E2205,Customers[],3,FALSE)</f>
        <v>#N/A</v>
      </c>
      <c r="H2205" s="23" t="e">
        <f>VLOOKUP(E2205,Customers[],4,FALSE)</f>
        <v>#N/A</v>
      </c>
      <c r="J2205" s="29" t="e">
        <f>VLOOKUP(I2205,PGStock[],2,FALSE)</f>
        <v>#N/A</v>
      </c>
      <c r="K2205" s="30" t="e">
        <f>VLOOKUP(I2205,PGStock[],3,FALSE)</f>
        <v>#N/A</v>
      </c>
      <c r="M2205" s="62" t="e">
        <f>VLOOKUP(I2205,PGStock[],6,FALSE)</f>
        <v>#N/A</v>
      </c>
      <c r="N2205" s="62" t="e">
        <f>+Table8[[#This Row],[SalesBot]]*Table8[[#This Row],[Bonus]]</f>
        <v>#N/A</v>
      </c>
    </row>
    <row r="2206" spans="1:14" ht="23.25" customHeight="1" x14ac:dyDescent="0.25">
      <c r="A2206" s="59">
        <f t="shared" si="310"/>
        <v>1900</v>
      </c>
      <c r="B2206" s="59">
        <f t="shared" si="311"/>
        <v>1</v>
      </c>
      <c r="C2206" s="97"/>
      <c r="D2206" s="61"/>
      <c r="F2206" s="23" t="e">
        <f>VLOOKUP(E2206,Customers[],2,FALSE)</f>
        <v>#N/A</v>
      </c>
      <c r="G2206" s="23" t="e">
        <f>VLOOKUP(E2206,Customers[],3,FALSE)</f>
        <v>#N/A</v>
      </c>
      <c r="H2206" s="23" t="e">
        <f>VLOOKUP(E2206,Customers[],4,FALSE)</f>
        <v>#N/A</v>
      </c>
      <c r="J2206" s="29" t="e">
        <f>VLOOKUP(I2206,PGStock[],2,FALSE)</f>
        <v>#N/A</v>
      </c>
      <c r="K2206" s="30" t="e">
        <f>VLOOKUP(I2206,PGStock[],3,FALSE)</f>
        <v>#N/A</v>
      </c>
      <c r="M2206" s="62" t="e">
        <f>VLOOKUP(I2206,PGStock[],6,FALSE)</f>
        <v>#N/A</v>
      </c>
      <c r="N2206" s="62" t="e">
        <f>+Table8[[#This Row],[SalesBot]]*Table8[[#This Row],[Bonus]]</f>
        <v>#N/A</v>
      </c>
    </row>
    <row r="2207" spans="1:14" ht="23.25" customHeight="1" x14ac:dyDescent="0.25">
      <c r="A2207" s="59">
        <f t="shared" si="310"/>
        <v>1900</v>
      </c>
      <c r="B2207" s="59">
        <f t="shared" si="311"/>
        <v>1</v>
      </c>
      <c r="C2207" s="97"/>
      <c r="D2207" s="61"/>
      <c r="F2207" s="23" t="e">
        <f>VLOOKUP(E2207,Customers[],2,FALSE)</f>
        <v>#N/A</v>
      </c>
      <c r="G2207" s="23" t="e">
        <f>VLOOKUP(E2207,Customers[],3,FALSE)</f>
        <v>#N/A</v>
      </c>
      <c r="H2207" s="23" t="e">
        <f>VLOOKUP(E2207,Customers[],4,FALSE)</f>
        <v>#N/A</v>
      </c>
      <c r="J2207" s="29" t="e">
        <f>VLOOKUP(I2207,PGStock[],2,FALSE)</f>
        <v>#N/A</v>
      </c>
      <c r="K2207" s="30" t="e">
        <f>VLOOKUP(I2207,PGStock[],3,FALSE)</f>
        <v>#N/A</v>
      </c>
      <c r="M2207" s="62" t="e">
        <f>VLOOKUP(I2207,PGStock[],6,FALSE)</f>
        <v>#N/A</v>
      </c>
      <c r="N2207" s="62" t="e">
        <f>+Table8[[#This Row],[SalesBot]]*Table8[[#This Row],[Bonus]]</f>
        <v>#N/A</v>
      </c>
    </row>
    <row r="2208" spans="1:14" ht="23.25" customHeight="1" x14ac:dyDescent="0.25">
      <c r="A2208" s="59">
        <f t="shared" si="310"/>
        <v>1900</v>
      </c>
      <c r="B2208" s="59">
        <f t="shared" si="311"/>
        <v>1</v>
      </c>
      <c r="C2208" s="97"/>
      <c r="D2208" s="61"/>
      <c r="F2208" s="23" t="e">
        <f>VLOOKUP(E2208,Customers[],2,FALSE)</f>
        <v>#N/A</v>
      </c>
      <c r="G2208" s="23" t="e">
        <f>VLOOKUP(E2208,Customers[],3,FALSE)</f>
        <v>#N/A</v>
      </c>
      <c r="H2208" s="23" t="e">
        <f>VLOOKUP(E2208,Customers[],4,FALSE)</f>
        <v>#N/A</v>
      </c>
      <c r="J2208" s="29" t="e">
        <f>VLOOKUP(I2208,PGStock[],2,FALSE)</f>
        <v>#N/A</v>
      </c>
      <c r="K2208" s="30" t="e">
        <f>VLOOKUP(I2208,PGStock[],3,FALSE)</f>
        <v>#N/A</v>
      </c>
      <c r="M2208" s="62" t="e">
        <f>VLOOKUP(I2208,PGStock[],6,FALSE)</f>
        <v>#N/A</v>
      </c>
      <c r="N2208" s="62" t="e">
        <f>+Table8[[#This Row],[SalesBot]]*Table8[[#This Row],[Bonus]]</f>
        <v>#N/A</v>
      </c>
    </row>
    <row r="2209" spans="1:14" ht="23.25" customHeight="1" x14ac:dyDescent="0.25">
      <c r="A2209" s="59">
        <f t="shared" ref="A2209:A2216" si="312">YEAR(C2209)</f>
        <v>1900</v>
      </c>
      <c r="B2209" s="59">
        <f t="shared" ref="B2209:B2216" si="313">MONTH(C2209)</f>
        <v>1</v>
      </c>
      <c r="C2209" s="97"/>
      <c r="D2209" s="61"/>
      <c r="F2209" s="23" t="e">
        <f>VLOOKUP(E2209,Customers[],2,FALSE)</f>
        <v>#N/A</v>
      </c>
      <c r="G2209" s="23" t="e">
        <f>VLOOKUP(E2209,Customers[],3,FALSE)</f>
        <v>#N/A</v>
      </c>
      <c r="H2209" s="23" t="e">
        <f>VLOOKUP(E2209,Customers[],4,FALSE)</f>
        <v>#N/A</v>
      </c>
      <c r="J2209" s="29" t="e">
        <f>VLOOKUP(I2209,PGStock[],2,FALSE)</f>
        <v>#N/A</v>
      </c>
      <c r="K2209" s="30" t="e">
        <f>VLOOKUP(I2209,PGStock[],3,FALSE)</f>
        <v>#N/A</v>
      </c>
      <c r="M2209" s="62" t="e">
        <f>VLOOKUP(I2209,PGStock[],6,FALSE)</f>
        <v>#N/A</v>
      </c>
      <c r="N2209" s="62" t="e">
        <f>+Table8[[#This Row],[SalesBot]]*Table8[[#This Row],[Bonus]]</f>
        <v>#N/A</v>
      </c>
    </row>
    <row r="2210" spans="1:14" ht="23.25" customHeight="1" x14ac:dyDescent="0.25">
      <c r="A2210" s="59">
        <f t="shared" si="312"/>
        <v>1900</v>
      </c>
      <c r="B2210" s="59">
        <f t="shared" si="313"/>
        <v>1</v>
      </c>
      <c r="C2210" s="97"/>
      <c r="D2210" s="61"/>
      <c r="F2210" s="23" t="e">
        <f>VLOOKUP(E2210,Customers[],2,FALSE)</f>
        <v>#N/A</v>
      </c>
      <c r="G2210" s="23" t="e">
        <f>VLOOKUP(E2210,Customers[],3,FALSE)</f>
        <v>#N/A</v>
      </c>
      <c r="H2210" s="23" t="e">
        <f>VLOOKUP(E2210,Customers[],4,FALSE)</f>
        <v>#N/A</v>
      </c>
      <c r="J2210" s="29" t="e">
        <f>VLOOKUP(I2210,PGStock[],2,FALSE)</f>
        <v>#N/A</v>
      </c>
      <c r="K2210" s="30" t="e">
        <f>VLOOKUP(I2210,PGStock[],3,FALSE)</f>
        <v>#N/A</v>
      </c>
      <c r="M2210" s="62" t="e">
        <f>VLOOKUP(I2210,PGStock[],6,FALSE)</f>
        <v>#N/A</v>
      </c>
      <c r="N2210" s="62" t="e">
        <f>+Table8[[#This Row],[SalesBot]]*Table8[[#This Row],[Bonus]]</f>
        <v>#N/A</v>
      </c>
    </row>
    <row r="2211" spans="1:14" ht="23.25" customHeight="1" x14ac:dyDescent="0.25">
      <c r="A2211" s="59">
        <f t="shared" si="312"/>
        <v>1900</v>
      </c>
      <c r="B2211" s="59">
        <f t="shared" si="313"/>
        <v>1</v>
      </c>
      <c r="C2211" s="97"/>
      <c r="D2211" s="61"/>
      <c r="F2211" s="23" t="e">
        <f>VLOOKUP(E2211,Customers[],2,FALSE)</f>
        <v>#N/A</v>
      </c>
      <c r="G2211" s="23" t="e">
        <f>VLOOKUP(E2211,Customers[],3,FALSE)</f>
        <v>#N/A</v>
      </c>
      <c r="H2211" s="23" t="e">
        <f>VLOOKUP(E2211,Customers[],4,FALSE)</f>
        <v>#N/A</v>
      </c>
      <c r="J2211" s="29" t="e">
        <f>VLOOKUP(I2211,PGStock[],2,FALSE)</f>
        <v>#N/A</v>
      </c>
      <c r="K2211" s="30" t="e">
        <f>VLOOKUP(I2211,PGStock[],3,FALSE)</f>
        <v>#N/A</v>
      </c>
      <c r="M2211" s="62" t="e">
        <f>VLOOKUP(I2211,PGStock[],6,FALSE)</f>
        <v>#N/A</v>
      </c>
      <c r="N2211" s="62" t="e">
        <f>+Table8[[#This Row],[SalesBot]]*Table8[[#This Row],[Bonus]]</f>
        <v>#N/A</v>
      </c>
    </row>
    <row r="2212" spans="1:14" ht="23.25" customHeight="1" x14ac:dyDescent="0.25">
      <c r="A2212" s="59">
        <f t="shared" si="312"/>
        <v>1900</v>
      </c>
      <c r="B2212" s="59">
        <f t="shared" si="313"/>
        <v>1</v>
      </c>
      <c r="C2212" s="97"/>
      <c r="D2212" s="61"/>
      <c r="F2212" s="23" t="e">
        <f>VLOOKUP(E2212,Customers[],2,FALSE)</f>
        <v>#N/A</v>
      </c>
      <c r="G2212" s="23" t="e">
        <f>VLOOKUP(E2212,Customers[],3,FALSE)</f>
        <v>#N/A</v>
      </c>
      <c r="H2212" s="23" t="e">
        <f>VLOOKUP(E2212,Customers[],4,FALSE)</f>
        <v>#N/A</v>
      </c>
      <c r="J2212" s="29" t="e">
        <f>VLOOKUP(I2212,PGStock[],2,FALSE)</f>
        <v>#N/A</v>
      </c>
      <c r="K2212" s="30" t="e">
        <f>VLOOKUP(I2212,PGStock[],3,FALSE)</f>
        <v>#N/A</v>
      </c>
      <c r="M2212" s="62" t="e">
        <f>VLOOKUP(I2212,PGStock[],6,FALSE)</f>
        <v>#N/A</v>
      </c>
      <c r="N2212" s="62" t="e">
        <f>+Table8[[#This Row],[SalesBot]]*Table8[[#This Row],[Bonus]]</f>
        <v>#N/A</v>
      </c>
    </row>
    <row r="2213" spans="1:14" ht="23.25" customHeight="1" x14ac:dyDescent="0.25">
      <c r="A2213" s="59">
        <f t="shared" si="312"/>
        <v>1900</v>
      </c>
      <c r="B2213" s="59">
        <f t="shared" si="313"/>
        <v>1</v>
      </c>
      <c r="C2213" s="97"/>
      <c r="D2213" s="61"/>
      <c r="F2213" s="23" t="e">
        <f>VLOOKUP(E2213,Customers[],2,FALSE)</f>
        <v>#N/A</v>
      </c>
      <c r="G2213" s="23" t="e">
        <f>VLOOKUP(E2213,Customers[],3,FALSE)</f>
        <v>#N/A</v>
      </c>
      <c r="H2213" s="23" t="e">
        <f>VLOOKUP(E2213,Customers[],4,FALSE)</f>
        <v>#N/A</v>
      </c>
      <c r="J2213" s="29" t="e">
        <f>VLOOKUP(I2213,PGStock[],2,FALSE)</f>
        <v>#N/A</v>
      </c>
      <c r="K2213" s="30" t="e">
        <f>VLOOKUP(I2213,PGStock[],3,FALSE)</f>
        <v>#N/A</v>
      </c>
      <c r="M2213" s="62" t="e">
        <f>VLOOKUP(I2213,PGStock[],6,FALSE)</f>
        <v>#N/A</v>
      </c>
      <c r="N2213" s="62" t="e">
        <f>+Table8[[#This Row],[SalesBot]]*Table8[[#This Row],[Bonus]]</f>
        <v>#N/A</v>
      </c>
    </row>
    <row r="2214" spans="1:14" ht="23.25" customHeight="1" x14ac:dyDescent="0.25">
      <c r="A2214" s="59">
        <f t="shared" si="312"/>
        <v>1900</v>
      </c>
      <c r="B2214" s="59">
        <f t="shared" si="313"/>
        <v>1</v>
      </c>
      <c r="C2214" s="97"/>
      <c r="D2214" s="61"/>
      <c r="F2214" s="23" t="e">
        <f>VLOOKUP(E2214,Customers[],2,FALSE)</f>
        <v>#N/A</v>
      </c>
      <c r="G2214" s="23" t="e">
        <f>VLOOKUP(E2214,Customers[],3,FALSE)</f>
        <v>#N/A</v>
      </c>
      <c r="H2214" s="23" t="e">
        <f>VLOOKUP(E2214,Customers[],4,FALSE)</f>
        <v>#N/A</v>
      </c>
      <c r="J2214" s="29" t="e">
        <f>VLOOKUP(I2214,PGStock[],2,FALSE)</f>
        <v>#N/A</v>
      </c>
      <c r="K2214" s="30" t="e">
        <f>VLOOKUP(I2214,PGStock[],3,FALSE)</f>
        <v>#N/A</v>
      </c>
      <c r="M2214" s="62" t="e">
        <f>VLOOKUP(I2214,PGStock[],6,FALSE)</f>
        <v>#N/A</v>
      </c>
      <c r="N2214" s="62" t="e">
        <f>+Table8[[#This Row],[SalesBot]]*Table8[[#This Row],[Bonus]]</f>
        <v>#N/A</v>
      </c>
    </row>
    <row r="2215" spans="1:14" ht="23.25" customHeight="1" x14ac:dyDescent="0.25">
      <c r="A2215" s="59">
        <f t="shared" si="312"/>
        <v>1900</v>
      </c>
      <c r="B2215" s="59">
        <f t="shared" si="313"/>
        <v>1</v>
      </c>
      <c r="C2215" s="97"/>
      <c r="D2215" s="61"/>
      <c r="F2215" s="23" t="e">
        <f>VLOOKUP(E2215,Customers[],2,FALSE)</f>
        <v>#N/A</v>
      </c>
      <c r="G2215" s="23" t="e">
        <f>VLOOKUP(E2215,Customers[],3,FALSE)</f>
        <v>#N/A</v>
      </c>
      <c r="H2215" s="23" t="e">
        <f>VLOOKUP(E2215,Customers[],4,FALSE)</f>
        <v>#N/A</v>
      </c>
      <c r="J2215" s="29" t="e">
        <f>VLOOKUP(I2215,PGStock[],2,FALSE)</f>
        <v>#N/A</v>
      </c>
      <c r="K2215" s="30" t="e">
        <f>VLOOKUP(I2215,PGStock[],3,FALSE)</f>
        <v>#N/A</v>
      </c>
      <c r="M2215" s="62" t="e">
        <f>VLOOKUP(I2215,PGStock[],6,FALSE)</f>
        <v>#N/A</v>
      </c>
      <c r="N2215" s="62" t="e">
        <f>+Table8[[#This Row],[SalesBot]]*Table8[[#This Row],[Bonus]]</f>
        <v>#N/A</v>
      </c>
    </row>
    <row r="2216" spans="1:14" ht="23.25" customHeight="1" x14ac:dyDescent="0.25">
      <c r="A2216" s="59">
        <f t="shared" si="312"/>
        <v>1900</v>
      </c>
      <c r="B2216" s="59">
        <f t="shared" si="313"/>
        <v>1</v>
      </c>
      <c r="C2216" s="97"/>
      <c r="D2216" s="61"/>
      <c r="F2216" s="23" t="e">
        <f>VLOOKUP(E2216,Customers[],2,FALSE)</f>
        <v>#N/A</v>
      </c>
      <c r="G2216" s="23" t="e">
        <f>VLOOKUP(E2216,Customers[],3,FALSE)</f>
        <v>#N/A</v>
      </c>
      <c r="H2216" s="23" t="e">
        <f>VLOOKUP(E2216,Customers[],4,FALSE)</f>
        <v>#N/A</v>
      </c>
      <c r="J2216" s="29" t="e">
        <f>VLOOKUP(I2216,PGStock[],2,FALSE)</f>
        <v>#N/A</v>
      </c>
      <c r="K2216" s="30" t="e">
        <f>VLOOKUP(I2216,PGStock[],3,FALSE)</f>
        <v>#N/A</v>
      </c>
      <c r="M2216" s="62" t="e">
        <f>VLOOKUP(I2216,PGStock[],6,FALSE)</f>
        <v>#N/A</v>
      </c>
      <c r="N2216" s="62" t="e">
        <f>+Table8[[#This Row],[SalesBot]]*Table8[[#This Row],[Bonus]]</f>
        <v>#N/A</v>
      </c>
    </row>
    <row r="2217" spans="1:14" ht="23.25" customHeight="1" x14ac:dyDescent="0.25">
      <c r="A2217" s="59">
        <f t="shared" si="304"/>
        <v>1900</v>
      </c>
      <c r="B2217" s="59">
        <f t="shared" si="305"/>
        <v>1</v>
      </c>
      <c r="C2217" s="97"/>
      <c r="D2217" s="61"/>
      <c r="F2217" s="23" t="e">
        <f>VLOOKUP(E2217,Customers[],2,FALSE)</f>
        <v>#N/A</v>
      </c>
      <c r="G2217" s="23" t="e">
        <f>VLOOKUP(E2217,Customers[],3,FALSE)</f>
        <v>#N/A</v>
      </c>
      <c r="H2217" s="23" t="e">
        <f>VLOOKUP(E2217,Customers[],4,FALSE)</f>
        <v>#N/A</v>
      </c>
      <c r="J2217" s="29" t="e">
        <f>VLOOKUP(I2217,PGStock[],2,FALSE)</f>
        <v>#N/A</v>
      </c>
      <c r="K2217" s="30" t="e">
        <f>VLOOKUP(I2217,PGStock[],3,FALSE)</f>
        <v>#N/A</v>
      </c>
      <c r="M2217" s="62" t="e">
        <f>VLOOKUP(I2217,PGStock[],6,FALSE)</f>
        <v>#N/A</v>
      </c>
      <c r="N2217" s="62" t="e">
        <f>+Table8[[#This Row],[SalesBot]]*Table8[[#This Row],[Bonus]]</f>
        <v>#N/A</v>
      </c>
    </row>
    <row r="2218" spans="1:14" ht="23.25" customHeight="1" x14ac:dyDescent="0.25">
      <c r="A2218" s="59">
        <f t="shared" si="304"/>
        <v>1900</v>
      </c>
      <c r="B2218" s="59">
        <f t="shared" si="305"/>
        <v>1</v>
      </c>
      <c r="C2218" s="97"/>
      <c r="D2218" s="61"/>
      <c r="F2218" s="23" t="e">
        <f>VLOOKUP(E2218,Customers[],2,FALSE)</f>
        <v>#N/A</v>
      </c>
      <c r="G2218" s="23" t="e">
        <f>VLOOKUP(E2218,Customers[],3,FALSE)</f>
        <v>#N/A</v>
      </c>
      <c r="H2218" s="23" t="e">
        <f>VLOOKUP(E2218,Customers[],4,FALSE)</f>
        <v>#N/A</v>
      </c>
      <c r="J2218" s="29" t="e">
        <f>VLOOKUP(I2218,PGStock[],2,FALSE)</f>
        <v>#N/A</v>
      </c>
      <c r="K2218" s="30" t="e">
        <f>VLOOKUP(I2218,PGStock[],3,FALSE)</f>
        <v>#N/A</v>
      </c>
      <c r="M2218" s="62" t="e">
        <f>VLOOKUP(I2218,PGStock[],6,FALSE)</f>
        <v>#N/A</v>
      </c>
      <c r="N2218" s="62" t="e">
        <f>+Table8[[#This Row],[SalesBot]]*Table8[[#This Row],[Bonus]]</f>
        <v>#N/A</v>
      </c>
    </row>
    <row r="2219" spans="1:14" ht="23.25" customHeight="1" x14ac:dyDescent="0.25">
      <c r="A2219" s="59">
        <f t="shared" si="304"/>
        <v>1900</v>
      </c>
      <c r="B2219" s="59">
        <f t="shared" si="305"/>
        <v>1</v>
      </c>
      <c r="C2219" s="97"/>
      <c r="D2219" s="61"/>
      <c r="F2219" s="23" t="e">
        <f>VLOOKUP(E2219,Customers[],2,FALSE)</f>
        <v>#N/A</v>
      </c>
      <c r="G2219" s="23" t="e">
        <f>VLOOKUP(E2219,Customers[],3,FALSE)</f>
        <v>#N/A</v>
      </c>
      <c r="H2219" s="23" t="e">
        <f>VLOOKUP(E2219,Customers[],4,FALSE)</f>
        <v>#N/A</v>
      </c>
      <c r="J2219" s="29" t="e">
        <f>VLOOKUP(I2219,PGStock[],2,FALSE)</f>
        <v>#N/A</v>
      </c>
      <c r="K2219" s="30" t="e">
        <f>VLOOKUP(I2219,PGStock[],3,FALSE)</f>
        <v>#N/A</v>
      </c>
      <c r="M2219" s="62" t="e">
        <f>VLOOKUP(I2219,PGStock[],6,FALSE)</f>
        <v>#N/A</v>
      </c>
      <c r="N2219" s="62" t="e">
        <f>+Table8[[#This Row],[SalesBot]]*Table8[[#This Row],[Bonus]]</f>
        <v>#N/A</v>
      </c>
    </row>
    <row r="2220" spans="1:14" ht="23.25" customHeight="1" x14ac:dyDescent="0.25">
      <c r="A2220" s="59">
        <f t="shared" si="304"/>
        <v>1900</v>
      </c>
      <c r="B2220" s="59">
        <f t="shared" si="305"/>
        <v>1</v>
      </c>
      <c r="C2220" s="97"/>
      <c r="D2220" s="61"/>
      <c r="F2220" s="23" t="e">
        <f>VLOOKUP(E2220,Customers[],2,FALSE)</f>
        <v>#N/A</v>
      </c>
      <c r="G2220" s="23" t="e">
        <f>VLOOKUP(E2220,Customers[],3,FALSE)</f>
        <v>#N/A</v>
      </c>
      <c r="H2220" s="23" t="e">
        <f>VLOOKUP(E2220,Customers[],4,FALSE)</f>
        <v>#N/A</v>
      </c>
      <c r="J2220" s="29" t="e">
        <f>VLOOKUP(I2220,PGStock[],2,FALSE)</f>
        <v>#N/A</v>
      </c>
      <c r="K2220" s="30" t="e">
        <f>VLOOKUP(I2220,PGStock[],3,FALSE)</f>
        <v>#N/A</v>
      </c>
      <c r="M2220" s="62" t="e">
        <f>VLOOKUP(I2220,PGStock[],6,FALSE)</f>
        <v>#N/A</v>
      </c>
      <c r="N2220" s="62" t="e">
        <f>+Table8[[#This Row],[SalesBot]]*Table8[[#This Row],[Bonus]]</f>
        <v>#N/A</v>
      </c>
    </row>
    <row r="2221" spans="1:14" ht="23.25" customHeight="1" x14ac:dyDescent="0.25">
      <c r="A2221" s="59">
        <f t="shared" si="290"/>
        <v>1900</v>
      </c>
      <c r="B2221" s="59">
        <f t="shared" si="291"/>
        <v>1</v>
      </c>
      <c r="C2221" s="97"/>
      <c r="D2221" s="61"/>
      <c r="F2221" s="23" t="e">
        <f>VLOOKUP(E2221,Customers[],2,FALSE)</f>
        <v>#N/A</v>
      </c>
      <c r="G2221" s="23" t="e">
        <f>VLOOKUP(E2221,Customers[],3,FALSE)</f>
        <v>#N/A</v>
      </c>
      <c r="H2221" s="23" t="e">
        <f>VLOOKUP(E2221,Customers[],4,FALSE)</f>
        <v>#N/A</v>
      </c>
      <c r="J2221" s="29" t="e">
        <f>VLOOKUP(I2221,PGStock[],2,FALSE)</f>
        <v>#N/A</v>
      </c>
      <c r="K2221" s="30" t="e">
        <f>VLOOKUP(I2221,PGStock[],3,FALSE)</f>
        <v>#N/A</v>
      </c>
      <c r="M2221" s="62" t="e">
        <f>VLOOKUP(I2221,PGStock[],6,FALSE)</f>
        <v>#N/A</v>
      </c>
      <c r="N2221" s="62" t="e">
        <f>+Table8[[#This Row],[SalesBot]]*Table8[[#This Row],[Bonus]]</f>
        <v>#N/A</v>
      </c>
    </row>
    <row r="2222" spans="1:14" ht="22.5" customHeight="1" x14ac:dyDescent="0.25">
      <c r="A2222" s="59">
        <f t="shared" ref="A2222:A2224" si="314">YEAR(C2222)</f>
        <v>1900</v>
      </c>
      <c r="B2222" s="59">
        <f t="shared" ref="B2222:B2224" si="315">MONTH(C2222)</f>
        <v>1</v>
      </c>
      <c r="C2222" s="97"/>
      <c r="D2222" s="61"/>
      <c r="F2222" s="23" t="e">
        <f>VLOOKUP(E2222,Customers[],2,FALSE)</f>
        <v>#N/A</v>
      </c>
      <c r="G2222" s="23" t="e">
        <f>VLOOKUP(E2222,Customers[],3,FALSE)</f>
        <v>#N/A</v>
      </c>
      <c r="H2222" s="23" t="e">
        <f>VLOOKUP(E2222,Customers[],4,FALSE)</f>
        <v>#N/A</v>
      </c>
      <c r="J2222" s="29" t="e">
        <f>VLOOKUP(I2222,PGStock[],2,FALSE)</f>
        <v>#N/A</v>
      </c>
      <c r="K2222" s="30" t="e">
        <f>VLOOKUP(I2222,PGStock[],3,FALSE)</f>
        <v>#N/A</v>
      </c>
      <c r="M2222" s="62" t="e">
        <f>VLOOKUP(I2222,PGStock[],6,FALSE)</f>
        <v>#N/A</v>
      </c>
      <c r="N2222" s="62" t="e">
        <f>+Table8[[#This Row],[SalesBot]]*Table8[[#This Row],[Bonus]]</f>
        <v>#N/A</v>
      </c>
    </row>
    <row r="2223" spans="1:14" ht="20.100000000000001" customHeight="1" x14ac:dyDescent="0.25">
      <c r="A2223" s="59">
        <f t="shared" si="314"/>
        <v>1900</v>
      </c>
      <c r="B2223" s="59">
        <f t="shared" si="315"/>
        <v>1</v>
      </c>
      <c r="C2223" s="97"/>
      <c r="D2223" s="61"/>
      <c r="F2223" s="23" t="e">
        <f>VLOOKUP(E2223,Customers[],2,FALSE)</f>
        <v>#N/A</v>
      </c>
      <c r="G2223" s="23" t="e">
        <f>VLOOKUP(E2223,Customers[],3,FALSE)</f>
        <v>#N/A</v>
      </c>
      <c r="H2223" s="23" t="e">
        <f>VLOOKUP(E2223,Customers[],4,FALSE)</f>
        <v>#N/A</v>
      </c>
      <c r="J2223" s="29" t="e">
        <f>VLOOKUP(I2223,PGStock[],2,FALSE)</f>
        <v>#N/A</v>
      </c>
      <c r="K2223" s="30" t="e">
        <f>VLOOKUP(I2223,PGStock[],3,FALSE)</f>
        <v>#N/A</v>
      </c>
      <c r="M2223" s="62" t="e">
        <f>VLOOKUP(I2223,PGStock[],6,FALSE)</f>
        <v>#N/A</v>
      </c>
      <c r="N2223" s="62" t="e">
        <f>+Table8[[#This Row],[SalesBot]]*Table8[[#This Row],[Bonus]]</f>
        <v>#N/A</v>
      </c>
    </row>
    <row r="2224" spans="1:14" ht="20.100000000000001" customHeight="1" x14ac:dyDescent="0.25">
      <c r="A2224" s="59">
        <f t="shared" si="314"/>
        <v>1900</v>
      </c>
      <c r="B2224" s="59">
        <f t="shared" si="315"/>
        <v>1</v>
      </c>
      <c r="C2224" s="97"/>
      <c r="D2224" s="61"/>
      <c r="F2224" s="23" t="e">
        <f>VLOOKUP(E2224,Customers[],2,FALSE)</f>
        <v>#N/A</v>
      </c>
      <c r="G2224" s="23" t="e">
        <f>VLOOKUP(E2224,Customers[],3,FALSE)</f>
        <v>#N/A</v>
      </c>
      <c r="H2224" s="23" t="e">
        <f>VLOOKUP(E2224,Customers[],4,FALSE)</f>
        <v>#N/A</v>
      </c>
      <c r="J2224" s="29" t="e">
        <f>VLOOKUP(I2224,PGStock[],2,FALSE)</f>
        <v>#N/A</v>
      </c>
      <c r="K2224" s="30" t="e">
        <f>VLOOKUP(I2224,PGStock[],3,FALSE)</f>
        <v>#N/A</v>
      </c>
      <c r="M2224" s="62" t="e">
        <f>VLOOKUP(I2224,PGStock[],6,FALSE)</f>
        <v>#N/A</v>
      </c>
      <c r="N2224" s="62" t="e">
        <f>+Table8[[#This Row],[SalesBot]]*Table8[[#This Row],[Bonus]]</f>
        <v>#N/A</v>
      </c>
    </row>
    <row r="2225" spans="1:14" ht="20.100000000000001" customHeight="1" x14ac:dyDescent="0.25">
      <c r="A2225" s="59">
        <f t="shared" si="110"/>
        <v>1900</v>
      </c>
      <c r="B2225" s="59">
        <f t="shared" si="237"/>
        <v>1</v>
      </c>
      <c r="C2225" s="97"/>
      <c r="D2225" s="61"/>
      <c r="F2225" s="23" t="e">
        <f>VLOOKUP(E2225,Customers[],2,FALSE)</f>
        <v>#N/A</v>
      </c>
      <c r="G2225" s="23" t="e">
        <f>VLOOKUP(E2225,Customers[],3,FALSE)</f>
        <v>#N/A</v>
      </c>
      <c r="H2225" s="23" t="e">
        <f>VLOOKUP(E2225,Customers[],4,FALSE)</f>
        <v>#N/A</v>
      </c>
      <c r="J2225" s="29" t="e">
        <f>VLOOKUP(I2225,PGStock[],2,FALSE)</f>
        <v>#N/A</v>
      </c>
      <c r="K2225" s="30" t="e">
        <f>VLOOKUP(I2225,PGStock[],3,FALSE)</f>
        <v>#N/A</v>
      </c>
      <c r="M2225" s="62" t="e">
        <f>VLOOKUP(I2225,PGStock[],6,FALSE)</f>
        <v>#N/A</v>
      </c>
      <c r="N2225" s="62" t="e">
        <f>+Table8[[#This Row],[SalesBot]]*Table8[[#This Row],[Bonus]]</f>
        <v>#N/A</v>
      </c>
    </row>
    <row r="2226" spans="1:14" ht="20.100000000000001" customHeight="1" x14ac:dyDescent="0.25">
      <c r="A2226" s="59">
        <f t="shared" ref="A2226:A2230" si="316">YEAR(C2226)</f>
        <v>1900</v>
      </c>
      <c r="B2226" s="59">
        <f t="shared" ref="B2226:B2230" si="317">MONTH(C2226)</f>
        <v>1</v>
      </c>
      <c r="C2226" s="97"/>
      <c r="D2226" s="61"/>
      <c r="F2226" s="23" t="e">
        <f>VLOOKUP(E2226,Customers[],2,FALSE)</f>
        <v>#N/A</v>
      </c>
      <c r="G2226" s="23" t="e">
        <f>VLOOKUP(E2226,Customers[],3,FALSE)</f>
        <v>#N/A</v>
      </c>
      <c r="H2226" s="23" t="e">
        <f>VLOOKUP(E2226,Customers[],4,FALSE)</f>
        <v>#N/A</v>
      </c>
      <c r="J2226" s="29" t="e">
        <f>VLOOKUP(I2226,PGStock[],2,FALSE)</f>
        <v>#N/A</v>
      </c>
      <c r="K2226" s="30" t="e">
        <f>VLOOKUP(I2226,PGStock[],3,FALSE)</f>
        <v>#N/A</v>
      </c>
      <c r="M2226" s="62" t="e">
        <f>VLOOKUP(I2226,PGStock[],6,FALSE)</f>
        <v>#N/A</v>
      </c>
      <c r="N2226" s="62" t="e">
        <f>+Table8[[#This Row],[SalesBot]]*Table8[[#This Row],[Bonus]]</f>
        <v>#N/A</v>
      </c>
    </row>
    <row r="2227" spans="1:14" ht="20.100000000000001" customHeight="1" x14ac:dyDescent="0.25">
      <c r="A2227" s="59">
        <f t="shared" si="316"/>
        <v>1900</v>
      </c>
      <c r="B2227" s="59">
        <f t="shared" si="317"/>
        <v>1</v>
      </c>
      <c r="C2227" s="97"/>
      <c r="D2227" s="61"/>
      <c r="F2227" s="23" t="e">
        <f>VLOOKUP(E2227,Customers[],2,FALSE)</f>
        <v>#N/A</v>
      </c>
      <c r="G2227" s="23" t="e">
        <f>VLOOKUP(E2227,Customers[],3,FALSE)</f>
        <v>#N/A</v>
      </c>
      <c r="H2227" s="23" t="e">
        <f>VLOOKUP(E2227,Customers[],4,FALSE)</f>
        <v>#N/A</v>
      </c>
      <c r="J2227" s="29" t="e">
        <f>VLOOKUP(I2227,PGStock[],2,FALSE)</f>
        <v>#N/A</v>
      </c>
      <c r="K2227" s="30" t="e">
        <f>VLOOKUP(I2227,PGStock[],3,FALSE)</f>
        <v>#N/A</v>
      </c>
      <c r="M2227" s="62" t="e">
        <f>VLOOKUP(I2227,PGStock[],6,FALSE)</f>
        <v>#N/A</v>
      </c>
      <c r="N2227" s="62" t="e">
        <f>+Table8[[#This Row],[SalesBot]]*Table8[[#This Row],[Bonus]]</f>
        <v>#N/A</v>
      </c>
    </row>
    <row r="2228" spans="1:14" ht="20.100000000000001" customHeight="1" x14ac:dyDescent="0.25">
      <c r="A2228" s="59">
        <f t="shared" si="316"/>
        <v>1900</v>
      </c>
      <c r="B2228" s="59">
        <f t="shared" si="317"/>
        <v>1</v>
      </c>
      <c r="C2228" s="97"/>
      <c r="D2228" s="61"/>
      <c r="F2228" s="23" t="e">
        <f>VLOOKUP(E2228,Customers[],2,FALSE)</f>
        <v>#N/A</v>
      </c>
      <c r="G2228" s="23" t="e">
        <f>VLOOKUP(E2228,Customers[],3,FALSE)</f>
        <v>#N/A</v>
      </c>
      <c r="H2228" s="23" t="e">
        <f>VLOOKUP(E2228,Customers[],4,FALSE)</f>
        <v>#N/A</v>
      </c>
      <c r="J2228" s="29" t="e">
        <f>VLOOKUP(I2228,PGStock[],2,FALSE)</f>
        <v>#N/A</v>
      </c>
      <c r="K2228" s="30" t="e">
        <f>VLOOKUP(I2228,PGStock[],3,FALSE)</f>
        <v>#N/A</v>
      </c>
      <c r="M2228" s="62" t="e">
        <f>VLOOKUP(I2228,PGStock[],6,FALSE)</f>
        <v>#N/A</v>
      </c>
      <c r="N2228" s="62" t="e">
        <f>+Table8[[#This Row],[SalesBot]]*Table8[[#This Row],[Bonus]]</f>
        <v>#N/A</v>
      </c>
    </row>
    <row r="2229" spans="1:14" ht="20.100000000000001" customHeight="1" x14ac:dyDescent="0.25">
      <c r="A2229" s="59">
        <f t="shared" si="316"/>
        <v>1900</v>
      </c>
      <c r="B2229" s="59">
        <f t="shared" si="317"/>
        <v>1</v>
      </c>
      <c r="C2229" s="97"/>
      <c r="D2229" s="61"/>
      <c r="F2229" s="23" t="e">
        <f>VLOOKUP(E2229,Customers[],2,FALSE)</f>
        <v>#N/A</v>
      </c>
      <c r="G2229" s="23" t="e">
        <f>VLOOKUP(E2229,Customers[],3,FALSE)</f>
        <v>#N/A</v>
      </c>
      <c r="H2229" s="23" t="e">
        <f>VLOOKUP(E2229,Customers[],4,FALSE)</f>
        <v>#N/A</v>
      </c>
      <c r="J2229" s="29" t="e">
        <f>VLOOKUP(I2229,PGStock[],2,FALSE)</f>
        <v>#N/A</v>
      </c>
      <c r="K2229" s="30" t="e">
        <f>VLOOKUP(I2229,PGStock[],3,FALSE)</f>
        <v>#N/A</v>
      </c>
      <c r="M2229" s="62" t="e">
        <f>VLOOKUP(I2229,PGStock[],6,FALSE)</f>
        <v>#N/A</v>
      </c>
      <c r="N2229" s="62" t="e">
        <f>+Table8[[#This Row],[SalesBot]]*Table8[[#This Row],[Bonus]]</f>
        <v>#N/A</v>
      </c>
    </row>
    <row r="2230" spans="1:14" ht="20.100000000000001" customHeight="1" x14ac:dyDescent="0.25">
      <c r="A2230" s="59">
        <f t="shared" si="316"/>
        <v>1900</v>
      </c>
      <c r="B2230" s="59">
        <f t="shared" si="317"/>
        <v>1</v>
      </c>
      <c r="C2230" s="97"/>
      <c r="D2230" s="61"/>
      <c r="F2230" s="23" t="e">
        <f>VLOOKUP(E2230,Customers[],2,FALSE)</f>
        <v>#N/A</v>
      </c>
      <c r="G2230" s="23" t="e">
        <f>VLOOKUP(E2230,Customers[],3,FALSE)</f>
        <v>#N/A</v>
      </c>
      <c r="H2230" s="23" t="e">
        <f>VLOOKUP(E2230,Customers[],4,FALSE)</f>
        <v>#N/A</v>
      </c>
      <c r="J2230" s="29" t="e">
        <f>VLOOKUP(I2230,PGStock[],2,FALSE)</f>
        <v>#N/A</v>
      </c>
      <c r="K2230" s="30" t="e">
        <f>VLOOKUP(I2230,PGStock[],3,FALSE)</f>
        <v>#N/A</v>
      </c>
      <c r="M2230" s="62" t="e">
        <f>VLOOKUP(I2230,PGStock[],6,FALSE)</f>
        <v>#N/A</v>
      </c>
      <c r="N2230" s="62" t="e">
        <f>+Table8[[#This Row],[SalesBot]]*Table8[[#This Row],[Bonus]]</f>
        <v>#N/A</v>
      </c>
    </row>
    <row r="2231" spans="1:14" ht="20.100000000000001" customHeight="1" x14ac:dyDescent="0.25">
      <c r="A2231" s="59">
        <f t="shared" ref="A2231:A2239" si="318">YEAR(C2231)</f>
        <v>1900</v>
      </c>
      <c r="B2231" s="59">
        <f t="shared" ref="B2231:B2239" si="319">MONTH(C2231)</f>
        <v>1</v>
      </c>
      <c r="C2231" s="97"/>
      <c r="D2231" s="61"/>
      <c r="F2231" s="23" t="e">
        <f>VLOOKUP(E2231,Customers[],2,FALSE)</f>
        <v>#N/A</v>
      </c>
      <c r="G2231" s="23" t="e">
        <f>VLOOKUP(E2231,Customers[],3,FALSE)</f>
        <v>#N/A</v>
      </c>
      <c r="H2231" s="23" t="e">
        <f>VLOOKUP(E2231,Customers[],4,FALSE)</f>
        <v>#N/A</v>
      </c>
      <c r="J2231" s="29" t="e">
        <f>VLOOKUP(I2231,PGStock[],2,FALSE)</f>
        <v>#N/A</v>
      </c>
      <c r="K2231" s="30" t="e">
        <f>VLOOKUP(I2231,PGStock[],3,FALSE)</f>
        <v>#N/A</v>
      </c>
      <c r="M2231" s="62" t="e">
        <f>VLOOKUP(I2231,PGStock[],6,FALSE)</f>
        <v>#N/A</v>
      </c>
      <c r="N2231" s="62" t="e">
        <f>+Table8[[#This Row],[SalesBot]]*Table8[[#This Row],[Bonus]]</f>
        <v>#N/A</v>
      </c>
    </row>
    <row r="2232" spans="1:14" ht="20.100000000000001" customHeight="1" x14ac:dyDescent="0.25">
      <c r="A2232" s="59">
        <f t="shared" si="318"/>
        <v>1900</v>
      </c>
      <c r="B2232" s="59">
        <f t="shared" si="319"/>
        <v>1</v>
      </c>
      <c r="C2232" s="97"/>
      <c r="D2232" s="61"/>
      <c r="F2232" s="23" t="e">
        <f>VLOOKUP(E2232,Customers[],2,FALSE)</f>
        <v>#N/A</v>
      </c>
      <c r="G2232" s="23" t="e">
        <f>VLOOKUP(E2232,Customers[],3,FALSE)</f>
        <v>#N/A</v>
      </c>
      <c r="H2232" s="23" t="e">
        <f>VLOOKUP(E2232,Customers[],4,FALSE)</f>
        <v>#N/A</v>
      </c>
      <c r="J2232" s="29" t="e">
        <f>VLOOKUP(I2232,PGStock[],2,FALSE)</f>
        <v>#N/A</v>
      </c>
      <c r="K2232" s="30" t="e">
        <f>VLOOKUP(I2232,PGStock[],3,FALSE)</f>
        <v>#N/A</v>
      </c>
      <c r="M2232" s="62" t="e">
        <f>VLOOKUP(I2232,PGStock[],6,FALSE)</f>
        <v>#N/A</v>
      </c>
      <c r="N2232" s="62" t="e">
        <f>+Table8[[#This Row],[SalesBot]]*Table8[[#This Row],[Bonus]]</f>
        <v>#N/A</v>
      </c>
    </row>
    <row r="2233" spans="1:14" ht="20.100000000000001" customHeight="1" x14ac:dyDescent="0.25">
      <c r="A2233" s="59">
        <f t="shared" si="318"/>
        <v>1900</v>
      </c>
      <c r="B2233" s="59">
        <f t="shared" si="319"/>
        <v>1</v>
      </c>
      <c r="C2233" s="97"/>
      <c r="D2233" s="61"/>
      <c r="F2233" s="23" t="e">
        <f>VLOOKUP(E2233,Customers[],2,FALSE)</f>
        <v>#N/A</v>
      </c>
      <c r="G2233" s="23" t="e">
        <f>VLOOKUP(E2233,Customers[],3,FALSE)</f>
        <v>#N/A</v>
      </c>
      <c r="H2233" s="23" t="e">
        <f>VLOOKUP(E2233,Customers[],4,FALSE)</f>
        <v>#N/A</v>
      </c>
      <c r="J2233" s="29" t="e">
        <f>VLOOKUP(I2233,PGStock[],2,FALSE)</f>
        <v>#N/A</v>
      </c>
      <c r="K2233" s="30" t="e">
        <f>VLOOKUP(I2233,PGStock[],3,FALSE)</f>
        <v>#N/A</v>
      </c>
      <c r="M2233" s="62" t="e">
        <f>VLOOKUP(I2233,PGStock[],6,FALSE)</f>
        <v>#N/A</v>
      </c>
      <c r="N2233" s="62" t="e">
        <f>+Table8[[#This Row],[SalesBot]]*Table8[[#This Row],[Bonus]]</f>
        <v>#N/A</v>
      </c>
    </row>
    <row r="2234" spans="1:14" ht="20.100000000000001" customHeight="1" x14ac:dyDescent="0.25">
      <c r="A2234" s="59">
        <f t="shared" si="318"/>
        <v>1900</v>
      </c>
      <c r="B2234" s="59">
        <f t="shared" si="319"/>
        <v>1</v>
      </c>
      <c r="C2234" s="97"/>
      <c r="D2234" s="61"/>
      <c r="F2234" s="23" t="e">
        <f>VLOOKUP(E2234,Customers[],2,FALSE)</f>
        <v>#N/A</v>
      </c>
      <c r="G2234" s="23" t="e">
        <f>VLOOKUP(E2234,Customers[],3,FALSE)</f>
        <v>#N/A</v>
      </c>
      <c r="H2234" s="23" t="e">
        <f>VLOOKUP(E2234,Customers[],4,FALSE)</f>
        <v>#N/A</v>
      </c>
      <c r="J2234" s="29" t="e">
        <f>VLOOKUP(I2234,PGStock[],2,FALSE)</f>
        <v>#N/A</v>
      </c>
      <c r="K2234" s="30" t="e">
        <f>VLOOKUP(I2234,PGStock[],3,FALSE)</f>
        <v>#N/A</v>
      </c>
      <c r="M2234" s="62" t="e">
        <f>VLOOKUP(I2234,PGStock[],6,FALSE)</f>
        <v>#N/A</v>
      </c>
      <c r="N2234" s="62" t="e">
        <f>+Table8[[#This Row],[SalesBot]]*Table8[[#This Row],[Bonus]]</f>
        <v>#N/A</v>
      </c>
    </row>
    <row r="2235" spans="1:14" ht="20.100000000000001" customHeight="1" x14ac:dyDescent="0.25">
      <c r="A2235" s="59">
        <f t="shared" si="318"/>
        <v>1900</v>
      </c>
      <c r="B2235" s="59">
        <f t="shared" si="319"/>
        <v>1</v>
      </c>
      <c r="C2235" s="97"/>
      <c r="D2235" s="61"/>
      <c r="F2235" s="23" t="e">
        <f>VLOOKUP(E2235,Customers[],2,FALSE)</f>
        <v>#N/A</v>
      </c>
      <c r="G2235" s="23" t="e">
        <f>VLOOKUP(E2235,Customers[],3,FALSE)</f>
        <v>#N/A</v>
      </c>
      <c r="H2235" s="23" t="e">
        <f>VLOOKUP(E2235,Customers[],4,FALSE)</f>
        <v>#N/A</v>
      </c>
      <c r="J2235" s="29" t="e">
        <f>VLOOKUP(I2235,PGStock[],2,FALSE)</f>
        <v>#N/A</v>
      </c>
      <c r="K2235" s="30" t="e">
        <f>VLOOKUP(I2235,PGStock[],3,FALSE)</f>
        <v>#N/A</v>
      </c>
      <c r="M2235" s="62" t="e">
        <f>VLOOKUP(I2235,PGStock[],6,FALSE)</f>
        <v>#N/A</v>
      </c>
      <c r="N2235" s="62" t="e">
        <f>+Table8[[#This Row],[SalesBot]]*Table8[[#This Row],[Bonus]]</f>
        <v>#N/A</v>
      </c>
    </row>
    <row r="2236" spans="1:14" ht="20.100000000000001" customHeight="1" x14ac:dyDescent="0.25">
      <c r="A2236" s="59">
        <f t="shared" si="318"/>
        <v>1900</v>
      </c>
      <c r="B2236" s="59">
        <f t="shared" si="319"/>
        <v>1</v>
      </c>
      <c r="C2236" s="97"/>
      <c r="D2236" s="61"/>
      <c r="F2236" s="23" t="e">
        <f>VLOOKUP(E2236,Customers[],2,FALSE)</f>
        <v>#N/A</v>
      </c>
      <c r="G2236" s="23" t="e">
        <f>VLOOKUP(E2236,Customers[],3,FALSE)</f>
        <v>#N/A</v>
      </c>
      <c r="H2236" s="23" t="e">
        <f>VLOOKUP(E2236,Customers[],4,FALSE)</f>
        <v>#N/A</v>
      </c>
      <c r="J2236" s="29" t="e">
        <f>VLOOKUP(I2236,PGStock[],2,FALSE)</f>
        <v>#N/A</v>
      </c>
      <c r="K2236" s="30" t="e">
        <f>VLOOKUP(I2236,PGStock[],3,FALSE)</f>
        <v>#N/A</v>
      </c>
      <c r="M2236" s="62" t="e">
        <f>VLOOKUP(I2236,PGStock[],6,FALSE)</f>
        <v>#N/A</v>
      </c>
      <c r="N2236" s="62" t="e">
        <f>+Table8[[#This Row],[SalesBot]]*Table8[[#This Row],[Bonus]]</f>
        <v>#N/A</v>
      </c>
    </row>
    <row r="2237" spans="1:14" ht="20.100000000000001" customHeight="1" x14ac:dyDescent="0.25">
      <c r="A2237" s="59">
        <f t="shared" si="318"/>
        <v>1900</v>
      </c>
      <c r="B2237" s="59">
        <f t="shared" si="319"/>
        <v>1</v>
      </c>
      <c r="C2237" s="97"/>
      <c r="D2237" s="61"/>
      <c r="F2237" s="23" t="e">
        <f>VLOOKUP(E2237,Customers[],2,FALSE)</f>
        <v>#N/A</v>
      </c>
      <c r="G2237" s="23" t="e">
        <f>VLOOKUP(E2237,Customers[],3,FALSE)</f>
        <v>#N/A</v>
      </c>
      <c r="H2237" s="23" t="e">
        <f>VLOOKUP(E2237,Customers[],4,FALSE)</f>
        <v>#N/A</v>
      </c>
      <c r="J2237" s="29" t="e">
        <f>VLOOKUP(I2237,PGStock[],2,FALSE)</f>
        <v>#N/A</v>
      </c>
      <c r="K2237" s="30" t="e">
        <f>VLOOKUP(I2237,PGStock[],3,FALSE)</f>
        <v>#N/A</v>
      </c>
      <c r="M2237" s="62" t="e">
        <f>VLOOKUP(I2237,PGStock[],6,FALSE)</f>
        <v>#N/A</v>
      </c>
      <c r="N2237" s="62" t="e">
        <f>+Table8[[#This Row],[SalesBot]]*Table8[[#This Row],[Bonus]]</f>
        <v>#N/A</v>
      </c>
    </row>
    <row r="2238" spans="1:14" ht="20.100000000000001" customHeight="1" x14ac:dyDescent="0.25">
      <c r="A2238" s="59">
        <f t="shared" si="318"/>
        <v>1900</v>
      </c>
      <c r="B2238" s="59">
        <f t="shared" si="319"/>
        <v>1</v>
      </c>
      <c r="C2238" s="97"/>
      <c r="D2238" s="61"/>
      <c r="F2238" s="23" t="e">
        <f>VLOOKUP(E2238,Customers[],2,FALSE)</f>
        <v>#N/A</v>
      </c>
      <c r="G2238" s="23" t="e">
        <f>VLOOKUP(E2238,Customers[],3,FALSE)</f>
        <v>#N/A</v>
      </c>
      <c r="H2238" s="23" t="e">
        <f>VLOOKUP(E2238,Customers[],4,FALSE)</f>
        <v>#N/A</v>
      </c>
      <c r="J2238" s="29" t="e">
        <f>VLOOKUP(I2238,PGStock[],2,FALSE)</f>
        <v>#N/A</v>
      </c>
      <c r="K2238" s="30" t="e">
        <f>VLOOKUP(I2238,PGStock[],3,FALSE)</f>
        <v>#N/A</v>
      </c>
      <c r="M2238" s="62" t="e">
        <f>VLOOKUP(I2238,PGStock[],6,FALSE)</f>
        <v>#N/A</v>
      </c>
      <c r="N2238" s="62" t="e">
        <f>+Table8[[#This Row],[SalesBot]]*Table8[[#This Row],[Bonus]]</f>
        <v>#N/A</v>
      </c>
    </row>
    <row r="2239" spans="1:14" ht="20.100000000000001" customHeight="1" x14ac:dyDescent="0.25">
      <c r="A2239" s="59">
        <f t="shared" si="318"/>
        <v>1900</v>
      </c>
      <c r="B2239" s="59">
        <f t="shared" si="319"/>
        <v>1</v>
      </c>
      <c r="C2239" s="97"/>
      <c r="D2239" s="61"/>
      <c r="F2239" s="23" t="e">
        <f>VLOOKUP(E2239,Customers[],2,FALSE)</f>
        <v>#N/A</v>
      </c>
      <c r="G2239" s="23" t="e">
        <f>VLOOKUP(E2239,Customers[],3,FALSE)</f>
        <v>#N/A</v>
      </c>
      <c r="H2239" s="23" t="e">
        <f>VLOOKUP(E2239,Customers[],4,FALSE)</f>
        <v>#N/A</v>
      </c>
      <c r="J2239" s="29" t="e">
        <f>VLOOKUP(I2239,PGStock[],2,FALSE)</f>
        <v>#N/A</v>
      </c>
      <c r="K2239" s="30" t="e">
        <f>VLOOKUP(I2239,PGStock[],3,FALSE)</f>
        <v>#N/A</v>
      </c>
      <c r="M2239" s="62" t="e">
        <f>VLOOKUP(I2239,PGStock[],6,FALSE)</f>
        <v>#N/A</v>
      </c>
      <c r="N2239" s="62" t="e">
        <f>+Table8[[#This Row],[SalesBot]]*Table8[[#This Row],[Bonus]]</f>
        <v>#N/A</v>
      </c>
    </row>
    <row r="2240" spans="1:14" ht="20.100000000000001" customHeight="1" x14ac:dyDescent="0.25">
      <c r="A2240" s="59">
        <f t="shared" ref="A2240:A2243" si="320">YEAR(C2240)</f>
        <v>1900</v>
      </c>
      <c r="B2240" s="59">
        <f t="shared" ref="B2240:B2243" si="321">MONTH(C2240)</f>
        <v>1</v>
      </c>
      <c r="C2240" s="97"/>
      <c r="D2240" s="61"/>
      <c r="E2240" s="89"/>
      <c r="F2240" s="23" t="e">
        <f>VLOOKUP(E2240,Customers[],2,FALSE)</f>
        <v>#N/A</v>
      </c>
      <c r="G2240" s="23" t="e">
        <f>VLOOKUP(E2240,Customers[],3,FALSE)</f>
        <v>#N/A</v>
      </c>
      <c r="H2240" s="23" t="e">
        <f>VLOOKUP(E2240,Customers[],4,FALSE)</f>
        <v>#N/A</v>
      </c>
      <c r="J2240" s="29" t="e">
        <f>VLOOKUP(I2240,PGStock[],2,FALSE)</f>
        <v>#N/A</v>
      </c>
      <c r="K2240" s="30" t="e">
        <f>VLOOKUP(I2240,PGStock[],3,FALSE)</f>
        <v>#N/A</v>
      </c>
      <c r="M2240" s="62" t="e">
        <f>VLOOKUP(I2240,PGStock[],6,FALSE)</f>
        <v>#N/A</v>
      </c>
      <c r="N2240" s="62" t="e">
        <f>+Table8[[#This Row],[SalesBot]]*Table8[[#This Row],[Bonus]]</f>
        <v>#N/A</v>
      </c>
    </row>
    <row r="2241" spans="1:14" ht="20.100000000000001" customHeight="1" x14ac:dyDescent="0.25">
      <c r="A2241" s="59">
        <f t="shared" si="320"/>
        <v>1900</v>
      </c>
      <c r="B2241" s="59">
        <f t="shared" si="321"/>
        <v>1</v>
      </c>
      <c r="C2241" s="97"/>
      <c r="D2241" s="61"/>
      <c r="F2241" s="23" t="e">
        <f>VLOOKUP(E2241,Customers[],2,FALSE)</f>
        <v>#N/A</v>
      </c>
      <c r="G2241" s="23" t="e">
        <f>VLOOKUP(E2241,Customers[],3,FALSE)</f>
        <v>#N/A</v>
      </c>
      <c r="H2241" s="23" t="e">
        <f>VLOOKUP(E2241,Customers[],4,FALSE)</f>
        <v>#N/A</v>
      </c>
      <c r="J2241" s="29" t="e">
        <f>VLOOKUP(I2241,PGStock[],2,FALSE)</f>
        <v>#N/A</v>
      </c>
      <c r="K2241" s="30" t="e">
        <f>VLOOKUP(I2241,PGStock[],3,FALSE)</f>
        <v>#N/A</v>
      </c>
      <c r="M2241" s="62" t="e">
        <f>VLOOKUP(I2241,PGStock[],6,FALSE)</f>
        <v>#N/A</v>
      </c>
      <c r="N2241" s="62" t="e">
        <f>+Table8[[#This Row],[SalesBot]]*Table8[[#This Row],[Bonus]]</f>
        <v>#N/A</v>
      </c>
    </row>
    <row r="2242" spans="1:14" ht="17.25" x14ac:dyDescent="0.25">
      <c r="A2242" s="59">
        <f t="shared" si="320"/>
        <v>1900</v>
      </c>
      <c r="B2242" s="59">
        <f t="shared" si="321"/>
        <v>1</v>
      </c>
      <c r="C2242" s="97"/>
      <c r="D2242" s="61"/>
      <c r="F2242" s="23" t="e">
        <f>VLOOKUP(E2242,Customers[],2,FALSE)</f>
        <v>#N/A</v>
      </c>
      <c r="G2242" s="23" t="e">
        <f>VLOOKUP(E2242,Customers[],3,FALSE)</f>
        <v>#N/A</v>
      </c>
      <c r="H2242" s="23" t="e">
        <f>VLOOKUP(E2242,Customers[],4,FALSE)</f>
        <v>#N/A</v>
      </c>
      <c r="J2242" s="29" t="e">
        <f>VLOOKUP(I2242,PGStock[],2,FALSE)</f>
        <v>#N/A</v>
      </c>
      <c r="K2242" s="30" t="e">
        <f>VLOOKUP(I2242,PGStock[],3,FALSE)</f>
        <v>#N/A</v>
      </c>
      <c r="M2242" s="62" t="e">
        <f>VLOOKUP(I2242,PGStock[],6,FALSE)</f>
        <v>#N/A</v>
      </c>
      <c r="N2242" s="62" t="e">
        <f>+Table8[[#This Row],[SalesBot]]*Table8[[#This Row],[Bonus]]</f>
        <v>#N/A</v>
      </c>
    </row>
    <row r="2243" spans="1:14" ht="20.100000000000001" customHeight="1" x14ac:dyDescent="0.25">
      <c r="A2243" s="59">
        <f t="shared" si="320"/>
        <v>1900</v>
      </c>
      <c r="B2243" s="59">
        <f t="shared" si="321"/>
        <v>1</v>
      </c>
      <c r="C2243" s="97"/>
      <c r="D2243" s="61"/>
      <c r="F2243" s="23" t="e">
        <f>VLOOKUP(E2243,Customers[],2,FALSE)</f>
        <v>#N/A</v>
      </c>
      <c r="G2243" s="23" t="e">
        <f>VLOOKUP(E2243,Customers[],3,FALSE)</f>
        <v>#N/A</v>
      </c>
      <c r="H2243" s="23" t="e">
        <f>VLOOKUP(E2243,Customers[],4,FALSE)</f>
        <v>#N/A</v>
      </c>
      <c r="J2243" s="29" t="e">
        <f>VLOOKUP(I2243,PGStock[],2,FALSE)</f>
        <v>#N/A</v>
      </c>
      <c r="K2243" s="30" t="e">
        <f>VLOOKUP(I2243,PGStock[],3,FALSE)</f>
        <v>#N/A</v>
      </c>
      <c r="M2243" s="62" t="e">
        <f>VLOOKUP(I2243,PGStock[],6,FALSE)</f>
        <v>#N/A</v>
      </c>
      <c r="N2243" s="62" t="e">
        <f>+Table8[[#This Row],[SalesBot]]*Table8[[#This Row],[Bonus]]</f>
        <v>#N/A</v>
      </c>
    </row>
    <row r="2244" spans="1:14" ht="20.100000000000001" customHeight="1" x14ac:dyDescent="0.25">
      <c r="A2244" s="59">
        <f t="shared" ref="A2244:A2247" si="322">YEAR(C2244)</f>
        <v>1900</v>
      </c>
      <c r="B2244" s="59">
        <f t="shared" ref="B2244:B2247" si="323">MONTH(C2244)</f>
        <v>1</v>
      </c>
      <c r="C2244" s="97"/>
      <c r="D2244" s="61"/>
      <c r="F2244" s="23" t="e">
        <f>VLOOKUP(E2244,Customers[],2,FALSE)</f>
        <v>#N/A</v>
      </c>
      <c r="G2244" s="23" t="e">
        <f>VLOOKUP(E2244,Customers[],3,FALSE)</f>
        <v>#N/A</v>
      </c>
      <c r="H2244" s="23" t="e">
        <f>VLOOKUP(E2244,Customers[],4,FALSE)</f>
        <v>#N/A</v>
      </c>
      <c r="J2244" s="29" t="e">
        <f>VLOOKUP(I2244,PGStock[],2,FALSE)</f>
        <v>#N/A</v>
      </c>
      <c r="K2244" s="30" t="e">
        <f>VLOOKUP(I2244,PGStock[],3,FALSE)</f>
        <v>#N/A</v>
      </c>
      <c r="M2244" s="62" t="e">
        <f>VLOOKUP(I2244,PGStock[],6,FALSE)</f>
        <v>#N/A</v>
      </c>
      <c r="N2244" s="62" t="e">
        <f>+Table8[[#This Row],[SalesBot]]*Table8[[#This Row],[Bonus]]</f>
        <v>#N/A</v>
      </c>
    </row>
    <row r="2245" spans="1:14" ht="20.100000000000001" customHeight="1" x14ac:dyDescent="0.25">
      <c r="A2245" s="59">
        <f t="shared" si="322"/>
        <v>1900</v>
      </c>
      <c r="B2245" s="59">
        <f t="shared" si="323"/>
        <v>1</v>
      </c>
      <c r="C2245" s="97"/>
      <c r="D2245" s="61"/>
      <c r="E2245" s="89"/>
      <c r="F2245" s="23" t="e">
        <f>VLOOKUP(E2245,Customers[],2,FALSE)</f>
        <v>#N/A</v>
      </c>
      <c r="G2245" s="23" t="e">
        <f>VLOOKUP(E2245,Customers[],3,FALSE)</f>
        <v>#N/A</v>
      </c>
      <c r="H2245" s="23" t="e">
        <f>VLOOKUP(E2245,Customers[],4,FALSE)</f>
        <v>#N/A</v>
      </c>
      <c r="J2245" s="29" t="e">
        <f>VLOOKUP(I2245,PGStock[],2,FALSE)</f>
        <v>#N/A</v>
      </c>
      <c r="K2245" s="30" t="e">
        <f>VLOOKUP(I2245,PGStock[],3,FALSE)</f>
        <v>#N/A</v>
      </c>
      <c r="M2245" s="62" t="e">
        <f>VLOOKUP(I2245,PGStock[],6,FALSE)</f>
        <v>#N/A</v>
      </c>
      <c r="N2245" s="62" t="e">
        <f>+Table8[[#This Row],[SalesBot]]*Table8[[#This Row],[Bonus]]</f>
        <v>#N/A</v>
      </c>
    </row>
    <row r="2246" spans="1:14" ht="20.100000000000001" customHeight="1" x14ac:dyDescent="0.25">
      <c r="A2246" s="59">
        <f t="shared" si="322"/>
        <v>1900</v>
      </c>
      <c r="B2246" s="59">
        <f t="shared" si="323"/>
        <v>1</v>
      </c>
      <c r="C2246" s="97"/>
      <c r="D2246" s="61"/>
      <c r="F2246" s="23" t="e">
        <f>VLOOKUP(E2246,Customers[],2,FALSE)</f>
        <v>#N/A</v>
      </c>
      <c r="G2246" s="23" t="e">
        <f>VLOOKUP(E2246,Customers[],3,FALSE)</f>
        <v>#N/A</v>
      </c>
      <c r="H2246" s="23" t="e">
        <f>VLOOKUP(E2246,Customers[],4,FALSE)</f>
        <v>#N/A</v>
      </c>
      <c r="J2246" s="29" t="e">
        <f>VLOOKUP(I2246,PGStock[],2,FALSE)</f>
        <v>#N/A</v>
      </c>
      <c r="K2246" s="30" t="e">
        <f>VLOOKUP(I2246,PGStock[],3,FALSE)</f>
        <v>#N/A</v>
      </c>
      <c r="M2246" s="62" t="e">
        <f>VLOOKUP(I2246,PGStock[],6,FALSE)</f>
        <v>#N/A</v>
      </c>
      <c r="N2246" s="62" t="e">
        <f>+Table8[[#This Row],[SalesBot]]*Table8[[#This Row],[Bonus]]</f>
        <v>#N/A</v>
      </c>
    </row>
    <row r="2247" spans="1:14" ht="20.100000000000001" customHeight="1" x14ac:dyDescent="0.25">
      <c r="A2247" s="59">
        <f t="shared" si="322"/>
        <v>1900</v>
      </c>
      <c r="B2247" s="59">
        <f t="shared" si="323"/>
        <v>1</v>
      </c>
      <c r="C2247" s="97"/>
      <c r="D2247" s="61"/>
      <c r="F2247" s="23" t="e">
        <f>VLOOKUP(E2247,Customers[],2,FALSE)</f>
        <v>#N/A</v>
      </c>
      <c r="G2247" s="23" t="e">
        <f>VLOOKUP(E2247,Customers[],3,FALSE)</f>
        <v>#N/A</v>
      </c>
      <c r="H2247" s="23" t="e">
        <f>VLOOKUP(E2247,Customers[],4,FALSE)</f>
        <v>#N/A</v>
      </c>
      <c r="J2247" s="29" t="e">
        <f>VLOOKUP(I2247,PGStock[],2,FALSE)</f>
        <v>#N/A</v>
      </c>
      <c r="K2247" s="30" t="e">
        <f>VLOOKUP(I2247,PGStock[],3,FALSE)</f>
        <v>#N/A</v>
      </c>
      <c r="M2247" s="62" t="e">
        <f>VLOOKUP(I2247,PGStock[],6,FALSE)</f>
        <v>#N/A</v>
      </c>
      <c r="N2247" s="62" t="e">
        <f>+Table8[[#This Row],[SalesBot]]*Table8[[#This Row],[Bonus]]</f>
        <v>#N/A</v>
      </c>
    </row>
    <row r="2248" spans="1:14" ht="20.100000000000001" customHeight="1" x14ac:dyDescent="0.25">
      <c r="A2248" s="59">
        <f t="shared" ref="A2248:A2251" si="324">YEAR(C2248)</f>
        <v>1900</v>
      </c>
      <c r="B2248" s="59">
        <f t="shared" ref="B2248:B2251" si="325">MONTH(C2248)</f>
        <v>1</v>
      </c>
      <c r="C2248" s="97"/>
      <c r="D2248" s="61"/>
      <c r="F2248" s="23" t="e">
        <f>VLOOKUP(E2248,Customers[],2,FALSE)</f>
        <v>#N/A</v>
      </c>
      <c r="G2248" s="23" t="e">
        <f>VLOOKUP(E2248,Customers[],3,FALSE)</f>
        <v>#N/A</v>
      </c>
      <c r="H2248" s="23" t="e">
        <f>VLOOKUP(E2248,Customers[],4,FALSE)</f>
        <v>#N/A</v>
      </c>
      <c r="J2248" s="29" t="e">
        <f>VLOOKUP(I2248,PGStock[],2,FALSE)</f>
        <v>#N/A</v>
      </c>
      <c r="K2248" s="30" t="e">
        <f>VLOOKUP(I2248,PGStock[],3,FALSE)</f>
        <v>#N/A</v>
      </c>
      <c r="M2248" s="62" t="e">
        <f>VLOOKUP(I2248,PGStock[],6,FALSE)</f>
        <v>#N/A</v>
      </c>
      <c r="N2248" s="62" t="e">
        <f>+Table8[[#This Row],[SalesBot]]*Table8[[#This Row],[Bonus]]</f>
        <v>#N/A</v>
      </c>
    </row>
    <row r="2249" spans="1:14" ht="20.100000000000001" customHeight="1" x14ac:dyDescent="0.25">
      <c r="A2249" s="59">
        <f t="shared" si="324"/>
        <v>1900</v>
      </c>
      <c r="B2249" s="59">
        <f t="shared" si="325"/>
        <v>1</v>
      </c>
      <c r="C2249" s="97"/>
      <c r="D2249" s="61"/>
      <c r="F2249" s="23" t="e">
        <f>VLOOKUP(E2249,Customers[],2,FALSE)</f>
        <v>#N/A</v>
      </c>
      <c r="G2249" s="23" t="e">
        <f>VLOOKUP(E2249,Customers[],3,FALSE)</f>
        <v>#N/A</v>
      </c>
      <c r="H2249" s="23" t="e">
        <f>VLOOKUP(E2249,Customers[],4,FALSE)</f>
        <v>#N/A</v>
      </c>
      <c r="J2249" s="29" t="e">
        <f>VLOOKUP(I2249,PGStock[],2,FALSE)</f>
        <v>#N/A</v>
      </c>
      <c r="K2249" s="30" t="e">
        <f>VLOOKUP(I2249,PGStock[],3,FALSE)</f>
        <v>#N/A</v>
      </c>
      <c r="M2249" s="62" t="e">
        <f>VLOOKUP(I2249,PGStock[],6,FALSE)</f>
        <v>#N/A</v>
      </c>
      <c r="N2249" s="62" t="e">
        <f>+Table8[[#This Row],[SalesBot]]*Table8[[#This Row],[Bonus]]</f>
        <v>#N/A</v>
      </c>
    </row>
    <row r="2250" spans="1:14" ht="20.100000000000001" customHeight="1" x14ac:dyDescent="0.25">
      <c r="A2250" s="59">
        <f t="shared" si="324"/>
        <v>1900</v>
      </c>
      <c r="B2250" s="59">
        <f t="shared" si="325"/>
        <v>1</v>
      </c>
      <c r="C2250" s="97"/>
      <c r="D2250" s="61"/>
      <c r="E2250" s="89"/>
      <c r="F2250" s="23" t="e">
        <f>VLOOKUP(E2250,Customers[],2,FALSE)</f>
        <v>#N/A</v>
      </c>
      <c r="G2250" s="23" t="e">
        <f>VLOOKUP(E2250,Customers[],3,FALSE)</f>
        <v>#N/A</v>
      </c>
      <c r="H2250" s="23" t="e">
        <f>VLOOKUP(E2250,Customers[],4,FALSE)</f>
        <v>#N/A</v>
      </c>
      <c r="J2250" s="29" t="e">
        <f>VLOOKUP(I2250,PGStock[],2,FALSE)</f>
        <v>#N/A</v>
      </c>
      <c r="K2250" s="30" t="e">
        <f>VLOOKUP(I2250,PGStock[],3,FALSE)</f>
        <v>#N/A</v>
      </c>
      <c r="M2250" s="62" t="e">
        <f>VLOOKUP(I2250,PGStock[],6,FALSE)</f>
        <v>#N/A</v>
      </c>
      <c r="N2250" s="62" t="e">
        <f>+Table8[[#This Row],[SalesBot]]*Table8[[#This Row],[Bonus]]</f>
        <v>#N/A</v>
      </c>
    </row>
    <row r="2251" spans="1:14" ht="20.100000000000001" customHeight="1" x14ac:dyDescent="0.25">
      <c r="A2251" s="59">
        <f t="shared" si="324"/>
        <v>1900</v>
      </c>
      <c r="B2251" s="59">
        <f t="shared" si="325"/>
        <v>1</v>
      </c>
      <c r="C2251" s="97"/>
      <c r="D2251" s="61"/>
      <c r="F2251" s="23" t="e">
        <f>VLOOKUP(E2251,Customers[],2,FALSE)</f>
        <v>#N/A</v>
      </c>
      <c r="G2251" s="23" t="e">
        <f>VLOOKUP(E2251,Customers[],3,FALSE)</f>
        <v>#N/A</v>
      </c>
      <c r="H2251" s="23" t="e">
        <f>VLOOKUP(E2251,Customers[],4,FALSE)</f>
        <v>#N/A</v>
      </c>
      <c r="J2251" s="29" t="e">
        <f>VLOOKUP(I2251,PGStock[],2,FALSE)</f>
        <v>#N/A</v>
      </c>
      <c r="K2251" s="30" t="e">
        <f>VLOOKUP(I2251,PGStock[],3,FALSE)</f>
        <v>#N/A</v>
      </c>
      <c r="M2251" s="62" t="e">
        <f>VLOOKUP(I2251,PGStock[],6,FALSE)</f>
        <v>#N/A</v>
      </c>
      <c r="N2251" s="62" t="e">
        <f>+Table8[[#This Row],[SalesBot]]*Table8[[#This Row],[Bonus]]</f>
        <v>#N/A</v>
      </c>
    </row>
    <row r="2252" spans="1:14" ht="20.100000000000001" customHeight="1" x14ac:dyDescent="0.25">
      <c r="A2252" s="59">
        <f t="shared" ref="A2252:A2255" si="326">YEAR(C2252)</f>
        <v>1900</v>
      </c>
      <c r="B2252" s="59">
        <f t="shared" ref="B2252:B2255" si="327">MONTH(C2252)</f>
        <v>1</v>
      </c>
      <c r="C2252" s="97"/>
      <c r="D2252" s="61"/>
      <c r="F2252" s="23" t="e">
        <f>VLOOKUP(E2252,Customers[],2,FALSE)</f>
        <v>#N/A</v>
      </c>
      <c r="G2252" s="23" t="e">
        <f>VLOOKUP(E2252,Customers[],3,FALSE)</f>
        <v>#N/A</v>
      </c>
      <c r="H2252" s="23" t="e">
        <f>VLOOKUP(E2252,Customers[],4,FALSE)</f>
        <v>#N/A</v>
      </c>
      <c r="J2252" s="29" t="e">
        <f>VLOOKUP(I2252,PGStock[],2,FALSE)</f>
        <v>#N/A</v>
      </c>
      <c r="K2252" s="30" t="e">
        <f>VLOOKUP(I2252,PGStock[],3,FALSE)</f>
        <v>#N/A</v>
      </c>
      <c r="M2252" s="62" t="e">
        <f>VLOOKUP(I2252,PGStock[],6,FALSE)</f>
        <v>#N/A</v>
      </c>
      <c r="N2252" s="62" t="e">
        <f>+Table8[[#This Row],[SalesBot]]*Table8[[#This Row],[Bonus]]</f>
        <v>#N/A</v>
      </c>
    </row>
    <row r="2253" spans="1:14" ht="20.100000000000001" customHeight="1" x14ac:dyDescent="0.25">
      <c r="A2253" s="59">
        <f t="shared" si="326"/>
        <v>1900</v>
      </c>
      <c r="B2253" s="59">
        <f t="shared" si="327"/>
        <v>1</v>
      </c>
      <c r="C2253" s="97"/>
      <c r="D2253" s="61"/>
      <c r="E2253" s="89"/>
      <c r="F2253" s="23" t="e">
        <f>VLOOKUP(E2253,Customers[],2,FALSE)</f>
        <v>#N/A</v>
      </c>
      <c r="G2253" s="23" t="e">
        <f>VLOOKUP(E2253,Customers[],3,FALSE)</f>
        <v>#N/A</v>
      </c>
      <c r="H2253" s="23" t="e">
        <f>VLOOKUP(E2253,Customers[],4,FALSE)</f>
        <v>#N/A</v>
      </c>
      <c r="J2253" s="29" t="e">
        <f>VLOOKUP(I2253,PGStock[],2,FALSE)</f>
        <v>#N/A</v>
      </c>
      <c r="K2253" s="30" t="e">
        <f>VLOOKUP(I2253,PGStock[],3,FALSE)</f>
        <v>#N/A</v>
      </c>
      <c r="M2253" s="62" t="e">
        <f>VLOOKUP(I2253,PGStock[],6,FALSE)</f>
        <v>#N/A</v>
      </c>
      <c r="N2253" s="62" t="e">
        <f>+Table8[[#This Row],[SalesBot]]*Table8[[#This Row],[Bonus]]</f>
        <v>#N/A</v>
      </c>
    </row>
    <row r="2254" spans="1:14" ht="20.100000000000001" customHeight="1" x14ac:dyDescent="0.25">
      <c r="A2254" s="59">
        <f t="shared" si="326"/>
        <v>1900</v>
      </c>
      <c r="B2254" s="59">
        <f t="shared" si="327"/>
        <v>1</v>
      </c>
      <c r="C2254" s="97"/>
      <c r="D2254" s="61"/>
      <c r="F2254" s="23" t="e">
        <f>VLOOKUP(E2254,Customers[],2,FALSE)</f>
        <v>#N/A</v>
      </c>
      <c r="G2254" s="23" t="e">
        <f>VLOOKUP(E2254,Customers[],3,FALSE)</f>
        <v>#N/A</v>
      </c>
      <c r="H2254" s="23" t="e">
        <f>VLOOKUP(E2254,Customers[],4,FALSE)</f>
        <v>#N/A</v>
      </c>
      <c r="J2254" s="29" t="e">
        <f>VLOOKUP(I2254,PGStock[],2,FALSE)</f>
        <v>#N/A</v>
      </c>
      <c r="K2254" s="30" t="e">
        <f>VLOOKUP(I2254,PGStock[],3,FALSE)</f>
        <v>#N/A</v>
      </c>
      <c r="M2254" s="62" t="e">
        <f>VLOOKUP(I2254,PGStock[],6,FALSE)</f>
        <v>#N/A</v>
      </c>
      <c r="N2254" s="62" t="e">
        <f>+Table8[[#This Row],[SalesBot]]*Table8[[#This Row],[Bonus]]</f>
        <v>#N/A</v>
      </c>
    </row>
    <row r="2255" spans="1:14" ht="20.100000000000001" customHeight="1" x14ac:dyDescent="0.25">
      <c r="A2255" s="59">
        <f t="shared" si="326"/>
        <v>1900</v>
      </c>
      <c r="B2255" s="59">
        <f t="shared" si="327"/>
        <v>1</v>
      </c>
      <c r="C2255" s="97"/>
      <c r="D2255" s="61"/>
      <c r="E2255" s="89"/>
      <c r="F2255" s="23" t="e">
        <f>VLOOKUP(E2255,Customers[],2,FALSE)</f>
        <v>#N/A</v>
      </c>
      <c r="G2255" s="23" t="e">
        <f>VLOOKUP(E2255,Customers[],3,FALSE)</f>
        <v>#N/A</v>
      </c>
      <c r="H2255" s="23" t="e">
        <f>VLOOKUP(E2255,Customers[],4,FALSE)</f>
        <v>#N/A</v>
      </c>
      <c r="J2255" s="29" t="e">
        <f>VLOOKUP(I2255,PGStock[],2,FALSE)</f>
        <v>#N/A</v>
      </c>
      <c r="K2255" s="30" t="e">
        <f>VLOOKUP(I2255,PGStock[],3,FALSE)</f>
        <v>#N/A</v>
      </c>
      <c r="M2255" s="62" t="e">
        <f>VLOOKUP(I2255,PGStock[],6,FALSE)</f>
        <v>#N/A</v>
      </c>
      <c r="N2255" s="62" t="e">
        <f>+Table8[[#This Row],[SalesBot]]*Table8[[#This Row],[Bonus]]</f>
        <v>#N/A</v>
      </c>
    </row>
    <row r="2256" spans="1:14" ht="20.100000000000001" customHeight="1" x14ac:dyDescent="0.25">
      <c r="A2256" s="59">
        <f t="shared" ref="A2256:A2259" si="328">YEAR(C2256)</f>
        <v>1900</v>
      </c>
      <c r="B2256" s="59">
        <f t="shared" ref="B2256:B2259" si="329">MONTH(C2256)</f>
        <v>1</v>
      </c>
      <c r="C2256" s="97"/>
      <c r="D2256" s="61"/>
      <c r="F2256" s="23" t="e">
        <f>VLOOKUP(E2256,Customers[],2,FALSE)</f>
        <v>#N/A</v>
      </c>
      <c r="G2256" s="23" t="e">
        <f>VLOOKUP(E2256,Customers[],3,FALSE)</f>
        <v>#N/A</v>
      </c>
      <c r="H2256" s="23" t="e">
        <f>VLOOKUP(E2256,Customers[],4,FALSE)</f>
        <v>#N/A</v>
      </c>
      <c r="J2256" s="29" t="e">
        <f>VLOOKUP(I2256,PGStock[],2,FALSE)</f>
        <v>#N/A</v>
      </c>
      <c r="K2256" s="30" t="e">
        <f>VLOOKUP(I2256,PGStock[],3,FALSE)</f>
        <v>#N/A</v>
      </c>
      <c r="M2256" s="62" t="e">
        <f>VLOOKUP(I2256,PGStock[],6,FALSE)</f>
        <v>#N/A</v>
      </c>
      <c r="N2256" s="62" t="e">
        <f>+Table8[[#This Row],[SalesBot]]*Table8[[#This Row],[Bonus]]</f>
        <v>#N/A</v>
      </c>
    </row>
    <row r="2257" spans="1:14" ht="20.100000000000001" customHeight="1" x14ac:dyDescent="0.25">
      <c r="A2257" s="59">
        <f t="shared" si="328"/>
        <v>1900</v>
      </c>
      <c r="B2257" s="59">
        <f t="shared" si="329"/>
        <v>1</v>
      </c>
      <c r="C2257" s="97"/>
      <c r="D2257" s="61"/>
      <c r="F2257" s="23" t="e">
        <f>VLOOKUP(E2257,Customers[],2,FALSE)</f>
        <v>#N/A</v>
      </c>
      <c r="G2257" s="23" t="e">
        <f>VLOOKUP(E2257,Customers[],3,FALSE)</f>
        <v>#N/A</v>
      </c>
      <c r="H2257" s="23" t="e">
        <f>VLOOKUP(E2257,Customers[],4,FALSE)</f>
        <v>#N/A</v>
      </c>
      <c r="J2257" s="29" t="e">
        <f>VLOOKUP(I2257,PGStock[],2,FALSE)</f>
        <v>#N/A</v>
      </c>
      <c r="K2257" s="30" t="e">
        <f>VLOOKUP(I2257,PGStock[],3,FALSE)</f>
        <v>#N/A</v>
      </c>
      <c r="M2257" s="62" t="e">
        <f>VLOOKUP(I2257,PGStock[],6,FALSE)</f>
        <v>#N/A</v>
      </c>
      <c r="N2257" s="62" t="e">
        <f>+Table8[[#This Row],[SalesBot]]*Table8[[#This Row],[Bonus]]</f>
        <v>#N/A</v>
      </c>
    </row>
    <row r="2258" spans="1:14" ht="20.100000000000001" customHeight="1" x14ac:dyDescent="0.25">
      <c r="A2258" s="59">
        <f t="shared" si="328"/>
        <v>1900</v>
      </c>
      <c r="B2258" s="59">
        <f t="shared" si="329"/>
        <v>1</v>
      </c>
      <c r="C2258" s="97"/>
      <c r="D2258" s="61"/>
      <c r="E2258" s="89"/>
      <c r="F2258" s="23" t="e">
        <f>VLOOKUP(E2258,Customers[],2,FALSE)</f>
        <v>#N/A</v>
      </c>
      <c r="G2258" s="23" t="e">
        <f>VLOOKUP(E2258,Customers[],3,FALSE)</f>
        <v>#N/A</v>
      </c>
      <c r="H2258" s="23" t="e">
        <f>VLOOKUP(E2258,Customers[],4,FALSE)</f>
        <v>#N/A</v>
      </c>
      <c r="J2258" s="29" t="e">
        <f>VLOOKUP(I2258,PGStock[],2,FALSE)</f>
        <v>#N/A</v>
      </c>
      <c r="K2258" s="30" t="e">
        <f>VLOOKUP(I2258,PGStock[],3,FALSE)</f>
        <v>#N/A</v>
      </c>
      <c r="M2258" s="62" t="e">
        <f>VLOOKUP(I2258,PGStock[],6,FALSE)</f>
        <v>#N/A</v>
      </c>
      <c r="N2258" s="62" t="e">
        <f>+Table8[[#This Row],[SalesBot]]*Table8[[#This Row],[Bonus]]</f>
        <v>#N/A</v>
      </c>
    </row>
    <row r="2259" spans="1:14" ht="20.100000000000001" customHeight="1" x14ac:dyDescent="0.25">
      <c r="A2259" s="59">
        <f t="shared" si="328"/>
        <v>1900</v>
      </c>
      <c r="B2259" s="59">
        <f t="shared" si="329"/>
        <v>1</v>
      </c>
      <c r="C2259" s="97"/>
      <c r="D2259" s="61"/>
      <c r="E2259" s="89"/>
      <c r="F2259" s="23" t="e">
        <f>VLOOKUP(E2259,Customers[],2,FALSE)</f>
        <v>#N/A</v>
      </c>
      <c r="G2259" s="23" t="e">
        <f>VLOOKUP(E2259,Customers[],3,FALSE)</f>
        <v>#N/A</v>
      </c>
      <c r="H2259" s="23" t="e">
        <f>VLOOKUP(E2259,Customers[],4,FALSE)</f>
        <v>#N/A</v>
      </c>
      <c r="J2259" s="29" t="e">
        <f>VLOOKUP(I2259,PGStock[],2,FALSE)</f>
        <v>#N/A</v>
      </c>
      <c r="K2259" s="30" t="e">
        <f>VLOOKUP(I2259,PGStock[],3,FALSE)</f>
        <v>#N/A</v>
      </c>
      <c r="M2259" s="62" t="e">
        <f>VLOOKUP(I2259,PGStock[],6,FALSE)</f>
        <v>#N/A</v>
      </c>
      <c r="N2259" s="62" t="e">
        <f>+Table8[[#This Row],[SalesBot]]*Table8[[#This Row],[Bonus]]</f>
        <v>#N/A</v>
      </c>
    </row>
    <row r="2260" spans="1:14" ht="20.100000000000001" customHeight="1" x14ac:dyDescent="0.25">
      <c r="A2260" s="59">
        <f t="shared" ref="A2260:A2272" si="330">YEAR(C2260)</f>
        <v>1900</v>
      </c>
      <c r="B2260" s="59">
        <f t="shared" ref="B2260:B2272" si="331">MONTH(C2260)</f>
        <v>1</v>
      </c>
      <c r="C2260" s="97"/>
      <c r="D2260" s="61"/>
      <c r="F2260" s="23" t="e">
        <f>VLOOKUP(E2260,Customers[],2,FALSE)</f>
        <v>#N/A</v>
      </c>
      <c r="G2260" s="23" t="e">
        <f>VLOOKUP(E2260,Customers[],3,FALSE)</f>
        <v>#N/A</v>
      </c>
      <c r="H2260" s="23" t="e">
        <f>VLOOKUP(E2260,Customers[],4,FALSE)</f>
        <v>#N/A</v>
      </c>
      <c r="J2260" s="29" t="e">
        <f>VLOOKUP(I2260,PGStock[],2,FALSE)</f>
        <v>#N/A</v>
      </c>
      <c r="K2260" s="30" t="e">
        <f>VLOOKUP(I2260,PGStock[],3,FALSE)</f>
        <v>#N/A</v>
      </c>
      <c r="M2260" s="62" t="e">
        <f>VLOOKUP(I2260,PGStock[],6,FALSE)</f>
        <v>#N/A</v>
      </c>
      <c r="N2260" s="62" t="e">
        <f>+Table8[[#This Row],[SalesBot]]*Table8[[#This Row],[Bonus]]</f>
        <v>#N/A</v>
      </c>
    </row>
    <row r="2261" spans="1:14" ht="20.100000000000001" customHeight="1" x14ac:dyDescent="0.25">
      <c r="A2261" s="59">
        <f t="shared" si="330"/>
        <v>1900</v>
      </c>
      <c r="B2261" s="59">
        <f t="shared" si="331"/>
        <v>1</v>
      </c>
      <c r="C2261" s="97"/>
      <c r="D2261" s="61"/>
      <c r="F2261" s="23" t="e">
        <f>VLOOKUP(E2261,Customers[],2,FALSE)</f>
        <v>#N/A</v>
      </c>
      <c r="G2261" s="23" t="e">
        <f>VLOOKUP(E2261,Customers[],3,FALSE)</f>
        <v>#N/A</v>
      </c>
      <c r="H2261" s="23" t="e">
        <f>VLOOKUP(E2261,Customers[],4,FALSE)</f>
        <v>#N/A</v>
      </c>
      <c r="J2261" s="29" t="e">
        <f>VLOOKUP(I2261,PGStock[],2,FALSE)</f>
        <v>#N/A</v>
      </c>
      <c r="K2261" s="30" t="e">
        <f>VLOOKUP(I2261,PGStock[],3,FALSE)</f>
        <v>#N/A</v>
      </c>
      <c r="M2261" s="62" t="e">
        <f>VLOOKUP(I2261,PGStock[],6,FALSE)</f>
        <v>#N/A</v>
      </c>
      <c r="N2261" s="62" t="e">
        <f>+Table8[[#This Row],[SalesBot]]*Table8[[#This Row],[Bonus]]</f>
        <v>#N/A</v>
      </c>
    </row>
    <row r="2262" spans="1:14" ht="20.100000000000001" customHeight="1" x14ac:dyDescent="0.25">
      <c r="A2262" s="59">
        <f t="shared" si="330"/>
        <v>1900</v>
      </c>
      <c r="B2262" s="59">
        <f t="shared" si="331"/>
        <v>1</v>
      </c>
      <c r="C2262" s="97"/>
      <c r="D2262" s="61"/>
      <c r="F2262" s="23" t="e">
        <f>VLOOKUP(E2262,Customers[],2,FALSE)</f>
        <v>#N/A</v>
      </c>
      <c r="G2262" s="23" t="e">
        <f>VLOOKUP(E2262,Customers[],3,FALSE)</f>
        <v>#N/A</v>
      </c>
      <c r="H2262" s="23" t="e">
        <f>VLOOKUP(E2262,Customers[],4,FALSE)</f>
        <v>#N/A</v>
      </c>
      <c r="J2262" s="29" t="e">
        <f>VLOOKUP(I2262,PGStock[],2,FALSE)</f>
        <v>#N/A</v>
      </c>
      <c r="K2262" s="30" t="e">
        <f>VLOOKUP(I2262,PGStock[],3,FALSE)</f>
        <v>#N/A</v>
      </c>
      <c r="M2262" s="62" t="e">
        <f>VLOOKUP(I2262,PGStock[],6,FALSE)</f>
        <v>#N/A</v>
      </c>
      <c r="N2262" s="62" t="e">
        <f>+Table8[[#This Row],[SalesBot]]*Table8[[#This Row],[Bonus]]</f>
        <v>#N/A</v>
      </c>
    </row>
    <row r="2263" spans="1:14" ht="20.100000000000001" customHeight="1" x14ac:dyDescent="0.25">
      <c r="A2263" s="59">
        <f t="shared" si="330"/>
        <v>1900</v>
      </c>
      <c r="B2263" s="59">
        <f t="shared" si="331"/>
        <v>1</v>
      </c>
      <c r="C2263" s="97"/>
      <c r="D2263" s="61"/>
      <c r="E2263" s="89"/>
      <c r="F2263" s="23" t="e">
        <f>VLOOKUP(E2263,Customers[],2,FALSE)</f>
        <v>#N/A</v>
      </c>
      <c r="G2263" s="23" t="e">
        <f>VLOOKUP(E2263,Customers[],3,FALSE)</f>
        <v>#N/A</v>
      </c>
      <c r="H2263" s="23" t="e">
        <f>VLOOKUP(E2263,Customers[],4,FALSE)</f>
        <v>#N/A</v>
      </c>
      <c r="J2263" s="29" t="e">
        <f>VLOOKUP(I2263,PGStock[],2,FALSE)</f>
        <v>#N/A</v>
      </c>
      <c r="K2263" s="30" t="e">
        <f>VLOOKUP(I2263,PGStock[],3,FALSE)</f>
        <v>#N/A</v>
      </c>
      <c r="M2263" s="62" t="e">
        <f>VLOOKUP(I2263,PGStock[],6,FALSE)</f>
        <v>#N/A</v>
      </c>
      <c r="N2263" s="62" t="e">
        <f>+Table8[[#This Row],[SalesBot]]*Table8[[#This Row],[Bonus]]</f>
        <v>#N/A</v>
      </c>
    </row>
    <row r="2264" spans="1:14" ht="20.100000000000001" customHeight="1" x14ac:dyDescent="0.25">
      <c r="A2264" s="59">
        <f t="shared" si="330"/>
        <v>1900</v>
      </c>
      <c r="B2264" s="59">
        <f t="shared" si="331"/>
        <v>1</v>
      </c>
      <c r="C2264" s="97"/>
      <c r="D2264" s="61"/>
      <c r="E2264" s="89"/>
      <c r="F2264" s="23" t="e">
        <f>VLOOKUP(E2264,Customers[],2,FALSE)</f>
        <v>#N/A</v>
      </c>
      <c r="G2264" s="23" t="e">
        <f>VLOOKUP(E2264,Customers[],3,FALSE)</f>
        <v>#N/A</v>
      </c>
      <c r="H2264" s="23" t="e">
        <f>VLOOKUP(E2264,Customers[],4,FALSE)</f>
        <v>#N/A</v>
      </c>
      <c r="J2264" s="29" t="e">
        <f>VLOOKUP(I2264,PGStock[],2,FALSE)</f>
        <v>#N/A</v>
      </c>
      <c r="K2264" s="30" t="e">
        <f>VLOOKUP(I2264,PGStock[],3,FALSE)</f>
        <v>#N/A</v>
      </c>
      <c r="M2264" s="62" t="e">
        <f>VLOOKUP(I2264,PGStock[],6,FALSE)</f>
        <v>#N/A</v>
      </c>
      <c r="N2264" s="62" t="e">
        <f>+Table8[[#This Row],[SalesBot]]*Table8[[#This Row],[Bonus]]</f>
        <v>#N/A</v>
      </c>
    </row>
    <row r="2265" spans="1:14" ht="20.100000000000001" customHeight="1" x14ac:dyDescent="0.25">
      <c r="A2265" s="59">
        <f t="shared" si="330"/>
        <v>1900</v>
      </c>
      <c r="B2265" s="59">
        <f t="shared" si="331"/>
        <v>1</v>
      </c>
      <c r="C2265" s="97"/>
      <c r="D2265" s="61"/>
      <c r="F2265" s="23" t="e">
        <f>VLOOKUP(E2265,Customers[],2,FALSE)</f>
        <v>#N/A</v>
      </c>
      <c r="G2265" s="23" t="e">
        <f>VLOOKUP(E2265,Customers[],3,FALSE)</f>
        <v>#N/A</v>
      </c>
      <c r="H2265" s="23" t="e">
        <f>VLOOKUP(E2265,Customers[],4,FALSE)</f>
        <v>#N/A</v>
      </c>
      <c r="J2265" s="29" t="e">
        <f>VLOOKUP(I2265,PGStock[],2,FALSE)</f>
        <v>#N/A</v>
      </c>
      <c r="K2265" s="30" t="e">
        <f>VLOOKUP(I2265,PGStock[],3,FALSE)</f>
        <v>#N/A</v>
      </c>
      <c r="M2265" s="62" t="e">
        <f>VLOOKUP(I2265,PGStock[],6,FALSE)</f>
        <v>#N/A</v>
      </c>
      <c r="N2265" s="62" t="e">
        <f>+Table8[[#This Row],[SalesBot]]*Table8[[#This Row],[Bonus]]</f>
        <v>#N/A</v>
      </c>
    </row>
    <row r="2266" spans="1:14" ht="20.100000000000001" customHeight="1" x14ac:dyDescent="0.25">
      <c r="A2266" s="59">
        <f t="shared" si="330"/>
        <v>1900</v>
      </c>
      <c r="B2266" s="59">
        <f t="shared" si="331"/>
        <v>1</v>
      </c>
      <c r="C2266" s="97"/>
      <c r="D2266" s="61"/>
      <c r="F2266" s="23" t="e">
        <f>VLOOKUP(E2266,Customers[],2,FALSE)</f>
        <v>#N/A</v>
      </c>
      <c r="G2266" s="23" t="e">
        <f>VLOOKUP(E2266,Customers[],3,FALSE)</f>
        <v>#N/A</v>
      </c>
      <c r="H2266" s="23" t="e">
        <f>VLOOKUP(E2266,Customers[],4,FALSE)</f>
        <v>#N/A</v>
      </c>
      <c r="J2266" s="29" t="e">
        <f>VLOOKUP(I2266,PGStock[],2,FALSE)</f>
        <v>#N/A</v>
      </c>
      <c r="K2266" s="30" t="e">
        <f>VLOOKUP(I2266,PGStock[],3,FALSE)</f>
        <v>#N/A</v>
      </c>
      <c r="M2266" s="62" t="e">
        <f>VLOOKUP(I2266,PGStock[],6,FALSE)</f>
        <v>#N/A</v>
      </c>
      <c r="N2266" s="62" t="e">
        <f>+Table8[[#This Row],[SalesBot]]*Table8[[#This Row],[Bonus]]</f>
        <v>#N/A</v>
      </c>
    </row>
    <row r="2267" spans="1:14" ht="20.100000000000001" customHeight="1" x14ac:dyDescent="0.25">
      <c r="A2267" s="59">
        <f t="shared" si="330"/>
        <v>1900</v>
      </c>
      <c r="B2267" s="59">
        <f t="shared" si="331"/>
        <v>1</v>
      </c>
      <c r="C2267" s="97"/>
      <c r="D2267" s="61"/>
      <c r="F2267" s="23" t="e">
        <f>VLOOKUP(E2267,Customers[],2,FALSE)</f>
        <v>#N/A</v>
      </c>
      <c r="G2267" s="23" t="e">
        <f>VLOOKUP(E2267,Customers[],3,FALSE)</f>
        <v>#N/A</v>
      </c>
      <c r="H2267" s="23" t="e">
        <f>VLOOKUP(E2267,Customers[],4,FALSE)</f>
        <v>#N/A</v>
      </c>
      <c r="J2267" s="29" t="e">
        <f>VLOOKUP(I2267,PGStock[],2,FALSE)</f>
        <v>#N/A</v>
      </c>
      <c r="K2267" s="30" t="e">
        <f>VLOOKUP(I2267,PGStock[],3,FALSE)</f>
        <v>#N/A</v>
      </c>
      <c r="M2267" s="62" t="e">
        <f>VLOOKUP(I2267,PGStock[],6,FALSE)</f>
        <v>#N/A</v>
      </c>
      <c r="N2267" s="62" t="e">
        <f>+Table8[[#This Row],[SalesBot]]*Table8[[#This Row],[Bonus]]</f>
        <v>#N/A</v>
      </c>
    </row>
    <row r="2268" spans="1:14" ht="20.100000000000001" customHeight="1" x14ac:dyDescent="0.25">
      <c r="A2268" s="59">
        <f t="shared" si="330"/>
        <v>1900</v>
      </c>
      <c r="B2268" s="59">
        <f t="shared" si="331"/>
        <v>1</v>
      </c>
      <c r="C2268" s="97"/>
      <c r="D2268" s="61"/>
      <c r="E2268" s="89"/>
      <c r="F2268" s="23" t="e">
        <f>VLOOKUP(E2268,Customers[],2,FALSE)</f>
        <v>#N/A</v>
      </c>
      <c r="G2268" s="23" t="e">
        <f>VLOOKUP(E2268,Customers[],3,FALSE)</f>
        <v>#N/A</v>
      </c>
      <c r="H2268" s="23" t="e">
        <f>VLOOKUP(E2268,Customers[],4,FALSE)</f>
        <v>#N/A</v>
      </c>
      <c r="J2268" s="29" t="e">
        <f>VLOOKUP(I2268,PGStock[],2,FALSE)</f>
        <v>#N/A</v>
      </c>
      <c r="K2268" s="30" t="e">
        <f>VLOOKUP(I2268,PGStock[],3,FALSE)</f>
        <v>#N/A</v>
      </c>
      <c r="M2268" s="62" t="e">
        <f>VLOOKUP(I2268,PGStock[],6,FALSE)</f>
        <v>#N/A</v>
      </c>
      <c r="N2268" s="62" t="e">
        <f>+Table8[[#This Row],[SalesBot]]*Table8[[#This Row],[Bonus]]</f>
        <v>#N/A</v>
      </c>
    </row>
    <row r="2269" spans="1:14" ht="20.100000000000001" customHeight="1" x14ac:dyDescent="0.25">
      <c r="A2269" s="59">
        <f t="shared" si="330"/>
        <v>1900</v>
      </c>
      <c r="B2269" s="59">
        <f t="shared" si="331"/>
        <v>1</v>
      </c>
      <c r="C2269" s="97"/>
      <c r="D2269" s="61"/>
      <c r="F2269" s="23" t="e">
        <f>VLOOKUP(E2269,Customers[],2,FALSE)</f>
        <v>#N/A</v>
      </c>
      <c r="G2269" s="23" t="e">
        <f>VLOOKUP(E2269,Customers[],3,FALSE)</f>
        <v>#N/A</v>
      </c>
      <c r="H2269" s="23" t="e">
        <f>VLOOKUP(E2269,Customers[],4,FALSE)</f>
        <v>#N/A</v>
      </c>
      <c r="J2269" s="29" t="e">
        <f>VLOOKUP(I2269,PGStock[],2,FALSE)</f>
        <v>#N/A</v>
      </c>
      <c r="K2269" s="30" t="e">
        <f>VLOOKUP(I2269,PGStock[],3,FALSE)</f>
        <v>#N/A</v>
      </c>
      <c r="M2269" s="62" t="e">
        <f>VLOOKUP(I2269,PGStock[],6,FALSE)</f>
        <v>#N/A</v>
      </c>
      <c r="N2269" s="62" t="e">
        <f>+Table8[[#This Row],[SalesBot]]*Table8[[#This Row],[Bonus]]</f>
        <v>#N/A</v>
      </c>
    </row>
    <row r="2270" spans="1:14" ht="20.100000000000001" customHeight="1" x14ac:dyDescent="0.25">
      <c r="A2270" s="59">
        <f t="shared" si="330"/>
        <v>1900</v>
      </c>
      <c r="B2270" s="59">
        <f t="shared" si="331"/>
        <v>1</v>
      </c>
      <c r="C2270" s="97"/>
      <c r="D2270" s="61"/>
      <c r="F2270" s="23" t="e">
        <f>VLOOKUP(E2270,Customers[],2,FALSE)</f>
        <v>#N/A</v>
      </c>
      <c r="G2270" s="23" t="e">
        <f>VLOOKUP(E2270,Customers[],3,FALSE)</f>
        <v>#N/A</v>
      </c>
      <c r="H2270" s="23" t="e">
        <f>VLOOKUP(E2270,Customers[],4,FALSE)</f>
        <v>#N/A</v>
      </c>
      <c r="J2270" s="29" t="e">
        <f>VLOOKUP(I2270,PGStock[],2,FALSE)</f>
        <v>#N/A</v>
      </c>
      <c r="K2270" s="30" t="e">
        <f>VLOOKUP(I2270,PGStock[],3,FALSE)</f>
        <v>#N/A</v>
      </c>
      <c r="M2270" s="62" t="e">
        <f>VLOOKUP(I2270,PGStock[],6,FALSE)</f>
        <v>#N/A</v>
      </c>
      <c r="N2270" s="62" t="e">
        <f>+Table8[[#This Row],[SalesBot]]*Table8[[#This Row],[Bonus]]</f>
        <v>#N/A</v>
      </c>
    </row>
    <row r="2271" spans="1:14" ht="20.100000000000001" customHeight="1" x14ac:dyDescent="0.25">
      <c r="A2271" s="59">
        <f t="shared" si="330"/>
        <v>1900</v>
      </c>
      <c r="B2271" s="59">
        <f t="shared" si="331"/>
        <v>1</v>
      </c>
      <c r="C2271" s="97"/>
      <c r="D2271" s="61"/>
      <c r="F2271" s="23" t="e">
        <f>VLOOKUP(E2271,Customers[],2,FALSE)</f>
        <v>#N/A</v>
      </c>
      <c r="G2271" s="23" t="e">
        <f>VLOOKUP(E2271,Customers[],3,FALSE)</f>
        <v>#N/A</v>
      </c>
      <c r="H2271" s="23" t="e">
        <f>VLOOKUP(E2271,Customers[],4,FALSE)</f>
        <v>#N/A</v>
      </c>
      <c r="J2271" s="29" t="e">
        <f>VLOOKUP(I2271,PGStock[],2,FALSE)</f>
        <v>#N/A</v>
      </c>
      <c r="K2271" s="30" t="e">
        <f>VLOOKUP(I2271,PGStock[],3,FALSE)</f>
        <v>#N/A</v>
      </c>
      <c r="M2271" s="62" t="e">
        <f>VLOOKUP(I2271,PGStock[],6,FALSE)</f>
        <v>#N/A</v>
      </c>
      <c r="N2271" s="62" t="e">
        <f>+Table8[[#This Row],[SalesBot]]*Table8[[#This Row],[Bonus]]</f>
        <v>#N/A</v>
      </c>
    </row>
    <row r="2272" spans="1:14" ht="20.100000000000001" customHeight="1" x14ac:dyDescent="0.25">
      <c r="A2272" s="59">
        <f t="shared" si="330"/>
        <v>1900</v>
      </c>
      <c r="B2272" s="59">
        <f t="shared" si="331"/>
        <v>1</v>
      </c>
      <c r="C2272" s="97"/>
      <c r="D2272" s="61"/>
      <c r="F2272" s="23" t="e">
        <f>VLOOKUP(E2272,Customers[],2,FALSE)</f>
        <v>#N/A</v>
      </c>
      <c r="G2272" s="23" t="e">
        <f>VLOOKUP(E2272,Customers[],3,FALSE)</f>
        <v>#N/A</v>
      </c>
      <c r="H2272" s="23" t="e">
        <f>VLOOKUP(E2272,Customers[],4,FALSE)</f>
        <v>#N/A</v>
      </c>
      <c r="J2272" s="29" t="e">
        <f>VLOOKUP(I2272,PGStock[],2,FALSE)</f>
        <v>#N/A</v>
      </c>
      <c r="K2272" s="30" t="e">
        <f>VLOOKUP(I2272,PGStock[],3,FALSE)</f>
        <v>#N/A</v>
      </c>
      <c r="M2272" s="62" t="e">
        <f>VLOOKUP(I2272,PGStock[],6,FALSE)</f>
        <v>#N/A</v>
      </c>
      <c r="N2272" s="62" t="e">
        <f>+Table8[[#This Row],[SalesBot]]*Table8[[#This Row],[Bonus]]</f>
        <v>#N/A</v>
      </c>
    </row>
    <row r="2273" spans="1:14" ht="20.100000000000001" customHeight="1" x14ac:dyDescent="0.25">
      <c r="A2273" s="59">
        <f t="shared" ref="A2273:A2289" si="332">YEAR(C2273)</f>
        <v>1900</v>
      </c>
      <c r="B2273" s="59">
        <f t="shared" ref="B2273:B2289" si="333">MONTH(C2273)</f>
        <v>1</v>
      </c>
      <c r="C2273" s="97"/>
      <c r="D2273" s="61"/>
      <c r="E2273" s="89"/>
      <c r="F2273" s="23" t="e">
        <f>VLOOKUP(E2273,Customers[],2,FALSE)</f>
        <v>#N/A</v>
      </c>
      <c r="G2273" s="23" t="e">
        <f>VLOOKUP(E2273,Customers[],3,FALSE)</f>
        <v>#N/A</v>
      </c>
      <c r="H2273" s="23" t="e">
        <f>VLOOKUP(E2273,Customers[],4,FALSE)</f>
        <v>#N/A</v>
      </c>
      <c r="J2273" s="29" t="e">
        <f>VLOOKUP(I2273,PGStock[],2,FALSE)</f>
        <v>#N/A</v>
      </c>
      <c r="K2273" s="30" t="e">
        <f>VLOOKUP(I2273,PGStock[],3,FALSE)</f>
        <v>#N/A</v>
      </c>
      <c r="M2273" s="62" t="e">
        <f>VLOOKUP(I2273,PGStock[],6,FALSE)</f>
        <v>#N/A</v>
      </c>
      <c r="N2273" s="62" t="e">
        <f>+Table8[[#This Row],[SalesBot]]*Table8[[#This Row],[Bonus]]</f>
        <v>#N/A</v>
      </c>
    </row>
    <row r="2274" spans="1:14" ht="20.100000000000001" customHeight="1" x14ac:dyDescent="0.25">
      <c r="A2274" s="59">
        <f t="shared" si="332"/>
        <v>1900</v>
      </c>
      <c r="B2274" s="59">
        <f t="shared" si="333"/>
        <v>1</v>
      </c>
      <c r="C2274" s="97"/>
      <c r="D2274" s="61"/>
      <c r="F2274" s="23" t="e">
        <f>VLOOKUP(E2274,Customers[],2,FALSE)</f>
        <v>#N/A</v>
      </c>
      <c r="G2274" s="23" t="e">
        <f>VLOOKUP(E2274,Customers[],3,FALSE)</f>
        <v>#N/A</v>
      </c>
      <c r="H2274" s="23" t="e">
        <f>VLOOKUP(E2274,Customers[],4,FALSE)</f>
        <v>#N/A</v>
      </c>
      <c r="J2274" s="29" t="e">
        <f>VLOOKUP(I2274,PGStock[],2,FALSE)</f>
        <v>#N/A</v>
      </c>
      <c r="K2274" s="30" t="e">
        <f>VLOOKUP(I2274,PGStock[],3,FALSE)</f>
        <v>#N/A</v>
      </c>
      <c r="M2274" s="62" t="e">
        <f>VLOOKUP(I2274,PGStock[],6,FALSE)</f>
        <v>#N/A</v>
      </c>
      <c r="N2274" s="62" t="e">
        <f>+Table8[[#This Row],[SalesBot]]*Table8[[#This Row],[Bonus]]</f>
        <v>#N/A</v>
      </c>
    </row>
    <row r="2275" spans="1:14" ht="20.100000000000001" customHeight="1" x14ac:dyDescent="0.25">
      <c r="A2275" s="59">
        <f t="shared" si="332"/>
        <v>1900</v>
      </c>
      <c r="B2275" s="59">
        <f t="shared" si="333"/>
        <v>1</v>
      </c>
      <c r="C2275" s="97"/>
      <c r="D2275" s="61"/>
      <c r="F2275" s="23" t="e">
        <f>VLOOKUP(E2275,Customers[],2,FALSE)</f>
        <v>#N/A</v>
      </c>
      <c r="G2275" s="23" t="e">
        <f>VLOOKUP(E2275,Customers[],3,FALSE)</f>
        <v>#N/A</v>
      </c>
      <c r="H2275" s="23" t="e">
        <f>VLOOKUP(E2275,Customers[],4,FALSE)</f>
        <v>#N/A</v>
      </c>
      <c r="J2275" s="29" t="e">
        <f>VLOOKUP(I2275,PGStock[],2,FALSE)</f>
        <v>#N/A</v>
      </c>
      <c r="K2275" s="30" t="e">
        <f>VLOOKUP(I2275,PGStock[],3,FALSE)</f>
        <v>#N/A</v>
      </c>
      <c r="M2275" s="62" t="e">
        <f>VLOOKUP(I2275,PGStock[],6,FALSE)</f>
        <v>#N/A</v>
      </c>
      <c r="N2275" s="62" t="e">
        <f>+Table8[[#This Row],[SalesBot]]*Table8[[#This Row],[Bonus]]</f>
        <v>#N/A</v>
      </c>
    </row>
    <row r="2276" spans="1:14" ht="20.100000000000001" customHeight="1" x14ac:dyDescent="0.25">
      <c r="A2276" s="59">
        <f t="shared" si="332"/>
        <v>1900</v>
      </c>
      <c r="B2276" s="59">
        <f t="shared" si="333"/>
        <v>1</v>
      </c>
      <c r="C2276" s="97"/>
      <c r="D2276" s="61"/>
      <c r="F2276" s="23" t="e">
        <f>VLOOKUP(E2276,Customers[],2,FALSE)</f>
        <v>#N/A</v>
      </c>
      <c r="G2276" s="23" t="e">
        <f>VLOOKUP(E2276,Customers[],3,FALSE)</f>
        <v>#N/A</v>
      </c>
      <c r="H2276" s="23" t="e">
        <f>VLOOKUP(E2276,Customers[],4,FALSE)</f>
        <v>#N/A</v>
      </c>
      <c r="J2276" s="29" t="e">
        <f>VLOOKUP(I2276,PGStock[],2,FALSE)</f>
        <v>#N/A</v>
      </c>
      <c r="K2276" s="30" t="e">
        <f>VLOOKUP(I2276,PGStock[],3,FALSE)</f>
        <v>#N/A</v>
      </c>
      <c r="M2276" s="62" t="e">
        <f>VLOOKUP(I2276,PGStock[],6,FALSE)</f>
        <v>#N/A</v>
      </c>
      <c r="N2276" s="62" t="e">
        <f>+Table8[[#This Row],[SalesBot]]*Table8[[#This Row],[Bonus]]</f>
        <v>#N/A</v>
      </c>
    </row>
    <row r="2277" spans="1:14" ht="20.100000000000001" customHeight="1" x14ac:dyDescent="0.25">
      <c r="A2277" s="59">
        <f t="shared" si="332"/>
        <v>1900</v>
      </c>
      <c r="B2277" s="59">
        <f t="shared" si="333"/>
        <v>1</v>
      </c>
      <c r="C2277" s="97"/>
      <c r="D2277" s="61"/>
      <c r="F2277" s="23" t="e">
        <f>VLOOKUP(E2277,Customers[],2,FALSE)</f>
        <v>#N/A</v>
      </c>
      <c r="G2277" s="23" t="e">
        <f>VLOOKUP(E2277,Customers[],3,FALSE)</f>
        <v>#N/A</v>
      </c>
      <c r="H2277" s="23" t="e">
        <f>VLOOKUP(E2277,Customers[],4,FALSE)</f>
        <v>#N/A</v>
      </c>
      <c r="J2277" s="29" t="e">
        <f>VLOOKUP(I2277,PGStock[],2,FALSE)</f>
        <v>#N/A</v>
      </c>
      <c r="K2277" s="30" t="e">
        <f>VLOOKUP(I2277,PGStock[],3,FALSE)</f>
        <v>#N/A</v>
      </c>
      <c r="M2277" s="62" t="e">
        <f>VLOOKUP(I2277,PGStock[],6,FALSE)</f>
        <v>#N/A</v>
      </c>
      <c r="N2277" s="62" t="e">
        <f>+Table8[[#This Row],[SalesBot]]*Table8[[#This Row],[Bonus]]</f>
        <v>#N/A</v>
      </c>
    </row>
    <row r="2278" spans="1:14" ht="20.100000000000001" customHeight="1" x14ac:dyDescent="0.25">
      <c r="A2278" s="59">
        <f t="shared" si="332"/>
        <v>1900</v>
      </c>
      <c r="B2278" s="59">
        <f t="shared" si="333"/>
        <v>1</v>
      </c>
      <c r="C2278" s="97"/>
      <c r="D2278" s="61"/>
      <c r="E2278" s="89"/>
      <c r="F2278" s="23" t="e">
        <f>VLOOKUP(E2278,Customers[],2,FALSE)</f>
        <v>#N/A</v>
      </c>
      <c r="G2278" s="23" t="e">
        <f>VLOOKUP(E2278,Customers[],3,FALSE)</f>
        <v>#N/A</v>
      </c>
      <c r="H2278" s="23" t="e">
        <f>VLOOKUP(E2278,Customers[],4,FALSE)</f>
        <v>#N/A</v>
      </c>
      <c r="J2278" s="29" t="e">
        <f>VLOOKUP(I2278,PGStock[],2,FALSE)</f>
        <v>#N/A</v>
      </c>
      <c r="K2278" s="30" t="e">
        <f>VLOOKUP(I2278,PGStock[],3,FALSE)</f>
        <v>#N/A</v>
      </c>
      <c r="M2278" s="62" t="e">
        <f>VLOOKUP(I2278,PGStock[],6,FALSE)</f>
        <v>#N/A</v>
      </c>
      <c r="N2278" s="62" t="e">
        <f>+Table8[[#This Row],[SalesBot]]*Table8[[#This Row],[Bonus]]</f>
        <v>#N/A</v>
      </c>
    </row>
    <row r="2279" spans="1:14" ht="20.100000000000001" customHeight="1" x14ac:dyDescent="0.25">
      <c r="A2279" s="59">
        <f t="shared" si="332"/>
        <v>1900</v>
      </c>
      <c r="B2279" s="59">
        <f t="shared" si="333"/>
        <v>1</v>
      </c>
      <c r="C2279" s="97"/>
      <c r="D2279" s="61"/>
      <c r="F2279" s="23" t="e">
        <f>VLOOKUP(E2279,Customers[],2,FALSE)</f>
        <v>#N/A</v>
      </c>
      <c r="G2279" s="23" t="e">
        <f>VLOOKUP(E2279,Customers[],3,FALSE)</f>
        <v>#N/A</v>
      </c>
      <c r="H2279" s="23" t="e">
        <f>VLOOKUP(E2279,Customers[],4,FALSE)</f>
        <v>#N/A</v>
      </c>
      <c r="J2279" s="29" t="e">
        <f>VLOOKUP(I2279,PGStock[],2,FALSE)</f>
        <v>#N/A</v>
      </c>
      <c r="K2279" s="30" t="e">
        <f>VLOOKUP(I2279,PGStock[],3,FALSE)</f>
        <v>#N/A</v>
      </c>
      <c r="M2279" s="62" t="e">
        <f>VLOOKUP(I2279,PGStock[],6,FALSE)</f>
        <v>#N/A</v>
      </c>
      <c r="N2279" s="62" t="e">
        <f>+Table8[[#This Row],[SalesBot]]*Table8[[#This Row],[Bonus]]</f>
        <v>#N/A</v>
      </c>
    </row>
    <row r="2280" spans="1:14" ht="20.100000000000001" customHeight="1" x14ac:dyDescent="0.25">
      <c r="A2280" s="59">
        <f t="shared" si="332"/>
        <v>1900</v>
      </c>
      <c r="B2280" s="59">
        <f t="shared" si="333"/>
        <v>1</v>
      </c>
      <c r="C2280" s="97"/>
      <c r="D2280" s="61"/>
      <c r="F2280" s="23" t="e">
        <f>VLOOKUP(E2280,Customers[],2,FALSE)</f>
        <v>#N/A</v>
      </c>
      <c r="G2280" s="23" t="e">
        <f>VLOOKUP(E2280,Customers[],3,FALSE)</f>
        <v>#N/A</v>
      </c>
      <c r="H2280" s="23" t="e">
        <f>VLOOKUP(E2280,Customers[],4,FALSE)</f>
        <v>#N/A</v>
      </c>
      <c r="J2280" s="29" t="e">
        <f>VLOOKUP(I2280,PGStock[],2,FALSE)</f>
        <v>#N/A</v>
      </c>
      <c r="K2280" s="30" t="e">
        <f>VLOOKUP(I2280,PGStock[],3,FALSE)</f>
        <v>#N/A</v>
      </c>
      <c r="M2280" s="62" t="e">
        <f>VLOOKUP(I2280,PGStock[],6,FALSE)</f>
        <v>#N/A</v>
      </c>
      <c r="N2280" s="62" t="e">
        <f>+Table8[[#This Row],[SalesBot]]*Table8[[#This Row],[Bonus]]</f>
        <v>#N/A</v>
      </c>
    </row>
    <row r="2281" spans="1:14" ht="20.100000000000001" customHeight="1" x14ac:dyDescent="0.25">
      <c r="A2281" s="59">
        <f t="shared" si="332"/>
        <v>1900</v>
      </c>
      <c r="B2281" s="59">
        <f t="shared" si="333"/>
        <v>1</v>
      </c>
      <c r="C2281" s="97"/>
      <c r="D2281" s="61"/>
      <c r="F2281" s="23" t="e">
        <f>VLOOKUP(E2281,Customers[],2,FALSE)</f>
        <v>#N/A</v>
      </c>
      <c r="G2281" s="23" t="e">
        <f>VLOOKUP(E2281,Customers[],3,FALSE)</f>
        <v>#N/A</v>
      </c>
      <c r="H2281" s="23" t="e">
        <f>VLOOKUP(E2281,Customers[],4,FALSE)</f>
        <v>#N/A</v>
      </c>
      <c r="J2281" s="29" t="e">
        <f>VLOOKUP(I2281,PGStock[],2,FALSE)</f>
        <v>#N/A</v>
      </c>
      <c r="K2281" s="30" t="e">
        <f>VLOOKUP(I2281,PGStock[],3,FALSE)</f>
        <v>#N/A</v>
      </c>
      <c r="M2281" s="62" t="e">
        <f>VLOOKUP(I2281,PGStock[],6,FALSE)</f>
        <v>#N/A</v>
      </c>
      <c r="N2281" s="62" t="e">
        <f>+Table8[[#This Row],[SalesBot]]*Table8[[#This Row],[Bonus]]</f>
        <v>#N/A</v>
      </c>
    </row>
    <row r="2282" spans="1:14" ht="20.100000000000001" customHeight="1" x14ac:dyDescent="0.25">
      <c r="A2282" s="59">
        <f t="shared" si="332"/>
        <v>1900</v>
      </c>
      <c r="B2282" s="59">
        <f t="shared" si="333"/>
        <v>1</v>
      </c>
      <c r="C2282" s="97"/>
      <c r="D2282" s="61"/>
      <c r="F2282" s="23" t="e">
        <f>VLOOKUP(E2282,Customers[],2,FALSE)</f>
        <v>#N/A</v>
      </c>
      <c r="G2282" s="23" t="e">
        <f>VLOOKUP(E2282,Customers[],3,FALSE)</f>
        <v>#N/A</v>
      </c>
      <c r="H2282" s="23" t="e">
        <f>VLOOKUP(E2282,Customers[],4,FALSE)</f>
        <v>#N/A</v>
      </c>
      <c r="J2282" s="29" t="e">
        <f>VLOOKUP(I2282,PGStock[],2,FALSE)</f>
        <v>#N/A</v>
      </c>
      <c r="K2282" s="30" t="e">
        <f>VLOOKUP(I2282,PGStock[],3,FALSE)</f>
        <v>#N/A</v>
      </c>
      <c r="M2282" s="62" t="e">
        <f>VLOOKUP(I2282,PGStock[],6,FALSE)</f>
        <v>#N/A</v>
      </c>
      <c r="N2282" s="62" t="e">
        <f>+Table8[[#This Row],[SalesBot]]*Table8[[#This Row],[Bonus]]</f>
        <v>#N/A</v>
      </c>
    </row>
    <row r="2283" spans="1:14" ht="20.100000000000001" customHeight="1" x14ac:dyDescent="0.25">
      <c r="A2283" s="59">
        <f t="shared" si="332"/>
        <v>1900</v>
      </c>
      <c r="B2283" s="59">
        <f t="shared" si="333"/>
        <v>1</v>
      </c>
      <c r="C2283" s="97"/>
      <c r="D2283" s="61"/>
      <c r="E2283" s="89"/>
      <c r="F2283" s="23" t="e">
        <f>VLOOKUP(E2283,Customers[],2,FALSE)</f>
        <v>#N/A</v>
      </c>
      <c r="G2283" s="23" t="e">
        <f>VLOOKUP(E2283,Customers[],3,FALSE)</f>
        <v>#N/A</v>
      </c>
      <c r="H2283" s="23" t="e">
        <f>VLOOKUP(E2283,Customers[],4,FALSE)</f>
        <v>#N/A</v>
      </c>
      <c r="J2283" s="29" t="e">
        <f>VLOOKUP(I2283,PGStock[],2,FALSE)</f>
        <v>#N/A</v>
      </c>
      <c r="K2283" s="30" t="e">
        <f>VLOOKUP(I2283,PGStock[],3,FALSE)</f>
        <v>#N/A</v>
      </c>
      <c r="M2283" s="62" t="e">
        <f>VLOOKUP(I2283,PGStock[],6,FALSE)</f>
        <v>#N/A</v>
      </c>
      <c r="N2283" s="62" t="e">
        <f>+Table8[[#This Row],[SalesBot]]*Table8[[#This Row],[Bonus]]</f>
        <v>#N/A</v>
      </c>
    </row>
    <row r="2284" spans="1:14" ht="20.100000000000001" customHeight="1" x14ac:dyDescent="0.25">
      <c r="A2284" s="59">
        <f t="shared" si="332"/>
        <v>1900</v>
      </c>
      <c r="B2284" s="59">
        <f t="shared" si="333"/>
        <v>1</v>
      </c>
      <c r="C2284" s="97"/>
      <c r="D2284" s="61"/>
      <c r="F2284" s="23" t="e">
        <f>VLOOKUP(E2284,Customers[],2,FALSE)</f>
        <v>#N/A</v>
      </c>
      <c r="G2284" s="23" t="e">
        <f>VLOOKUP(E2284,Customers[],3,FALSE)</f>
        <v>#N/A</v>
      </c>
      <c r="H2284" s="23" t="e">
        <f>VLOOKUP(E2284,Customers[],4,FALSE)</f>
        <v>#N/A</v>
      </c>
      <c r="J2284" s="29" t="e">
        <f>VLOOKUP(I2284,PGStock[],2,FALSE)</f>
        <v>#N/A</v>
      </c>
      <c r="K2284" s="30" t="e">
        <f>VLOOKUP(I2284,PGStock[],3,FALSE)</f>
        <v>#N/A</v>
      </c>
      <c r="M2284" s="62" t="e">
        <f>VLOOKUP(I2284,PGStock[],6,FALSE)</f>
        <v>#N/A</v>
      </c>
      <c r="N2284" s="62" t="e">
        <f>+Table8[[#This Row],[SalesBot]]*Table8[[#This Row],[Bonus]]</f>
        <v>#N/A</v>
      </c>
    </row>
    <row r="2285" spans="1:14" ht="20.100000000000001" customHeight="1" x14ac:dyDescent="0.25">
      <c r="A2285" s="59">
        <f t="shared" si="332"/>
        <v>1900</v>
      </c>
      <c r="B2285" s="59">
        <f t="shared" si="333"/>
        <v>1</v>
      </c>
      <c r="C2285" s="97"/>
      <c r="D2285" s="61"/>
      <c r="F2285" s="23" t="e">
        <f>VLOOKUP(E2285,Customers[],2,FALSE)</f>
        <v>#N/A</v>
      </c>
      <c r="G2285" s="23" t="e">
        <f>VLOOKUP(E2285,Customers[],3,FALSE)</f>
        <v>#N/A</v>
      </c>
      <c r="H2285" s="23" t="e">
        <f>VLOOKUP(E2285,Customers[],4,FALSE)</f>
        <v>#N/A</v>
      </c>
      <c r="J2285" s="29" t="e">
        <f>VLOOKUP(I2285,PGStock[],2,FALSE)</f>
        <v>#N/A</v>
      </c>
      <c r="K2285" s="30" t="e">
        <f>VLOOKUP(I2285,PGStock[],3,FALSE)</f>
        <v>#N/A</v>
      </c>
      <c r="M2285" s="62" t="e">
        <f>VLOOKUP(I2285,PGStock[],6,FALSE)</f>
        <v>#N/A</v>
      </c>
      <c r="N2285" s="62" t="e">
        <f>+Table8[[#This Row],[SalesBot]]*Table8[[#This Row],[Bonus]]</f>
        <v>#N/A</v>
      </c>
    </row>
    <row r="2286" spans="1:14" ht="20.100000000000001" customHeight="1" x14ac:dyDescent="0.25">
      <c r="A2286" s="59">
        <f t="shared" si="332"/>
        <v>1900</v>
      </c>
      <c r="B2286" s="59">
        <f t="shared" si="333"/>
        <v>1</v>
      </c>
      <c r="C2286" s="97"/>
      <c r="D2286" s="61"/>
      <c r="F2286" s="23" t="e">
        <f>VLOOKUP(E2286,Customers[],2,FALSE)</f>
        <v>#N/A</v>
      </c>
      <c r="G2286" s="23" t="e">
        <f>VLOOKUP(E2286,Customers[],3,FALSE)</f>
        <v>#N/A</v>
      </c>
      <c r="H2286" s="23" t="e">
        <f>VLOOKUP(E2286,Customers[],4,FALSE)</f>
        <v>#N/A</v>
      </c>
      <c r="J2286" s="29" t="e">
        <f>VLOOKUP(I2286,PGStock[],2,FALSE)</f>
        <v>#N/A</v>
      </c>
      <c r="K2286" s="30" t="e">
        <f>VLOOKUP(I2286,PGStock[],3,FALSE)</f>
        <v>#N/A</v>
      </c>
      <c r="M2286" s="62" t="e">
        <f>VLOOKUP(I2286,PGStock[],6,FALSE)</f>
        <v>#N/A</v>
      </c>
      <c r="N2286" s="62" t="e">
        <f>+Table8[[#This Row],[SalesBot]]*Table8[[#This Row],[Bonus]]</f>
        <v>#N/A</v>
      </c>
    </row>
    <row r="2287" spans="1:14" ht="20.100000000000001" customHeight="1" x14ac:dyDescent="0.25">
      <c r="A2287" s="59">
        <f t="shared" si="332"/>
        <v>1900</v>
      </c>
      <c r="B2287" s="59">
        <f t="shared" si="333"/>
        <v>1</v>
      </c>
      <c r="C2287" s="97"/>
      <c r="D2287" s="61"/>
      <c r="F2287" s="23" t="e">
        <f>VLOOKUP(E2287,Customers[],2,FALSE)</f>
        <v>#N/A</v>
      </c>
      <c r="G2287" s="23" t="e">
        <f>VLOOKUP(E2287,Customers[],3,FALSE)</f>
        <v>#N/A</v>
      </c>
      <c r="H2287" s="23" t="e">
        <f>VLOOKUP(E2287,Customers[],4,FALSE)</f>
        <v>#N/A</v>
      </c>
      <c r="J2287" s="29" t="e">
        <f>VLOOKUP(I2287,PGStock[],2,FALSE)</f>
        <v>#N/A</v>
      </c>
      <c r="K2287" s="30" t="e">
        <f>VLOOKUP(I2287,PGStock[],3,FALSE)</f>
        <v>#N/A</v>
      </c>
      <c r="M2287" s="62" t="e">
        <f>VLOOKUP(I2287,PGStock[],6,FALSE)</f>
        <v>#N/A</v>
      </c>
      <c r="N2287" s="62" t="e">
        <f>+Table8[[#This Row],[SalesBot]]*Table8[[#This Row],[Bonus]]</f>
        <v>#N/A</v>
      </c>
    </row>
    <row r="2288" spans="1:14" ht="20.100000000000001" customHeight="1" x14ac:dyDescent="0.25">
      <c r="A2288" s="59">
        <f t="shared" si="332"/>
        <v>1900</v>
      </c>
      <c r="B2288" s="59">
        <f t="shared" si="333"/>
        <v>1</v>
      </c>
      <c r="C2288" s="97"/>
      <c r="D2288" s="61"/>
      <c r="F2288" s="23" t="e">
        <f>VLOOKUP(E2288,Customers[],2,FALSE)</f>
        <v>#N/A</v>
      </c>
      <c r="G2288" s="23" t="e">
        <f>VLOOKUP(E2288,Customers[],3,FALSE)</f>
        <v>#N/A</v>
      </c>
      <c r="H2288" s="23" t="e">
        <f>VLOOKUP(E2288,Customers[],4,FALSE)</f>
        <v>#N/A</v>
      </c>
      <c r="J2288" s="29" t="e">
        <f>VLOOKUP(I2288,PGStock[],2,FALSE)</f>
        <v>#N/A</v>
      </c>
      <c r="K2288" s="30" t="e">
        <f>VLOOKUP(I2288,PGStock[],3,FALSE)</f>
        <v>#N/A</v>
      </c>
      <c r="M2288" s="62" t="e">
        <f>VLOOKUP(I2288,PGStock[],6,FALSE)</f>
        <v>#N/A</v>
      </c>
      <c r="N2288" s="62" t="e">
        <f>+Table8[[#This Row],[SalesBot]]*Table8[[#This Row],[Bonus]]</f>
        <v>#N/A</v>
      </c>
    </row>
    <row r="2289" spans="1:14" ht="20.100000000000001" customHeight="1" x14ac:dyDescent="0.25">
      <c r="A2289" s="59">
        <f t="shared" si="332"/>
        <v>1900</v>
      </c>
      <c r="B2289" s="59">
        <f t="shared" si="333"/>
        <v>1</v>
      </c>
      <c r="C2289" s="97"/>
      <c r="D2289" s="61"/>
      <c r="E2289" s="89"/>
      <c r="F2289" s="23" t="e">
        <f>VLOOKUP(E2289,Customers[],2,FALSE)</f>
        <v>#N/A</v>
      </c>
      <c r="G2289" s="23" t="e">
        <f>VLOOKUP(E2289,Customers[],3,FALSE)</f>
        <v>#N/A</v>
      </c>
      <c r="H2289" s="23" t="e">
        <f>VLOOKUP(E2289,Customers[],4,FALSE)</f>
        <v>#N/A</v>
      </c>
      <c r="J2289" s="29" t="e">
        <f>VLOOKUP(I2289,PGStock[],2,FALSE)</f>
        <v>#N/A</v>
      </c>
      <c r="K2289" s="30" t="e">
        <f>VLOOKUP(I2289,PGStock[],3,FALSE)</f>
        <v>#N/A</v>
      </c>
      <c r="M2289" s="62" t="e">
        <f>VLOOKUP(I2289,PGStock[],6,FALSE)</f>
        <v>#N/A</v>
      </c>
      <c r="N2289" s="62" t="e">
        <f>+Table8[[#This Row],[SalesBot]]*Table8[[#This Row],[Bonus]]</f>
        <v>#N/A</v>
      </c>
    </row>
    <row r="2290" spans="1:14" ht="20.100000000000001" customHeight="1" x14ac:dyDescent="0.25">
      <c r="A2290" s="59">
        <f t="shared" ref="A2290:A2306" si="334">YEAR(C2290)</f>
        <v>1900</v>
      </c>
      <c r="B2290" s="59">
        <f t="shared" ref="B2290:B2306" si="335">MONTH(C2290)</f>
        <v>1</v>
      </c>
      <c r="C2290" s="97"/>
      <c r="D2290" s="61"/>
      <c r="F2290" s="23" t="e">
        <f>VLOOKUP(E2290,Customers[],2,FALSE)</f>
        <v>#N/A</v>
      </c>
      <c r="G2290" s="23" t="e">
        <f>VLOOKUP(E2290,Customers[],3,FALSE)</f>
        <v>#N/A</v>
      </c>
      <c r="H2290" s="23" t="e">
        <f>VLOOKUP(E2290,Customers[],4,FALSE)</f>
        <v>#N/A</v>
      </c>
      <c r="J2290" s="29" t="e">
        <f>VLOOKUP(I2290,PGStock[],2,FALSE)</f>
        <v>#N/A</v>
      </c>
      <c r="K2290" s="30" t="e">
        <f>VLOOKUP(I2290,PGStock[],3,FALSE)</f>
        <v>#N/A</v>
      </c>
      <c r="M2290" s="62" t="e">
        <f>VLOOKUP(I2290,PGStock[],6,FALSE)</f>
        <v>#N/A</v>
      </c>
      <c r="N2290" s="62" t="e">
        <f>+Table8[[#This Row],[SalesBot]]*Table8[[#This Row],[Bonus]]</f>
        <v>#N/A</v>
      </c>
    </row>
    <row r="2291" spans="1:14" ht="20.100000000000001" customHeight="1" x14ac:dyDescent="0.25">
      <c r="A2291" s="59">
        <f t="shared" si="334"/>
        <v>1900</v>
      </c>
      <c r="B2291" s="59">
        <f t="shared" si="335"/>
        <v>1</v>
      </c>
      <c r="C2291" s="97"/>
      <c r="D2291" s="61"/>
      <c r="F2291" s="23" t="e">
        <f>VLOOKUP(E2291,Customers[],2,FALSE)</f>
        <v>#N/A</v>
      </c>
      <c r="G2291" s="23" t="e">
        <f>VLOOKUP(E2291,Customers[],3,FALSE)</f>
        <v>#N/A</v>
      </c>
      <c r="H2291" s="23" t="e">
        <f>VLOOKUP(E2291,Customers[],4,FALSE)</f>
        <v>#N/A</v>
      </c>
      <c r="J2291" s="29" t="e">
        <f>VLOOKUP(I2291,PGStock[],2,FALSE)</f>
        <v>#N/A</v>
      </c>
      <c r="K2291" s="30" t="e">
        <f>VLOOKUP(I2291,PGStock[],3,FALSE)</f>
        <v>#N/A</v>
      </c>
      <c r="M2291" s="62" t="e">
        <f>VLOOKUP(I2291,PGStock[],6,FALSE)</f>
        <v>#N/A</v>
      </c>
      <c r="N2291" s="62" t="e">
        <f>+Table8[[#This Row],[SalesBot]]*Table8[[#This Row],[Bonus]]</f>
        <v>#N/A</v>
      </c>
    </row>
    <row r="2292" spans="1:14" ht="20.100000000000001" customHeight="1" x14ac:dyDescent="0.25">
      <c r="A2292" s="59">
        <f t="shared" si="334"/>
        <v>1900</v>
      </c>
      <c r="B2292" s="59">
        <f t="shared" si="335"/>
        <v>1</v>
      </c>
      <c r="C2292" s="97"/>
      <c r="D2292" s="61"/>
      <c r="F2292" s="23" t="e">
        <f>VLOOKUP(E2292,Customers[],2,FALSE)</f>
        <v>#N/A</v>
      </c>
      <c r="G2292" s="23" t="e">
        <f>VLOOKUP(E2292,Customers[],3,FALSE)</f>
        <v>#N/A</v>
      </c>
      <c r="H2292" s="23" t="e">
        <f>VLOOKUP(E2292,Customers[],4,FALSE)</f>
        <v>#N/A</v>
      </c>
      <c r="J2292" s="29" t="e">
        <f>VLOOKUP(I2292,PGStock[],2,FALSE)</f>
        <v>#N/A</v>
      </c>
      <c r="K2292" s="30" t="e">
        <f>VLOOKUP(I2292,PGStock[],3,FALSE)</f>
        <v>#N/A</v>
      </c>
      <c r="M2292" s="62" t="e">
        <f>VLOOKUP(I2292,PGStock[],6,FALSE)</f>
        <v>#N/A</v>
      </c>
      <c r="N2292" s="62" t="e">
        <f>+Table8[[#This Row],[SalesBot]]*Table8[[#This Row],[Bonus]]</f>
        <v>#N/A</v>
      </c>
    </row>
    <row r="2293" spans="1:14" ht="20.100000000000001" customHeight="1" x14ac:dyDescent="0.25">
      <c r="A2293" s="59">
        <f t="shared" si="334"/>
        <v>1900</v>
      </c>
      <c r="B2293" s="59">
        <f t="shared" si="335"/>
        <v>1</v>
      </c>
      <c r="C2293" s="97"/>
      <c r="D2293" s="61"/>
      <c r="F2293" s="23" t="e">
        <f>VLOOKUP(E2293,Customers[],2,FALSE)</f>
        <v>#N/A</v>
      </c>
      <c r="G2293" s="23" t="e">
        <f>VLOOKUP(E2293,Customers[],3,FALSE)</f>
        <v>#N/A</v>
      </c>
      <c r="H2293" s="23" t="e">
        <f>VLOOKUP(E2293,Customers[],4,FALSE)</f>
        <v>#N/A</v>
      </c>
      <c r="J2293" s="29" t="e">
        <f>VLOOKUP(I2293,PGStock[],2,FALSE)</f>
        <v>#N/A</v>
      </c>
      <c r="K2293" s="30" t="e">
        <f>VLOOKUP(I2293,PGStock[],3,FALSE)</f>
        <v>#N/A</v>
      </c>
      <c r="M2293" s="62" t="e">
        <f>VLOOKUP(I2293,PGStock[],6,FALSE)</f>
        <v>#N/A</v>
      </c>
      <c r="N2293" s="62" t="e">
        <f>+Table8[[#This Row],[SalesBot]]*Table8[[#This Row],[Bonus]]</f>
        <v>#N/A</v>
      </c>
    </row>
    <row r="2294" spans="1:14" ht="20.100000000000001" customHeight="1" x14ac:dyDescent="0.25">
      <c r="A2294" s="59">
        <f t="shared" si="334"/>
        <v>1900</v>
      </c>
      <c r="B2294" s="59">
        <f t="shared" si="335"/>
        <v>1</v>
      </c>
      <c r="C2294" s="97"/>
      <c r="D2294" s="61"/>
      <c r="F2294" s="23" t="e">
        <f>VLOOKUP(E2294,Customers[],2,FALSE)</f>
        <v>#N/A</v>
      </c>
      <c r="G2294" s="23" t="e">
        <f>VLOOKUP(E2294,Customers[],3,FALSE)</f>
        <v>#N/A</v>
      </c>
      <c r="H2294" s="23" t="e">
        <f>VLOOKUP(E2294,Customers[],4,FALSE)</f>
        <v>#N/A</v>
      </c>
      <c r="J2294" s="29" t="e">
        <f>VLOOKUP(I2294,PGStock[],2,FALSE)</f>
        <v>#N/A</v>
      </c>
      <c r="K2294" s="30" t="e">
        <f>VLOOKUP(I2294,PGStock[],3,FALSE)</f>
        <v>#N/A</v>
      </c>
      <c r="M2294" s="62" t="e">
        <f>VLOOKUP(I2294,PGStock[],6,FALSE)</f>
        <v>#N/A</v>
      </c>
      <c r="N2294" s="62" t="e">
        <f>+Table8[[#This Row],[SalesBot]]*Table8[[#This Row],[Bonus]]</f>
        <v>#N/A</v>
      </c>
    </row>
    <row r="2295" spans="1:14" ht="20.100000000000001" customHeight="1" x14ac:dyDescent="0.25">
      <c r="A2295" s="59">
        <f t="shared" si="334"/>
        <v>1900</v>
      </c>
      <c r="B2295" s="59">
        <f t="shared" si="335"/>
        <v>1</v>
      </c>
      <c r="C2295" s="97"/>
      <c r="D2295" s="61"/>
      <c r="F2295" s="23" t="e">
        <f>VLOOKUP(E2295,Customers[],2,FALSE)</f>
        <v>#N/A</v>
      </c>
      <c r="G2295" s="23" t="e">
        <f>VLOOKUP(E2295,Customers[],3,FALSE)</f>
        <v>#N/A</v>
      </c>
      <c r="H2295" s="23" t="e">
        <f>VLOOKUP(E2295,Customers[],4,FALSE)</f>
        <v>#N/A</v>
      </c>
      <c r="J2295" s="29" t="e">
        <f>VLOOKUP(I2295,PGStock[],2,FALSE)</f>
        <v>#N/A</v>
      </c>
      <c r="K2295" s="30" t="e">
        <f>VLOOKUP(I2295,PGStock[],3,FALSE)</f>
        <v>#N/A</v>
      </c>
      <c r="M2295" s="62" t="e">
        <f>VLOOKUP(I2295,PGStock[],6,FALSE)</f>
        <v>#N/A</v>
      </c>
      <c r="N2295" s="62" t="e">
        <f>+Table8[[#This Row],[SalesBot]]*Table8[[#This Row],[Bonus]]</f>
        <v>#N/A</v>
      </c>
    </row>
    <row r="2296" spans="1:14" ht="20.100000000000001" customHeight="1" x14ac:dyDescent="0.25">
      <c r="A2296" s="59">
        <f t="shared" si="334"/>
        <v>1900</v>
      </c>
      <c r="B2296" s="59">
        <f t="shared" si="335"/>
        <v>1</v>
      </c>
      <c r="C2296" s="97"/>
      <c r="D2296" s="61"/>
      <c r="E2296" s="89"/>
      <c r="F2296" s="23" t="e">
        <f>VLOOKUP(E2296,Customers[],2,FALSE)</f>
        <v>#N/A</v>
      </c>
      <c r="G2296" s="23" t="e">
        <f>VLOOKUP(E2296,Customers[],3,FALSE)</f>
        <v>#N/A</v>
      </c>
      <c r="H2296" s="23" t="e">
        <f>VLOOKUP(E2296,Customers[],4,FALSE)</f>
        <v>#N/A</v>
      </c>
      <c r="J2296" s="29" t="e">
        <f>VLOOKUP(I2296,PGStock[],2,FALSE)</f>
        <v>#N/A</v>
      </c>
      <c r="K2296" s="30" t="e">
        <f>VLOOKUP(I2296,PGStock[],3,FALSE)</f>
        <v>#N/A</v>
      </c>
      <c r="M2296" s="62" t="e">
        <f>VLOOKUP(I2296,PGStock[],6,FALSE)</f>
        <v>#N/A</v>
      </c>
      <c r="N2296" s="62" t="e">
        <f>+Table8[[#This Row],[SalesBot]]*Table8[[#This Row],[Bonus]]</f>
        <v>#N/A</v>
      </c>
    </row>
    <row r="2297" spans="1:14" ht="20.100000000000001" customHeight="1" x14ac:dyDescent="0.25">
      <c r="A2297" s="59">
        <f t="shared" si="334"/>
        <v>1900</v>
      </c>
      <c r="B2297" s="59">
        <f t="shared" si="335"/>
        <v>1</v>
      </c>
      <c r="C2297" s="97"/>
      <c r="D2297" s="61"/>
      <c r="F2297" s="23" t="e">
        <f>VLOOKUP(E2297,Customers[],2,FALSE)</f>
        <v>#N/A</v>
      </c>
      <c r="G2297" s="23" t="e">
        <f>VLOOKUP(E2297,Customers[],3,FALSE)</f>
        <v>#N/A</v>
      </c>
      <c r="H2297" s="23" t="e">
        <f>VLOOKUP(E2297,Customers[],4,FALSE)</f>
        <v>#N/A</v>
      </c>
      <c r="J2297" s="29" t="e">
        <f>VLOOKUP(I2297,PGStock[],2,FALSE)</f>
        <v>#N/A</v>
      </c>
      <c r="K2297" s="30" t="e">
        <f>VLOOKUP(I2297,PGStock[],3,FALSE)</f>
        <v>#N/A</v>
      </c>
      <c r="M2297" s="62" t="e">
        <f>VLOOKUP(I2297,PGStock[],6,FALSE)</f>
        <v>#N/A</v>
      </c>
      <c r="N2297" s="62" t="e">
        <f>+Table8[[#This Row],[SalesBot]]*Table8[[#This Row],[Bonus]]</f>
        <v>#N/A</v>
      </c>
    </row>
    <row r="2298" spans="1:14" ht="20.100000000000001" customHeight="1" x14ac:dyDescent="0.25">
      <c r="A2298" s="59">
        <f t="shared" si="334"/>
        <v>1900</v>
      </c>
      <c r="B2298" s="59">
        <f t="shared" si="335"/>
        <v>1</v>
      </c>
      <c r="C2298" s="97"/>
      <c r="D2298" s="61"/>
      <c r="F2298" s="23" t="e">
        <f>VLOOKUP(E2298,Customers[],2,FALSE)</f>
        <v>#N/A</v>
      </c>
      <c r="G2298" s="23" t="e">
        <f>VLOOKUP(E2298,Customers[],3,FALSE)</f>
        <v>#N/A</v>
      </c>
      <c r="H2298" s="23" t="e">
        <f>VLOOKUP(E2298,Customers[],4,FALSE)</f>
        <v>#N/A</v>
      </c>
      <c r="J2298" s="29" t="e">
        <f>VLOOKUP(I2298,PGStock[],2,FALSE)</f>
        <v>#N/A</v>
      </c>
      <c r="K2298" s="30" t="e">
        <f>VLOOKUP(I2298,PGStock[],3,FALSE)</f>
        <v>#N/A</v>
      </c>
      <c r="M2298" s="62" t="e">
        <f>VLOOKUP(I2298,PGStock[],6,FALSE)</f>
        <v>#N/A</v>
      </c>
      <c r="N2298" s="62" t="e">
        <f>+Table8[[#This Row],[SalesBot]]*Table8[[#This Row],[Bonus]]</f>
        <v>#N/A</v>
      </c>
    </row>
    <row r="2299" spans="1:14" ht="20.100000000000001" customHeight="1" x14ac:dyDescent="0.25">
      <c r="A2299" s="59">
        <f t="shared" si="334"/>
        <v>1900</v>
      </c>
      <c r="B2299" s="59">
        <f t="shared" si="335"/>
        <v>1</v>
      </c>
      <c r="C2299" s="97"/>
      <c r="D2299" s="61"/>
      <c r="F2299" s="23" t="e">
        <f>VLOOKUP(E2299,Customers[],2,FALSE)</f>
        <v>#N/A</v>
      </c>
      <c r="G2299" s="23" t="e">
        <f>VLOOKUP(E2299,Customers[],3,FALSE)</f>
        <v>#N/A</v>
      </c>
      <c r="H2299" s="23" t="e">
        <f>VLOOKUP(E2299,Customers[],4,FALSE)</f>
        <v>#N/A</v>
      </c>
      <c r="J2299" s="29" t="e">
        <f>VLOOKUP(I2299,PGStock[],2,FALSE)</f>
        <v>#N/A</v>
      </c>
      <c r="K2299" s="30" t="e">
        <f>VLOOKUP(I2299,PGStock[],3,FALSE)</f>
        <v>#N/A</v>
      </c>
      <c r="M2299" s="62" t="e">
        <f>VLOOKUP(I2299,PGStock[],6,FALSE)</f>
        <v>#N/A</v>
      </c>
      <c r="N2299" s="62" t="e">
        <f>+Table8[[#This Row],[SalesBot]]*Table8[[#This Row],[Bonus]]</f>
        <v>#N/A</v>
      </c>
    </row>
    <row r="2300" spans="1:14" ht="20.100000000000001" customHeight="1" x14ac:dyDescent="0.25">
      <c r="A2300" s="59">
        <f t="shared" si="334"/>
        <v>1900</v>
      </c>
      <c r="B2300" s="59">
        <f t="shared" si="335"/>
        <v>1</v>
      </c>
      <c r="C2300" s="97"/>
      <c r="D2300" s="61"/>
      <c r="F2300" s="23" t="e">
        <f>VLOOKUP(E2300,Customers[],2,FALSE)</f>
        <v>#N/A</v>
      </c>
      <c r="G2300" s="23" t="e">
        <f>VLOOKUP(E2300,Customers[],3,FALSE)</f>
        <v>#N/A</v>
      </c>
      <c r="H2300" s="23" t="e">
        <f>VLOOKUP(E2300,Customers[],4,FALSE)</f>
        <v>#N/A</v>
      </c>
      <c r="J2300" s="29" t="e">
        <f>VLOOKUP(I2300,PGStock[],2,FALSE)</f>
        <v>#N/A</v>
      </c>
      <c r="K2300" s="30" t="e">
        <f>VLOOKUP(I2300,PGStock[],3,FALSE)</f>
        <v>#N/A</v>
      </c>
      <c r="M2300" s="62" t="e">
        <f>VLOOKUP(I2300,PGStock[],6,FALSE)</f>
        <v>#N/A</v>
      </c>
      <c r="N2300" s="62" t="e">
        <f>+Table8[[#This Row],[SalesBot]]*Table8[[#This Row],[Bonus]]</f>
        <v>#N/A</v>
      </c>
    </row>
    <row r="2301" spans="1:14" ht="20.100000000000001" customHeight="1" x14ac:dyDescent="0.25">
      <c r="A2301" s="59">
        <f t="shared" si="334"/>
        <v>1900</v>
      </c>
      <c r="B2301" s="59">
        <f t="shared" si="335"/>
        <v>1</v>
      </c>
      <c r="C2301" s="97"/>
      <c r="D2301" s="61"/>
      <c r="F2301" s="23" t="e">
        <f>VLOOKUP(E2301,Customers[],2,FALSE)</f>
        <v>#N/A</v>
      </c>
      <c r="G2301" s="23" t="e">
        <f>VLOOKUP(E2301,Customers[],3,FALSE)</f>
        <v>#N/A</v>
      </c>
      <c r="H2301" s="23" t="e">
        <f>VLOOKUP(E2301,Customers[],4,FALSE)</f>
        <v>#N/A</v>
      </c>
      <c r="J2301" s="29" t="e">
        <f>VLOOKUP(I2301,PGStock[],2,FALSE)</f>
        <v>#N/A</v>
      </c>
      <c r="K2301" s="30" t="e">
        <f>VLOOKUP(I2301,PGStock[],3,FALSE)</f>
        <v>#N/A</v>
      </c>
      <c r="M2301" s="62" t="e">
        <f>VLOOKUP(I2301,PGStock[],6,FALSE)</f>
        <v>#N/A</v>
      </c>
      <c r="N2301" s="62" t="e">
        <f>+Table8[[#This Row],[SalesBot]]*Table8[[#This Row],[Bonus]]</f>
        <v>#N/A</v>
      </c>
    </row>
    <row r="2302" spans="1:14" ht="20.100000000000001" customHeight="1" x14ac:dyDescent="0.25">
      <c r="A2302" s="59">
        <f t="shared" si="334"/>
        <v>1900</v>
      </c>
      <c r="B2302" s="59">
        <f t="shared" si="335"/>
        <v>1</v>
      </c>
      <c r="C2302" s="97"/>
      <c r="D2302" s="61"/>
      <c r="E2302" s="89"/>
      <c r="F2302" s="23" t="e">
        <f>VLOOKUP(E2302,Customers[],2,FALSE)</f>
        <v>#N/A</v>
      </c>
      <c r="G2302" s="23" t="e">
        <f>VLOOKUP(E2302,Customers[],3,FALSE)</f>
        <v>#N/A</v>
      </c>
      <c r="H2302" s="23" t="e">
        <f>VLOOKUP(E2302,Customers[],4,FALSE)</f>
        <v>#N/A</v>
      </c>
      <c r="J2302" s="29" t="e">
        <f>VLOOKUP(I2302,PGStock[],2,FALSE)</f>
        <v>#N/A</v>
      </c>
      <c r="K2302" s="30" t="e">
        <f>VLOOKUP(I2302,PGStock[],3,FALSE)</f>
        <v>#N/A</v>
      </c>
      <c r="M2302" s="62" t="e">
        <f>VLOOKUP(I2302,PGStock[],6,FALSE)</f>
        <v>#N/A</v>
      </c>
      <c r="N2302" s="62" t="e">
        <f>+Table8[[#This Row],[SalesBot]]*Table8[[#This Row],[Bonus]]</f>
        <v>#N/A</v>
      </c>
    </row>
    <row r="2303" spans="1:14" ht="20.100000000000001" customHeight="1" x14ac:dyDescent="0.25">
      <c r="A2303" s="59">
        <f t="shared" si="334"/>
        <v>1900</v>
      </c>
      <c r="B2303" s="59">
        <f t="shared" si="335"/>
        <v>1</v>
      </c>
      <c r="C2303" s="97"/>
      <c r="D2303" s="61"/>
      <c r="F2303" s="23" t="e">
        <f>VLOOKUP(E2303,Customers[],2,FALSE)</f>
        <v>#N/A</v>
      </c>
      <c r="G2303" s="23" t="e">
        <f>VLOOKUP(E2303,Customers[],3,FALSE)</f>
        <v>#N/A</v>
      </c>
      <c r="H2303" s="23" t="e">
        <f>VLOOKUP(E2303,Customers[],4,FALSE)</f>
        <v>#N/A</v>
      </c>
      <c r="J2303" s="29" t="e">
        <f>VLOOKUP(I2303,PGStock[],2,FALSE)</f>
        <v>#N/A</v>
      </c>
      <c r="K2303" s="30" t="e">
        <f>VLOOKUP(I2303,PGStock[],3,FALSE)</f>
        <v>#N/A</v>
      </c>
      <c r="M2303" s="62" t="e">
        <f>VLOOKUP(I2303,PGStock[],6,FALSE)</f>
        <v>#N/A</v>
      </c>
      <c r="N2303" s="62" t="e">
        <f>+Table8[[#This Row],[SalesBot]]*Table8[[#This Row],[Bonus]]</f>
        <v>#N/A</v>
      </c>
    </row>
    <row r="2304" spans="1:14" ht="20.100000000000001" customHeight="1" x14ac:dyDescent="0.25">
      <c r="A2304" s="59">
        <f t="shared" si="334"/>
        <v>1900</v>
      </c>
      <c r="B2304" s="59">
        <f t="shared" si="335"/>
        <v>1</v>
      </c>
      <c r="C2304" s="97"/>
      <c r="D2304" s="61"/>
      <c r="F2304" s="23" t="e">
        <f>VLOOKUP(E2304,Customers[],2,FALSE)</f>
        <v>#N/A</v>
      </c>
      <c r="G2304" s="23" t="e">
        <f>VLOOKUP(E2304,Customers[],3,FALSE)</f>
        <v>#N/A</v>
      </c>
      <c r="H2304" s="23" t="e">
        <f>VLOOKUP(E2304,Customers[],4,FALSE)</f>
        <v>#N/A</v>
      </c>
      <c r="J2304" s="29" t="e">
        <f>VLOOKUP(I2304,PGStock[],2,FALSE)</f>
        <v>#N/A</v>
      </c>
      <c r="K2304" s="30" t="e">
        <f>VLOOKUP(I2304,PGStock[],3,FALSE)</f>
        <v>#N/A</v>
      </c>
      <c r="M2304" s="62" t="e">
        <f>VLOOKUP(I2304,PGStock[],6,FALSE)</f>
        <v>#N/A</v>
      </c>
      <c r="N2304" s="62" t="e">
        <f>+Table8[[#This Row],[SalesBot]]*Table8[[#This Row],[Bonus]]</f>
        <v>#N/A</v>
      </c>
    </row>
    <row r="2305" spans="1:14" ht="20.100000000000001" customHeight="1" x14ac:dyDescent="0.25">
      <c r="A2305" s="59">
        <f t="shared" si="334"/>
        <v>1900</v>
      </c>
      <c r="B2305" s="59">
        <f t="shared" si="335"/>
        <v>1</v>
      </c>
      <c r="C2305" s="97"/>
      <c r="D2305" s="61"/>
      <c r="F2305" s="23" t="e">
        <f>VLOOKUP(E2305,Customers[],2,FALSE)</f>
        <v>#N/A</v>
      </c>
      <c r="G2305" s="23" t="e">
        <f>VLOOKUP(E2305,Customers[],3,FALSE)</f>
        <v>#N/A</v>
      </c>
      <c r="H2305" s="23" t="e">
        <f>VLOOKUP(E2305,Customers[],4,FALSE)</f>
        <v>#N/A</v>
      </c>
      <c r="J2305" s="29" t="e">
        <f>VLOOKUP(I2305,PGStock[],2,FALSE)</f>
        <v>#N/A</v>
      </c>
      <c r="K2305" s="30" t="e">
        <f>VLOOKUP(I2305,PGStock[],3,FALSE)</f>
        <v>#N/A</v>
      </c>
      <c r="M2305" s="62" t="e">
        <f>VLOOKUP(I2305,PGStock[],6,FALSE)</f>
        <v>#N/A</v>
      </c>
      <c r="N2305" s="62" t="e">
        <f>+Table8[[#This Row],[SalesBot]]*Table8[[#This Row],[Bonus]]</f>
        <v>#N/A</v>
      </c>
    </row>
    <row r="2306" spans="1:14" ht="20.100000000000001" customHeight="1" x14ac:dyDescent="0.25">
      <c r="A2306" s="59">
        <f t="shared" si="334"/>
        <v>1900</v>
      </c>
      <c r="B2306" s="59">
        <f t="shared" si="335"/>
        <v>1</v>
      </c>
      <c r="C2306" s="97"/>
      <c r="D2306" s="61"/>
      <c r="F2306" s="23" t="e">
        <f>VLOOKUP(E2306,Customers[],2,FALSE)</f>
        <v>#N/A</v>
      </c>
      <c r="G2306" s="23" t="e">
        <f>VLOOKUP(E2306,Customers[],3,FALSE)</f>
        <v>#N/A</v>
      </c>
      <c r="H2306" s="23" t="e">
        <f>VLOOKUP(E2306,Customers[],4,FALSE)</f>
        <v>#N/A</v>
      </c>
      <c r="J2306" s="29" t="e">
        <f>VLOOKUP(I2306,PGStock[],2,FALSE)</f>
        <v>#N/A</v>
      </c>
      <c r="K2306" s="30" t="e">
        <f>VLOOKUP(I2306,PGStock[],3,FALSE)</f>
        <v>#N/A</v>
      </c>
      <c r="M2306" s="62" t="e">
        <f>VLOOKUP(I2306,PGStock[],6,FALSE)</f>
        <v>#N/A</v>
      </c>
      <c r="N2306" s="62" t="e">
        <f>+Table8[[#This Row],[SalesBot]]*Table8[[#This Row],[Bonus]]</f>
        <v>#N/A</v>
      </c>
    </row>
    <row r="2307" spans="1:14" ht="20.100000000000001" customHeight="1" x14ac:dyDescent="0.25">
      <c r="A2307" s="59">
        <f t="shared" ref="A2307:A2323" si="336">YEAR(C2307)</f>
        <v>1900</v>
      </c>
      <c r="B2307" s="59">
        <f t="shared" ref="B2307:B2323" si="337">MONTH(C2307)</f>
        <v>1</v>
      </c>
      <c r="C2307" s="97"/>
      <c r="D2307" s="61"/>
      <c r="F2307" s="23" t="e">
        <f>VLOOKUP(E2307,Customers[],2,FALSE)</f>
        <v>#N/A</v>
      </c>
      <c r="G2307" s="23" t="e">
        <f>VLOOKUP(E2307,Customers[],3,FALSE)</f>
        <v>#N/A</v>
      </c>
      <c r="H2307" s="23" t="e">
        <f>VLOOKUP(E2307,Customers[],4,FALSE)</f>
        <v>#N/A</v>
      </c>
      <c r="J2307" s="29" t="e">
        <f>VLOOKUP(I2307,PGStock[],2,FALSE)</f>
        <v>#N/A</v>
      </c>
      <c r="K2307" s="30" t="e">
        <f>VLOOKUP(I2307,PGStock[],3,FALSE)</f>
        <v>#N/A</v>
      </c>
      <c r="M2307" s="62" t="e">
        <f>VLOOKUP(I2307,PGStock[],6,FALSE)</f>
        <v>#N/A</v>
      </c>
      <c r="N2307" s="62" t="e">
        <f>+Table8[[#This Row],[SalesBot]]*Table8[[#This Row],[Bonus]]</f>
        <v>#N/A</v>
      </c>
    </row>
    <row r="2308" spans="1:14" ht="20.100000000000001" customHeight="1" x14ac:dyDescent="0.25">
      <c r="A2308" s="59">
        <f t="shared" si="336"/>
        <v>1900</v>
      </c>
      <c r="B2308" s="59">
        <f t="shared" si="337"/>
        <v>1</v>
      </c>
      <c r="C2308" s="97"/>
      <c r="D2308" s="61"/>
      <c r="E2308" s="89"/>
      <c r="F2308" s="23" t="e">
        <f>VLOOKUP(E2308,Customers[],2,FALSE)</f>
        <v>#N/A</v>
      </c>
      <c r="G2308" s="23" t="e">
        <f>VLOOKUP(E2308,Customers[],3,FALSE)</f>
        <v>#N/A</v>
      </c>
      <c r="H2308" s="23" t="e">
        <f>VLOOKUP(E2308,Customers[],4,FALSE)</f>
        <v>#N/A</v>
      </c>
      <c r="J2308" s="29" t="e">
        <f>VLOOKUP(I2308,PGStock[],2,FALSE)</f>
        <v>#N/A</v>
      </c>
      <c r="K2308" s="30" t="e">
        <f>VLOOKUP(I2308,PGStock[],3,FALSE)</f>
        <v>#N/A</v>
      </c>
      <c r="M2308" s="62" t="e">
        <f>VLOOKUP(I2308,PGStock[],6,FALSE)</f>
        <v>#N/A</v>
      </c>
      <c r="N2308" s="62" t="e">
        <f>+Table8[[#This Row],[SalesBot]]*Table8[[#This Row],[Bonus]]</f>
        <v>#N/A</v>
      </c>
    </row>
    <row r="2309" spans="1:14" ht="20.100000000000001" customHeight="1" x14ac:dyDescent="0.25">
      <c r="A2309" s="59">
        <f t="shared" si="336"/>
        <v>1900</v>
      </c>
      <c r="B2309" s="59">
        <f t="shared" si="337"/>
        <v>1</v>
      </c>
      <c r="C2309" s="97"/>
      <c r="D2309" s="61"/>
      <c r="F2309" s="23" t="e">
        <f>VLOOKUP(E2309,Customers[],2,FALSE)</f>
        <v>#N/A</v>
      </c>
      <c r="G2309" s="23" t="e">
        <f>VLOOKUP(E2309,Customers[],3,FALSE)</f>
        <v>#N/A</v>
      </c>
      <c r="H2309" s="23" t="e">
        <f>VLOOKUP(E2309,Customers[],4,FALSE)</f>
        <v>#N/A</v>
      </c>
      <c r="J2309" s="29" t="e">
        <f>VLOOKUP(I2309,PGStock[],2,FALSE)</f>
        <v>#N/A</v>
      </c>
      <c r="K2309" s="30" t="e">
        <f>VLOOKUP(I2309,PGStock[],3,FALSE)</f>
        <v>#N/A</v>
      </c>
      <c r="M2309" s="62" t="e">
        <f>VLOOKUP(I2309,PGStock[],6,FALSE)</f>
        <v>#N/A</v>
      </c>
      <c r="N2309" s="62" t="e">
        <f>+Table8[[#This Row],[SalesBot]]*Table8[[#This Row],[Bonus]]</f>
        <v>#N/A</v>
      </c>
    </row>
    <row r="2310" spans="1:14" ht="20.100000000000001" customHeight="1" x14ac:dyDescent="0.25">
      <c r="A2310" s="59">
        <f t="shared" si="336"/>
        <v>1900</v>
      </c>
      <c r="B2310" s="59">
        <f t="shared" si="337"/>
        <v>1</v>
      </c>
      <c r="C2310" s="97"/>
      <c r="D2310" s="61"/>
      <c r="F2310" s="23" t="e">
        <f>VLOOKUP(E2310,Customers[],2,FALSE)</f>
        <v>#N/A</v>
      </c>
      <c r="G2310" s="23" t="e">
        <f>VLOOKUP(E2310,Customers[],3,FALSE)</f>
        <v>#N/A</v>
      </c>
      <c r="H2310" s="23" t="e">
        <f>VLOOKUP(E2310,Customers[],4,FALSE)</f>
        <v>#N/A</v>
      </c>
      <c r="J2310" s="29" t="e">
        <f>VLOOKUP(I2310,PGStock[],2,FALSE)</f>
        <v>#N/A</v>
      </c>
      <c r="K2310" s="30" t="e">
        <f>VLOOKUP(I2310,PGStock[],3,FALSE)</f>
        <v>#N/A</v>
      </c>
      <c r="M2310" s="62" t="e">
        <f>VLOOKUP(I2310,PGStock[],6,FALSE)</f>
        <v>#N/A</v>
      </c>
      <c r="N2310" s="62" t="e">
        <f>+Table8[[#This Row],[SalesBot]]*Table8[[#This Row],[Bonus]]</f>
        <v>#N/A</v>
      </c>
    </row>
    <row r="2311" spans="1:14" ht="20.100000000000001" customHeight="1" x14ac:dyDescent="0.25">
      <c r="A2311" s="59">
        <f t="shared" si="336"/>
        <v>1900</v>
      </c>
      <c r="B2311" s="59">
        <f t="shared" si="337"/>
        <v>1</v>
      </c>
      <c r="C2311" s="97"/>
      <c r="D2311" s="61"/>
      <c r="F2311" s="23" t="e">
        <f>VLOOKUP(E2311,Customers[],2,FALSE)</f>
        <v>#N/A</v>
      </c>
      <c r="G2311" s="23" t="e">
        <f>VLOOKUP(E2311,Customers[],3,FALSE)</f>
        <v>#N/A</v>
      </c>
      <c r="H2311" s="23" t="e">
        <f>VLOOKUP(E2311,Customers[],4,FALSE)</f>
        <v>#N/A</v>
      </c>
      <c r="J2311" s="29" t="e">
        <f>VLOOKUP(I2311,PGStock[],2,FALSE)</f>
        <v>#N/A</v>
      </c>
      <c r="K2311" s="30" t="e">
        <f>VLOOKUP(I2311,PGStock[],3,FALSE)</f>
        <v>#N/A</v>
      </c>
      <c r="M2311" s="62" t="e">
        <f>VLOOKUP(I2311,PGStock[],6,FALSE)</f>
        <v>#N/A</v>
      </c>
      <c r="N2311" s="62" t="e">
        <f>+Table8[[#This Row],[SalesBot]]*Table8[[#This Row],[Bonus]]</f>
        <v>#N/A</v>
      </c>
    </row>
    <row r="2312" spans="1:14" ht="20.100000000000001" customHeight="1" x14ac:dyDescent="0.25">
      <c r="A2312" s="59">
        <f t="shared" si="336"/>
        <v>1900</v>
      </c>
      <c r="B2312" s="59">
        <f t="shared" si="337"/>
        <v>1</v>
      </c>
      <c r="C2312" s="97"/>
      <c r="D2312" s="61"/>
      <c r="E2312" s="89"/>
      <c r="F2312" s="23" t="e">
        <f>VLOOKUP(E2312,Customers[],2,FALSE)</f>
        <v>#N/A</v>
      </c>
      <c r="G2312" s="23" t="e">
        <f>VLOOKUP(E2312,Customers[],3,FALSE)</f>
        <v>#N/A</v>
      </c>
      <c r="H2312" s="23" t="e">
        <f>VLOOKUP(E2312,Customers[],4,FALSE)</f>
        <v>#N/A</v>
      </c>
      <c r="J2312" s="29" t="e">
        <f>VLOOKUP(I2312,PGStock[],2,FALSE)</f>
        <v>#N/A</v>
      </c>
      <c r="K2312" s="30" t="e">
        <f>VLOOKUP(I2312,PGStock[],3,FALSE)</f>
        <v>#N/A</v>
      </c>
      <c r="M2312" s="62" t="e">
        <f>VLOOKUP(I2312,PGStock[],6,FALSE)</f>
        <v>#N/A</v>
      </c>
      <c r="N2312" s="62" t="e">
        <f>+Table8[[#This Row],[SalesBot]]*Table8[[#This Row],[Bonus]]</f>
        <v>#N/A</v>
      </c>
    </row>
    <row r="2313" spans="1:14" ht="20.100000000000001" customHeight="1" x14ac:dyDescent="0.25">
      <c r="A2313" s="59">
        <f t="shared" si="336"/>
        <v>1900</v>
      </c>
      <c r="B2313" s="59">
        <f t="shared" si="337"/>
        <v>1</v>
      </c>
      <c r="C2313" s="97"/>
      <c r="D2313" s="61"/>
      <c r="F2313" s="23" t="e">
        <f>VLOOKUP(E2313,Customers[],2,FALSE)</f>
        <v>#N/A</v>
      </c>
      <c r="G2313" s="23" t="e">
        <f>VLOOKUP(E2313,Customers[],3,FALSE)</f>
        <v>#N/A</v>
      </c>
      <c r="H2313" s="23" t="e">
        <f>VLOOKUP(E2313,Customers[],4,FALSE)</f>
        <v>#N/A</v>
      </c>
      <c r="J2313" s="29" t="e">
        <f>VLOOKUP(I2313,PGStock[],2,FALSE)</f>
        <v>#N/A</v>
      </c>
      <c r="K2313" s="30" t="e">
        <f>VLOOKUP(I2313,PGStock[],3,FALSE)</f>
        <v>#N/A</v>
      </c>
      <c r="M2313" s="62" t="e">
        <f>VLOOKUP(I2313,PGStock[],6,FALSE)</f>
        <v>#N/A</v>
      </c>
      <c r="N2313" s="62" t="e">
        <f>+Table8[[#This Row],[SalesBot]]*Table8[[#This Row],[Bonus]]</f>
        <v>#N/A</v>
      </c>
    </row>
    <row r="2314" spans="1:14" ht="20.100000000000001" customHeight="1" x14ac:dyDescent="0.25">
      <c r="A2314" s="59">
        <f t="shared" si="336"/>
        <v>1900</v>
      </c>
      <c r="B2314" s="59">
        <f t="shared" si="337"/>
        <v>1</v>
      </c>
      <c r="C2314" s="97"/>
      <c r="D2314" s="61"/>
      <c r="F2314" s="23" t="e">
        <f>VLOOKUP(E2314,Customers[],2,FALSE)</f>
        <v>#N/A</v>
      </c>
      <c r="G2314" s="23" t="e">
        <f>VLOOKUP(E2314,Customers[],3,FALSE)</f>
        <v>#N/A</v>
      </c>
      <c r="H2314" s="23" t="e">
        <f>VLOOKUP(E2314,Customers[],4,FALSE)</f>
        <v>#N/A</v>
      </c>
      <c r="J2314" s="29" t="e">
        <f>VLOOKUP(I2314,PGStock[],2,FALSE)</f>
        <v>#N/A</v>
      </c>
      <c r="K2314" s="30" t="e">
        <f>VLOOKUP(I2314,PGStock[],3,FALSE)</f>
        <v>#N/A</v>
      </c>
      <c r="M2314" s="62" t="e">
        <f>VLOOKUP(I2314,PGStock[],6,FALSE)</f>
        <v>#N/A</v>
      </c>
      <c r="N2314" s="62" t="e">
        <f>+Table8[[#This Row],[SalesBot]]*Table8[[#This Row],[Bonus]]</f>
        <v>#N/A</v>
      </c>
    </row>
    <row r="2315" spans="1:14" ht="20.100000000000001" customHeight="1" x14ac:dyDescent="0.25">
      <c r="A2315" s="59">
        <f t="shared" si="336"/>
        <v>1900</v>
      </c>
      <c r="B2315" s="59">
        <f t="shared" si="337"/>
        <v>1</v>
      </c>
      <c r="C2315" s="97"/>
      <c r="D2315" s="61"/>
      <c r="F2315" s="23" t="e">
        <f>VLOOKUP(E2315,Customers[],2,FALSE)</f>
        <v>#N/A</v>
      </c>
      <c r="G2315" s="23" t="e">
        <f>VLOOKUP(E2315,Customers[],3,FALSE)</f>
        <v>#N/A</v>
      </c>
      <c r="H2315" s="23" t="e">
        <f>VLOOKUP(E2315,Customers[],4,FALSE)</f>
        <v>#N/A</v>
      </c>
      <c r="J2315" s="29" t="e">
        <f>VLOOKUP(I2315,PGStock[],2,FALSE)</f>
        <v>#N/A</v>
      </c>
      <c r="K2315" s="30" t="e">
        <f>VLOOKUP(I2315,PGStock[],3,FALSE)</f>
        <v>#N/A</v>
      </c>
      <c r="M2315" s="62" t="e">
        <f>VLOOKUP(I2315,PGStock[],6,FALSE)</f>
        <v>#N/A</v>
      </c>
      <c r="N2315" s="62" t="e">
        <f>+Table8[[#This Row],[SalesBot]]*Table8[[#This Row],[Bonus]]</f>
        <v>#N/A</v>
      </c>
    </row>
    <row r="2316" spans="1:14" ht="20.100000000000001" customHeight="1" x14ac:dyDescent="0.25">
      <c r="A2316" s="59">
        <f t="shared" si="336"/>
        <v>1900</v>
      </c>
      <c r="B2316" s="59">
        <f t="shared" si="337"/>
        <v>1</v>
      </c>
      <c r="C2316" s="97"/>
      <c r="D2316" s="61"/>
      <c r="E2316" s="89"/>
      <c r="F2316" s="23" t="e">
        <f>VLOOKUP(E2316,Customers[],2,FALSE)</f>
        <v>#N/A</v>
      </c>
      <c r="G2316" s="23" t="e">
        <f>VLOOKUP(E2316,Customers[],3,FALSE)</f>
        <v>#N/A</v>
      </c>
      <c r="H2316" s="23" t="e">
        <f>VLOOKUP(E2316,Customers[],4,FALSE)</f>
        <v>#N/A</v>
      </c>
      <c r="J2316" s="29" t="e">
        <f>VLOOKUP(I2316,PGStock[],2,FALSE)</f>
        <v>#N/A</v>
      </c>
      <c r="K2316" s="30" t="e">
        <f>VLOOKUP(I2316,PGStock[],3,FALSE)</f>
        <v>#N/A</v>
      </c>
      <c r="M2316" s="62" t="e">
        <f>VLOOKUP(I2316,PGStock[],6,FALSE)</f>
        <v>#N/A</v>
      </c>
      <c r="N2316" s="62" t="e">
        <f>+Table8[[#This Row],[SalesBot]]*Table8[[#This Row],[Bonus]]</f>
        <v>#N/A</v>
      </c>
    </row>
    <row r="2317" spans="1:14" ht="20.100000000000001" customHeight="1" x14ac:dyDescent="0.25">
      <c r="A2317" s="59">
        <f t="shared" si="336"/>
        <v>1900</v>
      </c>
      <c r="B2317" s="59">
        <f t="shared" si="337"/>
        <v>1</v>
      </c>
      <c r="C2317" s="97"/>
      <c r="D2317" s="61"/>
      <c r="F2317" s="23" t="e">
        <f>VLOOKUP(E2317,Customers[],2,FALSE)</f>
        <v>#N/A</v>
      </c>
      <c r="G2317" s="23" t="e">
        <f>VLOOKUP(E2317,Customers[],3,FALSE)</f>
        <v>#N/A</v>
      </c>
      <c r="H2317" s="23" t="e">
        <f>VLOOKUP(E2317,Customers[],4,FALSE)</f>
        <v>#N/A</v>
      </c>
      <c r="J2317" s="29" t="e">
        <f>VLOOKUP(I2317,PGStock[],2,FALSE)</f>
        <v>#N/A</v>
      </c>
      <c r="K2317" s="30" t="e">
        <f>VLOOKUP(I2317,PGStock[],3,FALSE)</f>
        <v>#N/A</v>
      </c>
      <c r="M2317" s="62" t="e">
        <f>VLOOKUP(I2317,PGStock[],6,FALSE)</f>
        <v>#N/A</v>
      </c>
      <c r="N2317" s="62" t="e">
        <f>+Table8[[#This Row],[SalesBot]]*Table8[[#This Row],[Bonus]]</f>
        <v>#N/A</v>
      </c>
    </row>
    <row r="2318" spans="1:14" ht="20.100000000000001" customHeight="1" x14ac:dyDescent="0.25">
      <c r="A2318" s="59">
        <f t="shared" si="336"/>
        <v>1900</v>
      </c>
      <c r="B2318" s="59">
        <f t="shared" si="337"/>
        <v>1</v>
      </c>
      <c r="C2318" s="97"/>
      <c r="D2318" s="61"/>
      <c r="F2318" s="23" t="e">
        <f>VLOOKUP(E2318,Customers[],2,FALSE)</f>
        <v>#N/A</v>
      </c>
      <c r="G2318" s="23" t="e">
        <f>VLOOKUP(E2318,Customers[],3,FALSE)</f>
        <v>#N/A</v>
      </c>
      <c r="H2318" s="23" t="e">
        <f>VLOOKUP(E2318,Customers[],4,FALSE)</f>
        <v>#N/A</v>
      </c>
      <c r="J2318" s="29" t="e">
        <f>VLOOKUP(I2318,PGStock[],2,FALSE)</f>
        <v>#N/A</v>
      </c>
      <c r="K2318" s="30" t="e">
        <f>VLOOKUP(I2318,PGStock[],3,FALSE)</f>
        <v>#N/A</v>
      </c>
      <c r="M2318" s="62" t="e">
        <f>VLOOKUP(I2318,PGStock[],6,FALSE)</f>
        <v>#N/A</v>
      </c>
      <c r="N2318" s="62" t="e">
        <f>+Table8[[#This Row],[SalesBot]]*Table8[[#This Row],[Bonus]]</f>
        <v>#N/A</v>
      </c>
    </row>
    <row r="2319" spans="1:14" ht="20.100000000000001" customHeight="1" x14ac:dyDescent="0.25">
      <c r="A2319" s="59">
        <f t="shared" si="336"/>
        <v>1900</v>
      </c>
      <c r="B2319" s="59">
        <f t="shared" si="337"/>
        <v>1</v>
      </c>
      <c r="C2319" s="97"/>
      <c r="D2319" s="61"/>
      <c r="F2319" s="23" t="e">
        <f>VLOOKUP(E2319,Customers[],2,FALSE)</f>
        <v>#N/A</v>
      </c>
      <c r="G2319" s="23" t="e">
        <f>VLOOKUP(E2319,Customers[],3,FALSE)</f>
        <v>#N/A</v>
      </c>
      <c r="H2319" s="23" t="e">
        <f>VLOOKUP(E2319,Customers[],4,FALSE)</f>
        <v>#N/A</v>
      </c>
      <c r="J2319" s="29" t="e">
        <f>VLOOKUP(I2319,PGStock[],2,FALSE)</f>
        <v>#N/A</v>
      </c>
      <c r="K2319" s="30" t="e">
        <f>VLOOKUP(I2319,PGStock[],3,FALSE)</f>
        <v>#N/A</v>
      </c>
      <c r="M2319" s="62" t="e">
        <f>VLOOKUP(I2319,PGStock[],6,FALSE)</f>
        <v>#N/A</v>
      </c>
      <c r="N2319" s="62" t="e">
        <f>+Table8[[#This Row],[SalesBot]]*Table8[[#This Row],[Bonus]]</f>
        <v>#N/A</v>
      </c>
    </row>
    <row r="2320" spans="1:14" ht="20.100000000000001" customHeight="1" x14ac:dyDescent="0.25">
      <c r="A2320" s="59">
        <f t="shared" si="336"/>
        <v>1900</v>
      </c>
      <c r="B2320" s="59">
        <f t="shared" si="337"/>
        <v>1</v>
      </c>
      <c r="C2320" s="97"/>
      <c r="D2320" s="61"/>
      <c r="F2320" s="23" t="e">
        <f>VLOOKUP(E2320,Customers[],2,FALSE)</f>
        <v>#N/A</v>
      </c>
      <c r="G2320" s="23" t="e">
        <f>VLOOKUP(E2320,Customers[],3,FALSE)</f>
        <v>#N/A</v>
      </c>
      <c r="H2320" s="23" t="e">
        <f>VLOOKUP(E2320,Customers[],4,FALSE)</f>
        <v>#N/A</v>
      </c>
      <c r="J2320" s="29" t="e">
        <f>VLOOKUP(I2320,PGStock[],2,FALSE)</f>
        <v>#N/A</v>
      </c>
      <c r="K2320" s="30" t="e">
        <f>VLOOKUP(I2320,PGStock[],3,FALSE)</f>
        <v>#N/A</v>
      </c>
      <c r="M2320" s="62" t="e">
        <f>VLOOKUP(I2320,PGStock[],6,FALSE)</f>
        <v>#N/A</v>
      </c>
      <c r="N2320" s="62" t="e">
        <f>+Table8[[#This Row],[SalesBot]]*Table8[[#This Row],[Bonus]]</f>
        <v>#N/A</v>
      </c>
    </row>
    <row r="2321" spans="1:14" ht="20.100000000000001" customHeight="1" x14ac:dyDescent="0.25">
      <c r="A2321" s="59">
        <f t="shared" si="336"/>
        <v>1900</v>
      </c>
      <c r="B2321" s="59">
        <f t="shared" si="337"/>
        <v>1</v>
      </c>
      <c r="C2321" s="97"/>
      <c r="D2321" s="61"/>
      <c r="F2321" s="23" t="e">
        <f>VLOOKUP(E2321,Customers[],2,FALSE)</f>
        <v>#N/A</v>
      </c>
      <c r="G2321" s="23" t="e">
        <f>VLOOKUP(E2321,Customers[],3,FALSE)</f>
        <v>#N/A</v>
      </c>
      <c r="H2321" s="23" t="e">
        <f>VLOOKUP(E2321,Customers[],4,FALSE)</f>
        <v>#N/A</v>
      </c>
      <c r="J2321" s="29" t="e">
        <f>VLOOKUP(I2321,PGStock[],2,FALSE)</f>
        <v>#N/A</v>
      </c>
      <c r="K2321" s="30" t="e">
        <f>VLOOKUP(I2321,PGStock[],3,FALSE)</f>
        <v>#N/A</v>
      </c>
      <c r="M2321" s="62" t="e">
        <f>VLOOKUP(I2321,PGStock[],6,FALSE)</f>
        <v>#N/A</v>
      </c>
      <c r="N2321" s="62" t="e">
        <f>+Table8[[#This Row],[SalesBot]]*Table8[[#This Row],[Bonus]]</f>
        <v>#N/A</v>
      </c>
    </row>
    <row r="2322" spans="1:14" ht="20.100000000000001" customHeight="1" x14ac:dyDescent="0.25">
      <c r="A2322" s="59">
        <f t="shared" si="336"/>
        <v>1900</v>
      </c>
      <c r="B2322" s="59">
        <f t="shared" si="337"/>
        <v>1</v>
      </c>
      <c r="C2322" s="97"/>
      <c r="D2322" s="61"/>
      <c r="E2322" s="89"/>
      <c r="F2322" s="23" t="e">
        <f>VLOOKUP(E2322,Customers[],2,FALSE)</f>
        <v>#N/A</v>
      </c>
      <c r="G2322" s="23" t="e">
        <f>VLOOKUP(E2322,Customers[],3,FALSE)</f>
        <v>#N/A</v>
      </c>
      <c r="H2322" s="23" t="e">
        <f>VLOOKUP(E2322,Customers[],4,FALSE)</f>
        <v>#N/A</v>
      </c>
      <c r="J2322" s="29" t="e">
        <f>VLOOKUP(I2322,PGStock[],2,FALSE)</f>
        <v>#N/A</v>
      </c>
      <c r="K2322" s="30" t="e">
        <f>VLOOKUP(I2322,PGStock[],3,FALSE)</f>
        <v>#N/A</v>
      </c>
      <c r="M2322" s="62" t="e">
        <f>VLOOKUP(I2322,PGStock[],6,FALSE)</f>
        <v>#N/A</v>
      </c>
      <c r="N2322" s="62" t="e">
        <f>+Table8[[#This Row],[SalesBot]]*Table8[[#This Row],[Bonus]]</f>
        <v>#N/A</v>
      </c>
    </row>
    <row r="2323" spans="1:14" ht="20.100000000000001" customHeight="1" x14ac:dyDescent="0.25">
      <c r="A2323" s="59">
        <f t="shared" si="336"/>
        <v>1900</v>
      </c>
      <c r="B2323" s="59">
        <f t="shared" si="337"/>
        <v>1</v>
      </c>
      <c r="C2323" s="97"/>
      <c r="D2323" s="61"/>
      <c r="F2323" s="23" t="e">
        <f>VLOOKUP(E2323,Customers[],2,FALSE)</f>
        <v>#N/A</v>
      </c>
      <c r="G2323" s="23" t="e">
        <f>VLOOKUP(E2323,Customers[],3,FALSE)</f>
        <v>#N/A</v>
      </c>
      <c r="H2323" s="23" t="e">
        <f>VLOOKUP(E2323,Customers[],4,FALSE)</f>
        <v>#N/A</v>
      </c>
      <c r="J2323" s="29" t="e">
        <f>VLOOKUP(I2323,PGStock[],2,FALSE)</f>
        <v>#N/A</v>
      </c>
      <c r="K2323" s="30" t="e">
        <f>VLOOKUP(I2323,PGStock[],3,FALSE)</f>
        <v>#N/A</v>
      </c>
      <c r="M2323" s="62" t="e">
        <f>VLOOKUP(I2323,PGStock[],6,FALSE)</f>
        <v>#N/A</v>
      </c>
      <c r="N2323" s="62" t="e">
        <f>+Table8[[#This Row],[SalesBot]]*Table8[[#This Row],[Bonus]]</f>
        <v>#N/A</v>
      </c>
    </row>
    <row r="2324" spans="1:14" ht="20.100000000000001" customHeight="1" x14ac:dyDescent="0.25">
      <c r="A2324" s="59">
        <f t="shared" ref="A2324:A2340" si="338">YEAR(C2324)</f>
        <v>1900</v>
      </c>
      <c r="B2324" s="59">
        <f t="shared" ref="B2324:B2340" si="339">MONTH(C2324)</f>
        <v>1</v>
      </c>
      <c r="C2324" s="97"/>
      <c r="D2324" s="61"/>
      <c r="F2324" s="23" t="e">
        <f>VLOOKUP(E2324,Customers[],2,FALSE)</f>
        <v>#N/A</v>
      </c>
      <c r="G2324" s="23" t="e">
        <f>VLOOKUP(E2324,Customers[],3,FALSE)</f>
        <v>#N/A</v>
      </c>
      <c r="H2324" s="23" t="e">
        <f>VLOOKUP(E2324,Customers[],4,FALSE)</f>
        <v>#N/A</v>
      </c>
      <c r="J2324" s="29" t="e">
        <f>VLOOKUP(I2324,PGStock[],2,FALSE)</f>
        <v>#N/A</v>
      </c>
      <c r="K2324" s="30" t="e">
        <f>VLOOKUP(I2324,PGStock[],3,FALSE)</f>
        <v>#N/A</v>
      </c>
      <c r="M2324" s="62" t="e">
        <f>VLOOKUP(I2324,PGStock[],6,FALSE)</f>
        <v>#N/A</v>
      </c>
      <c r="N2324" s="62" t="e">
        <f>+Table8[[#This Row],[SalesBot]]*Table8[[#This Row],[Bonus]]</f>
        <v>#N/A</v>
      </c>
    </row>
    <row r="2325" spans="1:14" ht="20.100000000000001" customHeight="1" x14ac:dyDescent="0.25">
      <c r="A2325" s="59">
        <f t="shared" si="338"/>
        <v>1900</v>
      </c>
      <c r="B2325" s="59">
        <f t="shared" si="339"/>
        <v>1</v>
      </c>
      <c r="C2325" s="97"/>
      <c r="D2325" s="61"/>
      <c r="F2325" s="23" t="e">
        <f>VLOOKUP(E2325,Customers[],2,FALSE)</f>
        <v>#N/A</v>
      </c>
      <c r="G2325" s="23" t="e">
        <f>VLOOKUP(E2325,Customers[],3,FALSE)</f>
        <v>#N/A</v>
      </c>
      <c r="H2325" s="23" t="e">
        <f>VLOOKUP(E2325,Customers[],4,FALSE)</f>
        <v>#N/A</v>
      </c>
      <c r="J2325" s="29" t="e">
        <f>VLOOKUP(I2325,PGStock[],2,FALSE)</f>
        <v>#N/A</v>
      </c>
      <c r="K2325" s="30" t="e">
        <f>VLOOKUP(I2325,PGStock[],3,FALSE)</f>
        <v>#N/A</v>
      </c>
      <c r="M2325" s="62" t="e">
        <f>VLOOKUP(I2325,PGStock[],6,FALSE)</f>
        <v>#N/A</v>
      </c>
      <c r="N2325" s="62" t="e">
        <f>+Table8[[#This Row],[SalesBot]]*Table8[[#This Row],[Bonus]]</f>
        <v>#N/A</v>
      </c>
    </row>
    <row r="2326" spans="1:14" ht="20.100000000000001" customHeight="1" x14ac:dyDescent="0.25">
      <c r="A2326" s="59">
        <f t="shared" si="338"/>
        <v>1900</v>
      </c>
      <c r="B2326" s="59">
        <f t="shared" si="339"/>
        <v>1</v>
      </c>
      <c r="C2326" s="97"/>
      <c r="D2326" s="61"/>
      <c r="F2326" s="23" t="e">
        <f>VLOOKUP(E2326,Customers[],2,FALSE)</f>
        <v>#N/A</v>
      </c>
      <c r="G2326" s="23" t="e">
        <f>VLOOKUP(E2326,Customers[],3,FALSE)</f>
        <v>#N/A</v>
      </c>
      <c r="H2326" s="23" t="e">
        <f>VLOOKUP(E2326,Customers[],4,FALSE)</f>
        <v>#N/A</v>
      </c>
      <c r="J2326" s="29" t="e">
        <f>VLOOKUP(I2326,PGStock[],2,FALSE)</f>
        <v>#N/A</v>
      </c>
      <c r="K2326" s="30" t="e">
        <f>VLOOKUP(I2326,PGStock[],3,FALSE)</f>
        <v>#N/A</v>
      </c>
      <c r="M2326" s="62" t="e">
        <f>VLOOKUP(I2326,PGStock[],6,FALSE)</f>
        <v>#N/A</v>
      </c>
      <c r="N2326" s="62" t="e">
        <f>+Table8[[#This Row],[SalesBot]]*Table8[[#This Row],[Bonus]]</f>
        <v>#N/A</v>
      </c>
    </row>
    <row r="2327" spans="1:14" ht="20.100000000000001" customHeight="1" x14ac:dyDescent="0.25">
      <c r="A2327" s="59">
        <f t="shared" si="338"/>
        <v>1900</v>
      </c>
      <c r="B2327" s="59">
        <f t="shared" si="339"/>
        <v>1</v>
      </c>
      <c r="C2327" s="97"/>
      <c r="D2327" s="61"/>
      <c r="F2327" s="23" t="e">
        <f>VLOOKUP(E2327,Customers[],2,FALSE)</f>
        <v>#N/A</v>
      </c>
      <c r="G2327" s="23" t="e">
        <f>VLOOKUP(E2327,Customers[],3,FALSE)</f>
        <v>#N/A</v>
      </c>
      <c r="H2327" s="23" t="e">
        <f>VLOOKUP(E2327,Customers[],4,FALSE)</f>
        <v>#N/A</v>
      </c>
      <c r="J2327" s="29" t="e">
        <f>VLOOKUP(I2327,PGStock[],2,FALSE)</f>
        <v>#N/A</v>
      </c>
      <c r="K2327" s="30" t="e">
        <f>VLOOKUP(I2327,PGStock[],3,FALSE)</f>
        <v>#N/A</v>
      </c>
      <c r="M2327" s="62" t="e">
        <f>VLOOKUP(I2327,PGStock[],6,FALSE)</f>
        <v>#N/A</v>
      </c>
      <c r="N2327" s="62" t="e">
        <f>+Table8[[#This Row],[SalesBot]]*Table8[[#This Row],[Bonus]]</f>
        <v>#N/A</v>
      </c>
    </row>
    <row r="2328" spans="1:14" ht="20.100000000000001" customHeight="1" x14ac:dyDescent="0.25">
      <c r="A2328" s="59">
        <f t="shared" si="338"/>
        <v>1900</v>
      </c>
      <c r="B2328" s="59">
        <f t="shared" si="339"/>
        <v>1</v>
      </c>
      <c r="C2328" s="97"/>
      <c r="D2328" s="61"/>
      <c r="E2328" s="89"/>
      <c r="F2328" s="23" t="e">
        <f>VLOOKUP(E2328,Customers[],2,FALSE)</f>
        <v>#N/A</v>
      </c>
      <c r="G2328" s="23" t="e">
        <f>VLOOKUP(E2328,Customers[],3,FALSE)</f>
        <v>#N/A</v>
      </c>
      <c r="H2328" s="23" t="e">
        <f>VLOOKUP(E2328,Customers[],4,FALSE)</f>
        <v>#N/A</v>
      </c>
      <c r="J2328" s="29" t="e">
        <f>VLOOKUP(I2328,PGStock[],2,FALSE)</f>
        <v>#N/A</v>
      </c>
      <c r="K2328" s="30" t="e">
        <f>VLOOKUP(I2328,PGStock[],3,FALSE)</f>
        <v>#N/A</v>
      </c>
      <c r="M2328" s="62" t="e">
        <f>VLOOKUP(I2328,PGStock[],6,FALSE)</f>
        <v>#N/A</v>
      </c>
      <c r="N2328" s="62" t="e">
        <f>+Table8[[#This Row],[SalesBot]]*Table8[[#This Row],[Bonus]]</f>
        <v>#N/A</v>
      </c>
    </row>
    <row r="2329" spans="1:14" ht="20.100000000000001" customHeight="1" x14ac:dyDescent="0.25">
      <c r="A2329" s="59">
        <f t="shared" si="338"/>
        <v>1900</v>
      </c>
      <c r="B2329" s="59">
        <f t="shared" si="339"/>
        <v>1</v>
      </c>
      <c r="C2329" s="97"/>
      <c r="D2329" s="61"/>
      <c r="F2329" s="23" t="e">
        <f>VLOOKUP(E2329,Customers[],2,FALSE)</f>
        <v>#N/A</v>
      </c>
      <c r="G2329" s="23" t="e">
        <f>VLOOKUP(E2329,Customers[],3,FALSE)</f>
        <v>#N/A</v>
      </c>
      <c r="H2329" s="23" t="e">
        <f>VLOOKUP(E2329,Customers[],4,FALSE)</f>
        <v>#N/A</v>
      </c>
      <c r="J2329" s="29" t="e">
        <f>VLOOKUP(I2329,PGStock[],2,FALSE)</f>
        <v>#N/A</v>
      </c>
      <c r="K2329" s="30" t="e">
        <f>VLOOKUP(I2329,PGStock[],3,FALSE)</f>
        <v>#N/A</v>
      </c>
      <c r="M2329" s="62" t="e">
        <f>VLOOKUP(I2329,PGStock[],6,FALSE)</f>
        <v>#N/A</v>
      </c>
      <c r="N2329" s="62" t="e">
        <f>+Table8[[#This Row],[SalesBot]]*Table8[[#This Row],[Bonus]]</f>
        <v>#N/A</v>
      </c>
    </row>
    <row r="2330" spans="1:14" ht="20.100000000000001" customHeight="1" x14ac:dyDescent="0.25">
      <c r="A2330" s="59">
        <f t="shared" si="338"/>
        <v>1900</v>
      </c>
      <c r="B2330" s="59">
        <f t="shared" si="339"/>
        <v>1</v>
      </c>
      <c r="C2330" s="97"/>
      <c r="D2330" s="61"/>
      <c r="F2330" s="23" t="e">
        <f>VLOOKUP(E2330,Customers[],2,FALSE)</f>
        <v>#N/A</v>
      </c>
      <c r="G2330" s="23" t="e">
        <f>VLOOKUP(E2330,Customers[],3,FALSE)</f>
        <v>#N/A</v>
      </c>
      <c r="H2330" s="23" t="e">
        <f>VLOOKUP(E2330,Customers[],4,FALSE)</f>
        <v>#N/A</v>
      </c>
      <c r="J2330" s="29" t="e">
        <f>VLOOKUP(I2330,PGStock[],2,FALSE)</f>
        <v>#N/A</v>
      </c>
      <c r="K2330" s="30" t="e">
        <f>VLOOKUP(I2330,PGStock[],3,FALSE)</f>
        <v>#N/A</v>
      </c>
      <c r="M2330" s="62" t="e">
        <f>VLOOKUP(I2330,PGStock[],6,FALSE)</f>
        <v>#N/A</v>
      </c>
      <c r="N2330" s="62" t="e">
        <f>+Table8[[#This Row],[SalesBot]]*Table8[[#This Row],[Bonus]]</f>
        <v>#N/A</v>
      </c>
    </row>
    <row r="2331" spans="1:14" ht="20.100000000000001" customHeight="1" x14ac:dyDescent="0.25">
      <c r="A2331" s="59">
        <f t="shared" si="338"/>
        <v>1900</v>
      </c>
      <c r="B2331" s="59">
        <f t="shared" si="339"/>
        <v>1</v>
      </c>
      <c r="C2331" s="97"/>
      <c r="D2331" s="61"/>
      <c r="F2331" s="23" t="e">
        <f>VLOOKUP(E2331,Customers[],2,FALSE)</f>
        <v>#N/A</v>
      </c>
      <c r="G2331" s="23" t="e">
        <f>VLOOKUP(E2331,Customers[],3,FALSE)</f>
        <v>#N/A</v>
      </c>
      <c r="H2331" s="23" t="e">
        <f>VLOOKUP(E2331,Customers[],4,FALSE)</f>
        <v>#N/A</v>
      </c>
      <c r="J2331" s="29" t="e">
        <f>VLOOKUP(I2331,PGStock[],2,FALSE)</f>
        <v>#N/A</v>
      </c>
      <c r="K2331" s="30" t="e">
        <f>VLOOKUP(I2331,PGStock[],3,FALSE)</f>
        <v>#N/A</v>
      </c>
      <c r="M2331" s="62" t="e">
        <f>VLOOKUP(I2331,PGStock[],6,FALSE)</f>
        <v>#N/A</v>
      </c>
      <c r="N2331" s="62" t="e">
        <f>+Table8[[#This Row],[SalesBot]]*Table8[[#This Row],[Bonus]]</f>
        <v>#N/A</v>
      </c>
    </row>
    <row r="2332" spans="1:14" ht="20.100000000000001" customHeight="1" x14ac:dyDescent="0.25">
      <c r="A2332" s="59">
        <f t="shared" si="338"/>
        <v>1900</v>
      </c>
      <c r="B2332" s="59">
        <f t="shared" si="339"/>
        <v>1</v>
      </c>
      <c r="C2332" s="97"/>
      <c r="D2332" s="61"/>
      <c r="F2332" s="23" t="e">
        <f>VLOOKUP(E2332,Customers[],2,FALSE)</f>
        <v>#N/A</v>
      </c>
      <c r="G2332" s="23" t="e">
        <f>VLOOKUP(E2332,Customers[],3,FALSE)</f>
        <v>#N/A</v>
      </c>
      <c r="H2332" s="23" t="e">
        <f>VLOOKUP(E2332,Customers[],4,FALSE)</f>
        <v>#N/A</v>
      </c>
      <c r="J2332" s="29" t="e">
        <f>VLOOKUP(I2332,PGStock[],2,FALSE)</f>
        <v>#N/A</v>
      </c>
      <c r="K2332" s="30" t="e">
        <f>VLOOKUP(I2332,PGStock[],3,FALSE)</f>
        <v>#N/A</v>
      </c>
      <c r="M2332" s="62" t="e">
        <f>VLOOKUP(I2332,PGStock[],6,FALSE)</f>
        <v>#N/A</v>
      </c>
      <c r="N2332" s="62" t="e">
        <f>+Table8[[#This Row],[SalesBot]]*Table8[[#This Row],[Bonus]]</f>
        <v>#N/A</v>
      </c>
    </row>
    <row r="2333" spans="1:14" ht="20.100000000000001" customHeight="1" x14ac:dyDescent="0.25">
      <c r="A2333" s="59">
        <f t="shared" si="338"/>
        <v>1900</v>
      </c>
      <c r="B2333" s="59">
        <f t="shared" si="339"/>
        <v>1</v>
      </c>
      <c r="C2333" s="97"/>
      <c r="D2333" s="61"/>
      <c r="F2333" s="23" t="e">
        <f>VLOOKUP(E2333,Customers[],2,FALSE)</f>
        <v>#N/A</v>
      </c>
      <c r="G2333" s="23" t="e">
        <f>VLOOKUP(E2333,Customers[],3,FALSE)</f>
        <v>#N/A</v>
      </c>
      <c r="H2333" s="23" t="e">
        <f>VLOOKUP(E2333,Customers[],4,FALSE)</f>
        <v>#N/A</v>
      </c>
      <c r="J2333" s="29" t="e">
        <f>VLOOKUP(I2333,PGStock[],2,FALSE)</f>
        <v>#N/A</v>
      </c>
      <c r="K2333" s="30" t="e">
        <f>VLOOKUP(I2333,PGStock[],3,FALSE)</f>
        <v>#N/A</v>
      </c>
      <c r="M2333" s="62" t="e">
        <f>VLOOKUP(I2333,PGStock[],6,FALSE)</f>
        <v>#N/A</v>
      </c>
      <c r="N2333" s="62" t="e">
        <f>+Table8[[#This Row],[SalesBot]]*Table8[[#This Row],[Bonus]]</f>
        <v>#N/A</v>
      </c>
    </row>
    <row r="2334" spans="1:14" ht="20.100000000000001" customHeight="1" x14ac:dyDescent="0.25">
      <c r="A2334" s="59">
        <f t="shared" si="338"/>
        <v>1900</v>
      </c>
      <c r="B2334" s="59">
        <f t="shared" si="339"/>
        <v>1</v>
      </c>
      <c r="C2334" s="97"/>
      <c r="D2334" s="61"/>
      <c r="E2334" s="89"/>
      <c r="F2334" s="23" t="e">
        <f>VLOOKUP(E2334,Customers[],2,FALSE)</f>
        <v>#N/A</v>
      </c>
      <c r="G2334" s="23" t="e">
        <f>VLOOKUP(E2334,Customers[],3,FALSE)</f>
        <v>#N/A</v>
      </c>
      <c r="H2334" s="23" t="e">
        <f>VLOOKUP(E2334,Customers[],4,FALSE)</f>
        <v>#N/A</v>
      </c>
      <c r="J2334" s="29" t="e">
        <f>VLOOKUP(I2334,PGStock[],2,FALSE)</f>
        <v>#N/A</v>
      </c>
      <c r="K2334" s="30" t="e">
        <f>VLOOKUP(I2334,PGStock[],3,FALSE)</f>
        <v>#N/A</v>
      </c>
      <c r="M2334" s="62" t="e">
        <f>VLOOKUP(I2334,PGStock[],6,FALSE)</f>
        <v>#N/A</v>
      </c>
      <c r="N2334" s="62" t="e">
        <f>+Table8[[#This Row],[SalesBot]]*Table8[[#This Row],[Bonus]]</f>
        <v>#N/A</v>
      </c>
    </row>
    <row r="2335" spans="1:14" ht="20.100000000000001" customHeight="1" x14ac:dyDescent="0.25">
      <c r="A2335" s="59">
        <f t="shared" si="338"/>
        <v>1900</v>
      </c>
      <c r="B2335" s="59">
        <f t="shared" si="339"/>
        <v>1</v>
      </c>
      <c r="C2335" s="97"/>
      <c r="D2335" s="61"/>
      <c r="F2335" s="23" t="e">
        <f>VLOOKUP(E2335,Customers[],2,FALSE)</f>
        <v>#N/A</v>
      </c>
      <c r="G2335" s="23" t="e">
        <f>VLOOKUP(E2335,Customers[],3,FALSE)</f>
        <v>#N/A</v>
      </c>
      <c r="H2335" s="23" t="e">
        <f>VLOOKUP(E2335,Customers[],4,FALSE)</f>
        <v>#N/A</v>
      </c>
      <c r="J2335" s="29" t="e">
        <f>VLOOKUP(I2335,PGStock[],2,FALSE)</f>
        <v>#N/A</v>
      </c>
      <c r="K2335" s="30" t="e">
        <f>VLOOKUP(I2335,PGStock[],3,FALSE)</f>
        <v>#N/A</v>
      </c>
      <c r="M2335" s="62" t="e">
        <f>VLOOKUP(I2335,PGStock[],6,FALSE)</f>
        <v>#N/A</v>
      </c>
      <c r="N2335" s="62" t="e">
        <f>+Table8[[#This Row],[SalesBot]]*Table8[[#This Row],[Bonus]]</f>
        <v>#N/A</v>
      </c>
    </row>
    <row r="2336" spans="1:14" ht="20.100000000000001" customHeight="1" x14ac:dyDescent="0.25">
      <c r="A2336" s="59">
        <f t="shared" si="338"/>
        <v>1900</v>
      </c>
      <c r="B2336" s="59">
        <f t="shared" si="339"/>
        <v>1</v>
      </c>
      <c r="C2336" s="97"/>
      <c r="D2336" s="61"/>
      <c r="F2336" s="23" t="e">
        <f>VLOOKUP(E2336,Customers[],2,FALSE)</f>
        <v>#N/A</v>
      </c>
      <c r="G2336" s="23" t="e">
        <f>VLOOKUP(E2336,Customers[],3,FALSE)</f>
        <v>#N/A</v>
      </c>
      <c r="H2336" s="23" t="e">
        <f>VLOOKUP(E2336,Customers[],4,FALSE)</f>
        <v>#N/A</v>
      </c>
      <c r="J2336" s="29" t="e">
        <f>VLOOKUP(I2336,PGStock[],2,FALSE)</f>
        <v>#N/A</v>
      </c>
      <c r="K2336" s="30" t="e">
        <f>VLOOKUP(I2336,PGStock[],3,FALSE)</f>
        <v>#N/A</v>
      </c>
      <c r="M2336" s="62" t="e">
        <f>VLOOKUP(I2336,PGStock[],6,FALSE)</f>
        <v>#N/A</v>
      </c>
      <c r="N2336" s="62" t="e">
        <f>+Table8[[#This Row],[SalesBot]]*Table8[[#This Row],[Bonus]]</f>
        <v>#N/A</v>
      </c>
    </row>
    <row r="2337" spans="1:14" ht="20.100000000000001" customHeight="1" x14ac:dyDescent="0.25">
      <c r="A2337" s="59">
        <f t="shared" si="338"/>
        <v>1900</v>
      </c>
      <c r="B2337" s="59">
        <f t="shared" si="339"/>
        <v>1</v>
      </c>
      <c r="C2337" s="97"/>
      <c r="D2337" s="61"/>
      <c r="F2337" s="23" t="e">
        <f>VLOOKUP(E2337,Customers[],2,FALSE)</f>
        <v>#N/A</v>
      </c>
      <c r="G2337" s="23" t="e">
        <f>VLOOKUP(E2337,Customers[],3,FALSE)</f>
        <v>#N/A</v>
      </c>
      <c r="H2337" s="23" t="e">
        <f>VLOOKUP(E2337,Customers[],4,FALSE)</f>
        <v>#N/A</v>
      </c>
      <c r="J2337" s="29" t="e">
        <f>VLOOKUP(I2337,PGStock[],2,FALSE)</f>
        <v>#N/A</v>
      </c>
      <c r="K2337" s="30" t="e">
        <f>VLOOKUP(I2337,PGStock[],3,FALSE)</f>
        <v>#N/A</v>
      </c>
      <c r="M2337" s="62" t="e">
        <f>VLOOKUP(I2337,PGStock[],6,FALSE)</f>
        <v>#N/A</v>
      </c>
      <c r="N2337" s="62" t="e">
        <f>+Table8[[#This Row],[SalesBot]]*Table8[[#This Row],[Bonus]]</f>
        <v>#N/A</v>
      </c>
    </row>
    <row r="2338" spans="1:14" ht="20.100000000000001" customHeight="1" x14ac:dyDescent="0.25">
      <c r="A2338" s="59">
        <f t="shared" si="338"/>
        <v>1900</v>
      </c>
      <c r="B2338" s="59">
        <f t="shared" si="339"/>
        <v>1</v>
      </c>
      <c r="C2338" s="97"/>
      <c r="D2338" s="61"/>
      <c r="F2338" s="23" t="e">
        <f>VLOOKUP(E2338,Customers[],2,FALSE)</f>
        <v>#N/A</v>
      </c>
      <c r="G2338" s="23" t="e">
        <f>VLOOKUP(E2338,Customers[],3,FALSE)</f>
        <v>#N/A</v>
      </c>
      <c r="H2338" s="23" t="e">
        <f>VLOOKUP(E2338,Customers[],4,FALSE)</f>
        <v>#N/A</v>
      </c>
      <c r="J2338" s="29" t="e">
        <f>VLOOKUP(I2338,PGStock[],2,FALSE)</f>
        <v>#N/A</v>
      </c>
      <c r="K2338" s="30" t="e">
        <f>VLOOKUP(I2338,PGStock[],3,FALSE)</f>
        <v>#N/A</v>
      </c>
      <c r="M2338" s="62" t="e">
        <f>VLOOKUP(I2338,PGStock[],6,FALSE)</f>
        <v>#N/A</v>
      </c>
      <c r="N2338" s="62" t="e">
        <f>+Table8[[#This Row],[SalesBot]]*Table8[[#This Row],[Bonus]]</f>
        <v>#N/A</v>
      </c>
    </row>
    <row r="2339" spans="1:14" ht="20.100000000000001" customHeight="1" x14ac:dyDescent="0.25">
      <c r="A2339" s="59">
        <f t="shared" si="338"/>
        <v>1900</v>
      </c>
      <c r="B2339" s="59">
        <f t="shared" si="339"/>
        <v>1</v>
      </c>
      <c r="C2339" s="97"/>
      <c r="D2339" s="61"/>
      <c r="F2339" s="23" t="e">
        <f>VLOOKUP(E2339,Customers[],2,FALSE)</f>
        <v>#N/A</v>
      </c>
      <c r="G2339" s="23" t="e">
        <f>VLOOKUP(E2339,Customers[],3,FALSE)</f>
        <v>#N/A</v>
      </c>
      <c r="H2339" s="23" t="e">
        <f>VLOOKUP(E2339,Customers[],4,FALSE)</f>
        <v>#N/A</v>
      </c>
      <c r="J2339" s="29" t="e">
        <f>VLOOKUP(I2339,PGStock[],2,FALSE)</f>
        <v>#N/A</v>
      </c>
      <c r="K2339" s="30" t="e">
        <f>VLOOKUP(I2339,PGStock[],3,FALSE)</f>
        <v>#N/A</v>
      </c>
      <c r="M2339" s="62" t="e">
        <f>VLOOKUP(I2339,PGStock[],6,FALSE)</f>
        <v>#N/A</v>
      </c>
      <c r="N2339" s="62" t="e">
        <f>+Table8[[#This Row],[SalesBot]]*Table8[[#This Row],[Bonus]]</f>
        <v>#N/A</v>
      </c>
    </row>
    <row r="2340" spans="1:14" ht="20.100000000000001" customHeight="1" x14ac:dyDescent="0.25">
      <c r="A2340" s="59">
        <f t="shared" si="338"/>
        <v>1900</v>
      </c>
      <c r="B2340" s="59">
        <f t="shared" si="339"/>
        <v>1</v>
      </c>
      <c r="C2340" s="97"/>
      <c r="D2340" s="61"/>
      <c r="F2340" s="23" t="e">
        <f>VLOOKUP(E2340,Customers[],2,FALSE)</f>
        <v>#N/A</v>
      </c>
      <c r="G2340" s="23" t="e">
        <f>VLOOKUP(E2340,Customers[],3,FALSE)</f>
        <v>#N/A</v>
      </c>
      <c r="H2340" s="23" t="e">
        <f>VLOOKUP(E2340,Customers[],4,FALSE)</f>
        <v>#N/A</v>
      </c>
      <c r="J2340" s="29" t="e">
        <f>VLOOKUP(I2340,PGStock[],2,FALSE)</f>
        <v>#N/A</v>
      </c>
      <c r="K2340" s="30" t="e">
        <f>VLOOKUP(I2340,PGStock[],3,FALSE)</f>
        <v>#N/A</v>
      </c>
      <c r="M2340" s="62" t="e">
        <f>VLOOKUP(I2340,PGStock[],6,FALSE)</f>
        <v>#N/A</v>
      </c>
      <c r="N2340" s="62" t="e">
        <f>+Table8[[#This Row],[SalesBot]]*Table8[[#This Row],[Bonus]]</f>
        <v>#N/A</v>
      </c>
    </row>
    <row r="2341" spans="1:14" ht="20.100000000000001" customHeight="1" x14ac:dyDescent="0.25">
      <c r="A2341" s="59">
        <f t="shared" ref="A2341:A2357" si="340">YEAR(C2341)</f>
        <v>1900</v>
      </c>
      <c r="B2341" s="59">
        <f t="shared" ref="B2341:B2357" si="341">MONTH(C2341)</f>
        <v>1</v>
      </c>
      <c r="C2341" s="97"/>
      <c r="D2341" s="61"/>
      <c r="F2341" s="23" t="e">
        <f>VLOOKUP(E2341,Customers[],2,FALSE)</f>
        <v>#N/A</v>
      </c>
      <c r="G2341" s="23" t="e">
        <f>VLOOKUP(E2341,Customers[],3,FALSE)</f>
        <v>#N/A</v>
      </c>
      <c r="H2341" s="23" t="e">
        <f>VLOOKUP(E2341,Customers[],4,FALSE)</f>
        <v>#N/A</v>
      </c>
      <c r="J2341" s="29" t="e">
        <f>VLOOKUP(I2341,PGStock[],2,FALSE)</f>
        <v>#N/A</v>
      </c>
      <c r="K2341" s="30" t="e">
        <f>VLOOKUP(I2341,PGStock[],3,FALSE)</f>
        <v>#N/A</v>
      </c>
      <c r="M2341" s="62" t="e">
        <f>VLOOKUP(I2341,PGStock[],6,FALSE)</f>
        <v>#N/A</v>
      </c>
      <c r="N2341" s="62" t="e">
        <f>+Table8[[#This Row],[SalesBot]]*Table8[[#This Row],[Bonus]]</f>
        <v>#N/A</v>
      </c>
    </row>
    <row r="2342" spans="1:14" ht="20.100000000000001" customHeight="1" x14ac:dyDescent="0.25">
      <c r="A2342" s="59">
        <f t="shared" si="340"/>
        <v>1900</v>
      </c>
      <c r="B2342" s="59">
        <f t="shared" si="341"/>
        <v>1</v>
      </c>
      <c r="C2342" s="97"/>
      <c r="D2342" s="61"/>
      <c r="F2342" s="23" t="e">
        <f>VLOOKUP(E2342,Customers[],2,FALSE)</f>
        <v>#N/A</v>
      </c>
      <c r="G2342" s="23" t="e">
        <f>VLOOKUP(E2342,Customers[],3,FALSE)</f>
        <v>#N/A</v>
      </c>
      <c r="H2342" s="23" t="e">
        <f>VLOOKUP(E2342,Customers[],4,FALSE)</f>
        <v>#N/A</v>
      </c>
      <c r="J2342" s="29" t="e">
        <f>VLOOKUP(I2342,PGStock[],2,FALSE)</f>
        <v>#N/A</v>
      </c>
      <c r="K2342" s="30" t="e">
        <f>VLOOKUP(I2342,PGStock[],3,FALSE)</f>
        <v>#N/A</v>
      </c>
      <c r="M2342" s="62" t="e">
        <f>VLOOKUP(I2342,PGStock[],6,FALSE)</f>
        <v>#N/A</v>
      </c>
      <c r="N2342" s="62" t="e">
        <f>+Table8[[#This Row],[SalesBot]]*Table8[[#This Row],[Bonus]]</f>
        <v>#N/A</v>
      </c>
    </row>
    <row r="2343" spans="1:14" ht="20.100000000000001" customHeight="1" x14ac:dyDescent="0.25">
      <c r="A2343" s="59">
        <f t="shared" si="340"/>
        <v>1900</v>
      </c>
      <c r="B2343" s="59">
        <f t="shared" si="341"/>
        <v>1</v>
      </c>
      <c r="C2343" s="97"/>
      <c r="D2343" s="61"/>
      <c r="F2343" s="23" t="e">
        <f>VLOOKUP(E2343,Customers[],2,FALSE)</f>
        <v>#N/A</v>
      </c>
      <c r="G2343" s="23" t="e">
        <f>VLOOKUP(E2343,Customers[],3,FALSE)</f>
        <v>#N/A</v>
      </c>
      <c r="H2343" s="23" t="e">
        <f>VLOOKUP(E2343,Customers[],4,FALSE)</f>
        <v>#N/A</v>
      </c>
      <c r="J2343" s="29" t="e">
        <f>VLOOKUP(I2343,PGStock[],2,FALSE)</f>
        <v>#N/A</v>
      </c>
      <c r="K2343" s="30" t="e">
        <f>VLOOKUP(I2343,PGStock[],3,FALSE)</f>
        <v>#N/A</v>
      </c>
      <c r="M2343" s="62" t="e">
        <f>VLOOKUP(I2343,PGStock[],6,FALSE)</f>
        <v>#N/A</v>
      </c>
      <c r="N2343" s="62" t="e">
        <f>+Table8[[#This Row],[SalesBot]]*Table8[[#This Row],[Bonus]]</f>
        <v>#N/A</v>
      </c>
    </row>
    <row r="2344" spans="1:14" ht="20.100000000000001" customHeight="1" x14ac:dyDescent="0.25">
      <c r="A2344" s="59">
        <f t="shared" si="340"/>
        <v>1900</v>
      </c>
      <c r="B2344" s="59">
        <f t="shared" si="341"/>
        <v>1</v>
      </c>
      <c r="C2344" s="97"/>
      <c r="D2344" s="61"/>
      <c r="F2344" s="23" t="e">
        <f>VLOOKUP(E2344,Customers[],2,FALSE)</f>
        <v>#N/A</v>
      </c>
      <c r="G2344" s="23" t="e">
        <f>VLOOKUP(E2344,Customers[],3,FALSE)</f>
        <v>#N/A</v>
      </c>
      <c r="H2344" s="23" t="e">
        <f>VLOOKUP(E2344,Customers[],4,FALSE)</f>
        <v>#N/A</v>
      </c>
      <c r="J2344" s="29" t="e">
        <f>VLOOKUP(I2344,PGStock[],2,FALSE)</f>
        <v>#N/A</v>
      </c>
      <c r="K2344" s="30" t="e">
        <f>VLOOKUP(I2344,PGStock[],3,FALSE)</f>
        <v>#N/A</v>
      </c>
      <c r="M2344" s="62" t="e">
        <f>VLOOKUP(I2344,PGStock[],6,FALSE)</f>
        <v>#N/A</v>
      </c>
      <c r="N2344" s="62" t="e">
        <f>+Table8[[#This Row],[SalesBot]]*Table8[[#This Row],[Bonus]]</f>
        <v>#N/A</v>
      </c>
    </row>
    <row r="2345" spans="1:14" ht="20.100000000000001" customHeight="1" x14ac:dyDescent="0.25">
      <c r="A2345" s="59">
        <f t="shared" si="340"/>
        <v>1900</v>
      </c>
      <c r="B2345" s="59">
        <f t="shared" si="341"/>
        <v>1</v>
      </c>
      <c r="C2345" s="97"/>
      <c r="D2345" s="61"/>
      <c r="F2345" s="23" t="e">
        <f>VLOOKUP(E2345,Customers[],2,FALSE)</f>
        <v>#N/A</v>
      </c>
      <c r="G2345" s="23" t="e">
        <f>VLOOKUP(E2345,Customers[],3,FALSE)</f>
        <v>#N/A</v>
      </c>
      <c r="H2345" s="23" t="e">
        <f>VLOOKUP(E2345,Customers[],4,FALSE)</f>
        <v>#N/A</v>
      </c>
      <c r="J2345" s="29" t="e">
        <f>VLOOKUP(I2345,PGStock[],2,FALSE)</f>
        <v>#N/A</v>
      </c>
      <c r="K2345" s="30" t="e">
        <f>VLOOKUP(I2345,PGStock[],3,FALSE)</f>
        <v>#N/A</v>
      </c>
      <c r="M2345" s="62" t="e">
        <f>VLOOKUP(I2345,PGStock[],6,FALSE)</f>
        <v>#N/A</v>
      </c>
      <c r="N2345" s="62" t="e">
        <f>+Table8[[#This Row],[SalesBot]]*Table8[[#This Row],[Bonus]]</f>
        <v>#N/A</v>
      </c>
    </row>
    <row r="2346" spans="1:14" ht="20.100000000000001" customHeight="1" x14ac:dyDescent="0.25">
      <c r="A2346" s="59">
        <f t="shared" si="340"/>
        <v>1900</v>
      </c>
      <c r="B2346" s="59">
        <f t="shared" si="341"/>
        <v>1</v>
      </c>
      <c r="C2346" s="97"/>
      <c r="D2346" s="61"/>
      <c r="F2346" s="23" t="e">
        <f>VLOOKUP(E2346,Customers[],2,FALSE)</f>
        <v>#N/A</v>
      </c>
      <c r="G2346" s="23" t="e">
        <f>VLOOKUP(E2346,Customers[],3,FALSE)</f>
        <v>#N/A</v>
      </c>
      <c r="H2346" s="23" t="e">
        <f>VLOOKUP(E2346,Customers[],4,FALSE)</f>
        <v>#N/A</v>
      </c>
      <c r="J2346" s="29" t="e">
        <f>VLOOKUP(I2346,PGStock[],2,FALSE)</f>
        <v>#N/A</v>
      </c>
      <c r="K2346" s="30" t="e">
        <f>VLOOKUP(I2346,PGStock[],3,FALSE)</f>
        <v>#N/A</v>
      </c>
      <c r="M2346" s="62" t="e">
        <f>VLOOKUP(I2346,PGStock[],6,FALSE)</f>
        <v>#N/A</v>
      </c>
      <c r="N2346" s="62" t="e">
        <f>+Table8[[#This Row],[SalesBot]]*Table8[[#This Row],[Bonus]]</f>
        <v>#N/A</v>
      </c>
    </row>
    <row r="2347" spans="1:14" ht="20.100000000000001" customHeight="1" x14ac:dyDescent="0.25">
      <c r="A2347" s="59">
        <f t="shared" si="340"/>
        <v>1900</v>
      </c>
      <c r="B2347" s="59">
        <f t="shared" si="341"/>
        <v>1</v>
      </c>
      <c r="C2347" s="97"/>
      <c r="D2347" s="61"/>
      <c r="F2347" s="23" t="e">
        <f>VLOOKUP(E2347,Customers[],2,FALSE)</f>
        <v>#N/A</v>
      </c>
      <c r="G2347" s="23" t="e">
        <f>VLOOKUP(E2347,Customers[],3,FALSE)</f>
        <v>#N/A</v>
      </c>
      <c r="H2347" s="23" t="e">
        <f>VLOOKUP(E2347,Customers[],4,FALSE)</f>
        <v>#N/A</v>
      </c>
      <c r="J2347" s="29" t="e">
        <f>VLOOKUP(I2347,PGStock[],2,FALSE)</f>
        <v>#N/A</v>
      </c>
      <c r="K2347" s="30" t="e">
        <f>VLOOKUP(I2347,PGStock[],3,FALSE)</f>
        <v>#N/A</v>
      </c>
      <c r="M2347" s="62" t="e">
        <f>VLOOKUP(I2347,PGStock[],6,FALSE)</f>
        <v>#N/A</v>
      </c>
      <c r="N2347" s="62" t="e">
        <f>+Table8[[#This Row],[SalesBot]]*Table8[[#This Row],[Bonus]]</f>
        <v>#N/A</v>
      </c>
    </row>
    <row r="2348" spans="1:14" ht="20.100000000000001" customHeight="1" x14ac:dyDescent="0.25">
      <c r="A2348" s="59">
        <f t="shared" si="340"/>
        <v>1900</v>
      </c>
      <c r="B2348" s="59">
        <f t="shared" si="341"/>
        <v>1</v>
      </c>
      <c r="C2348" s="97"/>
      <c r="D2348" s="61"/>
      <c r="F2348" s="23" t="e">
        <f>VLOOKUP(E2348,Customers[],2,FALSE)</f>
        <v>#N/A</v>
      </c>
      <c r="G2348" s="23" t="e">
        <f>VLOOKUP(E2348,Customers[],3,FALSE)</f>
        <v>#N/A</v>
      </c>
      <c r="H2348" s="23" t="e">
        <f>VLOOKUP(E2348,Customers[],4,FALSE)</f>
        <v>#N/A</v>
      </c>
      <c r="J2348" s="29" t="e">
        <f>VLOOKUP(I2348,PGStock[],2,FALSE)</f>
        <v>#N/A</v>
      </c>
      <c r="K2348" s="30" t="e">
        <f>VLOOKUP(I2348,PGStock[],3,FALSE)</f>
        <v>#N/A</v>
      </c>
      <c r="M2348" s="62" t="e">
        <f>VLOOKUP(I2348,PGStock[],6,FALSE)</f>
        <v>#N/A</v>
      </c>
      <c r="N2348" s="62" t="e">
        <f>+Table8[[#This Row],[SalesBot]]*Table8[[#This Row],[Bonus]]</f>
        <v>#N/A</v>
      </c>
    </row>
    <row r="2349" spans="1:14" ht="20.100000000000001" customHeight="1" x14ac:dyDescent="0.25">
      <c r="A2349" s="59">
        <f t="shared" si="340"/>
        <v>1900</v>
      </c>
      <c r="B2349" s="59">
        <f t="shared" si="341"/>
        <v>1</v>
      </c>
      <c r="C2349" s="97"/>
      <c r="D2349" s="61"/>
      <c r="F2349" s="23" t="e">
        <f>VLOOKUP(E2349,Customers[],2,FALSE)</f>
        <v>#N/A</v>
      </c>
      <c r="G2349" s="23" t="e">
        <f>VLOOKUP(E2349,Customers[],3,FALSE)</f>
        <v>#N/A</v>
      </c>
      <c r="H2349" s="23" t="e">
        <f>VLOOKUP(E2349,Customers[],4,FALSE)</f>
        <v>#N/A</v>
      </c>
      <c r="J2349" s="29" t="e">
        <f>VLOOKUP(I2349,PGStock[],2,FALSE)</f>
        <v>#N/A</v>
      </c>
      <c r="K2349" s="30" t="e">
        <f>VLOOKUP(I2349,PGStock[],3,FALSE)</f>
        <v>#N/A</v>
      </c>
      <c r="M2349" s="62" t="e">
        <f>VLOOKUP(I2349,PGStock[],6,FALSE)</f>
        <v>#N/A</v>
      </c>
      <c r="N2349" s="62" t="e">
        <f>+Table8[[#This Row],[SalesBot]]*Table8[[#This Row],[Bonus]]</f>
        <v>#N/A</v>
      </c>
    </row>
    <row r="2350" spans="1:14" ht="20.100000000000001" customHeight="1" x14ac:dyDescent="0.25">
      <c r="A2350" s="59">
        <f t="shared" si="340"/>
        <v>1900</v>
      </c>
      <c r="B2350" s="59">
        <f t="shared" si="341"/>
        <v>1</v>
      </c>
      <c r="C2350" s="97"/>
      <c r="D2350" s="61"/>
      <c r="F2350" s="23" t="e">
        <f>VLOOKUP(E2350,Customers[],2,FALSE)</f>
        <v>#N/A</v>
      </c>
      <c r="G2350" s="23" t="e">
        <f>VLOOKUP(E2350,Customers[],3,FALSE)</f>
        <v>#N/A</v>
      </c>
      <c r="H2350" s="23" t="e">
        <f>VLOOKUP(E2350,Customers[],4,FALSE)</f>
        <v>#N/A</v>
      </c>
      <c r="J2350" s="29" t="e">
        <f>VLOOKUP(I2350,PGStock[],2,FALSE)</f>
        <v>#N/A</v>
      </c>
      <c r="K2350" s="30" t="e">
        <f>VLOOKUP(I2350,PGStock[],3,FALSE)</f>
        <v>#N/A</v>
      </c>
      <c r="M2350" s="62" t="e">
        <f>VLOOKUP(I2350,PGStock[],6,FALSE)</f>
        <v>#N/A</v>
      </c>
      <c r="N2350" s="62" t="e">
        <f>+Table8[[#This Row],[SalesBot]]*Table8[[#This Row],[Bonus]]</f>
        <v>#N/A</v>
      </c>
    </row>
    <row r="2351" spans="1:14" ht="20.100000000000001" customHeight="1" x14ac:dyDescent="0.25">
      <c r="A2351" s="59">
        <f t="shared" si="340"/>
        <v>1900</v>
      </c>
      <c r="B2351" s="59">
        <f t="shared" si="341"/>
        <v>1</v>
      </c>
      <c r="C2351" s="97"/>
      <c r="D2351" s="61"/>
      <c r="F2351" s="23" t="e">
        <f>VLOOKUP(E2351,Customers[],2,FALSE)</f>
        <v>#N/A</v>
      </c>
      <c r="G2351" s="23" t="e">
        <f>VLOOKUP(E2351,Customers[],3,FALSE)</f>
        <v>#N/A</v>
      </c>
      <c r="H2351" s="23" t="e">
        <f>VLOOKUP(E2351,Customers[],4,FALSE)</f>
        <v>#N/A</v>
      </c>
      <c r="J2351" s="29" t="e">
        <f>VLOOKUP(I2351,PGStock[],2,FALSE)</f>
        <v>#N/A</v>
      </c>
      <c r="K2351" s="30" t="e">
        <f>VLOOKUP(I2351,PGStock[],3,FALSE)</f>
        <v>#N/A</v>
      </c>
      <c r="M2351" s="62" t="e">
        <f>VLOOKUP(I2351,PGStock[],6,FALSE)</f>
        <v>#N/A</v>
      </c>
      <c r="N2351" s="62" t="e">
        <f>+Table8[[#This Row],[SalesBot]]*Table8[[#This Row],[Bonus]]</f>
        <v>#N/A</v>
      </c>
    </row>
    <row r="2352" spans="1:14" ht="20.100000000000001" customHeight="1" x14ac:dyDescent="0.25">
      <c r="A2352" s="59">
        <f t="shared" si="340"/>
        <v>1900</v>
      </c>
      <c r="B2352" s="59">
        <f t="shared" si="341"/>
        <v>1</v>
      </c>
      <c r="C2352" s="97"/>
      <c r="D2352" s="61"/>
      <c r="F2352" s="23" t="e">
        <f>VLOOKUP(E2352,Customers[],2,FALSE)</f>
        <v>#N/A</v>
      </c>
      <c r="G2352" s="23" t="e">
        <f>VLOOKUP(E2352,Customers[],3,FALSE)</f>
        <v>#N/A</v>
      </c>
      <c r="H2352" s="23" t="e">
        <f>VLOOKUP(E2352,Customers[],4,FALSE)</f>
        <v>#N/A</v>
      </c>
      <c r="J2352" s="29" t="e">
        <f>VLOOKUP(I2352,PGStock[],2,FALSE)</f>
        <v>#N/A</v>
      </c>
      <c r="K2352" s="30" t="e">
        <f>VLOOKUP(I2352,PGStock[],3,FALSE)</f>
        <v>#N/A</v>
      </c>
      <c r="M2352" s="62" t="e">
        <f>VLOOKUP(I2352,PGStock[],6,FALSE)</f>
        <v>#N/A</v>
      </c>
      <c r="N2352" s="62" t="e">
        <f>+Table8[[#This Row],[SalesBot]]*Table8[[#This Row],[Bonus]]</f>
        <v>#N/A</v>
      </c>
    </row>
    <row r="2353" spans="1:14" ht="20.100000000000001" customHeight="1" x14ac:dyDescent="0.25">
      <c r="A2353" s="59">
        <f t="shared" si="340"/>
        <v>1900</v>
      </c>
      <c r="B2353" s="59">
        <f t="shared" si="341"/>
        <v>1</v>
      </c>
      <c r="C2353" s="97"/>
      <c r="D2353" s="61"/>
      <c r="F2353" s="23" t="e">
        <f>VLOOKUP(E2353,Customers[],2,FALSE)</f>
        <v>#N/A</v>
      </c>
      <c r="G2353" s="23" t="e">
        <f>VLOOKUP(E2353,Customers[],3,FALSE)</f>
        <v>#N/A</v>
      </c>
      <c r="H2353" s="23" t="e">
        <f>VLOOKUP(E2353,Customers[],4,FALSE)</f>
        <v>#N/A</v>
      </c>
      <c r="J2353" s="29" t="e">
        <f>VLOOKUP(I2353,PGStock[],2,FALSE)</f>
        <v>#N/A</v>
      </c>
      <c r="K2353" s="30" t="e">
        <f>VLOOKUP(I2353,PGStock[],3,FALSE)</f>
        <v>#N/A</v>
      </c>
      <c r="M2353" s="62" t="e">
        <f>VLOOKUP(I2353,PGStock[],6,FALSE)</f>
        <v>#N/A</v>
      </c>
      <c r="N2353" s="62" t="e">
        <f>+Table8[[#This Row],[SalesBot]]*Table8[[#This Row],[Bonus]]</f>
        <v>#N/A</v>
      </c>
    </row>
    <row r="2354" spans="1:14" ht="20.100000000000001" customHeight="1" x14ac:dyDescent="0.25">
      <c r="A2354" s="59">
        <f t="shared" si="340"/>
        <v>1900</v>
      </c>
      <c r="B2354" s="59">
        <f t="shared" si="341"/>
        <v>1</v>
      </c>
      <c r="C2354" s="97"/>
      <c r="D2354" s="61"/>
      <c r="F2354" s="23" t="e">
        <f>VLOOKUP(E2354,Customers[],2,FALSE)</f>
        <v>#N/A</v>
      </c>
      <c r="G2354" s="23" t="e">
        <f>VLOOKUP(E2354,Customers[],3,FALSE)</f>
        <v>#N/A</v>
      </c>
      <c r="H2354" s="23" t="e">
        <f>VLOOKUP(E2354,Customers[],4,FALSE)</f>
        <v>#N/A</v>
      </c>
      <c r="J2354" s="29" t="e">
        <f>VLOOKUP(I2354,PGStock[],2,FALSE)</f>
        <v>#N/A</v>
      </c>
      <c r="K2354" s="30" t="e">
        <f>VLOOKUP(I2354,PGStock[],3,FALSE)</f>
        <v>#N/A</v>
      </c>
      <c r="M2354" s="62" t="e">
        <f>VLOOKUP(I2354,PGStock[],6,FALSE)</f>
        <v>#N/A</v>
      </c>
      <c r="N2354" s="62" t="e">
        <f>+Table8[[#This Row],[SalesBot]]*Table8[[#This Row],[Bonus]]</f>
        <v>#N/A</v>
      </c>
    </row>
    <row r="2355" spans="1:14" ht="20.100000000000001" customHeight="1" x14ac:dyDescent="0.25">
      <c r="A2355" s="59">
        <f t="shared" si="340"/>
        <v>1900</v>
      </c>
      <c r="B2355" s="59">
        <f t="shared" si="341"/>
        <v>1</v>
      </c>
      <c r="C2355" s="97"/>
      <c r="D2355" s="61"/>
      <c r="F2355" s="23" t="e">
        <f>VLOOKUP(E2355,Customers[],2,FALSE)</f>
        <v>#N/A</v>
      </c>
      <c r="G2355" s="23" t="e">
        <f>VLOOKUP(E2355,Customers[],3,FALSE)</f>
        <v>#N/A</v>
      </c>
      <c r="H2355" s="23" t="e">
        <f>VLOOKUP(E2355,Customers[],4,FALSE)</f>
        <v>#N/A</v>
      </c>
      <c r="J2355" s="29" t="e">
        <f>VLOOKUP(I2355,PGStock[],2,FALSE)</f>
        <v>#N/A</v>
      </c>
      <c r="K2355" s="30" t="e">
        <f>VLOOKUP(I2355,PGStock[],3,FALSE)</f>
        <v>#N/A</v>
      </c>
      <c r="M2355" s="62" t="e">
        <f>VLOOKUP(I2355,PGStock[],6,FALSE)</f>
        <v>#N/A</v>
      </c>
      <c r="N2355" s="62" t="e">
        <f>+Table8[[#This Row],[SalesBot]]*Table8[[#This Row],[Bonus]]</f>
        <v>#N/A</v>
      </c>
    </row>
    <row r="2356" spans="1:14" ht="20.100000000000001" customHeight="1" x14ac:dyDescent="0.25">
      <c r="A2356" s="59">
        <f t="shared" si="340"/>
        <v>1900</v>
      </c>
      <c r="B2356" s="59">
        <f t="shared" si="341"/>
        <v>1</v>
      </c>
      <c r="C2356" s="97"/>
      <c r="D2356" s="61"/>
      <c r="F2356" s="23" t="e">
        <f>VLOOKUP(E2356,Customers[],2,FALSE)</f>
        <v>#N/A</v>
      </c>
      <c r="G2356" s="23" t="e">
        <f>VLOOKUP(E2356,Customers[],3,FALSE)</f>
        <v>#N/A</v>
      </c>
      <c r="H2356" s="23" t="e">
        <f>VLOOKUP(E2356,Customers[],4,FALSE)</f>
        <v>#N/A</v>
      </c>
      <c r="J2356" s="29" t="e">
        <f>VLOOKUP(I2356,PGStock[],2,FALSE)</f>
        <v>#N/A</v>
      </c>
      <c r="K2356" s="30" t="e">
        <f>VLOOKUP(I2356,PGStock[],3,FALSE)</f>
        <v>#N/A</v>
      </c>
      <c r="M2356" s="62" t="e">
        <f>VLOOKUP(I2356,PGStock[],6,FALSE)</f>
        <v>#N/A</v>
      </c>
      <c r="N2356" s="62" t="e">
        <f>+Table8[[#This Row],[SalesBot]]*Table8[[#This Row],[Bonus]]</f>
        <v>#N/A</v>
      </c>
    </row>
    <row r="2357" spans="1:14" ht="20.100000000000001" customHeight="1" x14ac:dyDescent="0.25">
      <c r="A2357" s="59">
        <f t="shared" si="340"/>
        <v>1900</v>
      </c>
      <c r="B2357" s="59">
        <f t="shared" si="341"/>
        <v>1</v>
      </c>
      <c r="C2357" s="97"/>
      <c r="D2357" s="61"/>
      <c r="F2357" s="23" t="e">
        <f>VLOOKUP(E2357,Customers[],2,FALSE)</f>
        <v>#N/A</v>
      </c>
      <c r="G2357" s="23" t="e">
        <f>VLOOKUP(E2357,Customers[],3,FALSE)</f>
        <v>#N/A</v>
      </c>
      <c r="H2357" s="23" t="e">
        <f>VLOOKUP(E2357,Customers[],4,FALSE)</f>
        <v>#N/A</v>
      </c>
      <c r="J2357" s="29" t="e">
        <f>VLOOKUP(I2357,PGStock[],2,FALSE)</f>
        <v>#N/A</v>
      </c>
      <c r="K2357" s="30" t="e">
        <f>VLOOKUP(I2357,PGStock[],3,FALSE)</f>
        <v>#N/A</v>
      </c>
      <c r="M2357" s="62" t="e">
        <f>VLOOKUP(I2357,PGStock[],6,FALSE)</f>
        <v>#N/A</v>
      </c>
      <c r="N2357" s="62" t="e">
        <f>+Table8[[#This Row],[SalesBot]]*Table8[[#This Row],[Bonus]]</f>
        <v>#N/A</v>
      </c>
    </row>
    <row r="2358" spans="1:14" ht="20.100000000000001" customHeight="1" x14ac:dyDescent="0.25">
      <c r="A2358" s="59">
        <f t="shared" ref="A2358:A2374" si="342">YEAR(C2358)</f>
        <v>1900</v>
      </c>
      <c r="B2358" s="59">
        <f t="shared" ref="B2358:B2374" si="343">MONTH(C2358)</f>
        <v>1</v>
      </c>
      <c r="C2358" s="97"/>
      <c r="D2358" s="61"/>
      <c r="F2358" s="23" t="e">
        <f>VLOOKUP(E2358,Customers[],2,FALSE)</f>
        <v>#N/A</v>
      </c>
      <c r="G2358" s="23" t="e">
        <f>VLOOKUP(E2358,Customers[],3,FALSE)</f>
        <v>#N/A</v>
      </c>
      <c r="H2358" s="23" t="e">
        <f>VLOOKUP(E2358,Customers[],4,FALSE)</f>
        <v>#N/A</v>
      </c>
      <c r="J2358" s="29" t="e">
        <f>VLOOKUP(I2358,PGStock[],2,FALSE)</f>
        <v>#N/A</v>
      </c>
      <c r="K2358" s="30" t="e">
        <f>VLOOKUP(I2358,PGStock[],3,FALSE)</f>
        <v>#N/A</v>
      </c>
      <c r="M2358" s="62" t="e">
        <f>VLOOKUP(I2358,PGStock[],6,FALSE)</f>
        <v>#N/A</v>
      </c>
      <c r="N2358" s="62" t="e">
        <f>+Table8[[#This Row],[SalesBot]]*Table8[[#This Row],[Bonus]]</f>
        <v>#N/A</v>
      </c>
    </row>
    <row r="2359" spans="1:14" ht="20.100000000000001" customHeight="1" x14ac:dyDescent="0.25">
      <c r="A2359" s="59">
        <f t="shared" si="342"/>
        <v>1900</v>
      </c>
      <c r="B2359" s="59">
        <f t="shared" si="343"/>
        <v>1</v>
      </c>
      <c r="C2359" s="97"/>
      <c r="D2359" s="61"/>
      <c r="F2359" s="23" t="e">
        <f>VLOOKUP(E2359,Customers[],2,FALSE)</f>
        <v>#N/A</v>
      </c>
      <c r="G2359" s="23" t="e">
        <f>VLOOKUP(E2359,Customers[],3,FALSE)</f>
        <v>#N/A</v>
      </c>
      <c r="H2359" s="23" t="e">
        <f>VLOOKUP(E2359,Customers[],4,FALSE)</f>
        <v>#N/A</v>
      </c>
      <c r="J2359" s="29" t="e">
        <f>VLOOKUP(I2359,PGStock[],2,FALSE)</f>
        <v>#N/A</v>
      </c>
      <c r="K2359" s="30" t="e">
        <f>VLOOKUP(I2359,PGStock[],3,FALSE)</f>
        <v>#N/A</v>
      </c>
      <c r="M2359" s="62" t="e">
        <f>VLOOKUP(I2359,PGStock[],6,FALSE)</f>
        <v>#N/A</v>
      </c>
      <c r="N2359" s="62" t="e">
        <f>+Table8[[#This Row],[SalesBot]]*Table8[[#This Row],[Bonus]]</f>
        <v>#N/A</v>
      </c>
    </row>
    <row r="2360" spans="1:14" ht="20.100000000000001" customHeight="1" x14ac:dyDescent="0.25">
      <c r="A2360" s="59">
        <f t="shared" si="342"/>
        <v>1900</v>
      </c>
      <c r="B2360" s="59">
        <f t="shared" si="343"/>
        <v>1</v>
      </c>
      <c r="C2360" s="97"/>
      <c r="D2360" s="61"/>
      <c r="F2360" s="23" t="e">
        <f>VLOOKUP(E2360,Customers[],2,FALSE)</f>
        <v>#N/A</v>
      </c>
      <c r="G2360" s="23" t="e">
        <f>VLOOKUP(E2360,Customers[],3,FALSE)</f>
        <v>#N/A</v>
      </c>
      <c r="H2360" s="23" t="e">
        <f>VLOOKUP(E2360,Customers[],4,FALSE)</f>
        <v>#N/A</v>
      </c>
      <c r="J2360" s="29" t="e">
        <f>VLOOKUP(I2360,PGStock[],2,FALSE)</f>
        <v>#N/A</v>
      </c>
      <c r="K2360" s="30" t="e">
        <f>VLOOKUP(I2360,PGStock[],3,FALSE)</f>
        <v>#N/A</v>
      </c>
      <c r="M2360" s="62" t="e">
        <f>VLOOKUP(I2360,PGStock[],6,FALSE)</f>
        <v>#N/A</v>
      </c>
      <c r="N2360" s="62" t="e">
        <f>+Table8[[#This Row],[SalesBot]]*Table8[[#This Row],[Bonus]]</f>
        <v>#N/A</v>
      </c>
    </row>
    <row r="2361" spans="1:14" ht="20.100000000000001" customHeight="1" x14ac:dyDescent="0.25">
      <c r="A2361" s="59">
        <f t="shared" si="342"/>
        <v>1900</v>
      </c>
      <c r="B2361" s="59">
        <f t="shared" si="343"/>
        <v>1</v>
      </c>
      <c r="C2361" s="97"/>
      <c r="D2361" s="61"/>
      <c r="F2361" s="23" t="e">
        <f>VLOOKUP(E2361,Customers[],2,FALSE)</f>
        <v>#N/A</v>
      </c>
      <c r="G2361" s="23" t="e">
        <f>VLOOKUP(E2361,Customers[],3,FALSE)</f>
        <v>#N/A</v>
      </c>
      <c r="H2361" s="23" t="e">
        <f>VLOOKUP(E2361,Customers[],4,FALSE)</f>
        <v>#N/A</v>
      </c>
      <c r="J2361" s="29" t="e">
        <f>VLOOKUP(I2361,PGStock[],2,FALSE)</f>
        <v>#N/A</v>
      </c>
      <c r="K2361" s="30" t="e">
        <f>VLOOKUP(I2361,PGStock[],3,FALSE)</f>
        <v>#N/A</v>
      </c>
      <c r="M2361" s="62" t="e">
        <f>VLOOKUP(I2361,PGStock[],6,FALSE)</f>
        <v>#N/A</v>
      </c>
      <c r="N2361" s="62" t="e">
        <f>+Table8[[#This Row],[SalesBot]]*Table8[[#This Row],[Bonus]]</f>
        <v>#N/A</v>
      </c>
    </row>
    <row r="2362" spans="1:14" ht="20.100000000000001" customHeight="1" x14ac:dyDescent="0.25">
      <c r="A2362" s="59">
        <f t="shared" si="342"/>
        <v>1900</v>
      </c>
      <c r="B2362" s="59">
        <f t="shared" si="343"/>
        <v>1</v>
      </c>
      <c r="C2362" s="97"/>
      <c r="D2362" s="61"/>
      <c r="F2362" s="23" t="e">
        <f>VLOOKUP(E2362,Customers[],2,FALSE)</f>
        <v>#N/A</v>
      </c>
      <c r="G2362" s="23" t="e">
        <f>VLOOKUP(E2362,Customers[],3,FALSE)</f>
        <v>#N/A</v>
      </c>
      <c r="H2362" s="23" t="e">
        <f>VLOOKUP(E2362,Customers[],4,FALSE)</f>
        <v>#N/A</v>
      </c>
      <c r="J2362" s="29" t="e">
        <f>VLOOKUP(I2362,PGStock[],2,FALSE)</f>
        <v>#N/A</v>
      </c>
      <c r="K2362" s="30" t="e">
        <f>VLOOKUP(I2362,PGStock[],3,FALSE)</f>
        <v>#N/A</v>
      </c>
      <c r="M2362" s="62" t="e">
        <f>VLOOKUP(I2362,PGStock[],6,FALSE)</f>
        <v>#N/A</v>
      </c>
      <c r="N2362" s="62" t="e">
        <f>+Table8[[#This Row],[SalesBot]]*Table8[[#This Row],[Bonus]]</f>
        <v>#N/A</v>
      </c>
    </row>
    <row r="2363" spans="1:14" ht="20.100000000000001" customHeight="1" x14ac:dyDescent="0.25">
      <c r="A2363" s="59">
        <f t="shared" si="342"/>
        <v>1900</v>
      </c>
      <c r="B2363" s="59">
        <f t="shared" si="343"/>
        <v>1</v>
      </c>
      <c r="C2363" s="97"/>
      <c r="D2363" s="61"/>
      <c r="F2363" s="23" t="e">
        <f>VLOOKUP(E2363,Customers[],2,FALSE)</f>
        <v>#N/A</v>
      </c>
      <c r="G2363" s="23" t="e">
        <f>VLOOKUP(E2363,Customers[],3,FALSE)</f>
        <v>#N/A</v>
      </c>
      <c r="H2363" s="23" t="e">
        <f>VLOOKUP(E2363,Customers[],4,FALSE)</f>
        <v>#N/A</v>
      </c>
      <c r="J2363" s="29" t="e">
        <f>VLOOKUP(I2363,PGStock[],2,FALSE)</f>
        <v>#N/A</v>
      </c>
      <c r="K2363" s="30" t="e">
        <f>VLOOKUP(I2363,PGStock[],3,FALSE)</f>
        <v>#N/A</v>
      </c>
      <c r="M2363" s="62" t="e">
        <f>VLOOKUP(I2363,PGStock[],6,FALSE)</f>
        <v>#N/A</v>
      </c>
      <c r="N2363" s="62" t="e">
        <f>+Table8[[#This Row],[SalesBot]]*Table8[[#This Row],[Bonus]]</f>
        <v>#N/A</v>
      </c>
    </row>
    <row r="2364" spans="1:14" ht="20.100000000000001" customHeight="1" x14ac:dyDescent="0.25">
      <c r="A2364" s="59">
        <f t="shared" si="342"/>
        <v>1900</v>
      </c>
      <c r="B2364" s="59">
        <f t="shared" si="343"/>
        <v>1</v>
      </c>
      <c r="C2364" s="97"/>
      <c r="D2364" s="61"/>
      <c r="F2364" s="23" t="e">
        <f>VLOOKUP(E2364,Customers[],2,FALSE)</f>
        <v>#N/A</v>
      </c>
      <c r="G2364" s="23" t="e">
        <f>VLOOKUP(E2364,Customers[],3,FALSE)</f>
        <v>#N/A</v>
      </c>
      <c r="H2364" s="23" t="e">
        <f>VLOOKUP(E2364,Customers[],4,FALSE)</f>
        <v>#N/A</v>
      </c>
      <c r="J2364" s="29" t="e">
        <f>VLOOKUP(I2364,PGStock[],2,FALSE)</f>
        <v>#N/A</v>
      </c>
      <c r="K2364" s="30" t="e">
        <f>VLOOKUP(I2364,PGStock[],3,FALSE)</f>
        <v>#N/A</v>
      </c>
      <c r="M2364" s="62" t="e">
        <f>VLOOKUP(I2364,PGStock[],6,FALSE)</f>
        <v>#N/A</v>
      </c>
      <c r="N2364" s="62" t="e">
        <f>+Table8[[#This Row],[SalesBot]]*Table8[[#This Row],[Bonus]]</f>
        <v>#N/A</v>
      </c>
    </row>
    <row r="2365" spans="1:14" ht="20.100000000000001" customHeight="1" x14ac:dyDescent="0.25">
      <c r="A2365" s="59">
        <f t="shared" si="342"/>
        <v>1900</v>
      </c>
      <c r="B2365" s="59">
        <f t="shared" si="343"/>
        <v>1</v>
      </c>
      <c r="C2365" s="97"/>
      <c r="D2365" s="61"/>
      <c r="F2365" s="23" t="e">
        <f>VLOOKUP(E2365,Customers[],2,FALSE)</f>
        <v>#N/A</v>
      </c>
      <c r="G2365" s="23" t="e">
        <f>VLOOKUP(E2365,Customers[],3,FALSE)</f>
        <v>#N/A</v>
      </c>
      <c r="H2365" s="23" t="e">
        <f>VLOOKUP(E2365,Customers[],4,FALSE)</f>
        <v>#N/A</v>
      </c>
      <c r="J2365" s="29" t="e">
        <f>VLOOKUP(I2365,PGStock[],2,FALSE)</f>
        <v>#N/A</v>
      </c>
      <c r="K2365" s="30" t="e">
        <f>VLOOKUP(I2365,PGStock[],3,FALSE)</f>
        <v>#N/A</v>
      </c>
      <c r="M2365" s="62" t="e">
        <f>VLOOKUP(I2365,PGStock[],6,FALSE)</f>
        <v>#N/A</v>
      </c>
      <c r="N2365" s="62" t="e">
        <f>+Table8[[#This Row],[SalesBot]]*Table8[[#This Row],[Bonus]]</f>
        <v>#N/A</v>
      </c>
    </row>
    <row r="2366" spans="1:14" ht="20.100000000000001" customHeight="1" x14ac:dyDescent="0.25">
      <c r="A2366" s="59">
        <f t="shared" si="342"/>
        <v>1900</v>
      </c>
      <c r="B2366" s="59">
        <f t="shared" si="343"/>
        <v>1</v>
      </c>
      <c r="C2366" s="97"/>
      <c r="D2366" s="61"/>
      <c r="F2366" s="23" t="e">
        <f>VLOOKUP(E2366,Customers[],2,FALSE)</f>
        <v>#N/A</v>
      </c>
      <c r="G2366" s="23" t="e">
        <f>VLOOKUP(E2366,Customers[],3,FALSE)</f>
        <v>#N/A</v>
      </c>
      <c r="H2366" s="23" t="e">
        <f>VLOOKUP(E2366,Customers[],4,FALSE)</f>
        <v>#N/A</v>
      </c>
      <c r="J2366" s="29" t="e">
        <f>VLOOKUP(I2366,PGStock[],2,FALSE)</f>
        <v>#N/A</v>
      </c>
      <c r="K2366" s="30" t="e">
        <f>VLOOKUP(I2366,PGStock[],3,FALSE)</f>
        <v>#N/A</v>
      </c>
      <c r="M2366" s="62" t="e">
        <f>VLOOKUP(I2366,PGStock[],6,FALSE)</f>
        <v>#N/A</v>
      </c>
      <c r="N2366" s="62" t="e">
        <f>+Table8[[#This Row],[SalesBot]]*Table8[[#This Row],[Bonus]]</f>
        <v>#N/A</v>
      </c>
    </row>
    <row r="2367" spans="1:14" ht="20.100000000000001" customHeight="1" x14ac:dyDescent="0.25">
      <c r="A2367" s="59">
        <f t="shared" si="342"/>
        <v>1900</v>
      </c>
      <c r="B2367" s="59">
        <f t="shared" si="343"/>
        <v>1</v>
      </c>
      <c r="C2367" s="97"/>
      <c r="D2367" s="61"/>
      <c r="F2367" s="23" t="e">
        <f>VLOOKUP(E2367,Customers[],2,FALSE)</f>
        <v>#N/A</v>
      </c>
      <c r="G2367" s="23" t="e">
        <f>VLOOKUP(E2367,Customers[],3,FALSE)</f>
        <v>#N/A</v>
      </c>
      <c r="H2367" s="23" t="e">
        <f>VLOOKUP(E2367,Customers[],4,FALSE)</f>
        <v>#N/A</v>
      </c>
      <c r="J2367" s="29" t="e">
        <f>VLOOKUP(I2367,PGStock[],2,FALSE)</f>
        <v>#N/A</v>
      </c>
      <c r="K2367" s="30" t="e">
        <f>VLOOKUP(I2367,PGStock[],3,FALSE)</f>
        <v>#N/A</v>
      </c>
      <c r="M2367" s="62" t="e">
        <f>VLOOKUP(I2367,PGStock[],6,FALSE)</f>
        <v>#N/A</v>
      </c>
      <c r="N2367" s="62" t="e">
        <f>+Table8[[#This Row],[SalesBot]]*Table8[[#This Row],[Bonus]]</f>
        <v>#N/A</v>
      </c>
    </row>
    <row r="2368" spans="1:14" ht="20.100000000000001" customHeight="1" x14ac:dyDescent="0.25">
      <c r="A2368" s="59">
        <f t="shared" si="342"/>
        <v>1900</v>
      </c>
      <c r="B2368" s="59">
        <f t="shared" si="343"/>
        <v>1</v>
      </c>
      <c r="C2368" s="97"/>
      <c r="D2368" s="61"/>
      <c r="F2368" s="23" t="e">
        <f>VLOOKUP(E2368,Customers[],2,FALSE)</f>
        <v>#N/A</v>
      </c>
      <c r="G2368" s="23" t="e">
        <f>VLOOKUP(E2368,Customers[],3,FALSE)</f>
        <v>#N/A</v>
      </c>
      <c r="H2368" s="23" t="e">
        <f>VLOOKUP(E2368,Customers[],4,FALSE)</f>
        <v>#N/A</v>
      </c>
      <c r="J2368" s="29" t="e">
        <f>VLOOKUP(I2368,PGStock[],2,FALSE)</f>
        <v>#N/A</v>
      </c>
      <c r="K2368" s="30" t="e">
        <f>VLOOKUP(I2368,PGStock[],3,FALSE)</f>
        <v>#N/A</v>
      </c>
      <c r="M2368" s="62" t="e">
        <f>VLOOKUP(I2368,PGStock[],6,FALSE)</f>
        <v>#N/A</v>
      </c>
      <c r="N2368" s="62" t="e">
        <f>+Table8[[#This Row],[SalesBot]]*Table8[[#This Row],[Bonus]]</f>
        <v>#N/A</v>
      </c>
    </row>
    <row r="2369" spans="1:14" ht="20.100000000000001" customHeight="1" x14ac:dyDescent="0.25">
      <c r="A2369" s="59">
        <f t="shared" si="342"/>
        <v>1900</v>
      </c>
      <c r="B2369" s="59">
        <f t="shared" si="343"/>
        <v>1</v>
      </c>
      <c r="C2369" s="97"/>
      <c r="D2369" s="61"/>
      <c r="F2369" s="23" t="e">
        <f>VLOOKUP(E2369,Customers[],2,FALSE)</f>
        <v>#N/A</v>
      </c>
      <c r="G2369" s="23" t="e">
        <f>VLOOKUP(E2369,Customers[],3,FALSE)</f>
        <v>#N/A</v>
      </c>
      <c r="H2369" s="23" t="e">
        <f>VLOOKUP(E2369,Customers[],4,FALSE)</f>
        <v>#N/A</v>
      </c>
      <c r="J2369" s="29" t="e">
        <f>VLOOKUP(I2369,PGStock[],2,FALSE)</f>
        <v>#N/A</v>
      </c>
      <c r="K2369" s="30" t="e">
        <f>VLOOKUP(I2369,PGStock[],3,FALSE)</f>
        <v>#N/A</v>
      </c>
      <c r="M2369" s="62" t="e">
        <f>VLOOKUP(I2369,PGStock[],6,FALSE)</f>
        <v>#N/A</v>
      </c>
      <c r="N2369" s="62" t="e">
        <f>+Table8[[#This Row],[SalesBot]]*Table8[[#This Row],[Bonus]]</f>
        <v>#N/A</v>
      </c>
    </row>
    <row r="2370" spans="1:14" ht="20.100000000000001" customHeight="1" x14ac:dyDescent="0.25">
      <c r="A2370" s="59">
        <f t="shared" si="342"/>
        <v>1900</v>
      </c>
      <c r="B2370" s="59">
        <f t="shared" si="343"/>
        <v>1</v>
      </c>
      <c r="C2370" s="97"/>
      <c r="D2370" s="61"/>
      <c r="F2370" s="23" t="e">
        <f>VLOOKUP(E2370,Customers[],2,FALSE)</f>
        <v>#N/A</v>
      </c>
      <c r="G2370" s="23" t="e">
        <f>VLOOKUP(E2370,Customers[],3,FALSE)</f>
        <v>#N/A</v>
      </c>
      <c r="H2370" s="23" t="e">
        <f>VLOOKUP(E2370,Customers[],4,FALSE)</f>
        <v>#N/A</v>
      </c>
      <c r="J2370" s="29" t="e">
        <f>VLOOKUP(I2370,PGStock[],2,FALSE)</f>
        <v>#N/A</v>
      </c>
      <c r="K2370" s="30" t="e">
        <f>VLOOKUP(I2370,PGStock[],3,FALSE)</f>
        <v>#N/A</v>
      </c>
      <c r="M2370" s="62" t="e">
        <f>VLOOKUP(I2370,PGStock[],6,FALSE)</f>
        <v>#N/A</v>
      </c>
      <c r="N2370" s="62" t="e">
        <f>+Table8[[#This Row],[SalesBot]]*Table8[[#This Row],[Bonus]]</f>
        <v>#N/A</v>
      </c>
    </row>
    <row r="2371" spans="1:14" ht="20.100000000000001" customHeight="1" x14ac:dyDescent="0.25">
      <c r="A2371" s="59">
        <f t="shared" si="342"/>
        <v>1900</v>
      </c>
      <c r="B2371" s="59">
        <f t="shared" si="343"/>
        <v>1</v>
      </c>
      <c r="C2371" s="97"/>
      <c r="D2371" s="61"/>
      <c r="F2371" s="23" t="e">
        <f>VLOOKUP(E2371,Customers[],2,FALSE)</f>
        <v>#N/A</v>
      </c>
      <c r="G2371" s="23" t="e">
        <f>VLOOKUP(E2371,Customers[],3,FALSE)</f>
        <v>#N/A</v>
      </c>
      <c r="H2371" s="23" t="e">
        <f>VLOOKUP(E2371,Customers[],4,FALSE)</f>
        <v>#N/A</v>
      </c>
      <c r="J2371" s="29" t="e">
        <f>VLOOKUP(I2371,PGStock[],2,FALSE)</f>
        <v>#N/A</v>
      </c>
      <c r="K2371" s="30" t="e">
        <f>VLOOKUP(I2371,PGStock[],3,FALSE)</f>
        <v>#N/A</v>
      </c>
      <c r="M2371" s="62" t="e">
        <f>VLOOKUP(I2371,PGStock[],6,FALSE)</f>
        <v>#N/A</v>
      </c>
      <c r="N2371" s="62" t="e">
        <f>+Table8[[#This Row],[SalesBot]]*Table8[[#This Row],[Bonus]]</f>
        <v>#N/A</v>
      </c>
    </row>
    <row r="2372" spans="1:14" ht="20.100000000000001" customHeight="1" x14ac:dyDescent="0.25">
      <c r="A2372" s="59">
        <f t="shared" si="342"/>
        <v>1900</v>
      </c>
      <c r="B2372" s="59">
        <f t="shared" si="343"/>
        <v>1</v>
      </c>
      <c r="C2372" s="97"/>
      <c r="D2372" s="61"/>
      <c r="F2372" s="23" t="e">
        <f>VLOOKUP(E2372,Customers[],2,FALSE)</f>
        <v>#N/A</v>
      </c>
      <c r="G2372" s="23" t="e">
        <f>VLOOKUP(E2372,Customers[],3,FALSE)</f>
        <v>#N/A</v>
      </c>
      <c r="H2372" s="23" t="e">
        <f>VLOOKUP(E2372,Customers[],4,FALSE)</f>
        <v>#N/A</v>
      </c>
      <c r="J2372" s="29" t="e">
        <f>VLOOKUP(I2372,PGStock[],2,FALSE)</f>
        <v>#N/A</v>
      </c>
      <c r="K2372" s="30" t="e">
        <f>VLOOKUP(I2372,PGStock[],3,FALSE)</f>
        <v>#N/A</v>
      </c>
      <c r="M2372" s="62" t="e">
        <f>VLOOKUP(I2372,PGStock[],6,FALSE)</f>
        <v>#N/A</v>
      </c>
      <c r="N2372" s="62" t="e">
        <f>+Table8[[#This Row],[SalesBot]]*Table8[[#This Row],[Bonus]]</f>
        <v>#N/A</v>
      </c>
    </row>
    <row r="2373" spans="1:14" ht="20.100000000000001" customHeight="1" x14ac:dyDescent="0.25">
      <c r="A2373" s="59">
        <f t="shared" si="342"/>
        <v>1900</v>
      </c>
      <c r="B2373" s="59">
        <f t="shared" si="343"/>
        <v>1</v>
      </c>
      <c r="C2373" s="97"/>
      <c r="D2373" s="61"/>
      <c r="F2373" s="23" t="e">
        <f>VLOOKUP(E2373,Customers[],2,FALSE)</f>
        <v>#N/A</v>
      </c>
      <c r="G2373" s="23" t="e">
        <f>VLOOKUP(E2373,Customers[],3,FALSE)</f>
        <v>#N/A</v>
      </c>
      <c r="H2373" s="23" t="e">
        <f>VLOOKUP(E2373,Customers[],4,FALSE)</f>
        <v>#N/A</v>
      </c>
      <c r="J2373" s="29" t="e">
        <f>VLOOKUP(I2373,PGStock[],2,FALSE)</f>
        <v>#N/A</v>
      </c>
      <c r="K2373" s="30" t="e">
        <f>VLOOKUP(I2373,PGStock[],3,FALSE)</f>
        <v>#N/A</v>
      </c>
      <c r="M2373" s="62" t="e">
        <f>VLOOKUP(I2373,PGStock[],6,FALSE)</f>
        <v>#N/A</v>
      </c>
      <c r="N2373" s="62" t="e">
        <f>+Table8[[#This Row],[SalesBot]]*Table8[[#This Row],[Bonus]]</f>
        <v>#N/A</v>
      </c>
    </row>
    <row r="2374" spans="1:14" ht="20.100000000000001" customHeight="1" x14ac:dyDescent="0.25">
      <c r="A2374" s="59">
        <f t="shared" si="342"/>
        <v>1900</v>
      </c>
      <c r="B2374" s="59">
        <f t="shared" si="343"/>
        <v>1</v>
      </c>
      <c r="C2374" s="97"/>
      <c r="D2374" s="61"/>
      <c r="F2374" s="23" t="e">
        <f>VLOOKUP(E2374,Customers[],2,FALSE)</f>
        <v>#N/A</v>
      </c>
      <c r="G2374" s="23" t="e">
        <f>VLOOKUP(E2374,Customers[],3,FALSE)</f>
        <v>#N/A</v>
      </c>
      <c r="H2374" s="23" t="e">
        <f>VLOOKUP(E2374,Customers[],4,FALSE)</f>
        <v>#N/A</v>
      </c>
      <c r="J2374" s="29" t="e">
        <f>VLOOKUP(I2374,PGStock[],2,FALSE)</f>
        <v>#N/A</v>
      </c>
      <c r="K2374" s="30" t="e">
        <f>VLOOKUP(I2374,PGStock[],3,FALSE)</f>
        <v>#N/A</v>
      </c>
      <c r="M2374" s="62" t="e">
        <f>VLOOKUP(I2374,PGStock[],6,FALSE)</f>
        <v>#N/A</v>
      </c>
      <c r="N2374" s="62" t="e">
        <f>+Table8[[#This Row],[SalesBot]]*Table8[[#This Row],[Bonus]]</f>
        <v>#N/A</v>
      </c>
    </row>
    <row r="2375" spans="1:14" ht="20.100000000000001" customHeight="1" x14ac:dyDescent="0.25">
      <c r="A2375" s="59">
        <f t="shared" ref="A2375:A2391" si="344">YEAR(C2375)</f>
        <v>1900</v>
      </c>
      <c r="B2375" s="59">
        <f t="shared" ref="B2375:B2391" si="345">MONTH(C2375)</f>
        <v>1</v>
      </c>
      <c r="C2375" s="97"/>
      <c r="D2375" s="61"/>
      <c r="F2375" s="23" t="e">
        <f>VLOOKUP(E2375,Customers[],2,FALSE)</f>
        <v>#N/A</v>
      </c>
      <c r="G2375" s="23" t="e">
        <f>VLOOKUP(E2375,Customers[],3,FALSE)</f>
        <v>#N/A</v>
      </c>
      <c r="H2375" s="23" t="e">
        <f>VLOOKUP(E2375,Customers[],4,FALSE)</f>
        <v>#N/A</v>
      </c>
      <c r="J2375" s="29" t="e">
        <f>VLOOKUP(I2375,PGStock[],2,FALSE)</f>
        <v>#N/A</v>
      </c>
      <c r="K2375" s="30" t="e">
        <f>VLOOKUP(I2375,PGStock[],3,FALSE)</f>
        <v>#N/A</v>
      </c>
      <c r="M2375" s="62" t="e">
        <f>VLOOKUP(I2375,PGStock[],6,FALSE)</f>
        <v>#N/A</v>
      </c>
      <c r="N2375" s="62" t="e">
        <f>+Table8[[#This Row],[SalesBot]]*Table8[[#This Row],[Bonus]]</f>
        <v>#N/A</v>
      </c>
    </row>
    <row r="2376" spans="1:14" ht="20.100000000000001" customHeight="1" x14ac:dyDescent="0.25">
      <c r="A2376" s="59">
        <f t="shared" si="344"/>
        <v>1900</v>
      </c>
      <c r="B2376" s="59">
        <f t="shared" si="345"/>
        <v>1</v>
      </c>
      <c r="C2376" s="97"/>
      <c r="D2376" s="61"/>
      <c r="F2376" s="23" t="e">
        <f>VLOOKUP(E2376,Customers[],2,FALSE)</f>
        <v>#N/A</v>
      </c>
      <c r="G2376" s="23" t="e">
        <f>VLOOKUP(E2376,Customers[],3,FALSE)</f>
        <v>#N/A</v>
      </c>
      <c r="H2376" s="23" t="e">
        <f>VLOOKUP(E2376,Customers[],4,FALSE)</f>
        <v>#N/A</v>
      </c>
      <c r="J2376" s="29" t="e">
        <f>VLOOKUP(I2376,PGStock[],2,FALSE)</f>
        <v>#N/A</v>
      </c>
      <c r="K2376" s="30" t="e">
        <f>VLOOKUP(I2376,PGStock[],3,FALSE)</f>
        <v>#N/A</v>
      </c>
      <c r="M2376" s="62" t="e">
        <f>VLOOKUP(I2376,PGStock[],6,FALSE)</f>
        <v>#N/A</v>
      </c>
      <c r="N2376" s="62" t="e">
        <f>+Table8[[#This Row],[SalesBot]]*Table8[[#This Row],[Bonus]]</f>
        <v>#N/A</v>
      </c>
    </row>
    <row r="2377" spans="1:14" ht="20.100000000000001" customHeight="1" x14ac:dyDescent="0.25">
      <c r="A2377" s="59">
        <f t="shared" si="344"/>
        <v>1900</v>
      </c>
      <c r="B2377" s="59">
        <f t="shared" si="345"/>
        <v>1</v>
      </c>
      <c r="C2377" s="97"/>
      <c r="D2377" s="61"/>
      <c r="F2377" s="23" t="e">
        <f>VLOOKUP(E2377,Customers[],2,FALSE)</f>
        <v>#N/A</v>
      </c>
      <c r="G2377" s="23" t="e">
        <f>VLOOKUP(E2377,Customers[],3,FALSE)</f>
        <v>#N/A</v>
      </c>
      <c r="H2377" s="23" t="e">
        <f>VLOOKUP(E2377,Customers[],4,FALSE)</f>
        <v>#N/A</v>
      </c>
      <c r="J2377" s="29" t="e">
        <f>VLOOKUP(I2377,PGStock[],2,FALSE)</f>
        <v>#N/A</v>
      </c>
      <c r="K2377" s="30" t="e">
        <f>VLOOKUP(I2377,PGStock[],3,FALSE)</f>
        <v>#N/A</v>
      </c>
      <c r="M2377" s="62" t="e">
        <f>VLOOKUP(I2377,PGStock[],6,FALSE)</f>
        <v>#N/A</v>
      </c>
      <c r="N2377" s="62" t="e">
        <f>+Table8[[#This Row],[SalesBot]]*Table8[[#This Row],[Bonus]]</f>
        <v>#N/A</v>
      </c>
    </row>
    <row r="2378" spans="1:14" ht="20.100000000000001" customHeight="1" x14ac:dyDescent="0.25">
      <c r="A2378" s="59">
        <f t="shared" si="344"/>
        <v>1900</v>
      </c>
      <c r="B2378" s="59">
        <f t="shared" si="345"/>
        <v>1</v>
      </c>
      <c r="C2378" s="97"/>
      <c r="D2378" s="61"/>
      <c r="F2378" s="23" t="e">
        <f>VLOOKUP(E2378,Customers[],2,FALSE)</f>
        <v>#N/A</v>
      </c>
      <c r="G2378" s="23" t="e">
        <f>VLOOKUP(E2378,Customers[],3,FALSE)</f>
        <v>#N/A</v>
      </c>
      <c r="H2378" s="23" t="e">
        <f>VLOOKUP(E2378,Customers[],4,FALSE)</f>
        <v>#N/A</v>
      </c>
      <c r="J2378" s="29" t="e">
        <f>VLOOKUP(I2378,PGStock[],2,FALSE)</f>
        <v>#N/A</v>
      </c>
      <c r="K2378" s="30" t="e">
        <f>VLOOKUP(I2378,PGStock[],3,FALSE)</f>
        <v>#N/A</v>
      </c>
      <c r="M2378" s="62" t="e">
        <f>VLOOKUP(I2378,PGStock[],6,FALSE)</f>
        <v>#N/A</v>
      </c>
      <c r="N2378" s="62" t="e">
        <f>+Table8[[#This Row],[SalesBot]]*Table8[[#This Row],[Bonus]]</f>
        <v>#N/A</v>
      </c>
    </row>
    <row r="2379" spans="1:14" ht="20.100000000000001" customHeight="1" x14ac:dyDescent="0.25">
      <c r="A2379" s="59">
        <f t="shared" si="344"/>
        <v>1900</v>
      </c>
      <c r="B2379" s="59">
        <f t="shared" si="345"/>
        <v>1</v>
      </c>
      <c r="C2379" s="97"/>
      <c r="D2379" s="61"/>
      <c r="F2379" s="23" t="e">
        <f>VLOOKUP(E2379,Customers[],2,FALSE)</f>
        <v>#N/A</v>
      </c>
      <c r="G2379" s="23" t="e">
        <f>VLOOKUP(E2379,Customers[],3,FALSE)</f>
        <v>#N/A</v>
      </c>
      <c r="H2379" s="23" t="e">
        <f>VLOOKUP(E2379,Customers[],4,FALSE)</f>
        <v>#N/A</v>
      </c>
      <c r="J2379" s="29" t="e">
        <f>VLOOKUP(I2379,PGStock[],2,FALSE)</f>
        <v>#N/A</v>
      </c>
      <c r="K2379" s="30" t="e">
        <f>VLOOKUP(I2379,PGStock[],3,FALSE)</f>
        <v>#N/A</v>
      </c>
      <c r="M2379" s="62" t="e">
        <f>VLOOKUP(I2379,PGStock[],6,FALSE)</f>
        <v>#N/A</v>
      </c>
      <c r="N2379" s="62" t="e">
        <f>+Table8[[#This Row],[SalesBot]]*Table8[[#This Row],[Bonus]]</f>
        <v>#N/A</v>
      </c>
    </row>
    <row r="2380" spans="1:14" ht="20.100000000000001" customHeight="1" x14ac:dyDescent="0.25">
      <c r="A2380" s="59">
        <f t="shared" si="344"/>
        <v>1900</v>
      </c>
      <c r="B2380" s="59">
        <f t="shared" si="345"/>
        <v>1</v>
      </c>
      <c r="C2380" s="97"/>
      <c r="D2380" s="61"/>
      <c r="F2380" s="23" t="e">
        <f>VLOOKUP(E2380,Customers[],2,FALSE)</f>
        <v>#N/A</v>
      </c>
      <c r="G2380" s="23" t="e">
        <f>VLOOKUP(E2380,Customers[],3,FALSE)</f>
        <v>#N/A</v>
      </c>
      <c r="H2380" s="23" t="e">
        <f>VLOOKUP(E2380,Customers[],4,FALSE)</f>
        <v>#N/A</v>
      </c>
      <c r="J2380" s="29" t="e">
        <f>VLOOKUP(I2380,PGStock[],2,FALSE)</f>
        <v>#N/A</v>
      </c>
      <c r="K2380" s="30" t="e">
        <f>VLOOKUP(I2380,PGStock[],3,FALSE)</f>
        <v>#N/A</v>
      </c>
      <c r="M2380" s="62" t="e">
        <f>VLOOKUP(I2380,PGStock[],6,FALSE)</f>
        <v>#N/A</v>
      </c>
      <c r="N2380" s="62" t="e">
        <f>+Table8[[#This Row],[SalesBot]]*Table8[[#This Row],[Bonus]]</f>
        <v>#N/A</v>
      </c>
    </row>
    <row r="2381" spans="1:14" ht="20.100000000000001" customHeight="1" x14ac:dyDescent="0.25">
      <c r="A2381" s="59">
        <f t="shared" si="344"/>
        <v>1900</v>
      </c>
      <c r="B2381" s="59">
        <f t="shared" si="345"/>
        <v>1</v>
      </c>
      <c r="C2381" s="97"/>
      <c r="D2381" s="61"/>
      <c r="F2381" s="23" t="e">
        <f>VLOOKUP(E2381,Customers[],2,FALSE)</f>
        <v>#N/A</v>
      </c>
      <c r="G2381" s="23" t="e">
        <f>VLOOKUP(E2381,Customers[],3,FALSE)</f>
        <v>#N/A</v>
      </c>
      <c r="H2381" s="23" t="e">
        <f>VLOOKUP(E2381,Customers[],4,FALSE)</f>
        <v>#N/A</v>
      </c>
      <c r="J2381" s="29" t="e">
        <f>VLOOKUP(I2381,PGStock[],2,FALSE)</f>
        <v>#N/A</v>
      </c>
      <c r="K2381" s="30" t="e">
        <f>VLOOKUP(I2381,PGStock[],3,FALSE)</f>
        <v>#N/A</v>
      </c>
      <c r="M2381" s="62" t="e">
        <f>VLOOKUP(I2381,PGStock[],6,FALSE)</f>
        <v>#N/A</v>
      </c>
      <c r="N2381" s="62" t="e">
        <f>+Table8[[#This Row],[SalesBot]]*Table8[[#This Row],[Bonus]]</f>
        <v>#N/A</v>
      </c>
    </row>
    <row r="2382" spans="1:14" ht="20.100000000000001" customHeight="1" x14ac:dyDescent="0.25">
      <c r="A2382" s="59">
        <f t="shared" si="344"/>
        <v>1900</v>
      </c>
      <c r="B2382" s="59">
        <f t="shared" si="345"/>
        <v>1</v>
      </c>
      <c r="C2382" s="97"/>
      <c r="D2382" s="61"/>
      <c r="F2382" s="23" t="e">
        <f>VLOOKUP(E2382,Customers[],2,FALSE)</f>
        <v>#N/A</v>
      </c>
      <c r="G2382" s="23" t="e">
        <f>VLOOKUP(E2382,Customers[],3,FALSE)</f>
        <v>#N/A</v>
      </c>
      <c r="H2382" s="23" t="e">
        <f>VLOOKUP(E2382,Customers[],4,FALSE)</f>
        <v>#N/A</v>
      </c>
      <c r="J2382" s="29" t="e">
        <f>VLOOKUP(I2382,PGStock[],2,FALSE)</f>
        <v>#N/A</v>
      </c>
      <c r="K2382" s="30" t="e">
        <f>VLOOKUP(I2382,PGStock[],3,FALSE)</f>
        <v>#N/A</v>
      </c>
      <c r="M2382" s="62" t="e">
        <f>VLOOKUP(I2382,PGStock[],6,FALSE)</f>
        <v>#N/A</v>
      </c>
      <c r="N2382" s="62" t="e">
        <f>+Table8[[#This Row],[SalesBot]]*Table8[[#This Row],[Bonus]]</f>
        <v>#N/A</v>
      </c>
    </row>
    <row r="2383" spans="1:14" ht="20.100000000000001" customHeight="1" x14ac:dyDescent="0.25">
      <c r="A2383" s="59">
        <f t="shared" si="344"/>
        <v>1900</v>
      </c>
      <c r="B2383" s="59">
        <f t="shared" si="345"/>
        <v>1</v>
      </c>
      <c r="C2383" s="97"/>
      <c r="D2383" s="61"/>
      <c r="F2383" s="23" t="e">
        <f>VLOOKUP(E2383,Customers[],2,FALSE)</f>
        <v>#N/A</v>
      </c>
      <c r="G2383" s="23" t="e">
        <f>VLOOKUP(E2383,Customers[],3,FALSE)</f>
        <v>#N/A</v>
      </c>
      <c r="H2383" s="23" t="e">
        <f>VLOOKUP(E2383,Customers[],4,FALSE)</f>
        <v>#N/A</v>
      </c>
      <c r="J2383" s="29" t="e">
        <f>VLOOKUP(I2383,PGStock[],2,FALSE)</f>
        <v>#N/A</v>
      </c>
      <c r="K2383" s="30" t="e">
        <f>VLOOKUP(I2383,PGStock[],3,FALSE)</f>
        <v>#N/A</v>
      </c>
      <c r="M2383" s="62" t="e">
        <f>VLOOKUP(I2383,PGStock[],6,FALSE)</f>
        <v>#N/A</v>
      </c>
      <c r="N2383" s="62" t="e">
        <f>+Table8[[#This Row],[SalesBot]]*Table8[[#This Row],[Bonus]]</f>
        <v>#N/A</v>
      </c>
    </row>
    <row r="2384" spans="1:14" ht="20.100000000000001" customHeight="1" x14ac:dyDescent="0.25">
      <c r="A2384" s="59">
        <f t="shared" si="344"/>
        <v>1900</v>
      </c>
      <c r="B2384" s="59">
        <f t="shared" si="345"/>
        <v>1</v>
      </c>
      <c r="C2384" s="97"/>
      <c r="D2384" s="61"/>
      <c r="F2384" s="23" t="e">
        <f>VLOOKUP(E2384,Customers[],2,FALSE)</f>
        <v>#N/A</v>
      </c>
      <c r="G2384" s="23" t="e">
        <f>VLOOKUP(E2384,Customers[],3,FALSE)</f>
        <v>#N/A</v>
      </c>
      <c r="H2384" s="23" t="e">
        <f>VLOOKUP(E2384,Customers[],4,FALSE)</f>
        <v>#N/A</v>
      </c>
      <c r="J2384" s="29" t="e">
        <f>VLOOKUP(I2384,PGStock[],2,FALSE)</f>
        <v>#N/A</v>
      </c>
      <c r="K2384" s="30" t="e">
        <f>VLOOKUP(I2384,PGStock[],3,FALSE)</f>
        <v>#N/A</v>
      </c>
      <c r="M2384" s="62" t="e">
        <f>VLOOKUP(I2384,PGStock[],6,FALSE)</f>
        <v>#N/A</v>
      </c>
      <c r="N2384" s="62" t="e">
        <f>+Table8[[#This Row],[SalesBot]]*Table8[[#This Row],[Bonus]]</f>
        <v>#N/A</v>
      </c>
    </row>
    <row r="2385" spans="1:14" ht="20.100000000000001" customHeight="1" x14ac:dyDescent="0.25">
      <c r="A2385" s="59">
        <f t="shared" si="344"/>
        <v>1900</v>
      </c>
      <c r="B2385" s="59">
        <f t="shared" si="345"/>
        <v>1</v>
      </c>
      <c r="C2385" s="97"/>
      <c r="D2385" s="61"/>
      <c r="F2385" s="23" t="e">
        <f>VLOOKUP(E2385,Customers[],2,FALSE)</f>
        <v>#N/A</v>
      </c>
      <c r="G2385" s="23" t="e">
        <f>VLOOKUP(E2385,Customers[],3,FALSE)</f>
        <v>#N/A</v>
      </c>
      <c r="H2385" s="23" t="e">
        <f>VLOOKUP(E2385,Customers[],4,FALSE)</f>
        <v>#N/A</v>
      </c>
      <c r="J2385" s="29" t="e">
        <f>VLOOKUP(I2385,PGStock[],2,FALSE)</f>
        <v>#N/A</v>
      </c>
      <c r="K2385" s="30" t="e">
        <f>VLOOKUP(I2385,PGStock[],3,FALSE)</f>
        <v>#N/A</v>
      </c>
      <c r="M2385" s="62" t="e">
        <f>VLOOKUP(I2385,PGStock[],6,FALSE)</f>
        <v>#N/A</v>
      </c>
      <c r="N2385" s="62" t="e">
        <f>+Table8[[#This Row],[SalesBot]]*Table8[[#This Row],[Bonus]]</f>
        <v>#N/A</v>
      </c>
    </row>
    <row r="2386" spans="1:14" ht="20.100000000000001" customHeight="1" x14ac:dyDescent="0.25">
      <c r="A2386" s="59">
        <f t="shared" si="344"/>
        <v>1900</v>
      </c>
      <c r="B2386" s="59">
        <f t="shared" si="345"/>
        <v>1</v>
      </c>
      <c r="C2386" s="97"/>
      <c r="D2386" s="61"/>
      <c r="F2386" s="23" t="e">
        <f>VLOOKUP(E2386,Customers[],2,FALSE)</f>
        <v>#N/A</v>
      </c>
      <c r="G2386" s="23" t="e">
        <f>VLOOKUP(E2386,Customers[],3,FALSE)</f>
        <v>#N/A</v>
      </c>
      <c r="H2386" s="23" t="e">
        <f>VLOOKUP(E2386,Customers[],4,FALSE)</f>
        <v>#N/A</v>
      </c>
      <c r="J2386" s="29" t="e">
        <f>VLOOKUP(I2386,PGStock[],2,FALSE)</f>
        <v>#N/A</v>
      </c>
      <c r="K2386" s="30" t="e">
        <f>VLOOKUP(I2386,PGStock[],3,FALSE)</f>
        <v>#N/A</v>
      </c>
      <c r="M2386" s="62" t="e">
        <f>VLOOKUP(I2386,PGStock[],6,FALSE)</f>
        <v>#N/A</v>
      </c>
      <c r="N2386" s="62" t="e">
        <f>+Table8[[#This Row],[SalesBot]]*Table8[[#This Row],[Bonus]]</f>
        <v>#N/A</v>
      </c>
    </row>
    <row r="2387" spans="1:14" ht="20.100000000000001" customHeight="1" x14ac:dyDescent="0.25">
      <c r="A2387" s="59">
        <f t="shared" si="344"/>
        <v>1900</v>
      </c>
      <c r="B2387" s="59">
        <f t="shared" si="345"/>
        <v>1</v>
      </c>
      <c r="C2387" s="97"/>
      <c r="D2387" s="61"/>
      <c r="F2387" s="23" t="e">
        <f>VLOOKUP(E2387,Customers[],2,FALSE)</f>
        <v>#N/A</v>
      </c>
      <c r="G2387" s="23" t="e">
        <f>VLOOKUP(E2387,Customers[],3,FALSE)</f>
        <v>#N/A</v>
      </c>
      <c r="H2387" s="23" t="e">
        <f>VLOOKUP(E2387,Customers[],4,FALSE)</f>
        <v>#N/A</v>
      </c>
      <c r="J2387" s="29" t="e">
        <f>VLOOKUP(I2387,PGStock[],2,FALSE)</f>
        <v>#N/A</v>
      </c>
      <c r="K2387" s="30" t="e">
        <f>VLOOKUP(I2387,PGStock[],3,FALSE)</f>
        <v>#N/A</v>
      </c>
      <c r="M2387" s="62" t="e">
        <f>VLOOKUP(I2387,PGStock[],6,FALSE)</f>
        <v>#N/A</v>
      </c>
      <c r="N2387" s="62" t="e">
        <f>+Table8[[#This Row],[SalesBot]]*Table8[[#This Row],[Bonus]]</f>
        <v>#N/A</v>
      </c>
    </row>
    <row r="2388" spans="1:14" ht="20.100000000000001" customHeight="1" x14ac:dyDescent="0.25">
      <c r="A2388" s="59">
        <f t="shared" si="344"/>
        <v>1900</v>
      </c>
      <c r="B2388" s="59">
        <f t="shared" si="345"/>
        <v>1</v>
      </c>
      <c r="C2388" s="97"/>
      <c r="D2388" s="61"/>
      <c r="F2388" s="23" t="e">
        <f>VLOOKUP(E2388,Customers[],2,FALSE)</f>
        <v>#N/A</v>
      </c>
      <c r="G2388" s="23" t="e">
        <f>VLOOKUP(E2388,Customers[],3,FALSE)</f>
        <v>#N/A</v>
      </c>
      <c r="H2388" s="23" t="e">
        <f>VLOOKUP(E2388,Customers[],4,FALSE)</f>
        <v>#N/A</v>
      </c>
      <c r="J2388" s="29" t="e">
        <f>VLOOKUP(I2388,PGStock[],2,FALSE)</f>
        <v>#N/A</v>
      </c>
      <c r="K2388" s="30" t="e">
        <f>VLOOKUP(I2388,PGStock[],3,FALSE)</f>
        <v>#N/A</v>
      </c>
      <c r="M2388" s="62" t="e">
        <f>VLOOKUP(I2388,PGStock[],6,FALSE)</f>
        <v>#N/A</v>
      </c>
      <c r="N2388" s="62" t="e">
        <f>+Table8[[#This Row],[SalesBot]]*Table8[[#This Row],[Bonus]]</f>
        <v>#N/A</v>
      </c>
    </row>
    <row r="2389" spans="1:14" ht="20.100000000000001" customHeight="1" x14ac:dyDescent="0.25">
      <c r="A2389" s="59">
        <f t="shared" si="344"/>
        <v>1900</v>
      </c>
      <c r="B2389" s="59">
        <f t="shared" si="345"/>
        <v>1</v>
      </c>
      <c r="C2389" s="97"/>
      <c r="D2389" s="61"/>
      <c r="F2389" s="23" t="e">
        <f>VLOOKUP(E2389,Customers[],2,FALSE)</f>
        <v>#N/A</v>
      </c>
      <c r="G2389" s="23" t="e">
        <f>VLOOKUP(E2389,Customers[],3,FALSE)</f>
        <v>#N/A</v>
      </c>
      <c r="H2389" s="23" t="e">
        <f>VLOOKUP(E2389,Customers[],4,FALSE)</f>
        <v>#N/A</v>
      </c>
      <c r="J2389" s="29" t="e">
        <f>VLOOKUP(I2389,PGStock[],2,FALSE)</f>
        <v>#N/A</v>
      </c>
      <c r="K2389" s="30" t="e">
        <f>VLOOKUP(I2389,PGStock[],3,FALSE)</f>
        <v>#N/A</v>
      </c>
      <c r="M2389" s="62" t="e">
        <f>VLOOKUP(I2389,PGStock[],6,FALSE)</f>
        <v>#N/A</v>
      </c>
      <c r="N2389" s="62" t="e">
        <f>+Table8[[#This Row],[SalesBot]]*Table8[[#This Row],[Bonus]]</f>
        <v>#N/A</v>
      </c>
    </row>
    <row r="2390" spans="1:14" ht="20.100000000000001" customHeight="1" x14ac:dyDescent="0.25">
      <c r="A2390" s="59">
        <f t="shared" si="344"/>
        <v>1900</v>
      </c>
      <c r="B2390" s="59">
        <f t="shared" si="345"/>
        <v>1</v>
      </c>
      <c r="C2390" s="97"/>
      <c r="D2390" s="61"/>
      <c r="F2390" s="23" t="e">
        <f>VLOOKUP(E2390,Customers[],2,FALSE)</f>
        <v>#N/A</v>
      </c>
      <c r="G2390" s="23" t="e">
        <f>VLOOKUP(E2390,Customers[],3,FALSE)</f>
        <v>#N/A</v>
      </c>
      <c r="H2390" s="23" t="e">
        <f>VLOOKUP(E2390,Customers[],4,FALSE)</f>
        <v>#N/A</v>
      </c>
      <c r="J2390" s="29" t="e">
        <f>VLOOKUP(I2390,PGStock[],2,FALSE)</f>
        <v>#N/A</v>
      </c>
      <c r="K2390" s="30" t="e">
        <f>VLOOKUP(I2390,PGStock[],3,FALSE)</f>
        <v>#N/A</v>
      </c>
      <c r="M2390" s="62" t="e">
        <f>VLOOKUP(I2390,PGStock[],6,FALSE)</f>
        <v>#N/A</v>
      </c>
      <c r="N2390" s="62" t="e">
        <f>+Table8[[#This Row],[SalesBot]]*Table8[[#This Row],[Bonus]]</f>
        <v>#N/A</v>
      </c>
    </row>
    <row r="2391" spans="1:14" ht="20.100000000000001" customHeight="1" x14ac:dyDescent="0.25">
      <c r="A2391" s="59">
        <f t="shared" si="344"/>
        <v>1900</v>
      </c>
      <c r="B2391" s="59">
        <f t="shared" si="345"/>
        <v>1</v>
      </c>
      <c r="C2391" s="97"/>
      <c r="D2391" s="61"/>
      <c r="F2391" s="23" t="e">
        <f>VLOOKUP(E2391,Customers[],2,FALSE)</f>
        <v>#N/A</v>
      </c>
      <c r="G2391" s="23" t="e">
        <f>VLOOKUP(E2391,Customers[],3,FALSE)</f>
        <v>#N/A</v>
      </c>
      <c r="H2391" s="23" t="e">
        <f>VLOOKUP(E2391,Customers[],4,FALSE)</f>
        <v>#N/A</v>
      </c>
      <c r="J2391" s="29" t="e">
        <f>VLOOKUP(I2391,PGStock[],2,FALSE)</f>
        <v>#N/A</v>
      </c>
      <c r="K2391" s="30" t="e">
        <f>VLOOKUP(I2391,PGStock[],3,FALSE)</f>
        <v>#N/A</v>
      </c>
      <c r="M2391" s="62" t="e">
        <f>VLOOKUP(I2391,PGStock[],6,FALSE)</f>
        <v>#N/A</v>
      </c>
      <c r="N2391" s="62" t="e">
        <f>+Table8[[#This Row],[SalesBot]]*Table8[[#This Row],[Bonus]]</f>
        <v>#N/A</v>
      </c>
    </row>
    <row r="2392" spans="1:14" ht="20.100000000000001" customHeight="1" x14ac:dyDescent="0.25">
      <c r="A2392" s="59">
        <f t="shared" ref="A2392:A2407" si="346">YEAR(C2392)</f>
        <v>1900</v>
      </c>
      <c r="B2392" s="59">
        <f t="shared" ref="B2392:B2407" si="347">MONTH(C2392)</f>
        <v>1</v>
      </c>
      <c r="C2392" s="97"/>
      <c r="D2392" s="61"/>
      <c r="F2392" s="23" t="e">
        <f>VLOOKUP(E2392,Customers[],2,FALSE)</f>
        <v>#N/A</v>
      </c>
      <c r="G2392" s="23" t="e">
        <f>VLOOKUP(E2392,Customers[],3,FALSE)</f>
        <v>#N/A</v>
      </c>
      <c r="H2392" s="23" t="e">
        <f>VLOOKUP(E2392,Customers[],4,FALSE)</f>
        <v>#N/A</v>
      </c>
      <c r="J2392" s="29" t="e">
        <f>VLOOKUP(I2392,PGStock[],2,FALSE)</f>
        <v>#N/A</v>
      </c>
      <c r="K2392" s="30" t="e">
        <f>VLOOKUP(I2392,PGStock[],3,FALSE)</f>
        <v>#N/A</v>
      </c>
      <c r="M2392" s="62" t="e">
        <f>VLOOKUP(I2392,PGStock[],6,FALSE)</f>
        <v>#N/A</v>
      </c>
      <c r="N2392" s="62" t="e">
        <f>+Table8[[#This Row],[SalesBot]]*Table8[[#This Row],[Bonus]]</f>
        <v>#N/A</v>
      </c>
    </row>
    <row r="2393" spans="1:14" ht="20.100000000000001" customHeight="1" x14ac:dyDescent="0.25">
      <c r="A2393" s="59">
        <f t="shared" si="346"/>
        <v>1900</v>
      </c>
      <c r="B2393" s="59">
        <f t="shared" si="347"/>
        <v>1</v>
      </c>
      <c r="C2393" s="97"/>
      <c r="D2393" s="61"/>
      <c r="F2393" s="23" t="e">
        <f>VLOOKUP(E2393,Customers[],2,FALSE)</f>
        <v>#N/A</v>
      </c>
      <c r="G2393" s="23" t="e">
        <f>VLOOKUP(E2393,Customers[],3,FALSE)</f>
        <v>#N/A</v>
      </c>
      <c r="H2393" s="23" t="e">
        <f>VLOOKUP(E2393,Customers[],4,FALSE)</f>
        <v>#N/A</v>
      </c>
      <c r="J2393" s="29" t="e">
        <f>VLOOKUP(I2393,PGStock[],2,FALSE)</f>
        <v>#N/A</v>
      </c>
      <c r="K2393" s="30" t="e">
        <f>VLOOKUP(I2393,PGStock[],3,FALSE)</f>
        <v>#N/A</v>
      </c>
      <c r="M2393" s="62" t="e">
        <f>VLOOKUP(I2393,PGStock[],6,FALSE)</f>
        <v>#N/A</v>
      </c>
      <c r="N2393" s="62" t="e">
        <f>+Table8[[#This Row],[SalesBot]]*Table8[[#This Row],[Bonus]]</f>
        <v>#N/A</v>
      </c>
    </row>
    <row r="2394" spans="1:14" ht="20.100000000000001" customHeight="1" x14ac:dyDescent="0.25">
      <c r="A2394" s="59">
        <f t="shared" si="346"/>
        <v>1900</v>
      </c>
      <c r="B2394" s="59">
        <f t="shared" si="347"/>
        <v>1</v>
      </c>
      <c r="C2394" s="97"/>
      <c r="D2394" s="61"/>
      <c r="F2394" s="23" t="e">
        <f>VLOOKUP(E2394,Customers[],2,FALSE)</f>
        <v>#N/A</v>
      </c>
      <c r="G2394" s="23" t="e">
        <f>VLOOKUP(E2394,Customers[],3,FALSE)</f>
        <v>#N/A</v>
      </c>
      <c r="H2394" s="23" t="e">
        <f>VLOOKUP(E2394,Customers[],4,FALSE)</f>
        <v>#N/A</v>
      </c>
      <c r="J2394" s="29" t="e">
        <f>VLOOKUP(I2394,PGStock[],2,FALSE)</f>
        <v>#N/A</v>
      </c>
      <c r="K2394" s="30" t="e">
        <f>VLOOKUP(I2394,PGStock[],3,FALSE)</f>
        <v>#N/A</v>
      </c>
      <c r="M2394" s="62" t="e">
        <f>VLOOKUP(I2394,PGStock[],6,FALSE)</f>
        <v>#N/A</v>
      </c>
      <c r="N2394" s="62" t="e">
        <f>+Table8[[#This Row],[SalesBot]]*Table8[[#This Row],[Bonus]]</f>
        <v>#N/A</v>
      </c>
    </row>
    <row r="2395" spans="1:14" ht="20.100000000000001" customHeight="1" x14ac:dyDescent="0.25">
      <c r="A2395" s="59">
        <f t="shared" si="346"/>
        <v>1900</v>
      </c>
      <c r="B2395" s="59">
        <f t="shared" si="347"/>
        <v>1</v>
      </c>
      <c r="C2395" s="97"/>
      <c r="D2395" s="61"/>
      <c r="F2395" s="23" t="e">
        <f>VLOOKUP(E2395,Customers[],2,FALSE)</f>
        <v>#N/A</v>
      </c>
      <c r="G2395" s="23" t="e">
        <f>VLOOKUP(E2395,Customers[],3,FALSE)</f>
        <v>#N/A</v>
      </c>
      <c r="H2395" s="23" t="e">
        <f>VLOOKUP(E2395,Customers[],4,FALSE)</f>
        <v>#N/A</v>
      </c>
      <c r="J2395" s="29" t="e">
        <f>VLOOKUP(I2395,PGStock[],2,FALSE)</f>
        <v>#N/A</v>
      </c>
      <c r="K2395" s="30" t="e">
        <f>VLOOKUP(I2395,PGStock[],3,FALSE)</f>
        <v>#N/A</v>
      </c>
      <c r="M2395" s="62" t="e">
        <f>VLOOKUP(I2395,PGStock[],6,FALSE)</f>
        <v>#N/A</v>
      </c>
      <c r="N2395" s="62" t="e">
        <f>+Table8[[#This Row],[SalesBot]]*Table8[[#This Row],[Bonus]]</f>
        <v>#N/A</v>
      </c>
    </row>
    <row r="2396" spans="1:14" ht="20.100000000000001" customHeight="1" x14ac:dyDescent="0.25">
      <c r="A2396" s="59">
        <f t="shared" si="346"/>
        <v>1900</v>
      </c>
      <c r="B2396" s="59">
        <f t="shared" si="347"/>
        <v>1</v>
      </c>
      <c r="C2396" s="97"/>
      <c r="D2396" s="61"/>
      <c r="F2396" s="23" t="e">
        <f>VLOOKUP(E2396,Customers[],2,FALSE)</f>
        <v>#N/A</v>
      </c>
      <c r="G2396" s="23" t="e">
        <f>VLOOKUP(E2396,Customers[],3,FALSE)</f>
        <v>#N/A</v>
      </c>
      <c r="H2396" s="23" t="e">
        <f>VLOOKUP(E2396,Customers[],4,FALSE)</f>
        <v>#N/A</v>
      </c>
      <c r="J2396" s="29" t="e">
        <f>VLOOKUP(I2396,PGStock[],2,FALSE)</f>
        <v>#N/A</v>
      </c>
      <c r="K2396" s="30" t="e">
        <f>VLOOKUP(I2396,PGStock[],3,FALSE)</f>
        <v>#N/A</v>
      </c>
      <c r="M2396" s="62" t="e">
        <f>VLOOKUP(I2396,PGStock[],6,FALSE)</f>
        <v>#N/A</v>
      </c>
      <c r="N2396" s="62" t="e">
        <f>+Table8[[#This Row],[SalesBot]]*Table8[[#This Row],[Bonus]]</f>
        <v>#N/A</v>
      </c>
    </row>
    <row r="2397" spans="1:14" ht="20.100000000000001" customHeight="1" x14ac:dyDescent="0.25">
      <c r="A2397" s="59">
        <f t="shared" si="346"/>
        <v>1900</v>
      </c>
      <c r="B2397" s="59">
        <f t="shared" si="347"/>
        <v>1</v>
      </c>
      <c r="C2397" s="97"/>
      <c r="D2397" s="61"/>
      <c r="F2397" s="23" t="e">
        <f>VLOOKUP(E2397,Customers[],2,FALSE)</f>
        <v>#N/A</v>
      </c>
      <c r="G2397" s="23" t="e">
        <f>VLOOKUP(E2397,Customers[],3,FALSE)</f>
        <v>#N/A</v>
      </c>
      <c r="H2397" s="23" t="e">
        <f>VLOOKUP(E2397,Customers[],4,FALSE)</f>
        <v>#N/A</v>
      </c>
      <c r="J2397" s="29" t="e">
        <f>VLOOKUP(I2397,PGStock[],2,FALSE)</f>
        <v>#N/A</v>
      </c>
      <c r="K2397" s="30" t="e">
        <f>VLOOKUP(I2397,PGStock[],3,FALSE)</f>
        <v>#N/A</v>
      </c>
      <c r="M2397" s="62" t="e">
        <f>VLOOKUP(I2397,PGStock[],6,FALSE)</f>
        <v>#N/A</v>
      </c>
      <c r="N2397" s="62" t="e">
        <f>+Table8[[#This Row],[SalesBot]]*Table8[[#This Row],[Bonus]]</f>
        <v>#N/A</v>
      </c>
    </row>
    <row r="2398" spans="1:14" ht="20.100000000000001" customHeight="1" x14ac:dyDescent="0.25">
      <c r="A2398" s="59">
        <f t="shared" si="346"/>
        <v>1900</v>
      </c>
      <c r="B2398" s="59">
        <f t="shared" si="347"/>
        <v>1</v>
      </c>
      <c r="C2398" s="97"/>
      <c r="D2398" s="61"/>
      <c r="F2398" s="23" t="e">
        <f>VLOOKUP(E2398,Customers[],2,FALSE)</f>
        <v>#N/A</v>
      </c>
      <c r="G2398" s="23" t="e">
        <f>VLOOKUP(E2398,Customers[],3,FALSE)</f>
        <v>#N/A</v>
      </c>
      <c r="H2398" s="23" t="e">
        <f>VLOOKUP(E2398,Customers[],4,FALSE)</f>
        <v>#N/A</v>
      </c>
      <c r="J2398" s="29" t="e">
        <f>VLOOKUP(I2398,PGStock[],2,FALSE)</f>
        <v>#N/A</v>
      </c>
      <c r="K2398" s="30" t="e">
        <f>VLOOKUP(I2398,PGStock[],3,FALSE)</f>
        <v>#N/A</v>
      </c>
      <c r="M2398" s="62" t="e">
        <f>VLOOKUP(I2398,PGStock[],6,FALSE)</f>
        <v>#N/A</v>
      </c>
      <c r="N2398" s="62" t="e">
        <f>+Table8[[#This Row],[SalesBot]]*Table8[[#This Row],[Bonus]]</f>
        <v>#N/A</v>
      </c>
    </row>
    <row r="2399" spans="1:14" ht="20.100000000000001" customHeight="1" x14ac:dyDescent="0.25">
      <c r="A2399" s="59">
        <f t="shared" si="346"/>
        <v>1900</v>
      </c>
      <c r="B2399" s="59">
        <f t="shared" si="347"/>
        <v>1</v>
      </c>
      <c r="C2399" s="97"/>
      <c r="D2399" s="61"/>
      <c r="F2399" s="23" t="e">
        <f>VLOOKUP(E2399,Customers[],2,FALSE)</f>
        <v>#N/A</v>
      </c>
      <c r="G2399" s="23" t="e">
        <f>VLOOKUP(E2399,Customers[],3,FALSE)</f>
        <v>#N/A</v>
      </c>
      <c r="H2399" s="23" t="e">
        <f>VLOOKUP(E2399,Customers[],4,FALSE)</f>
        <v>#N/A</v>
      </c>
      <c r="J2399" s="29" t="e">
        <f>VLOOKUP(I2399,PGStock[],2,FALSE)</f>
        <v>#N/A</v>
      </c>
      <c r="K2399" s="30" t="e">
        <f>VLOOKUP(I2399,PGStock[],3,FALSE)</f>
        <v>#N/A</v>
      </c>
      <c r="M2399" s="62" t="e">
        <f>VLOOKUP(I2399,PGStock[],6,FALSE)</f>
        <v>#N/A</v>
      </c>
      <c r="N2399" s="62" t="e">
        <f>+Table8[[#This Row],[SalesBot]]*Table8[[#This Row],[Bonus]]</f>
        <v>#N/A</v>
      </c>
    </row>
    <row r="2400" spans="1:14" ht="20.100000000000001" customHeight="1" x14ac:dyDescent="0.25">
      <c r="A2400" s="59">
        <f t="shared" si="346"/>
        <v>1900</v>
      </c>
      <c r="B2400" s="59">
        <f t="shared" si="347"/>
        <v>1</v>
      </c>
      <c r="C2400" s="97"/>
      <c r="D2400" s="61"/>
      <c r="F2400" s="23" t="e">
        <f>VLOOKUP(E2400,Customers[],2,FALSE)</f>
        <v>#N/A</v>
      </c>
      <c r="G2400" s="23" t="e">
        <f>VLOOKUP(E2400,Customers[],3,FALSE)</f>
        <v>#N/A</v>
      </c>
      <c r="H2400" s="23" t="e">
        <f>VLOOKUP(E2400,Customers[],4,FALSE)</f>
        <v>#N/A</v>
      </c>
      <c r="J2400" s="29" t="e">
        <f>VLOOKUP(I2400,PGStock[],2,FALSE)</f>
        <v>#N/A</v>
      </c>
      <c r="K2400" s="30" t="e">
        <f>VLOOKUP(I2400,PGStock[],3,FALSE)</f>
        <v>#N/A</v>
      </c>
      <c r="M2400" s="62" t="e">
        <f>VLOOKUP(I2400,PGStock[],6,FALSE)</f>
        <v>#N/A</v>
      </c>
      <c r="N2400" s="62" t="e">
        <f>+Table8[[#This Row],[SalesBot]]*Table8[[#This Row],[Bonus]]</f>
        <v>#N/A</v>
      </c>
    </row>
    <row r="2401" spans="1:14" ht="20.100000000000001" customHeight="1" x14ac:dyDescent="0.25">
      <c r="A2401" s="59">
        <f t="shared" si="346"/>
        <v>1900</v>
      </c>
      <c r="B2401" s="59">
        <f t="shared" si="347"/>
        <v>1</v>
      </c>
      <c r="C2401" s="97"/>
      <c r="D2401" s="61"/>
      <c r="F2401" s="23" t="e">
        <f>VLOOKUP(E2401,Customers[],2,FALSE)</f>
        <v>#N/A</v>
      </c>
      <c r="G2401" s="23" t="e">
        <f>VLOOKUP(E2401,Customers[],3,FALSE)</f>
        <v>#N/A</v>
      </c>
      <c r="H2401" s="23" t="e">
        <f>VLOOKUP(E2401,Customers[],4,FALSE)</f>
        <v>#N/A</v>
      </c>
      <c r="J2401" s="29" t="e">
        <f>VLOOKUP(I2401,PGStock[],2,FALSE)</f>
        <v>#N/A</v>
      </c>
      <c r="K2401" s="30" t="e">
        <f>VLOOKUP(I2401,PGStock[],3,FALSE)</f>
        <v>#N/A</v>
      </c>
      <c r="M2401" s="62" t="e">
        <f>VLOOKUP(I2401,PGStock[],6,FALSE)</f>
        <v>#N/A</v>
      </c>
      <c r="N2401" s="62" t="e">
        <f>+Table8[[#This Row],[SalesBot]]*Table8[[#This Row],[Bonus]]</f>
        <v>#N/A</v>
      </c>
    </row>
    <row r="2402" spans="1:14" ht="20.100000000000001" customHeight="1" x14ac:dyDescent="0.25">
      <c r="A2402" s="59">
        <f t="shared" si="346"/>
        <v>1900</v>
      </c>
      <c r="B2402" s="59">
        <f t="shared" si="347"/>
        <v>1</v>
      </c>
      <c r="C2402" s="97"/>
      <c r="D2402" s="61"/>
      <c r="F2402" s="23" t="e">
        <f>VLOOKUP(E2402,Customers[],2,FALSE)</f>
        <v>#N/A</v>
      </c>
      <c r="G2402" s="23" t="e">
        <f>VLOOKUP(E2402,Customers[],3,FALSE)</f>
        <v>#N/A</v>
      </c>
      <c r="H2402" s="23" t="e">
        <f>VLOOKUP(E2402,Customers[],4,FALSE)</f>
        <v>#N/A</v>
      </c>
      <c r="J2402" s="29" t="e">
        <f>VLOOKUP(I2402,PGStock[],2,FALSE)</f>
        <v>#N/A</v>
      </c>
      <c r="K2402" s="30" t="e">
        <f>VLOOKUP(I2402,PGStock[],3,FALSE)</f>
        <v>#N/A</v>
      </c>
      <c r="M2402" s="62" t="e">
        <f>VLOOKUP(I2402,PGStock[],6,FALSE)</f>
        <v>#N/A</v>
      </c>
      <c r="N2402" s="62" t="e">
        <f>+Table8[[#This Row],[SalesBot]]*Table8[[#This Row],[Bonus]]</f>
        <v>#N/A</v>
      </c>
    </row>
    <row r="2403" spans="1:14" ht="20.100000000000001" customHeight="1" x14ac:dyDescent="0.25">
      <c r="A2403" s="59">
        <f t="shared" si="346"/>
        <v>1900</v>
      </c>
      <c r="B2403" s="59">
        <f t="shared" si="347"/>
        <v>1</v>
      </c>
      <c r="C2403" s="97"/>
      <c r="D2403" s="61"/>
      <c r="F2403" s="23" t="e">
        <f>VLOOKUP(E2403,Customers[],2,FALSE)</f>
        <v>#N/A</v>
      </c>
      <c r="G2403" s="23" t="e">
        <f>VLOOKUP(E2403,Customers[],3,FALSE)</f>
        <v>#N/A</v>
      </c>
      <c r="H2403" s="23" t="e">
        <f>VLOOKUP(E2403,Customers[],4,FALSE)</f>
        <v>#N/A</v>
      </c>
      <c r="J2403" s="29" t="e">
        <f>VLOOKUP(I2403,PGStock[],2,FALSE)</f>
        <v>#N/A</v>
      </c>
      <c r="K2403" s="30" t="e">
        <f>VLOOKUP(I2403,PGStock[],3,FALSE)</f>
        <v>#N/A</v>
      </c>
      <c r="M2403" s="62" t="e">
        <f>VLOOKUP(I2403,PGStock[],6,FALSE)</f>
        <v>#N/A</v>
      </c>
      <c r="N2403" s="62" t="e">
        <f>+Table8[[#This Row],[SalesBot]]*Table8[[#This Row],[Bonus]]</f>
        <v>#N/A</v>
      </c>
    </row>
    <row r="2404" spans="1:14" ht="20.100000000000001" customHeight="1" x14ac:dyDescent="0.25">
      <c r="A2404" s="59">
        <f t="shared" si="346"/>
        <v>1900</v>
      </c>
      <c r="B2404" s="59">
        <f t="shared" si="347"/>
        <v>1</v>
      </c>
      <c r="C2404" s="97"/>
      <c r="D2404" s="61"/>
      <c r="F2404" s="23" t="e">
        <f>VLOOKUP(E2404,Customers[],2,FALSE)</f>
        <v>#N/A</v>
      </c>
      <c r="G2404" s="23" t="e">
        <f>VLOOKUP(E2404,Customers[],3,FALSE)</f>
        <v>#N/A</v>
      </c>
      <c r="H2404" s="23" t="e">
        <f>VLOOKUP(E2404,Customers[],4,FALSE)</f>
        <v>#N/A</v>
      </c>
      <c r="J2404" s="29" t="e">
        <f>VLOOKUP(I2404,PGStock[],2,FALSE)</f>
        <v>#N/A</v>
      </c>
      <c r="K2404" s="30" t="e">
        <f>VLOOKUP(I2404,PGStock[],3,FALSE)</f>
        <v>#N/A</v>
      </c>
      <c r="M2404" s="62" t="e">
        <f>VLOOKUP(I2404,PGStock[],6,FALSE)</f>
        <v>#N/A</v>
      </c>
      <c r="N2404" s="62" t="e">
        <f>+Table8[[#This Row],[SalesBot]]*Table8[[#This Row],[Bonus]]</f>
        <v>#N/A</v>
      </c>
    </row>
    <row r="2405" spans="1:14" ht="20.100000000000001" customHeight="1" x14ac:dyDescent="0.25">
      <c r="A2405" s="59">
        <f t="shared" si="346"/>
        <v>1900</v>
      </c>
      <c r="B2405" s="59">
        <f t="shared" si="347"/>
        <v>1</v>
      </c>
      <c r="C2405" s="97"/>
      <c r="D2405" s="61"/>
      <c r="F2405" s="23" t="e">
        <f>VLOOKUP(E2405,Customers[],2,FALSE)</f>
        <v>#N/A</v>
      </c>
      <c r="G2405" s="23" t="e">
        <f>VLOOKUP(E2405,Customers[],3,FALSE)</f>
        <v>#N/A</v>
      </c>
      <c r="H2405" s="23" t="e">
        <f>VLOOKUP(E2405,Customers[],4,FALSE)</f>
        <v>#N/A</v>
      </c>
      <c r="J2405" s="29" t="e">
        <f>VLOOKUP(I2405,PGStock[],2,FALSE)</f>
        <v>#N/A</v>
      </c>
      <c r="K2405" s="30" t="e">
        <f>VLOOKUP(I2405,PGStock[],3,FALSE)</f>
        <v>#N/A</v>
      </c>
      <c r="M2405" s="62" t="e">
        <f>VLOOKUP(I2405,PGStock[],6,FALSE)</f>
        <v>#N/A</v>
      </c>
      <c r="N2405" s="62" t="e">
        <f>+Table8[[#This Row],[SalesBot]]*Table8[[#This Row],[Bonus]]</f>
        <v>#N/A</v>
      </c>
    </row>
    <row r="2406" spans="1:14" ht="20.100000000000001" customHeight="1" x14ac:dyDescent="0.25">
      <c r="A2406" s="59">
        <f t="shared" si="346"/>
        <v>1900</v>
      </c>
      <c r="B2406" s="59">
        <f t="shared" si="347"/>
        <v>1</v>
      </c>
      <c r="C2406" s="97"/>
      <c r="D2406" s="61"/>
      <c r="F2406" s="23" t="e">
        <f>VLOOKUP(E2406,Customers[],2,FALSE)</f>
        <v>#N/A</v>
      </c>
      <c r="G2406" s="23" t="e">
        <f>VLOOKUP(E2406,Customers[],3,FALSE)</f>
        <v>#N/A</v>
      </c>
      <c r="H2406" s="23" t="e">
        <f>VLOOKUP(E2406,Customers[],4,FALSE)</f>
        <v>#N/A</v>
      </c>
      <c r="J2406" s="29" t="e">
        <f>VLOOKUP(I2406,PGStock[],2,FALSE)</f>
        <v>#N/A</v>
      </c>
      <c r="K2406" s="30" t="e">
        <f>VLOOKUP(I2406,PGStock[],3,FALSE)</f>
        <v>#N/A</v>
      </c>
      <c r="M2406" s="62" t="e">
        <f>VLOOKUP(I2406,PGStock[],6,FALSE)</f>
        <v>#N/A</v>
      </c>
      <c r="N2406" s="62" t="e">
        <f>+Table8[[#This Row],[SalesBot]]*Table8[[#This Row],[Bonus]]</f>
        <v>#N/A</v>
      </c>
    </row>
    <row r="2407" spans="1:14" ht="20.100000000000001" customHeight="1" x14ac:dyDescent="0.25">
      <c r="A2407" s="59">
        <f t="shared" si="346"/>
        <v>1900</v>
      </c>
      <c r="B2407" s="59">
        <f t="shared" si="347"/>
        <v>1</v>
      </c>
      <c r="C2407" s="97"/>
      <c r="D2407" s="61"/>
      <c r="F2407" s="23" t="e">
        <f>VLOOKUP(E2407,Customers[],2,FALSE)</f>
        <v>#N/A</v>
      </c>
      <c r="G2407" s="23" t="e">
        <f>VLOOKUP(E2407,Customers[],3,FALSE)</f>
        <v>#N/A</v>
      </c>
      <c r="H2407" s="23" t="e">
        <f>VLOOKUP(E2407,Customers[],4,FALSE)</f>
        <v>#N/A</v>
      </c>
      <c r="J2407" s="29" t="e">
        <f>VLOOKUP(I2407,PGStock[],2,FALSE)</f>
        <v>#N/A</v>
      </c>
      <c r="K2407" s="30" t="e">
        <f>VLOOKUP(I2407,PGStock[],3,FALSE)</f>
        <v>#N/A</v>
      </c>
      <c r="M2407" s="62" t="e">
        <f>VLOOKUP(I2407,PGStock[],6,FALSE)</f>
        <v>#N/A</v>
      </c>
      <c r="N2407" s="62" t="e">
        <f>+Table8[[#This Row],[SalesBot]]*Table8[[#This Row],[Bonus]]</f>
        <v>#N/A</v>
      </c>
    </row>
    <row r="2408" spans="1:14" ht="20.100000000000001" customHeight="1" x14ac:dyDescent="0.25">
      <c r="A2408" s="59">
        <f t="shared" ref="A2408:A2424" si="348">YEAR(C2408)</f>
        <v>1900</v>
      </c>
      <c r="B2408" s="59">
        <f t="shared" ref="B2408:B2424" si="349">MONTH(C2408)</f>
        <v>1</v>
      </c>
      <c r="C2408" s="97"/>
      <c r="D2408" s="61"/>
      <c r="F2408" s="23" t="e">
        <f>VLOOKUP(E2408,Customers[],2,FALSE)</f>
        <v>#N/A</v>
      </c>
      <c r="G2408" s="23" t="e">
        <f>VLOOKUP(E2408,Customers[],3,FALSE)</f>
        <v>#N/A</v>
      </c>
      <c r="H2408" s="23" t="e">
        <f>VLOOKUP(E2408,Customers[],4,FALSE)</f>
        <v>#N/A</v>
      </c>
      <c r="J2408" s="29" t="e">
        <f>VLOOKUP(I2408,PGStock[],2,FALSE)</f>
        <v>#N/A</v>
      </c>
      <c r="K2408" s="30" t="e">
        <f>VLOOKUP(I2408,PGStock[],3,FALSE)</f>
        <v>#N/A</v>
      </c>
      <c r="M2408" s="62" t="e">
        <f>VLOOKUP(I2408,PGStock[],6,FALSE)</f>
        <v>#N/A</v>
      </c>
      <c r="N2408" s="62" t="e">
        <f>+Table8[[#This Row],[SalesBot]]*Table8[[#This Row],[Bonus]]</f>
        <v>#N/A</v>
      </c>
    </row>
    <row r="2409" spans="1:14" ht="20.100000000000001" customHeight="1" x14ac:dyDescent="0.25">
      <c r="A2409" s="59">
        <f t="shared" si="348"/>
        <v>1900</v>
      </c>
      <c r="B2409" s="59">
        <f t="shared" si="349"/>
        <v>1</v>
      </c>
      <c r="C2409" s="97"/>
      <c r="D2409" s="61"/>
      <c r="F2409" s="23" t="e">
        <f>VLOOKUP(E2409,Customers[],2,FALSE)</f>
        <v>#N/A</v>
      </c>
      <c r="G2409" s="23" t="e">
        <f>VLOOKUP(E2409,Customers[],3,FALSE)</f>
        <v>#N/A</v>
      </c>
      <c r="H2409" s="23" t="e">
        <f>VLOOKUP(E2409,Customers[],4,FALSE)</f>
        <v>#N/A</v>
      </c>
      <c r="J2409" s="29" t="e">
        <f>VLOOKUP(I2409,PGStock[],2,FALSE)</f>
        <v>#N/A</v>
      </c>
      <c r="K2409" s="30" t="e">
        <f>VLOOKUP(I2409,PGStock[],3,FALSE)</f>
        <v>#N/A</v>
      </c>
      <c r="M2409" s="62" t="e">
        <f>VLOOKUP(I2409,PGStock[],6,FALSE)</f>
        <v>#N/A</v>
      </c>
      <c r="N2409" s="62" t="e">
        <f>+Table8[[#This Row],[SalesBot]]*Table8[[#This Row],[Bonus]]</f>
        <v>#N/A</v>
      </c>
    </row>
    <row r="2410" spans="1:14" ht="20.100000000000001" customHeight="1" x14ac:dyDescent="0.25">
      <c r="A2410" s="59">
        <f t="shared" si="348"/>
        <v>1900</v>
      </c>
      <c r="B2410" s="59">
        <f t="shared" si="349"/>
        <v>1</v>
      </c>
      <c r="C2410" s="97"/>
      <c r="D2410" s="61"/>
      <c r="F2410" s="23" t="e">
        <f>VLOOKUP(E2410,Customers[],2,FALSE)</f>
        <v>#N/A</v>
      </c>
      <c r="G2410" s="23" t="e">
        <f>VLOOKUP(E2410,Customers[],3,FALSE)</f>
        <v>#N/A</v>
      </c>
      <c r="H2410" s="23" t="e">
        <f>VLOOKUP(E2410,Customers[],4,FALSE)</f>
        <v>#N/A</v>
      </c>
      <c r="J2410" s="29" t="e">
        <f>VLOOKUP(I2410,PGStock[],2,FALSE)</f>
        <v>#N/A</v>
      </c>
      <c r="K2410" s="30" t="e">
        <f>VLOOKUP(I2410,PGStock[],3,FALSE)</f>
        <v>#N/A</v>
      </c>
      <c r="M2410" s="62" t="e">
        <f>VLOOKUP(I2410,PGStock[],6,FALSE)</f>
        <v>#N/A</v>
      </c>
      <c r="N2410" s="62" t="e">
        <f>+Table8[[#This Row],[SalesBot]]*Table8[[#This Row],[Bonus]]</f>
        <v>#N/A</v>
      </c>
    </row>
    <row r="2411" spans="1:14" ht="20.100000000000001" customHeight="1" x14ac:dyDescent="0.25">
      <c r="A2411" s="59">
        <f t="shared" si="348"/>
        <v>1900</v>
      </c>
      <c r="B2411" s="59">
        <f t="shared" si="349"/>
        <v>1</v>
      </c>
      <c r="C2411" s="97"/>
      <c r="D2411" s="61"/>
      <c r="F2411" s="23" t="e">
        <f>VLOOKUP(E2411,Customers[],2,FALSE)</f>
        <v>#N/A</v>
      </c>
      <c r="G2411" s="23" t="e">
        <f>VLOOKUP(E2411,Customers[],3,FALSE)</f>
        <v>#N/A</v>
      </c>
      <c r="H2411" s="23" t="e">
        <f>VLOOKUP(E2411,Customers[],4,FALSE)</f>
        <v>#N/A</v>
      </c>
      <c r="J2411" s="29" t="e">
        <f>VLOOKUP(I2411,PGStock[],2,FALSE)</f>
        <v>#N/A</v>
      </c>
      <c r="K2411" s="30" t="e">
        <f>VLOOKUP(I2411,PGStock[],3,FALSE)</f>
        <v>#N/A</v>
      </c>
      <c r="M2411" s="62" t="e">
        <f>VLOOKUP(I2411,PGStock[],6,FALSE)</f>
        <v>#N/A</v>
      </c>
      <c r="N2411" s="62" t="e">
        <f>+Table8[[#This Row],[SalesBot]]*Table8[[#This Row],[Bonus]]</f>
        <v>#N/A</v>
      </c>
    </row>
    <row r="2412" spans="1:14" ht="20.100000000000001" customHeight="1" x14ac:dyDescent="0.25">
      <c r="A2412" s="59">
        <f t="shared" si="348"/>
        <v>1900</v>
      </c>
      <c r="B2412" s="59">
        <f t="shared" si="349"/>
        <v>1</v>
      </c>
      <c r="C2412" s="97"/>
      <c r="D2412" s="61"/>
      <c r="F2412" s="23" t="e">
        <f>VLOOKUP(E2412,Customers[],2,FALSE)</f>
        <v>#N/A</v>
      </c>
      <c r="G2412" s="23" t="e">
        <f>VLOOKUP(E2412,Customers[],3,FALSE)</f>
        <v>#N/A</v>
      </c>
      <c r="H2412" s="23" t="e">
        <f>VLOOKUP(E2412,Customers[],4,FALSE)</f>
        <v>#N/A</v>
      </c>
      <c r="J2412" s="29" t="e">
        <f>VLOOKUP(I2412,PGStock[],2,FALSE)</f>
        <v>#N/A</v>
      </c>
      <c r="K2412" s="30" t="e">
        <f>VLOOKUP(I2412,PGStock[],3,FALSE)</f>
        <v>#N/A</v>
      </c>
      <c r="M2412" s="62" t="e">
        <f>VLOOKUP(I2412,PGStock[],6,FALSE)</f>
        <v>#N/A</v>
      </c>
      <c r="N2412" s="62" t="e">
        <f>+Table8[[#This Row],[SalesBot]]*Table8[[#This Row],[Bonus]]</f>
        <v>#N/A</v>
      </c>
    </row>
    <row r="2413" spans="1:14" ht="20.100000000000001" customHeight="1" x14ac:dyDescent="0.25">
      <c r="A2413" s="59">
        <f t="shared" si="348"/>
        <v>1900</v>
      </c>
      <c r="B2413" s="59">
        <f t="shared" si="349"/>
        <v>1</v>
      </c>
      <c r="C2413" s="97"/>
      <c r="D2413" s="61"/>
      <c r="F2413" s="23" t="e">
        <f>VLOOKUP(E2413,Customers[],2,FALSE)</f>
        <v>#N/A</v>
      </c>
      <c r="G2413" s="23" t="e">
        <f>VLOOKUP(E2413,Customers[],3,FALSE)</f>
        <v>#N/A</v>
      </c>
      <c r="H2413" s="23" t="e">
        <f>VLOOKUP(E2413,Customers[],4,FALSE)</f>
        <v>#N/A</v>
      </c>
      <c r="J2413" s="29" t="e">
        <f>VLOOKUP(I2413,PGStock[],2,FALSE)</f>
        <v>#N/A</v>
      </c>
      <c r="K2413" s="30" t="e">
        <f>VLOOKUP(I2413,PGStock[],3,FALSE)</f>
        <v>#N/A</v>
      </c>
      <c r="M2413" s="62" t="e">
        <f>VLOOKUP(I2413,PGStock[],6,FALSE)</f>
        <v>#N/A</v>
      </c>
      <c r="N2413" s="62" t="e">
        <f>+Table8[[#This Row],[SalesBot]]*Table8[[#This Row],[Bonus]]</f>
        <v>#N/A</v>
      </c>
    </row>
    <row r="2414" spans="1:14" ht="20.100000000000001" customHeight="1" x14ac:dyDescent="0.25">
      <c r="A2414" s="59">
        <f t="shared" si="348"/>
        <v>1900</v>
      </c>
      <c r="B2414" s="59">
        <f t="shared" si="349"/>
        <v>1</v>
      </c>
      <c r="C2414" s="97"/>
      <c r="D2414" s="61"/>
      <c r="F2414" s="23" t="e">
        <f>VLOOKUP(E2414,Customers[],2,FALSE)</f>
        <v>#N/A</v>
      </c>
      <c r="G2414" s="23" t="e">
        <f>VLOOKUP(E2414,Customers[],3,FALSE)</f>
        <v>#N/A</v>
      </c>
      <c r="H2414" s="23" t="e">
        <f>VLOOKUP(E2414,Customers[],4,FALSE)</f>
        <v>#N/A</v>
      </c>
      <c r="J2414" s="29" t="e">
        <f>VLOOKUP(I2414,PGStock[],2,FALSE)</f>
        <v>#N/A</v>
      </c>
      <c r="K2414" s="30" t="e">
        <f>VLOOKUP(I2414,PGStock[],3,FALSE)</f>
        <v>#N/A</v>
      </c>
      <c r="M2414" s="62" t="e">
        <f>VLOOKUP(I2414,PGStock[],6,FALSE)</f>
        <v>#N/A</v>
      </c>
      <c r="N2414" s="62" t="e">
        <f>+Table8[[#This Row],[SalesBot]]*Table8[[#This Row],[Bonus]]</f>
        <v>#N/A</v>
      </c>
    </row>
    <row r="2415" spans="1:14" ht="20.100000000000001" customHeight="1" x14ac:dyDescent="0.25">
      <c r="A2415" s="59">
        <f t="shared" si="348"/>
        <v>1900</v>
      </c>
      <c r="B2415" s="59">
        <f t="shared" si="349"/>
        <v>1</v>
      </c>
      <c r="C2415" s="97"/>
      <c r="D2415" s="61"/>
      <c r="F2415" s="23" t="e">
        <f>VLOOKUP(E2415,Customers[],2,FALSE)</f>
        <v>#N/A</v>
      </c>
      <c r="G2415" s="23" t="e">
        <f>VLOOKUP(E2415,Customers[],3,FALSE)</f>
        <v>#N/A</v>
      </c>
      <c r="H2415" s="23" t="e">
        <f>VLOOKUP(E2415,Customers[],4,FALSE)</f>
        <v>#N/A</v>
      </c>
      <c r="J2415" s="29" t="e">
        <f>VLOOKUP(I2415,PGStock[],2,FALSE)</f>
        <v>#N/A</v>
      </c>
      <c r="K2415" s="30" t="e">
        <f>VLOOKUP(I2415,PGStock[],3,FALSE)</f>
        <v>#N/A</v>
      </c>
      <c r="M2415" s="62" t="e">
        <f>VLOOKUP(I2415,PGStock[],6,FALSE)</f>
        <v>#N/A</v>
      </c>
      <c r="N2415" s="62" t="e">
        <f>+Table8[[#This Row],[SalesBot]]*Table8[[#This Row],[Bonus]]</f>
        <v>#N/A</v>
      </c>
    </row>
    <row r="2416" spans="1:14" ht="20.100000000000001" customHeight="1" x14ac:dyDescent="0.25">
      <c r="A2416" s="59">
        <f t="shared" si="348"/>
        <v>1900</v>
      </c>
      <c r="B2416" s="59">
        <f t="shared" si="349"/>
        <v>1</v>
      </c>
      <c r="C2416" s="97"/>
      <c r="D2416" s="61"/>
      <c r="F2416" s="23" t="e">
        <f>VLOOKUP(E2416,Customers[],2,FALSE)</f>
        <v>#N/A</v>
      </c>
      <c r="G2416" s="23" t="e">
        <f>VLOOKUP(E2416,Customers[],3,FALSE)</f>
        <v>#N/A</v>
      </c>
      <c r="H2416" s="23" t="e">
        <f>VLOOKUP(E2416,Customers[],4,FALSE)</f>
        <v>#N/A</v>
      </c>
      <c r="J2416" s="29" t="e">
        <f>VLOOKUP(I2416,PGStock[],2,FALSE)</f>
        <v>#N/A</v>
      </c>
      <c r="K2416" s="30" t="e">
        <f>VLOOKUP(I2416,PGStock[],3,FALSE)</f>
        <v>#N/A</v>
      </c>
      <c r="M2416" s="62" t="e">
        <f>VLOOKUP(I2416,PGStock[],6,FALSE)</f>
        <v>#N/A</v>
      </c>
      <c r="N2416" s="62" t="e">
        <f>+Table8[[#This Row],[SalesBot]]*Table8[[#This Row],[Bonus]]</f>
        <v>#N/A</v>
      </c>
    </row>
    <row r="2417" spans="1:14" ht="20.100000000000001" customHeight="1" x14ac:dyDescent="0.25">
      <c r="A2417" s="59">
        <f t="shared" si="348"/>
        <v>1900</v>
      </c>
      <c r="B2417" s="59">
        <f t="shared" si="349"/>
        <v>1</v>
      </c>
      <c r="C2417" s="97"/>
      <c r="D2417" s="61"/>
      <c r="F2417" s="23" t="e">
        <f>VLOOKUP(E2417,Customers[],2,FALSE)</f>
        <v>#N/A</v>
      </c>
      <c r="G2417" s="23" t="e">
        <f>VLOOKUP(E2417,Customers[],3,FALSE)</f>
        <v>#N/A</v>
      </c>
      <c r="H2417" s="23" t="e">
        <f>VLOOKUP(E2417,Customers[],4,FALSE)</f>
        <v>#N/A</v>
      </c>
      <c r="J2417" s="29" t="e">
        <f>VLOOKUP(I2417,PGStock[],2,FALSE)</f>
        <v>#N/A</v>
      </c>
      <c r="K2417" s="30" t="e">
        <f>VLOOKUP(I2417,PGStock[],3,FALSE)</f>
        <v>#N/A</v>
      </c>
      <c r="M2417" s="62" t="e">
        <f>VLOOKUP(I2417,PGStock[],6,FALSE)</f>
        <v>#N/A</v>
      </c>
      <c r="N2417" s="62" t="e">
        <f>+Table8[[#This Row],[SalesBot]]*Table8[[#This Row],[Bonus]]</f>
        <v>#N/A</v>
      </c>
    </row>
    <row r="2418" spans="1:14" ht="20.100000000000001" customHeight="1" x14ac:dyDescent="0.25">
      <c r="A2418" s="59">
        <f t="shared" si="348"/>
        <v>1900</v>
      </c>
      <c r="B2418" s="59">
        <f t="shared" si="349"/>
        <v>1</v>
      </c>
      <c r="C2418" s="97"/>
      <c r="D2418" s="61"/>
      <c r="F2418" s="23" t="e">
        <f>VLOOKUP(E2418,Customers[],2,FALSE)</f>
        <v>#N/A</v>
      </c>
      <c r="G2418" s="23" t="e">
        <f>VLOOKUP(E2418,Customers[],3,FALSE)</f>
        <v>#N/A</v>
      </c>
      <c r="H2418" s="23" t="e">
        <f>VLOOKUP(E2418,Customers[],4,FALSE)</f>
        <v>#N/A</v>
      </c>
      <c r="J2418" s="29" t="e">
        <f>VLOOKUP(I2418,PGStock[],2,FALSE)</f>
        <v>#N/A</v>
      </c>
      <c r="K2418" s="30" t="e">
        <f>VLOOKUP(I2418,PGStock[],3,FALSE)</f>
        <v>#N/A</v>
      </c>
      <c r="M2418" s="62" t="e">
        <f>VLOOKUP(I2418,PGStock[],6,FALSE)</f>
        <v>#N/A</v>
      </c>
      <c r="N2418" s="62" t="e">
        <f>+Table8[[#This Row],[SalesBot]]*Table8[[#This Row],[Bonus]]</f>
        <v>#N/A</v>
      </c>
    </row>
    <row r="2419" spans="1:14" ht="20.100000000000001" customHeight="1" x14ac:dyDescent="0.25">
      <c r="A2419" s="59">
        <f t="shared" si="348"/>
        <v>1900</v>
      </c>
      <c r="B2419" s="59">
        <f t="shared" si="349"/>
        <v>1</v>
      </c>
      <c r="C2419" s="97"/>
      <c r="D2419" s="61"/>
      <c r="F2419" s="23" t="e">
        <f>VLOOKUP(E2419,Customers[],2,FALSE)</f>
        <v>#N/A</v>
      </c>
      <c r="G2419" s="23" t="e">
        <f>VLOOKUP(E2419,Customers[],3,FALSE)</f>
        <v>#N/A</v>
      </c>
      <c r="H2419" s="23" t="e">
        <f>VLOOKUP(E2419,Customers[],4,FALSE)</f>
        <v>#N/A</v>
      </c>
      <c r="J2419" s="29" t="e">
        <f>VLOOKUP(I2419,PGStock[],2,FALSE)</f>
        <v>#N/A</v>
      </c>
      <c r="K2419" s="30" t="e">
        <f>VLOOKUP(I2419,PGStock[],3,FALSE)</f>
        <v>#N/A</v>
      </c>
      <c r="M2419" s="62" t="e">
        <f>VLOOKUP(I2419,PGStock[],6,FALSE)</f>
        <v>#N/A</v>
      </c>
      <c r="N2419" s="62" t="e">
        <f>+Table8[[#This Row],[SalesBot]]*Table8[[#This Row],[Bonus]]</f>
        <v>#N/A</v>
      </c>
    </row>
    <row r="2420" spans="1:14" ht="20.100000000000001" customHeight="1" x14ac:dyDescent="0.25">
      <c r="A2420" s="59">
        <f t="shared" si="348"/>
        <v>1900</v>
      </c>
      <c r="B2420" s="59">
        <f t="shared" si="349"/>
        <v>1</v>
      </c>
      <c r="C2420" s="97"/>
      <c r="D2420" s="61"/>
      <c r="F2420" s="23" t="e">
        <f>VLOOKUP(E2420,Customers[],2,FALSE)</f>
        <v>#N/A</v>
      </c>
      <c r="G2420" s="23" t="e">
        <f>VLOOKUP(E2420,Customers[],3,FALSE)</f>
        <v>#N/A</v>
      </c>
      <c r="H2420" s="23" t="e">
        <f>VLOOKUP(E2420,Customers[],4,FALSE)</f>
        <v>#N/A</v>
      </c>
      <c r="J2420" s="29" t="e">
        <f>VLOOKUP(I2420,PGStock[],2,FALSE)</f>
        <v>#N/A</v>
      </c>
      <c r="K2420" s="30" t="e">
        <f>VLOOKUP(I2420,PGStock[],3,FALSE)</f>
        <v>#N/A</v>
      </c>
      <c r="M2420" s="62" t="e">
        <f>VLOOKUP(I2420,PGStock[],6,FALSE)</f>
        <v>#N/A</v>
      </c>
      <c r="N2420" s="62" t="e">
        <f>+Table8[[#This Row],[SalesBot]]*Table8[[#This Row],[Bonus]]</f>
        <v>#N/A</v>
      </c>
    </row>
    <row r="2421" spans="1:14" ht="20.100000000000001" customHeight="1" x14ac:dyDescent="0.25">
      <c r="A2421" s="59">
        <f t="shared" si="348"/>
        <v>1900</v>
      </c>
      <c r="B2421" s="59">
        <f t="shared" si="349"/>
        <v>1</v>
      </c>
      <c r="C2421" s="97"/>
      <c r="D2421" s="61"/>
      <c r="F2421" s="23" t="e">
        <f>VLOOKUP(E2421,Customers[],2,FALSE)</f>
        <v>#N/A</v>
      </c>
      <c r="G2421" s="23" t="e">
        <f>VLOOKUP(E2421,Customers[],3,FALSE)</f>
        <v>#N/A</v>
      </c>
      <c r="H2421" s="23" t="e">
        <f>VLOOKUP(E2421,Customers[],4,FALSE)</f>
        <v>#N/A</v>
      </c>
      <c r="J2421" s="29" t="e">
        <f>VLOOKUP(I2421,PGStock[],2,FALSE)</f>
        <v>#N/A</v>
      </c>
      <c r="K2421" s="30" t="e">
        <f>VLOOKUP(I2421,PGStock[],3,FALSE)</f>
        <v>#N/A</v>
      </c>
      <c r="M2421" s="62" t="e">
        <f>VLOOKUP(I2421,PGStock[],6,FALSE)</f>
        <v>#N/A</v>
      </c>
      <c r="N2421" s="62" t="e">
        <f>+Table8[[#This Row],[SalesBot]]*Table8[[#This Row],[Bonus]]</f>
        <v>#N/A</v>
      </c>
    </row>
    <row r="2422" spans="1:14" ht="20.100000000000001" customHeight="1" x14ac:dyDescent="0.25">
      <c r="A2422" s="59">
        <f t="shared" si="348"/>
        <v>1900</v>
      </c>
      <c r="B2422" s="59">
        <f t="shared" si="349"/>
        <v>1</v>
      </c>
      <c r="C2422" s="97"/>
      <c r="D2422" s="61"/>
      <c r="F2422" s="23" t="e">
        <f>VLOOKUP(E2422,Customers[],2,FALSE)</f>
        <v>#N/A</v>
      </c>
      <c r="G2422" s="23" t="e">
        <f>VLOOKUP(E2422,Customers[],3,FALSE)</f>
        <v>#N/A</v>
      </c>
      <c r="H2422" s="23" t="e">
        <f>VLOOKUP(E2422,Customers[],4,FALSE)</f>
        <v>#N/A</v>
      </c>
      <c r="J2422" s="29" t="e">
        <f>VLOOKUP(I2422,PGStock[],2,FALSE)</f>
        <v>#N/A</v>
      </c>
      <c r="K2422" s="30" t="e">
        <f>VLOOKUP(I2422,PGStock[],3,FALSE)</f>
        <v>#N/A</v>
      </c>
      <c r="M2422" s="62" t="e">
        <f>VLOOKUP(I2422,PGStock[],6,FALSE)</f>
        <v>#N/A</v>
      </c>
      <c r="N2422" s="62" t="e">
        <f>+Table8[[#This Row],[SalesBot]]*Table8[[#This Row],[Bonus]]</f>
        <v>#N/A</v>
      </c>
    </row>
    <row r="2423" spans="1:14" ht="20.100000000000001" customHeight="1" x14ac:dyDescent="0.25">
      <c r="A2423" s="59">
        <f t="shared" si="348"/>
        <v>1900</v>
      </c>
      <c r="B2423" s="59">
        <f t="shared" si="349"/>
        <v>1</v>
      </c>
      <c r="C2423" s="97"/>
      <c r="D2423" s="61"/>
      <c r="F2423" s="23" t="e">
        <f>VLOOKUP(E2423,Customers[],2,FALSE)</f>
        <v>#N/A</v>
      </c>
      <c r="G2423" s="23" t="e">
        <f>VLOOKUP(E2423,Customers[],3,FALSE)</f>
        <v>#N/A</v>
      </c>
      <c r="H2423" s="23" t="e">
        <f>VLOOKUP(E2423,Customers[],4,FALSE)</f>
        <v>#N/A</v>
      </c>
      <c r="J2423" s="29" t="e">
        <f>VLOOKUP(I2423,PGStock[],2,FALSE)</f>
        <v>#N/A</v>
      </c>
      <c r="K2423" s="30" t="e">
        <f>VLOOKUP(I2423,PGStock[],3,FALSE)</f>
        <v>#N/A</v>
      </c>
      <c r="M2423" s="62" t="e">
        <f>VLOOKUP(I2423,PGStock[],6,FALSE)</f>
        <v>#N/A</v>
      </c>
      <c r="N2423" s="62" t="e">
        <f>+Table8[[#This Row],[SalesBot]]*Table8[[#This Row],[Bonus]]</f>
        <v>#N/A</v>
      </c>
    </row>
    <row r="2424" spans="1:14" ht="20.100000000000001" customHeight="1" x14ac:dyDescent="0.25">
      <c r="A2424" s="59">
        <f t="shared" si="348"/>
        <v>1900</v>
      </c>
      <c r="B2424" s="59">
        <f t="shared" si="349"/>
        <v>1</v>
      </c>
      <c r="C2424" s="97"/>
      <c r="D2424" s="61"/>
      <c r="F2424" s="23" t="e">
        <f>VLOOKUP(E2424,Customers[],2,FALSE)</f>
        <v>#N/A</v>
      </c>
      <c r="G2424" s="23" t="e">
        <f>VLOOKUP(E2424,Customers[],3,FALSE)</f>
        <v>#N/A</v>
      </c>
      <c r="H2424" s="23" t="e">
        <f>VLOOKUP(E2424,Customers[],4,FALSE)</f>
        <v>#N/A</v>
      </c>
      <c r="J2424" s="29" t="e">
        <f>VLOOKUP(I2424,PGStock[],2,FALSE)</f>
        <v>#N/A</v>
      </c>
      <c r="K2424" s="30" t="e">
        <f>VLOOKUP(I2424,PGStock[],3,FALSE)</f>
        <v>#N/A</v>
      </c>
      <c r="M2424" s="62" t="e">
        <f>VLOOKUP(I2424,PGStock[],6,FALSE)</f>
        <v>#N/A</v>
      </c>
      <c r="N2424" s="62" t="e">
        <f>+Table8[[#This Row],[SalesBot]]*Table8[[#This Row],[Bonus]]</f>
        <v>#N/A</v>
      </c>
    </row>
    <row r="2425" spans="1:14" ht="20.100000000000001" customHeight="1" x14ac:dyDescent="0.25">
      <c r="A2425" s="59">
        <f t="shared" ref="A2425:A2441" si="350">YEAR(C2425)</f>
        <v>1900</v>
      </c>
      <c r="B2425" s="59">
        <f t="shared" ref="B2425:B2441" si="351">MONTH(C2425)</f>
        <v>1</v>
      </c>
      <c r="C2425" s="97"/>
      <c r="D2425" s="61"/>
      <c r="F2425" s="23" t="e">
        <f>VLOOKUP(E2425,Customers[],2,FALSE)</f>
        <v>#N/A</v>
      </c>
      <c r="G2425" s="23" t="e">
        <f>VLOOKUP(E2425,Customers[],3,FALSE)</f>
        <v>#N/A</v>
      </c>
      <c r="H2425" s="23" t="e">
        <f>VLOOKUP(E2425,Customers[],4,FALSE)</f>
        <v>#N/A</v>
      </c>
      <c r="J2425" s="29" t="e">
        <f>VLOOKUP(I2425,PGStock[],2,FALSE)</f>
        <v>#N/A</v>
      </c>
      <c r="K2425" s="30" t="e">
        <f>VLOOKUP(I2425,PGStock[],3,FALSE)</f>
        <v>#N/A</v>
      </c>
      <c r="M2425" s="62" t="e">
        <f>VLOOKUP(I2425,PGStock[],6,FALSE)</f>
        <v>#N/A</v>
      </c>
      <c r="N2425" s="62" t="e">
        <f>+Table8[[#This Row],[SalesBot]]*Table8[[#This Row],[Bonus]]</f>
        <v>#N/A</v>
      </c>
    </row>
    <row r="2426" spans="1:14" ht="20.100000000000001" customHeight="1" x14ac:dyDescent="0.25">
      <c r="A2426" s="59">
        <f t="shared" si="350"/>
        <v>1900</v>
      </c>
      <c r="B2426" s="59">
        <f t="shared" si="351"/>
        <v>1</v>
      </c>
      <c r="C2426" s="97"/>
      <c r="D2426" s="61"/>
      <c r="F2426" s="23" t="e">
        <f>VLOOKUP(E2426,Customers[],2,FALSE)</f>
        <v>#N/A</v>
      </c>
      <c r="G2426" s="23" t="e">
        <f>VLOOKUP(E2426,Customers[],3,FALSE)</f>
        <v>#N/A</v>
      </c>
      <c r="H2426" s="23" t="e">
        <f>VLOOKUP(E2426,Customers[],4,FALSE)</f>
        <v>#N/A</v>
      </c>
      <c r="J2426" s="29" t="e">
        <f>VLOOKUP(I2426,PGStock[],2,FALSE)</f>
        <v>#N/A</v>
      </c>
      <c r="K2426" s="30" t="e">
        <f>VLOOKUP(I2426,PGStock[],3,FALSE)</f>
        <v>#N/A</v>
      </c>
      <c r="M2426" s="62" t="e">
        <f>VLOOKUP(I2426,PGStock[],6,FALSE)</f>
        <v>#N/A</v>
      </c>
      <c r="N2426" s="62" t="e">
        <f>+Table8[[#This Row],[SalesBot]]*Table8[[#This Row],[Bonus]]</f>
        <v>#N/A</v>
      </c>
    </row>
    <row r="2427" spans="1:14" ht="20.100000000000001" customHeight="1" x14ac:dyDescent="0.25">
      <c r="A2427" s="59">
        <f t="shared" si="350"/>
        <v>1900</v>
      </c>
      <c r="B2427" s="59">
        <f t="shared" si="351"/>
        <v>1</v>
      </c>
      <c r="C2427" s="97"/>
      <c r="D2427" s="61"/>
      <c r="F2427" s="23" t="e">
        <f>VLOOKUP(E2427,Customers[],2,FALSE)</f>
        <v>#N/A</v>
      </c>
      <c r="G2427" s="23" t="e">
        <f>VLOOKUP(E2427,Customers[],3,FALSE)</f>
        <v>#N/A</v>
      </c>
      <c r="H2427" s="23" t="e">
        <f>VLOOKUP(E2427,Customers[],4,FALSE)</f>
        <v>#N/A</v>
      </c>
      <c r="J2427" s="29" t="e">
        <f>VLOOKUP(I2427,PGStock[],2,FALSE)</f>
        <v>#N/A</v>
      </c>
      <c r="K2427" s="30" t="e">
        <f>VLOOKUP(I2427,PGStock[],3,FALSE)</f>
        <v>#N/A</v>
      </c>
      <c r="M2427" s="62" t="e">
        <f>VLOOKUP(I2427,PGStock[],6,FALSE)</f>
        <v>#N/A</v>
      </c>
      <c r="N2427" s="62" t="e">
        <f>+Table8[[#This Row],[SalesBot]]*Table8[[#This Row],[Bonus]]</f>
        <v>#N/A</v>
      </c>
    </row>
    <row r="2428" spans="1:14" ht="20.100000000000001" customHeight="1" x14ac:dyDescent="0.25">
      <c r="A2428" s="59">
        <f t="shared" si="350"/>
        <v>1900</v>
      </c>
      <c r="B2428" s="59">
        <f t="shared" si="351"/>
        <v>1</v>
      </c>
      <c r="C2428" s="97"/>
      <c r="D2428" s="61"/>
      <c r="F2428" s="23" t="e">
        <f>VLOOKUP(E2428,Customers[],2,FALSE)</f>
        <v>#N/A</v>
      </c>
      <c r="G2428" s="23" t="e">
        <f>VLOOKUP(E2428,Customers[],3,FALSE)</f>
        <v>#N/A</v>
      </c>
      <c r="H2428" s="23" t="e">
        <f>VLOOKUP(E2428,Customers[],4,FALSE)</f>
        <v>#N/A</v>
      </c>
      <c r="J2428" s="29" t="e">
        <f>VLOOKUP(I2428,PGStock[],2,FALSE)</f>
        <v>#N/A</v>
      </c>
      <c r="K2428" s="30" t="e">
        <f>VLOOKUP(I2428,PGStock[],3,FALSE)</f>
        <v>#N/A</v>
      </c>
      <c r="M2428" s="62" t="e">
        <f>VLOOKUP(I2428,PGStock[],6,FALSE)</f>
        <v>#N/A</v>
      </c>
      <c r="N2428" s="62" t="e">
        <f>+Table8[[#This Row],[SalesBot]]*Table8[[#This Row],[Bonus]]</f>
        <v>#N/A</v>
      </c>
    </row>
    <row r="2429" spans="1:14" ht="20.100000000000001" customHeight="1" x14ac:dyDescent="0.25">
      <c r="A2429" s="59">
        <f t="shared" si="350"/>
        <v>1900</v>
      </c>
      <c r="B2429" s="59">
        <f t="shared" si="351"/>
        <v>1</v>
      </c>
      <c r="C2429" s="97"/>
      <c r="D2429" s="61"/>
      <c r="F2429" s="23" t="e">
        <f>VLOOKUP(E2429,Customers[],2,FALSE)</f>
        <v>#N/A</v>
      </c>
      <c r="G2429" s="23" t="e">
        <f>VLOOKUP(E2429,Customers[],3,FALSE)</f>
        <v>#N/A</v>
      </c>
      <c r="H2429" s="23" t="e">
        <f>VLOOKUP(E2429,Customers[],4,FALSE)</f>
        <v>#N/A</v>
      </c>
      <c r="J2429" s="29" t="e">
        <f>VLOOKUP(I2429,PGStock[],2,FALSE)</f>
        <v>#N/A</v>
      </c>
      <c r="K2429" s="30" t="e">
        <f>VLOOKUP(I2429,PGStock[],3,FALSE)</f>
        <v>#N/A</v>
      </c>
      <c r="M2429" s="62" t="e">
        <f>VLOOKUP(I2429,PGStock[],6,FALSE)</f>
        <v>#N/A</v>
      </c>
      <c r="N2429" s="62" t="e">
        <f>+Table8[[#This Row],[SalesBot]]*Table8[[#This Row],[Bonus]]</f>
        <v>#N/A</v>
      </c>
    </row>
    <row r="2430" spans="1:14" ht="20.100000000000001" customHeight="1" x14ac:dyDescent="0.25">
      <c r="A2430" s="59">
        <f t="shared" si="350"/>
        <v>1900</v>
      </c>
      <c r="B2430" s="59">
        <f t="shared" si="351"/>
        <v>1</v>
      </c>
      <c r="C2430" s="97"/>
      <c r="D2430" s="61"/>
      <c r="F2430" s="23" t="e">
        <f>VLOOKUP(E2430,Customers[],2,FALSE)</f>
        <v>#N/A</v>
      </c>
      <c r="G2430" s="23" t="e">
        <f>VLOOKUP(E2430,Customers[],3,FALSE)</f>
        <v>#N/A</v>
      </c>
      <c r="H2430" s="23" t="e">
        <f>VLOOKUP(E2430,Customers[],4,FALSE)</f>
        <v>#N/A</v>
      </c>
      <c r="J2430" s="29" t="e">
        <f>VLOOKUP(I2430,PGStock[],2,FALSE)</f>
        <v>#N/A</v>
      </c>
      <c r="K2430" s="30" t="e">
        <f>VLOOKUP(I2430,PGStock[],3,FALSE)</f>
        <v>#N/A</v>
      </c>
      <c r="M2430" s="62" t="e">
        <f>VLOOKUP(I2430,PGStock[],6,FALSE)</f>
        <v>#N/A</v>
      </c>
      <c r="N2430" s="62" t="e">
        <f>+Table8[[#This Row],[SalesBot]]*Table8[[#This Row],[Bonus]]</f>
        <v>#N/A</v>
      </c>
    </row>
    <row r="2431" spans="1:14" ht="20.100000000000001" customHeight="1" x14ac:dyDescent="0.25">
      <c r="A2431" s="59">
        <f t="shared" si="350"/>
        <v>1900</v>
      </c>
      <c r="B2431" s="59">
        <f t="shared" si="351"/>
        <v>1</v>
      </c>
      <c r="C2431" s="97"/>
      <c r="D2431" s="61"/>
      <c r="F2431" s="23" t="e">
        <f>VLOOKUP(E2431,Customers[],2,FALSE)</f>
        <v>#N/A</v>
      </c>
      <c r="G2431" s="23" t="e">
        <f>VLOOKUP(E2431,Customers[],3,FALSE)</f>
        <v>#N/A</v>
      </c>
      <c r="H2431" s="23" t="e">
        <f>VLOOKUP(E2431,Customers[],4,FALSE)</f>
        <v>#N/A</v>
      </c>
      <c r="J2431" s="29" t="e">
        <f>VLOOKUP(I2431,PGStock[],2,FALSE)</f>
        <v>#N/A</v>
      </c>
      <c r="K2431" s="30" t="e">
        <f>VLOOKUP(I2431,PGStock[],3,FALSE)</f>
        <v>#N/A</v>
      </c>
      <c r="M2431" s="62" t="e">
        <f>VLOOKUP(I2431,PGStock[],6,FALSE)</f>
        <v>#N/A</v>
      </c>
      <c r="N2431" s="62" t="e">
        <f>+Table8[[#This Row],[SalesBot]]*Table8[[#This Row],[Bonus]]</f>
        <v>#N/A</v>
      </c>
    </row>
    <row r="2432" spans="1:14" ht="20.100000000000001" customHeight="1" x14ac:dyDescent="0.25">
      <c r="A2432" s="59">
        <f t="shared" si="350"/>
        <v>1900</v>
      </c>
      <c r="B2432" s="59">
        <f t="shared" si="351"/>
        <v>1</v>
      </c>
      <c r="C2432" s="97"/>
      <c r="D2432" s="61"/>
      <c r="F2432" s="23" t="e">
        <f>VLOOKUP(E2432,Customers[],2,FALSE)</f>
        <v>#N/A</v>
      </c>
      <c r="G2432" s="23" t="e">
        <f>VLOOKUP(E2432,Customers[],3,FALSE)</f>
        <v>#N/A</v>
      </c>
      <c r="H2432" s="23" t="e">
        <f>VLOOKUP(E2432,Customers[],4,FALSE)</f>
        <v>#N/A</v>
      </c>
      <c r="J2432" s="29" t="e">
        <f>VLOOKUP(I2432,PGStock[],2,FALSE)</f>
        <v>#N/A</v>
      </c>
      <c r="K2432" s="30" t="e">
        <f>VLOOKUP(I2432,PGStock[],3,FALSE)</f>
        <v>#N/A</v>
      </c>
      <c r="M2432" s="62" t="e">
        <f>VLOOKUP(I2432,PGStock[],6,FALSE)</f>
        <v>#N/A</v>
      </c>
      <c r="N2432" s="62" t="e">
        <f>+Table8[[#This Row],[SalesBot]]*Table8[[#This Row],[Bonus]]</f>
        <v>#N/A</v>
      </c>
    </row>
    <row r="2433" spans="1:14" ht="20.100000000000001" customHeight="1" x14ac:dyDescent="0.25">
      <c r="A2433" s="59">
        <f t="shared" si="350"/>
        <v>1900</v>
      </c>
      <c r="B2433" s="59">
        <f t="shared" si="351"/>
        <v>1</v>
      </c>
      <c r="C2433" s="97"/>
      <c r="D2433" s="61"/>
      <c r="F2433" s="23" t="e">
        <f>VLOOKUP(E2433,Customers[],2,FALSE)</f>
        <v>#N/A</v>
      </c>
      <c r="G2433" s="23" t="e">
        <f>VLOOKUP(E2433,Customers[],3,FALSE)</f>
        <v>#N/A</v>
      </c>
      <c r="H2433" s="23" t="e">
        <f>VLOOKUP(E2433,Customers[],4,FALSE)</f>
        <v>#N/A</v>
      </c>
      <c r="J2433" s="29" t="e">
        <f>VLOOKUP(I2433,PGStock[],2,FALSE)</f>
        <v>#N/A</v>
      </c>
      <c r="K2433" s="30" t="e">
        <f>VLOOKUP(I2433,PGStock[],3,FALSE)</f>
        <v>#N/A</v>
      </c>
      <c r="M2433" s="62" t="e">
        <f>VLOOKUP(I2433,PGStock[],6,FALSE)</f>
        <v>#N/A</v>
      </c>
      <c r="N2433" s="62" t="e">
        <f>+Table8[[#This Row],[SalesBot]]*Table8[[#This Row],[Bonus]]</f>
        <v>#N/A</v>
      </c>
    </row>
    <row r="2434" spans="1:14" ht="20.100000000000001" customHeight="1" x14ac:dyDescent="0.25">
      <c r="A2434" s="59">
        <f t="shared" si="350"/>
        <v>1900</v>
      </c>
      <c r="B2434" s="59">
        <f t="shared" si="351"/>
        <v>1</v>
      </c>
      <c r="C2434" s="97"/>
      <c r="D2434" s="61"/>
      <c r="F2434" s="23" t="e">
        <f>VLOOKUP(E2434,Customers[],2,FALSE)</f>
        <v>#N/A</v>
      </c>
      <c r="G2434" s="23" t="e">
        <f>VLOOKUP(E2434,Customers[],3,FALSE)</f>
        <v>#N/A</v>
      </c>
      <c r="H2434" s="23" t="e">
        <f>VLOOKUP(E2434,Customers[],4,FALSE)</f>
        <v>#N/A</v>
      </c>
      <c r="J2434" s="29" t="e">
        <f>VLOOKUP(I2434,PGStock[],2,FALSE)</f>
        <v>#N/A</v>
      </c>
      <c r="K2434" s="30" t="e">
        <f>VLOOKUP(I2434,PGStock[],3,FALSE)</f>
        <v>#N/A</v>
      </c>
      <c r="M2434" s="62" t="e">
        <f>VLOOKUP(I2434,PGStock[],6,FALSE)</f>
        <v>#N/A</v>
      </c>
      <c r="N2434" s="62" t="e">
        <f>+Table8[[#This Row],[SalesBot]]*Table8[[#This Row],[Bonus]]</f>
        <v>#N/A</v>
      </c>
    </row>
    <row r="2435" spans="1:14" ht="20.100000000000001" customHeight="1" x14ac:dyDescent="0.25">
      <c r="A2435" s="59">
        <f t="shared" si="350"/>
        <v>1900</v>
      </c>
      <c r="B2435" s="59">
        <f t="shared" si="351"/>
        <v>1</v>
      </c>
      <c r="C2435" s="97"/>
      <c r="D2435" s="61"/>
      <c r="F2435" s="23" t="e">
        <f>VLOOKUP(E2435,Customers[],2,FALSE)</f>
        <v>#N/A</v>
      </c>
      <c r="G2435" s="23" t="e">
        <f>VLOOKUP(E2435,Customers[],3,FALSE)</f>
        <v>#N/A</v>
      </c>
      <c r="H2435" s="23" t="e">
        <f>VLOOKUP(E2435,Customers[],4,FALSE)</f>
        <v>#N/A</v>
      </c>
      <c r="J2435" s="29" t="e">
        <f>VLOOKUP(I2435,PGStock[],2,FALSE)</f>
        <v>#N/A</v>
      </c>
      <c r="K2435" s="30" t="e">
        <f>VLOOKUP(I2435,PGStock[],3,FALSE)</f>
        <v>#N/A</v>
      </c>
      <c r="M2435" s="62" t="e">
        <f>VLOOKUP(I2435,PGStock[],6,FALSE)</f>
        <v>#N/A</v>
      </c>
      <c r="N2435" s="62" t="e">
        <f>+Table8[[#This Row],[SalesBot]]*Table8[[#This Row],[Bonus]]</f>
        <v>#N/A</v>
      </c>
    </row>
    <row r="2436" spans="1:14" ht="20.100000000000001" customHeight="1" x14ac:dyDescent="0.25">
      <c r="A2436" s="59">
        <f t="shared" si="350"/>
        <v>1900</v>
      </c>
      <c r="B2436" s="59">
        <f t="shared" si="351"/>
        <v>1</v>
      </c>
      <c r="C2436" s="97"/>
      <c r="D2436" s="61"/>
      <c r="F2436" s="23" t="e">
        <f>VLOOKUP(E2436,Customers[],2,FALSE)</f>
        <v>#N/A</v>
      </c>
      <c r="G2436" s="23" t="e">
        <f>VLOOKUP(E2436,Customers[],3,FALSE)</f>
        <v>#N/A</v>
      </c>
      <c r="H2436" s="23" t="e">
        <f>VLOOKUP(E2436,Customers[],4,FALSE)</f>
        <v>#N/A</v>
      </c>
      <c r="J2436" s="29" t="e">
        <f>VLOOKUP(I2436,PGStock[],2,FALSE)</f>
        <v>#N/A</v>
      </c>
      <c r="K2436" s="30" t="e">
        <f>VLOOKUP(I2436,PGStock[],3,FALSE)</f>
        <v>#N/A</v>
      </c>
      <c r="M2436" s="62" t="e">
        <f>VLOOKUP(I2436,PGStock[],6,FALSE)</f>
        <v>#N/A</v>
      </c>
      <c r="N2436" s="62" t="e">
        <f>+Table8[[#This Row],[SalesBot]]*Table8[[#This Row],[Bonus]]</f>
        <v>#N/A</v>
      </c>
    </row>
    <row r="2437" spans="1:14" ht="20.100000000000001" customHeight="1" x14ac:dyDescent="0.25">
      <c r="A2437" s="59">
        <f t="shared" si="350"/>
        <v>1900</v>
      </c>
      <c r="B2437" s="59">
        <f t="shared" si="351"/>
        <v>1</v>
      </c>
      <c r="C2437" s="97"/>
      <c r="D2437" s="61"/>
      <c r="F2437" s="23" t="e">
        <f>VLOOKUP(E2437,Customers[],2,FALSE)</f>
        <v>#N/A</v>
      </c>
      <c r="G2437" s="23" t="e">
        <f>VLOOKUP(E2437,Customers[],3,FALSE)</f>
        <v>#N/A</v>
      </c>
      <c r="H2437" s="23" t="e">
        <f>VLOOKUP(E2437,Customers[],4,FALSE)</f>
        <v>#N/A</v>
      </c>
      <c r="J2437" s="29" t="e">
        <f>VLOOKUP(I2437,PGStock[],2,FALSE)</f>
        <v>#N/A</v>
      </c>
      <c r="K2437" s="30" t="e">
        <f>VLOOKUP(I2437,PGStock[],3,FALSE)</f>
        <v>#N/A</v>
      </c>
      <c r="M2437" s="62" t="e">
        <f>VLOOKUP(I2437,PGStock[],6,FALSE)</f>
        <v>#N/A</v>
      </c>
      <c r="N2437" s="62" t="e">
        <f>+Table8[[#This Row],[SalesBot]]*Table8[[#This Row],[Bonus]]</f>
        <v>#N/A</v>
      </c>
    </row>
    <row r="2438" spans="1:14" ht="20.100000000000001" customHeight="1" x14ac:dyDescent="0.25">
      <c r="A2438" s="59">
        <f t="shared" si="350"/>
        <v>1900</v>
      </c>
      <c r="B2438" s="59">
        <f t="shared" si="351"/>
        <v>1</v>
      </c>
      <c r="C2438" s="97"/>
      <c r="D2438" s="61"/>
      <c r="F2438" s="23" t="e">
        <f>VLOOKUP(E2438,Customers[],2,FALSE)</f>
        <v>#N/A</v>
      </c>
      <c r="G2438" s="23" t="e">
        <f>VLOOKUP(E2438,Customers[],3,FALSE)</f>
        <v>#N/A</v>
      </c>
      <c r="H2438" s="23" t="e">
        <f>VLOOKUP(E2438,Customers[],4,FALSE)</f>
        <v>#N/A</v>
      </c>
      <c r="J2438" s="29" t="e">
        <f>VLOOKUP(I2438,PGStock[],2,FALSE)</f>
        <v>#N/A</v>
      </c>
      <c r="K2438" s="30" t="e">
        <f>VLOOKUP(I2438,PGStock[],3,FALSE)</f>
        <v>#N/A</v>
      </c>
      <c r="M2438" s="62" t="e">
        <f>VLOOKUP(I2438,PGStock[],6,FALSE)</f>
        <v>#N/A</v>
      </c>
      <c r="N2438" s="62" t="e">
        <f>+Table8[[#This Row],[SalesBot]]*Table8[[#This Row],[Bonus]]</f>
        <v>#N/A</v>
      </c>
    </row>
    <row r="2439" spans="1:14" ht="20.100000000000001" customHeight="1" x14ac:dyDescent="0.25">
      <c r="A2439" s="59">
        <f t="shared" si="350"/>
        <v>1900</v>
      </c>
      <c r="B2439" s="59">
        <f t="shared" si="351"/>
        <v>1</v>
      </c>
      <c r="C2439" s="97"/>
      <c r="D2439" s="61"/>
      <c r="F2439" s="23" t="e">
        <f>VLOOKUP(E2439,Customers[],2,FALSE)</f>
        <v>#N/A</v>
      </c>
      <c r="G2439" s="23" t="e">
        <f>VLOOKUP(E2439,Customers[],3,FALSE)</f>
        <v>#N/A</v>
      </c>
      <c r="H2439" s="23" t="e">
        <f>VLOOKUP(E2439,Customers[],4,FALSE)</f>
        <v>#N/A</v>
      </c>
      <c r="J2439" s="29" t="e">
        <f>VLOOKUP(I2439,PGStock[],2,FALSE)</f>
        <v>#N/A</v>
      </c>
      <c r="K2439" s="30" t="e">
        <f>VLOOKUP(I2439,PGStock[],3,FALSE)</f>
        <v>#N/A</v>
      </c>
      <c r="M2439" s="62" t="e">
        <f>VLOOKUP(I2439,PGStock[],6,FALSE)</f>
        <v>#N/A</v>
      </c>
      <c r="N2439" s="62" t="e">
        <f>+Table8[[#This Row],[SalesBot]]*Table8[[#This Row],[Bonus]]</f>
        <v>#N/A</v>
      </c>
    </row>
    <row r="2440" spans="1:14" ht="20.100000000000001" customHeight="1" x14ac:dyDescent="0.25">
      <c r="A2440" s="59">
        <f t="shared" si="350"/>
        <v>1900</v>
      </c>
      <c r="B2440" s="59">
        <f t="shared" si="351"/>
        <v>1</v>
      </c>
      <c r="C2440" s="97"/>
      <c r="D2440" s="61"/>
      <c r="F2440" s="23" t="e">
        <f>VLOOKUP(E2440,Customers[],2,FALSE)</f>
        <v>#N/A</v>
      </c>
      <c r="G2440" s="23" t="e">
        <f>VLOOKUP(E2440,Customers[],3,FALSE)</f>
        <v>#N/A</v>
      </c>
      <c r="H2440" s="23" t="e">
        <f>VLOOKUP(E2440,Customers[],4,FALSE)</f>
        <v>#N/A</v>
      </c>
      <c r="J2440" s="29" t="e">
        <f>VLOOKUP(I2440,PGStock[],2,FALSE)</f>
        <v>#N/A</v>
      </c>
      <c r="K2440" s="30" t="e">
        <f>VLOOKUP(I2440,PGStock[],3,FALSE)</f>
        <v>#N/A</v>
      </c>
      <c r="M2440" s="62" t="e">
        <f>VLOOKUP(I2440,PGStock[],6,FALSE)</f>
        <v>#N/A</v>
      </c>
      <c r="N2440" s="62" t="e">
        <f>+Table8[[#This Row],[SalesBot]]*Table8[[#This Row],[Bonus]]</f>
        <v>#N/A</v>
      </c>
    </row>
    <row r="2441" spans="1:14" ht="20.100000000000001" customHeight="1" x14ac:dyDescent="0.25">
      <c r="A2441" s="59">
        <f t="shared" si="350"/>
        <v>1900</v>
      </c>
      <c r="B2441" s="59">
        <f t="shared" si="351"/>
        <v>1</v>
      </c>
      <c r="C2441" s="97"/>
      <c r="D2441" s="61"/>
      <c r="F2441" s="23" t="e">
        <f>VLOOKUP(E2441,Customers[],2,FALSE)</f>
        <v>#N/A</v>
      </c>
      <c r="G2441" s="23" t="e">
        <f>VLOOKUP(E2441,Customers[],3,FALSE)</f>
        <v>#N/A</v>
      </c>
      <c r="H2441" s="23" t="e">
        <f>VLOOKUP(E2441,Customers[],4,FALSE)</f>
        <v>#N/A</v>
      </c>
      <c r="J2441" s="29" t="e">
        <f>VLOOKUP(I2441,PGStock[],2,FALSE)</f>
        <v>#N/A</v>
      </c>
      <c r="K2441" s="30" t="e">
        <f>VLOOKUP(I2441,PGStock[],3,FALSE)</f>
        <v>#N/A</v>
      </c>
      <c r="M2441" s="62" t="e">
        <f>VLOOKUP(I2441,PGStock[],6,FALSE)</f>
        <v>#N/A</v>
      </c>
      <c r="N2441" s="62" t="e">
        <f>+Table8[[#This Row],[SalesBot]]*Table8[[#This Row],[Bonus]]</f>
        <v>#N/A</v>
      </c>
    </row>
    <row r="2442" spans="1:14" ht="20.100000000000001" customHeight="1" x14ac:dyDescent="0.25">
      <c r="A2442" s="59">
        <f t="shared" ref="A2442:A2458" si="352">YEAR(C2442)</f>
        <v>1900</v>
      </c>
      <c r="B2442" s="59">
        <f t="shared" ref="B2442:B2458" si="353">MONTH(C2442)</f>
        <v>1</v>
      </c>
      <c r="C2442" s="97"/>
      <c r="D2442" s="61"/>
      <c r="F2442" s="23" t="e">
        <f>VLOOKUP(E2442,Customers[],2,FALSE)</f>
        <v>#N/A</v>
      </c>
      <c r="G2442" s="23" t="e">
        <f>VLOOKUP(E2442,Customers[],3,FALSE)</f>
        <v>#N/A</v>
      </c>
      <c r="H2442" s="23" t="e">
        <f>VLOOKUP(E2442,Customers[],4,FALSE)</f>
        <v>#N/A</v>
      </c>
      <c r="J2442" s="29" t="e">
        <f>VLOOKUP(I2442,PGStock[],2,FALSE)</f>
        <v>#N/A</v>
      </c>
      <c r="K2442" s="30" t="e">
        <f>VLOOKUP(I2442,PGStock[],3,FALSE)</f>
        <v>#N/A</v>
      </c>
      <c r="M2442" s="62" t="e">
        <f>VLOOKUP(I2442,PGStock[],6,FALSE)</f>
        <v>#N/A</v>
      </c>
      <c r="N2442" s="62" t="e">
        <f>+Table8[[#This Row],[SalesBot]]*Table8[[#This Row],[Bonus]]</f>
        <v>#N/A</v>
      </c>
    </row>
    <row r="2443" spans="1:14" ht="20.100000000000001" customHeight="1" x14ac:dyDescent="0.25">
      <c r="A2443" s="59">
        <f t="shared" si="352"/>
        <v>1900</v>
      </c>
      <c r="B2443" s="59">
        <f t="shared" si="353"/>
        <v>1</v>
      </c>
      <c r="C2443" s="97"/>
      <c r="D2443" s="61"/>
      <c r="F2443" s="23" t="e">
        <f>VLOOKUP(E2443,Customers[],2,FALSE)</f>
        <v>#N/A</v>
      </c>
      <c r="G2443" s="23" t="e">
        <f>VLOOKUP(E2443,Customers[],3,FALSE)</f>
        <v>#N/A</v>
      </c>
      <c r="H2443" s="23" t="e">
        <f>VLOOKUP(E2443,Customers[],4,FALSE)</f>
        <v>#N/A</v>
      </c>
      <c r="J2443" s="29" t="e">
        <f>VLOOKUP(I2443,PGStock[],2,FALSE)</f>
        <v>#N/A</v>
      </c>
      <c r="K2443" s="30" t="e">
        <f>VLOOKUP(I2443,PGStock[],3,FALSE)</f>
        <v>#N/A</v>
      </c>
      <c r="M2443" s="62" t="e">
        <f>VLOOKUP(I2443,PGStock[],6,FALSE)</f>
        <v>#N/A</v>
      </c>
      <c r="N2443" s="62" t="e">
        <f>+Table8[[#This Row],[SalesBot]]*Table8[[#This Row],[Bonus]]</f>
        <v>#N/A</v>
      </c>
    </row>
    <row r="2444" spans="1:14" ht="20.100000000000001" customHeight="1" x14ac:dyDescent="0.25">
      <c r="A2444" s="59">
        <f t="shared" si="352"/>
        <v>1900</v>
      </c>
      <c r="B2444" s="59">
        <f t="shared" si="353"/>
        <v>1</v>
      </c>
      <c r="C2444" s="97"/>
      <c r="D2444" s="61"/>
      <c r="F2444" s="23" t="e">
        <f>VLOOKUP(E2444,Customers[],2,FALSE)</f>
        <v>#N/A</v>
      </c>
      <c r="G2444" s="23" t="e">
        <f>VLOOKUP(E2444,Customers[],3,FALSE)</f>
        <v>#N/A</v>
      </c>
      <c r="H2444" s="23" t="e">
        <f>VLOOKUP(E2444,Customers[],4,FALSE)</f>
        <v>#N/A</v>
      </c>
      <c r="J2444" s="29" t="e">
        <f>VLOOKUP(I2444,PGStock[],2,FALSE)</f>
        <v>#N/A</v>
      </c>
      <c r="K2444" s="30" t="e">
        <f>VLOOKUP(I2444,PGStock[],3,FALSE)</f>
        <v>#N/A</v>
      </c>
      <c r="M2444" s="62" t="e">
        <f>VLOOKUP(I2444,PGStock[],6,FALSE)</f>
        <v>#N/A</v>
      </c>
      <c r="N2444" s="62" t="e">
        <f>+Table8[[#This Row],[SalesBot]]*Table8[[#This Row],[Bonus]]</f>
        <v>#N/A</v>
      </c>
    </row>
    <row r="2445" spans="1:14" ht="20.100000000000001" customHeight="1" x14ac:dyDescent="0.25">
      <c r="A2445" s="59">
        <f t="shared" si="352"/>
        <v>1900</v>
      </c>
      <c r="B2445" s="59">
        <f t="shared" si="353"/>
        <v>1</v>
      </c>
      <c r="C2445" s="97"/>
      <c r="D2445" s="61"/>
      <c r="F2445" s="23" t="e">
        <f>VLOOKUP(E2445,Customers[],2,FALSE)</f>
        <v>#N/A</v>
      </c>
      <c r="G2445" s="23" t="e">
        <f>VLOOKUP(E2445,Customers[],3,FALSE)</f>
        <v>#N/A</v>
      </c>
      <c r="H2445" s="23" t="e">
        <f>VLOOKUP(E2445,Customers[],4,FALSE)</f>
        <v>#N/A</v>
      </c>
      <c r="J2445" s="29" t="e">
        <f>VLOOKUP(I2445,PGStock[],2,FALSE)</f>
        <v>#N/A</v>
      </c>
      <c r="K2445" s="30" t="e">
        <f>VLOOKUP(I2445,PGStock[],3,FALSE)</f>
        <v>#N/A</v>
      </c>
      <c r="M2445" s="62" t="e">
        <f>VLOOKUP(I2445,PGStock[],6,FALSE)</f>
        <v>#N/A</v>
      </c>
      <c r="N2445" s="62" t="e">
        <f>+Table8[[#This Row],[SalesBot]]*Table8[[#This Row],[Bonus]]</f>
        <v>#N/A</v>
      </c>
    </row>
    <row r="2446" spans="1:14" ht="20.100000000000001" customHeight="1" x14ac:dyDescent="0.25">
      <c r="A2446" s="59">
        <f t="shared" si="352"/>
        <v>1900</v>
      </c>
      <c r="B2446" s="59">
        <f t="shared" si="353"/>
        <v>1</v>
      </c>
      <c r="C2446" s="97"/>
      <c r="D2446" s="61"/>
      <c r="F2446" s="23" t="e">
        <f>VLOOKUP(E2446,Customers[],2,FALSE)</f>
        <v>#N/A</v>
      </c>
      <c r="G2446" s="23" t="e">
        <f>VLOOKUP(E2446,Customers[],3,FALSE)</f>
        <v>#N/A</v>
      </c>
      <c r="H2446" s="23" t="e">
        <f>VLOOKUP(E2446,Customers[],4,FALSE)</f>
        <v>#N/A</v>
      </c>
      <c r="J2446" s="29" t="e">
        <f>VLOOKUP(I2446,PGStock[],2,FALSE)</f>
        <v>#N/A</v>
      </c>
      <c r="K2446" s="30" t="e">
        <f>VLOOKUP(I2446,PGStock[],3,FALSE)</f>
        <v>#N/A</v>
      </c>
      <c r="M2446" s="62" t="e">
        <f>VLOOKUP(I2446,PGStock[],6,FALSE)</f>
        <v>#N/A</v>
      </c>
      <c r="N2446" s="62" t="e">
        <f>+Table8[[#This Row],[SalesBot]]*Table8[[#This Row],[Bonus]]</f>
        <v>#N/A</v>
      </c>
    </row>
    <row r="2447" spans="1:14" ht="20.100000000000001" customHeight="1" x14ac:dyDescent="0.25">
      <c r="A2447" s="59">
        <f t="shared" si="352"/>
        <v>1900</v>
      </c>
      <c r="B2447" s="59">
        <f t="shared" si="353"/>
        <v>1</v>
      </c>
      <c r="C2447" s="97"/>
      <c r="D2447" s="61"/>
      <c r="F2447" s="23" t="e">
        <f>VLOOKUP(E2447,Customers[],2,FALSE)</f>
        <v>#N/A</v>
      </c>
      <c r="G2447" s="23" t="e">
        <f>VLOOKUP(E2447,Customers[],3,FALSE)</f>
        <v>#N/A</v>
      </c>
      <c r="H2447" s="23" t="e">
        <f>VLOOKUP(E2447,Customers[],4,FALSE)</f>
        <v>#N/A</v>
      </c>
      <c r="J2447" s="29" t="e">
        <f>VLOOKUP(I2447,PGStock[],2,FALSE)</f>
        <v>#N/A</v>
      </c>
      <c r="K2447" s="30" t="e">
        <f>VLOOKUP(I2447,PGStock[],3,FALSE)</f>
        <v>#N/A</v>
      </c>
      <c r="M2447" s="62" t="e">
        <f>VLOOKUP(I2447,PGStock[],6,FALSE)</f>
        <v>#N/A</v>
      </c>
      <c r="N2447" s="62" t="e">
        <f>+Table8[[#This Row],[SalesBot]]*Table8[[#This Row],[Bonus]]</f>
        <v>#N/A</v>
      </c>
    </row>
    <row r="2448" spans="1:14" ht="20.100000000000001" customHeight="1" x14ac:dyDescent="0.25">
      <c r="A2448" s="59">
        <f t="shared" si="352"/>
        <v>1900</v>
      </c>
      <c r="B2448" s="59">
        <f t="shared" si="353"/>
        <v>1</v>
      </c>
      <c r="C2448" s="97"/>
      <c r="D2448" s="61"/>
      <c r="F2448" s="23" t="e">
        <f>VLOOKUP(E2448,Customers[],2,FALSE)</f>
        <v>#N/A</v>
      </c>
      <c r="G2448" s="23" t="e">
        <f>VLOOKUP(E2448,Customers[],3,FALSE)</f>
        <v>#N/A</v>
      </c>
      <c r="H2448" s="23" t="e">
        <f>VLOOKUP(E2448,Customers[],4,FALSE)</f>
        <v>#N/A</v>
      </c>
      <c r="J2448" s="29" t="e">
        <f>VLOOKUP(I2448,PGStock[],2,FALSE)</f>
        <v>#N/A</v>
      </c>
      <c r="K2448" s="30" t="e">
        <f>VLOOKUP(I2448,PGStock[],3,FALSE)</f>
        <v>#N/A</v>
      </c>
      <c r="M2448" s="62" t="e">
        <f>VLOOKUP(I2448,PGStock[],6,FALSE)</f>
        <v>#N/A</v>
      </c>
      <c r="N2448" s="62" t="e">
        <f>+Table8[[#This Row],[SalesBot]]*Table8[[#This Row],[Bonus]]</f>
        <v>#N/A</v>
      </c>
    </row>
    <row r="2449" spans="1:14" ht="20.100000000000001" customHeight="1" x14ac:dyDescent="0.25">
      <c r="A2449" s="59">
        <f t="shared" si="352"/>
        <v>1900</v>
      </c>
      <c r="B2449" s="59">
        <f t="shared" si="353"/>
        <v>1</v>
      </c>
      <c r="C2449" s="97"/>
      <c r="D2449" s="61"/>
      <c r="F2449" s="23" t="e">
        <f>VLOOKUP(E2449,Customers[],2,FALSE)</f>
        <v>#N/A</v>
      </c>
      <c r="G2449" s="23" t="e">
        <f>VLOOKUP(E2449,Customers[],3,FALSE)</f>
        <v>#N/A</v>
      </c>
      <c r="H2449" s="23" t="e">
        <f>VLOOKUP(E2449,Customers[],4,FALSE)</f>
        <v>#N/A</v>
      </c>
      <c r="J2449" s="29" t="e">
        <f>VLOOKUP(I2449,PGStock[],2,FALSE)</f>
        <v>#N/A</v>
      </c>
      <c r="K2449" s="30" t="e">
        <f>VLOOKUP(I2449,PGStock[],3,FALSE)</f>
        <v>#N/A</v>
      </c>
      <c r="M2449" s="62" t="e">
        <f>VLOOKUP(I2449,PGStock[],6,FALSE)</f>
        <v>#N/A</v>
      </c>
      <c r="N2449" s="62" t="e">
        <f>+Table8[[#This Row],[SalesBot]]*Table8[[#This Row],[Bonus]]</f>
        <v>#N/A</v>
      </c>
    </row>
    <row r="2450" spans="1:14" ht="20.100000000000001" customHeight="1" x14ac:dyDescent="0.25">
      <c r="A2450" s="59">
        <f t="shared" si="352"/>
        <v>1900</v>
      </c>
      <c r="B2450" s="59">
        <f t="shared" si="353"/>
        <v>1</v>
      </c>
      <c r="C2450" s="97"/>
      <c r="D2450" s="61"/>
      <c r="F2450" s="23" t="e">
        <f>VLOOKUP(E2450,Customers[],2,FALSE)</f>
        <v>#N/A</v>
      </c>
      <c r="G2450" s="23" t="e">
        <f>VLOOKUP(E2450,Customers[],3,FALSE)</f>
        <v>#N/A</v>
      </c>
      <c r="H2450" s="23" t="e">
        <f>VLOOKUP(E2450,Customers[],4,FALSE)</f>
        <v>#N/A</v>
      </c>
      <c r="J2450" s="29" t="e">
        <f>VLOOKUP(I2450,PGStock[],2,FALSE)</f>
        <v>#N/A</v>
      </c>
      <c r="K2450" s="30" t="e">
        <f>VLOOKUP(I2450,PGStock[],3,FALSE)</f>
        <v>#N/A</v>
      </c>
      <c r="M2450" s="62" t="e">
        <f>VLOOKUP(I2450,PGStock[],6,FALSE)</f>
        <v>#N/A</v>
      </c>
      <c r="N2450" s="62" t="e">
        <f>+Table8[[#This Row],[SalesBot]]*Table8[[#This Row],[Bonus]]</f>
        <v>#N/A</v>
      </c>
    </row>
    <row r="2451" spans="1:14" ht="20.100000000000001" customHeight="1" x14ac:dyDescent="0.25">
      <c r="A2451" s="59">
        <f t="shared" si="352"/>
        <v>1900</v>
      </c>
      <c r="B2451" s="59">
        <f t="shared" si="353"/>
        <v>1</v>
      </c>
      <c r="C2451" s="97"/>
      <c r="D2451" s="61"/>
      <c r="F2451" s="23" t="e">
        <f>VLOOKUP(E2451,Customers[],2,FALSE)</f>
        <v>#N/A</v>
      </c>
      <c r="G2451" s="23" t="e">
        <f>VLOOKUP(E2451,Customers[],3,FALSE)</f>
        <v>#N/A</v>
      </c>
      <c r="H2451" s="23" t="e">
        <f>VLOOKUP(E2451,Customers[],4,FALSE)</f>
        <v>#N/A</v>
      </c>
      <c r="J2451" s="29" t="e">
        <f>VLOOKUP(I2451,PGStock[],2,FALSE)</f>
        <v>#N/A</v>
      </c>
      <c r="K2451" s="30" t="e">
        <f>VLOOKUP(I2451,PGStock[],3,FALSE)</f>
        <v>#N/A</v>
      </c>
      <c r="M2451" s="62" t="e">
        <f>VLOOKUP(I2451,PGStock[],6,FALSE)</f>
        <v>#N/A</v>
      </c>
      <c r="N2451" s="62" t="e">
        <f>+Table8[[#This Row],[SalesBot]]*Table8[[#This Row],[Bonus]]</f>
        <v>#N/A</v>
      </c>
    </row>
    <row r="2452" spans="1:14" ht="20.100000000000001" customHeight="1" x14ac:dyDescent="0.25">
      <c r="A2452" s="59">
        <f t="shared" si="352"/>
        <v>1900</v>
      </c>
      <c r="B2452" s="59">
        <f t="shared" si="353"/>
        <v>1</v>
      </c>
      <c r="C2452" s="97"/>
      <c r="D2452" s="61"/>
      <c r="F2452" s="23" t="e">
        <f>VLOOKUP(E2452,Customers[],2,FALSE)</f>
        <v>#N/A</v>
      </c>
      <c r="G2452" s="23" t="e">
        <f>VLOOKUP(E2452,Customers[],3,FALSE)</f>
        <v>#N/A</v>
      </c>
      <c r="H2452" s="23" t="e">
        <f>VLOOKUP(E2452,Customers[],4,FALSE)</f>
        <v>#N/A</v>
      </c>
      <c r="J2452" s="29" t="e">
        <f>VLOOKUP(I2452,PGStock[],2,FALSE)</f>
        <v>#N/A</v>
      </c>
      <c r="K2452" s="30" t="e">
        <f>VLOOKUP(I2452,PGStock[],3,FALSE)</f>
        <v>#N/A</v>
      </c>
      <c r="M2452" s="62" t="e">
        <f>VLOOKUP(I2452,PGStock[],6,FALSE)</f>
        <v>#N/A</v>
      </c>
      <c r="N2452" s="62" t="e">
        <f>+Table8[[#This Row],[SalesBot]]*Table8[[#This Row],[Bonus]]</f>
        <v>#N/A</v>
      </c>
    </row>
    <row r="2453" spans="1:14" ht="20.100000000000001" customHeight="1" x14ac:dyDescent="0.25">
      <c r="A2453" s="59">
        <f t="shared" si="352"/>
        <v>1900</v>
      </c>
      <c r="B2453" s="59">
        <f t="shared" si="353"/>
        <v>1</v>
      </c>
      <c r="C2453" s="97"/>
      <c r="D2453" s="61"/>
      <c r="F2453" s="23" t="e">
        <f>VLOOKUP(E2453,Customers[],2,FALSE)</f>
        <v>#N/A</v>
      </c>
      <c r="G2453" s="23" t="e">
        <f>VLOOKUP(E2453,Customers[],3,FALSE)</f>
        <v>#N/A</v>
      </c>
      <c r="H2453" s="23" t="e">
        <f>VLOOKUP(E2453,Customers[],4,FALSE)</f>
        <v>#N/A</v>
      </c>
      <c r="J2453" s="29" t="e">
        <f>VLOOKUP(I2453,PGStock[],2,FALSE)</f>
        <v>#N/A</v>
      </c>
      <c r="K2453" s="30" t="e">
        <f>VLOOKUP(I2453,PGStock[],3,FALSE)</f>
        <v>#N/A</v>
      </c>
      <c r="M2453" s="62" t="e">
        <f>VLOOKUP(I2453,PGStock[],6,FALSE)</f>
        <v>#N/A</v>
      </c>
      <c r="N2453" s="62" t="e">
        <f>+Table8[[#This Row],[SalesBot]]*Table8[[#This Row],[Bonus]]</f>
        <v>#N/A</v>
      </c>
    </row>
    <row r="2454" spans="1:14" ht="20.100000000000001" customHeight="1" x14ac:dyDescent="0.25">
      <c r="A2454" s="59">
        <f t="shared" si="352"/>
        <v>1900</v>
      </c>
      <c r="B2454" s="59">
        <f t="shared" si="353"/>
        <v>1</v>
      </c>
      <c r="C2454" s="97"/>
      <c r="D2454" s="61"/>
      <c r="F2454" s="23" t="e">
        <f>VLOOKUP(E2454,Customers[],2,FALSE)</f>
        <v>#N/A</v>
      </c>
      <c r="G2454" s="23" t="e">
        <f>VLOOKUP(E2454,Customers[],3,FALSE)</f>
        <v>#N/A</v>
      </c>
      <c r="H2454" s="23" t="e">
        <f>VLOOKUP(E2454,Customers[],4,FALSE)</f>
        <v>#N/A</v>
      </c>
      <c r="J2454" s="29" t="e">
        <f>VLOOKUP(I2454,PGStock[],2,FALSE)</f>
        <v>#N/A</v>
      </c>
      <c r="K2454" s="30" t="e">
        <f>VLOOKUP(I2454,PGStock[],3,FALSE)</f>
        <v>#N/A</v>
      </c>
      <c r="M2454" s="62" t="e">
        <f>VLOOKUP(I2454,PGStock[],6,FALSE)</f>
        <v>#N/A</v>
      </c>
      <c r="N2454" s="62" t="e">
        <f>+Table8[[#This Row],[SalesBot]]*Table8[[#This Row],[Bonus]]</f>
        <v>#N/A</v>
      </c>
    </row>
    <row r="2455" spans="1:14" ht="20.100000000000001" customHeight="1" x14ac:dyDescent="0.25">
      <c r="A2455" s="59">
        <f t="shared" si="352"/>
        <v>1900</v>
      </c>
      <c r="B2455" s="59">
        <f t="shared" si="353"/>
        <v>1</v>
      </c>
      <c r="C2455" s="97"/>
      <c r="D2455" s="61"/>
      <c r="F2455" s="23" t="e">
        <f>VLOOKUP(E2455,Customers[],2,FALSE)</f>
        <v>#N/A</v>
      </c>
      <c r="G2455" s="23" t="e">
        <f>VLOOKUP(E2455,Customers[],3,FALSE)</f>
        <v>#N/A</v>
      </c>
      <c r="H2455" s="23" t="e">
        <f>VLOOKUP(E2455,Customers[],4,FALSE)</f>
        <v>#N/A</v>
      </c>
      <c r="J2455" s="29" t="e">
        <f>VLOOKUP(I2455,PGStock[],2,FALSE)</f>
        <v>#N/A</v>
      </c>
      <c r="K2455" s="30" t="e">
        <f>VLOOKUP(I2455,PGStock[],3,FALSE)</f>
        <v>#N/A</v>
      </c>
      <c r="M2455" s="62" t="e">
        <f>VLOOKUP(I2455,PGStock[],6,FALSE)</f>
        <v>#N/A</v>
      </c>
      <c r="N2455" s="62" t="e">
        <f>+Table8[[#This Row],[SalesBot]]*Table8[[#This Row],[Bonus]]</f>
        <v>#N/A</v>
      </c>
    </row>
    <row r="2456" spans="1:14" ht="20.100000000000001" customHeight="1" x14ac:dyDescent="0.25">
      <c r="A2456" s="59">
        <f t="shared" si="352"/>
        <v>1900</v>
      </c>
      <c r="B2456" s="59">
        <f t="shared" si="353"/>
        <v>1</v>
      </c>
      <c r="C2456" s="97"/>
      <c r="D2456" s="61"/>
      <c r="F2456" s="23" t="e">
        <f>VLOOKUP(E2456,Customers[],2,FALSE)</f>
        <v>#N/A</v>
      </c>
      <c r="G2456" s="23" t="e">
        <f>VLOOKUP(E2456,Customers[],3,FALSE)</f>
        <v>#N/A</v>
      </c>
      <c r="H2456" s="23" t="e">
        <f>VLOOKUP(E2456,Customers[],4,FALSE)</f>
        <v>#N/A</v>
      </c>
      <c r="J2456" s="29" t="e">
        <f>VLOOKUP(I2456,PGStock[],2,FALSE)</f>
        <v>#N/A</v>
      </c>
      <c r="K2456" s="30" t="e">
        <f>VLOOKUP(I2456,PGStock[],3,FALSE)</f>
        <v>#N/A</v>
      </c>
      <c r="M2456" s="62" t="e">
        <f>VLOOKUP(I2456,PGStock[],6,FALSE)</f>
        <v>#N/A</v>
      </c>
      <c r="N2456" s="62" t="e">
        <f>+Table8[[#This Row],[SalesBot]]*Table8[[#This Row],[Bonus]]</f>
        <v>#N/A</v>
      </c>
    </row>
    <row r="2457" spans="1:14" ht="20.100000000000001" customHeight="1" x14ac:dyDescent="0.25">
      <c r="A2457" s="59">
        <f t="shared" si="352"/>
        <v>1900</v>
      </c>
      <c r="B2457" s="59">
        <f t="shared" si="353"/>
        <v>1</v>
      </c>
      <c r="C2457" s="97"/>
      <c r="D2457" s="61"/>
      <c r="F2457" s="23" t="e">
        <f>VLOOKUP(E2457,Customers[],2,FALSE)</f>
        <v>#N/A</v>
      </c>
      <c r="G2457" s="23" t="e">
        <f>VLOOKUP(E2457,Customers[],3,FALSE)</f>
        <v>#N/A</v>
      </c>
      <c r="H2457" s="23" t="e">
        <f>VLOOKUP(E2457,Customers[],4,FALSE)</f>
        <v>#N/A</v>
      </c>
      <c r="J2457" s="29" t="e">
        <f>VLOOKUP(I2457,PGStock[],2,FALSE)</f>
        <v>#N/A</v>
      </c>
      <c r="K2457" s="30" t="e">
        <f>VLOOKUP(I2457,PGStock[],3,FALSE)</f>
        <v>#N/A</v>
      </c>
      <c r="M2457" s="62" t="e">
        <f>VLOOKUP(I2457,PGStock[],6,FALSE)</f>
        <v>#N/A</v>
      </c>
      <c r="N2457" s="62" t="e">
        <f>+Table8[[#This Row],[SalesBot]]*Table8[[#This Row],[Bonus]]</f>
        <v>#N/A</v>
      </c>
    </row>
    <row r="2458" spans="1:14" ht="20.100000000000001" customHeight="1" x14ac:dyDescent="0.25">
      <c r="A2458" s="59">
        <f t="shared" si="352"/>
        <v>1900</v>
      </c>
      <c r="B2458" s="59">
        <f t="shared" si="353"/>
        <v>1</v>
      </c>
      <c r="C2458" s="97"/>
      <c r="D2458" s="61"/>
      <c r="F2458" s="23" t="e">
        <f>VLOOKUP(E2458,Customers[],2,FALSE)</f>
        <v>#N/A</v>
      </c>
      <c r="G2458" s="23" t="e">
        <f>VLOOKUP(E2458,Customers[],3,FALSE)</f>
        <v>#N/A</v>
      </c>
      <c r="H2458" s="23" t="e">
        <f>VLOOKUP(E2458,Customers[],4,FALSE)</f>
        <v>#N/A</v>
      </c>
      <c r="J2458" s="29" t="e">
        <f>VLOOKUP(I2458,PGStock[],2,FALSE)</f>
        <v>#N/A</v>
      </c>
      <c r="K2458" s="30" t="e">
        <f>VLOOKUP(I2458,PGStock[],3,FALSE)</f>
        <v>#N/A</v>
      </c>
      <c r="M2458" s="62" t="e">
        <f>VLOOKUP(I2458,PGStock[],6,FALSE)</f>
        <v>#N/A</v>
      </c>
      <c r="N2458" s="62" t="e">
        <f>+Table8[[#This Row],[SalesBot]]*Table8[[#This Row],[Bonus]]</f>
        <v>#N/A</v>
      </c>
    </row>
    <row r="2459" spans="1:14" ht="20.100000000000001" customHeight="1" x14ac:dyDescent="0.25">
      <c r="A2459" s="59">
        <f t="shared" ref="A2459:A2475" si="354">YEAR(C2459)</f>
        <v>1900</v>
      </c>
      <c r="B2459" s="59">
        <f t="shared" ref="B2459:B2475" si="355">MONTH(C2459)</f>
        <v>1</v>
      </c>
      <c r="C2459" s="97"/>
      <c r="D2459" s="61"/>
      <c r="F2459" s="23" t="e">
        <f>VLOOKUP(E2459,Customers[],2,FALSE)</f>
        <v>#N/A</v>
      </c>
      <c r="G2459" s="23" t="e">
        <f>VLOOKUP(E2459,Customers[],3,FALSE)</f>
        <v>#N/A</v>
      </c>
      <c r="H2459" s="23" t="e">
        <f>VLOOKUP(E2459,Customers[],4,FALSE)</f>
        <v>#N/A</v>
      </c>
      <c r="J2459" s="29" t="e">
        <f>VLOOKUP(I2459,PGStock[],2,FALSE)</f>
        <v>#N/A</v>
      </c>
      <c r="K2459" s="30" t="e">
        <f>VLOOKUP(I2459,PGStock[],3,FALSE)</f>
        <v>#N/A</v>
      </c>
      <c r="M2459" s="62" t="e">
        <f>VLOOKUP(I2459,PGStock[],6,FALSE)</f>
        <v>#N/A</v>
      </c>
      <c r="N2459" s="62" t="e">
        <f>+Table8[[#This Row],[SalesBot]]*Table8[[#This Row],[Bonus]]</f>
        <v>#N/A</v>
      </c>
    </row>
    <row r="2460" spans="1:14" ht="20.100000000000001" customHeight="1" x14ac:dyDescent="0.25">
      <c r="A2460" s="59">
        <f t="shared" si="354"/>
        <v>1900</v>
      </c>
      <c r="B2460" s="59">
        <f t="shared" si="355"/>
        <v>1</v>
      </c>
      <c r="C2460" s="97"/>
      <c r="D2460" s="61"/>
      <c r="F2460" s="23" t="e">
        <f>VLOOKUP(E2460,Customers[],2,FALSE)</f>
        <v>#N/A</v>
      </c>
      <c r="G2460" s="23" t="e">
        <f>VLOOKUP(E2460,Customers[],3,FALSE)</f>
        <v>#N/A</v>
      </c>
      <c r="H2460" s="23" t="e">
        <f>VLOOKUP(E2460,Customers[],4,FALSE)</f>
        <v>#N/A</v>
      </c>
      <c r="J2460" s="29" t="e">
        <f>VLOOKUP(I2460,PGStock[],2,FALSE)</f>
        <v>#N/A</v>
      </c>
      <c r="K2460" s="30" t="e">
        <f>VLOOKUP(I2460,PGStock[],3,FALSE)</f>
        <v>#N/A</v>
      </c>
      <c r="M2460" s="62" t="e">
        <f>VLOOKUP(I2460,PGStock[],6,FALSE)</f>
        <v>#N/A</v>
      </c>
      <c r="N2460" s="62" t="e">
        <f>+Table8[[#This Row],[SalesBot]]*Table8[[#This Row],[Bonus]]</f>
        <v>#N/A</v>
      </c>
    </row>
    <row r="2461" spans="1:14" ht="20.100000000000001" customHeight="1" x14ac:dyDescent="0.25">
      <c r="A2461" s="59">
        <f t="shared" si="354"/>
        <v>1900</v>
      </c>
      <c r="B2461" s="59">
        <f t="shared" si="355"/>
        <v>1</v>
      </c>
      <c r="C2461" s="97"/>
      <c r="D2461" s="61"/>
      <c r="F2461" s="23" t="e">
        <f>VLOOKUP(E2461,Customers[],2,FALSE)</f>
        <v>#N/A</v>
      </c>
      <c r="G2461" s="23" t="e">
        <f>VLOOKUP(E2461,Customers[],3,FALSE)</f>
        <v>#N/A</v>
      </c>
      <c r="H2461" s="23" t="e">
        <f>VLOOKUP(E2461,Customers[],4,FALSE)</f>
        <v>#N/A</v>
      </c>
      <c r="J2461" s="29" t="e">
        <f>VLOOKUP(I2461,PGStock[],2,FALSE)</f>
        <v>#N/A</v>
      </c>
      <c r="K2461" s="30" t="e">
        <f>VLOOKUP(I2461,PGStock[],3,FALSE)</f>
        <v>#N/A</v>
      </c>
      <c r="M2461" s="62" t="e">
        <f>VLOOKUP(I2461,PGStock[],6,FALSE)</f>
        <v>#N/A</v>
      </c>
      <c r="N2461" s="62" t="e">
        <f>+Table8[[#This Row],[SalesBot]]*Table8[[#This Row],[Bonus]]</f>
        <v>#N/A</v>
      </c>
    </row>
    <row r="2462" spans="1:14" ht="20.100000000000001" customHeight="1" x14ac:dyDescent="0.25">
      <c r="A2462" s="59">
        <f t="shared" si="354"/>
        <v>1900</v>
      </c>
      <c r="B2462" s="59">
        <f t="shared" si="355"/>
        <v>1</v>
      </c>
      <c r="C2462" s="97"/>
      <c r="D2462" s="61"/>
      <c r="F2462" s="23" t="e">
        <f>VLOOKUP(E2462,Customers[],2,FALSE)</f>
        <v>#N/A</v>
      </c>
      <c r="G2462" s="23" t="e">
        <f>VLOOKUP(E2462,Customers[],3,FALSE)</f>
        <v>#N/A</v>
      </c>
      <c r="H2462" s="23" t="e">
        <f>VLOOKUP(E2462,Customers[],4,FALSE)</f>
        <v>#N/A</v>
      </c>
      <c r="J2462" s="29" t="e">
        <f>VLOOKUP(I2462,PGStock[],2,FALSE)</f>
        <v>#N/A</v>
      </c>
      <c r="K2462" s="30" t="e">
        <f>VLOOKUP(I2462,PGStock[],3,FALSE)</f>
        <v>#N/A</v>
      </c>
      <c r="M2462" s="62" t="e">
        <f>VLOOKUP(I2462,PGStock[],6,FALSE)</f>
        <v>#N/A</v>
      </c>
      <c r="N2462" s="62" t="e">
        <f>+Table8[[#This Row],[SalesBot]]*Table8[[#This Row],[Bonus]]</f>
        <v>#N/A</v>
      </c>
    </row>
    <row r="2463" spans="1:14" ht="20.100000000000001" customHeight="1" x14ac:dyDescent="0.25">
      <c r="A2463" s="59">
        <f t="shared" si="354"/>
        <v>1900</v>
      </c>
      <c r="B2463" s="59">
        <f t="shared" si="355"/>
        <v>1</v>
      </c>
      <c r="C2463" s="97"/>
      <c r="D2463" s="61"/>
      <c r="F2463" s="23" t="e">
        <f>VLOOKUP(E2463,Customers[],2,FALSE)</f>
        <v>#N/A</v>
      </c>
      <c r="G2463" s="23" t="e">
        <f>VLOOKUP(E2463,Customers[],3,FALSE)</f>
        <v>#N/A</v>
      </c>
      <c r="H2463" s="23" t="e">
        <f>VLOOKUP(E2463,Customers[],4,FALSE)</f>
        <v>#N/A</v>
      </c>
      <c r="J2463" s="29" t="e">
        <f>VLOOKUP(I2463,PGStock[],2,FALSE)</f>
        <v>#N/A</v>
      </c>
      <c r="K2463" s="30" t="e">
        <f>VLOOKUP(I2463,PGStock[],3,FALSE)</f>
        <v>#N/A</v>
      </c>
      <c r="M2463" s="62" t="e">
        <f>VLOOKUP(I2463,PGStock[],6,FALSE)</f>
        <v>#N/A</v>
      </c>
      <c r="N2463" s="62" t="e">
        <f>+Table8[[#This Row],[SalesBot]]*Table8[[#This Row],[Bonus]]</f>
        <v>#N/A</v>
      </c>
    </row>
    <row r="2464" spans="1:14" ht="20.100000000000001" customHeight="1" x14ac:dyDescent="0.25">
      <c r="A2464" s="59">
        <f t="shared" si="354"/>
        <v>1900</v>
      </c>
      <c r="B2464" s="59">
        <f t="shared" si="355"/>
        <v>1</v>
      </c>
      <c r="C2464" s="97"/>
      <c r="D2464" s="61"/>
      <c r="F2464" s="23" t="e">
        <f>VLOOKUP(E2464,Customers[],2,FALSE)</f>
        <v>#N/A</v>
      </c>
      <c r="G2464" s="23" t="e">
        <f>VLOOKUP(E2464,Customers[],3,FALSE)</f>
        <v>#N/A</v>
      </c>
      <c r="H2464" s="23" t="e">
        <f>VLOOKUP(E2464,Customers[],4,FALSE)</f>
        <v>#N/A</v>
      </c>
      <c r="J2464" s="29" t="e">
        <f>VLOOKUP(I2464,PGStock[],2,FALSE)</f>
        <v>#N/A</v>
      </c>
      <c r="K2464" s="30" t="e">
        <f>VLOOKUP(I2464,PGStock[],3,FALSE)</f>
        <v>#N/A</v>
      </c>
      <c r="M2464" s="62" t="e">
        <f>VLOOKUP(I2464,PGStock[],6,FALSE)</f>
        <v>#N/A</v>
      </c>
      <c r="N2464" s="62" t="e">
        <f>+Table8[[#This Row],[SalesBot]]*Table8[[#This Row],[Bonus]]</f>
        <v>#N/A</v>
      </c>
    </row>
    <row r="2465" spans="1:14" ht="20.100000000000001" customHeight="1" x14ac:dyDescent="0.25">
      <c r="A2465" s="59">
        <f t="shared" si="354"/>
        <v>1900</v>
      </c>
      <c r="B2465" s="59">
        <f t="shared" si="355"/>
        <v>1</v>
      </c>
      <c r="C2465" s="97"/>
      <c r="D2465" s="61"/>
      <c r="F2465" s="23" t="e">
        <f>VLOOKUP(E2465,Customers[],2,FALSE)</f>
        <v>#N/A</v>
      </c>
      <c r="G2465" s="23" t="e">
        <f>VLOOKUP(E2465,Customers[],3,FALSE)</f>
        <v>#N/A</v>
      </c>
      <c r="H2465" s="23" t="e">
        <f>VLOOKUP(E2465,Customers[],4,FALSE)</f>
        <v>#N/A</v>
      </c>
      <c r="J2465" s="29" t="e">
        <f>VLOOKUP(I2465,PGStock[],2,FALSE)</f>
        <v>#N/A</v>
      </c>
      <c r="K2465" s="30" t="e">
        <f>VLOOKUP(I2465,PGStock[],3,FALSE)</f>
        <v>#N/A</v>
      </c>
      <c r="M2465" s="62" t="e">
        <f>VLOOKUP(I2465,PGStock[],6,FALSE)</f>
        <v>#N/A</v>
      </c>
      <c r="N2465" s="62" t="e">
        <f>+Table8[[#This Row],[SalesBot]]*Table8[[#This Row],[Bonus]]</f>
        <v>#N/A</v>
      </c>
    </row>
    <row r="2466" spans="1:14" ht="20.100000000000001" customHeight="1" x14ac:dyDescent="0.25">
      <c r="A2466" s="59">
        <f t="shared" si="354"/>
        <v>1900</v>
      </c>
      <c r="B2466" s="59">
        <f t="shared" si="355"/>
        <v>1</v>
      </c>
      <c r="C2466" s="97"/>
      <c r="D2466" s="61"/>
      <c r="F2466" s="23" t="e">
        <f>VLOOKUP(E2466,Customers[],2,FALSE)</f>
        <v>#N/A</v>
      </c>
      <c r="G2466" s="23" t="e">
        <f>VLOOKUP(E2466,Customers[],3,FALSE)</f>
        <v>#N/A</v>
      </c>
      <c r="H2466" s="23" t="e">
        <f>VLOOKUP(E2466,Customers[],4,FALSE)</f>
        <v>#N/A</v>
      </c>
      <c r="J2466" s="29" t="e">
        <f>VLOOKUP(I2466,PGStock[],2,FALSE)</f>
        <v>#N/A</v>
      </c>
      <c r="K2466" s="30" t="e">
        <f>VLOOKUP(I2466,PGStock[],3,FALSE)</f>
        <v>#N/A</v>
      </c>
      <c r="M2466" s="62" t="e">
        <f>VLOOKUP(I2466,PGStock[],6,FALSE)</f>
        <v>#N/A</v>
      </c>
      <c r="N2466" s="62" t="e">
        <f>+Table8[[#This Row],[SalesBot]]*Table8[[#This Row],[Bonus]]</f>
        <v>#N/A</v>
      </c>
    </row>
    <row r="2467" spans="1:14" ht="20.100000000000001" customHeight="1" x14ac:dyDescent="0.25">
      <c r="A2467" s="59">
        <f t="shared" si="354"/>
        <v>1900</v>
      </c>
      <c r="B2467" s="59">
        <f t="shared" si="355"/>
        <v>1</v>
      </c>
      <c r="C2467" s="97"/>
      <c r="D2467" s="61"/>
      <c r="F2467" s="23" t="e">
        <f>VLOOKUP(E2467,Customers[],2,FALSE)</f>
        <v>#N/A</v>
      </c>
      <c r="G2467" s="23" t="e">
        <f>VLOOKUP(E2467,Customers[],3,FALSE)</f>
        <v>#N/A</v>
      </c>
      <c r="H2467" s="23" t="e">
        <f>VLOOKUP(E2467,Customers[],4,FALSE)</f>
        <v>#N/A</v>
      </c>
      <c r="J2467" s="29" t="e">
        <f>VLOOKUP(I2467,PGStock[],2,FALSE)</f>
        <v>#N/A</v>
      </c>
      <c r="K2467" s="30" t="e">
        <f>VLOOKUP(I2467,PGStock[],3,FALSE)</f>
        <v>#N/A</v>
      </c>
      <c r="M2467" s="62" t="e">
        <f>VLOOKUP(I2467,PGStock[],6,FALSE)</f>
        <v>#N/A</v>
      </c>
      <c r="N2467" s="62" t="e">
        <f>+Table8[[#This Row],[SalesBot]]*Table8[[#This Row],[Bonus]]</f>
        <v>#N/A</v>
      </c>
    </row>
    <row r="2468" spans="1:14" ht="20.100000000000001" customHeight="1" x14ac:dyDescent="0.25">
      <c r="A2468" s="59">
        <f t="shared" si="354"/>
        <v>1900</v>
      </c>
      <c r="B2468" s="59">
        <f t="shared" si="355"/>
        <v>1</v>
      </c>
      <c r="C2468" s="97"/>
      <c r="D2468" s="61"/>
      <c r="F2468" s="23" t="e">
        <f>VLOOKUP(E2468,Customers[],2,FALSE)</f>
        <v>#N/A</v>
      </c>
      <c r="G2468" s="23" t="e">
        <f>VLOOKUP(E2468,Customers[],3,FALSE)</f>
        <v>#N/A</v>
      </c>
      <c r="H2468" s="23" t="e">
        <f>VLOOKUP(E2468,Customers[],4,FALSE)</f>
        <v>#N/A</v>
      </c>
      <c r="J2468" s="29" t="e">
        <f>VLOOKUP(I2468,PGStock[],2,FALSE)</f>
        <v>#N/A</v>
      </c>
      <c r="K2468" s="30" t="e">
        <f>VLOOKUP(I2468,PGStock[],3,FALSE)</f>
        <v>#N/A</v>
      </c>
      <c r="M2468" s="62" t="e">
        <f>VLOOKUP(I2468,PGStock[],6,FALSE)</f>
        <v>#N/A</v>
      </c>
      <c r="N2468" s="62" t="e">
        <f>+Table8[[#This Row],[SalesBot]]*Table8[[#This Row],[Bonus]]</f>
        <v>#N/A</v>
      </c>
    </row>
    <row r="2469" spans="1:14" ht="20.100000000000001" customHeight="1" x14ac:dyDescent="0.25">
      <c r="A2469" s="59">
        <f t="shared" si="354"/>
        <v>1900</v>
      </c>
      <c r="B2469" s="59">
        <f t="shared" si="355"/>
        <v>1</v>
      </c>
      <c r="C2469" s="97"/>
      <c r="D2469" s="61"/>
      <c r="F2469" s="23" t="e">
        <f>VLOOKUP(E2469,Customers[],2,FALSE)</f>
        <v>#N/A</v>
      </c>
      <c r="G2469" s="23" t="e">
        <f>VLOOKUP(E2469,Customers[],3,FALSE)</f>
        <v>#N/A</v>
      </c>
      <c r="H2469" s="23" t="e">
        <f>VLOOKUP(E2469,Customers[],4,FALSE)</f>
        <v>#N/A</v>
      </c>
      <c r="J2469" s="29" t="e">
        <f>VLOOKUP(I2469,PGStock[],2,FALSE)</f>
        <v>#N/A</v>
      </c>
      <c r="K2469" s="30" t="e">
        <f>VLOOKUP(I2469,PGStock[],3,FALSE)</f>
        <v>#N/A</v>
      </c>
      <c r="M2469" s="62" t="e">
        <f>VLOOKUP(I2469,PGStock[],6,FALSE)</f>
        <v>#N/A</v>
      </c>
      <c r="N2469" s="62" t="e">
        <f>+Table8[[#This Row],[SalesBot]]*Table8[[#This Row],[Bonus]]</f>
        <v>#N/A</v>
      </c>
    </row>
    <row r="2470" spans="1:14" ht="20.100000000000001" customHeight="1" x14ac:dyDescent="0.25">
      <c r="A2470" s="59">
        <f t="shared" si="354"/>
        <v>1900</v>
      </c>
      <c r="B2470" s="59">
        <f t="shared" si="355"/>
        <v>1</v>
      </c>
      <c r="C2470" s="97"/>
      <c r="D2470" s="61"/>
      <c r="F2470" s="23" t="e">
        <f>VLOOKUP(E2470,Customers[],2,FALSE)</f>
        <v>#N/A</v>
      </c>
      <c r="G2470" s="23" t="e">
        <f>VLOOKUP(E2470,Customers[],3,FALSE)</f>
        <v>#N/A</v>
      </c>
      <c r="H2470" s="23" t="e">
        <f>VLOOKUP(E2470,Customers[],4,FALSE)</f>
        <v>#N/A</v>
      </c>
      <c r="J2470" s="29" t="e">
        <f>VLOOKUP(I2470,PGStock[],2,FALSE)</f>
        <v>#N/A</v>
      </c>
      <c r="K2470" s="30" t="e">
        <f>VLOOKUP(I2470,PGStock[],3,FALSE)</f>
        <v>#N/A</v>
      </c>
      <c r="M2470" s="62" t="e">
        <f>VLOOKUP(I2470,PGStock[],6,FALSE)</f>
        <v>#N/A</v>
      </c>
      <c r="N2470" s="62" t="e">
        <f>+Table8[[#This Row],[SalesBot]]*Table8[[#This Row],[Bonus]]</f>
        <v>#N/A</v>
      </c>
    </row>
    <row r="2471" spans="1:14" ht="20.100000000000001" customHeight="1" x14ac:dyDescent="0.25">
      <c r="A2471" s="59">
        <f t="shared" si="354"/>
        <v>1900</v>
      </c>
      <c r="B2471" s="59">
        <f t="shared" si="355"/>
        <v>1</v>
      </c>
      <c r="C2471" s="97"/>
      <c r="D2471" s="61"/>
      <c r="F2471" s="23" t="e">
        <f>VLOOKUP(E2471,Customers[],2,FALSE)</f>
        <v>#N/A</v>
      </c>
      <c r="G2471" s="23" t="e">
        <f>VLOOKUP(E2471,Customers[],3,FALSE)</f>
        <v>#N/A</v>
      </c>
      <c r="H2471" s="23" t="e">
        <f>VLOOKUP(E2471,Customers[],4,FALSE)</f>
        <v>#N/A</v>
      </c>
      <c r="J2471" s="29" t="e">
        <f>VLOOKUP(I2471,PGStock[],2,FALSE)</f>
        <v>#N/A</v>
      </c>
      <c r="K2471" s="30" t="e">
        <f>VLOOKUP(I2471,PGStock[],3,FALSE)</f>
        <v>#N/A</v>
      </c>
      <c r="M2471" s="62" t="e">
        <f>VLOOKUP(I2471,PGStock[],6,FALSE)</f>
        <v>#N/A</v>
      </c>
      <c r="N2471" s="62" t="e">
        <f>+Table8[[#This Row],[SalesBot]]*Table8[[#This Row],[Bonus]]</f>
        <v>#N/A</v>
      </c>
    </row>
    <row r="2472" spans="1:14" ht="20.100000000000001" customHeight="1" x14ac:dyDescent="0.25">
      <c r="A2472" s="59">
        <f t="shared" si="354"/>
        <v>1900</v>
      </c>
      <c r="B2472" s="59">
        <f t="shared" si="355"/>
        <v>1</v>
      </c>
      <c r="C2472" s="97"/>
      <c r="D2472" s="61"/>
      <c r="F2472" s="23" t="e">
        <f>VLOOKUP(E2472,Customers[],2,FALSE)</f>
        <v>#N/A</v>
      </c>
      <c r="G2472" s="23" t="e">
        <f>VLOOKUP(E2472,Customers[],3,FALSE)</f>
        <v>#N/A</v>
      </c>
      <c r="H2472" s="23" t="e">
        <f>VLOOKUP(E2472,Customers[],4,FALSE)</f>
        <v>#N/A</v>
      </c>
      <c r="J2472" s="29" t="e">
        <f>VLOOKUP(I2472,PGStock[],2,FALSE)</f>
        <v>#N/A</v>
      </c>
      <c r="K2472" s="30" t="e">
        <f>VLOOKUP(I2472,PGStock[],3,FALSE)</f>
        <v>#N/A</v>
      </c>
      <c r="M2472" s="62" t="e">
        <f>VLOOKUP(I2472,PGStock[],6,FALSE)</f>
        <v>#N/A</v>
      </c>
      <c r="N2472" s="62" t="e">
        <f>+Table8[[#This Row],[SalesBot]]*Table8[[#This Row],[Bonus]]</f>
        <v>#N/A</v>
      </c>
    </row>
    <row r="2473" spans="1:14" ht="20.100000000000001" customHeight="1" x14ac:dyDescent="0.25">
      <c r="A2473" s="59">
        <f t="shared" si="354"/>
        <v>1900</v>
      </c>
      <c r="B2473" s="59">
        <f t="shared" si="355"/>
        <v>1</v>
      </c>
      <c r="C2473" s="97"/>
      <c r="D2473" s="61"/>
      <c r="F2473" s="23" t="e">
        <f>VLOOKUP(E2473,Customers[],2,FALSE)</f>
        <v>#N/A</v>
      </c>
      <c r="G2473" s="23" t="e">
        <f>VLOOKUP(E2473,Customers[],3,FALSE)</f>
        <v>#N/A</v>
      </c>
      <c r="H2473" s="23" t="e">
        <f>VLOOKUP(E2473,Customers[],4,FALSE)</f>
        <v>#N/A</v>
      </c>
      <c r="J2473" s="29" t="e">
        <f>VLOOKUP(I2473,PGStock[],2,FALSE)</f>
        <v>#N/A</v>
      </c>
      <c r="K2473" s="30" t="e">
        <f>VLOOKUP(I2473,PGStock[],3,FALSE)</f>
        <v>#N/A</v>
      </c>
      <c r="M2473" s="62" t="e">
        <f>VLOOKUP(I2473,PGStock[],6,FALSE)</f>
        <v>#N/A</v>
      </c>
      <c r="N2473" s="62" t="e">
        <f>+Table8[[#This Row],[SalesBot]]*Table8[[#This Row],[Bonus]]</f>
        <v>#N/A</v>
      </c>
    </row>
    <row r="2474" spans="1:14" ht="20.100000000000001" customHeight="1" x14ac:dyDescent="0.25">
      <c r="A2474" s="59">
        <f t="shared" si="354"/>
        <v>1900</v>
      </c>
      <c r="B2474" s="59">
        <f t="shared" si="355"/>
        <v>1</v>
      </c>
      <c r="C2474" s="97"/>
      <c r="D2474" s="61"/>
      <c r="F2474" s="23" t="e">
        <f>VLOOKUP(E2474,Customers[],2,FALSE)</f>
        <v>#N/A</v>
      </c>
      <c r="G2474" s="23" t="e">
        <f>VLOOKUP(E2474,Customers[],3,FALSE)</f>
        <v>#N/A</v>
      </c>
      <c r="H2474" s="23" t="e">
        <f>VLOOKUP(E2474,Customers[],4,FALSE)</f>
        <v>#N/A</v>
      </c>
      <c r="J2474" s="29" t="e">
        <f>VLOOKUP(I2474,PGStock[],2,FALSE)</f>
        <v>#N/A</v>
      </c>
      <c r="K2474" s="30" t="e">
        <f>VLOOKUP(I2474,PGStock[],3,FALSE)</f>
        <v>#N/A</v>
      </c>
      <c r="M2474" s="62" t="e">
        <f>VLOOKUP(I2474,PGStock[],6,FALSE)</f>
        <v>#N/A</v>
      </c>
      <c r="N2474" s="62" t="e">
        <f>+Table8[[#This Row],[SalesBot]]*Table8[[#This Row],[Bonus]]</f>
        <v>#N/A</v>
      </c>
    </row>
    <row r="2475" spans="1:14" ht="20.100000000000001" customHeight="1" x14ac:dyDescent="0.25">
      <c r="A2475" s="59">
        <f t="shared" si="354"/>
        <v>1900</v>
      </c>
      <c r="B2475" s="59">
        <f t="shared" si="355"/>
        <v>1</v>
      </c>
      <c r="C2475" s="97"/>
      <c r="D2475" s="61"/>
      <c r="F2475" s="23" t="e">
        <f>VLOOKUP(E2475,Customers[],2,FALSE)</f>
        <v>#N/A</v>
      </c>
      <c r="G2475" s="23" t="e">
        <f>VLOOKUP(E2475,Customers[],3,FALSE)</f>
        <v>#N/A</v>
      </c>
      <c r="H2475" s="23" t="e">
        <f>VLOOKUP(E2475,Customers[],4,FALSE)</f>
        <v>#N/A</v>
      </c>
      <c r="J2475" s="29" t="e">
        <f>VLOOKUP(I2475,PGStock[],2,FALSE)</f>
        <v>#N/A</v>
      </c>
      <c r="K2475" s="30" t="e">
        <f>VLOOKUP(I2475,PGStock[],3,FALSE)</f>
        <v>#N/A</v>
      </c>
      <c r="M2475" s="62" t="e">
        <f>VLOOKUP(I2475,PGStock[],6,FALSE)</f>
        <v>#N/A</v>
      </c>
      <c r="N2475" s="62" t="e">
        <f>+Table8[[#This Row],[SalesBot]]*Table8[[#This Row],[Bonus]]</f>
        <v>#N/A</v>
      </c>
    </row>
    <row r="2476" spans="1:14" ht="20.100000000000001" customHeight="1" x14ac:dyDescent="0.25">
      <c r="A2476" s="59">
        <f t="shared" ref="A2476:A2492" si="356">YEAR(C2476)</f>
        <v>1900</v>
      </c>
      <c r="B2476" s="59">
        <f t="shared" ref="B2476:B2492" si="357">MONTH(C2476)</f>
        <v>1</v>
      </c>
      <c r="C2476" s="97"/>
      <c r="D2476" s="61"/>
      <c r="F2476" s="23" t="e">
        <f>VLOOKUP(E2476,Customers[],2,FALSE)</f>
        <v>#N/A</v>
      </c>
      <c r="G2476" s="23" t="e">
        <f>VLOOKUP(E2476,Customers[],3,FALSE)</f>
        <v>#N/A</v>
      </c>
      <c r="H2476" s="23" t="e">
        <f>VLOOKUP(E2476,Customers[],4,FALSE)</f>
        <v>#N/A</v>
      </c>
      <c r="J2476" s="29" t="e">
        <f>VLOOKUP(I2476,PGStock[],2,FALSE)</f>
        <v>#N/A</v>
      </c>
      <c r="K2476" s="30" t="e">
        <f>VLOOKUP(I2476,PGStock[],3,FALSE)</f>
        <v>#N/A</v>
      </c>
      <c r="M2476" s="62" t="e">
        <f>VLOOKUP(I2476,PGStock[],6,FALSE)</f>
        <v>#N/A</v>
      </c>
      <c r="N2476" s="62" t="e">
        <f>+Table8[[#This Row],[SalesBot]]*Table8[[#This Row],[Bonus]]</f>
        <v>#N/A</v>
      </c>
    </row>
    <row r="2477" spans="1:14" ht="20.100000000000001" customHeight="1" x14ac:dyDescent="0.25">
      <c r="A2477" s="59">
        <f t="shared" si="356"/>
        <v>1900</v>
      </c>
      <c r="B2477" s="59">
        <f t="shared" si="357"/>
        <v>1</v>
      </c>
      <c r="C2477" s="97"/>
      <c r="D2477" s="61"/>
      <c r="F2477" s="23" t="e">
        <f>VLOOKUP(E2477,Customers[],2,FALSE)</f>
        <v>#N/A</v>
      </c>
      <c r="G2477" s="23" t="e">
        <f>VLOOKUP(E2477,Customers[],3,FALSE)</f>
        <v>#N/A</v>
      </c>
      <c r="H2477" s="23" t="e">
        <f>VLOOKUP(E2477,Customers[],4,FALSE)</f>
        <v>#N/A</v>
      </c>
      <c r="J2477" s="29" t="e">
        <f>VLOOKUP(I2477,PGStock[],2,FALSE)</f>
        <v>#N/A</v>
      </c>
      <c r="K2477" s="30" t="e">
        <f>VLOOKUP(I2477,PGStock[],3,FALSE)</f>
        <v>#N/A</v>
      </c>
      <c r="M2477" s="62" t="e">
        <f>VLOOKUP(I2477,PGStock[],6,FALSE)</f>
        <v>#N/A</v>
      </c>
      <c r="N2477" s="62" t="e">
        <f>+Table8[[#This Row],[SalesBot]]*Table8[[#This Row],[Bonus]]</f>
        <v>#N/A</v>
      </c>
    </row>
    <row r="2478" spans="1:14" ht="20.100000000000001" customHeight="1" x14ac:dyDescent="0.25">
      <c r="A2478" s="59">
        <f t="shared" si="356"/>
        <v>1900</v>
      </c>
      <c r="B2478" s="59">
        <f t="shared" si="357"/>
        <v>1</v>
      </c>
      <c r="C2478" s="97"/>
      <c r="D2478" s="61"/>
      <c r="F2478" s="23" t="e">
        <f>VLOOKUP(E2478,Customers[],2,FALSE)</f>
        <v>#N/A</v>
      </c>
      <c r="G2478" s="23" t="e">
        <f>VLOOKUP(E2478,Customers[],3,FALSE)</f>
        <v>#N/A</v>
      </c>
      <c r="H2478" s="23" t="e">
        <f>VLOOKUP(E2478,Customers[],4,FALSE)</f>
        <v>#N/A</v>
      </c>
      <c r="J2478" s="29" t="e">
        <f>VLOOKUP(I2478,PGStock[],2,FALSE)</f>
        <v>#N/A</v>
      </c>
      <c r="K2478" s="30" t="e">
        <f>VLOOKUP(I2478,PGStock[],3,FALSE)</f>
        <v>#N/A</v>
      </c>
      <c r="M2478" s="62" t="e">
        <f>VLOOKUP(I2478,PGStock[],6,FALSE)</f>
        <v>#N/A</v>
      </c>
      <c r="N2478" s="62" t="e">
        <f>+Table8[[#This Row],[SalesBot]]*Table8[[#This Row],[Bonus]]</f>
        <v>#N/A</v>
      </c>
    </row>
    <row r="2479" spans="1:14" ht="20.100000000000001" customHeight="1" x14ac:dyDescent="0.25">
      <c r="A2479" s="59">
        <f t="shared" si="356"/>
        <v>1900</v>
      </c>
      <c r="B2479" s="59">
        <f t="shared" si="357"/>
        <v>1</v>
      </c>
      <c r="C2479" s="97"/>
      <c r="D2479" s="61"/>
      <c r="F2479" s="23" t="e">
        <f>VLOOKUP(E2479,Customers[],2,FALSE)</f>
        <v>#N/A</v>
      </c>
      <c r="G2479" s="23" t="e">
        <f>VLOOKUP(E2479,Customers[],3,FALSE)</f>
        <v>#N/A</v>
      </c>
      <c r="H2479" s="23" t="e">
        <f>VLOOKUP(E2479,Customers[],4,FALSE)</f>
        <v>#N/A</v>
      </c>
      <c r="J2479" s="29" t="e">
        <f>VLOOKUP(I2479,PGStock[],2,FALSE)</f>
        <v>#N/A</v>
      </c>
      <c r="K2479" s="30" t="e">
        <f>VLOOKUP(I2479,PGStock[],3,FALSE)</f>
        <v>#N/A</v>
      </c>
      <c r="M2479" s="62" t="e">
        <f>VLOOKUP(I2479,PGStock[],6,FALSE)</f>
        <v>#N/A</v>
      </c>
      <c r="N2479" s="62" t="e">
        <f>+Table8[[#This Row],[SalesBot]]*Table8[[#This Row],[Bonus]]</f>
        <v>#N/A</v>
      </c>
    </row>
    <row r="2480" spans="1:14" ht="20.100000000000001" customHeight="1" x14ac:dyDescent="0.25">
      <c r="A2480" s="59">
        <f t="shared" si="356"/>
        <v>1900</v>
      </c>
      <c r="B2480" s="59">
        <f t="shared" si="357"/>
        <v>1</v>
      </c>
      <c r="C2480" s="97"/>
      <c r="D2480" s="61"/>
      <c r="F2480" s="23" t="e">
        <f>VLOOKUP(E2480,Customers[],2,FALSE)</f>
        <v>#N/A</v>
      </c>
      <c r="G2480" s="23" t="e">
        <f>VLOOKUP(E2480,Customers[],3,FALSE)</f>
        <v>#N/A</v>
      </c>
      <c r="H2480" s="23" t="e">
        <f>VLOOKUP(E2480,Customers[],4,FALSE)</f>
        <v>#N/A</v>
      </c>
      <c r="J2480" s="29" t="e">
        <f>VLOOKUP(I2480,PGStock[],2,FALSE)</f>
        <v>#N/A</v>
      </c>
      <c r="K2480" s="30" t="e">
        <f>VLOOKUP(I2480,PGStock[],3,FALSE)</f>
        <v>#N/A</v>
      </c>
      <c r="M2480" s="62" t="e">
        <f>VLOOKUP(I2480,PGStock[],6,FALSE)</f>
        <v>#N/A</v>
      </c>
      <c r="N2480" s="62" t="e">
        <f>+Table8[[#This Row],[SalesBot]]*Table8[[#This Row],[Bonus]]</f>
        <v>#N/A</v>
      </c>
    </row>
    <row r="2481" spans="1:14" ht="20.100000000000001" customHeight="1" x14ac:dyDescent="0.25">
      <c r="A2481" s="59">
        <f t="shared" si="356"/>
        <v>1900</v>
      </c>
      <c r="B2481" s="59">
        <f t="shared" si="357"/>
        <v>1</v>
      </c>
      <c r="C2481" s="97"/>
      <c r="D2481" s="61"/>
      <c r="F2481" s="23" t="e">
        <f>VLOOKUP(E2481,Customers[],2,FALSE)</f>
        <v>#N/A</v>
      </c>
      <c r="G2481" s="23" t="e">
        <f>VLOOKUP(E2481,Customers[],3,FALSE)</f>
        <v>#N/A</v>
      </c>
      <c r="H2481" s="23" t="e">
        <f>VLOOKUP(E2481,Customers[],4,FALSE)</f>
        <v>#N/A</v>
      </c>
      <c r="J2481" s="29" t="e">
        <f>VLOOKUP(I2481,PGStock[],2,FALSE)</f>
        <v>#N/A</v>
      </c>
      <c r="K2481" s="30" t="e">
        <f>VLOOKUP(I2481,PGStock[],3,FALSE)</f>
        <v>#N/A</v>
      </c>
      <c r="M2481" s="62" t="e">
        <f>VLOOKUP(I2481,PGStock[],6,FALSE)</f>
        <v>#N/A</v>
      </c>
      <c r="N2481" s="62" t="e">
        <f>+Table8[[#This Row],[SalesBot]]*Table8[[#This Row],[Bonus]]</f>
        <v>#N/A</v>
      </c>
    </row>
    <row r="2482" spans="1:14" ht="20.100000000000001" customHeight="1" x14ac:dyDescent="0.25">
      <c r="A2482" s="59">
        <f t="shared" si="356"/>
        <v>1900</v>
      </c>
      <c r="B2482" s="59">
        <f t="shared" si="357"/>
        <v>1</v>
      </c>
      <c r="C2482" s="97"/>
      <c r="D2482" s="61"/>
      <c r="F2482" s="23" t="e">
        <f>VLOOKUP(E2482,Customers[],2,FALSE)</f>
        <v>#N/A</v>
      </c>
      <c r="G2482" s="23" t="e">
        <f>VLOOKUP(E2482,Customers[],3,FALSE)</f>
        <v>#N/A</v>
      </c>
      <c r="H2482" s="23" t="e">
        <f>VLOOKUP(E2482,Customers[],4,FALSE)</f>
        <v>#N/A</v>
      </c>
      <c r="J2482" s="29" t="e">
        <f>VLOOKUP(I2482,PGStock[],2,FALSE)</f>
        <v>#N/A</v>
      </c>
      <c r="K2482" s="30" t="e">
        <f>VLOOKUP(I2482,PGStock[],3,FALSE)</f>
        <v>#N/A</v>
      </c>
      <c r="M2482" s="62" t="e">
        <f>VLOOKUP(I2482,PGStock[],6,FALSE)</f>
        <v>#N/A</v>
      </c>
      <c r="N2482" s="62" t="e">
        <f>+Table8[[#This Row],[SalesBot]]*Table8[[#This Row],[Bonus]]</f>
        <v>#N/A</v>
      </c>
    </row>
    <row r="2483" spans="1:14" ht="20.100000000000001" customHeight="1" x14ac:dyDescent="0.25">
      <c r="A2483" s="59">
        <f t="shared" si="356"/>
        <v>1900</v>
      </c>
      <c r="B2483" s="59">
        <f t="shared" si="357"/>
        <v>1</v>
      </c>
      <c r="C2483" s="97"/>
      <c r="D2483" s="61"/>
      <c r="F2483" s="23" t="e">
        <f>VLOOKUP(E2483,Customers[],2,FALSE)</f>
        <v>#N/A</v>
      </c>
      <c r="G2483" s="23" t="e">
        <f>VLOOKUP(E2483,Customers[],3,FALSE)</f>
        <v>#N/A</v>
      </c>
      <c r="H2483" s="23" t="e">
        <f>VLOOKUP(E2483,Customers[],4,FALSE)</f>
        <v>#N/A</v>
      </c>
      <c r="J2483" s="29" t="e">
        <f>VLOOKUP(I2483,PGStock[],2,FALSE)</f>
        <v>#N/A</v>
      </c>
      <c r="K2483" s="30" t="e">
        <f>VLOOKUP(I2483,PGStock[],3,FALSE)</f>
        <v>#N/A</v>
      </c>
      <c r="M2483" s="62" t="e">
        <f>VLOOKUP(I2483,PGStock[],6,FALSE)</f>
        <v>#N/A</v>
      </c>
      <c r="N2483" s="62" t="e">
        <f>+Table8[[#This Row],[SalesBot]]*Table8[[#This Row],[Bonus]]</f>
        <v>#N/A</v>
      </c>
    </row>
    <row r="2484" spans="1:14" ht="20.100000000000001" customHeight="1" x14ac:dyDescent="0.25">
      <c r="A2484" s="59">
        <f t="shared" si="356"/>
        <v>1900</v>
      </c>
      <c r="B2484" s="59">
        <f t="shared" si="357"/>
        <v>1</v>
      </c>
      <c r="C2484" s="97"/>
      <c r="D2484" s="61"/>
      <c r="F2484" s="23" t="e">
        <f>VLOOKUP(E2484,Customers[],2,FALSE)</f>
        <v>#N/A</v>
      </c>
      <c r="G2484" s="23" t="e">
        <f>VLOOKUP(E2484,Customers[],3,FALSE)</f>
        <v>#N/A</v>
      </c>
      <c r="H2484" s="23" t="e">
        <f>VLOOKUP(E2484,Customers[],4,FALSE)</f>
        <v>#N/A</v>
      </c>
      <c r="J2484" s="29" t="e">
        <f>VLOOKUP(I2484,PGStock[],2,FALSE)</f>
        <v>#N/A</v>
      </c>
      <c r="K2484" s="30" t="e">
        <f>VLOOKUP(I2484,PGStock[],3,FALSE)</f>
        <v>#N/A</v>
      </c>
      <c r="M2484" s="62" t="e">
        <f>VLOOKUP(I2484,PGStock[],6,FALSE)</f>
        <v>#N/A</v>
      </c>
      <c r="N2484" s="62" t="e">
        <f>+Table8[[#This Row],[SalesBot]]*Table8[[#This Row],[Bonus]]</f>
        <v>#N/A</v>
      </c>
    </row>
    <row r="2485" spans="1:14" ht="20.100000000000001" customHeight="1" x14ac:dyDescent="0.25">
      <c r="A2485" s="59">
        <f t="shared" si="356"/>
        <v>1900</v>
      </c>
      <c r="B2485" s="59">
        <f t="shared" si="357"/>
        <v>1</v>
      </c>
      <c r="C2485" s="97"/>
      <c r="D2485" s="61"/>
      <c r="F2485" s="23" t="e">
        <f>VLOOKUP(E2485,Customers[],2,FALSE)</f>
        <v>#N/A</v>
      </c>
      <c r="G2485" s="23" t="e">
        <f>VLOOKUP(E2485,Customers[],3,FALSE)</f>
        <v>#N/A</v>
      </c>
      <c r="H2485" s="23" t="e">
        <f>VLOOKUP(E2485,Customers[],4,FALSE)</f>
        <v>#N/A</v>
      </c>
      <c r="J2485" s="29" t="e">
        <f>VLOOKUP(I2485,PGStock[],2,FALSE)</f>
        <v>#N/A</v>
      </c>
      <c r="K2485" s="30" t="e">
        <f>VLOOKUP(I2485,PGStock[],3,FALSE)</f>
        <v>#N/A</v>
      </c>
      <c r="M2485" s="62" t="e">
        <f>VLOOKUP(I2485,PGStock[],6,FALSE)</f>
        <v>#N/A</v>
      </c>
      <c r="N2485" s="62" t="e">
        <f>+Table8[[#This Row],[SalesBot]]*Table8[[#This Row],[Bonus]]</f>
        <v>#N/A</v>
      </c>
    </row>
    <row r="2486" spans="1:14" ht="20.100000000000001" customHeight="1" x14ac:dyDescent="0.25">
      <c r="A2486" s="59">
        <f t="shared" si="356"/>
        <v>1900</v>
      </c>
      <c r="B2486" s="59">
        <f t="shared" si="357"/>
        <v>1</v>
      </c>
      <c r="C2486" s="97"/>
      <c r="D2486" s="61"/>
      <c r="F2486" s="23" t="e">
        <f>VLOOKUP(E2486,Customers[],2,FALSE)</f>
        <v>#N/A</v>
      </c>
      <c r="G2486" s="23" t="e">
        <f>VLOOKUP(E2486,Customers[],3,FALSE)</f>
        <v>#N/A</v>
      </c>
      <c r="H2486" s="23" t="e">
        <f>VLOOKUP(E2486,Customers[],4,FALSE)</f>
        <v>#N/A</v>
      </c>
      <c r="J2486" s="29" t="e">
        <f>VLOOKUP(I2486,PGStock[],2,FALSE)</f>
        <v>#N/A</v>
      </c>
      <c r="K2486" s="30" t="e">
        <f>VLOOKUP(I2486,PGStock[],3,FALSE)</f>
        <v>#N/A</v>
      </c>
      <c r="M2486" s="62" t="e">
        <f>VLOOKUP(I2486,PGStock[],6,FALSE)</f>
        <v>#N/A</v>
      </c>
      <c r="N2486" s="62" t="e">
        <f>+Table8[[#This Row],[SalesBot]]*Table8[[#This Row],[Bonus]]</f>
        <v>#N/A</v>
      </c>
    </row>
    <row r="2487" spans="1:14" ht="20.100000000000001" customHeight="1" x14ac:dyDescent="0.25">
      <c r="A2487" s="59">
        <f t="shared" si="356"/>
        <v>1900</v>
      </c>
      <c r="B2487" s="59">
        <f t="shared" si="357"/>
        <v>1</v>
      </c>
      <c r="C2487" s="97"/>
      <c r="D2487" s="61"/>
      <c r="F2487" s="23" t="e">
        <f>VLOOKUP(E2487,Customers[],2,FALSE)</f>
        <v>#N/A</v>
      </c>
      <c r="G2487" s="23" t="e">
        <f>VLOOKUP(E2487,Customers[],3,FALSE)</f>
        <v>#N/A</v>
      </c>
      <c r="H2487" s="23" t="e">
        <f>VLOOKUP(E2487,Customers[],4,FALSE)</f>
        <v>#N/A</v>
      </c>
      <c r="J2487" s="29" t="e">
        <f>VLOOKUP(I2487,PGStock[],2,FALSE)</f>
        <v>#N/A</v>
      </c>
      <c r="K2487" s="30" t="e">
        <f>VLOOKUP(I2487,PGStock[],3,FALSE)</f>
        <v>#N/A</v>
      </c>
      <c r="M2487" s="62" t="e">
        <f>VLOOKUP(I2487,PGStock[],6,FALSE)</f>
        <v>#N/A</v>
      </c>
      <c r="N2487" s="62" t="e">
        <f>+Table8[[#This Row],[SalesBot]]*Table8[[#This Row],[Bonus]]</f>
        <v>#N/A</v>
      </c>
    </row>
    <row r="2488" spans="1:14" ht="20.100000000000001" customHeight="1" x14ac:dyDescent="0.25">
      <c r="A2488" s="59">
        <f t="shared" si="356"/>
        <v>1900</v>
      </c>
      <c r="B2488" s="59">
        <f t="shared" si="357"/>
        <v>1</v>
      </c>
      <c r="C2488" s="97"/>
      <c r="D2488" s="61"/>
      <c r="F2488" s="23" t="e">
        <f>VLOOKUP(E2488,Customers[],2,FALSE)</f>
        <v>#N/A</v>
      </c>
      <c r="G2488" s="23" t="e">
        <f>VLOOKUP(E2488,Customers[],3,FALSE)</f>
        <v>#N/A</v>
      </c>
      <c r="H2488" s="23" t="e">
        <f>VLOOKUP(E2488,Customers[],4,FALSE)</f>
        <v>#N/A</v>
      </c>
      <c r="J2488" s="29" t="e">
        <f>VLOOKUP(I2488,PGStock[],2,FALSE)</f>
        <v>#N/A</v>
      </c>
      <c r="K2488" s="30" t="e">
        <f>VLOOKUP(I2488,PGStock[],3,FALSE)</f>
        <v>#N/A</v>
      </c>
      <c r="M2488" s="62" t="e">
        <f>VLOOKUP(I2488,PGStock[],6,FALSE)</f>
        <v>#N/A</v>
      </c>
      <c r="N2488" s="62" t="e">
        <f>+Table8[[#This Row],[SalesBot]]*Table8[[#This Row],[Bonus]]</f>
        <v>#N/A</v>
      </c>
    </row>
    <row r="2489" spans="1:14" ht="20.100000000000001" customHeight="1" x14ac:dyDescent="0.25">
      <c r="A2489" s="59">
        <f t="shared" si="356"/>
        <v>1900</v>
      </c>
      <c r="B2489" s="59">
        <f t="shared" si="357"/>
        <v>1</v>
      </c>
      <c r="C2489" s="97"/>
      <c r="D2489" s="61"/>
      <c r="F2489" s="23" t="e">
        <f>VLOOKUP(E2489,Customers[],2,FALSE)</f>
        <v>#N/A</v>
      </c>
      <c r="G2489" s="23" t="e">
        <f>VLOOKUP(E2489,Customers[],3,FALSE)</f>
        <v>#N/A</v>
      </c>
      <c r="H2489" s="23" t="e">
        <f>VLOOKUP(E2489,Customers[],4,FALSE)</f>
        <v>#N/A</v>
      </c>
      <c r="J2489" s="29" t="e">
        <f>VLOOKUP(I2489,PGStock[],2,FALSE)</f>
        <v>#N/A</v>
      </c>
      <c r="K2489" s="30" t="e">
        <f>VLOOKUP(I2489,PGStock[],3,FALSE)</f>
        <v>#N/A</v>
      </c>
      <c r="M2489" s="62" t="e">
        <f>VLOOKUP(I2489,PGStock[],6,FALSE)</f>
        <v>#N/A</v>
      </c>
      <c r="N2489" s="62" t="e">
        <f>+Table8[[#This Row],[SalesBot]]*Table8[[#This Row],[Bonus]]</f>
        <v>#N/A</v>
      </c>
    </row>
    <row r="2490" spans="1:14" ht="20.100000000000001" customHeight="1" x14ac:dyDescent="0.25">
      <c r="A2490" s="59">
        <f t="shared" si="356"/>
        <v>1900</v>
      </c>
      <c r="B2490" s="59">
        <f t="shared" si="357"/>
        <v>1</v>
      </c>
      <c r="C2490" s="97"/>
      <c r="D2490" s="61"/>
      <c r="F2490" s="23" t="e">
        <f>VLOOKUP(E2490,Customers[],2,FALSE)</f>
        <v>#N/A</v>
      </c>
      <c r="G2490" s="23" t="e">
        <f>VLOOKUP(E2490,Customers[],3,FALSE)</f>
        <v>#N/A</v>
      </c>
      <c r="H2490" s="23" t="e">
        <f>VLOOKUP(E2490,Customers[],4,FALSE)</f>
        <v>#N/A</v>
      </c>
      <c r="J2490" s="29" t="e">
        <f>VLOOKUP(I2490,PGStock[],2,FALSE)</f>
        <v>#N/A</v>
      </c>
      <c r="K2490" s="30" t="e">
        <f>VLOOKUP(I2490,PGStock[],3,FALSE)</f>
        <v>#N/A</v>
      </c>
      <c r="M2490" s="62" t="e">
        <f>VLOOKUP(I2490,PGStock[],6,FALSE)</f>
        <v>#N/A</v>
      </c>
      <c r="N2490" s="62" t="e">
        <f>+Table8[[#This Row],[SalesBot]]*Table8[[#This Row],[Bonus]]</f>
        <v>#N/A</v>
      </c>
    </row>
    <row r="2491" spans="1:14" ht="20.100000000000001" customHeight="1" x14ac:dyDescent="0.25">
      <c r="A2491" s="59">
        <f t="shared" si="356"/>
        <v>1900</v>
      </c>
      <c r="B2491" s="59">
        <f t="shared" si="357"/>
        <v>1</v>
      </c>
      <c r="C2491" s="97"/>
      <c r="D2491" s="61"/>
      <c r="F2491" s="23" t="e">
        <f>VLOOKUP(E2491,Customers[],2,FALSE)</f>
        <v>#N/A</v>
      </c>
      <c r="G2491" s="23" t="e">
        <f>VLOOKUP(E2491,Customers[],3,FALSE)</f>
        <v>#N/A</v>
      </c>
      <c r="H2491" s="23" t="e">
        <f>VLOOKUP(E2491,Customers[],4,FALSE)</f>
        <v>#N/A</v>
      </c>
      <c r="J2491" s="29" t="e">
        <f>VLOOKUP(I2491,PGStock[],2,FALSE)</f>
        <v>#N/A</v>
      </c>
      <c r="K2491" s="30" t="e">
        <f>VLOOKUP(I2491,PGStock[],3,FALSE)</f>
        <v>#N/A</v>
      </c>
      <c r="M2491" s="62" t="e">
        <f>VLOOKUP(I2491,PGStock[],6,FALSE)</f>
        <v>#N/A</v>
      </c>
      <c r="N2491" s="62" t="e">
        <f>+Table8[[#This Row],[SalesBot]]*Table8[[#This Row],[Bonus]]</f>
        <v>#N/A</v>
      </c>
    </row>
    <row r="2492" spans="1:14" ht="20.100000000000001" customHeight="1" x14ac:dyDescent="0.25">
      <c r="A2492" s="59">
        <f t="shared" si="356"/>
        <v>1900</v>
      </c>
      <c r="B2492" s="59">
        <f t="shared" si="357"/>
        <v>1</v>
      </c>
      <c r="C2492" s="97"/>
      <c r="D2492" s="61"/>
      <c r="F2492" s="23" t="e">
        <f>VLOOKUP(E2492,Customers[],2,FALSE)</f>
        <v>#N/A</v>
      </c>
      <c r="G2492" s="23" t="e">
        <f>VLOOKUP(E2492,Customers[],3,FALSE)</f>
        <v>#N/A</v>
      </c>
      <c r="H2492" s="23" t="e">
        <f>VLOOKUP(E2492,Customers[],4,FALSE)</f>
        <v>#N/A</v>
      </c>
      <c r="J2492" s="29" t="e">
        <f>VLOOKUP(I2492,PGStock[],2,FALSE)</f>
        <v>#N/A</v>
      </c>
      <c r="K2492" s="30" t="e">
        <f>VLOOKUP(I2492,PGStock[],3,FALSE)</f>
        <v>#N/A</v>
      </c>
      <c r="M2492" s="62" t="e">
        <f>VLOOKUP(I2492,PGStock[],6,FALSE)</f>
        <v>#N/A</v>
      </c>
      <c r="N2492" s="62" t="e">
        <f>+Table8[[#This Row],[SalesBot]]*Table8[[#This Row],[Bonus]]</f>
        <v>#N/A</v>
      </c>
    </row>
    <row r="2493" spans="1:14" ht="20.100000000000001" customHeight="1" x14ac:dyDescent="0.25">
      <c r="A2493" s="59">
        <f t="shared" ref="A2493:A2509" si="358">YEAR(C2493)</f>
        <v>1900</v>
      </c>
      <c r="B2493" s="59">
        <f t="shared" ref="B2493:B2509" si="359">MONTH(C2493)</f>
        <v>1</v>
      </c>
      <c r="C2493" s="97"/>
      <c r="D2493" s="61"/>
      <c r="F2493" s="23" t="e">
        <f>VLOOKUP(E2493,Customers[],2,FALSE)</f>
        <v>#N/A</v>
      </c>
      <c r="G2493" s="23" t="e">
        <f>VLOOKUP(E2493,Customers[],3,FALSE)</f>
        <v>#N/A</v>
      </c>
      <c r="H2493" s="23" t="e">
        <f>VLOOKUP(E2493,Customers[],4,FALSE)</f>
        <v>#N/A</v>
      </c>
      <c r="J2493" s="29" t="e">
        <f>VLOOKUP(I2493,PGStock[],2,FALSE)</f>
        <v>#N/A</v>
      </c>
      <c r="K2493" s="30" t="e">
        <f>VLOOKUP(I2493,PGStock[],3,FALSE)</f>
        <v>#N/A</v>
      </c>
      <c r="M2493" s="62" t="e">
        <f>VLOOKUP(I2493,PGStock[],6,FALSE)</f>
        <v>#N/A</v>
      </c>
      <c r="N2493" s="62" t="e">
        <f>+Table8[[#This Row],[SalesBot]]*Table8[[#This Row],[Bonus]]</f>
        <v>#N/A</v>
      </c>
    </row>
    <row r="2494" spans="1:14" ht="20.100000000000001" customHeight="1" x14ac:dyDescent="0.25">
      <c r="A2494" s="59">
        <f t="shared" si="358"/>
        <v>1900</v>
      </c>
      <c r="B2494" s="59">
        <f t="shared" si="359"/>
        <v>1</v>
      </c>
      <c r="C2494" s="97"/>
      <c r="D2494" s="61"/>
      <c r="F2494" s="23" t="e">
        <f>VLOOKUP(E2494,Customers[],2,FALSE)</f>
        <v>#N/A</v>
      </c>
      <c r="G2494" s="23" t="e">
        <f>VLOOKUP(E2494,Customers[],3,FALSE)</f>
        <v>#N/A</v>
      </c>
      <c r="H2494" s="23" t="e">
        <f>VLOOKUP(E2494,Customers[],4,FALSE)</f>
        <v>#N/A</v>
      </c>
      <c r="J2494" s="29" t="e">
        <f>VLOOKUP(I2494,PGStock[],2,FALSE)</f>
        <v>#N/A</v>
      </c>
      <c r="K2494" s="30" t="e">
        <f>VLOOKUP(I2494,PGStock[],3,FALSE)</f>
        <v>#N/A</v>
      </c>
      <c r="M2494" s="62" t="e">
        <f>VLOOKUP(I2494,PGStock[],6,FALSE)</f>
        <v>#N/A</v>
      </c>
      <c r="N2494" s="62" t="e">
        <f>+Table8[[#This Row],[SalesBot]]*Table8[[#This Row],[Bonus]]</f>
        <v>#N/A</v>
      </c>
    </row>
    <row r="2495" spans="1:14" ht="20.100000000000001" customHeight="1" x14ac:dyDescent="0.25">
      <c r="A2495" s="59">
        <f t="shared" si="358"/>
        <v>1900</v>
      </c>
      <c r="B2495" s="59">
        <f t="shared" si="359"/>
        <v>1</v>
      </c>
      <c r="C2495" s="97"/>
      <c r="D2495" s="61"/>
      <c r="F2495" s="23" t="e">
        <f>VLOOKUP(E2495,Customers[],2,FALSE)</f>
        <v>#N/A</v>
      </c>
      <c r="G2495" s="23" t="e">
        <f>VLOOKUP(E2495,Customers[],3,FALSE)</f>
        <v>#N/A</v>
      </c>
      <c r="H2495" s="23" t="e">
        <f>VLOOKUP(E2495,Customers[],4,FALSE)</f>
        <v>#N/A</v>
      </c>
      <c r="J2495" s="29" t="e">
        <f>VLOOKUP(I2495,PGStock[],2,FALSE)</f>
        <v>#N/A</v>
      </c>
      <c r="K2495" s="30" t="e">
        <f>VLOOKUP(I2495,PGStock[],3,FALSE)</f>
        <v>#N/A</v>
      </c>
      <c r="M2495" s="62" t="e">
        <f>VLOOKUP(I2495,PGStock[],6,FALSE)</f>
        <v>#N/A</v>
      </c>
      <c r="N2495" s="62" t="e">
        <f>+Table8[[#This Row],[SalesBot]]*Table8[[#This Row],[Bonus]]</f>
        <v>#N/A</v>
      </c>
    </row>
    <row r="2496" spans="1:14" ht="20.100000000000001" customHeight="1" x14ac:dyDescent="0.25">
      <c r="A2496" s="59">
        <f t="shared" si="358"/>
        <v>1900</v>
      </c>
      <c r="B2496" s="59">
        <f t="shared" si="359"/>
        <v>1</v>
      </c>
      <c r="C2496" s="97"/>
      <c r="D2496" s="61"/>
      <c r="F2496" s="23" t="e">
        <f>VLOOKUP(E2496,Customers[],2,FALSE)</f>
        <v>#N/A</v>
      </c>
      <c r="G2496" s="23" t="e">
        <f>VLOOKUP(E2496,Customers[],3,FALSE)</f>
        <v>#N/A</v>
      </c>
      <c r="H2496" s="23" t="e">
        <f>VLOOKUP(E2496,Customers[],4,FALSE)</f>
        <v>#N/A</v>
      </c>
      <c r="J2496" s="29" t="e">
        <f>VLOOKUP(I2496,PGStock[],2,FALSE)</f>
        <v>#N/A</v>
      </c>
      <c r="K2496" s="30" t="e">
        <f>VLOOKUP(I2496,PGStock[],3,FALSE)</f>
        <v>#N/A</v>
      </c>
      <c r="M2496" s="62" t="e">
        <f>VLOOKUP(I2496,PGStock[],6,FALSE)</f>
        <v>#N/A</v>
      </c>
      <c r="N2496" s="62" t="e">
        <f>+Table8[[#This Row],[SalesBot]]*Table8[[#This Row],[Bonus]]</f>
        <v>#N/A</v>
      </c>
    </row>
    <row r="2497" spans="1:14" ht="20.100000000000001" customHeight="1" x14ac:dyDescent="0.25">
      <c r="A2497" s="59">
        <f t="shared" si="358"/>
        <v>1900</v>
      </c>
      <c r="B2497" s="59">
        <f t="shared" si="359"/>
        <v>1</v>
      </c>
      <c r="C2497" s="97"/>
      <c r="D2497" s="61"/>
      <c r="F2497" s="23" t="e">
        <f>VLOOKUP(E2497,Customers[],2,FALSE)</f>
        <v>#N/A</v>
      </c>
      <c r="G2497" s="23" t="e">
        <f>VLOOKUP(E2497,Customers[],3,FALSE)</f>
        <v>#N/A</v>
      </c>
      <c r="H2497" s="23" t="e">
        <f>VLOOKUP(E2497,Customers[],4,FALSE)</f>
        <v>#N/A</v>
      </c>
      <c r="J2497" s="29" t="e">
        <f>VLOOKUP(I2497,PGStock[],2,FALSE)</f>
        <v>#N/A</v>
      </c>
      <c r="K2497" s="30" t="e">
        <f>VLOOKUP(I2497,PGStock[],3,FALSE)</f>
        <v>#N/A</v>
      </c>
      <c r="M2497" s="62" t="e">
        <f>VLOOKUP(I2497,PGStock[],6,FALSE)</f>
        <v>#N/A</v>
      </c>
      <c r="N2497" s="62" t="e">
        <f>+Table8[[#This Row],[SalesBot]]*Table8[[#This Row],[Bonus]]</f>
        <v>#N/A</v>
      </c>
    </row>
    <row r="2498" spans="1:14" ht="20.100000000000001" customHeight="1" x14ac:dyDescent="0.25">
      <c r="A2498" s="59">
        <f t="shared" si="358"/>
        <v>1900</v>
      </c>
      <c r="B2498" s="59">
        <f t="shared" si="359"/>
        <v>1</v>
      </c>
      <c r="C2498" s="97"/>
      <c r="D2498" s="61"/>
      <c r="F2498" s="23" t="e">
        <f>VLOOKUP(E2498,Customers[],2,FALSE)</f>
        <v>#N/A</v>
      </c>
      <c r="G2498" s="23" t="e">
        <f>VLOOKUP(E2498,Customers[],3,FALSE)</f>
        <v>#N/A</v>
      </c>
      <c r="H2498" s="23" t="e">
        <f>VLOOKUP(E2498,Customers[],4,FALSE)</f>
        <v>#N/A</v>
      </c>
      <c r="J2498" s="29" t="e">
        <f>VLOOKUP(I2498,PGStock[],2,FALSE)</f>
        <v>#N/A</v>
      </c>
      <c r="K2498" s="30" t="e">
        <f>VLOOKUP(I2498,PGStock[],3,FALSE)</f>
        <v>#N/A</v>
      </c>
      <c r="M2498" s="62" t="e">
        <f>VLOOKUP(I2498,PGStock[],6,FALSE)</f>
        <v>#N/A</v>
      </c>
      <c r="N2498" s="62" t="e">
        <f>+Table8[[#This Row],[SalesBot]]*Table8[[#This Row],[Bonus]]</f>
        <v>#N/A</v>
      </c>
    </row>
    <row r="2499" spans="1:14" ht="20.100000000000001" customHeight="1" x14ac:dyDescent="0.25">
      <c r="A2499" s="59">
        <f t="shared" si="358"/>
        <v>1900</v>
      </c>
      <c r="B2499" s="59">
        <f t="shared" si="359"/>
        <v>1</v>
      </c>
      <c r="C2499" s="97"/>
      <c r="D2499" s="61"/>
      <c r="F2499" s="23" t="e">
        <f>VLOOKUP(E2499,Customers[],2,FALSE)</f>
        <v>#N/A</v>
      </c>
      <c r="G2499" s="23" t="e">
        <f>VLOOKUP(E2499,Customers[],3,FALSE)</f>
        <v>#N/A</v>
      </c>
      <c r="H2499" s="23" t="e">
        <f>VLOOKUP(E2499,Customers[],4,FALSE)</f>
        <v>#N/A</v>
      </c>
      <c r="J2499" s="29" t="e">
        <f>VLOOKUP(I2499,PGStock[],2,FALSE)</f>
        <v>#N/A</v>
      </c>
      <c r="K2499" s="30" t="e">
        <f>VLOOKUP(I2499,PGStock[],3,FALSE)</f>
        <v>#N/A</v>
      </c>
      <c r="M2499" s="62" t="e">
        <f>VLOOKUP(I2499,PGStock[],6,FALSE)</f>
        <v>#N/A</v>
      </c>
      <c r="N2499" s="62" t="e">
        <f>+Table8[[#This Row],[SalesBot]]*Table8[[#This Row],[Bonus]]</f>
        <v>#N/A</v>
      </c>
    </row>
    <row r="2500" spans="1:14" ht="20.100000000000001" customHeight="1" x14ac:dyDescent="0.25">
      <c r="A2500" s="59">
        <f t="shared" si="358"/>
        <v>1900</v>
      </c>
      <c r="B2500" s="59">
        <f t="shared" si="359"/>
        <v>1</v>
      </c>
      <c r="C2500" s="97"/>
      <c r="D2500" s="61"/>
      <c r="F2500" s="23" t="e">
        <f>VLOOKUP(E2500,Customers[],2,FALSE)</f>
        <v>#N/A</v>
      </c>
      <c r="G2500" s="23" t="e">
        <f>VLOOKUP(E2500,Customers[],3,FALSE)</f>
        <v>#N/A</v>
      </c>
      <c r="H2500" s="23" t="e">
        <f>VLOOKUP(E2500,Customers[],4,FALSE)</f>
        <v>#N/A</v>
      </c>
      <c r="J2500" s="29" t="e">
        <f>VLOOKUP(I2500,PGStock[],2,FALSE)</f>
        <v>#N/A</v>
      </c>
      <c r="K2500" s="30" t="e">
        <f>VLOOKUP(I2500,PGStock[],3,FALSE)</f>
        <v>#N/A</v>
      </c>
      <c r="M2500" s="62" t="e">
        <f>VLOOKUP(I2500,PGStock[],6,FALSE)</f>
        <v>#N/A</v>
      </c>
      <c r="N2500" s="62" t="e">
        <f>+Table8[[#This Row],[SalesBot]]*Table8[[#This Row],[Bonus]]</f>
        <v>#N/A</v>
      </c>
    </row>
    <row r="2501" spans="1:14" ht="20.100000000000001" customHeight="1" x14ac:dyDescent="0.25">
      <c r="A2501" s="59">
        <f t="shared" si="358"/>
        <v>1900</v>
      </c>
      <c r="B2501" s="59">
        <f t="shared" si="359"/>
        <v>1</v>
      </c>
      <c r="C2501" s="97"/>
      <c r="D2501" s="61"/>
      <c r="F2501" s="23" t="e">
        <f>VLOOKUP(E2501,Customers[],2,FALSE)</f>
        <v>#N/A</v>
      </c>
      <c r="G2501" s="23" t="e">
        <f>VLOOKUP(E2501,Customers[],3,FALSE)</f>
        <v>#N/A</v>
      </c>
      <c r="H2501" s="23" t="e">
        <f>VLOOKUP(E2501,Customers[],4,FALSE)</f>
        <v>#N/A</v>
      </c>
      <c r="J2501" s="29" t="e">
        <f>VLOOKUP(I2501,PGStock[],2,FALSE)</f>
        <v>#N/A</v>
      </c>
      <c r="K2501" s="30" t="e">
        <f>VLOOKUP(I2501,PGStock[],3,FALSE)</f>
        <v>#N/A</v>
      </c>
      <c r="M2501" s="62" t="e">
        <f>VLOOKUP(I2501,PGStock[],6,FALSE)</f>
        <v>#N/A</v>
      </c>
      <c r="N2501" s="62" t="e">
        <f>+Table8[[#This Row],[SalesBot]]*Table8[[#This Row],[Bonus]]</f>
        <v>#N/A</v>
      </c>
    </row>
    <row r="2502" spans="1:14" ht="20.100000000000001" customHeight="1" x14ac:dyDescent="0.25">
      <c r="A2502" s="59">
        <f t="shared" si="358"/>
        <v>1900</v>
      </c>
      <c r="B2502" s="59">
        <f t="shared" si="359"/>
        <v>1</v>
      </c>
      <c r="C2502" s="97"/>
      <c r="D2502" s="61"/>
      <c r="F2502" s="23" t="e">
        <f>VLOOKUP(E2502,Customers[],2,FALSE)</f>
        <v>#N/A</v>
      </c>
      <c r="G2502" s="23" t="e">
        <f>VLOOKUP(E2502,Customers[],3,FALSE)</f>
        <v>#N/A</v>
      </c>
      <c r="H2502" s="23" t="e">
        <f>VLOOKUP(E2502,Customers[],4,FALSE)</f>
        <v>#N/A</v>
      </c>
      <c r="J2502" s="29" t="e">
        <f>VLOOKUP(I2502,PGStock[],2,FALSE)</f>
        <v>#N/A</v>
      </c>
      <c r="K2502" s="30" t="e">
        <f>VLOOKUP(I2502,PGStock[],3,FALSE)</f>
        <v>#N/A</v>
      </c>
      <c r="M2502" s="62" t="e">
        <f>VLOOKUP(I2502,PGStock[],6,FALSE)</f>
        <v>#N/A</v>
      </c>
      <c r="N2502" s="62" t="e">
        <f>+Table8[[#This Row],[SalesBot]]*Table8[[#This Row],[Bonus]]</f>
        <v>#N/A</v>
      </c>
    </row>
    <row r="2503" spans="1:14" ht="20.100000000000001" customHeight="1" x14ac:dyDescent="0.25">
      <c r="A2503" s="59">
        <f t="shared" si="358"/>
        <v>1900</v>
      </c>
      <c r="B2503" s="59">
        <f t="shared" si="359"/>
        <v>1</v>
      </c>
      <c r="C2503" s="97"/>
      <c r="D2503" s="61"/>
      <c r="F2503" s="23" t="e">
        <f>VLOOKUP(E2503,Customers[],2,FALSE)</f>
        <v>#N/A</v>
      </c>
      <c r="G2503" s="23" t="e">
        <f>VLOOKUP(E2503,Customers[],3,FALSE)</f>
        <v>#N/A</v>
      </c>
      <c r="H2503" s="23" t="e">
        <f>VLOOKUP(E2503,Customers[],4,FALSE)</f>
        <v>#N/A</v>
      </c>
      <c r="J2503" s="29" t="e">
        <f>VLOOKUP(I2503,PGStock[],2,FALSE)</f>
        <v>#N/A</v>
      </c>
      <c r="K2503" s="30" t="e">
        <f>VLOOKUP(I2503,PGStock[],3,FALSE)</f>
        <v>#N/A</v>
      </c>
      <c r="M2503" s="62" t="e">
        <f>VLOOKUP(I2503,PGStock[],6,FALSE)</f>
        <v>#N/A</v>
      </c>
      <c r="N2503" s="62" t="e">
        <f>+Table8[[#This Row],[SalesBot]]*Table8[[#This Row],[Bonus]]</f>
        <v>#N/A</v>
      </c>
    </row>
    <row r="2504" spans="1:14" ht="20.100000000000001" customHeight="1" x14ac:dyDescent="0.25">
      <c r="A2504" s="59">
        <f t="shared" si="358"/>
        <v>1900</v>
      </c>
      <c r="B2504" s="59">
        <f t="shared" si="359"/>
        <v>1</v>
      </c>
      <c r="C2504" s="97"/>
      <c r="D2504" s="61"/>
      <c r="F2504" s="23" t="e">
        <f>VLOOKUP(E2504,Customers[],2,FALSE)</f>
        <v>#N/A</v>
      </c>
      <c r="G2504" s="23" t="e">
        <f>VLOOKUP(E2504,Customers[],3,FALSE)</f>
        <v>#N/A</v>
      </c>
      <c r="H2504" s="23" t="e">
        <f>VLOOKUP(E2504,Customers[],4,FALSE)</f>
        <v>#N/A</v>
      </c>
      <c r="J2504" s="29" t="e">
        <f>VLOOKUP(I2504,PGStock[],2,FALSE)</f>
        <v>#N/A</v>
      </c>
      <c r="K2504" s="30" t="e">
        <f>VLOOKUP(I2504,PGStock[],3,FALSE)</f>
        <v>#N/A</v>
      </c>
      <c r="M2504" s="62" t="e">
        <f>VLOOKUP(I2504,PGStock[],6,FALSE)</f>
        <v>#N/A</v>
      </c>
      <c r="N2504" s="62" t="e">
        <f>+Table8[[#This Row],[SalesBot]]*Table8[[#This Row],[Bonus]]</f>
        <v>#N/A</v>
      </c>
    </row>
    <row r="2505" spans="1:14" ht="20.100000000000001" customHeight="1" x14ac:dyDescent="0.25">
      <c r="A2505" s="59">
        <f t="shared" si="358"/>
        <v>1900</v>
      </c>
      <c r="B2505" s="59">
        <f t="shared" si="359"/>
        <v>1</v>
      </c>
      <c r="C2505" s="97"/>
      <c r="D2505" s="61"/>
      <c r="F2505" s="23" t="e">
        <f>VLOOKUP(E2505,Customers[],2,FALSE)</f>
        <v>#N/A</v>
      </c>
      <c r="G2505" s="23" t="e">
        <f>VLOOKUP(E2505,Customers[],3,FALSE)</f>
        <v>#N/A</v>
      </c>
      <c r="H2505" s="23" t="e">
        <f>VLOOKUP(E2505,Customers[],4,FALSE)</f>
        <v>#N/A</v>
      </c>
      <c r="J2505" s="29" t="e">
        <f>VLOOKUP(I2505,PGStock[],2,FALSE)</f>
        <v>#N/A</v>
      </c>
      <c r="K2505" s="30" t="e">
        <f>VLOOKUP(I2505,PGStock[],3,FALSE)</f>
        <v>#N/A</v>
      </c>
      <c r="M2505" s="62" t="e">
        <f>VLOOKUP(I2505,PGStock[],6,FALSE)</f>
        <v>#N/A</v>
      </c>
      <c r="N2505" s="62" t="e">
        <f>+Table8[[#This Row],[SalesBot]]*Table8[[#This Row],[Bonus]]</f>
        <v>#N/A</v>
      </c>
    </row>
    <row r="2506" spans="1:14" ht="20.100000000000001" customHeight="1" x14ac:dyDescent="0.25">
      <c r="A2506" s="59">
        <f t="shared" si="358"/>
        <v>1900</v>
      </c>
      <c r="B2506" s="59">
        <f t="shared" si="359"/>
        <v>1</v>
      </c>
      <c r="C2506" s="97"/>
      <c r="D2506" s="61"/>
      <c r="F2506" s="23" t="e">
        <f>VLOOKUP(E2506,Customers[],2,FALSE)</f>
        <v>#N/A</v>
      </c>
      <c r="G2506" s="23" t="e">
        <f>VLOOKUP(E2506,Customers[],3,FALSE)</f>
        <v>#N/A</v>
      </c>
      <c r="H2506" s="23" t="e">
        <f>VLOOKUP(E2506,Customers[],4,FALSE)</f>
        <v>#N/A</v>
      </c>
      <c r="J2506" s="29" t="e">
        <f>VLOOKUP(I2506,PGStock[],2,FALSE)</f>
        <v>#N/A</v>
      </c>
      <c r="K2506" s="30" t="e">
        <f>VLOOKUP(I2506,PGStock[],3,FALSE)</f>
        <v>#N/A</v>
      </c>
      <c r="M2506" s="62" t="e">
        <f>VLOOKUP(I2506,PGStock[],6,FALSE)</f>
        <v>#N/A</v>
      </c>
      <c r="N2506" s="62" t="e">
        <f>+Table8[[#This Row],[SalesBot]]*Table8[[#This Row],[Bonus]]</f>
        <v>#N/A</v>
      </c>
    </row>
    <row r="2507" spans="1:14" ht="20.100000000000001" customHeight="1" x14ac:dyDescent="0.25">
      <c r="A2507" s="59">
        <f t="shared" si="358"/>
        <v>1900</v>
      </c>
      <c r="B2507" s="59">
        <f t="shared" si="359"/>
        <v>1</v>
      </c>
      <c r="C2507" s="97"/>
      <c r="D2507" s="61"/>
      <c r="F2507" s="23" t="e">
        <f>VLOOKUP(E2507,Customers[],2,FALSE)</f>
        <v>#N/A</v>
      </c>
      <c r="G2507" s="23" t="e">
        <f>VLOOKUP(E2507,Customers[],3,FALSE)</f>
        <v>#N/A</v>
      </c>
      <c r="H2507" s="23" t="e">
        <f>VLOOKUP(E2507,Customers[],4,FALSE)</f>
        <v>#N/A</v>
      </c>
      <c r="J2507" s="29" t="e">
        <f>VLOOKUP(I2507,PGStock[],2,FALSE)</f>
        <v>#N/A</v>
      </c>
      <c r="K2507" s="30" t="e">
        <f>VLOOKUP(I2507,PGStock[],3,FALSE)</f>
        <v>#N/A</v>
      </c>
      <c r="M2507" s="62" t="e">
        <f>VLOOKUP(I2507,PGStock[],6,FALSE)</f>
        <v>#N/A</v>
      </c>
      <c r="N2507" s="62" t="e">
        <f>+Table8[[#This Row],[SalesBot]]*Table8[[#This Row],[Bonus]]</f>
        <v>#N/A</v>
      </c>
    </row>
    <row r="2508" spans="1:14" ht="20.100000000000001" customHeight="1" x14ac:dyDescent="0.25">
      <c r="A2508" s="59">
        <f t="shared" si="358"/>
        <v>1900</v>
      </c>
      <c r="B2508" s="59">
        <f t="shared" si="359"/>
        <v>1</v>
      </c>
      <c r="C2508" s="97"/>
      <c r="D2508" s="61"/>
      <c r="F2508" s="23" t="e">
        <f>VLOOKUP(E2508,Customers[],2,FALSE)</f>
        <v>#N/A</v>
      </c>
      <c r="G2508" s="23" t="e">
        <f>VLOOKUP(E2508,Customers[],3,FALSE)</f>
        <v>#N/A</v>
      </c>
      <c r="H2508" s="23" t="e">
        <f>VLOOKUP(E2508,Customers[],4,FALSE)</f>
        <v>#N/A</v>
      </c>
      <c r="J2508" s="29" t="e">
        <f>VLOOKUP(I2508,PGStock[],2,FALSE)</f>
        <v>#N/A</v>
      </c>
      <c r="K2508" s="30" t="e">
        <f>VLOOKUP(I2508,PGStock[],3,FALSE)</f>
        <v>#N/A</v>
      </c>
      <c r="M2508" s="62" t="e">
        <f>VLOOKUP(I2508,PGStock[],6,FALSE)</f>
        <v>#N/A</v>
      </c>
      <c r="N2508" s="62" t="e">
        <f>+Table8[[#This Row],[SalesBot]]*Table8[[#This Row],[Bonus]]</f>
        <v>#N/A</v>
      </c>
    </row>
    <row r="2509" spans="1:14" ht="20.100000000000001" customHeight="1" x14ac:dyDescent="0.25">
      <c r="A2509" s="59">
        <f t="shared" si="358"/>
        <v>1900</v>
      </c>
      <c r="B2509" s="59">
        <f t="shared" si="359"/>
        <v>1</v>
      </c>
      <c r="C2509" s="97"/>
      <c r="D2509" s="61"/>
      <c r="F2509" s="23" t="e">
        <f>VLOOKUP(E2509,Customers[],2,FALSE)</f>
        <v>#N/A</v>
      </c>
      <c r="G2509" s="23" t="e">
        <f>VLOOKUP(E2509,Customers[],3,FALSE)</f>
        <v>#N/A</v>
      </c>
      <c r="H2509" s="23" t="e">
        <f>VLOOKUP(E2509,Customers[],4,FALSE)</f>
        <v>#N/A</v>
      </c>
      <c r="J2509" s="29" t="e">
        <f>VLOOKUP(I2509,PGStock[],2,FALSE)</f>
        <v>#N/A</v>
      </c>
      <c r="K2509" s="30" t="e">
        <f>VLOOKUP(I2509,PGStock[],3,FALSE)</f>
        <v>#N/A</v>
      </c>
      <c r="M2509" s="62" t="e">
        <f>VLOOKUP(I2509,PGStock[],6,FALSE)</f>
        <v>#N/A</v>
      </c>
      <c r="N2509" s="62" t="e">
        <f>+Table8[[#This Row],[SalesBot]]*Table8[[#This Row],[Bonus]]</f>
        <v>#N/A</v>
      </c>
    </row>
    <row r="2510" spans="1:14" ht="20.100000000000001" customHeight="1" x14ac:dyDescent="0.25">
      <c r="A2510" s="59">
        <f t="shared" ref="A2510:A2526" si="360">YEAR(C2510)</f>
        <v>1900</v>
      </c>
      <c r="B2510" s="59">
        <f t="shared" ref="B2510:B2526" si="361">MONTH(C2510)</f>
        <v>1</v>
      </c>
      <c r="C2510" s="97"/>
      <c r="D2510" s="61"/>
      <c r="F2510" s="23" t="e">
        <f>VLOOKUP(E2510,Customers[],2,FALSE)</f>
        <v>#N/A</v>
      </c>
      <c r="G2510" s="23" t="e">
        <f>VLOOKUP(E2510,Customers[],3,FALSE)</f>
        <v>#N/A</v>
      </c>
      <c r="H2510" s="23" t="e">
        <f>VLOOKUP(E2510,Customers[],4,FALSE)</f>
        <v>#N/A</v>
      </c>
      <c r="J2510" s="29" t="e">
        <f>VLOOKUP(I2510,PGStock[],2,FALSE)</f>
        <v>#N/A</v>
      </c>
      <c r="K2510" s="30" t="e">
        <f>VLOOKUP(I2510,PGStock[],3,FALSE)</f>
        <v>#N/A</v>
      </c>
      <c r="M2510" s="62" t="e">
        <f>VLOOKUP(I2510,PGStock[],6,FALSE)</f>
        <v>#N/A</v>
      </c>
      <c r="N2510" s="62" t="e">
        <f>+Table8[[#This Row],[SalesBot]]*Table8[[#This Row],[Bonus]]</f>
        <v>#N/A</v>
      </c>
    </row>
    <row r="2511" spans="1:14" ht="20.100000000000001" customHeight="1" x14ac:dyDescent="0.25">
      <c r="A2511" s="59">
        <f t="shared" si="360"/>
        <v>1900</v>
      </c>
      <c r="B2511" s="59">
        <f t="shared" si="361"/>
        <v>1</v>
      </c>
      <c r="C2511" s="97"/>
      <c r="D2511" s="61"/>
      <c r="F2511" s="23" t="e">
        <f>VLOOKUP(E2511,Customers[],2,FALSE)</f>
        <v>#N/A</v>
      </c>
      <c r="G2511" s="23" t="e">
        <f>VLOOKUP(E2511,Customers[],3,FALSE)</f>
        <v>#N/A</v>
      </c>
      <c r="H2511" s="23" t="e">
        <f>VLOOKUP(E2511,Customers[],4,FALSE)</f>
        <v>#N/A</v>
      </c>
      <c r="J2511" s="29" t="e">
        <f>VLOOKUP(I2511,PGStock[],2,FALSE)</f>
        <v>#N/A</v>
      </c>
      <c r="K2511" s="30" t="e">
        <f>VLOOKUP(I2511,PGStock[],3,FALSE)</f>
        <v>#N/A</v>
      </c>
      <c r="M2511" s="62" t="e">
        <f>VLOOKUP(I2511,PGStock[],6,FALSE)</f>
        <v>#N/A</v>
      </c>
      <c r="N2511" s="62" t="e">
        <f>+Table8[[#This Row],[SalesBot]]*Table8[[#This Row],[Bonus]]</f>
        <v>#N/A</v>
      </c>
    </row>
    <row r="2512" spans="1:14" ht="20.100000000000001" customHeight="1" x14ac:dyDescent="0.25">
      <c r="A2512" s="59">
        <f t="shared" si="360"/>
        <v>1900</v>
      </c>
      <c r="B2512" s="59">
        <f t="shared" si="361"/>
        <v>1</v>
      </c>
      <c r="C2512" s="97"/>
      <c r="D2512" s="61"/>
      <c r="F2512" s="23" t="e">
        <f>VLOOKUP(E2512,Customers[],2,FALSE)</f>
        <v>#N/A</v>
      </c>
      <c r="G2512" s="23" t="e">
        <f>VLOOKUP(E2512,Customers[],3,FALSE)</f>
        <v>#N/A</v>
      </c>
      <c r="H2512" s="23" t="e">
        <f>VLOOKUP(E2512,Customers[],4,FALSE)</f>
        <v>#N/A</v>
      </c>
      <c r="J2512" s="29" t="e">
        <f>VLOOKUP(I2512,PGStock[],2,FALSE)</f>
        <v>#N/A</v>
      </c>
      <c r="K2512" s="30" t="e">
        <f>VLOOKUP(I2512,PGStock[],3,FALSE)</f>
        <v>#N/A</v>
      </c>
      <c r="M2512" s="62" t="e">
        <f>VLOOKUP(I2512,PGStock[],6,FALSE)</f>
        <v>#N/A</v>
      </c>
      <c r="N2512" s="62" t="e">
        <f>+Table8[[#This Row],[SalesBot]]*Table8[[#This Row],[Bonus]]</f>
        <v>#N/A</v>
      </c>
    </row>
    <row r="2513" spans="1:14" ht="20.100000000000001" customHeight="1" x14ac:dyDescent="0.25">
      <c r="A2513" s="59">
        <f t="shared" si="360"/>
        <v>1900</v>
      </c>
      <c r="B2513" s="59">
        <f t="shared" si="361"/>
        <v>1</v>
      </c>
      <c r="C2513" s="97"/>
      <c r="D2513" s="61"/>
      <c r="F2513" s="23" t="e">
        <f>VLOOKUP(E2513,Customers[],2,FALSE)</f>
        <v>#N/A</v>
      </c>
      <c r="G2513" s="23" t="e">
        <f>VLOOKUP(E2513,Customers[],3,FALSE)</f>
        <v>#N/A</v>
      </c>
      <c r="H2513" s="23" t="e">
        <f>VLOOKUP(E2513,Customers[],4,FALSE)</f>
        <v>#N/A</v>
      </c>
      <c r="J2513" s="29" t="e">
        <f>VLOOKUP(I2513,PGStock[],2,FALSE)</f>
        <v>#N/A</v>
      </c>
      <c r="K2513" s="30" t="e">
        <f>VLOOKUP(I2513,PGStock[],3,FALSE)</f>
        <v>#N/A</v>
      </c>
      <c r="M2513" s="62" t="e">
        <f>VLOOKUP(I2513,PGStock[],6,FALSE)</f>
        <v>#N/A</v>
      </c>
      <c r="N2513" s="62" t="e">
        <f>+Table8[[#This Row],[SalesBot]]*Table8[[#This Row],[Bonus]]</f>
        <v>#N/A</v>
      </c>
    </row>
    <row r="2514" spans="1:14" ht="20.100000000000001" customHeight="1" x14ac:dyDescent="0.25">
      <c r="A2514" s="59">
        <f t="shared" si="360"/>
        <v>1900</v>
      </c>
      <c r="B2514" s="59">
        <f t="shared" si="361"/>
        <v>1</v>
      </c>
      <c r="C2514" s="97"/>
      <c r="D2514" s="61"/>
      <c r="F2514" s="23" t="e">
        <f>VLOOKUP(E2514,Customers[],2,FALSE)</f>
        <v>#N/A</v>
      </c>
      <c r="G2514" s="23" t="e">
        <f>VLOOKUP(E2514,Customers[],3,FALSE)</f>
        <v>#N/A</v>
      </c>
      <c r="H2514" s="23" t="e">
        <f>VLOOKUP(E2514,Customers[],4,FALSE)</f>
        <v>#N/A</v>
      </c>
      <c r="J2514" s="29" t="e">
        <f>VLOOKUP(I2514,PGStock[],2,FALSE)</f>
        <v>#N/A</v>
      </c>
      <c r="K2514" s="30" t="e">
        <f>VLOOKUP(I2514,PGStock[],3,FALSE)</f>
        <v>#N/A</v>
      </c>
      <c r="M2514" s="62" t="e">
        <f>VLOOKUP(I2514,PGStock[],6,FALSE)</f>
        <v>#N/A</v>
      </c>
      <c r="N2514" s="62" t="e">
        <f>+Table8[[#This Row],[SalesBot]]*Table8[[#This Row],[Bonus]]</f>
        <v>#N/A</v>
      </c>
    </row>
    <row r="2515" spans="1:14" ht="20.100000000000001" customHeight="1" x14ac:dyDescent="0.25">
      <c r="A2515" s="59">
        <f t="shared" si="360"/>
        <v>1900</v>
      </c>
      <c r="B2515" s="59">
        <f t="shared" si="361"/>
        <v>1</v>
      </c>
      <c r="C2515" s="97"/>
      <c r="D2515" s="61"/>
      <c r="F2515" s="23" t="e">
        <f>VLOOKUP(E2515,Customers[],2,FALSE)</f>
        <v>#N/A</v>
      </c>
      <c r="G2515" s="23" t="e">
        <f>VLOOKUP(E2515,Customers[],3,FALSE)</f>
        <v>#N/A</v>
      </c>
      <c r="H2515" s="23" t="e">
        <f>VLOOKUP(E2515,Customers[],4,FALSE)</f>
        <v>#N/A</v>
      </c>
      <c r="J2515" s="29" t="e">
        <f>VLOOKUP(I2515,PGStock[],2,FALSE)</f>
        <v>#N/A</v>
      </c>
      <c r="K2515" s="30" t="e">
        <f>VLOOKUP(I2515,PGStock[],3,FALSE)</f>
        <v>#N/A</v>
      </c>
      <c r="M2515" s="62" t="e">
        <f>VLOOKUP(I2515,PGStock[],6,FALSE)</f>
        <v>#N/A</v>
      </c>
      <c r="N2515" s="62" t="e">
        <f>+Table8[[#This Row],[SalesBot]]*Table8[[#This Row],[Bonus]]</f>
        <v>#N/A</v>
      </c>
    </row>
    <row r="2516" spans="1:14" ht="20.100000000000001" customHeight="1" x14ac:dyDescent="0.25">
      <c r="A2516" s="59">
        <f t="shared" si="360"/>
        <v>1900</v>
      </c>
      <c r="B2516" s="59">
        <f t="shared" si="361"/>
        <v>1</v>
      </c>
      <c r="C2516" s="97"/>
      <c r="D2516" s="61"/>
      <c r="F2516" s="23" t="e">
        <f>VLOOKUP(E2516,Customers[],2,FALSE)</f>
        <v>#N/A</v>
      </c>
      <c r="G2516" s="23" t="e">
        <f>VLOOKUP(E2516,Customers[],3,FALSE)</f>
        <v>#N/A</v>
      </c>
      <c r="H2516" s="23" t="e">
        <f>VLOOKUP(E2516,Customers[],4,FALSE)</f>
        <v>#N/A</v>
      </c>
      <c r="J2516" s="29" t="e">
        <f>VLOOKUP(I2516,PGStock[],2,FALSE)</f>
        <v>#N/A</v>
      </c>
      <c r="K2516" s="30" t="e">
        <f>VLOOKUP(I2516,PGStock[],3,FALSE)</f>
        <v>#N/A</v>
      </c>
      <c r="M2516" s="62" t="e">
        <f>VLOOKUP(I2516,PGStock[],6,FALSE)</f>
        <v>#N/A</v>
      </c>
      <c r="N2516" s="62" t="e">
        <f>+Table8[[#This Row],[SalesBot]]*Table8[[#This Row],[Bonus]]</f>
        <v>#N/A</v>
      </c>
    </row>
    <row r="2517" spans="1:14" ht="20.100000000000001" customHeight="1" x14ac:dyDescent="0.25">
      <c r="A2517" s="59">
        <f t="shared" si="360"/>
        <v>1900</v>
      </c>
      <c r="B2517" s="59">
        <f t="shared" si="361"/>
        <v>1</v>
      </c>
      <c r="C2517" s="97"/>
      <c r="D2517" s="61"/>
      <c r="F2517" s="23" t="e">
        <f>VLOOKUP(E2517,Customers[],2,FALSE)</f>
        <v>#N/A</v>
      </c>
      <c r="G2517" s="23" t="e">
        <f>VLOOKUP(E2517,Customers[],3,FALSE)</f>
        <v>#N/A</v>
      </c>
      <c r="H2517" s="23" t="e">
        <f>VLOOKUP(E2517,Customers[],4,FALSE)</f>
        <v>#N/A</v>
      </c>
      <c r="J2517" s="29" t="e">
        <f>VLOOKUP(I2517,PGStock[],2,FALSE)</f>
        <v>#N/A</v>
      </c>
      <c r="K2517" s="30" t="e">
        <f>VLOOKUP(I2517,PGStock[],3,FALSE)</f>
        <v>#N/A</v>
      </c>
      <c r="M2517" s="62" t="e">
        <f>VLOOKUP(I2517,PGStock[],6,FALSE)</f>
        <v>#N/A</v>
      </c>
      <c r="N2517" s="62" t="e">
        <f>+Table8[[#This Row],[SalesBot]]*Table8[[#This Row],[Bonus]]</f>
        <v>#N/A</v>
      </c>
    </row>
    <row r="2518" spans="1:14" ht="20.100000000000001" customHeight="1" x14ac:dyDescent="0.25">
      <c r="A2518" s="59">
        <f t="shared" si="360"/>
        <v>1900</v>
      </c>
      <c r="B2518" s="59">
        <f t="shared" si="361"/>
        <v>1</v>
      </c>
      <c r="C2518" s="97"/>
      <c r="D2518" s="61"/>
      <c r="F2518" s="23" t="e">
        <f>VLOOKUP(E2518,Customers[],2,FALSE)</f>
        <v>#N/A</v>
      </c>
      <c r="G2518" s="23" t="e">
        <f>VLOOKUP(E2518,Customers[],3,FALSE)</f>
        <v>#N/A</v>
      </c>
      <c r="H2518" s="23" t="e">
        <f>VLOOKUP(E2518,Customers[],4,FALSE)</f>
        <v>#N/A</v>
      </c>
      <c r="J2518" s="29" t="e">
        <f>VLOOKUP(I2518,PGStock[],2,FALSE)</f>
        <v>#N/A</v>
      </c>
      <c r="K2518" s="30" t="e">
        <f>VLOOKUP(I2518,PGStock[],3,FALSE)</f>
        <v>#N/A</v>
      </c>
      <c r="M2518" s="62" t="e">
        <f>VLOOKUP(I2518,PGStock[],6,FALSE)</f>
        <v>#N/A</v>
      </c>
      <c r="N2518" s="62" t="e">
        <f>+Table8[[#This Row],[SalesBot]]*Table8[[#This Row],[Bonus]]</f>
        <v>#N/A</v>
      </c>
    </row>
    <row r="2519" spans="1:14" ht="20.100000000000001" customHeight="1" x14ac:dyDescent="0.25">
      <c r="A2519" s="59">
        <f t="shared" si="360"/>
        <v>1900</v>
      </c>
      <c r="B2519" s="59">
        <f t="shared" si="361"/>
        <v>1</v>
      </c>
      <c r="C2519" s="97"/>
      <c r="D2519" s="61"/>
      <c r="F2519" s="23" t="e">
        <f>VLOOKUP(E2519,Customers[],2,FALSE)</f>
        <v>#N/A</v>
      </c>
      <c r="G2519" s="23" t="e">
        <f>VLOOKUP(E2519,Customers[],3,FALSE)</f>
        <v>#N/A</v>
      </c>
      <c r="H2519" s="23" t="e">
        <f>VLOOKUP(E2519,Customers[],4,FALSE)</f>
        <v>#N/A</v>
      </c>
      <c r="J2519" s="29" t="e">
        <f>VLOOKUP(I2519,PGStock[],2,FALSE)</f>
        <v>#N/A</v>
      </c>
      <c r="K2519" s="30" t="e">
        <f>VLOOKUP(I2519,PGStock[],3,FALSE)</f>
        <v>#N/A</v>
      </c>
      <c r="M2519" s="62" t="e">
        <f>VLOOKUP(I2519,PGStock[],6,FALSE)</f>
        <v>#N/A</v>
      </c>
      <c r="N2519" s="62" t="e">
        <f>+Table8[[#This Row],[SalesBot]]*Table8[[#This Row],[Bonus]]</f>
        <v>#N/A</v>
      </c>
    </row>
    <row r="2520" spans="1:14" ht="20.100000000000001" customHeight="1" x14ac:dyDescent="0.25">
      <c r="A2520" s="59">
        <f t="shared" si="360"/>
        <v>1900</v>
      </c>
      <c r="B2520" s="59">
        <f t="shared" si="361"/>
        <v>1</v>
      </c>
      <c r="C2520" s="97"/>
      <c r="D2520" s="61"/>
      <c r="F2520" s="23" t="e">
        <f>VLOOKUP(E2520,Customers[],2,FALSE)</f>
        <v>#N/A</v>
      </c>
      <c r="G2520" s="23" t="e">
        <f>VLOOKUP(E2520,Customers[],3,FALSE)</f>
        <v>#N/A</v>
      </c>
      <c r="H2520" s="23" t="e">
        <f>VLOOKUP(E2520,Customers[],4,FALSE)</f>
        <v>#N/A</v>
      </c>
      <c r="J2520" s="29" t="e">
        <f>VLOOKUP(I2520,PGStock[],2,FALSE)</f>
        <v>#N/A</v>
      </c>
      <c r="K2520" s="30" t="e">
        <f>VLOOKUP(I2520,PGStock[],3,FALSE)</f>
        <v>#N/A</v>
      </c>
      <c r="M2520" s="62" t="e">
        <f>VLOOKUP(I2520,PGStock[],6,FALSE)</f>
        <v>#N/A</v>
      </c>
      <c r="N2520" s="62" t="e">
        <f>+Table8[[#This Row],[SalesBot]]*Table8[[#This Row],[Bonus]]</f>
        <v>#N/A</v>
      </c>
    </row>
    <row r="2521" spans="1:14" ht="20.100000000000001" customHeight="1" x14ac:dyDescent="0.25">
      <c r="A2521" s="59">
        <f t="shared" si="360"/>
        <v>1900</v>
      </c>
      <c r="B2521" s="59">
        <f t="shared" si="361"/>
        <v>1</v>
      </c>
      <c r="C2521" s="97"/>
      <c r="D2521" s="61"/>
      <c r="F2521" s="23" t="e">
        <f>VLOOKUP(E2521,Customers[],2,FALSE)</f>
        <v>#N/A</v>
      </c>
      <c r="G2521" s="23" t="e">
        <f>VLOOKUP(E2521,Customers[],3,FALSE)</f>
        <v>#N/A</v>
      </c>
      <c r="H2521" s="23" t="e">
        <f>VLOOKUP(E2521,Customers[],4,FALSE)</f>
        <v>#N/A</v>
      </c>
      <c r="J2521" s="29" t="e">
        <f>VLOOKUP(I2521,PGStock[],2,FALSE)</f>
        <v>#N/A</v>
      </c>
      <c r="K2521" s="30" t="e">
        <f>VLOOKUP(I2521,PGStock[],3,FALSE)</f>
        <v>#N/A</v>
      </c>
      <c r="M2521" s="62" t="e">
        <f>VLOOKUP(I2521,PGStock[],6,FALSE)</f>
        <v>#N/A</v>
      </c>
      <c r="N2521" s="62" t="e">
        <f>+Table8[[#This Row],[SalesBot]]*Table8[[#This Row],[Bonus]]</f>
        <v>#N/A</v>
      </c>
    </row>
    <row r="2522" spans="1:14" ht="20.100000000000001" customHeight="1" x14ac:dyDescent="0.25">
      <c r="A2522" s="59">
        <f t="shared" si="360"/>
        <v>1900</v>
      </c>
      <c r="B2522" s="59">
        <f t="shared" si="361"/>
        <v>1</v>
      </c>
      <c r="C2522" s="97"/>
      <c r="D2522" s="61"/>
      <c r="F2522" s="23" t="e">
        <f>VLOOKUP(E2522,Customers[],2,FALSE)</f>
        <v>#N/A</v>
      </c>
      <c r="G2522" s="23" t="e">
        <f>VLOOKUP(E2522,Customers[],3,FALSE)</f>
        <v>#N/A</v>
      </c>
      <c r="H2522" s="23" t="e">
        <f>VLOOKUP(E2522,Customers[],4,FALSE)</f>
        <v>#N/A</v>
      </c>
      <c r="J2522" s="29" t="e">
        <f>VLOOKUP(I2522,PGStock[],2,FALSE)</f>
        <v>#N/A</v>
      </c>
      <c r="K2522" s="30" t="e">
        <f>VLOOKUP(I2522,PGStock[],3,FALSE)</f>
        <v>#N/A</v>
      </c>
      <c r="M2522" s="62" t="e">
        <f>VLOOKUP(I2522,PGStock[],6,FALSE)</f>
        <v>#N/A</v>
      </c>
      <c r="N2522" s="62" t="e">
        <f>+Table8[[#This Row],[SalesBot]]*Table8[[#This Row],[Bonus]]</f>
        <v>#N/A</v>
      </c>
    </row>
    <row r="2523" spans="1:14" ht="20.100000000000001" customHeight="1" x14ac:dyDescent="0.25">
      <c r="A2523" s="59">
        <f t="shared" si="360"/>
        <v>1900</v>
      </c>
      <c r="B2523" s="59">
        <f t="shared" si="361"/>
        <v>1</v>
      </c>
      <c r="C2523" s="97"/>
      <c r="D2523" s="61"/>
      <c r="F2523" s="23" t="e">
        <f>VLOOKUP(E2523,Customers[],2,FALSE)</f>
        <v>#N/A</v>
      </c>
      <c r="G2523" s="23" t="e">
        <f>VLOOKUP(E2523,Customers[],3,FALSE)</f>
        <v>#N/A</v>
      </c>
      <c r="H2523" s="23" t="e">
        <f>VLOOKUP(E2523,Customers[],4,FALSE)</f>
        <v>#N/A</v>
      </c>
      <c r="J2523" s="29" t="e">
        <f>VLOOKUP(I2523,PGStock[],2,FALSE)</f>
        <v>#N/A</v>
      </c>
      <c r="K2523" s="30" t="e">
        <f>VLOOKUP(I2523,PGStock[],3,FALSE)</f>
        <v>#N/A</v>
      </c>
      <c r="M2523" s="62" t="e">
        <f>VLOOKUP(I2523,PGStock[],6,FALSE)</f>
        <v>#N/A</v>
      </c>
      <c r="N2523" s="62" t="e">
        <f>+Table8[[#This Row],[SalesBot]]*Table8[[#This Row],[Bonus]]</f>
        <v>#N/A</v>
      </c>
    </row>
    <row r="2524" spans="1:14" ht="20.100000000000001" customHeight="1" x14ac:dyDescent="0.25">
      <c r="A2524" s="59">
        <f t="shared" si="360"/>
        <v>1900</v>
      </c>
      <c r="B2524" s="59">
        <f t="shared" si="361"/>
        <v>1</v>
      </c>
      <c r="C2524" s="97"/>
      <c r="D2524" s="61"/>
      <c r="F2524" s="23" t="e">
        <f>VLOOKUP(E2524,Customers[],2,FALSE)</f>
        <v>#N/A</v>
      </c>
      <c r="G2524" s="23" t="e">
        <f>VLOOKUP(E2524,Customers[],3,FALSE)</f>
        <v>#N/A</v>
      </c>
      <c r="H2524" s="23" t="e">
        <f>VLOOKUP(E2524,Customers[],4,FALSE)</f>
        <v>#N/A</v>
      </c>
      <c r="J2524" s="29" t="e">
        <f>VLOOKUP(I2524,PGStock[],2,FALSE)</f>
        <v>#N/A</v>
      </c>
      <c r="K2524" s="30" t="e">
        <f>VLOOKUP(I2524,PGStock[],3,FALSE)</f>
        <v>#N/A</v>
      </c>
      <c r="M2524" s="62" t="e">
        <f>VLOOKUP(I2524,PGStock[],6,FALSE)</f>
        <v>#N/A</v>
      </c>
      <c r="N2524" s="62" t="e">
        <f>+Table8[[#This Row],[SalesBot]]*Table8[[#This Row],[Bonus]]</f>
        <v>#N/A</v>
      </c>
    </row>
    <row r="2525" spans="1:14" ht="20.100000000000001" customHeight="1" x14ac:dyDescent="0.25">
      <c r="A2525" s="59">
        <f t="shared" si="360"/>
        <v>1900</v>
      </c>
      <c r="B2525" s="59">
        <f t="shared" si="361"/>
        <v>1</v>
      </c>
      <c r="C2525" s="97"/>
      <c r="D2525" s="61"/>
      <c r="F2525" s="23" t="e">
        <f>VLOOKUP(E2525,Customers[],2,FALSE)</f>
        <v>#N/A</v>
      </c>
      <c r="G2525" s="23" t="e">
        <f>VLOOKUP(E2525,Customers[],3,FALSE)</f>
        <v>#N/A</v>
      </c>
      <c r="H2525" s="23" t="e">
        <f>VLOOKUP(E2525,Customers[],4,FALSE)</f>
        <v>#N/A</v>
      </c>
      <c r="J2525" s="29" t="e">
        <f>VLOOKUP(I2525,PGStock[],2,FALSE)</f>
        <v>#N/A</v>
      </c>
      <c r="K2525" s="30" t="e">
        <f>VLOOKUP(I2525,PGStock[],3,FALSE)</f>
        <v>#N/A</v>
      </c>
      <c r="M2525" s="62" t="e">
        <f>VLOOKUP(I2525,PGStock[],6,FALSE)</f>
        <v>#N/A</v>
      </c>
      <c r="N2525" s="62" t="e">
        <f>+Table8[[#This Row],[SalesBot]]*Table8[[#This Row],[Bonus]]</f>
        <v>#N/A</v>
      </c>
    </row>
    <row r="2526" spans="1:14" ht="20.100000000000001" customHeight="1" x14ac:dyDescent="0.25">
      <c r="A2526" s="59">
        <f t="shared" si="360"/>
        <v>1900</v>
      </c>
      <c r="B2526" s="59">
        <f t="shared" si="361"/>
        <v>1</v>
      </c>
      <c r="C2526" s="97"/>
      <c r="D2526" s="61"/>
      <c r="F2526" s="23" t="e">
        <f>VLOOKUP(E2526,Customers[],2,FALSE)</f>
        <v>#N/A</v>
      </c>
      <c r="G2526" s="23" t="e">
        <f>VLOOKUP(E2526,Customers[],3,FALSE)</f>
        <v>#N/A</v>
      </c>
      <c r="H2526" s="23" t="e">
        <f>VLOOKUP(E2526,Customers[],4,FALSE)</f>
        <v>#N/A</v>
      </c>
      <c r="J2526" s="29" t="e">
        <f>VLOOKUP(I2526,PGStock[],2,FALSE)</f>
        <v>#N/A</v>
      </c>
      <c r="K2526" s="30" t="e">
        <f>VLOOKUP(I2526,PGStock[],3,FALSE)</f>
        <v>#N/A</v>
      </c>
      <c r="M2526" s="62" t="e">
        <f>VLOOKUP(I2526,PGStock[],6,FALSE)</f>
        <v>#N/A</v>
      </c>
      <c r="N2526" s="62" t="e">
        <f>+Table8[[#This Row],[SalesBot]]*Table8[[#This Row],[Bonus]]</f>
        <v>#N/A</v>
      </c>
    </row>
    <row r="2527" spans="1:14" ht="20.100000000000001" customHeight="1" x14ac:dyDescent="0.25">
      <c r="A2527" s="59">
        <f t="shared" ref="A2527:A2543" si="362">YEAR(C2527)</f>
        <v>1900</v>
      </c>
      <c r="B2527" s="59">
        <f t="shared" ref="B2527:B2543" si="363">MONTH(C2527)</f>
        <v>1</v>
      </c>
      <c r="C2527" s="97"/>
      <c r="D2527" s="61"/>
      <c r="F2527" s="23" t="e">
        <f>VLOOKUP(E2527,Customers[],2,FALSE)</f>
        <v>#N/A</v>
      </c>
      <c r="G2527" s="23" t="e">
        <f>VLOOKUP(E2527,Customers[],3,FALSE)</f>
        <v>#N/A</v>
      </c>
      <c r="H2527" s="23" t="e">
        <f>VLOOKUP(E2527,Customers[],4,FALSE)</f>
        <v>#N/A</v>
      </c>
      <c r="J2527" s="29" t="e">
        <f>VLOOKUP(I2527,PGStock[],2,FALSE)</f>
        <v>#N/A</v>
      </c>
      <c r="K2527" s="30" t="e">
        <f>VLOOKUP(I2527,PGStock[],3,FALSE)</f>
        <v>#N/A</v>
      </c>
      <c r="M2527" s="62" t="e">
        <f>VLOOKUP(I2527,PGStock[],6,FALSE)</f>
        <v>#N/A</v>
      </c>
      <c r="N2527" s="62" t="e">
        <f>+Table8[[#This Row],[SalesBot]]*Table8[[#This Row],[Bonus]]</f>
        <v>#N/A</v>
      </c>
    </row>
    <row r="2528" spans="1:14" ht="20.100000000000001" customHeight="1" x14ac:dyDescent="0.25">
      <c r="A2528" s="59">
        <f t="shared" si="362"/>
        <v>1900</v>
      </c>
      <c r="B2528" s="59">
        <f t="shared" si="363"/>
        <v>1</v>
      </c>
      <c r="C2528" s="97"/>
      <c r="D2528" s="61"/>
      <c r="F2528" s="23" t="e">
        <f>VLOOKUP(E2528,Customers[],2,FALSE)</f>
        <v>#N/A</v>
      </c>
      <c r="G2528" s="23" t="e">
        <f>VLOOKUP(E2528,Customers[],3,FALSE)</f>
        <v>#N/A</v>
      </c>
      <c r="H2528" s="23" t="e">
        <f>VLOOKUP(E2528,Customers[],4,FALSE)</f>
        <v>#N/A</v>
      </c>
      <c r="J2528" s="29" t="e">
        <f>VLOOKUP(I2528,PGStock[],2,FALSE)</f>
        <v>#N/A</v>
      </c>
      <c r="K2528" s="30" t="e">
        <f>VLOOKUP(I2528,PGStock[],3,FALSE)</f>
        <v>#N/A</v>
      </c>
      <c r="M2528" s="62" t="e">
        <f>VLOOKUP(I2528,PGStock[],6,FALSE)</f>
        <v>#N/A</v>
      </c>
      <c r="N2528" s="62" t="e">
        <f>+Table8[[#This Row],[SalesBot]]*Table8[[#This Row],[Bonus]]</f>
        <v>#N/A</v>
      </c>
    </row>
    <row r="2529" spans="1:14" ht="20.100000000000001" customHeight="1" x14ac:dyDescent="0.25">
      <c r="A2529" s="59">
        <f t="shared" si="362"/>
        <v>1900</v>
      </c>
      <c r="B2529" s="59">
        <f t="shared" si="363"/>
        <v>1</v>
      </c>
      <c r="C2529" s="97"/>
      <c r="D2529" s="61"/>
      <c r="F2529" s="23" t="e">
        <f>VLOOKUP(E2529,Customers[],2,FALSE)</f>
        <v>#N/A</v>
      </c>
      <c r="G2529" s="23" t="e">
        <f>VLOOKUP(E2529,Customers[],3,FALSE)</f>
        <v>#N/A</v>
      </c>
      <c r="H2529" s="23" t="e">
        <f>VLOOKUP(E2529,Customers[],4,FALSE)</f>
        <v>#N/A</v>
      </c>
      <c r="J2529" s="29" t="e">
        <f>VLOOKUP(I2529,PGStock[],2,FALSE)</f>
        <v>#N/A</v>
      </c>
      <c r="K2529" s="30" t="e">
        <f>VLOOKUP(I2529,PGStock[],3,FALSE)</f>
        <v>#N/A</v>
      </c>
      <c r="M2529" s="62" t="e">
        <f>VLOOKUP(I2529,PGStock[],6,FALSE)</f>
        <v>#N/A</v>
      </c>
      <c r="N2529" s="62" t="e">
        <f>+Table8[[#This Row],[SalesBot]]*Table8[[#This Row],[Bonus]]</f>
        <v>#N/A</v>
      </c>
    </row>
    <row r="2530" spans="1:14" ht="20.100000000000001" customHeight="1" x14ac:dyDescent="0.25">
      <c r="A2530" s="59">
        <f t="shared" si="362"/>
        <v>1900</v>
      </c>
      <c r="B2530" s="59">
        <f t="shared" si="363"/>
        <v>1</v>
      </c>
      <c r="C2530" s="97"/>
      <c r="D2530" s="61"/>
      <c r="F2530" s="23" t="e">
        <f>VLOOKUP(E2530,Customers[],2,FALSE)</f>
        <v>#N/A</v>
      </c>
      <c r="G2530" s="23" t="e">
        <f>VLOOKUP(E2530,Customers[],3,FALSE)</f>
        <v>#N/A</v>
      </c>
      <c r="H2530" s="23" t="e">
        <f>VLOOKUP(E2530,Customers[],4,FALSE)</f>
        <v>#N/A</v>
      </c>
      <c r="J2530" s="29" t="e">
        <f>VLOOKUP(I2530,PGStock[],2,FALSE)</f>
        <v>#N/A</v>
      </c>
      <c r="K2530" s="30" t="e">
        <f>VLOOKUP(I2530,PGStock[],3,FALSE)</f>
        <v>#N/A</v>
      </c>
      <c r="M2530" s="62" t="e">
        <f>VLOOKUP(I2530,PGStock[],6,FALSE)</f>
        <v>#N/A</v>
      </c>
      <c r="N2530" s="62" t="e">
        <f>+Table8[[#This Row],[SalesBot]]*Table8[[#This Row],[Bonus]]</f>
        <v>#N/A</v>
      </c>
    </row>
    <row r="2531" spans="1:14" ht="20.100000000000001" customHeight="1" x14ac:dyDescent="0.25">
      <c r="A2531" s="59">
        <f t="shared" si="362"/>
        <v>1900</v>
      </c>
      <c r="B2531" s="59">
        <f t="shared" si="363"/>
        <v>1</v>
      </c>
      <c r="C2531" s="97"/>
      <c r="D2531" s="61"/>
      <c r="F2531" s="23" t="e">
        <f>VLOOKUP(E2531,Customers[],2,FALSE)</f>
        <v>#N/A</v>
      </c>
      <c r="G2531" s="23" t="e">
        <f>VLOOKUP(E2531,Customers[],3,FALSE)</f>
        <v>#N/A</v>
      </c>
      <c r="H2531" s="23" t="e">
        <f>VLOOKUP(E2531,Customers[],4,FALSE)</f>
        <v>#N/A</v>
      </c>
      <c r="J2531" s="29" t="e">
        <f>VLOOKUP(I2531,PGStock[],2,FALSE)</f>
        <v>#N/A</v>
      </c>
      <c r="K2531" s="30" t="e">
        <f>VLOOKUP(I2531,PGStock[],3,FALSE)</f>
        <v>#N/A</v>
      </c>
      <c r="M2531" s="62" t="e">
        <f>VLOOKUP(I2531,PGStock[],6,FALSE)</f>
        <v>#N/A</v>
      </c>
      <c r="N2531" s="62" t="e">
        <f>+Table8[[#This Row],[SalesBot]]*Table8[[#This Row],[Bonus]]</f>
        <v>#N/A</v>
      </c>
    </row>
    <row r="2532" spans="1:14" ht="20.100000000000001" customHeight="1" x14ac:dyDescent="0.25">
      <c r="A2532" s="59">
        <f t="shared" si="362"/>
        <v>1900</v>
      </c>
      <c r="B2532" s="59">
        <f t="shared" si="363"/>
        <v>1</v>
      </c>
      <c r="C2532" s="97"/>
      <c r="D2532" s="61"/>
      <c r="F2532" s="23" t="e">
        <f>VLOOKUP(E2532,Customers[],2,FALSE)</f>
        <v>#N/A</v>
      </c>
      <c r="G2532" s="23" t="e">
        <f>VLOOKUP(E2532,Customers[],3,FALSE)</f>
        <v>#N/A</v>
      </c>
      <c r="H2532" s="23" t="e">
        <f>VLOOKUP(E2532,Customers[],4,FALSE)</f>
        <v>#N/A</v>
      </c>
      <c r="J2532" s="29" t="e">
        <f>VLOOKUP(I2532,PGStock[],2,FALSE)</f>
        <v>#N/A</v>
      </c>
      <c r="K2532" s="30" t="e">
        <f>VLOOKUP(I2532,PGStock[],3,FALSE)</f>
        <v>#N/A</v>
      </c>
      <c r="M2532" s="62" t="e">
        <f>VLOOKUP(I2532,PGStock[],6,FALSE)</f>
        <v>#N/A</v>
      </c>
      <c r="N2532" s="62" t="e">
        <f>+Table8[[#This Row],[SalesBot]]*Table8[[#This Row],[Bonus]]</f>
        <v>#N/A</v>
      </c>
    </row>
    <row r="2533" spans="1:14" ht="20.100000000000001" customHeight="1" x14ac:dyDescent="0.25">
      <c r="A2533" s="59">
        <f t="shared" si="362"/>
        <v>1900</v>
      </c>
      <c r="B2533" s="59">
        <f t="shared" si="363"/>
        <v>1</v>
      </c>
      <c r="C2533" s="97"/>
      <c r="D2533" s="61"/>
      <c r="F2533" s="23" t="e">
        <f>VLOOKUP(E2533,Customers[],2,FALSE)</f>
        <v>#N/A</v>
      </c>
      <c r="G2533" s="23" t="e">
        <f>VLOOKUP(E2533,Customers[],3,FALSE)</f>
        <v>#N/A</v>
      </c>
      <c r="H2533" s="23" t="e">
        <f>VLOOKUP(E2533,Customers[],4,FALSE)</f>
        <v>#N/A</v>
      </c>
      <c r="J2533" s="29" t="e">
        <f>VLOOKUP(I2533,PGStock[],2,FALSE)</f>
        <v>#N/A</v>
      </c>
      <c r="K2533" s="30" t="e">
        <f>VLOOKUP(I2533,PGStock[],3,FALSE)</f>
        <v>#N/A</v>
      </c>
      <c r="M2533" s="62" t="e">
        <f>VLOOKUP(I2533,PGStock[],6,FALSE)</f>
        <v>#N/A</v>
      </c>
      <c r="N2533" s="62" t="e">
        <f>+Table8[[#This Row],[SalesBot]]*Table8[[#This Row],[Bonus]]</f>
        <v>#N/A</v>
      </c>
    </row>
    <row r="2534" spans="1:14" ht="20.100000000000001" customHeight="1" x14ac:dyDescent="0.25">
      <c r="A2534" s="59">
        <f t="shared" si="362"/>
        <v>1900</v>
      </c>
      <c r="B2534" s="59">
        <f t="shared" si="363"/>
        <v>1</v>
      </c>
      <c r="C2534" s="97"/>
      <c r="D2534" s="61"/>
      <c r="F2534" s="23" t="e">
        <f>VLOOKUP(E2534,Customers[],2,FALSE)</f>
        <v>#N/A</v>
      </c>
      <c r="G2534" s="23" t="e">
        <f>VLOOKUP(E2534,Customers[],3,FALSE)</f>
        <v>#N/A</v>
      </c>
      <c r="H2534" s="23" t="e">
        <f>VLOOKUP(E2534,Customers[],4,FALSE)</f>
        <v>#N/A</v>
      </c>
      <c r="J2534" s="29" t="e">
        <f>VLOOKUP(I2534,PGStock[],2,FALSE)</f>
        <v>#N/A</v>
      </c>
      <c r="K2534" s="30" t="e">
        <f>VLOOKUP(I2534,PGStock[],3,FALSE)</f>
        <v>#N/A</v>
      </c>
      <c r="M2534" s="62" t="e">
        <f>VLOOKUP(I2534,PGStock[],6,FALSE)</f>
        <v>#N/A</v>
      </c>
      <c r="N2534" s="62" t="e">
        <f>+Table8[[#This Row],[SalesBot]]*Table8[[#This Row],[Bonus]]</f>
        <v>#N/A</v>
      </c>
    </row>
    <row r="2535" spans="1:14" ht="20.100000000000001" customHeight="1" x14ac:dyDescent="0.25">
      <c r="A2535" s="59">
        <f t="shared" si="362"/>
        <v>1900</v>
      </c>
      <c r="B2535" s="59">
        <f t="shared" si="363"/>
        <v>1</v>
      </c>
      <c r="C2535" s="97"/>
      <c r="D2535" s="61"/>
      <c r="F2535" s="23" t="e">
        <f>VLOOKUP(E2535,Customers[],2,FALSE)</f>
        <v>#N/A</v>
      </c>
      <c r="G2535" s="23" t="e">
        <f>VLOOKUP(E2535,Customers[],3,FALSE)</f>
        <v>#N/A</v>
      </c>
      <c r="H2535" s="23" t="e">
        <f>VLOOKUP(E2535,Customers[],4,FALSE)</f>
        <v>#N/A</v>
      </c>
      <c r="J2535" s="29" t="e">
        <f>VLOOKUP(I2535,PGStock[],2,FALSE)</f>
        <v>#N/A</v>
      </c>
      <c r="K2535" s="30" t="e">
        <f>VLOOKUP(I2535,PGStock[],3,FALSE)</f>
        <v>#N/A</v>
      </c>
      <c r="M2535" s="62" t="e">
        <f>VLOOKUP(I2535,PGStock[],6,FALSE)</f>
        <v>#N/A</v>
      </c>
      <c r="N2535" s="62" t="e">
        <f>+Table8[[#This Row],[SalesBot]]*Table8[[#This Row],[Bonus]]</f>
        <v>#N/A</v>
      </c>
    </row>
    <row r="2536" spans="1:14" ht="20.100000000000001" customHeight="1" x14ac:dyDescent="0.25">
      <c r="A2536" s="59">
        <f t="shared" si="362"/>
        <v>1900</v>
      </c>
      <c r="B2536" s="59">
        <f t="shared" si="363"/>
        <v>1</v>
      </c>
      <c r="C2536" s="97"/>
      <c r="D2536" s="61"/>
      <c r="F2536" s="23" t="e">
        <f>VLOOKUP(E2536,Customers[],2,FALSE)</f>
        <v>#N/A</v>
      </c>
      <c r="G2536" s="23" t="e">
        <f>VLOOKUP(E2536,Customers[],3,FALSE)</f>
        <v>#N/A</v>
      </c>
      <c r="H2536" s="23" t="e">
        <f>VLOOKUP(E2536,Customers[],4,FALSE)</f>
        <v>#N/A</v>
      </c>
      <c r="J2536" s="29" t="e">
        <f>VLOOKUP(I2536,PGStock[],2,FALSE)</f>
        <v>#N/A</v>
      </c>
      <c r="K2536" s="30" t="e">
        <f>VLOOKUP(I2536,PGStock[],3,FALSE)</f>
        <v>#N/A</v>
      </c>
      <c r="M2536" s="62" t="e">
        <f>VLOOKUP(I2536,PGStock[],6,FALSE)</f>
        <v>#N/A</v>
      </c>
      <c r="N2536" s="62" t="e">
        <f>+Table8[[#This Row],[SalesBot]]*Table8[[#This Row],[Bonus]]</f>
        <v>#N/A</v>
      </c>
    </row>
    <row r="2537" spans="1:14" ht="20.100000000000001" customHeight="1" x14ac:dyDescent="0.25">
      <c r="A2537" s="59">
        <f t="shared" si="362"/>
        <v>1900</v>
      </c>
      <c r="B2537" s="59">
        <f t="shared" si="363"/>
        <v>1</v>
      </c>
      <c r="C2537" s="97"/>
      <c r="D2537" s="61"/>
      <c r="F2537" s="23" t="e">
        <f>VLOOKUP(E2537,Customers[],2,FALSE)</f>
        <v>#N/A</v>
      </c>
      <c r="G2537" s="23" t="e">
        <f>VLOOKUP(E2537,Customers[],3,FALSE)</f>
        <v>#N/A</v>
      </c>
      <c r="H2537" s="23" t="e">
        <f>VLOOKUP(E2537,Customers[],4,FALSE)</f>
        <v>#N/A</v>
      </c>
      <c r="J2537" s="29" t="e">
        <f>VLOOKUP(I2537,PGStock[],2,FALSE)</f>
        <v>#N/A</v>
      </c>
      <c r="K2537" s="30" t="e">
        <f>VLOOKUP(I2537,PGStock[],3,FALSE)</f>
        <v>#N/A</v>
      </c>
      <c r="M2537" s="62" t="e">
        <f>VLOOKUP(I2537,PGStock[],6,FALSE)</f>
        <v>#N/A</v>
      </c>
      <c r="N2537" s="62" t="e">
        <f>+Table8[[#This Row],[SalesBot]]*Table8[[#This Row],[Bonus]]</f>
        <v>#N/A</v>
      </c>
    </row>
    <row r="2538" spans="1:14" ht="20.100000000000001" customHeight="1" x14ac:dyDescent="0.25">
      <c r="A2538" s="59">
        <f t="shared" si="362"/>
        <v>1900</v>
      </c>
      <c r="B2538" s="59">
        <f t="shared" si="363"/>
        <v>1</v>
      </c>
      <c r="C2538" s="97"/>
      <c r="D2538" s="61"/>
      <c r="F2538" s="23" t="e">
        <f>VLOOKUP(E2538,Customers[],2,FALSE)</f>
        <v>#N/A</v>
      </c>
      <c r="G2538" s="23" t="e">
        <f>VLOOKUP(E2538,Customers[],3,FALSE)</f>
        <v>#N/A</v>
      </c>
      <c r="H2538" s="23" t="e">
        <f>VLOOKUP(E2538,Customers[],4,FALSE)</f>
        <v>#N/A</v>
      </c>
      <c r="J2538" s="29" t="e">
        <f>VLOOKUP(I2538,PGStock[],2,FALSE)</f>
        <v>#N/A</v>
      </c>
      <c r="K2538" s="30" t="e">
        <f>VLOOKUP(I2538,PGStock[],3,FALSE)</f>
        <v>#N/A</v>
      </c>
      <c r="M2538" s="62" t="e">
        <f>VLOOKUP(I2538,PGStock[],6,FALSE)</f>
        <v>#N/A</v>
      </c>
      <c r="N2538" s="62" t="e">
        <f>+Table8[[#This Row],[SalesBot]]*Table8[[#This Row],[Bonus]]</f>
        <v>#N/A</v>
      </c>
    </row>
    <row r="2539" spans="1:14" ht="20.100000000000001" customHeight="1" x14ac:dyDescent="0.25">
      <c r="A2539" s="59">
        <f t="shared" si="362"/>
        <v>1900</v>
      </c>
      <c r="B2539" s="59">
        <f t="shared" si="363"/>
        <v>1</v>
      </c>
      <c r="C2539" s="97"/>
      <c r="D2539" s="61"/>
      <c r="F2539" s="23" t="e">
        <f>VLOOKUP(E2539,Customers[],2,FALSE)</f>
        <v>#N/A</v>
      </c>
      <c r="G2539" s="23" t="e">
        <f>VLOOKUP(E2539,Customers[],3,FALSE)</f>
        <v>#N/A</v>
      </c>
      <c r="H2539" s="23" t="e">
        <f>VLOOKUP(E2539,Customers[],4,FALSE)</f>
        <v>#N/A</v>
      </c>
      <c r="J2539" s="29" t="e">
        <f>VLOOKUP(I2539,PGStock[],2,FALSE)</f>
        <v>#N/A</v>
      </c>
      <c r="K2539" s="30" t="e">
        <f>VLOOKUP(I2539,PGStock[],3,FALSE)</f>
        <v>#N/A</v>
      </c>
      <c r="M2539" s="62" t="e">
        <f>VLOOKUP(I2539,PGStock[],6,FALSE)</f>
        <v>#N/A</v>
      </c>
      <c r="N2539" s="62" t="e">
        <f>+Table8[[#This Row],[SalesBot]]*Table8[[#This Row],[Bonus]]</f>
        <v>#N/A</v>
      </c>
    </row>
    <row r="2540" spans="1:14" ht="20.100000000000001" customHeight="1" x14ac:dyDescent="0.25">
      <c r="A2540" s="59">
        <f t="shared" si="362"/>
        <v>1900</v>
      </c>
      <c r="B2540" s="59">
        <f t="shared" si="363"/>
        <v>1</v>
      </c>
      <c r="C2540" s="97"/>
      <c r="D2540" s="61"/>
      <c r="F2540" s="23" t="e">
        <f>VLOOKUP(E2540,Customers[],2,FALSE)</f>
        <v>#N/A</v>
      </c>
      <c r="G2540" s="23" t="e">
        <f>VLOOKUP(E2540,Customers[],3,FALSE)</f>
        <v>#N/A</v>
      </c>
      <c r="H2540" s="23" t="e">
        <f>VLOOKUP(E2540,Customers[],4,FALSE)</f>
        <v>#N/A</v>
      </c>
      <c r="J2540" s="29" t="e">
        <f>VLOOKUP(I2540,PGStock[],2,FALSE)</f>
        <v>#N/A</v>
      </c>
      <c r="K2540" s="30" t="e">
        <f>VLOOKUP(I2540,PGStock[],3,FALSE)</f>
        <v>#N/A</v>
      </c>
      <c r="M2540" s="62" t="e">
        <f>VLOOKUP(I2540,PGStock[],6,FALSE)</f>
        <v>#N/A</v>
      </c>
      <c r="N2540" s="62" t="e">
        <f>+Table8[[#This Row],[SalesBot]]*Table8[[#This Row],[Bonus]]</f>
        <v>#N/A</v>
      </c>
    </row>
    <row r="2541" spans="1:14" ht="20.100000000000001" customHeight="1" x14ac:dyDescent="0.25">
      <c r="A2541" s="59">
        <f t="shared" si="362"/>
        <v>1900</v>
      </c>
      <c r="B2541" s="59">
        <f t="shared" si="363"/>
        <v>1</v>
      </c>
      <c r="C2541" s="97"/>
      <c r="D2541" s="61"/>
      <c r="F2541" s="23" t="e">
        <f>VLOOKUP(E2541,Customers[],2,FALSE)</f>
        <v>#N/A</v>
      </c>
      <c r="G2541" s="23" t="e">
        <f>VLOOKUP(E2541,Customers[],3,FALSE)</f>
        <v>#N/A</v>
      </c>
      <c r="H2541" s="23" t="e">
        <f>VLOOKUP(E2541,Customers[],4,FALSE)</f>
        <v>#N/A</v>
      </c>
      <c r="J2541" s="29" t="e">
        <f>VLOOKUP(I2541,PGStock[],2,FALSE)</f>
        <v>#N/A</v>
      </c>
      <c r="K2541" s="30" t="e">
        <f>VLOOKUP(I2541,PGStock[],3,FALSE)</f>
        <v>#N/A</v>
      </c>
      <c r="M2541" s="62" t="e">
        <f>VLOOKUP(I2541,PGStock[],6,FALSE)</f>
        <v>#N/A</v>
      </c>
      <c r="N2541" s="62" t="e">
        <f>+Table8[[#This Row],[SalesBot]]*Table8[[#This Row],[Bonus]]</f>
        <v>#N/A</v>
      </c>
    </row>
    <row r="2542" spans="1:14" ht="20.100000000000001" customHeight="1" x14ac:dyDescent="0.25">
      <c r="A2542" s="59">
        <f t="shared" si="362"/>
        <v>1900</v>
      </c>
      <c r="B2542" s="59">
        <f t="shared" si="363"/>
        <v>1</v>
      </c>
      <c r="C2542" s="97"/>
      <c r="D2542" s="61"/>
      <c r="F2542" s="23" t="e">
        <f>VLOOKUP(E2542,Customers[],2,FALSE)</f>
        <v>#N/A</v>
      </c>
      <c r="G2542" s="23" t="e">
        <f>VLOOKUP(E2542,Customers[],3,FALSE)</f>
        <v>#N/A</v>
      </c>
      <c r="H2542" s="23" t="e">
        <f>VLOOKUP(E2542,Customers[],4,FALSE)</f>
        <v>#N/A</v>
      </c>
      <c r="J2542" s="29" t="e">
        <f>VLOOKUP(I2542,PGStock[],2,FALSE)</f>
        <v>#N/A</v>
      </c>
      <c r="K2542" s="30" t="e">
        <f>VLOOKUP(I2542,PGStock[],3,FALSE)</f>
        <v>#N/A</v>
      </c>
      <c r="M2542" s="62" t="e">
        <f>VLOOKUP(I2542,PGStock[],6,FALSE)</f>
        <v>#N/A</v>
      </c>
      <c r="N2542" s="62" t="e">
        <f>+Table8[[#This Row],[SalesBot]]*Table8[[#This Row],[Bonus]]</f>
        <v>#N/A</v>
      </c>
    </row>
    <row r="2543" spans="1:14" ht="20.100000000000001" customHeight="1" x14ac:dyDescent="0.25">
      <c r="A2543" s="59">
        <f t="shared" si="362"/>
        <v>1900</v>
      </c>
      <c r="B2543" s="59">
        <f t="shared" si="363"/>
        <v>1</v>
      </c>
      <c r="C2543" s="97"/>
      <c r="D2543" s="61"/>
      <c r="F2543" s="23" t="e">
        <f>VLOOKUP(E2543,Customers[],2,FALSE)</f>
        <v>#N/A</v>
      </c>
      <c r="G2543" s="23" t="e">
        <f>VLOOKUP(E2543,Customers[],3,FALSE)</f>
        <v>#N/A</v>
      </c>
      <c r="H2543" s="23" t="e">
        <f>VLOOKUP(E2543,Customers[],4,FALSE)</f>
        <v>#N/A</v>
      </c>
      <c r="J2543" s="29" t="e">
        <f>VLOOKUP(I2543,PGStock[],2,FALSE)</f>
        <v>#N/A</v>
      </c>
      <c r="K2543" s="30" t="e">
        <f>VLOOKUP(I2543,PGStock[],3,FALSE)</f>
        <v>#N/A</v>
      </c>
      <c r="M2543" s="62" t="e">
        <f>VLOOKUP(I2543,PGStock[],6,FALSE)</f>
        <v>#N/A</v>
      </c>
      <c r="N2543" s="62" t="e">
        <f>+Table8[[#This Row],[SalesBot]]*Table8[[#This Row],[Bonus]]</f>
        <v>#N/A</v>
      </c>
    </row>
    <row r="2544" spans="1:14" ht="20.100000000000001" customHeight="1" x14ac:dyDescent="0.25">
      <c r="A2544" s="59">
        <f t="shared" ref="A2544:A2560" si="364">YEAR(C2544)</f>
        <v>1900</v>
      </c>
      <c r="B2544" s="59">
        <f t="shared" ref="B2544:B2560" si="365">MONTH(C2544)</f>
        <v>1</v>
      </c>
      <c r="C2544" s="97"/>
      <c r="D2544" s="61"/>
      <c r="F2544" s="23" t="e">
        <f>VLOOKUP(E2544,Customers[],2,FALSE)</f>
        <v>#N/A</v>
      </c>
      <c r="G2544" s="23" t="e">
        <f>VLOOKUP(E2544,Customers[],3,FALSE)</f>
        <v>#N/A</v>
      </c>
      <c r="H2544" s="23" t="e">
        <f>VLOOKUP(E2544,Customers[],4,FALSE)</f>
        <v>#N/A</v>
      </c>
      <c r="J2544" s="29" t="e">
        <f>VLOOKUP(I2544,PGStock[],2,FALSE)</f>
        <v>#N/A</v>
      </c>
      <c r="K2544" s="30" t="e">
        <f>VLOOKUP(I2544,PGStock[],3,FALSE)</f>
        <v>#N/A</v>
      </c>
      <c r="M2544" s="62" t="e">
        <f>VLOOKUP(I2544,PGStock[],6,FALSE)</f>
        <v>#N/A</v>
      </c>
      <c r="N2544" s="62" t="e">
        <f>+Table8[[#This Row],[SalesBot]]*Table8[[#This Row],[Bonus]]</f>
        <v>#N/A</v>
      </c>
    </row>
    <row r="2545" spans="1:14" ht="20.100000000000001" customHeight="1" x14ac:dyDescent="0.25">
      <c r="A2545" s="59">
        <f t="shared" si="364"/>
        <v>1900</v>
      </c>
      <c r="B2545" s="59">
        <f t="shared" si="365"/>
        <v>1</v>
      </c>
      <c r="C2545" s="97"/>
      <c r="D2545" s="61"/>
      <c r="F2545" s="23" t="e">
        <f>VLOOKUP(E2545,Customers[],2,FALSE)</f>
        <v>#N/A</v>
      </c>
      <c r="G2545" s="23" t="e">
        <f>VLOOKUP(E2545,Customers[],3,FALSE)</f>
        <v>#N/A</v>
      </c>
      <c r="H2545" s="23" t="e">
        <f>VLOOKUP(E2545,Customers[],4,FALSE)</f>
        <v>#N/A</v>
      </c>
      <c r="J2545" s="29" t="e">
        <f>VLOOKUP(I2545,PGStock[],2,FALSE)</f>
        <v>#N/A</v>
      </c>
      <c r="K2545" s="30" t="e">
        <f>VLOOKUP(I2545,PGStock[],3,FALSE)</f>
        <v>#N/A</v>
      </c>
      <c r="M2545" s="62" t="e">
        <f>VLOOKUP(I2545,PGStock[],6,FALSE)</f>
        <v>#N/A</v>
      </c>
      <c r="N2545" s="62" t="e">
        <f>+Table8[[#This Row],[SalesBot]]*Table8[[#This Row],[Bonus]]</f>
        <v>#N/A</v>
      </c>
    </row>
    <row r="2546" spans="1:14" ht="20.100000000000001" customHeight="1" x14ac:dyDescent="0.25">
      <c r="A2546" s="59">
        <f t="shared" si="364"/>
        <v>1900</v>
      </c>
      <c r="B2546" s="59">
        <f t="shared" si="365"/>
        <v>1</v>
      </c>
      <c r="C2546" s="97"/>
      <c r="D2546" s="61"/>
      <c r="F2546" s="23" t="e">
        <f>VLOOKUP(E2546,Customers[],2,FALSE)</f>
        <v>#N/A</v>
      </c>
      <c r="G2546" s="23" t="e">
        <f>VLOOKUP(E2546,Customers[],3,FALSE)</f>
        <v>#N/A</v>
      </c>
      <c r="H2546" s="23" t="e">
        <f>VLOOKUP(E2546,Customers[],4,FALSE)</f>
        <v>#N/A</v>
      </c>
      <c r="J2546" s="29" t="e">
        <f>VLOOKUP(I2546,PGStock[],2,FALSE)</f>
        <v>#N/A</v>
      </c>
      <c r="K2546" s="30" t="e">
        <f>VLOOKUP(I2546,PGStock[],3,FALSE)</f>
        <v>#N/A</v>
      </c>
      <c r="M2546" s="62" t="e">
        <f>VLOOKUP(I2546,PGStock[],6,FALSE)</f>
        <v>#N/A</v>
      </c>
      <c r="N2546" s="62" t="e">
        <f>+Table8[[#This Row],[SalesBot]]*Table8[[#This Row],[Bonus]]</f>
        <v>#N/A</v>
      </c>
    </row>
    <row r="2547" spans="1:14" ht="20.100000000000001" customHeight="1" x14ac:dyDescent="0.25">
      <c r="A2547" s="59">
        <f t="shared" si="364"/>
        <v>1900</v>
      </c>
      <c r="B2547" s="59">
        <f t="shared" si="365"/>
        <v>1</v>
      </c>
      <c r="C2547" s="97"/>
      <c r="D2547" s="61"/>
      <c r="F2547" s="23" t="e">
        <f>VLOOKUP(E2547,Customers[],2,FALSE)</f>
        <v>#N/A</v>
      </c>
      <c r="G2547" s="23" t="e">
        <f>VLOOKUP(E2547,Customers[],3,FALSE)</f>
        <v>#N/A</v>
      </c>
      <c r="H2547" s="23" t="e">
        <f>VLOOKUP(E2547,Customers[],4,FALSE)</f>
        <v>#N/A</v>
      </c>
      <c r="J2547" s="29" t="e">
        <f>VLOOKUP(I2547,PGStock[],2,FALSE)</f>
        <v>#N/A</v>
      </c>
      <c r="K2547" s="30" t="e">
        <f>VLOOKUP(I2547,PGStock[],3,FALSE)</f>
        <v>#N/A</v>
      </c>
      <c r="M2547" s="62" t="e">
        <f>VLOOKUP(I2547,PGStock[],6,FALSE)</f>
        <v>#N/A</v>
      </c>
      <c r="N2547" s="62" t="e">
        <f>+Table8[[#This Row],[SalesBot]]*Table8[[#This Row],[Bonus]]</f>
        <v>#N/A</v>
      </c>
    </row>
    <row r="2548" spans="1:14" ht="20.100000000000001" customHeight="1" x14ac:dyDescent="0.25">
      <c r="A2548" s="59">
        <f t="shared" si="364"/>
        <v>1900</v>
      </c>
      <c r="B2548" s="59">
        <f t="shared" si="365"/>
        <v>1</v>
      </c>
      <c r="C2548" s="97"/>
      <c r="D2548" s="61"/>
      <c r="F2548" s="23" t="e">
        <f>VLOOKUP(E2548,Customers[],2,FALSE)</f>
        <v>#N/A</v>
      </c>
      <c r="G2548" s="23" t="e">
        <f>VLOOKUP(E2548,Customers[],3,FALSE)</f>
        <v>#N/A</v>
      </c>
      <c r="H2548" s="23" t="e">
        <f>VLOOKUP(E2548,Customers[],4,FALSE)</f>
        <v>#N/A</v>
      </c>
      <c r="J2548" s="29" t="e">
        <f>VLOOKUP(I2548,PGStock[],2,FALSE)</f>
        <v>#N/A</v>
      </c>
      <c r="K2548" s="30" t="e">
        <f>VLOOKUP(I2548,PGStock[],3,FALSE)</f>
        <v>#N/A</v>
      </c>
      <c r="M2548" s="62" t="e">
        <f>VLOOKUP(I2548,PGStock[],6,FALSE)</f>
        <v>#N/A</v>
      </c>
      <c r="N2548" s="62" t="e">
        <f>+Table8[[#This Row],[SalesBot]]*Table8[[#This Row],[Bonus]]</f>
        <v>#N/A</v>
      </c>
    </row>
    <row r="2549" spans="1:14" ht="20.100000000000001" customHeight="1" x14ac:dyDescent="0.25">
      <c r="A2549" s="59">
        <f t="shared" si="364"/>
        <v>1900</v>
      </c>
      <c r="B2549" s="59">
        <f t="shared" si="365"/>
        <v>1</v>
      </c>
      <c r="C2549" s="97"/>
      <c r="D2549" s="61"/>
      <c r="F2549" s="23" t="e">
        <f>VLOOKUP(E2549,Customers[],2,FALSE)</f>
        <v>#N/A</v>
      </c>
      <c r="G2549" s="23" t="e">
        <f>VLOOKUP(E2549,Customers[],3,FALSE)</f>
        <v>#N/A</v>
      </c>
      <c r="H2549" s="23" t="e">
        <f>VLOOKUP(E2549,Customers[],4,FALSE)</f>
        <v>#N/A</v>
      </c>
      <c r="J2549" s="29" t="e">
        <f>VLOOKUP(I2549,PGStock[],2,FALSE)</f>
        <v>#N/A</v>
      </c>
      <c r="K2549" s="30" t="e">
        <f>VLOOKUP(I2549,PGStock[],3,FALSE)</f>
        <v>#N/A</v>
      </c>
      <c r="M2549" s="62" t="e">
        <f>VLOOKUP(I2549,PGStock[],6,FALSE)</f>
        <v>#N/A</v>
      </c>
      <c r="N2549" s="62" t="e">
        <f>+Table8[[#This Row],[SalesBot]]*Table8[[#This Row],[Bonus]]</f>
        <v>#N/A</v>
      </c>
    </row>
    <row r="2550" spans="1:14" ht="20.100000000000001" customHeight="1" x14ac:dyDescent="0.25">
      <c r="A2550" s="59">
        <f t="shared" si="364"/>
        <v>1900</v>
      </c>
      <c r="B2550" s="59">
        <f t="shared" si="365"/>
        <v>1</v>
      </c>
      <c r="C2550" s="97"/>
      <c r="D2550" s="61"/>
      <c r="F2550" s="23" t="e">
        <f>VLOOKUP(E2550,Customers[],2,FALSE)</f>
        <v>#N/A</v>
      </c>
      <c r="G2550" s="23" t="e">
        <f>VLOOKUP(E2550,Customers[],3,FALSE)</f>
        <v>#N/A</v>
      </c>
      <c r="H2550" s="23" t="e">
        <f>VLOOKUP(E2550,Customers[],4,FALSE)</f>
        <v>#N/A</v>
      </c>
      <c r="J2550" s="29" t="e">
        <f>VLOOKUP(I2550,PGStock[],2,FALSE)</f>
        <v>#N/A</v>
      </c>
      <c r="K2550" s="30" t="e">
        <f>VLOOKUP(I2550,PGStock[],3,FALSE)</f>
        <v>#N/A</v>
      </c>
      <c r="M2550" s="62" t="e">
        <f>VLOOKUP(I2550,PGStock[],6,FALSE)</f>
        <v>#N/A</v>
      </c>
      <c r="N2550" s="62" t="e">
        <f>+Table8[[#This Row],[SalesBot]]*Table8[[#This Row],[Bonus]]</f>
        <v>#N/A</v>
      </c>
    </row>
    <row r="2551" spans="1:14" ht="20.100000000000001" customHeight="1" x14ac:dyDescent="0.25">
      <c r="A2551" s="59">
        <f t="shared" si="364"/>
        <v>1900</v>
      </c>
      <c r="B2551" s="59">
        <f t="shared" si="365"/>
        <v>1</v>
      </c>
      <c r="C2551" s="97"/>
      <c r="D2551" s="61"/>
      <c r="F2551" s="23" t="e">
        <f>VLOOKUP(E2551,Customers[],2,FALSE)</f>
        <v>#N/A</v>
      </c>
      <c r="G2551" s="23" t="e">
        <f>VLOOKUP(E2551,Customers[],3,FALSE)</f>
        <v>#N/A</v>
      </c>
      <c r="H2551" s="23" t="e">
        <f>VLOOKUP(E2551,Customers[],4,FALSE)</f>
        <v>#N/A</v>
      </c>
      <c r="J2551" s="29" t="e">
        <f>VLOOKUP(I2551,PGStock[],2,FALSE)</f>
        <v>#N/A</v>
      </c>
      <c r="K2551" s="30" t="e">
        <f>VLOOKUP(I2551,PGStock[],3,FALSE)</f>
        <v>#N/A</v>
      </c>
      <c r="M2551" s="62" t="e">
        <f>VLOOKUP(I2551,PGStock[],6,FALSE)</f>
        <v>#N/A</v>
      </c>
      <c r="N2551" s="62" t="e">
        <f>+Table8[[#This Row],[SalesBot]]*Table8[[#This Row],[Bonus]]</f>
        <v>#N/A</v>
      </c>
    </row>
    <row r="2552" spans="1:14" ht="20.100000000000001" customHeight="1" x14ac:dyDescent="0.25">
      <c r="A2552" s="59">
        <f t="shared" si="364"/>
        <v>1900</v>
      </c>
      <c r="B2552" s="59">
        <f t="shared" si="365"/>
        <v>1</v>
      </c>
      <c r="C2552" s="97"/>
      <c r="D2552" s="61"/>
      <c r="F2552" s="23" t="e">
        <f>VLOOKUP(E2552,Customers[],2,FALSE)</f>
        <v>#N/A</v>
      </c>
      <c r="G2552" s="23" t="e">
        <f>VLOOKUP(E2552,Customers[],3,FALSE)</f>
        <v>#N/A</v>
      </c>
      <c r="H2552" s="23" t="e">
        <f>VLOOKUP(E2552,Customers[],4,FALSE)</f>
        <v>#N/A</v>
      </c>
      <c r="J2552" s="29" t="e">
        <f>VLOOKUP(I2552,PGStock[],2,FALSE)</f>
        <v>#N/A</v>
      </c>
      <c r="K2552" s="30" t="e">
        <f>VLOOKUP(I2552,PGStock[],3,FALSE)</f>
        <v>#N/A</v>
      </c>
      <c r="M2552" s="62" t="e">
        <f>VLOOKUP(I2552,PGStock[],6,FALSE)</f>
        <v>#N/A</v>
      </c>
      <c r="N2552" s="62" t="e">
        <f>+Table8[[#This Row],[SalesBot]]*Table8[[#This Row],[Bonus]]</f>
        <v>#N/A</v>
      </c>
    </row>
    <row r="2553" spans="1:14" ht="20.100000000000001" customHeight="1" x14ac:dyDescent="0.25">
      <c r="A2553" s="59">
        <f t="shared" si="364"/>
        <v>1900</v>
      </c>
      <c r="B2553" s="59">
        <f t="shared" si="365"/>
        <v>1</v>
      </c>
      <c r="C2553" s="97"/>
      <c r="D2553" s="61"/>
      <c r="F2553" s="23" t="e">
        <f>VLOOKUP(E2553,Customers[],2,FALSE)</f>
        <v>#N/A</v>
      </c>
      <c r="G2553" s="23" t="e">
        <f>VLOOKUP(E2553,Customers[],3,FALSE)</f>
        <v>#N/A</v>
      </c>
      <c r="H2553" s="23" t="e">
        <f>VLOOKUP(E2553,Customers[],4,FALSE)</f>
        <v>#N/A</v>
      </c>
      <c r="J2553" s="29" t="e">
        <f>VLOOKUP(I2553,PGStock[],2,FALSE)</f>
        <v>#N/A</v>
      </c>
      <c r="K2553" s="30" t="e">
        <f>VLOOKUP(I2553,PGStock[],3,FALSE)</f>
        <v>#N/A</v>
      </c>
      <c r="M2553" s="62" t="e">
        <f>VLOOKUP(I2553,PGStock[],6,FALSE)</f>
        <v>#N/A</v>
      </c>
      <c r="N2553" s="62" t="e">
        <f>+Table8[[#This Row],[SalesBot]]*Table8[[#This Row],[Bonus]]</f>
        <v>#N/A</v>
      </c>
    </row>
    <row r="2554" spans="1:14" ht="20.100000000000001" customHeight="1" x14ac:dyDescent="0.25">
      <c r="A2554" s="59">
        <f t="shared" si="364"/>
        <v>1900</v>
      </c>
      <c r="B2554" s="59">
        <f t="shared" si="365"/>
        <v>1</v>
      </c>
      <c r="C2554" s="97"/>
      <c r="D2554" s="61"/>
      <c r="F2554" s="23" t="e">
        <f>VLOOKUP(E2554,Customers[],2,FALSE)</f>
        <v>#N/A</v>
      </c>
      <c r="G2554" s="23" t="e">
        <f>VLOOKUP(E2554,Customers[],3,FALSE)</f>
        <v>#N/A</v>
      </c>
      <c r="H2554" s="23" t="e">
        <f>VLOOKUP(E2554,Customers[],4,FALSE)</f>
        <v>#N/A</v>
      </c>
      <c r="J2554" s="29" t="e">
        <f>VLOOKUP(I2554,PGStock[],2,FALSE)</f>
        <v>#N/A</v>
      </c>
      <c r="K2554" s="30" t="e">
        <f>VLOOKUP(I2554,PGStock[],3,FALSE)</f>
        <v>#N/A</v>
      </c>
      <c r="M2554" s="62" t="e">
        <f>VLOOKUP(I2554,PGStock[],6,FALSE)</f>
        <v>#N/A</v>
      </c>
      <c r="N2554" s="62" t="e">
        <f>+Table8[[#This Row],[SalesBot]]*Table8[[#This Row],[Bonus]]</f>
        <v>#N/A</v>
      </c>
    </row>
    <row r="2555" spans="1:14" ht="20.100000000000001" customHeight="1" x14ac:dyDescent="0.25">
      <c r="A2555" s="59">
        <f t="shared" si="364"/>
        <v>1900</v>
      </c>
      <c r="B2555" s="59">
        <f t="shared" si="365"/>
        <v>1</v>
      </c>
      <c r="C2555" s="97"/>
      <c r="D2555" s="61"/>
      <c r="F2555" s="23" t="e">
        <f>VLOOKUP(E2555,Customers[],2,FALSE)</f>
        <v>#N/A</v>
      </c>
      <c r="G2555" s="23" t="e">
        <f>VLOOKUP(E2555,Customers[],3,FALSE)</f>
        <v>#N/A</v>
      </c>
      <c r="H2555" s="23" t="e">
        <f>VLOOKUP(E2555,Customers[],4,FALSE)</f>
        <v>#N/A</v>
      </c>
      <c r="J2555" s="29" t="e">
        <f>VLOOKUP(I2555,PGStock[],2,FALSE)</f>
        <v>#N/A</v>
      </c>
      <c r="K2555" s="30" t="e">
        <f>VLOOKUP(I2555,PGStock[],3,FALSE)</f>
        <v>#N/A</v>
      </c>
      <c r="M2555" s="62" t="e">
        <f>VLOOKUP(I2555,PGStock[],6,FALSE)</f>
        <v>#N/A</v>
      </c>
      <c r="N2555" s="62" t="e">
        <f>+Table8[[#This Row],[SalesBot]]*Table8[[#This Row],[Bonus]]</f>
        <v>#N/A</v>
      </c>
    </row>
    <row r="2556" spans="1:14" ht="20.100000000000001" customHeight="1" x14ac:dyDescent="0.25">
      <c r="A2556" s="59">
        <f t="shared" si="364"/>
        <v>1900</v>
      </c>
      <c r="B2556" s="59">
        <f t="shared" si="365"/>
        <v>1</v>
      </c>
      <c r="C2556" s="97"/>
      <c r="D2556" s="61"/>
      <c r="F2556" s="23" t="e">
        <f>VLOOKUP(E2556,Customers[],2,FALSE)</f>
        <v>#N/A</v>
      </c>
      <c r="G2556" s="23" t="e">
        <f>VLOOKUP(E2556,Customers[],3,FALSE)</f>
        <v>#N/A</v>
      </c>
      <c r="H2556" s="23" t="e">
        <f>VLOOKUP(E2556,Customers[],4,FALSE)</f>
        <v>#N/A</v>
      </c>
      <c r="J2556" s="29" t="e">
        <f>VLOOKUP(I2556,PGStock[],2,FALSE)</f>
        <v>#N/A</v>
      </c>
      <c r="K2556" s="30" t="e">
        <f>VLOOKUP(I2556,PGStock[],3,FALSE)</f>
        <v>#N/A</v>
      </c>
      <c r="M2556" s="62" t="e">
        <f>VLOOKUP(I2556,PGStock[],6,FALSE)</f>
        <v>#N/A</v>
      </c>
      <c r="N2556" s="62" t="e">
        <f>+Table8[[#This Row],[SalesBot]]*Table8[[#This Row],[Bonus]]</f>
        <v>#N/A</v>
      </c>
    </row>
    <row r="2557" spans="1:14" ht="20.100000000000001" customHeight="1" x14ac:dyDescent="0.25">
      <c r="A2557" s="59">
        <f t="shared" si="364"/>
        <v>1900</v>
      </c>
      <c r="B2557" s="59">
        <f t="shared" si="365"/>
        <v>1</v>
      </c>
      <c r="C2557" s="97"/>
      <c r="D2557" s="61"/>
      <c r="F2557" s="23" t="e">
        <f>VLOOKUP(E2557,Customers[],2,FALSE)</f>
        <v>#N/A</v>
      </c>
      <c r="G2557" s="23" t="e">
        <f>VLOOKUP(E2557,Customers[],3,FALSE)</f>
        <v>#N/A</v>
      </c>
      <c r="H2557" s="23" t="e">
        <f>VLOOKUP(E2557,Customers[],4,FALSE)</f>
        <v>#N/A</v>
      </c>
      <c r="J2557" s="29" t="e">
        <f>VLOOKUP(I2557,PGStock[],2,FALSE)</f>
        <v>#N/A</v>
      </c>
      <c r="K2557" s="30" t="e">
        <f>VLOOKUP(I2557,PGStock[],3,FALSE)</f>
        <v>#N/A</v>
      </c>
      <c r="M2557" s="62" t="e">
        <f>VLOOKUP(I2557,PGStock[],6,FALSE)</f>
        <v>#N/A</v>
      </c>
      <c r="N2557" s="62" t="e">
        <f>+Table8[[#This Row],[SalesBot]]*Table8[[#This Row],[Bonus]]</f>
        <v>#N/A</v>
      </c>
    </row>
    <row r="2558" spans="1:14" ht="20.100000000000001" customHeight="1" x14ac:dyDescent="0.25">
      <c r="A2558" s="59">
        <f t="shared" si="364"/>
        <v>1900</v>
      </c>
      <c r="B2558" s="59">
        <f t="shared" si="365"/>
        <v>1</v>
      </c>
      <c r="C2558" s="97"/>
      <c r="D2558" s="61"/>
      <c r="F2558" s="23" t="e">
        <f>VLOOKUP(E2558,Customers[],2,FALSE)</f>
        <v>#N/A</v>
      </c>
      <c r="G2558" s="23" t="e">
        <f>VLOOKUP(E2558,Customers[],3,FALSE)</f>
        <v>#N/A</v>
      </c>
      <c r="H2558" s="23" t="e">
        <f>VLOOKUP(E2558,Customers[],4,FALSE)</f>
        <v>#N/A</v>
      </c>
      <c r="J2558" s="29" t="e">
        <f>VLOOKUP(I2558,PGStock[],2,FALSE)</f>
        <v>#N/A</v>
      </c>
      <c r="K2558" s="30" t="e">
        <f>VLOOKUP(I2558,PGStock[],3,FALSE)</f>
        <v>#N/A</v>
      </c>
      <c r="M2558" s="62" t="e">
        <f>VLOOKUP(I2558,PGStock[],6,FALSE)</f>
        <v>#N/A</v>
      </c>
      <c r="N2558" s="62" t="e">
        <f>+Table8[[#This Row],[SalesBot]]*Table8[[#This Row],[Bonus]]</f>
        <v>#N/A</v>
      </c>
    </row>
    <row r="2559" spans="1:14" ht="20.100000000000001" customHeight="1" x14ac:dyDescent="0.25">
      <c r="A2559" s="59">
        <f t="shared" si="364"/>
        <v>1900</v>
      </c>
      <c r="B2559" s="59">
        <f t="shared" si="365"/>
        <v>1</v>
      </c>
      <c r="C2559" s="97"/>
      <c r="D2559" s="61"/>
      <c r="F2559" s="23" t="e">
        <f>VLOOKUP(E2559,Customers[],2,FALSE)</f>
        <v>#N/A</v>
      </c>
      <c r="G2559" s="23" t="e">
        <f>VLOOKUP(E2559,Customers[],3,FALSE)</f>
        <v>#N/A</v>
      </c>
      <c r="H2559" s="23" t="e">
        <f>VLOOKUP(E2559,Customers[],4,FALSE)</f>
        <v>#N/A</v>
      </c>
      <c r="J2559" s="29" t="e">
        <f>VLOOKUP(I2559,PGStock[],2,FALSE)</f>
        <v>#N/A</v>
      </c>
      <c r="K2559" s="30" t="e">
        <f>VLOOKUP(I2559,PGStock[],3,FALSE)</f>
        <v>#N/A</v>
      </c>
      <c r="M2559" s="62" t="e">
        <f>VLOOKUP(I2559,PGStock[],6,FALSE)</f>
        <v>#N/A</v>
      </c>
      <c r="N2559" s="62" t="e">
        <f>+Table8[[#This Row],[SalesBot]]*Table8[[#This Row],[Bonus]]</f>
        <v>#N/A</v>
      </c>
    </row>
    <row r="2560" spans="1:14" ht="20.100000000000001" customHeight="1" x14ac:dyDescent="0.25">
      <c r="A2560" s="59">
        <f t="shared" si="364"/>
        <v>1900</v>
      </c>
      <c r="B2560" s="59">
        <f t="shared" si="365"/>
        <v>1</v>
      </c>
      <c r="C2560" s="97"/>
      <c r="D2560" s="61"/>
      <c r="F2560" s="23" t="e">
        <f>VLOOKUP(E2560,Customers[],2,FALSE)</f>
        <v>#N/A</v>
      </c>
      <c r="G2560" s="23" t="e">
        <f>VLOOKUP(E2560,Customers[],3,FALSE)</f>
        <v>#N/A</v>
      </c>
      <c r="H2560" s="23" t="e">
        <f>VLOOKUP(E2560,Customers[],4,FALSE)</f>
        <v>#N/A</v>
      </c>
      <c r="J2560" s="29" t="e">
        <f>VLOOKUP(I2560,PGStock[],2,FALSE)</f>
        <v>#N/A</v>
      </c>
      <c r="K2560" s="30" t="e">
        <f>VLOOKUP(I2560,PGStock[],3,FALSE)</f>
        <v>#N/A</v>
      </c>
      <c r="M2560" s="62" t="e">
        <f>VLOOKUP(I2560,PGStock[],6,FALSE)</f>
        <v>#N/A</v>
      </c>
      <c r="N2560" s="62" t="e">
        <f>+Table8[[#This Row],[SalesBot]]*Table8[[#This Row],[Bonus]]</f>
        <v>#N/A</v>
      </c>
    </row>
    <row r="2561" spans="1:14" ht="20.100000000000001" customHeight="1" x14ac:dyDescent="0.25">
      <c r="A2561" s="59">
        <f t="shared" ref="A2561:A2577" si="366">YEAR(C2561)</f>
        <v>1900</v>
      </c>
      <c r="B2561" s="59">
        <f t="shared" ref="B2561:B2577" si="367">MONTH(C2561)</f>
        <v>1</v>
      </c>
      <c r="C2561" s="97"/>
      <c r="D2561" s="61"/>
      <c r="F2561" s="23" t="e">
        <f>VLOOKUP(E2561,Customers[],2,FALSE)</f>
        <v>#N/A</v>
      </c>
      <c r="G2561" s="23" t="e">
        <f>VLOOKUP(E2561,Customers[],3,FALSE)</f>
        <v>#N/A</v>
      </c>
      <c r="H2561" s="23" t="e">
        <f>VLOOKUP(E2561,Customers[],4,FALSE)</f>
        <v>#N/A</v>
      </c>
      <c r="J2561" s="29" t="e">
        <f>VLOOKUP(I2561,PGStock[],2,FALSE)</f>
        <v>#N/A</v>
      </c>
      <c r="K2561" s="30" t="e">
        <f>VLOOKUP(I2561,PGStock[],3,FALSE)</f>
        <v>#N/A</v>
      </c>
      <c r="M2561" s="62" t="e">
        <f>VLOOKUP(I2561,PGStock[],6,FALSE)</f>
        <v>#N/A</v>
      </c>
      <c r="N2561" s="62" t="e">
        <f>+Table8[[#This Row],[SalesBot]]*Table8[[#This Row],[Bonus]]</f>
        <v>#N/A</v>
      </c>
    </row>
    <row r="2562" spans="1:14" ht="20.100000000000001" customHeight="1" x14ac:dyDescent="0.25">
      <c r="A2562" s="59">
        <f t="shared" si="366"/>
        <v>1900</v>
      </c>
      <c r="B2562" s="59">
        <f t="shared" si="367"/>
        <v>1</v>
      </c>
      <c r="C2562" s="97"/>
      <c r="D2562" s="61"/>
      <c r="F2562" s="23" t="e">
        <f>VLOOKUP(E2562,Customers[],2,FALSE)</f>
        <v>#N/A</v>
      </c>
      <c r="G2562" s="23" t="e">
        <f>VLOOKUP(E2562,Customers[],3,FALSE)</f>
        <v>#N/A</v>
      </c>
      <c r="H2562" s="23" t="e">
        <f>VLOOKUP(E2562,Customers[],4,FALSE)</f>
        <v>#N/A</v>
      </c>
      <c r="J2562" s="29" t="e">
        <f>VLOOKUP(I2562,PGStock[],2,FALSE)</f>
        <v>#N/A</v>
      </c>
      <c r="K2562" s="30" t="e">
        <f>VLOOKUP(I2562,PGStock[],3,FALSE)</f>
        <v>#N/A</v>
      </c>
      <c r="M2562" s="62" t="e">
        <f>VLOOKUP(I2562,PGStock[],6,FALSE)</f>
        <v>#N/A</v>
      </c>
      <c r="N2562" s="62" t="e">
        <f>+Table8[[#This Row],[SalesBot]]*Table8[[#This Row],[Bonus]]</f>
        <v>#N/A</v>
      </c>
    </row>
    <row r="2563" spans="1:14" ht="20.100000000000001" customHeight="1" x14ac:dyDescent="0.25">
      <c r="A2563" s="59">
        <f t="shared" si="366"/>
        <v>1900</v>
      </c>
      <c r="B2563" s="59">
        <f t="shared" si="367"/>
        <v>1</v>
      </c>
      <c r="C2563" s="97"/>
      <c r="D2563" s="61"/>
      <c r="F2563" s="23" t="e">
        <f>VLOOKUP(E2563,Customers[],2,FALSE)</f>
        <v>#N/A</v>
      </c>
      <c r="G2563" s="23" t="e">
        <f>VLOOKUP(E2563,Customers[],3,FALSE)</f>
        <v>#N/A</v>
      </c>
      <c r="H2563" s="23" t="e">
        <f>VLOOKUP(E2563,Customers[],4,FALSE)</f>
        <v>#N/A</v>
      </c>
      <c r="J2563" s="29" t="e">
        <f>VLOOKUP(I2563,PGStock[],2,FALSE)</f>
        <v>#N/A</v>
      </c>
      <c r="K2563" s="30" t="e">
        <f>VLOOKUP(I2563,PGStock[],3,FALSE)</f>
        <v>#N/A</v>
      </c>
      <c r="M2563" s="62" t="e">
        <f>VLOOKUP(I2563,PGStock[],6,FALSE)</f>
        <v>#N/A</v>
      </c>
      <c r="N2563" s="62" t="e">
        <f>+Table8[[#This Row],[SalesBot]]*Table8[[#This Row],[Bonus]]</f>
        <v>#N/A</v>
      </c>
    </row>
    <row r="2564" spans="1:14" ht="20.100000000000001" customHeight="1" x14ac:dyDescent="0.25">
      <c r="A2564" s="59">
        <f t="shared" si="366"/>
        <v>1900</v>
      </c>
      <c r="B2564" s="59">
        <f t="shared" si="367"/>
        <v>1</v>
      </c>
      <c r="C2564" s="97"/>
      <c r="D2564" s="61"/>
      <c r="F2564" s="23" t="e">
        <f>VLOOKUP(E2564,Customers[],2,FALSE)</f>
        <v>#N/A</v>
      </c>
      <c r="G2564" s="23" t="e">
        <f>VLOOKUP(E2564,Customers[],3,FALSE)</f>
        <v>#N/A</v>
      </c>
      <c r="H2564" s="23" t="e">
        <f>VLOOKUP(E2564,Customers[],4,FALSE)</f>
        <v>#N/A</v>
      </c>
      <c r="J2564" s="29" t="e">
        <f>VLOOKUP(I2564,PGStock[],2,FALSE)</f>
        <v>#N/A</v>
      </c>
      <c r="K2564" s="30" t="e">
        <f>VLOOKUP(I2564,PGStock[],3,FALSE)</f>
        <v>#N/A</v>
      </c>
      <c r="M2564" s="62" t="e">
        <f>VLOOKUP(I2564,PGStock[],6,FALSE)</f>
        <v>#N/A</v>
      </c>
      <c r="N2564" s="62" t="e">
        <f>+Table8[[#This Row],[SalesBot]]*Table8[[#This Row],[Bonus]]</f>
        <v>#N/A</v>
      </c>
    </row>
    <row r="2565" spans="1:14" ht="20.100000000000001" customHeight="1" x14ac:dyDescent="0.25">
      <c r="A2565" s="59">
        <f t="shared" si="366"/>
        <v>1900</v>
      </c>
      <c r="B2565" s="59">
        <f t="shared" si="367"/>
        <v>1</v>
      </c>
      <c r="C2565" s="97"/>
      <c r="D2565" s="61"/>
      <c r="F2565" s="23" t="e">
        <f>VLOOKUP(E2565,Customers[],2,FALSE)</f>
        <v>#N/A</v>
      </c>
      <c r="G2565" s="23" t="e">
        <f>VLOOKUP(E2565,Customers[],3,FALSE)</f>
        <v>#N/A</v>
      </c>
      <c r="H2565" s="23" t="e">
        <f>VLOOKUP(E2565,Customers[],4,FALSE)</f>
        <v>#N/A</v>
      </c>
      <c r="J2565" s="29" t="e">
        <f>VLOOKUP(I2565,PGStock[],2,FALSE)</f>
        <v>#N/A</v>
      </c>
      <c r="K2565" s="30" t="e">
        <f>VLOOKUP(I2565,PGStock[],3,FALSE)</f>
        <v>#N/A</v>
      </c>
      <c r="M2565" s="62" t="e">
        <f>VLOOKUP(I2565,PGStock[],6,FALSE)</f>
        <v>#N/A</v>
      </c>
      <c r="N2565" s="62" t="e">
        <f>+Table8[[#This Row],[SalesBot]]*Table8[[#This Row],[Bonus]]</f>
        <v>#N/A</v>
      </c>
    </row>
    <row r="2566" spans="1:14" ht="20.100000000000001" customHeight="1" x14ac:dyDescent="0.25">
      <c r="A2566" s="59">
        <f t="shared" si="366"/>
        <v>1900</v>
      </c>
      <c r="B2566" s="59">
        <f t="shared" si="367"/>
        <v>1</v>
      </c>
      <c r="C2566" s="97"/>
      <c r="D2566" s="61"/>
      <c r="F2566" s="23" t="e">
        <f>VLOOKUP(E2566,Customers[],2,FALSE)</f>
        <v>#N/A</v>
      </c>
      <c r="G2566" s="23" t="e">
        <f>VLOOKUP(E2566,Customers[],3,FALSE)</f>
        <v>#N/A</v>
      </c>
      <c r="H2566" s="23" t="e">
        <f>VLOOKUP(E2566,Customers[],4,FALSE)</f>
        <v>#N/A</v>
      </c>
      <c r="J2566" s="29" t="e">
        <f>VLOOKUP(I2566,PGStock[],2,FALSE)</f>
        <v>#N/A</v>
      </c>
      <c r="K2566" s="30" t="e">
        <f>VLOOKUP(I2566,PGStock[],3,FALSE)</f>
        <v>#N/A</v>
      </c>
      <c r="M2566" s="62" t="e">
        <f>VLOOKUP(I2566,PGStock[],6,FALSE)</f>
        <v>#N/A</v>
      </c>
      <c r="N2566" s="62" t="e">
        <f>+Table8[[#This Row],[SalesBot]]*Table8[[#This Row],[Bonus]]</f>
        <v>#N/A</v>
      </c>
    </row>
    <row r="2567" spans="1:14" ht="20.100000000000001" customHeight="1" x14ac:dyDescent="0.25">
      <c r="A2567" s="59">
        <f t="shared" si="366"/>
        <v>1900</v>
      </c>
      <c r="B2567" s="59">
        <f t="shared" si="367"/>
        <v>1</v>
      </c>
      <c r="C2567" s="97"/>
      <c r="D2567" s="61"/>
      <c r="F2567" s="23" t="e">
        <f>VLOOKUP(E2567,Customers[],2,FALSE)</f>
        <v>#N/A</v>
      </c>
      <c r="G2567" s="23" t="e">
        <f>VLOOKUP(E2567,Customers[],3,FALSE)</f>
        <v>#N/A</v>
      </c>
      <c r="H2567" s="23" t="e">
        <f>VLOOKUP(E2567,Customers[],4,FALSE)</f>
        <v>#N/A</v>
      </c>
      <c r="J2567" s="29" t="e">
        <f>VLOOKUP(I2567,PGStock[],2,FALSE)</f>
        <v>#N/A</v>
      </c>
      <c r="K2567" s="30" t="e">
        <f>VLOOKUP(I2567,PGStock[],3,FALSE)</f>
        <v>#N/A</v>
      </c>
      <c r="M2567" s="62" t="e">
        <f>VLOOKUP(I2567,PGStock[],6,FALSE)</f>
        <v>#N/A</v>
      </c>
      <c r="N2567" s="62" t="e">
        <f>+Table8[[#This Row],[SalesBot]]*Table8[[#This Row],[Bonus]]</f>
        <v>#N/A</v>
      </c>
    </row>
    <row r="2568" spans="1:14" ht="20.100000000000001" customHeight="1" x14ac:dyDescent="0.25">
      <c r="A2568" s="59">
        <f t="shared" si="366"/>
        <v>1900</v>
      </c>
      <c r="B2568" s="59">
        <f t="shared" si="367"/>
        <v>1</v>
      </c>
      <c r="C2568" s="97"/>
      <c r="D2568" s="61"/>
      <c r="F2568" s="23" t="e">
        <f>VLOOKUP(E2568,Customers[],2,FALSE)</f>
        <v>#N/A</v>
      </c>
      <c r="G2568" s="23" t="e">
        <f>VLOOKUP(E2568,Customers[],3,FALSE)</f>
        <v>#N/A</v>
      </c>
      <c r="H2568" s="23" t="e">
        <f>VLOOKUP(E2568,Customers[],4,FALSE)</f>
        <v>#N/A</v>
      </c>
      <c r="J2568" s="29" t="e">
        <f>VLOOKUP(I2568,PGStock[],2,FALSE)</f>
        <v>#N/A</v>
      </c>
      <c r="K2568" s="30" t="e">
        <f>VLOOKUP(I2568,PGStock[],3,FALSE)</f>
        <v>#N/A</v>
      </c>
      <c r="M2568" s="62" t="e">
        <f>VLOOKUP(I2568,PGStock[],6,FALSE)</f>
        <v>#N/A</v>
      </c>
      <c r="N2568" s="62" t="e">
        <f>+Table8[[#This Row],[SalesBot]]*Table8[[#This Row],[Bonus]]</f>
        <v>#N/A</v>
      </c>
    </row>
    <row r="2569" spans="1:14" ht="20.100000000000001" customHeight="1" x14ac:dyDescent="0.25">
      <c r="A2569" s="59">
        <f t="shared" si="366"/>
        <v>1900</v>
      </c>
      <c r="B2569" s="59">
        <f t="shared" si="367"/>
        <v>1</v>
      </c>
      <c r="C2569" s="97"/>
      <c r="D2569" s="61"/>
      <c r="F2569" s="23" t="e">
        <f>VLOOKUP(E2569,Customers[],2,FALSE)</f>
        <v>#N/A</v>
      </c>
      <c r="G2569" s="23" t="e">
        <f>VLOOKUP(E2569,Customers[],3,FALSE)</f>
        <v>#N/A</v>
      </c>
      <c r="H2569" s="23" t="e">
        <f>VLOOKUP(E2569,Customers[],4,FALSE)</f>
        <v>#N/A</v>
      </c>
      <c r="J2569" s="29" t="e">
        <f>VLOOKUP(I2569,PGStock[],2,FALSE)</f>
        <v>#N/A</v>
      </c>
      <c r="K2569" s="30" t="e">
        <f>VLOOKUP(I2569,PGStock[],3,FALSE)</f>
        <v>#N/A</v>
      </c>
      <c r="M2569" s="62" t="e">
        <f>VLOOKUP(I2569,PGStock[],6,FALSE)</f>
        <v>#N/A</v>
      </c>
      <c r="N2569" s="62" t="e">
        <f>+Table8[[#This Row],[SalesBot]]*Table8[[#This Row],[Bonus]]</f>
        <v>#N/A</v>
      </c>
    </row>
    <row r="2570" spans="1:14" ht="20.100000000000001" customHeight="1" x14ac:dyDescent="0.25">
      <c r="A2570" s="59">
        <f t="shared" si="366"/>
        <v>1900</v>
      </c>
      <c r="B2570" s="59">
        <f t="shared" si="367"/>
        <v>1</v>
      </c>
      <c r="C2570" s="97"/>
      <c r="D2570" s="61"/>
      <c r="F2570" s="23" t="e">
        <f>VLOOKUP(E2570,Customers[],2,FALSE)</f>
        <v>#N/A</v>
      </c>
      <c r="G2570" s="23" t="e">
        <f>VLOOKUP(E2570,Customers[],3,FALSE)</f>
        <v>#N/A</v>
      </c>
      <c r="H2570" s="23" t="e">
        <f>VLOOKUP(E2570,Customers[],4,FALSE)</f>
        <v>#N/A</v>
      </c>
      <c r="J2570" s="29" t="e">
        <f>VLOOKUP(I2570,PGStock[],2,FALSE)</f>
        <v>#N/A</v>
      </c>
      <c r="K2570" s="30" t="e">
        <f>VLOOKUP(I2570,PGStock[],3,FALSE)</f>
        <v>#N/A</v>
      </c>
      <c r="M2570" s="62" t="e">
        <f>VLOOKUP(I2570,PGStock[],6,FALSE)</f>
        <v>#N/A</v>
      </c>
      <c r="N2570" s="62" t="e">
        <f>+Table8[[#This Row],[SalesBot]]*Table8[[#This Row],[Bonus]]</f>
        <v>#N/A</v>
      </c>
    </row>
    <row r="2571" spans="1:14" ht="20.100000000000001" customHeight="1" x14ac:dyDescent="0.25">
      <c r="A2571" s="59">
        <f t="shared" si="366"/>
        <v>1900</v>
      </c>
      <c r="B2571" s="59">
        <f t="shared" si="367"/>
        <v>1</v>
      </c>
      <c r="C2571" s="97"/>
      <c r="D2571" s="61"/>
      <c r="F2571" s="23" t="e">
        <f>VLOOKUP(E2571,Customers[],2,FALSE)</f>
        <v>#N/A</v>
      </c>
      <c r="G2571" s="23" t="e">
        <f>VLOOKUP(E2571,Customers[],3,FALSE)</f>
        <v>#N/A</v>
      </c>
      <c r="H2571" s="23" t="e">
        <f>VLOOKUP(E2571,Customers[],4,FALSE)</f>
        <v>#N/A</v>
      </c>
      <c r="J2571" s="29" t="e">
        <f>VLOOKUP(I2571,PGStock[],2,FALSE)</f>
        <v>#N/A</v>
      </c>
      <c r="K2571" s="30" t="e">
        <f>VLOOKUP(I2571,PGStock[],3,FALSE)</f>
        <v>#N/A</v>
      </c>
      <c r="M2571" s="62" t="e">
        <f>VLOOKUP(I2571,PGStock[],6,FALSE)</f>
        <v>#N/A</v>
      </c>
      <c r="N2571" s="62" t="e">
        <f>+Table8[[#This Row],[SalesBot]]*Table8[[#This Row],[Bonus]]</f>
        <v>#N/A</v>
      </c>
    </row>
    <row r="2572" spans="1:14" ht="20.100000000000001" customHeight="1" x14ac:dyDescent="0.25">
      <c r="A2572" s="59">
        <f t="shared" si="366"/>
        <v>1900</v>
      </c>
      <c r="B2572" s="59">
        <f t="shared" si="367"/>
        <v>1</v>
      </c>
      <c r="C2572" s="97"/>
      <c r="D2572" s="61"/>
      <c r="F2572" s="23" t="e">
        <f>VLOOKUP(E2572,Customers[],2,FALSE)</f>
        <v>#N/A</v>
      </c>
      <c r="G2572" s="23" t="e">
        <f>VLOOKUP(E2572,Customers[],3,FALSE)</f>
        <v>#N/A</v>
      </c>
      <c r="H2572" s="23" t="e">
        <f>VLOOKUP(E2572,Customers[],4,FALSE)</f>
        <v>#N/A</v>
      </c>
      <c r="J2572" s="29" t="e">
        <f>VLOOKUP(I2572,PGStock[],2,FALSE)</f>
        <v>#N/A</v>
      </c>
      <c r="K2572" s="30" t="e">
        <f>VLOOKUP(I2572,PGStock[],3,FALSE)</f>
        <v>#N/A</v>
      </c>
      <c r="M2572" s="62" t="e">
        <f>VLOOKUP(I2572,PGStock[],6,FALSE)</f>
        <v>#N/A</v>
      </c>
      <c r="N2572" s="62" t="e">
        <f>+Table8[[#This Row],[SalesBot]]*Table8[[#This Row],[Bonus]]</f>
        <v>#N/A</v>
      </c>
    </row>
    <row r="2573" spans="1:14" ht="20.100000000000001" customHeight="1" x14ac:dyDescent="0.25">
      <c r="A2573" s="59">
        <f t="shared" si="366"/>
        <v>1900</v>
      </c>
      <c r="B2573" s="59">
        <f t="shared" si="367"/>
        <v>1</v>
      </c>
      <c r="C2573" s="97"/>
      <c r="D2573" s="61"/>
      <c r="F2573" s="23" t="e">
        <f>VLOOKUP(E2573,Customers[],2,FALSE)</f>
        <v>#N/A</v>
      </c>
      <c r="G2573" s="23" t="e">
        <f>VLOOKUP(E2573,Customers[],3,FALSE)</f>
        <v>#N/A</v>
      </c>
      <c r="H2573" s="23" t="e">
        <f>VLOOKUP(E2573,Customers[],4,FALSE)</f>
        <v>#N/A</v>
      </c>
      <c r="J2573" s="29" t="e">
        <f>VLOOKUP(I2573,PGStock[],2,FALSE)</f>
        <v>#N/A</v>
      </c>
      <c r="K2573" s="30" t="e">
        <f>VLOOKUP(I2573,PGStock[],3,FALSE)</f>
        <v>#N/A</v>
      </c>
      <c r="M2573" s="62" t="e">
        <f>VLOOKUP(I2573,PGStock[],6,FALSE)</f>
        <v>#N/A</v>
      </c>
      <c r="N2573" s="62" t="e">
        <f>+Table8[[#This Row],[SalesBot]]*Table8[[#This Row],[Bonus]]</f>
        <v>#N/A</v>
      </c>
    </row>
    <row r="2574" spans="1:14" ht="20.100000000000001" customHeight="1" x14ac:dyDescent="0.25">
      <c r="A2574" s="59">
        <f t="shared" si="366"/>
        <v>1900</v>
      </c>
      <c r="B2574" s="59">
        <f t="shared" si="367"/>
        <v>1</v>
      </c>
      <c r="C2574" s="97"/>
      <c r="D2574" s="61"/>
      <c r="F2574" s="23" t="e">
        <f>VLOOKUP(E2574,Customers[],2,FALSE)</f>
        <v>#N/A</v>
      </c>
      <c r="G2574" s="23" t="e">
        <f>VLOOKUP(E2574,Customers[],3,FALSE)</f>
        <v>#N/A</v>
      </c>
      <c r="H2574" s="23" t="e">
        <f>VLOOKUP(E2574,Customers[],4,FALSE)</f>
        <v>#N/A</v>
      </c>
      <c r="J2574" s="29" t="e">
        <f>VLOOKUP(I2574,PGStock[],2,FALSE)</f>
        <v>#N/A</v>
      </c>
      <c r="K2574" s="30" t="e">
        <f>VLOOKUP(I2574,PGStock[],3,FALSE)</f>
        <v>#N/A</v>
      </c>
      <c r="M2574" s="62" t="e">
        <f>VLOOKUP(I2574,PGStock[],6,FALSE)</f>
        <v>#N/A</v>
      </c>
      <c r="N2574" s="62" t="e">
        <f>+Table8[[#This Row],[SalesBot]]*Table8[[#This Row],[Bonus]]</f>
        <v>#N/A</v>
      </c>
    </row>
    <row r="2575" spans="1:14" ht="20.100000000000001" customHeight="1" x14ac:dyDescent="0.25">
      <c r="A2575" s="59">
        <f t="shared" si="366"/>
        <v>1900</v>
      </c>
      <c r="B2575" s="59">
        <f t="shared" si="367"/>
        <v>1</v>
      </c>
      <c r="C2575" s="97"/>
      <c r="D2575" s="61"/>
      <c r="F2575" s="23" t="e">
        <f>VLOOKUP(E2575,Customers[],2,FALSE)</f>
        <v>#N/A</v>
      </c>
      <c r="G2575" s="23" t="e">
        <f>VLOOKUP(E2575,Customers[],3,FALSE)</f>
        <v>#N/A</v>
      </c>
      <c r="H2575" s="23" t="e">
        <f>VLOOKUP(E2575,Customers[],4,FALSE)</f>
        <v>#N/A</v>
      </c>
      <c r="J2575" s="29" t="e">
        <f>VLOOKUP(I2575,PGStock[],2,FALSE)</f>
        <v>#N/A</v>
      </c>
      <c r="K2575" s="30" t="e">
        <f>VLOOKUP(I2575,PGStock[],3,FALSE)</f>
        <v>#N/A</v>
      </c>
      <c r="M2575" s="62" t="e">
        <f>VLOOKUP(I2575,PGStock[],6,FALSE)</f>
        <v>#N/A</v>
      </c>
      <c r="N2575" s="62" t="e">
        <f>+Table8[[#This Row],[SalesBot]]*Table8[[#This Row],[Bonus]]</f>
        <v>#N/A</v>
      </c>
    </row>
    <row r="2576" spans="1:14" ht="20.100000000000001" customHeight="1" x14ac:dyDescent="0.25">
      <c r="A2576" s="59">
        <f t="shared" si="366"/>
        <v>1900</v>
      </c>
      <c r="B2576" s="59">
        <f t="shared" si="367"/>
        <v>1</v>
      </c>
      <c r="C2576" s="97"/>
      <c r="D2576" s="61"/>
      <c r="F2576" s="23" t="e">
        <f>VLOOKUP(E2576,Customers[],2,FALSE)</f>
        <v>#N/A</v>
      </c>
      <c r="G2576" s="23" t="e">
        <f>VLOOKUP(E2576,Customers[],3,FALSE)</f>
        <v>#N/A</v>
      </c>
      <c r="H2576" s="23" t="e">
        <f>VLOOKUP(E2576,Customers[],4,FALSE)</f>
        <v>#N/A</v>
      </c>
      <c r="J2576" s="29" t="e">
        <f>VLOOKUP(I2576,PGStock[],2,FALSE)</f>
        <v>#N/A</v>
      </c>
      <c r="K2576" s="30" t="e">
        <f>VLOOKUP(I2576,PGStock[],3,FALSE)</f>
        <v>#N/A</v>
      </c>
      <c r="M2576" s="62" t="e">
        <f>VLOOKUP(I2576,PGStock[],6,FALSE)</f>
        <v>#N/A</v>
      </c>
      <c r="N2576" s="62" t="e">
        <f>+Table8[[#This Row],[SalesBot]]*Table8[[#This Row],[Bonus]]</f>
        <v>#N/A</v>
      </c>
    </row>
    <row r="2577" spans="1:14" ht="20.100000000000001" customHeight="1" x14ac:dyDescent="0.25">
      <c r="A2577" s="59">
        <f t="shared" si="366"/>
        <v>1900</v>
      </c>
      <c r="B2577" s="59">
        <f t="shared" si="367"/>
        <v>1</v>
      </c>
      <c r="C2577" s="97"/>
      <c r="D2577" s="61"/>
      <c r="F2577" s="23" t="e">
        <f>VLOOKUP(E2577,Customers[],2,FALSE)</f>
        <v>#N/A</v>
      </c>
      <c r="G2577" s="23" t="e">
        <f>VLOOKUP(E2577,Customers[],3,FALSE)</f>
        <v>#N/A</v>
      </c>
      <c r="H2577" s="23" t="e">
        <f>VLOOKUP(E2577,Customers[],4,FALSE)</f>
        <v>#N/A</v>
      </c>
      <c r="J2577" s="29" t="e">
        <f>VLOOKUP(I2577,PGStock[],2,FALSE)</f>
        <v>#N/A</v>
      </c>
      <c r="K2577" s="30" t="e">
        <f>VLOOKUP(I2577,PGStock[],3,FALSE)</f>
        <v>#N/A</v>
      </c>
      <c r="M2577" s="62" t="e">
        <f>VLOOKUP(I2577,PGStock[],6,FALSE)</f>
        <v>#N/A</v>
      </c>
      <c r="N2577" s="62" t="e">
        <f>+Table8[[#This Row],[SalesBot]]*Table8[[#This Row],[Bonus]]</f>
        <v>#N/A</v>
      </c>
    </row>
    <row r="2578" spans="1:14" ht="20.100000000000001" customHeight="1" x14ac:dyDescent="0.25">
      <c r="A2578" s="59">
        <f t="shared" ref="A2578:A2595" si="368">YEAR(C2578)</f>
        <v>1900</v>
      </c>
      <c r="B2578" s="59">
        <f t="shared" ref="B2578:B2595" si="369">MONTH(C2578)</f>
        <v>1</v>
      </c>
      <c r="C2578" s="97"/>
      <c r="D2578" s="61"/>
      <c r="F2578" s="23" t="e">
        <f>VLOOKUP(E2578,Customers[],2,FALSE)</f>
        <v>#N/A</v>
      </c>
      <c r="G2578" s="23" t="e">
        <f>VLOOKUP(E2578,Customers[],3,FALSE)</f>
        <v>#N/A</v>
      </c>
      <c r="H2578" s="23" t="e">
        <f>VLOOKUP(E2578,Customers[],4,FALSE)</f>
        <v>#N/A</v>
      </c>
      <c r="J2578" s="29" t="e">
        <f>VLOOKUP(I2578,PGStock[],2,FALSE)</f>
        <v>#N/A</v>
      </c>
      <c r="K2578" s="30" t="e">
        <f>VLOOKUP(I2578,PGStock[],3,FALSE)</f>
        <v>#N/A</v>
      </c>
      <c r="M2578" s="62" t="e">
        <f>VLOOKUP(I2578,PGStock[],6,FALSE)</f>
        <v>#N/A</v>
      </c>
      <c r="N2578" s="62" t="e">
        <f>+Table8[[#This Row],[SalesBot]]*Table8[[#This Row],[Bonus]]</f>
        <v>#N/A</v>
      </c>
    </row>
    <row r="2579" spans="1:14" ht="20.100000000000001" customHeight="1" x14ac:dyDescent="0.25">
      <c r="A2579" s="59">
        <f t="shared" si="368"/>
        <v>1900</v>
      </c>
      <c r="B2579" s="59">
        <f t="shared" si="369"/>
        <v>1</v>
      </c>
      <c r="C2579" s="97"/>
      <c r="D2579" s="61"/>
      <c r="F2579" s="23" t="e">
        <f>VLOOKUP(E2579,Customers[],2,FALSE)</f>
        <v>#N/A</v>
      </c>
      <c r="G2579" s="23" t="e">
        <f>VLOOKUP(E2579,Customers[],3,FALSE)</f>
        <v>#N/A</v>
      </c>
      <c r="H2579" s="23" t="e">
        <f>VLOOKUP(E2579,Customers[],4,FALSE)</f>
        <v>#N/A</v>
      </c>
      <c r="J2579" s="29" t="e">
        <f>VLOOKUP(I2579,PGStock[],2,FALSE)</f>
        <v>#N/A</v>
      </c>
      <c r="K2579" s="30" t="e">
        <f>VLOOKUP(I2579,PGStock[],3,FALSE)</f>
        <v>#N/A</v>
      </c>
      <c r="M2579" s="62" t="e">
        <f>VLOOKUP(I2579,PGStock[],6,FALSE)</f>
        <v>#N/A</v>
      </c>
      <c r="N2579" s="62" t="e">
        <f>+Table8[[#This Row],[SalesBot]]*Table8[[#This Row],[Bonus]]</f>
        <v>#N/A</v>
      </c>
    </row>
    <row r="2580" spans="1:14" ht="20.100000000000001" customHeight="1" x14ac:dyDescent="0.25">
      <c r="A2580" s="59">
        <f t="shared" si="368"/>
        <v>1900</v>
      </c>
      <c r="B2580" s="59">
        <f t="shared" si="369"/>
        <v>1</v>
      </c>
      <c r="C2580" s="97"/>
      <c r="D2580" s="61"/>
      <c r="F2580" s="23" t="e">
        <f>VLOOKUP(E2580,Customers[],2,FALSE)</f>
        <v>#N/A</v>
      </c>
      <c r="G2580" s="23" t="e">
        <f>VLOOKUP(E2580,Customers[],3,FALSE)</f>
        <v>#N/A</v>
      </c>
      <c r="H2580" s="23" t="e">
        <f>VLOOKUP(E2580,Customers[],4,FALSE)</f>
        <v>#N/A</v>
      </c>
      <c r="J2580" s="29" t="e">
        <f>VLOOKUP(I2580,PGStock[],2,FALSE)</f>
        <v>#N/A</v>
      </c>
      <c r="K2580" s="30" t="e">
        <f>VLOOKUP(I2580,PGStock[],3,FALSE)</f>
        <v>#N/A</v>
      </c>
      <c r="M2580" s="62" t="e">
        <f>VLOOKUP(I2580,PGStock[],6,FALSE)</f>
        <v>#N/A</v>
      </c>
      <c r="N2580" s="62" t="e">
        <f>+Table8[[#This Row],[SalesBot]]*Table8[[#This Row],[Bonus]]</f>
        <v>#N/A</v>
      </c>
    </row>
    <row r="2581" spans="1:14" ht="20.100000000000001" customHeight="1" x14ac:dyDescent="0.25">
      <c r="A2581" s="59">
        <f t="shared" si="368"/>
        <v>1900</v>
      </c>
      <c r="B2581" s="59">
        <f t="shared" si="369"/>
        <v>1</v>
      </c>
      <c r="C2581" s="97"/>
      <c r="D2581" s="61"/>
      <c r="F2581" s="23" t="e">
        <f>VLOOKUP(E2581,Customers[],2,FALSE)</f>
        <v>#N/A</v>
      </c>
      <c r="G2581" s="23" t="e">
        <f>VLOOKUP(E2581,Customers[],3,FALSE)</f>
        <v>#N/A</v>
      </c>
      <c r="H2581" s="23" t="e">
        <f>VLOOKUP(E2581,Customers[],4,FALSE)</f>
        <v>#N/A</v>
      </c>
      <c r="J2581" s="29" t="e">
        <f>VLOOKUP(I2581,PGStock[],2,FALSE)</f>
        <v>#N/A</v>
      </c>
      <c r="K2581" s="30" t="e">
        <f>VLOOKUP(I2581,PGStock[],3,FALSE)</f>
        <v>#N/A</v>
      </c>
      <c r="M2581" s="62" t="e">
        <f>VLOOKUP(I2581,PGStock[],6,FALSE)</f>
        <v>#N/A</v>
      </c>
      <c r="N2581" s="62" t="e">
        <f>+Table8[[#This Row],[SalesBot]]*Table8[[#This Row],[Bonus]]</f>
        <v>#N/A</v>
      </c>
    </row>
    <row r="2582" spans="1:14" ht="20.100000000000001" customHeight="1" x14ac:dyDescent="0.25">
      <c r="A2582" s="59">
        <f t="shared" si="368"/>
        <v>1900</v>
      </c>
      <c r="B2582" s="59">
        <f t="shared" si="369"/>
        <v>1</v>
      </c>
      <c r="C2582" s="97"/>
      <c r="D2582" s="61"/>
      <c r="F2582" s="23" t="e">
        <f>VLOOKUP(E2582,Customers[],2,FALSE)</f>
        <v>#N/A</v>
      </c>
      <c r="G2582" s="23" t="e">
        <f>VLOOKUP(E2582,Customers[],3,FALSE)</f>
        <v>#N/A</v>
      </c>
      <c r="H2582" s="23" t="e">
        <f>VLOOKUP(E2582,Customers[],4,FALSE)</f>
        <v>#N/A</v>
      </c>
      <c r="J2582" s="29" t="e">
        <f>VLOOKUP(I2582,PGStock[],2,FALSE)</f>
        <v>#N/A</v>
      </c>
      <c r="K2582" s="30" t="e">
        <f>VLOOKUP(I2582,PGStock[],3,FALSE)</f>
        <v>#N/A</v>
      </c>
      <c r="M2582" s="62" t="e">
        <f>VLOOKUP(I2582,PGStock[],6,FALSE)</f>
        <v>#N/A</v>
      </c>
      <c r="N2582" s="62" t="e">
        <f>+Table8[[#This Row],[SalesBot]]*Table8[[#This Row],[Bonus]]</f>
        <v>#N/A</v>
      </c>
    </row>
    <row r="2583" spans="1:14" ht="20.100000000000001" customHeight="1" x14ac:dyDescent="0.25">
      <c r="A2583" s="59">
        <f t="shared" si="368"/>
        <v>1900</v>
      </c>
      <c r="B2583" s="59">
        <f t="shared" si="369"/>
        <v>1</v>
      </c>
      <c r="C2583" s="97"/>
      <c r="D2583" s="61"/>
      <c r="F2583" s="23" t="e">
        <f>VLOOKUP(E2583,Customers[],2,FALSE)</f>
        <v>#N/A</v>
      </c>
      <c r="G2583" s="23" t="e">
        <f>VLOOKUP(E2583,Customers[],3,FALSE)</f>
        <v>#N/A</v>
      </c>
      <c r="H2583" s="23" t="e">
        <f>VLOOKUP(E2583,Customers[],4,FALSE)</f>
        <v>#N/A</v>
      </c>
      <c r="J2583" s="29" t="e">
        <f>VLOOKUP(I2583,PGStock[],2,FALSE)</f>
        <v>#N/A</v>
      </c>
      <c r="K2583" s="30" t="e">
        <f>VLOOKUP(I2583,PGStock[],3,FALSE)</f>
        <v>#N/A</v>
      </c>
      <c r="M2583" s="62" t="e">
        <f>VLOOKUP(I2583,PGStock[],6,FALSE)</f>
        <v>#N/A</v>
      </c>
      <c r="N2583" s="62" t="e">
        <f>+Table8[[#This Row],[SalesBot]]*Table8[[#This Row],[Bonus]]</f>
        <v>#N/A</v>
      </c>
    </row>
    <row r="2584" spans="1:14" ht="20.100000000000001" customHeight="1" x14ac:dyDescent="0.25">
      <c r="A2584" s="59">
        <f t="shared" si="368"/>
        <v>1900</v>
      </c>
      <c r="B2584" s="59">
        <f t="shared" si="369"/>
        <v>1</v>
      </c>
      <c r="C2584" s="97"/>
      <c r="D2584" s="61"/>
      <c r="F2584" s="23" t="e">
        <f>VLOOKUP(E2584,Customers[],2,FALSE)</f>
        <v>#N/A</v>
      </c>
      <c r="G2584" s="23" t="e">
        <f>VLOOKUP(E2584,Customers[],3,FALSE)</f>
        <v>#N/A</v>
      </c>
      <c r="H2584" s="23" t="e">
        <f>VLOOKUP(E2584,Customers[],4,FALSE)</f>
        <v>#N/A</v>
      </c>
      <c r="J2584" s="29" t="e">
        <f>VLOOKUP(I2584,PGStock[],2,FALSE)</f>
        <v>#N/A</v>
      </c>
      <c r="K2584" s="30" t="e">
        <f>VLOOKUP(I2584,PGStock[],3,FALSE)</f>
        <v>#N/A</v>
      </c>
      <c r="M2584" s="62" t="e">
        <f>VLOOKUP(I2584,PGStock[],6,FALSE)</f>
        <v>#N/A</v>
      </c>
      <c r="N2584" s="62" t="e">
        <f>+Table8[[#This Row],[SalesBot]]*Table8[[#This Row],[Bonus]]</f>
        <v>#N/A</v>
      </c>
    </row>
    <row r="2585" spans="1:14" ht="20.100000000000001" customHeight="1" x14ac:dyDescent="0.25">
      <c r="A2585" s="59">
        <f t="shared" si="368"/>
        <v>1900</v>
      </c>
      <c r="B2585" s="59">
        <f t="shared" si="369"/>
        <v>1</v>
      </c>
      <c r="C2585" s="97"/>
      <c r="D2585" s="61"/>
      <c r="F2585" s="23" t="e">
        <f>VLOOKUP(E2585,Customers[],2,FALSE)</f>
        <v>#N/A</v>
      </c>
      <c r="G2585" s="23" t="e">
        <f>VLOOKUP(E2585,Customers[],3,FALSE)</f>
        <v>#N/A</v>
      </c>
      <c r="H2585" s="23" t="e">
        <f>VLOOKUP(E2585,Customers[],4,FALSE)</f>
        <v>#N/A</v>
      </c>
      <c r="J2585" s="29" t="e">
        <f>VLOOKUP(I2585,PGStock[],2,FALSE)</f>
        <v>#N/A</v>
      </c>
      <c r="K2585" s="30" t="e">
        <f>VLOOKUP(I2585,PGStock[],3,FALSE)</f>
        <v>#N/A</v>
      </c>
      <c r="M2585" s="62" t="e">
        <f>VLOOKUP(I2585,PGStock[],6,FALSE)</f>
        <v>#N/A</v>
      </c>
      <c r="N2585" s="62" t="e">
        <f>+Table8[[#This Row],[SalesBot]]*Table8[[#This Row],[Bonus]]</f>
        <v>#N/A</v>
      </c>
    </row>
    <row r="2586" spans="1:14" ht="20.100000000000001" customHeight="1" x14ac:dyDescent="0.25">
      <c r="A2586" s="59">
        <f t="shared" si="368"/>
        <v>1900</v>
      </c>
      <c r="B2586" s="59">
        <f t="shared" si="369"/>
        <v>1</v>
      </c>
      <c r="C2586" s="97"/>
      <c r="D2586" s="61"/>
      <c r="F2586" s="23" t="e">
        <f>VLOOKUP(E2586,Customers[],2,FALSE)</f>
        <v>#N/A</v>
      </c>
      <c r="G2586" s="23" t="e">
        <f>VLOOKUP(E2586,Customers[],3,FALSE)</f>
        <v>#N/A</v>
      </c>
      <c r="H2586" s="23" t="e">
        <f>VLOOKUP(E2586,Customers[],4,FALSE)</f>
        <v>#N/A</v>
      </c>
      <c r="J2586" s="29" t="e">
        <f>VLOOKUP(I2586,PGStock[],2,FALSE)</f>
        <v>#N/A</v>
      </c>
      <c r="K2586" s="30" t="e">
        <f>VLOOKUP(I2586,PGStock[],3,FALSE)</f>
        <v>#N/A</v>
      </c>
      <c r="M2586" s="62" t="e">
        <f>VLOOKUP(I2586,PGStock[],6,FALSE)</f>
        <v>#N/A</v>
      </c>
      <c r="N2586" s="62" t="e">
        <f>+Table8[[#This Row],[SalesBot]]*Table8[[#This Row],[Bonus]]</f>
        <v>#N/A</v>
      </c>
    </row>
    <row r="2587" spans="1:14" ht="20.100000000000001" customHeight="1" x14ac:dyDescent="0.25">
      <c r="A2587" s="59">
        <f t="shared" si="368"/>
        <v>1900</v>
      </c>
      <c r="B2587" s="59">
        <f t="shared" si="369"/>
        <v>1</v>
      </c>
      <c r="C2587" s="97"/>
      <c r="D2587" s="61"/>
      <c r="F2587" s="23" t="e">
        <f>VLOOKUP(E2587,Customers[],2,FALSE)</f>
        <v>#N/A</v>
      </c>
      <c r="G2587" s="23" t="e">
        <f>VLOOKUP(E2587,Customers[],3,FALSE)</f>
        <v>#N/A</v>
      </c>
      <c r="H2587" s="23" t="e">
        <f>VLOOKUP(E2587,Customers[],4,FALSE)</f>
        <v>#N/A</v>
      </c>
      <c r="J2587" s="29" t="e">
        <f>VLOOKUP(I2587,PGStock[],2,FALSE)</f>
        <v>#N/A</v>
      </c>
      <c r="K2587" s="30" t="e">
        <f>VLOOKUP(I2587,PGStock[],3,FALSE)</f>
        <v>#N/A</v>
      </c>
      <c r="M2587" s="62" t="e">
        <f>VLOOKUP(I2587,PGStock[],6,FALSE)</f>
        <v>#N/A</v>
      </c>
      <c r="N2587" s="62" t="e">
        <f>+Table8[[#This Row],[SalesBot]]*Table8[[#This Row],[Bonus]]</f>
        <v>#N/A</v>
      </c>
    </row>
    <row r="2588" spans="1:14" ht="20.100000000000001" customHeight="1" x14ac:dyDescent="0.25">
      <c r="A2588" s="59">
        <f t="shared" si="368"/>
        <v>1900</v>
      </c>
      <c r="B2588" s="59">
        <f t="shared" si="369"/>
        <v>1</v>
      </c>
      <c r="C2588" s="97"/>
      <c r="D2588" s="61"/>
      <c r="F2588" s="23" t="e">
        <f>VLOOKUP(E2588,Customers[],2,FALSE)</f>
        <v>#N/A</v>
      </c>
      <c r="G2588" s="23" t="e">
        <f>VLOOKUP(E2588,Customers[],3,FALSE)</f>
        <v>#N/A</v>
      </c>
      <c r="H2588" s="23" t="e">
        <f>VLOOKUP(E2588,Customers[],4,FALSE)</f>
        <v>#N/A</v>
      </c>
      <c r="J2588" s="29" t="e">
        <f>VLOOKUP(I2588,PGStock[],2,FALSE)</f>
        <v>#N/A</v>
      </c>
      <c r="K2588" s="30" t="e">
        <f>VLOOKUP(I2588,PGStock[],3,FALSE)</f>
        <v>#N/A</v>
      </c>
      <c r="M2588" s="62" t="e">
        <f>VLOOKUP(I2588,PGStock[],6,FALSE)</f>
        <v>#N/A</v>
      </c>
      <c r="N2588" s="62" t="e">
        <f>+Table8[[#This Row],[SalesBot]]*Table8[[#This Row],[Bonus]]</f>
        <v>#N/A</v>
      </c>
    </row>
    <row r="2589" spans="1:14" ht="20.100000000000001" customHeight="1" x14ac:dyDescent="0.25">
      <c r="A2589" s="59">
        <f t="shared" si="368"/>
        <v>1900</v>
      </c>
      <c r="B2589" s="59">
        <f t="shared" si="369"/>
        <v>1</v>
      </c>
      <c r="C2589" s="97"/>
      <c r="D2589" s="61"/>
      <c r="F2589" s="23" t="e">
        <f>VLOOKUP(E2589,Customers[],2,FALSE)</f>
        <v>#N/A</v>
      </c>
      <c r="G2589" s="23" t="e">
        <f>VLOOKUP(E2589,Customers[],3,FALSE)</f>
        <v>#N/A</v>
      </c>
      <c r="H2589" s="23" t="e">
        <f>VLOOKUP(E2589,Customers[],4,FALSE)</f>
        <v>#N/A</v>
      </c>
      <c r="J2589" s="29" t="e">
        <f>VLOOKUP(I2589,PGStock[],2,FALSE)</f>
        <v>#N/A</v>
      </c>
      <c r="K2589" s="30" t="e">
        <f>VLOOKUP(I2589,PGStock[],3,FALSE)</f>
        <v>#N/A</v>
      </c>
      <c r="M2589" s="62" t="e">
        <f>VLOOKUP(I2589,PGStock[],6,FALSE)</f>
        <v>#N/A</v>
      </c>
      <c r="N2589" s="62" t="e">
        <f>+Table8[[#This Row],[SalesBot]]*Table8[[#This Row],[Bonus]]</f>
        <v>#N/A</v>
      </c>
    </row>
    <row r="2590" spans="1:14" ht="20.100000000000001" customHeight="1" x14ac:dyDescent="0.25">
      <c r="A2590" s="59">
        <f t="shared" si="368"/>
        <v>1900</v>
      </c>
      <c r="B2590" s="59">
        <f t="shared" si="369"/>
        <v>1</v>
      </c>
      <c r="C2590" s="97"/>
      <c r="D2590" s="61"/>
      <c r="F2590" s="23" t="e">
        <f>VLOOKUP(E2590,Customers[],2,FALSE)</f>
        <v>#N/A</v>
      </c>
      <c r="G2590" s="23" t="e">
        <f>VLOOKUP(E2590,Customers[],3,FALSE)</f>
        <v>#N/A</v>
      </c>
      <c r="H2590" s="23" t="e">
        <f>VLOOKUP(E2590,Customers[],4,FALSE)</f>
        <v>#N/A</v>
      </c>
      <c r="J2590" s="29" t="e">
        <f>VLOOKUP(I2590,PGStock[],2,FALSE)</f>
        <v>#N/A</v>
      </c>
      <c r="K2590" s="30" t="e">
        <f>VLOOKUP(I2590,PGStock[],3,FALSE)</f>
        <v>#N/A</v>
      </c>
      <c r="M2590" s="62" t="e">
        <f>VLOOKUP(I2590,PGStock[],6,FALSE)</f>
        <v>#N/A</v>
      </c>
      <c r="N2590" s="62" t="e">
        <f>+Table8[[#This Row],[SalesBot]]*Table8[[#This Row],[Bonus]]</f>
        <v>#N/A</v>
      </c>
    </row>
    <row r="2591" spans="1:14" ht="20.100000000000001" customHeight="1" x14ac:dyDescent="0.25">
      <c r="A2591" s="59">
        <f t="shared" si="368"/>
        <v>1900</v>
      </c>
      <c r="B2591" s="59">
        <f t="shared" si="369"/>
        <v>1</v>
      </c>
      <c r="C2591" s="97"/>
      <c r="D2591" s="61"/>
      <c r="F2591" s="23" t="e">
        <f>VLOOKUP(E2591,Customers[],2,FALSE)</f>
        <v>#N/A</v>
      </c>
      <c r="G2591" s="23" t="e">
        <f>VLOOKUP(E2591,Customers[],3,FALSE)</f>
        <v>#N/A</v>
      </c>
      <c r="H2591" s="23" t="e">
        <f>VLOOKUP(E2591,Customers[],4,FALSE)</f>
        <v>#N/A</v>
      </c>
      <c r="J2591" s="29" t="e">
        <f>VLOOKUP(I2591,PGStock[],2,FALSE)</f>
        <v>#N/A</v>
      </c>
      <c r="K2591" s="30" t="e">
        <f>VLOOKUP(I2591,PGStock[],3,FALSE)</f>
        <v>#N/A</v>
      </c>
      <c r="M2591" s="62" t="e">
        <f>VLOOKUP(I2591,PGStock[],6,FALSE)</f>
        <v>#N/A</v>
      </c>
      <c r="N2591" s="62" t="e">
        <f>+Table8[[#This Row],[SalesBot]]*Table8[[#This Row],[Bonus]]</f>
        <v>#N/A</v>
      </c>
    </row>
    <row r="2592" spans="1:14" ht="20.100000000000001" customHeight="1" x14ac:dyDescent="0.25">
      <c r="A2592" s="59">
        <f t="shared" si="368"/>
        <v>1900</v>
      </c>
      <c r="B2592" s="59">
        <f t="shared" si="369"/>
        <v>1</v>
      </c>
      <c r="C2592" s="97"/>
      <c r="D2592" s="61"/>
      <c r="F2592" s="23" t="e">
        <f>VLOOKUP(E2592,Customers[],2,FALSE)</f>
        <v>#N/A</v>
      </c>
      <c r="G2592" s="23" t="e">
        <f>VLOOKUP(E2592,Customers[],3,FALSE)</f>
        <v>#N/A</v>
      </c>
      <c r="H2592" s="23" t="e">
        <f>VLOOKUP(E2592,Customers[],4,FALSE)</f>
        <v>#N/A</v>
      </c>
      <c r="J2592" s="29" t="e">
        <f>VLOOKUP(I2592,PGStock[],2,FALSE)</f>
        <v>#N/A</v>
      </c>
      <c r="K2592" s="30" t="e">
        <f>VLOOKUP(I2592,PGStock[],3,FALSE)</f>
        <v>#N/A</v>
      </c>
      <c r="M2592" s="62" t="e">
        <f>VLOOKUP(I2592,PGStock[],6,FALSE)</f>
        <v>#N/A</v>
      </c>
      <c r="N2592" s="62" t="e">
        <f>+Table8[[#This Row],[SalesBot]]*Table8[[#This Row],[Bonus]]</f>
        <v>#N/A</v>
      </c>
    </row>
    <row r="2593" spans="1:15" ht="20.100000000000001" customHeight="1" x14ac:dyDescent="0.25">
      <c r="A2593" s="59">
        <f t="shared" si="368"/>
        <v>1900</v>
      </c>
      <c r="B2593" s="59">
        <f t="shared" si="369"/>
        <v>1</v>
      </c>
      <c r="C2593" s="97"/>
      <c r="D2593" s="61"/>
      <c r="F2593" s="23" t="e">
        <f>VLOOKUP(E2593,Customers[],2,FALSE)</f>
        <v>#N/A</v>
      </c>
      <c r="G2593" s="23" t="e">
        <f>VLOOKUP(E2593,Customers[],3,FALSE)</f>
        <v>#N/A</v>
      </c>
      <c r="H2593" s="23" t="e">
        <f>VLOOKUP(E2593,Customers[],4,FALSE)</f>
        <v>#N/A</v>
      </c>
      <c r="J2593" s="29" t="e">
        <f>VLOOKUP(I2593,PGStock[],2,FALSE)</f>
        <v>#N/A</v>
      </c>
      <c r="K2593" s="30" t="e">
        <f>VLOOKUP(I2593,PGStock[],3,FALSE)</f>
        <v>#N/A</v>
      </c>
      <c r="M2593" s="62" t="e">
        <f>VLOOKUP(I2593,PGStock[],6,FALSE)</f>
        <v>#N/A</v>
      </c>
      <c r="N2593" s="62" t="e">
        <f>+Table8[[#This Row],[SalesBot]]*Table8[[#This Row],[Bonus]]</f>
        <v>#N/A</v>
      </c>
    </row>
    <row r="2594" spans="1:15" ht="20.100000000000001" customHeight="1" x14ac:dyDescent="0.25">
      <c r="A2594" s="59">
        <f t="shared" si="368"/>
        <v>1900</v>
      </c>
      <c r="B2594" s="59">
        <f t="shared" si="369"/>
        <v>1</v>
      </c>
      <c r="C2594" s="97"/>
      <c r="D2594" s="61"/>
      <c r="F2594" s="23" t="e">
        <f>VLOOKUP(E2594,Customers[],2,FALSE)</f>
        <v>#N/A</v>
      </c>
      <c r="G2594" s="23" t="e">
        <f>VLOOKUP(E2594,Customers[],3,FALSE)</f>
        <v>#N/A</v>
      </c>
      <c r="H2594" s="23" t="e">
        <f>VLOOKUP(E2594,Customers[],4,FALSE)</f>
        <v>#N/A</v>
      </c>
      <c r="J2594" s="29" t="e">
        <f>VLOOKUP(I2594,PGStock[],2,FALSE)</f>
        <v>#N/A</v>
      </c>
      <c r="K2594" s="30" t="e">
        <f>VLOOKUP(I2594,PGStock[],3,FALSE)</f>
        <v>#N/A</v>
      </c>
      <c r="M2594" s="62" t="e">
        <f>VLOOKUP(I2594,PGStock[],6,FALSE)</f>
        <v>#N/A</v>
      </c>
      <c r="N2594" s="62" t="e">
        <f>+Table8[[#This Row],[SalesBot]]*Table8[[#This Row],[Bonus]]</f>
        <v>#N/A</v>
      </c>
    </row>
    <row r="2595" spans="1:15" ht="20.100000000000001" customHeight="1" x14ac:dyDescent="0.25">
      <c r="A2595" s="59">
        <f t="shared" si="368"/>
        <v>1900</v>
      </c>
      <c r="B2595" s="59">
        <f t="shared" si="369"/>
        <v>1</v>
      </c>
      <c r="C2595" s="97"/>
      <c r="D2595" s="61"/>
      <c r="F2595" s="23" t="e">
        <f>VLOOKUP(E2595,Customers[],2,FALSE)</f>
        <v>#N/A</v>
      </c>
      <c r="G2595" s="23" t="e">
        <f>VLOOKUP(E2595,Customers[],3,FALSE)</f>
        <v>#N/A</v>
      </c>
      <c r="H2595" s="23" t="e">
        <f>VLOOKUP(E2595,Customers[],4,FALSE)</f>
        <v>#N/A</v>
      </c>
      <c r="J2595" s="29" t="e">
        <f>VLOOKUP(I2595,PGStock[],2,FALSE)</f>
        <v>#N/A</v>
      </c>
      <c r="K2595" s="30" t="e">
        <f>VLOOKUP(I2595,PGStock[],3,FALSE)</f>
        <v>#N/A</v>
      </c>
      <c r="M2595" s="62" t="e">
        <f>VLOOKUP(I2595,PGStock[],6,FALSE)</f>
        <v>#N/A</v>
      </c>
      <c r="N2595" s="62" t="e">
        <f>+Table8[[#This Row],[SalesBot]]*Table8[[#This Row],[Bonus]]</f>
        <v>#N/A</v>
      </c>
    </row>
    <row r="2596" spans="1:15" ht="20.100000000000001" customHeight="1" x14ac:dyDescent="0.25">
      <c r="A2596" s="26">
        <f t="shared" si="77"/>
        <v>1900</v>
      </c>
      <c r="B2596" s="26">
        <f t="shared" si="78"/>
        <v>1</v>
      </c>
      <c r="C2596" s="97"/>
      <c r="D2596" s="61"/>
      <c r="F2596" s="23" t="e">
        <f>VLOOKUP(E2596,Customers[],2,FALSE)</f>
        <v>#N/A</v>
      </c>
      <c r="G2596" s="23" t="e">
        <f>VLOOKUP(E2596,Customers[],3,FALSE)</f>
        <v>#N/A</v>
      </c>
      <c r="H2596" s="23" t="e">
        <f>VLOOKUP(E2596,Customers[],4,FALSE)</f>
        <v>#N/A</v>
      </c>
      <c r="J2596" s="29" t="e">
        <f>VLOOKUP(I2596,PGStock[],2,FALSE)</f>
        <v>#N/A</v>
      </c>
      <c r="K2596" s="30" t="e">
        <f>VLOOKUP(I2596,PGStock[],3,FALSE)</f>
        <v>#N/A</v>
      </c>
      <c r="M2596" s="31" t="e">
        <f>VLOOKUP(I2596,PGStock[],6,FALSE)</f>
        <v>#N/A</v>
      </c>
      <c r="N2596" s="31" t="e">
        <f>+Table8[[#This Row],[SalesBot]]*Table8[[#This Row],[Bonus]]</f>
        <v>#N/A</v>
      </c>
    </row>
    <row r="2597" spans="1:15" ht="20.100000000000001" customHeight="1" x14ac:dyDescent="0.25">
      <c r="A2597" s="26">
        <f t="shared" si="3"/>
        <v>1900</v>
      </c>
      <c r="B2597" s="26">
        <f t="shared" si="4"/>
        <v>1</v>
      </c>
      <c r="C2597" s="20"/>
      <c r="D2597" s="21"/>
      <c r="F2597" s="23" t="e">
        <f>VLOOKUP(E2597,Customers[],2,FALSE)</f>
        <v>#N/A</v>
      </c>
      <c r="G2597" s="23" t="e">
        <f>VLOOKUP(E2597,Customers[],3,FALSE)</f>
        <v>#N/A</v>
      </c>
      <c r="H2597" s="23" t="e">
        <f>VLOOKUP(E2597,Customers[],4,FALSE)</f>
        <v>#N/A</v>
      </c>
      <c r="J2597" s="35" t="e">
        <f>VLOOKUP(I2597,PGStock[],2,FALSE)</f>
        <v>#N/A</v>
      </c>
      <c r="K2597" s="30" t="e">
        <f>VLOOKUP(I2597,PGStock[],3,FALSE)</f>
        <v>#N/A</v>
      </c>
      <c r="M2597" s="31" t="e">
        <f>VLOOKUP(I2597,PGStock[],6,FALSE)</f>
        <v>#N/A</v>
      </c>
      <c r="N2597" s="31" t="e">
        <f>+Table8[[#This Row],[SalesBot]]*Table8[[#This Row],[Bonus]]</f>
        <v>#N/A</v>
      </c>
    </row>
    <row r="2598" spans="1:15" ht="20.100000000000001" customHeight="1" x14ac:dyDescent="0.25">
      <c r="A2598" s="67"/>
      <c r="B2598" s="67"/>
      <c r="C2598" s="68"/>
      <c r="D2598" s="21"/>
      <c r="L2598" s="90">
        <f>SUBTOTAL(9,Table8[SalesBot])</f>
        <v>1535</v>
      </c>
      <c r="M2598" s="69"/>
      <c r="N2598" s="70" t="e">
        <f>SUBTOTAL(109,Table8[MMK])</f>
        <v>#VALUE!</v>
      </c>
    </row>
    <row r="2600" spans="1:15" ht="20.100000000000001" customHeight="1" x14ac:dyDescent="0.25">
      <c r="G2600" s="30">
        <f>40+20+18+36</f>
        <v>114</v>
      </c>
    </row>
    <row r="2603" spans="1:15" ht="20.100000000000001" customHeight="1" x14ac:dyDescent="0.25">
      <c r="K2603" s="30">
        <f>18+36</f>
        <v>54</v>
      </c>
      <c r="N2603" s="31">
        <f>569+491</f>
        <v>1060</v>
      </c>
    </row>
    <row r="2608" spans="1:15" ht="20.100000000000001" customHeight="1" x14ac:dyDescent="0.25">
      <c r="O2608" s="30">
        <f>66+6</f>
        <v>72</v>
      </c>
    </row>
    <row r="2609" spans="15:15" ht="20.100000000000001" customHeight="1" x14ac:dyDescent="0.25">
      <c r="O2609" s="30">
        <f>24+11</f>
        <v>35</v>
      </c>
    </row>
  </sheetData>
  <phoneticPr fontId="8" type="noConversion"/>
  <dataValidations count="1">
    <dataValidation type="list" allowBlank="1" showInputMessage="1" showErrorMessage="1" sqref="I1" xr:uid="{00000000-0002-0000-0100-000000000000}">
      <formula1>$A$13885:$A$13986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1000000}">
          <x14:formula1>
            <xm:f>Table!$N$2:$N$27</xm:f>
          </x14:formula1>
          <xm:sqref>I2:I2597</xm:sqref>
        </x14:dataValidation>
        <x14:dataValidation type="list" allowBlank="1" showInputMessage="1" showErrorMessage="1" xr:uid="{00000000-0002-0000-0100-000002000000}">
          <x14:formula1>
            <xm:f>Table!$B$2:$B$275</xm:f>
          </x14:formula1>
          <xm:sqref>E2:E2597</xm:sqref>
        </x14:dataValidation>
        <x14:dataValidation type="list" allowBlank="1" showInputMessage="1" showErrorMessage="1" xr:uid="{00000000-0002-0000-0100-000003000000}">
          <x14:formula1>
            <xm:f>Table!$L:$L</xm:f>
          </x14:formula1>
          <xm:sqref>D2:D29 D31:D2597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A2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R126"/>
  <sheetViews>
    <sheetView zoomScaleNormal="100" workbookViewId="0">
      <pane xSplit="1" ySplit="3" topLeftCell="B115" activePane="bottomRight" state="frozen"/>
      <selection pane="topRight" activeCell="B1" sqref="B1"/>
      <selection pane="bottomLeft" activeCell="A4" sqref="A4"/>
      <selection pane="bottomRight" activeCell="M4" sqref="M4:M9"/>
    </sheetView>
  </sheetViews>
  <sheetFormatPr defaultColWidth="8.7109375" defaultRowHeight="20.25" x14ac:dyDescent="0.5"/>
  <cols>
    <col min="1" max="1" width="5.85546875" style="15" customWidth="1"/>
    <col min="2" max="2" width="21.7109375" style="14" customWidth="1"/>
    <col min="3" max="3" width="21.140625" style="15" customWidth="1"/>
    <col min="4" max="4" width="32.140625" style="15" customWidth="1"/>
    <col min="5" max="5" width="23.42578125" style="16" customWidth="1"/>
    <col min="6" max="6" width="20.7109375" style="16" customWidth="1"/>
    <col min="7" max="7" width="8.85546875" style="16" bestFit="1" customWidth="1"/>
    <col min="8" max="9" width="9" style="16" bestFit="1" customWidth="1"/>
    <col min="10" max="12" width="8.85546875" style="16" bestFit="1" customWidth="1"/>
    <col min="13" max="15" width="8.85546875" style="16" customWidth="1"/>
    <col min="16" max="16" width="8.85546875" style="16" bestFit="1" customWidth="1"/>
    <col min="17" max="17" width="9" style="16" bestFit="1" customWidth="1"/>
    <col min="18" max="18" width="10.7109375" style="14" bestFit="1" customWidth="1"/>
    <col min="19" max="16384" width="8.7109375" style="14"/>
  </cols>
  <sheetData>
    <row r="1" spans="1:18" ht="21.75" x14ac:dyDescent="0.5">
      <c r="A1" s="114" t="s">
        <v>262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6"/>
    </row>
    <row r="2" spans="1:18" ht="39" x14ac:dyDescent="0.5">
      <c r="A2" s="117"/>
      <c r="B2" s="119" t="s">
        <v>47</v>
      </c>
      <c r="C2" s="119" t="s">
        <v>48</v>
      </c>
      <c r="D2" s="119" t="s">
        <v>49</v>
      </c>
      <c r="E2" s="119" t="s">
        <v>44</v>
      </c>
      <c r="F2" s="119" t="s">
        <v>50</v>
      </c>
      <c r="G2" s="121" t="s">
        <v>51</v>
      </c>
      <c r="H2" s="122"/>
      <c r="I2" s="123"/>
      <c r="J2" s="121" t="s">
        <v>52</v>
      </c>
      <c r="K2" s="122"/>
      <c r="L2" s="123"/>
      <c r="M2" s="76" t="s">
        <v>153</v>
      </c>
      <c r="N2" s="124" t="s">
        <v>228</v>
      </c>
      <c r="O2" s="125"/>
      <c r="P2" s="121" t="s">
        <v>53</v>
      </c>
      <c r="Q2" s="123"/>
      <c r="R2" s="126" t="s">
        <v>54</v>
      </c>
    </row>
    <row r="3" spans="1:18" x14ac:dyDescent="0.5">
      <c r="A3" s="118"/>
      <c r="B3" s="120"/>
      <c r="C3" s="120"/>
      <c r="D3" s="120"/>
      <c r="E3" s="120"/>
      <c r="F3" s="120"/>
      <c r="G3" s="36" t="s">
        <v>55</v>
      </c>
      <c r="H3" s="36" t="s">
        <v>56</v>
      </c>
      <c r="I3" s="36" t="s">
        <v>57</v>
      </c>
      <c r="J3" s="36" t="s">
        <v>55</v>
      </c>
      <c r="K3" s="36" t="s">
        <v>56</v>
      </c>
      <c r="L3" s="36" t="s">
        <v>57</v>
      </c>
      <c r="M3" s="36" t="s">
        <v>55</v>
      </c>
      <c r="N3" s="36" t="s">
        <v>55</v>
      </c>
      <c r="O3" s="36" t="s">
        <v>56</v>
      </c>
      <c r="P3" s="36" t="s">
        <v>55</v>
      </c>
      <c r="Q3" s="36" t="s">
        <v>56</v>
      </c>
      <c r="R3" s="127"/>
    </row>
    <row r="4" spans="1:18" x14ac:dyDescent="0.5">
      <c r="A4" s="37">
        <v>1</v>
      </c>
      <c r="B4" s="38" t="s">
        <v>87</v>
      </c>
      <c r="C4" s="38" t="s">
        <v>83</v>
      </c>
      <c r="D4" s="38" t="s">
        <v>63</v>
      </c>
      <c r="E4" s="108" t="s">
        <v>78</v>
      </c>
      <c r="F4" s="111" t="s">
        <v>96</v>
      </c>
      <c r="G4" s="39"/>
      <c r="H4" s="39"/>
      <c r="I4" s="39"/>
      <c r="J4" s="39"/>
      <c r="K4" s="39"/>
      <c r="L4" s="39"/>
      <c r="M4" s="93">
        <v>25</v>
      </c>
      <c r="N4" s="93"/>
      <c r="O4" s="93"/>
      <c r="P4" s="39"/>
      <c r="Q4" s="39"/>
      <c r="R4" s="40">
        <f>SUM(G4:Q4)</f>
        <v>25</v>
      </c>
    </row>
    <row r="5" spans="1:18" x14ac:dyDescent="0.5">
      <c r="A5" s="37"/>
      <c r="B5" s="38" t="s">
        <v>85</v>
      </c>
      <c r="C5" s="38" t="s">
        <v>83</v>
      </c>
      <c r="D5" s="38" t="s">
        <v>63</v>
      </c>
      <c r="E5" s="109"/>
      <c r="F5" s="112"/>
      <c r="G5" s="39"/>
      <c r="H5" s="39"/>
      <c r="I5" s="39"/>
      <c r="J5" s="39"/>
      <c r="K5" s="39"/>
      <c r="L5" s="39"/>
      <c r="M5" s="93">
        <v>18</v>
      </c>
      <c r="N5" s="93"/>
      <c r="O5" s="93"/>
      <c r="P5" s="39"/>
      <c r="Q5" s="39"/>
      <c r="R5" s="40">
        <f t="shared" ref="R5:R18" si="0">SUM(G5:Q5)</f>
        <v>18</v>
      </c>
    </row>
    <row r="6" spans="1:18" x14ac:dyDescent="0.5">
      <c r="A6" s="37"/>
      <c r="B6" s="38"/>
      <c r="C6" s="38"/>
      <c r="D6" s="38"/>
      <c r="E6" s="109"/>
      <c r="F6" s="112"/>
      <c r="G6" s="39"/>
      <c r="H6" s="39"/>
      <c r="I6" s="39"/>
      <c r="J6" s="39"/>
      <c r="K6" s="39"/>
      <c r="L6" s="39"/>
      <c r="M6" s="93"/>
      <c r="N6" s="93"/>
      <c r="O6" s="93"/>
      <c r="P6" s="39"/>
      <c r="Q6" s="39"/>
      <c r="R6" s="40">
        <f t="shared" si="0"/>
        <v>0</v>
      </c>
    </row>
    <row r="7" spans="1:18" x14ac:dyDescent="0.5">
      <c r="A7" s="37"/>
      <c r="B7" s="38"/>
      <c r="C7" s="38"/>
      <c r="D7" s="38"/>
      <c r="E7" s="109"/>
      <c r="F7" s="112"/>
      <c r="G7" s="39"/>
      <c r="H7" s="39"/>
      <c r="I7" s="39"/>
      <c r="J7" s="39"/>
      <c r="K7" s="39"/>
      <c r="L7" s="39"/>
      <c r="M7" s="93"/>
      <c r="N7" s="93"/>
      <c r="O7" s="93"/>
      <c r="P7" s="39"/>
      <c r="Q7" s="39"/>
      <c r="R7" s="40">
        <f t="shared" si="0"/>
        <v>0</v>
      </c>
    </row>
    <row r="8" spans="1:18" x14ac:dyDescent="0.5">
      <c r="A8" s="37"/>
      <c r="B8" s="38"/>
      <c r="C8" s="38"/>
      <c r="D8" s="38"/>
      <c r="E8" s="109"/>
      <c r="F8" s="112"/>
      <c r="G8" s="39"/>
      <c r="H8" s="39"/>
      <c r="I8" s="39"/>
      <c r="J8" s="39"/>
      <c r="K8" s="39"/>
      <c r="L8" s="39"/>
      <c r="M8" s="93"/>
      <c r="N8" s="93"/>
      <c r="O8" s="93"/>
      <c r="P8" s="39"/>
      <c r="Q8" s="39"/>
      <c r="R8" s="40">
        <f t="shared" si="0"/>
        <v>0</v>
      </c>
    </row>
    <row r="9" spans="1:18" x14ac:dyDescent="0.5">
      <c r="A9" s="37"/>
      <c r="B9" s="38"/>
      <c r="C9" s="38"/>
      <c r="D9" s="38"/>
      <c r="E9" s="109"/>
      <c r="F9" s="112"/>
      <c r="G9" s="39"/>
      <c r="H9" s="39"/>
      <c r="I9" s="39"/>
      <c r="J9" s="39"/>
      <c r="K9" s="39"/>
      <c r="L9" s="39"/>
      <c r="M9" s="93"/>
      <c r="N9" s="93"/>
      <c r="O9" s="93"/>
      <c r="P9" s="39"/>
      <c r="Q9" s="39"/>
      <c r="R9" s="40">
        <f t="shared" si="0"/>
        <v>0</v>
      </c>
    </row>
    <row r="10" spans="1:18" x14ac:dyDescent="0.5">
      <c r="A10" s="37"/>
      <c r="B10" s="38"/>
      <c r="C10" s="38"/>
      <c r="D10" s="38"/>
      <c r="E10" s="109"/>
      <c r="F10" s="112"/>
      <c r="G10" s="39"/>
      <c r="H10" s="39"/>
      <c r="I10" s="39"/>
      <c r="J10" s="39"/>
      <c r="K10" s="39"/>
      <c r="L10" s="39"/>
      <c r="M10" s="93"/>
      <c r="N10" s="93"/>
      <c r="O10" s="93"/>
      <c r="P10" s="39"/>
      <c r="Q10" s="39"/>
      <c r="R10" s="40">
        <f t="shared" si="0"/>
        <v>0</v>
      </c>
    </row>
    <row r="11" spans="1:18" x14ac:dyDescent="0.5">
      <c r="A11" s="37"/>
      <c r="B11" s="38"/>
      <c r="C11" s="38"/>
      <c r="D11" s="38"/>
      <c r="E11" s="109"/>
      <c r="F11" s="112"/>
      <c r="G11" s="39"/>
      <c r="H11" s="39"/>
      <c r="I11" s="39"/>
      <c r="J11" s="39"/>
      <c r="K11" s="39"/>
      <c r="L11" s="39"/>
      <c r="M11" s="93"/>
      <c r="N11" s="93"/>
      <c r="O11" s="93"/>
      <c r="P11" s="39"/>
      <c r="Q11" s="39"/>
      <c r="R11" s="40">
        <f t="shared" si="0"/>
        <v>0</v>
      </c>
    </row>
    <row r="12" spans="1:18" x14ac:dyDescent="0.5">
      <c r="A12" s="37"/>
      <c r="B12" s="38"/>
      <c r="C12" s="38"/>
      <c r="D12" s="38"/>
      <c r="E12" s="109"/>
      <c r="F12" s="112"/>
      <c r="G12" s="39"/>
      <c r="H12" s="39"/>
      <c r="I12" s="39"/>
      <c r="J12" s="39"/>
      <c r="K12" s="39"/>
      <c r="L12" s="39"/>
      <c r="M12" s="93"/>
      <c r="N12" s="93"/>
      <c r="O12" s="93"/>
      <c r="P12" s="39"/>
      <c r="Q12" s="39"/>
      <c r="R12" s="40">
        <f t="shared" si="0"/>
        <v>0</v>
      </c>
    </row>
    <row r="13" spans="1:18" x14ac:dyDescent="0.5">
      <c r="A13" s="37"/>
      <c r="B13" s="38"/>
      <c r="C13" s="38"/>
      <c r="D13" s="38"/>
      <c r="E13" s="109"/>
      <c r="F13" s="112"/>
      <c r="G13" s="39"/>
      <c r="H13" s="39"/>
      <c r="I13" s="39"/>
      <c r="J13" s="39"/>
      <c r="K13" s="39"/>
      <c r="L13" s="39"/>
      <c r="M13" s="93"/>
      <c r="N13" s="93"/>
      <c r="O13" s="93"/>
      <c r="P13" s="39"/>
      <c r="Q13" s="39"/>
      <c r="R13" s="40">
        <f t="shared" si="0"/>
        <v>0</v>
      </c>
    </row>
    <row r="14" spans="1:18" x14ac:dyDescent="0.5">
      <c r="A14" s="37"/>
      <c r="B14" s="38"/>
      <c r="C14" s="38"/>
      <c r="D14" s="38"/>
      <c r="E14" s="109"/>
      <c r="F14" s="112"/>
      <c r="G14" s="39"/>
      <c r="H14" s="39"/>
      <c r="I14" s="39"/>
      <c r="J14" s="39"/>
      <c r="K14" s="39"/>
      <c r="L14" s="39"/>
      <c r="M14" s="93"/>
      <c r="N14" s="93"/>
      <c r="O14" s="93"/>
      <c r="P14" s="39"/>
      <c r="Q14" s="39"/>
      <c r="R14" s="40">
        <f t="shared" si="0"/>
        <v>0</v>
      </c>
    </row>
    <row r="15" spans="1:18" x14ac:dyDescent="0.5">
      <c r="A15" s="37"/>
      <c r="B15" s="38"/>
      <c r="C15" s="38"/>
      <c r="D15" s="38"/>
      <c r="E15" s="109"/>
      <c r="F15" s="112"/>
      <c r="G15" s="39"/>
      <c r="H15" s="39"/>
      <c r="I15" s="39"/>
      <c r="J15" s="39"/>
      <c r="K15" s="39"/>
      <c r="L15" s="39"/>
      <c r="M15" s="93"/>
      <c r="N15" s="93"/>
      <c r="O15" s="93"/>
      <c r="P15" s="39"/>
      <c r="Q15" s="39"/>
      <c r="R15" s="40">
        <f t="shared" si="0"/>
        <v>0</v>
      </c>
    </row>
    <row r="16" spans="1:18" x14ac:dyDescent="0.5">
      <c r="A16" s="37"/>
      <c r="B16" s="38"/>
      <c r="C16" s="38"/>
      <c r="D16" s="38"/>
      <c r="E16" s="110"/>
      <c r="F16" s="113"/>
      <c r="G16" s="39"/>
      <c r="H16" s="39"/>
      <c r="I16" s="39"/>
      <c r="J16" s="39"/>
      <c r="K16" s="39"/>
      <c r="L16" s="39"/>
      <c r="M16" s="93"/>
      <c r="N16" s="93"/>
      <c r="O16" s="93"/>
      <c r="P16" s="39"/>
      <c r="Q16" s="39"/>
      <c r="R16" s="40">
        <f t="shared" si="0"/>
        <v>0</v>
      </c>
    </row>
    <row r="17" spans="1:18" x14ac:dyDescent="0.5">
      <c r="A17" s="37">
        <v>2</v>
      </c>
      <c r="B17" s="38"/>
      <c r="C17" s="38"/>
      <c r="D17" s="38"/>
      <c r="E17" s="108" t="s">
        <v>77</v>
      </c>
      <c r="F17" s="111" t="s">
        <v>97</v>
      </c>
      <c r="G17" s="39"/>
      <c r="H17" s="39"/>
      <c r="I17" s="39"/>
      <c r="J17" s="39"/>
      <c r="K17" s="39"/>
      <c r="L17" s="39"/>
      <c r="M17" s="93"/>
      <c r="N17" s="93"/>
      <c r="O17" s="93"/>
      <c r="P17" s="39"/>
      <c r="Q17" s="39"/>
      <c r="R17" s="40">
        <f t="shared" si="0"/>
        <v>0</v>
      </c>
    </row>
    <row r="18" spans="1:18" x14ac:dyDescent="0.5">
      <c r="A18" s="37"/>
      <c r="B18" s="38"/>
      <c r="C18" s="38"/>
      <c r="D18" s="38"/>
      <c r="E18" s="109"/>
      <c r="F18" s="112"/>
      <c r="G18" s="39"/>
      <c r="H18" s="39"/>
      <c r="I18" s="39"/>
      <c r="J18" s="39"/>
      <c r="K18" s="39"/>
      <c r="L18" s="39"/>
      <c r="M18" s="93"/>
      <c r="N18" s="93"/>
      <c r="O18" s="93"/>
      <c r="P18" s="39"/>
      <c r="Q18" s="39"/>
      <c r="R18" s="40">
        <f t="shared" si="0"/>
        <v>0</v>
      </c>
    </row>
    <row r="19" spans="1:18" x14ac:dyDescent="0.5">
      <c r="A19" s="37"/>
      <c r="B19" s="38"/>
      <c r="C19" s="38"/>
      <c r="D19" s="38"/>
      <c r="E19" s="109"/>
      <c r="F19" s="112"/>
      <c r="G19" s="39"/>
      <c r="H19" s="39"/>
      <c r="I19" s="39"/>
      <c r="J19" s="39"/>
      <c r="K19" s="39"/>
      <c r="L19" s="39"/>
      <c r="M19" s="93"/>
      <c r="N19" s="93"/>
      <c r="O19" s="93"/>
      <c r="P19" s="39"/>
      <c r="Q19" s="39"/>
      <c r="R19" s="40">
        <f>SUM(G19:Q19)</f>
        <v>0</v>
      </c>
    </row>
    <row r="20" spans="1:18" x14ac:dyDescent="0.5">
      <c r="A20" s="37"/>
      <c r="B20" s="38"/>
      <c r="C20" s="38"/>
      <c r="D20" s="38"/>
      <c r="E20" s="109"/>
      <c r="F20" s="112"/>
      <c r="G20" s="39"/>
      <c r="H20" s="39"/>
      <c r="I20" s="39"/>
      <c r="J20" s="39"/>
      <c r="K20" s="39"/>
      <c r="L20" s="39"/>
      <c r="M20" s="93"/>
      <c r="N20" s="93"/>
      <c r="O20" s="93"/>
      <c r="P20" s="39"/>
      <c r="Q20" s="39"/>
      <c r="R20" s="40">
        <f t="shared" ref="R20:R91" si="1">SUM(G20:Q20)</f>
        <v>0</v>
      </c>
    </row>
    <row r="21" spans="1:18" x14ac:dyDescent="0.5">
      <c r="A21" s="37"/>
      <c r="B21" s="38"/>
      <c r="C21" s="38"/>
      <c r="D21" s="38"/>
      <c r="E21" s="109"/>
      <c r="F21" s="112"/>
      <c r="G21" s="39"/>
      <c r="H21" s="39"/>
      <c r="I21" s="39"/>
      <c r="J21" s="39"/>
      <c r="K21" s="39"/>
      <c r="L21" s="39"/>
      <c r="M21" s="93"/>
      <c r="N21" s="93"/>
      <c r="O21" s="93"/>
      <c r="P21" s="39"/>
      <c r="Q21" s="39"/>
      <c r="R21" s="40">
        <f t="shared" si="1"/>
        <v>0</v>
      </c>
    </row>
    <row r="22" spans="1:18" x14ac:dyDescent="0.5">
      <c r="A22" s="37"/>
      <c r="B22" s="38"/>
      <c r="C22" s="38"/>
      <c r="D22" s="38"/>
      <c r="E22" s="109"/>
      <c r="F22" s="112"/>
      <c r="G22" s="39"/>
      <c r="H22" s="39"/>
      <c r="I22" s="39"/>
      <c r="J22" s="39"/>
      <c r="K22" s="39"/>
      <c r="L22" s="39"/>
      <c r="M22" s="93"/>
      <c r="N22" s="93"/>
      <c r="O22" s="93"/>
      <c r="P22" s="39"/>
      <c r="Q22" s="39"/>
      <c r="R22" s="40">
        <f t="shared" si="1"/>
        <v>0</v>
      </c>
    </row>
    <row r="23" spans="1:18" x14ac:dyDescent="0.5">
      <c r="A23" s="37"/>
      <c r="B23" s="38"/>
      <c r="C23" s="38"/>
      <c r="D23" s="38"/>
      <c r="E23" s="109"/>
      <c r="F23" s="112"/>
      <c r="G23" s="39"/>
      <c r="H23" s="39"/>
      <c r="I23" s="39"/>
      <c r="J23" s="39"/>
      <c r="K23" s="39"/>
      <c r="L23" s="39"/>
      <c r="M23" s="93"/>
      <c r="N23" s="93"/>
      <c r="O23" s="93"/>
      <c r="P23" s="39"/>
      <c r="Q23" s="39"/>
      <c r="R23" s="40">
        <f t="shared" si="1"/>
        <v>0</v>
      </c>
    </row>
    <row r="24" spans="1:18" x14ac:dyDescent="0.5">
      <c r="A24" s="37"/>
      <c r="B24" s="38"/>
      <c r="C24" s="38"/>
      <c r="D24" s="38"/>
      <c r="E24" s="109"/>
      <c r="F24" s="112"/>
      <c r="G24" s="39"/>
      <c r="H24" s="39"/>
      <c r="I24" s="39"/>
      <c r="J24" s="39"/>
      <c r="K24" s="39"/>
      <c r="L24" s="39"/>
      <c r="M24" s="93"/>
      <c r="N24" s="93"/>
      <c r="O24" s="93"/>
      <c r="P24" s="39"/>
      <c r="Q24" s="39"/>
      <c r="R24" s="40">
        <f t="shared" si="1"/>
        <v>0</v>
      </c>
    </row>
    <row r="25" spans="1:18" x14ac:dyDescent="0.5">
      <c r="A25" s="37"/>
      <c r="B25" s="38"/>
      <c r="C25" s="38"/>
      <c r="D25" s="38"/>
      <c r="E25" s="109"/>
      <c r="F25" s="112"/>
      <c r="G25" s="39"/>
      <c r="H25" s="39"/>
      <c r="I25" s="39"/>
      <c r="J25" s="39"/>
      <c r="K25" s="39"/>
      <c r="L25" s="39"/>
      <c r="M25" s="93"/>
      <c r="N25" s="93"/>
      <c r="O25" s="93"/>
      <c r="P25" s="39"/>
      <c r="Q25" s="39"/>
      <c r="R25" s="40">
        <f t="shared" si="1"/>
        <v>0</v>
      </c>
    </row>
    <row r="26" spans="1:18" x14ac:dyDescent="0.5">
      <c r="A26" s="37"/>
      <c r="B26" s="38"/>
      <c r="C26" s="38"/>
      <c r="D26" s="38"/>
      <c r="E26" s="109"/>
      <c r="F26" s="112"/>
      <c r="G26" s="39"/>
      <c r="H26" s="39"/>
      <c r="I26" s="39"/>
      <c r="J26" s="39"/>
      <c r="K26" s="39"/>
      <c r="L26" s="39"/>
      <c r="M26" s="93"/>
      <c r="N26" s="93"/>
      <c r="O26" s="93"/>
      <c r="P26" s="39"/>
      <c r="Q26" s="39"/>
      <c r="R26" s="40">
        <f t="shared" si="1"/>
        <v>0</v>
      </c>
    </row>
    <row r="27" spans="1:18" x14ac:dyDescent="0.5">
      <c r="A27" s="37"/>
      <c r="B27" s="38"/>
      <c r="C27" s="38"/>
      <c r="D27" s="38"/>
      <c r="E27" s="110"/>
      <c r="F27" s="113"/>
      <c r="G27" s="39"/>
      <c r="H27" s="39"/>
      <c r="I27" s="39"/>
      <c r="J27" s="39"/>
      <c r="K27" s="39"/>
      <c r="L27" s="39"/>
      <c r="M27" s="93"/>
      <c r="N27" s="93"/>
      <c r="O27" s="93"/>
      <c r="P27" s="39"/>
      <c r="Q27" s="39"/>
      <c r="R27" s="40">
        <f t="shared" si="1"/>
        <v>0</v>
      </c>
    </row>
    <row r="28" spans="1:18" x14ac:dyDescent="0.5">
      <c r="A28" s="37">
        <v>3</v>
      </c>
      <c r="B28" s="38" t="s">
        <v>231</v>
      </c>
      <c r="C28" s="38" t="s">
        <v>83</v>
      </c>
      <c r="D28" s="38" t="s">
        <v>63</v>
      </c>
      <c r="E28" s="108" t="s">
        <v>165</v>
      </c>
      <c r="F28" s="111"/>
      <c r="G28" s="39"/>
      <c r="H28" s="39"/>
      <c r="I28" s="39"/>
      <c r="J28" s="39"/>
      <c r="K28" s="39"/>
      <c r="L28" s="39"/>
      <c r="M28" s="93">
        <v>23</v>
      </c>
      <c r="N28" s="93"/>
      <c r="O28" s="93"/>
      <c r="P28" s="39"/>
      <c r="Q28" s="39"/>
      <c r="R28" s="40">
        <f t="shared" si="1"/>
        <v>23</v>
      </c>
    </row>
    <row r="29" spans="1:18" x14ac:dyDescent="0.5">
      <c r="A29" s="37"/>
      <c r="B29" s="38" t="s">
        <v>82</v>
      </c>
      <c r="C29" s="38" t="s">
        <v>83</v>
      </c>
      <c r="D29" s="38" t="s">
        <v>63</v>
      </c>
      <c r="E29" s="109"/>
      <c r="F29" s="112"/>
      <c r="G29" s="39"/>
      <c r="H29" s="39"/>
      <c r="I29" s="39"/>
      <c r="J29" s="39"/>
      <c r="K29" s="39"/>
      <c r="L29" s="39"/>
      <c r="M29" s="93">
        <v>5</v>
      </c>
      <c r="N29" s="93"/>
      <c r="O29" s="93"/>
      <c r="P29" s="39"/>
      <c r="Q29" s="39"/>
      <c r="R29" s="40">
        <f t="shared" si="1"/>
        <v>5</v>
      </c>
    </row>
    <row r="30" spans="1:18" x14ac:dyDescent="0.5">
      <c r="A30" s="37"/>
      <c r="B30" s="38"/>
      <c r="C30" s="38"/>
      <c r="D30" s="38"/>
      <c r="E30" s="109"/>
      <c r="F30" s="112"/>
      <c r="G30" s="39"/>
      <c r="H30" s="39"/>
      <c r="I30" s="39"/>
      <c r="J30" s="39"/>
      <c r="K30" s="39"/>
      <c r="L30" s="39"/>
      <c r="M30" s="93"/>
      <c r="N30" s="93"/>
      <c r="O30" s="93"/>
      <c r="P30" s="39"/>
      <c r="Q30" s="39"/>
      <c r="R30" s="40">
        <f t="shared" si="1"/>
        <v>0</v>
      </c>
    </row>
    <row r="31" spans="1:18" x14ac:dyDescent="0.5">
      <c r="A31" s="37"/>
      <c r="B31" s="38"/>
      <c r="C31" s="38"/>
      <c r="D31" s="38"/>
      <c r="E31" s="109"/>
      <c r="F31" s="112"/>
      <c r="G31" s="39"/>
      <c r="H31" s="39"/>
      <c r="I31" s="39"/>
      <c r="J31" s="39"/>
      <c r="K31" s="39"/>
      <c r="L31" s="39"/>
      <c r="M31" s="93"/>
      <c r="N31" s="93"/>
      <c r="O31" s="93"/>
      <c r="P31" s="39"/>
      <c r="Q31" s="39"/>
      <c r="R31" s="40">
        <f t="shared" si="1"/>
        <v>0</v>
      </c>
    </row>
    <row r="32" spans="1:18" x14ac:dyDescent="0.5">
      <c r="A32" s="37"/>
      <c r="B32" s="38"/>
      <c r="C32" s="38"/>
      <c r="D32" s="38"/>
      <c r="E32" s="109"/>
      <c r="F32" s="112"/>
      <c r="G32" s="39"/>
      <c r="H32" s="39"/>
      <c r="I32" s="39"/>
      <c r="J32" s="39"/>
      <c r="K32" s="39"/>
      <c r="L32" s="39"/>
      <c r="M32" s="93"/>
      <c r="N32" s="93"/>
      <c r="O32" s="93"/>
      <c r="P32" s="39"/>
      <c r="Q32" s="39"/>
      <c r="R32" s="40">
        <f t="shared" si="1"/>
        <v>0</v>
      </c>
    </row>
    <row r="33" spans="1:18" x14ac:dyDescent="0.5">
      <c r="A33" s="37"/>
      <c r="B33" s="38"/>
      <c r="C33" s="38"/>
      <c r="D33" s="38"/>
      <c r="E33" s="109"/>
      <c r="F33" s="112"/>
      <c r="G33" s="39"/>
      <c r="H33" s="39"/>
      <c r="I33" s="39"/>
      <c r="J33" s="39"/>
      <c r="K33" s="39"/>
      <c r="L33" s="39"/>
      <c r="M33" s="93"/>
      <c r="N33" s="93"/>
      <c r="O33" s="93"/>
      <c r="P33" s="39"/>
      <c r="Q33" s="39"/>
      <c r="R33" s="40">
        <f t="shared" si="1"/>
        <v>0</v>
      </c>
    </row>
    <row r="34" spans="1:18" x14ac:dyDescent="0.5">
      <c r="A34" s="37"/>
      <c r="B34" s="38"/>
      <c r="C34" s="38"/>
      <c r="D34" s="38"/>
      <c r="E34" s="109"/>
      <c r="F34" s="112"/>
      <c r="G34" s="39"/>
      <c r="H34" s="39"/>
      <c r="I34" s="39"/>
      <c r="J34" s="39"/>
      <c r="K34" s="39"/>
      <c r="L34" s="39"/>
      <c r="M34" s="93"/>
      <c r="N34" s="93"/>
      <c r="O34" s="93"/>
      <c r="P34" s="39"/>
      <c r="Q34" s="39"/>
      <c r="R34" s="40">
        <f t="shared" si="1"/>
        <v>0</v>
      </c>
    </row>
    <row r="35" spans="1:18" x14ac:dyDescent="0.5">
      <c r="A35" s="37"/>
      <c r="B35" s="38"/>
      <c r="C35" s="38"/>
      <c r="D35" s="38"/>
      <c r="E35" s="109"/>
      <c r="F35" s="112"/>
      <c r="G35" s="39"/>
      <c r="H35" s="39"/>
      <c r="I35" s="39"/>
      <c r="J35" s="39"/>
      <c r="K35" s="39"/>
      <c r="L35" s="39"/>
      <c r="M35" s="93"/>
      <c r="N35" s="93"/>
      <c r="O35" s="93"/>
      <c r="P35" s="39"/>
      <c r="Q35" s="39"/>
      <c r="R35" s="40">
        <f t="shared" si="1"/>
        <v>0</v>
      </c>
    </row>
    <row r="36" spans="1:18" x14ac:dyDescent="0.5">
      <c r="A36" s="37"/>
      <c r="B36" s="38"/>
      <c r="C36" s="38"/>
      <c r="D36" s="38"/>
      <c r="E36" s="109"/>
      <c r="F36" s="112"/>
      <c r="G36" s="39"/>
      <c r="H36" s="39"/>
      <c r="I36" s="39"/>
      <c r="J36" s="39"/>
      <c r="K36" s="39"/>
      <c r="L36" s="39"/>
      <c r="M36" s="93"/>
      <c r="N36" s="93"/>
      <c r="O36" s="93"/>
      <c r="P36" s="39"/>
      <c r="Q36" s="39"/>
      <c r="R36" s="40">
        <f t="shared" si="1"/>
        <v>0</v>
      </c>
    </row>
    <row r="37" spans="1:18" x14ac:dyDescent="0.5">
      <c r="A37" s="37"/>
      <c r="B37" s="38"/>
      <c r="C37" s="38"/>
      <c r="D37" s="38"/>
      <c r="E37" s="109"/>
      <c r="F37" s="112"/>
      <c r="G37" s="39"/>
      <c r="H37" s="39"/>
      <c r="I37" s="39"/>
      <c r="J37" s="39"/>
      <c r="K37" s="39"/>
      <c r="L37" s="39"/>
      <c r="M37" s="93"/>
      <c r="N37" s="93"/>
      <c r="O37" s="93"/>
      <c r="P37" s="39"/>
      <c r="Q37" s="39"/>
      <c r="R37" s="40">
        <f t="shared" si="1"/>
        <v>0</v>
      </c>
    </row>
    <row r="38" spans="1:18" x14ac:dyDescent="0.5">
      <c r="A38" s="37"/>
      <c r="B38" s="38"/>
      <c r="C38" s="38"/>
      <c r="D38" s="38"/>
      <c r="E38" s="110"/>
      <c r="F38" s="113"/>
      <c r="G38" s="39"/>
      <c r="H38" s="39"/>
      <c r="I38" s="39"/>
      <c r="J38" s="39"/>
      <c r="K38" s="39"/>
      <c r="L38" s="39"/>
      <c r="M38" s="93"/>
      <c r="N38" s="93"/>
      <c r="O38" s="93"/>
      <c r="P38" s="39"/>
      <c r="Q38" s="39"/>
      <c r="R38" s="40">
        <f t="shared" si="1"/>
        <v>0</v>
      </c>
    </row>
    <row r="39" spans="1:18" x14ac:dyDescent="0.5">
      <c r="A39" s="37">
        <v>4</v>
      </c>
      <c r="B39" s="38"/>
      <c r="C39" s="38"/>
      <c r="D39" s="38"/>
      <c r="E39" s="108" t="s">
        <v>192</v>
      </c>
      <c r="F39" s="111"/>
      <c r="G39" s="39"/>
      <c r="H39" s="39"/>
      <c r="I39" s="39"/>
      <c r="J39" s="39"/>
      <c r="K39" s="39"/>
      <c r="L39" s="39"/>
      <c r="M39" s="93"/>
      <c r="N39" s="93"/>
      <c r="O39" s="93"/>
      <c r="P39" s="39"/>
      <c r="Q39" s="39"/>
      <c r="R39" s="40">
        <f t="shared" si="1"/>
        <v>0</v>
      </c>
    </row>
    <row r="40" spans="1:18" x14ac:dyDescent="0.5">
      <c r="A40" s="37"/>
      <c r="B40" s="38"/>
      <c r="C40" s="38"/>
      <c r="D40" s="38"/>
      <c r="E40" s="109"/>
      <c r="F40" s="112"/>
      <c r="G40" s="39"/>
      <c r="H40" s="39"/>
      <c r="I40" s="39"/>
      <c r="J40" s="39"/>
      <c r="K40" s="39"/>
      <c r="L40" s="39"/>
      <c r="M40" s="93"/>
      <c r="N40" s="93"/>
      <c r="O40" s="93"/>
      <c r="P40" s="39"/>
      <c r="Q40" s="39"/>
      <c r="R40" s="40">
        <f t="shared" si="1"/>
        <v>0</v>
      </c>
    </row>
    <row r="41" spans="1:18" x14ac:dyDescent="0.5">
      <c r="A41" s="37"/>
      <c r="B41" s="38"/>
      <c r="C41" s="38"/>
      <c r="D41" s="38"/>
      <c r="E41" s="109"/>
      <c r="F41" s="112"/>
      <c r="G41" s="39"/>
      <c r="H41" s="39"/>
      <c r="I41" s="39"/>
      <c r="J41" s="39"/>
      <c r="K41" s="39"/>
      <c r="L41" s="39"/>
      <c r="M41" s="93"/>
      <c r="N41" s="93"/>
      <c r="O41" s="93"/>
      <c r="P41" s="39"/>
      <c r="Q41" s="39"/>
      <c r="R41" s="40">
        <f t="shared" si="1"/>
        <v>0</v>
      </c>
    </row>
    <row r="42" spans="1:18" x14ac:dyDescent="0.5">
      <c r="A42" s="37"/>
      <c r="B42" s="38"/>
      <c r="C42" s="38"/>
      <c r="D42" s="38"/>
      <c r="E42" s="109"/>
      <c r="F42" s="112"/>
      <c r="G42" s="39"/>
      <c r="H42" s="39"/>
      <c r="I42" s="39"/>
      <c r="J42" s="39"/>
      <c r="K42" s="39"/>
      <c r="L42" s="39"/>
      <c r="M42" s="93"/>
      <c r="N42" s="93"/>
      <c r="O42" s="93"/>
      <c r="P42" s="39"/>
      <c r="Q42" s="39"/>
      <c r="R42" s="40">
        <f t="shared" si="1"/>
        <v>0</v>
      </c>
    </row>
    <row r="43" spans="1:18" x14ac:dyDescent="0.5">
      <c r="A43" s="37"/>
      <c r="B43" s="38"/>
      <c r="C43" s="58"/>
      <c r="D43" s="38"/>
      <c r="E43" s="109"/>
      <c r="F43" s="112"/>
      <c r="G43" s="39"/>
      <c r="H43" s="39"/>
      <c r="I43" s="39"/>
      <c r="J43" s="39"/>
      <c r="K43" s="39"/>
      <c r="L43" s="39"/>
      <c r="M43" s="93"/>
      <c r="N43" s="93"/>
      <c r="O43" s="93"/>
      <c r="P43" s="39"/>
      <c r="Q43" s="39"/>
      <c r="R43" s="40">
        <f t="shared" si="1"/>
        <v>0</v>
      </c>
    </row>
    <row r="44" spans="1:18" x14ac:dyDescent="0.5">
      <c r="A44" s="37"/>
      <c r="B44" s="38"/>
      <c r="C44" s="38"/>
      <c r="D44" s="38"/>
      <c r="E44" s="109"/>
      <c r="F44" s="112"/>
      <c r="G44" s="39"/>
      <c r="H44" s="39"/>
      <c r="I44" s="39"/>
      <c r="J44" s="39"/>
      <c r="K44" s="39"/>
      <c r="L44" s="39"/>
      <c r="M44" s="93"/>
      <c r="N44" s="93"/>
      <c r="O44" s="93"/>
      <c r="P44" s="39"/>
      <c r="Q44" s="39"/>
      <c r="R44" s="40">
        <f t="shared" si="1"/>
        <v>0</v>
      </c>
    </row>
    <row r="45" spans="1:18" x14ac:dyDescent="0.5">
      <c r="A45" s="37"/>
      <c r="B45" s="38"/>
      <c r="C45" s="38"/>
      <c r="D45" s="38"/>
      <c r="E45" s="109"/>
      <c r="F45" s="112"/>
      <c r="G45" s="39"/>
      <c r="H45" s="39"/>
      <c r="I45" s="39"/>
      <c r="J45" s="39"/>
      <c r="K45" s="39"/>
      <c r="L45" s="39"/>
      <c r="M45" s="93"/>
      <c r="N45" s="93"/>
      <c r="O45" s="93"/>
      <c r="P45" s="39"/>
      <c r="Q45" s="39"/>
      <c r="R45" s="40">
        <f t="shared" si="1"/>
        <v>0</v>
      </c>
    </row>
    <row r="46" spans="1:18" x14ac:dyDescent="0.5">
      <c r="A46" s="37"/>
      <c r="B46" s="38"/>
      <c r="C46" s="38"/>
      <c r="D46" s="38"/>
      <c r="E46" s="109"/>
      <c r="F46" s="112"/>
      <c r="G46" s="39"/>
      <c r="H46" s="39"/>
      <c r="I46" s="39"/>
      <c r="J46" s="39"/>
      <c r="K46" s="39"/>
      <c r="L46" s="39"/>
      <c r="M46" s="93"/>
      <c r="N46" s="93"/>
      <c r="O46" s="93"/>
      <c r="P46" s="39"/>
      <c r="Q46" s="39"/>
      <c r="R46" s="40">
        <f t="shared" si="1"/>
        <v>0</v>
      </c>
    </row>
    <row r="47" spans="1:18" x14ac:dyDescent="0.5">
      <c r="A47" s="37"/>
      <c r="B47" s="38"/>
      <c r="C47" s="38"/>
      <c r="D47" s="38"/>
      <c r="E47" s="109"/>
      <c r="F47" s="112"/>
      <c r="G47" s="39"/>
      <c r="H47" s="39"/>
      <c r="I47" s="39"/>
      <c r="J47" s="39"/>
      <c r="K47" s="39"/>
      <c r="L47" s="39"/>
      <c r="M47" s="93"/>
      <c r="N47" s="93"/>
      <c r="O47" s="93"/>
      <c r="P47" s="39"/>
      <c r="Q47" s="39"/>
      <c r="R47" s="40">
        <f t="shared" si="1"/>
        <v>0</v>
      </c>
    </row>
    <row r="48" spans="1:18" x14ac:dyDescent="0.5">
      <c r="A48" s="37"/>
      <c r="B48" s="38"/>
      <c r="C48" s="38"/>
      <c r="D48" s="38"/>
      <c r="E48" s="110"/>
      <c r="F48" s="113"/>
      <c r="G48" s="39"/>
      <c r="H48" s="39"/>
      <c r="I48" s="39"/>
      <c r="J48" s="39"/>
      <c r="K48" s="39"/>
      <c r="L48" s="39"/>
      <c r="M48" s="93"/>
      <c r="N48" s="93"/>
      <c r="O48" s="93"/>
      <c r="P48" s="39"/>
      <c r="Q48" s="39"/>
      <c r="R48" s="40">
        <f t="shared" si="1"/>
        <v>0</v>
      </c>
    </row>
    <row r="49" spans="1:18" x14ac:dyDescent="0.5">
      <c r="A49" s="57">
        <v>5</v>
      </c>
      <c r="B49" s="38"/>
      <c r="C49" s="58"/>
      <c r="D49" s="38"/>
      <c r="E49" s="108" t="s">
        <v>188</v>
      </c>
      <c r="F49" s="111"/>
      <c r="G49" s="41"/>
      <c r="H49" s="41"/>
      <c r="I49" s="41"/>
      <c r="J49" s="41"/>
      <c r="K49" s="41"/>
      <c r="L49" s="39"/>
      <c r="M49" s="93"/>
      <c r="N49" s="93"/>
      <c r="O49" s="93"/>
      <c r="P49" s="41"/>
      <c r="Q49" s="41"/>
      <c r="R49" s="40">
        <f t="shared" si="1"/>
        <v>0</v>
      </c>
    </row>
    <row r="50" spans="1:18" x14ac:dyDescent="0.5">
      <c r="A50" s="57"/>
      <c r="B50" s="38"/>
      <c r="C50" s="58"/>
      <c r="D50" s="38"/>
      <c r="E50" s="109"/>
      <c r="F50" s="112"/>
      <c r="G50" s="41"/>
      <c r="H50" s="41"/>
      <c r="I50" s="41"/>
      <c r="J50" s="41"/>
      <c r="K50" s="41"/>
      <c r="L50" s="39"/>
      <c r="M50" s="93"/>
      <c r="N50" s="93"/>
      <c r="O50" s="93"/>
      <c r="P50" s="41"/>
      <c r="Q50" s="41"/>
      <c r="R50" s="40">
        <f t="shared" si="1"/>
        <v>0</v>
      </c>
    </row>
    <row r="51" spans="1:18" x14ac:dyDescent="0.5">
      <c r="A51" s="57"/>
      <c r="B51" s="38"/>
      <c r="C51" s="58"/>
      <c r="D51" s="38"/>
      <c r="E51" s="109"/>
      <c r="F51" s="112"/>
      <c r="G51" s="41"/>
      <c r="H51" s="41"/>
      <c r="I51" s="41"/>
      <c r="J51" s="41"/>
      <c r="K51" s="41"/>
      <c r="L51" s="39"/>
      <c r="M51" s="93"/>
      <c r="N51" s="93"/>
      <c r="O51" s="93"/>
      <c r="P51" s="41"/>
      <c r="Q51" s="41"/>
      <c r="R51" s="40">
        <f t="shared" si="1"/>
        <v>0</v>
      </c>
    </row>
    <row r="52" spans="1:18" x14ac:dyDescent="0.5">
      <c r="A52" s="57"/>
      <c r="B52" s="38"/>
      <c r="C52" s="58"/>
      <c r="D52" s="38"/>
      <c r="E52" s="109"/>
      <c r="F52" s="112"/>
      <c r="G52" s="41"/>
      <c r="H52" s="41"/>
      <c r="I52" s="41"/>
      <c r="J52" s="41"/>
      <c r="K52" s="41"/>
      <c r="L52" s="39"/>
      <c r="M52" s="93"/>
      <c r="N52" s="93"/>
      <c r="O52" s="93"/>
      <c r="P52" s="41"/>
      <c r="Q52" s="41"/>
      <c r="R52" s="40">
        <f t="shared" si="1"/>
        <v>0</v>
      </c>
    </row>
    <row r="53" spans="1:18" x14ac:dyDescent="0.5">
      <c r="A53" s="57"/>
      <c r="B53" s="38"/>
      <c r="C53" s="58"/>
      <c r="D53" s="38"/>
      <c r="E53" s="109"/>
      <c r="F53" s="112"/>
      <c r="G53" s="41"/>
      <c r="H53" s="41"/>
      <c r="I53" s="41"/>
      <c r="J53" s="41"/>
      <c r="K53" s="41"/>
      <c r="L53" s="39"/>
      <c r="M53" s="93"/>
      <c r="N53" s="93"/>
      <c r="O53" s="93"/>
      <c r="P53" s="41"/>
      <c r="Q53" s="41"/>
      <c r="R53" s="40">
        <f t="shared" si="1"/>
        <v>0</v>
      </c>
    </row>
    <row r="54" spans="1:18" x14ac:dyDescent="0.5">
      <c r="A54" s="57"/>
      <c r="B54" s="38"/>
      <c r="C54" s="58"/>
      <c r="D54" s="38"/>
      <c r="E54" s="109"/>
      <c r="F54" s="112"/>
      <c r="G54" s="41"/>
      <c r="H54" s="41"/>
      <c r="I54" s="41"/>
      <c r="J54" s="41"/>
      <c r="K54" s="41"/>
      <c r="L54" s="39"/>
      <c r="M54" s="93"/>
      <c r="N54" s="93"/>
      <c r="O54" s="93"/>
      <c r="P54" s="41"/>
      <c r="Q54" s="41"/>
      <c r="R54" s="40">
        <f t="shared" si="1"/>
        <v>0</v>
      </c>
    </row>
    <row r="55" spans="1:18" x14ac:dyDescent="0.5">
      <c r="A55" s="57"/>
      <c r="B55" s="38"/>
      <c r="C55" s="38"/>
      <c r="D55" s="38"/>
      <c r="E55" s="109"/>
      <c r="F55" s="112"/>
      <c r="G55" s="41"/>
      <c r="H55" s="41"/>
      <c r="I55" s="41"/>
      <c r="J55" s="41"/>
      <c r="K55" s="41"/>
      <c r="L55" s="39"/>
      <c r="M55" s="93"/>
      <c r="N55" s="93"/>
      <c r="O55" s="93"/>
      <c r="P55" s="41"/>
      <c r="Q55" s="41"/>
      <c r="R55" s="40">
        <f t="shared" si="1"/>
        <v>0</v>
      </c>
    </row>
    <row r="56" spans="1:18" x14ac:dyDescent="0.5">
      <c r="A56" s="57"/>
      <c r="B56" s="38"/>
      <c r="C56" s="38"/>
      <c r="D56" s="38"/>
      <c r="E56" s="109"/>
      <c r="F56" s="112"/>
      <c r="G56" s="41"/>
      <c r="H56" s="41"/>
      <c r="I56" s="41"/>
      <c r="J56" s="41"/>
      <c r="K56" s="41"/>
      <c r="L56" s="39"/>
      <c r="M56" s="93"/>
      <c r="N56" s="93"/>
      <c r="O56" s="93"/>
      <c r="P56" s="41"/>
      <c r="Q56" s="41"/>
      <c r="R56" s="40">
        <f t="shared" si="1"/>
        <v>0</v>
      </c>
    </row>
    <row r="57" spans="1:18" x14ac:dyDescent="0.5">
      <c r="A57" s="57"/>
      <c r="B57" s="38"/>
      <c r="C57" s="58"/>
      <c r="D57" s="38"/>
      <c r="E57" s="109"/>
      <c r="F57" s="112"/>
      <c r="G57" s="41"/>
      <c r="H57" s="41"/>
      <c r="I57" s="41"/>
      <c r="J57" s="41"/>
      <c r="K57" s="41"/>
      <c r="L57" s="39"/>
      <c r="M57" s="93"/>
      <c r="N57" s="93"/>
      <c r="O57" s="93"/>
      <c r="P57" s="41"/>
      <c r="Q57" s="41"/>
      <c r="R57" s="40">
        <f t="shared" si="1"/>
        <v>0</v>
      </c>
    </row>
    <row r="58" spans="1:18" x14ac:dyDescent="0.5">
      <c r="A58" s="57"/>
      <c r="B58" s="38"/>
      <c r="C58" s="58"/>
      <c r="D58" s="38"/>
      <c r="E58" s="109"/>
      <c r="F58" s="112"/>
      <c r="G58" s="41"/>
      <c r="H58" s="41"/>
      <c r="I58" s="41"/>
      <c r="J58" s="41"/>
      <c r="K58" s="41"/>
      <c r="L58" s="39"/>
      <c r="M58" s="93"/>
      <c r="N58" s="93"/>
      <c r="O58" s="93"/>
      <c r="P58" s="41"/>
      <c r="Q58" s="41"/>
      <c r="R58" s="40">
        <f t="shared" si="1"/>
        <v>0</v>
      </c>
    </row>
    <row r="59" spans="1:18" x14ac:dyDescent="0.5">
      <c r="A59" s="57"/>
      <c r="B59" s="38"/>
      <c r="C59" s="58"/>
      <c r="D59" s="38"/>
      <c r="E59" s="110"/>
      <c r="F59" s="113"/>
      <c r="G59" s="41"/>
      <c r="H59" s="41"/>
      <c r="I59" s="41"/>
      <c r="J59" s="41"/>
      <c r="K59" s="41"/>
      <c r="L59" s="39"/>
      <c r="M59" s="93"/>
      <c r="N59" s="93"/>
      <c r="O59" s="93"/>
      <c r="P59" s="41"/>
      <c r="Q59" s="41"/>
      <c r="R59" s="40">
        <f t="shared" si="1"/>
        <v>0</v>
      </c>
    </row>
    <row r="60" spans="1:18" x14ac:dyDescent="0.5">
      <c r="A60" s="57">
        <v>6</v>
      </c>
      <c r="B60" s="38"/>
      <c r="C60" s="58"/>
      <c r="D60" s="38"/>
      <c r="E60" s="108" t="s">
        <v>213</v>
      </c>
      <c r="F60" s="111"/>
      <c r="G60" s="41"/>
      <c r="H60" s="41"/>
      <c r="I60" s="41"/>
      <c r="J60" s="41"/>
      <c r="K60" s="41"/>
      <c r="L60" s="39"/>
      <c r="M60" s="93"/>
      <c r="N60" s="93"/>
      <c r="O60" s="93"/>
      <c r="P60" s="41"/>
      <c r="Q60" s="41"/>
      <c r="R60" s="40">
        <f t="shared" si="1"/>
        <v>0</v>
      </c>
    </row>
    <row r="61" spans="1:18" x14ac:dyDescent="0.5">
      <c r="A61" s="57"/>
      <c r="B61" s="38"/>
      <c r="C61" s="58"/>
      <c r="D61" s="38"/>
      <c r="E61" s="109"/>
      <c r="F61" s="112"/>
      <c r="G61" s="41"/>
      <c r="H61" s="41"/>
      <c r="I61" s="41"/>
      <c r="J61" s="41"/>
      <c r="K61" s="41"/>
      <c r="L61" s="39"/>
      <c r="M61" s="93"/>
      <c r="N61" s="93"/>
      <c r="O61" s="93"/>
      <c r="P61" s="41"/>
      <c r="Q61" s="41"/>
      <c r="R61" s="40">
        <f t="shared" si="1"/>
        <v>0</v>
      </c>
    </row>
    <row r="62" spans="1:18" x14ac:dyDescent="0.5">
      <c r="A62" s="57"/>
      <c r="B62" s="38"/>
      <c r="C62" s="58"/>
      <c r="D62" s="38"/>
      <c r="E62" s="109"/>
      <c r="F62" s="112"/>
      <c r="G62" s="41"/>
      <c r="H62" s="41"/>
      <c r="I62" s="41"/>
      <c r="J62" s="41"/>
      <c r="K62" s="41"/>
      <c r="L62" s="39"/>
      <c r="M62" s="93"/>
      <c r="N62" s="93"/>
      <c r="O62" s="93"/>
      <c r="P62" s="41"/>
      <c r="Q62" s="41"/>
      <c r="R62" s="40">
        <f t="shared" si="1"/>
        <v>0</v>
      </c>
    </row>
    <row r="63" spans="1:18" x14ac:dyDescent="0.5">
      <c r="A63" s="57"/>
      <c r="B63" s="38"/>
      <c r="C63" s="58"/>
      <c r="D63" s="38"/>
      <c r="E63" s="109"/>
      <c r="F63" s="112"/>
      <c r="G63" s="41"/>
      <c r="H63" s="41"/>
      <c r="I63" s="41"/>
      <c r="J63" s="41"/>
      <c r="K63" s="41"/>
      <c r="L63" s="39"/>
      <c r="M63" s="93"/>
      <c r="N63" s="93"/>
      <c r="O63" s="93"/>
      <c r="P63" s="41"/>
      <c r="Q63" s="41"/>
      <c r="R63" s="40">
        <f t="shared" si="1"/>
        <v>0</v>
      </c>
    </row>
    <row r="64" spans="1:18" x14ac:dyDescent="0.5">
      <c r="A64" s="57"/>
      <c r="B64" s="38"/>
      <c r="C64" s="58"/>
      <c r="D64" s="38"/>
      <c r="E64" s="109"/>
      <c r="F64" s="112"/>
      <c r="G64" s="41"/>
      <c r="H64" s="41"/>
      <c r="I64" s="41"/>
      <c r="J64" s="41"/>
      <c r="K64" s="41"/>
      <c r="L64" s="39"/>
      <c r="M64" s="93"/>
      <c r="N64" s="93"/>
      <c r="O64" s="93"/>
      <c r="P64" s="41"/>
      <c r="Q64" s="41"/>
      <c r="R64" s="40">
        <f t="shared" si="1"/>
        <v>0</v>
      </c>
    </row>
    <row r="65" spans="1:18" x14ac:dyDescent="0.5">
      <c r="A65" s="57"/>
      <c r="B65" s="38"/>
      <c r="C65" s="58"/>
      <c r="D65" s="38"/>
      <c r="E65" s="109"/>
      <c r="F65" s="112"/>
      <c r="G65" s="41"/>
      <c r="H65" s="41"/>
      <c r="I65" s="41"/>
      <c r="J65" s="41"/>
      <c r="K65" s="41"/>
      <c r="L65" s="39"/>
      <c r="M65" s="93"/>
      <c r="N65" s="93"/>
      <c r="O65" s="93"/>
      <c r="P65" s="41"/>
      <c r="Q65" s="41"/>
      <c r="R65" s="40">
        <f t="shared" si="1"/>
        <v>0</v>
      </c>
    </row>
    <row r="66" spans="1:18" x14ac:dyDescent="0.5">
      <c r="A66" s="57"/>
      <c r="B66" s="38"/>
      <c r="C66" s="58"/>
      <c r="D66" s="38"/>
      <c r="E66" s="109"/>
      <c r="F66" s="112"/>
      <c r="G66" s="41"/>
      <c r="H66" s="41"/>
      <c r="I66" s="41"/>
      <c r="J66" s="41"/>
      <c r="K66" s="41"/>
      <c r="L66" s="39"/>
      <c r="M66" s="93"/>
      <c r="N66" s="93"/>
      <c r="O66" s="93"/>
      <c r="P66" s="41"/>
      <c r="Q66" s="41"/>
      <c r="R66" s="40">
        <f t="shared" si="1"/>
        <v>0</v>
      </c>
    </row>
    <row r="67" spans="1:18" x14ac:dyDescent="0.5">
      <c r="A67" s="57"/>
      <c r="B67" s="38"/>
      <c r="C67" s="58"/>
      <c r="D67" s="38"/>
      <c r="E67" s="109"/>
      <c r="F67" s="112"/>
      <c r="G67" s="41"/>
      <c r="H67" s="41"/>
      <c r="I67" s="41"/>
      <c r="J67" s="41"/>
      <c r="K67" s="41"/>
      <c r="L67" s="39"/>
      <c r="M67" s="93"/>
      <c r="N67" s="93"/>
      <c r="O67" s="93"/>
      <c r="P67" s="41"/>
      <c r="Q67" s="41"/>
      <c r="R67" s="40">
        <f t="shared" si="1"/>
        <v>0</v>
      </c>
    </row>
    <row r="68" spans="1:18" x14ac:dyDescent="0.5">
      <c r="A68" s="57"/>
      <c r="B68" s="38"/>
      <c r="C68" s="58"/>
      <c r="D68" s="38"/>
      <c r="E68" s="109"/>
      <c r="F68" s="112"/>
      <c r="G68" s="41"/>
      <c r="H68" s="41"/>
      <c r="I68" s="41"/>
      <c r="J68" s="41"/>
      <c r="K68" s="41"/>
      <c r="L68" s="39"/>
      <c r="M68" s="93"/>
      <c r="N68" s="93"/>
      <c r="O68" s="93"/>
      <c r="P68" s="41"/>
      <c r="Q68" s="41"/>
      <c r="R68" s="40">
        <f t="shared" si="1"/>
        <v>0</v>
      </c>
    </row>
    <row r="69" spans="1:18" x14ac:dyDescent="0.5">
      <c r="A69" s="57"/>
      <c r="B69" s="38"/>
      <c r="C69" s="58"/>
      <c r="D69" s="38"/>
      <c r="E69" s="109"/>
      <c r="F69" s="112"/>
      <c r="G69" s="41"/>
      <c r="H69" s="41"/>
      <c r="I69" s="41"/>
      <c r="J69" s="41"/>
      <c r="K69" s="41"/>
      <c r="L69" s="39"/>
      <c r="M69" s="93"/>
      <c r="N69" s="93"/>
      <c r="O69" s="93"/>
      <c r="P69" s="41"/>
      <c r="Q69" s="41"/>
      <c r="R69" s="40">
        <f t="shared" si="1"/>
        <v>0</v>
      </c>
    </row>
    <row r="70" spans="1:18" x14ac:dyDescent="0.5">
      <c r="A70" s="57"/>
      <c r="B70" s="38"/>
      <c r="C70" s="58"/>
      <c r="D70" s="38"/>
      <c r="E70" s="110"/>
      <c r="F70" s="113"/>
      <c r="G70" s="41"/>
      <c r="H70" s="41"/>
      <c r="I70" s="41"/>
      <c r="J70" s="41"/>
      <c r="K70" s="41"/>
      <c r="L70" s="39"/>
      <c r="M70" s="93"/>
      <c r="N70" s="93"/>
      <c r="O70" s="93"/>
      <c r="P70" s="41"/>
      <c r="Q70" s="41"/>
      <c r="R70" s="40">
        <f t="shared" si="1"/>
        <v>0</v>
      </c>
    </row>
    <row r="71" spans="1:18" x14ac:dyDescent="0.5">
      <c r="A71" s="57">
        <v>7</v>
      </c>
      <c r="B71" s="38" t="s">
        <v>87</v>
      </c>
      <c r="C71" s="58" t="s">
        <v>83</v>
      </c>
      <c r="D71" s="38" t="s">
        <v>63</v>
      </c>
      <c r="E71" s="108" t="s">
        <v>166</v>
      </c>
      <c r="F71" s="111"/>
      <c r="G71" s="41"/>
      <c r="H71" s="41"/>
      <c r="I71" s="41"/>
      <c r="J71" s="41"/>
      <c r="K71" s="41"/>
      <c r="L71" s="39"/>
      <c r="M71" s="93">
        <v>11</v>
      </c>
      <c r="N71" s="93"/>
      <c r="O71" s="93"/>
      <c r="P71" s="41"/>
      <c r="Q71" s="41"/>
      <c r="R71" s="40">
        <f t="shared" si="1"/>
        <v>11</v>
      </c>
    </row>
    <row r="72" spans="1:18" x14ac:dyDescent="0.5">
      <c r="A72" s="57"/>
      <c r="B72" s="38" t="s">
        <v>85</v>
      </c>
      <c r="C72" s="58" t="s">
        <v>83</v>
      </c>
      <c r="D72" s="38" t="s">
        <v>63</v>
      </c>
      <c r="E72" s="109"/>
      <c r="F72" s="112"/>
      <c r="G72" s="41"/>
      <c r="H72" s="41"/>
      <c r="I72" s="41"/>
      <c r="J72" s="41"/>
      <c r="K72" s="41"/>
      <c r="L72" s="39"/>
      <c r="M72" s="93">
        <v>23</v>
      </c>
      <c r="N72" s="93"/>
      <c r="O72" s="93"/>
      <c r="P72" s="41"/>
      <c r="Q72" s="41"/>
      <c r="R72" s="40">
        <f t="shared" si="1"/>
        <v>23</v>
      </c>
    </row>
    <row r="73" spans="1:18" x14ac:dyDescent="0.5">
      <c r="A73" s="57"/>
      <c r="B73" s="38"/>
      <c r="C73" s="58"/>
      <c r="D73" s="38"/>
      <c r="E73" s="109"/>
      <c r="F73" s="112"/>
      <c r="G73" s="41"/>
      <c r="H73" s="41"/>
      <c r="I73" s="41"/>
      <c r="J73" s="41"/>
      <c r="K73" s="41"/>
      <c r="L73" s="39"/>
      <c r="M73" s="93"/>
      <c r="N73" s="93"/>
      <c r="O73" s="93"/>
      <c r="P73" s="41"/>
      <c r="Q73" s="41"/>
      <c r="R73" s="40">
        <f t="shared" si="1"/>
        <v>0</v>
      </c>
    </row>
    <row r="74" spans="1:18" x14ac:dyDescent="0.5">
      <c r="A74" s="57"/>
      <c r="B74" s="38"/>
      <c r="C74" s="58"/>
      <c r="D74" s="38"/>
      <c r="E74" s="109"/>
      <c r="F74" s="112"/>
      <c r="G74" s="41"/>
      <c r="H74" s="41"/>
      <c r="I74" s="41"/>
      <c r="J74" s="41"/>
      <c r="K74" s="41"/>
      <c r="L74" s="39"/>
      <c r="M74" s="93"/>
      <c r="N74" s="93"/>
      <c r="O74" s="93"/>
      <c r="P74" s="41"/>
      <c r="Q74" s="41"/>
      <c r="R74" s="40">
        <f t="shared" si="1"/>
        <v>0</v>
      </c>
    </row>
    <row r="75" spans="1:18" x14ac:dyDescent="0.5">
      <c r="A75" s="57"/>
      <c r="B75" s="38"/>
      <c r="C75" s="58"/>
      <c r="D75" s="38"/>
      <c r="E75" s="109"/>
      <c r="F75" s="112"/>
      <c r="G75" s="41"/>
      <c r="H75" s="41"/>
      <c r="I75" s="41"/>
      <c r="J75" s="41"/>
      <c r="K75" s="41"/>
      <c r="L75" s="39"/>
      <c r="M75" s="93"/>
      <c r="N75" s="93"/>
      <c r="O75" s="93"/>
      <c r="P75" s="41"/>
      <c r="Q75" s="41"/>
      <c r="R75" s="40">
        <f t="shared" si="1"/>
        <v>0</v>
      </c>
    </row>
    <row r="76" spans="1:18" x14ac:dyDescent="0.5">
      <c r="A76" s="57"/>
      <c r="B76" s="38"/>
      <c r="C76" s="58"/>
      <c r="D76" s="38"/>
      <c r="E76" s="109"/>
      <c r="F76" s="112"/>
      <c r="G76" s="41"/>
      <c r="H76" s="41"/>
      <c r="I76" s="41"/>
      <c r="J76" s="41"/>
      <c r="K76" s="41"/>
      <c r="L76" s="39"/>
      <c r="M76" s="93"/>
      <c r="N76" s="93"/>
      <c r="O76" s="93"/>
      <c r="P76" s="41"/>
      <c r="Q76" s="41"/>
      <c r="R76" s="40">
        <f t="shared" si="1"/>
        <v>0</v>
      </c>
    </row>
    <row r="77" spans="1:18" x14ac:dyDescent="0.5">
      <c r="A77" s="57"/>
      <c r="B77" s="38"/>
      <c r="C77" s="58"/>
      <c r="D77" s="38"/>
      <c r="E77" s="109"/>
      <c r="F77" s="112"/>
      <c r="G77" s="41"/>
      <c r="H77" s="41"/>
      <c r="I77" s="41"/>
      <c r="J77" s="41"/>
      <c r="K77" s="41"/>
      <c r="L77" s="39"/>
      <c r="M77" s="93"/>
      <c r="N77" s="93"/>
      <c r="O77" s="93"/>
      <c r="P77" s="41"/>
      <c r="Q77" s="41"/>
      <c r="R77" s="40">
        <f t="shared" si="1"/>
        <v>0</v>
      </c>
    </row>
    <row r="78" spans="1:18" x14ac:dyDescent="0.5">
      <c r="A78" s="57"/>
      <c r="B78" s="38"/>
      <c r="C78" s="58"/>
      <c r="D78" s="38"/>
      <c r="E78" s="109"/>
      <c r="F78" s="112"/>
      <c r="G78" s="41"/>
      <c r="H78" s="41"/>
      <c r="I78" s="41"/>
      <c r="J78" s="41"/>
      <c r="K78" s="41"/>
      <c r="L78" s="39"/>
      <c r="M78" s="93"/>
      <c r="N78" s="93"/>
      <c r="O78" s="93"/>
      <c r="P78" s="41"/>
      <c r="Q78" s="41"/>
      <c r="R78" s="40">
        <f t="shared" si="1"/>
        <v>0</v>
      </c>
    </row>
    <row r="79" spans="1:18" x14ac:dyDescent="0.5">
      <c r="A79" s="57"/>
      <c r="B79" s="38"/>
      <c r="C79" s="58"/>
      <c r="D79" s="38"/>
      <c r="E79" s="109"/>
      <c r="F79" s="112"/>
      <c r="G79" s="41"/>
      <c r="H79" s="41"/>
      <c r="I79" s="41"/>
      <c r="J79" s="41"/>
      <c r="K79" s="41"/>
      <c r="L79" s="39"/>
      <c r="M79" s="93"/>
      <c r="N79" s="93"/>
      <c r="O79" s="93"/>
      <c r="P79" s="41"/>
      <c r="Q79" s="41"/>
      <c r="R79" s="40">
        <f t="shared" si="1"/>
        <v>0</v>
      </c>
    </row>
    <row r="80" spans="1:18" x14ac:dyDescent="0.5">
      <c r="A80" s="57"/>
      <c r="B80" s="38"/>
      <c r="C80" s="58"/>
      <c r="D80" s="38"/>
      <c r="E80" s="109"/>
      <c r="F80" s="112"/>
      <c r="G80" s="41"/>
      <c r="H80" s="41"/>
      <c r="I80" s="41"/>
      <c r="J80" s="41"/>
      <c r="K80" s="41"/>
      <c r="L80" s="39"/>
      <c r="M80" s="93"/>
      <c r="N80" s="93"/>
      <c r="O80" s="93"/>
      <c r="P80" s="41"/>
      <c r="Q80" s="41"/>
      <c r="R80" s="40">
        <f t="shared" si="1"/>
        <v>0</v>
      </c>
    </row>
    <row r="81" spans="1:18" x14ac:dyDescent="0.5">
      <c r="A81" s="57"/>
      <c r="B81" s="38"/>
      <c r="C81" s="58"/>
      <c r="D81" s="38"/>
      <c r="E81" s="110"/>
      <c r="F81" s="113"/>
      <c r="G81" s="41"/>
      <c r="H81" s="41"/>
      <c r="I81" s="41"/>
      <c r="J81" s="41"/>
      <c r="K81" s="41"/>
      <c r="L81" s="39"/>
      <c r="M81" s="93"/>
      <c r="N81" s="93"/>
      <c r="O81" s="93"/>
      <c r="P81" s="41"/>
      <c r="Q81" s="41"/>
      <c r="R81" s="40">
        <f t="shared" si="1"/>
        <v>0</v>
      </c>
    </row>
    <row r="82" spans="1:18" x14ac:dyDescent="0.5">
      <c r="A82" s="57">
        <v>8</v>
      </c>
      <c r="B82" s="38"/>
      <c r="C82" s="58"/>
      <c r="D82" s="38"/>
      <c r="E82" s="108" t="s">
        <v>260</v>
      </c>
      <c r="F82" s="111"/>
      <c r="G82" s="41"/>
      <c r="H82" s="41"/>
      <c r="I82" s="41"/>
      <c r="J82" s="41"/>
      <c r="K82" s="41"/>
      <c r="L82" s="39"/>
      <c r="M82" s="93"/>
      <c r="N82" s="93"/>
      <c r="O82" s="93"/>
      <c r="P82" s="41"/>
      <c r="Q82" s="41"/>
      <c r="R82" s="40">
        <f t="shared" si="1"/>
        <v>0</v>
      </c>
    </row>
    <row r="83" spans="1:18" x14ac:dyDescent="0.5">
      <c r="A83" s="57"/>
      <c r="B83" s="38"/>
      <c r="C83" s="58"/>
      <c r="D83" s="38"/>
      <c r="E83" s="109"/>
      <c r="F83" s="112"/>
      <c r="G83" s="41"/>
      <c r="H83" s="41"/>
      <c r="I83" s="41"/>
      <c r="J83" s="41"/>
      <c r="K83" s="41"/>
      <c r="L83" s="39"/>
      <c r="M83" s="93"/>
      <c r="N83" s="93"/>
      <c r="O83" s="93"/>
      <c r="P83" s="41"/>
      <c r="Q83" s="41"/>
      <c r="R83" s="40">
        <f t="shared" si="1"/>
        <v>0</v>
      </c>
    </row>
    <row r="84" spans="1:18" x14ac:dyDescent="0.5">
      <c r="A84" s="57"/>
      <c r="B84" s="38"/>
      <c r="C84" s="58"/>
      <c r="D84" s="38"/>
      <c r="E84" s="109"/>
      <c r="F84" s="112"/>
      <c r="G84" s="41"/>
      <c r="H84" s="41"/>
      <c r="I84" s="41"/>
      <c r="J84" s="41"/>
      <c r="K84" s="41"/>
      <c r="L84" s="39"/>
      <c r="M84" s="93"/>
      <c r="N84" s="93"/>
      <c r="O84" s="93"/>
      <c r="P84" s="41"/>
      <c r="Q84" s="41"/>
      <c r="R84" s="40">
        <f t="shared" si="1"/>
        <v>0</v>
      </c>
    </row>
    <row r="85" spans="1:18" x14ac:dyDescent="0.5">
      <c r="A85" s="57"/>
      <c r="B85" s="38"/>
      <c r="C85" s="58"/>
      <c r="D85" s="38"/>
      <c r="E85" s="109"/>
      <c r="F85" s="112"/>
      <c r="G85" s="41"/>
      <c r="H85" s="41"/>
      <c r="I85" s="41"/>
      <c r="J85" s="41"/>
      <c r="K85" s="41"/>
      <c r="L85" s="39"/>
      <c r="M85" s="93"/>
      <c r="N85" s="93"/>
      <c r="O85" s="93"/>
      <c r="P85" s="41"/>
      <c r="Q85" s="41"/>
      <c r="R85" s="40">
        <f t="shared" si="1"/>
        <v>0</v>
      </c>
    </row>
    <row r="86" spans="1:18" x14ac:dyDescent="0.5">
      <c r="A86" s="57"/>
      <c r="B86" s="38"/>
      <c r="C86" s="58"/>
      <c r="D86" s="38"/>
      <c r="E86" s="109"/>
      <c r="F86" s="112"/>
      <c r="G86" s="41"/>
      <c r="H86" s="41"/>
      <c r="I86" s="41"/>
      <c r="J86" s="41"/>
      <c r="K86" s="41"/>
      <c r="L86" s="39"/>
      <c r="M86" s="93"/>
      <c r="N86" s="93"/>
      <c r="O86" s="93"/>
      <c r="P86" s="41"/>
      <c r="Q86" s="41"/>
      <c r="R86" s="40">
        <f t="shared" si="1"/>
        <v>0</v>
      </c>
    </row>
    <row r="87" spans="1:18" x14ac:dyDescent="0.5">
      <c r="A87" s="57"/>
      <c r="B87" s="38"/>
      <c r="C87" s="58"/>
      <c r="D87" s="38"/>
      <c r="E87" s="109"/>
      <c r="F87" s="112"/>
      <c r="G87" s="41"/>
      <c r="H87" s="41"/>
      <c r="I87" s="41"/>
      <c r="J87" s="41"/>
      <c r="K87" s="41"/>
      <c r="L87" s="39"/>
      <c r="M87" s="93"/>
      <c r="N87" s="93"/>
      <c r="O87" s="93"/>
      <c r="P87" s="41"/>
      <c r="Q87" s="41"/>
      <c r="R87" s="40">
        <f t="shared" si="1"/>
        <v>0</v>
      </c>
    </row>
    <row r="88" spans="1:18" x14ac:dyDescent="0.5">
      <c r="A88" s="57"/>
      <c r="B88" s="38"/>
      <c r="C88" s="58"/>
      <c r="D88" s="38"/>
      <c r="E88" s="109"/>
      <c r="F88" s="112"/>
      <c r="G88" s="41"/>
      <c r="H88" s="41"/>
      <c r="I88" s="41"/>
      <c r="J88" s="41"/>
      <c r="K88" s="41"/>
      <c r="L88" s="39"/>
      <c r="M88" s="93"/>
      <c r="N88" s="93"/>
      <c r="O88" s="93"/>
      <c r="P88" s="41"/>
      <c r="Q88" s="41"/>
      <c r="R88" s="40">
        <f t="shared" si="1"/>
        <v>0</v>
      </c>
    </row>
    <row r="89" spans="1:18" x14ac:dyDescent="0.5">
      <c r="A89" s="57"/>
      <c r="B89" s="38"/>
      <c r="C89" s="58"/>
      <c r="D89" s="38"/>
      <c r="E89" s="109"/>
      <c r="F89" s="112"/>
      <c r="G89" s="41"/>
      <c r="H89" s="41"/>
      <c r="I89" s="41"/>
      <c r="J89" s="41"/>
      <c r="K89" s="41"/>
      <c r="L89" s="39"/>
      <c r="M89" s="93"/>
      <c r="N89" s="93"/>
      <c r="O89" s="93"/>
      <c r="P89" s="41"/>
      <c r="Q89" s="41"/>
      <c r="R89" s="40">
        <f t="shared" si="1"/>
        <v>0</v>
      </c>
    </row>
    <row r="90" spans="1:18" x14ac:dyDescent="0.5">
      <c r="A90" s="57"/>
      <c r="B90" s="38"/>
      <c r="C90" s="58"/>
      <c r="D90" s="38"/>
      <c r="E90" s="109"/>
      <c r="F90" s="112"/>
      <c r="G90" s="41"/>
      <c r="H90" s="41"/>
      <c r="I90" s="41"/>
      <c r="J90" s="41"/>
      <c r="K90" s="41"/>
      <c r="L90" s="39"/>
      <c r="M90" s="93"/>
      <c r="N90" s="93"/>
      <c r="O90" s="93"/>
      <c r="P90" s="41"/>
      <c r="Q90" s="41"/>
      <c r="R90" s="40">
        <f t="shared" si="1"/>
        <v>0</v>
      </c>
    </row>
    <row r="91" spans="1:18" x14ac:dyDescent="0.5">
      <c r="A91" s="57"/>
      <c r="B91" s="38"/>
      <c r="C91" s="58"/>
      <c r="D91" s="38"/>
      <c r="E91" s="109"/>
      <c r="F91" s="112"/>
      <c r="G91" s="41"/>
      <c r="H91" s="41"/>
      <c r="I91" s="41"/>
      <c r="J91" s="41"/>
      <c r="K91" s="41"/>
      <c r="L91" s="39"/>
      <c r="M91" s="93"/>
      <c r="N91" s="93"/>
      <c r="O91" s="93"/>
      <c r="P91" s="41"/>
      <c r="Q91" s="41"/>
      <c r="R91" s="40">
        <f t="shared" si="1"/>
        <v>0</v>
      </c>
    </row>
    <row r="92" spans="1:18" x14ac:dyDescent="0.5">
      <c r="A92" s="57"/>
      <c r="B92" s="38"/>
      <c r="C92" s="58"/>
      <c r="D92" s="38"/>
      <c r="E92" s="110"/>
      <c r="F92" s="113"/>
      <c r="G92" s="41"/>
      <c r="H92" s="41"/>
      <c r="I92" s="41"/>
      <c r="J92" s="41"/>
      <c r="K92" s="41"/>
      <c r="L92" s="39"/>
      <c r="M92" s="93"/>
      <c r="N92" s="93"/>
      <c r="O92" s="93"/>
      <c r="P92" s="41"/>
      <c r="Q92" s="41"/>
      <c r="R92" s="40">
        <f>SUM(G92:Q92)</f>
        <v>0</v>
      </c>
    </row>
    <row r="93" spans="1:18" x14ac:dyDescent="0.5">
      <c r="A93" s="57">
        <v>9</v>
      </c>
      <c r="B93" s="55" t="s">
        <v>86</v>
      </c>
      <c r="C93" s="58" t="s">
        <v>83</v>
      </c>
      <c r="D93" s="38" t="s">
        <v>63</v>
      </c>
      <c r="E93" s="108" t="s">
        <v>261</v>
      </c>
      <c r="F93" s="111"/>
      <c r="G93" s="41"/>
      <c r="H93" s="41"/>
      <c r="I93" s="41"/>
      <c r="J93" s="41"/>
      <c r="K93" s="41"/>
      <c r="L93" s="39"/>
      <c r="M93" s="93">
        <v>21</v>
      </c>
      <c r="N93" s="93"/>
      <c r="O93" s="93"/>
      <c r="P93" s="41"/>
      <c r="Q93" s="41"/>
      <c r="R93" s="40">
        <f>SUM(G93:Q93)</f>
        <v>21</v>
      </c>
    </row>
    <row r="94" spans="1:18" x14ac:dyDescent="0.5">
      <c r="A94" s="57"/>
      <c r="B94" s="37"/>
      <c r="C94" s="58"/>
      <c r="D94" s="38"/>
      <c r="E94" s="109"/>
      <c r="F94" s="112"/>
      <c r="G94" s="41"/>
      <c r="H94" s="41"/>
      <c r="I94" s="41"/>
      <c r="J94" s="41"/>
      <c r="K94" s="41"/>
      <c r="L94" s="39"/>
      <c r="M94" s="93"/>
      <c r="N94" s="93"/>
      <c r="O94" s="93"/>
      <c r="P94" s="41"/>
      <c r="Q94" s="41"/>
      <c r="R94" s="40">
        <f t="shared" ref="R94:R103" si="2">SUM(G94:Q94)</f>
        <v>0</v>
      </c>
    </row>
    <row r="95" spans="1:18" x14ac:dyDescent="0.5">
      <c r="A95" s="57"/>
      <c r="B95" s="37"/>
      <c r="C95" s="101"/>
      <c r="D95" s="102"/>
      <c r="E95" s="109"/>
      <c r="F95" s="112"/>
      <c r="G95" s="41"/>
      <c r="H95" s="41"/>
      <c r="I95" s="41"/>
      <c r="J95" s="41"/>
      <c r="K95" s="41"/>
      <c r="L95" s="39"/>
      <c r="M95" s="93"/>
      <c r="N95" s="93"/>
      <c r="O95" s="93"/>
      <c r="P95" s="41"/>
      <c r="Q95" s="41"/>
      <c r="R95" s="40">
        <f t="shared" si="2"/>
        <v>0</v>
      </c>
    </row>
    <row r="96" spans="1:18" x14ac:dyDescent="0.5">
      <c r="A96" s="57"/>
      <c r="B96" s="37"/>
      <c r="C96" s="101"/>
      <c r="D96" s="102"/>
      <c r="E96" s="109"/>
      <c r="F96" s="112"/>
      <c r="G96" s="41"/>
      <c r="H96" s="41"/>
      <c r="I96" s="41"/>
      <c r="J96" s="41"/>
      <c r="K96" s="41"/>
      <c r="L96" s="39"/>
      <c r="M96" s="93"/>
      <c r="N96" s="93"/>
      <c r="O96" s="93"/>
      <c r="P96" s="41"/>
      <c r="Q96" s="41"/>
      <c r="R96" s="40">
        <f t="shared" si="2"/>
        <v>0</v>
      </c>
    </row>
    <row r="97" spans="1:18" x14ac:dyDescent="0.5">
      <c r="A97" s="57"/>
      <c r="B97" s="102"/>
      <c r="C97" s="58"/>
      <c r="D97" s="38"/>
      <c r="E97" s="109"/>
      <c r="F97" s="112"/>
      <c r="G97" s="41"/>
      <c r="H97" s="41"/>
      <c r="I97" s="41"/>
      <c r="J97" s="41"/>
      <c r="K97" s="41"/>
      <c r="L97" s="39"/>
      <c r="M97" s="93"/>
      <c r="N97" s="93"/>
      <c r="O97" s="93"/>
      <c r="P97" s="41"/>
      <c r="Q97" s="41"/>
      <c r="R97" s="40">
        <f t="shared" si="2"/>
        <v>0</v>
      </c>
    </row>
    <row r="98" spans="1:18" x14ac:dyDescent="0.5">
      <c r="A98" s="57"/>
      <c r="B98" s="102"/>
      <c r="C98" s="58"/>
      <c r="D98" s="38"/>
      <c r="E98" s="109"/>
      <c r="F98" s="112"/>
      <c r="G98" s="41"/>
      <c r="H98" s="41"/>
      <c r="I98" s="41"/>
      <c r="J98" s="41"/>
      <c r="K98" s="41"/>
      <c r="L98" s="39"/>
      <c r="M98" s="93"/>
      <c r="N98" s="93"/>
      <c r="O98" s="93"/>
      <c r="P98" s="41"/>
      <c r="Q98" s="41"/>
      <c r="R98" s="40">
        <f t="shared" si="2"/>
        <v>0</v>
      </c>
    </row>
    <row r="99" spans="1:18" x14ac:dyDescent="0.5">
      <c r="A99" s="57"/>
      <c r="B99" s="38"/>
      <c r="C99" s="58"/>
      <c r="D99" s="38"/>
      <c r="E99" s="109"/>
      <c r="F99" s="112"/>
      <c r="G99" s="41"/>
      <c r="H99" s="41"/>
      <c r="I99" s="41"/>
      <c r="J99" s="41"/>
      <c r="K99" s="41"/>
      <c r="L99" s="39"/>
      <c r="M99" s="93"/>
      <c r="N99" s="93"/>
      <c r="O99" s="93"/>
      <c r="P99" s="41"/>
      <c r="Q99" s="41"/>
      <c r="R99" s="40">
        <f t="shared" si="2"/>
        <v>0</v>
      </c>
    </row>
    <row r="100" spans="1:18" x14ac:dyDescent="0.5">
      <c r="A100" s="57"/>
      <c r="B100" s="38"/>
      <c r="C100" s="58"/>
      <c r="D100" s="38"/>
      <c r="E100" s="109"/>
      <c r="F100" s="112"/>
      <c r="G100" s="41"/>
      <c r="H100" s="41"/>
      <c r="I100" s="41"/>
      <c r="J100" s="41"/>
      <c r="K100" s="41"/>
      <c r="L100" s="39"/>
      <c r="M100" s="93"/>
      <c r="N100" s="93"/>
      <c r="O100" s="93"/>
      <c r="P100" s="41"/>
      <c r="Q100" s="41"/>
      <c r="R100" s="40">
        <f t="shared" si="2"/>
        <v>0</v>
      </c>
    </row>
    <row r="101" spans="1:18" x14ac:dyDescent="0.5">
      <c r="A101" s="57"/>
      <c r="B101" s="38"/>
      <c r="C101" s="58"/>
      <c r="D101" s="38"/>
      <c r="E101" s="109"/>
      <c r="F101" s="112"/>
      <c r="G101" s="41"/>
      <c r="H101" s="41"/>
      <c r="I101" s="41"/>
      <c r="J101" s="41"/>
      <c r="K101" s="41"/>
      <c r="L101" s="39"/>
      <c r="M101" s="93"/>
      <c r="N101" s="93"/>
      <c r="O101" s="93"/>
      <c r="P101" s="41"/>
      <c r="Q101" s="41"/>
      <c r="R101" s="40">
        <f t="shared" si="2"/>
        <v>0</v>
      </c>
    </row>
    <row r="102" spans="1:18" x14ac:dyDescent="0.5">
      <c r="A102" s="57"/>
      <c r="B102" s="38"/>
      <c r="C102" s="58"/>
      <c r="D102" s="38"/>
      <c r="E102" s="109"/>
      <c r="F102" s="112"/>
      <c r="G102" s="41"/>
      <c r="H102" s="41"/>
      <c r="I102" s="41"/>
      <c r="J102" s="41"/>
      <c r="K102" s="41"/>
      <c r="L102" s="39"/>
      <c r="M102" s="93"/>
      <c r="N102" s="93"/>
      <c r="O102" s="93"/>
      <c r="P102" s="41"/>
      <c r="Q102" s="41"/>
      <c r="R102" s="40">
        <f t="shared" si="2"/>
        <v>0</v>
      </c>
    </row>
    <row r="103" spans="1:18" x14ac:dyDescent="0.5">
      <c r="A103" s="57"/>
      <c r="B103" s="38"/>
      <c r="C103" s="58"/>
      <c r="D103" s="38"/>
      <c r="E103" s="110"/>
      <c r="F103" s="113"/>
      <c r="G103" s="41"/>
      <c r="H103" s="41"/>
      <c r="I103" s="41"/>
      <c r="J103" s="41"/>
      <c r="K103" s="41"/>
      <c r="L103" s="39"/>
      <c r="M103" s="93"/>
      <c r="N103" s="93"/>
      <c r="O103" s="93"/>
      <c r="P103" s="41"/>
      <c r="Q103" s="41"/>
      <c r="R103" s="40">
        <f t="shared" si="2"/>
        <v>0</v>
      </c>
    </row>
    <row r="104" spans="1:18" x14ac:dyDescent="0.5">
      <c r="A104" s="57">
        <v>10</v>
      </c>
      <c r="B104" s="38" t="s">
        <v>82</v>
      </c>
      <c r="C104" s="58" t="s">
        <v>83</v>
      </c>
      <c r="D104" s="38" t="s">
        <v>63</v>
      </c>
      <c r="E104" s="108" t="s">
        <v>264</v>
      </c>
      <c r="F104" s="111"/>
      <c r="G104" s="41"/>
      <c r="H104" s="41"/>
      <c r="I104" s="41"/>
      <c r="J104" s="41"/>
      <c r="K104" s="41"/>
      <c r="L104" s="39"/>
      <c r="M104" s="93">
        <v>24</v>
      </c>
      <c r="N104" s="93"/>
      <c r="O104" s="93"/>
      <c r="P104" s="41"/>
      <c r="Q104" s="41"/>
      <c r="R104" s="40">
        <f>SUM(G104:Q104)</f>
        <v>24</v>
      </c>
    </row>
    <row r="105" spans="1:18" x14ac:dyDescent="0.5">
      <c r="A105" s="57"/>
      <c r="B105" s="38"/>
      <c r="C105" s="58"/>
      <c r="D105" s="38"/>
      <c r="E105" s="109"/>
      <c r="F105" s="112"/>
      <c r="G105" s="41"/>
      <c r="H105" s="41"/>
      <c r="I105" s="41"/>
      <c r="J105" s="41"/>
      <c r="K105" s="41"/>
      <c r="L105" s="39"/>
      <c r="M105" s="93"/>
      <c r="N105" s="93"/>
      <c r="O105" s="93"/>
      <c r="P105" s="41"/>
      <c r="Q105" s="41"/>
      <c r="R105" s="40">
        <f t="shared" ref="R105:R125" si="3">SUM(G105:Q105)</f>
        <v>0</v>
      </c>
    </row>
    <row r="106" spans="1:18" x14ac:dyDescent="0.5">
      <c r="A106" s="57"/>
      <c r="B106" s="38"/>
      <c r="C106" s="58"/>
      <c r="D106" s="38"/>
      <c r="E106" s="109"/>
      <c r="F106" s="112"/>
      <c r="G106" s="41"/>
      <c r="H106" s="41"/>
      <c r="I106" s="41"/>
      <c r="J106" s="41"/>
      <c r="K106" s="41"/>
      <c r="L106" s="39"/>
      <c r="M106" s="93"/>
      <c r="N106" s="93"/>
      <c r="O106" s="93"/>
      <c r="P106" s="41"/>
      <c r="Q106" s="41"/>
      <c r="R106" s="40">
        <f t="shared" si="3"/>
        <v>0</v>
      </c>
    </row>
    <row r="107" spans="1:18" x14ac:dyDescent="0.5">
      <c r="A107" s="57"/>
      <c r="B107" s="38"/>
      <c r="C107" s="58"/>
      <c r="D107" s="38"/>
      <c r="E107" s="109"/>
      <c r="F107" s="112"/>
      <c r="G107" s="41"/>
      <c r="H107" s="41"/>
      <c r="I107" s="41"/>
      <c r="J107" s="41"/>
      <c r="K107" s="41"/>
      <c r="L107" s="39"/>
      <c r="M107" s="93"/>
      <c r="N107" s="93"/>
      <c r="O107" s="93"/>
      <c r="P107" s="41"/>
      <c r="Q107" s="41"/>
      <c r="R107" s="40">
        <f t="shared" si="3"/>
        <v>0</v>
      </c>
    </row>
    <row r="108" spans="1:18" x14ac:dyDescent="0.5">
      <c r="A108" s="57"/>
      <c r="B108" s="38"/>
      <c r="C108" s="58"/>
      <c r="D108" s="38"/>
      <c r="E108" s="109"/>
      <c r="F108" s="112"/>
      <c r="G108" s="41"/>
      <c r="H108" s="41"/>
      <c r="I108" s="41"/>
      <c r="J108" s="41"/>
      <c r="K108" s="41"/>
      <c r="L108" s="39"/>
      <c r="M108" s="93"/>
      <c r="N108" s="93"/>
      <c r="O108" s="93"/>
      <c r="P108" s="41"/>
      <c r="Q108" s="41"/>
      <c r="R108" s="40">
        <f t="shared" si="3"/>
        <v>0</v>
      </c>
    </row>
    <row r="109" spans="1:18" x14ac:dyDescent="0.5">
      <c r="A109" s="57"/>
      <c r="B109" s="38"/>
      <c r="C109" s="58"/>
      <c r="D109" s="38"/>
      <c r="E109" s="109"/>
      <c r="F109" s="112"/>
      <c r="G109" s="41"/>
      <c r="H109" s="41"/>
      <c r="I109" s="41"/>
      <c r="J109" s="41"/>
      <c r="K109" s="41"/>
      <c r="L109" s="39"/>
      <c r="M109" s="93"/>
      <c r="N109" s="93"/>
      <c r="O109" s="93"/>
      <c r="P109" s="41"/>
      <c r="Q109" s="41"/>
      <c r="R109" s="40">
        <f t="shared" si="3"/>
        <v>0</v>
      </c>
    </row>
    <row r="110" spans="1:18" x14ac:dyDescent="0.5">
      <c r="A110" s="57"/>
      <c r="B110" s="38"/>
      <c r="C110" s="58"/>
      <c r="D110" s="38"/>
      <c r="E110" s="109"/>
      <c r="F110" s="112"/>
      <c r="G110" s="41"/>
      <c r="H110" s="41"/>
      <c r="I110" s="41"/>
      <c r="J110" s="41"/>
      <c r="K110" s="41"/>
      <c r="L110" s="39"/>
      <c r="M110" s="93"/>
      <c r="N110" s="93"/>
      <c r="O110" s="93"/>
      <c r="P110" s="41"/>
      <c r="Q110" s="41"/>
      <c r="R110" s="40">
        <f t="shared" si="3"/>
        <v>0</v>
      </c>
    </row>
    <row r="111" spans="1:18" x14ac:dyDescent="0.5">
      <c r="A111" s="57"/>
      <c r="B111" s="38"/>
      <c r="C111" s="58"/>
      <c r="D111" s="38"/>
      <c r="E111" s="109"/>
      <c r="F111" s="112"/>
      <c r="G111" s="41"/>
      <c r="H111" s="41"/>
      <c r="I111" s="41"/>
      <c r="J111" s="41"/>
      <c r="K111" s="41"/>
      <c r="L111" s="39"/>
      <c r="M111" s="93"/>
      <c r="N111" s="93"/>
      <c r="O111" s="93"/>
      <c r="P111" s="41"/>
      <c r="Q111" s="41"/>
      <c r="R111" s="40">
        <f t="shared" si="3"/>
        <v>0</v>
      </c>
    </row>
    <row r="112" spans="1:18" x14ac:dyDescent="0.5">
      <c r="A112" s="57"/>
      <c r="B112" s="38"/>
      <c r="C112" s="58"/>
      <c r="D112" s="38"/>
      <c r="E112" s="109"/>
      <c r="F112" s="112"/>
      <c r="G112" s="41"/>
      <c r="H112" s="41"/>
      <c r="I112" s="41"/>
      <c r="J112" s="41"/>
      <c r="K112" s="41"/>
      <c r="L112" s="39"/>
      <c r="M112" s="93"/>
      <c r="N112" s="93"/>
      <c r="O112" s="93"/>
      <c r="P112" s="41"/>
      <c r="Q112" s="41"/>
      <c r="R112" s="40">
        <f t="shared" si="3"/>
        <v>0</v>
      </c>
    </row>
    <row r="113" spans="1:18" x14ac:dyDescent="0.5">
      <c r="A113" s="57"/>
      <c r="B113" s="38"/>
      <c r="C113" s="58"/>
      <c r="D113" s="38"/>
      <c r="E113" s="109"/>
      <c r="F113" s="112"/>
      <c r="G113" s="41"/>
      <c r="H113" s="41"/>
      <c r="I113" s="41"/>
      <c r="J113" s="41"/>
      <c r="K113" s="41"/>
      <c r="L113" s="39"/>
      <c r="M113" s="93"/>
      <c r="N113" s="93"/>
      <c r="O113" s="93"/>
      <c r="P113" s="41"/>
      <c r="Q113" s="41"/>
      <c r="R113" s="40">
        <f t="shared" si="3"/>
        <v>0</v>
      </c>
    </row>
    <row r="114" spans="1:18" x14ac:dyDescent="0.5">
      <c r="A114" s="57"/>
      <c r="B114" s="38"/>
      <c r="C114" s="58"/>
      <c r="D114" s="38"/>
      <c r="E114" s="110"/>
      <c r="F114" s="113"/>
      <c r="G114" s="41"/>
      <c r="H114" s="41"/>
      <c r="I114" s="41"/>
      <c r="J114" s="41"/>
      <c r="K114" s="41"/>
      <c r="L114" s="39"/>
      <c r="M114" s="93"/>
      <c r="N114" s="93"/>
      <c r="O114" s="93"/>
      <c r="P114" s="41"/>
      <c r="Q114" s="41"/>
      <c r="R114" s="40">
        <f t="shared" si="3"/>
        <v>0</v>
      </c>
    </row>
    <row r="115" spans="1:18" x14ac:dyDescent="0.5">
      <c r="A115" s="41">
        <v>11</v>
      </c>
      <c r="B115" s="38" t="s">
        <v>93</v>
      </c>
      <c r="C115" s="58" t="s">
        <v>83</v>
      </c>
      <c r="D115" s="38" t="s">
        <v>63</v>
      </c>
      <c r="E115" s="108" t="s">
        <v>265</v>
      </c>
      <c r="F115" s="111"/>
      <c r="G115" s="41"/>
      <c r="H115" s="41"/>
      <c r="I115" s="41"/>
      <c r="J115" s="41"/>
      <c r="K115" s="41"/>
      <c r="L115" s="39"/>
      <c r="M115" s="93">
        <v>14</v>
      </c>
      <c r="N115" s="93"/>
      <c r="O115" s="93"/>
      <c r="P115" s="41"/>
      <c r="Q115" s="41"/>
      <c r="R115" s="40">
        <f t="shared" si="3"/>
        <v>14</v>
      </c>
    </row>
    <row r="116" spans="1:18" x14ac:dyDescent="0.5">
      <c r="A116" s="57"/>
      <c r="B116" s="38" t="s">
        <v>86</v>
      </c>
      <c r="C116" s="58" t="s">
        <v>83</v>
      </c>
      <c r="D116" s="38" t="s">
        <v>63</v>
      </c>
      <c r="E116" s="109"/>
      <c r="F116" s="112"/>
      <c r="G116" s="41"/>
      <c r="H116" s="41"/>
      <c r="I116" s="41"/>
      <c r="J116" s="41"/>
      <c r="K116" s="41"/>
      <c r="L116" s="39"/>
      <c r="M116" s="93">
        <v>6</v>
      </c>
      <c r="N116" s="93"/>
      <c r="O116" s="93"/>
      <c r="P116" s="41"/>
      <c r="Q116" s="41"/>
      <c r="R116" s="40">
        <f t="shared" si="3"/>
        <v>6</v>
      </c>
    </row>
    <row r="117" spans="1:18" x14ac:dyDescent="0.5">
      <c r="A117" s="57"/>
      <c r="B117" s="38"/>
      <c r="C117" s="58"/>
      <c r="D117" s="38"/>
      <c r="E117" s="109"/>
      <c r="F117" s="112"/>
      <c r="G117" s="41"/>
      <c r="H117" s="41"/>
      <c r="I117" s="41"/>
      <c r="J117" s="41"/>
      <c r="K117" s="41"/>
      <c r="L117" s="39"/>
      <c r="M117" s="93"/>
      <c r="N117" s="93"/>
      <c r="O117" s="93"/>
      <c r="P117" s="41"/>
      <c r="Q117" s="41"/>
      <c r="R117" s="40">
        <f t="shared" si="3"/>
        <v>0</v>
      </c>
    </row>
    <row r="118" spans="1:18" x14ac:dyDescent="0.5">
      <c r="A118" s="57"/>
      <c r="B118" s="38"/>
      <c r="C118" s="58"/>
      <c r="D118" s="38"/>
      <c r="E118" s="109"/>
      <c r="F118" s="112"/>
      <c r="G118" s="41"/>
      <c r="H118" s="41"/>
      <c r="I118" s="41"/>
      <c r="J118" s="41"/>
      <c r="K118" s="41"/>
      <c r="L118" s="39"/>
      <c r="M118" s="93"/>
      <c r="N118" s="93"/>
      <c r="O118" s="93"/>
      <c r="P118" s="41"/>
      <c r="Q118" s="41"/>
      <c r="R118" s="40">
        <f t="shared" si="3"/>
        <v>0</v>
      </c>
    </row>
    <row r="119" spans="1:18" x14ac:dyDescent="0.5">
      <c r="A119" s="57"/>
      <c r="B119" s="38"/>
      <c r="C119" s="58"/>
      <c r="D119" s="38"/>
      <c r="E119" s="109"/>
      <c r="F119" s="112"/>
      <c r="G119" s="41"/>
      <c r="H119" s="41"/>
      <c r="I119" s="41"/>
      <c r="J119" s="41"/>
      <c r="K119" s="41"/>
      <c r="L119" s="39"/>
      <c r="M119" s="93"/>
      <c r="N119" s="93"/>
      <c r="O119" s="93"/>
      <c r="P119" s="41"/>
      <c r="Q119" s="41"/>
      <c r="R119" s="40">
        <f t="shared" si="3"/>
        <v>0</v>
      </c>
    </row>
    <row r="120" spans="1:18" x14ac:dyDescent="0.5">
      <c r="A120" s="57"/>
      <c r="B120" s="38"/>
      <c r="C120" s="58"/>
      <c r="D120" s="38"/>
      <c r="E120" s="109"/>
      <c r="F120" s="112"/>
      <c r="G120" s="41"/>
      <c r="H120" s="41"/>
      <c r="I120" s="41"/>
      <c r="J120" s="41"/>
      <c r="K120" s="41"/>
      <c r="L120" s="39"/>
      <c r="M120" s="93"/>
      <c r="N120" s="93"/>
      <c r="O120" s="93"/>
      <c r="P120" s="41"/>
      <c r="Q120" s="41"/>
      <c r="R120" s="40">
        <f t="shared" si="3"/>
        <v>0</v>
      </c>
    </row>
    <row r="121" spans="1:18" x14ac:dyDescent="0.5">
      <c r="A121" s="57"/>
      <c r="B121" s="38"/>
      <c r="C121" s="58"/>
      <c r="D121" s="38"/>
      <c r="E121" s="109"/>
      <c r="F121" s="112"/>
      <c r="G121" s="41"/>
      <c r="H121" s="41"/>
      <c r="I121" s="41"/>
      <c r="J121" s="41"/>
      <c r="K121" s="41"/>
      <c r="L121" s="39"/>
      <c r="M121" s="93"/>
      <c r="N121" s="93"/>
      <c r="O121" s="93"/>
      <c r="P121" s="41"/>
      <c r="Q121" s="41"/>
      <c r="R121" s="40">
        <f t="shared" si="3"/>
        <v>0</v>
      </c>
    </row>
    <row r="122" spans="1:18" x14ac:dyDescent="0.5">
      <c r="A122" s="57"/>
      <c r="B122" s="38"/>
      <c r="C122" s="58"/>
      <c r="D122" s="38"/>
      <c r="E122" s="109"/>
      <c r="F122" s="112"/>
      <c r="G122" s="41"/>
      <c r="H122" s="41"/>
      <c r="I122" s="41"/>
      <c r="J122" s="41"/>
      <c r="K122" s="41"/>
      <c r="L122" s="39"/>
      <c r="M122" s="93"/>
      <c r="N122" s="93"/>
      <c r="O122" s="93"/>
      <c r="P122" s="41"/>
      <c r="Q122" s="41"/>
      <c r="R122" s="40">
        <f t="shared" si="3"/>
        <v>0</v>
      </c>
    </row>
    <row r="123" spans="1:18" x14ac:dyDescent="0.5">
      <c r="A123" s="57"/>
      <c r="B123" s="38"/>
      <c r="C123" s="58"/>
      <c r="D123" s="38"/>
      <c r="E123" s="109"/>
      <c r="F123" s="112"/>
      <c r="G123" s="41"/>
      <c r="H123" s="41"/>
      <c r="I123" s="41"/>
      <c r="J123" s="41"/>
      <c r="K123" s="41"/>
      <c r="L123" s="39"/>
      <c r="M123" s="93"/>
      <c r="N123" s="93"/>
      <c r="O123" s="93"/>
      <c r="P123" s="41"/>
      <c r="Q123" s="41"/>
      <c r="R123" s="40">
        <f t="shared" si="3"/>
        <v>0</v>
      </c>
    </row>
    <row r="124" spans="1:18" x14ac:dyDescent="0.5">
      <c r="A124" s="57"/>
      <c r="B124" s="38"/>
      <c r="C124" s="58"/>
      <c r="D124" s="38"/>
      <c r="E124" s="109"/>
      <c r="F124" s="112"/>
      <c r="G124" s="41"/>
      <c r="H124" s="41"/>
      <c r="I124" s="41"/>
      <c r="J124" s="41"/>
      <c r="K124" s="41"/>
      <c r="L124" s="39"/>
      <c r="M124" s="93"/>
      <c r="N124" s="93"/>
      <c r="O124" s="93"/>
      <c r="P124" s="41"/>
      <c r="Q124" s="41"/>
      <c r="R124" s="40">
        <f t="shared" si="3"/>
        <v>0</v>
      </c>
    </row>
    <row r="125" spans="1:18" x14ac:dyDescent="0.5">
      <c r="A125" s="57"/>
      <c r="B125" s="38"/>
      <c r="C125" s="58"/>
      <c r="D125" s="38"/>
      <c r="E125" s="110"/>
      <c r="F125" s="113"/>
      <c r="G125" s="41"/>
      <c r="H125" s="41"/>
      <c r="I125" s="41"/>
      <c r="J125" s="41"/>
      <c r="K125" s="41"/>
      <c r="L125" s="39"/>
      <c r="M125" s="93"/>
      <c r="N125" s="93"/>
      <c r="O125" s="93"/>
      <c r="P125" s="41"/>
      <c r="Q125" s="41"/>
      <c r="R125" s="40">
        <f t="shared" si="3"/>
        <v>0</v>
      </c>
    </row>
    <row r="126" spans="1:18" x14ac:dyDescent="0.5">
      <c r="A126" s="42"/>
      <c r="B126" s="43"/>
      <c r="C126" s="44"/>
      <c r="D126" s="45"/>
      <c r="E126" s="46"/>
      <c r="F126" s="46"/>
      <c r="G126" s="47">
        <f>SUM(G4:G125)</f>
        <v>0</v>
      </c>
      <c r="H126" s="47">
        <f>SUM(H4:H125)</f>
        <v>0</v>
      </c>
      <c r="I126" s="47">
        <f t="shared" ref="I126:L126" si="4">SUM(I4:I125)</f>
        <v>0</v>
      </c>
      <c r="J126" s="47">
        <f t="shared" si="4"/>
        <v>0</v>
      </c>
      <c r="K126" s="47">
        <f t="shared" si="4"/>
        <v>0</v>
      </c>
      <c r="L126" s="47">
        <f t="shared" si="4"/>
        <v>0</v>
      </c>
      <c r="M126" s="47">
        <f>SUM(M4:M125)</f>
        <v>170</v>
      </c>
      <c r="N126" s="47">
        <f t="shared" ref="N126:O126" si="5">SUM(N4:N125)</f>
        <v>0</v>
      </c>
      <c r="O126" s="47">
        <f t="shared" si="5"/>
        <v>0</v>
      </c>
      <c r="P126" s="47">
        <f>SUM(P4:P125)</f>
        <v>0</v>
      </c>
      <c r="Q126" s="47">
        <f t="shared" ref="Q126" si="6">SUM(Q4:Q125)</f>
        <v>0</v>
      </c>
      <c r="R126" s="48">
        <f>SUM(R4:R125)</f>
        <v>170</v>
      </c>
    </row>
  </sheetData>
  <mergeCells count="34">
    <mergeCell ref="A1:R1"/>
    <mergeCell ref="A2:A3"/>
    <mergeCell ref="B2:B3"/>
    <mergeCell ref="C2:C3"/>
    <mergeCell ref="D2:D3"/>
    <mergeCell ref="E2:E3"/>
    <mergeCell ref="F2:F3"/>
    <mergeCell ref="G2:I2"/>
    <mergeCell ref="J2:L2"/>
    <mergeCell ref="N2:O2"/>
    <mergeCell ref="P2:Q2"/>
    <mergeCell ref="R2:R3"/>
    <mergeCell ref="E4:E16"/>
    <mergeCell ref="F4:F16"/>
    <mergeCell ref="E17:E27"/>
    <mergeCell ref="F17:F27"/>
    <mergeCell ref="E28:E38"/>
    <mergeCell ref="F28:F38"/>
    <mergeCell ref="E39:E48"/>
    <mergeCell ref="F39:F48"/>
    <mergeCell ref="E49:E59"/>
    <mergeCell ref="F49:F59"/>
    <mergeCell ref="E60:E70"/>
    <mergeCell ref="F60:F70"/>
    <mergeCell ref="E115:E125"/>
    <mergeCell ref="F115:F125"/>
    <mergeCell ref="E71:E81"/>
    <mergeCell ref="F71:F81"/>
    <mergeCell ref="E82:E92"/>
    <mergeCell ref="F82:F92"/>
    <mergeCell ref="E93:E103"/>
    <mergeCell ref="F93:F103"/>
    <mergeCell ref="E104:E114"/>
    <mergeCell ref="F104:F114"/>
  </mergeCells>
  <pageMargins left="0.45" right="0.45" top="0.5" bottom="0.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S409"/>
  <sheetViews>
    <sheetView zoomScaleNormal="100" workbookViewId="0">
      <pane xSplit="2" ySplit="3" topLeftCell="C129" activePane="bottomRight" state="frozen"/>
      <selection pane="topRight" activeCell="C1" sqref="C1"/>
      <selection pane="bottomLeft" activeCell="A4" sqref="A4"/>
      <selection pane="bottomRight" activeCell="I137" sqref="I137"/>
    </sheetView>
  </sheetViews>
  <sheetFormatPr defaultColWidth="9.140625" defaultRowHeight="20.100000000000001" customHeight="1" x14ac:dyDescent="0.25"/>
  <cols>
    <col min="1" max="1" width="13.28515625" style="49" customWidth="1"/>
    <col min="2" max="2" width="10.7109375" style="4" customWidth="1"/>
    <col min="3" max="8" width="8.7109375" style="49" customWidth="1"/>
    <col min="9" max="9" width="8.85546875" style="49" customWidth="1"/>
    <col min="10" max="11" width="9" style="49" customWidth="1"/>
    <col min="12" max="14" width="8.7109375" style="49" customWidth="1"/>
    <col min="15" max="15" width="9.140625" style="49"/>
    <col min="16" max="16" width="10.85546875" style="49" customWidth="1"/>
    <col min="17" max="16384" width="9.140625" style="49"/>
  </cols>
  <sheetData>
    <row r="1" spans="1:19" ht="30" customHeight="1" x14ac:dyDescent="0.25">
      <c r="A1" s="128" t="s">
        <v>249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</row>
    <row r="2" spans="1:19" ht="36.75" customHeight="1" x14ac:dyDescent="0.25">
      <c r="A2" s="129" t="s">
        <v>62</v>
      </c>
      <c r="B2" s="129" t="s">
        <v>34</v>
      </c>
      <c r="C2" s="129" t="s">
        <v>51</v>
      </c>
      <c r="D2" s="129"/>
      <c r="E2" s="129"/>
      <c r="F2" s="129" t="s">
        <v>52</v>
      </c>
      <c r="G2" s="129"/>
      <c r="H2" s="129"/>
      <c r="I2" s="107" t="s">
        <v>153</v>
      </c>
      <c r="J2" s="130" t="s">
        <v>228</v>
      </c>
      <c r="K2" s="131"/>
      <c r="L2" s="129" t="s">
        <v>53</v>
      </c>
      <c r="M2" s="129"/>
      <c r="N2" s="129" t="s">
        <v>54</v>
      </c>
    </row>
    <row r="3" spans="1:19" ht="30" customHeight="1" x14ac:dyDescent="0.25">
      <c r="A3" s="129"/>
      <c r="B3" s="129"/>
      <c r="C3" s="106" t="s">
        <v>55</v>
      </c>
      <c r="D3" s="106" t="s">
        <v>56</v>
      </c>
      <c r="E3" s="106" t="s">
        <v>57</v>
      </c>
      <c r="F3" s="106" t="s">
        <v>55</v>
      </c>
      <c r="G3" s="106" t="s">
        <v>56</v>
      </c>
      <c r="H3" s="106" t="s">
        <v>57</v>
      </c>
      <c r="I3" s="106" t="s">
        <v>55</v>
      </c>
      <c r="J3" s="106" t="s">
        <v>55</v>
      </c>
      <c r="K3" s="106" t="s">
        <v>56</v>
      </c>
      <c r="L3" s="106" t="s">
        <v>55</v>
      </c>
      <c r="M3" s="106" t="s">
        <v>56</v>
      </c>
      <c r="N3" s="129"/>
    </row>
    <row r="4" spans="1:19" ht="20.100000000000001" customHeight="1" x14ac:dyDescent="0.25">
      <c r="A4" s="55" t="s">
        <v>78</v>
      </c>
      <c r="B4" s="51">
        <v>46023</v>
      </c>
      <c r="C4" s="52"/>
      <c r="D4" s="52"/>
      <c r="E4" s="52"/>
      <c r="F4" s="52"/>
      <c r="G4" s="52"/>
      <c r="H4" s="52"/>
      <c r="I4" s="52">
        <v>207</v>
      </c>
      <c r="J4" s="52"/>
      <c r="K4" s="52"/>
      <c r="L4" s="52"/>
      <c r="M4" s="52"/>
      <c r="N4" s="52">
        <f t="shared" ref="N4:N35" si="0">SUM(C4:M4)</f>
        <v>207</v>
      </c>
      <c r="O4" s="53"/>
    </row>
    <row r="5" spans="1:19" ht="20.100000000000001" customHeight="1" x14ac:dyDescent="0.25">
      <c r="A5" s="55"/>
      <c r="B5" s="51">
        <v>46054</v>
      </c>
      <c r="C5" s="52"/>
      <c r="D5" s="52"/>
      <c r="E5" s="52"/>
      <c r="F5" s="52"/>
      <c r="G5" s="52"/>
      <c r="H5" s="52"/>
      <c r="I5" s="52">
        <v>179</v>
      </c>
      <c r="J5" s="52"/>
      <c r="K5" s="52"/>
      <c r="L5" s="52"/>
      <c r="M5" s="52"/>
      <c r="N5" s="52">
        <f t="shared" si="0"/>
        <v>179</v>
      </c>
      <c r="O5" s="53"/>
    </row>
    <row r="6" spans="1:19" ht="20.100000000000001" customHeight="1" x14ac:dyDescent="0.25">
      <c r="A6" s="55"/>
      <c r="B6" s="51">
        <v>46082</v>
      </c>
      <c r="C6" s="52"/>
      <c r="D6" s="52"/>
      <c r="E6" s="52"/>
      <c r="F6" s="52"/>
      <c r="G6" s="52"/>
      <c r="H6" s="52"/>
      <c r="I6" s="52">
        <v>43</v>
      </c>
      <c r="J6" s="52"/>
      <c r="K6" s="52"/>
      <c r="L6" s="52"/>
      <c r="M6" s="52"/>
      <c r="N6" s="52">
        <f t="shared" si="0"/>
        <v>43</v>
      </c>
      <c r="O6" s="53"/>
    </row>
    <row r="7" spans="1:19" ht="20.100000000000001" customHeight="1" x14ac:dyDescent="0.25">
      <c r="A7" s="55"/>
      <c r="B7" s="51">
        <v>46113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>
        <f t="shared" si="0"/>
        <v>0</v>
      </c>
      <c r="O7" s="53"/>
    </row>
    <row r="8" spans="1:19" ht="20.100000000000001" customHeight="1" x14ac:dyDescent="0.25">
      <c r="A8" s="55"/>
      <c r="B8" s="51">
        <v>46143</v>
      </c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>
        <f t="shared" si="0"/>
        <v>0</v>
      </c>
      <c r="O8" s="53"/>
    </row>
    <row r="9" spans="1:19" ht="20.100000000000001" customHeight="1" x14ac:dyDescent="0.25">
      <c r="A9" s="55"/>
      <c r="B9" s="51">
        <v>46174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>
        <f t="shared" si="0"/>
        <v>0</v>
      </c>
      <c r="O9" s="53"/>
    </row>
    <row r="10" spans="1:19" ht="20.100000000000001" customHeight="1" x14ac:dyDescent="0.25">
      <c r="A10" s="55"/>
      <c r="B10" s="51">
        <v>46204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>
        <f t="shared" si="0"/>
        <v>0</v>
      </c>
      <c r="O10" s="53"/>
    </row>
    <row r="11" spans="1:19" ht="20.25" customHeight="1" x14ac:dyDescent="0.25">
      <c r="A11" s="55"/>
      <c r="B11" s="51">
        <v>46235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>
        <f t="shared" si="0"/>
        <v>0</v>
      </c>
      <c r="O11" s="53"/>
    </row>
    <row r="12" spans="1:19" ht="20.100000000000001" customHeight="1" x14ac:dyDescent="0.25">
      <c r="A12" s="55"/>
      <c r="B12" s="51">
        <v>46266</v>
      </c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>
        <f t="shared" si="0"/>
        <v>0</v>
      </c>
      <c r="O12" s="53"/>
    </row>
    <row r="13" spans="1:19" ht="20.100000000000001" customHeight="1" x14ac:dyDescent="0.25">
      <c r="A13" s="55"/>
      <c r="B13" s="51">
        <v>46296</v>
      </c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>
        <f t="shared" si="0"/>
        <v>0</v>
      </c>
      <c r="O13" s="53"/>
    </row>
    <row r="14" spans="1:19" ht="20.100000000000001" customHeight="1" x14ac:dyDescent="0.25">
      <c r="A14" s="55"/>
      <c r="B14" s="51">
        <v>46327</v>
      </c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>
        <f t="shared" si="0"/>
        <v>0</v>
      </c>
      <c r="O14" s="53"/>
    </row>
    <row r="15" spans="1:19" ht="20.100000000000001" customHeight="1" x14ac:dyDescent="0.25">
      <c r="A15" s="55"/>
      <c r="B15" s="51">
        <v>46357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>
        <f t="shared" si="0"/>
        <v>0</v>
      </c>
      <c r="O15" s="53"/>
    </row>
    <row r="16" spans="1:19" ht="20.100000000000001" customHeight="1" x14ac:dyDescent="0.25">
      <c r="A16" s="55"/>
      <c r="B16" s="105" t="s">
        <v>250</v>
      </c>
      <c r="C16" s="54">
        <f>SUM(C4:C15)</f>
        <v>0</v>
      </c>
      <c r="D16" s="54">
        <f t="shared" ref="D16:M16" si="1">SUM(D4:D15)</f>
        <v>0</v>
      </c>
      <c r="E16" s="54">
        <f t="shared" si="1"/>
        <v>0</v>
      </c>
      <c r="F16" s="54">
        <f t="shared" si="1"/>
        <v>0</v>
      </c>
      <c r="G16" s="54">
        <f t="shared" si="1"/>
        <v>0</v>
      </c>
      <c r="H16" s="54">
        <f t="shared" si="1"/>
        <v>0</v>
      </c>
      <c r="I16" s="54">
        <f>SUM(I4:I15)</f>
        <v>429</v>
      </c>
      <c r="J16" s="54">
        <f t="shared" ref="J16:K16" si="2">SUM(J4:J15)</f>
        <v>0</v>
      </c>
      <c r="K16" s="54">
        <f t="shared" si="2"/>
        <v>0</v>
      </c>
      <c r="L16" s="54">
        <f t="shared" si="1"/>
        <v>0</v>
      </c>
      <c r="M16" s="54">
        <f t="shared" si="1"/>
        <v>0</v>
      </c>
      <c r="N16" s="54">
        <f t="shared" si="0"/>
        <v>429</v>
      </c>
      <c r="O16" s="53"/>
      <c r="S16" s="69"/>
    </row>
    <row r="17" spans="1:15" ht="20.100000000000001" customHeight="1" x14ac:dyDescent="0.25">
      <c r="A17" s="55" t="s">
        <v>77</v>
      </c>
      <c r="B17" s="51">
        <v>46023</v>
      </c>
      <c r="C17" s="52"/>
      <c r="D17" s="52"/>
      <c r="E17" s="52"/>
      <c r="F17" s="52"/>
      <c r="G17" s="52"/>
      <c r="H17" s="52"/>
      <c r="I17" s="52">
        <v>10</v>
      </c>
      <c r="J17" s="52"/>
      <c r="K17" s="52"/>
      <c r="L17" s="52"/>
      <c r="M17" s="52"/>
      <c r="N17" s="52">
        <f t="shared" si="0"/>
        <v>10</v>
      </c>
      <c r="O17" s="53"/>
    </row>
    <row r="18" spans="1:15" ht="20.100000000000001" customHeight="1" x14ac:dyDescent="0.25">
      <c r="A18" s="55"/>
      <c r="B18" s="51">
        <v>46054</v>
      </c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>
        <f t="shared" si="0"/>
        <v>0</v>
      </c>
      <c r="O18" s="53"/>
    </row>
    <row r="19" spans="1:15" ht="20.100000000000001" customHeight="1" x14ac:dyDescent="0.25">
      <c r="A19" s="55"/>
      <c r="B19" s="51">
        <v>46082</v>
      </c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>
        <f t="shared" si="0"/>
        <v>0</v>
      </c>
      <c r="O19" s="53"/>
    </row>
    <row r="20" spans="1:15" ht="20.100000000000001" customHeight="1" x14ac:dyDescent="0.25">
      <c r="A20" s="55"/>
      <c r="B20" s="51">
        <v>46113</v>
      </c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>
        <f t="shared" si="0"/>
        <v>0</v>
      </c>
      <c r="O20" s="53"/>
    </row>
    <row r="21" spans="1:15" ht="20.100000000000001" customHeight="1" x14ac:dyDescent="0.25">
      <c r="A21" s="55"/>
      <c r="B21" s="51">
        <v>46143</v>
      </c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>
        <f t="shared" si="0"/>
        <v>0</v>
      </c>
      <c r="O21" s="53"/>
    </row>
    <row r="22" spans="1:15" ht="20.100000000000001" customHeight="1" x14ac:dyDescent="0.25">
      <c r="A22" s="55"/>
      <c r="B22" s="51">
        <v>46174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>
        <f t="shared" si="0"/>
        <v>0</v>
      </c>
      <c r="O22" s="53"/>
    </row>
    <row r="23" spans="1:15" ht="20.100000000000001" customHeight="1" x14ac:dyDescent="0.25">
      <c r="A23" s="55"/>
      <c r="B23" s="51">
        <v>46204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>
        <f t="shared" si="0"/>
        <v>0</v>
      </c>
      <c r="O23" s="53"/>
    </row>
    <row r="24" spans="1:15" ht="20.100000000000001" customHeight="1" x14ac:dyDescent="0.25">
      <c r="A24" s="55"/>
      <c r="B24" s="51">
        <v>46235</v>
      </c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>
        <f t="shared" si="0"/>
        <v>0</v>
      </c>
      <c r="O24" s="53"/>
    </row>
    <row r="25" spans="1:15" ht="20.100000000000001" customHeight="1" x14ac:dyDescent="0.25">
      <c r="A25" s="55"/>
      <c r="B25" s="51">
        <v>46266</v>
      </c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>
        <f t="shared" si="0"/>
        <v>0</v>
      </c>
      <c r="O25" s="53"/>
    </row>
    <row r="26" spans="1:15" ht="20.100000000000001" customHeight="1" x14ac:dyDescent="0.25">
      <c r="A26" s="55"/>
      <c r="B26" s="51">
        <v>46296</v>
      </c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>
        <f t="shared" si="0"/>
        <v>0</v>
      </c>
      <c r="O26" s="53"/>
    </row>
    <row r="27" spans="1:15" ht="20.100000000000001" customHeight="1" x14ac:dyDescent="0.25">
      <c r="A27" s="55"/>
      <c r="B27" s="51">
        <v>46327</v>
      </c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>
        <f t="shared" si="0"/>
        <v>0</v>
      </c>
      <c r="O27" s="53"/>
    </row>
    <row r="28" spans="1:15" ht="20.100000000000001" customHeight="1" x14ac:dyDescent="0.25">
      <c r="A28" s="55"/>
      <c r="B28" s="51">
        <v>46357</v>
      </c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>
        <f t="shared" si="0"/>
        <v>0</v>
      </c>
      <c r="O28" s="53"/>
    </row>
    <row r="29" spans="1:15" ht="20.100000000000001" customHeight="1" x14ac:dyDescent="0.25">
      <c r="A29" s="55"/>
      <c r="B29" s="105" t="s">
        <v>250</v>
      </c>
      <c r="C29" s="54">
        <f>SUM(C17:C28)</f>
        <v>0</v>
      </c>
      <c r="D29" s="54">
        <f t="shared" ref="D29:M29" si="3">SUM(D17:D28)</f>
        <v>0</v>
      </c>
      <c r="E29" s="54">
        <f t="shared" si="3"/>
        <v>0</v>
      </c>
      <c r="F29" s="54">
        <f t="shared" si="3"/>
        <v>0</v>
      </c>
      <c r="G29" s="54">
        <f t="shared" si="3"/>
        <v>0</v>
      </c>
      <c r="H29" s="54">
        <f t="shared" si="3"/>
        <v>0</v>
      </c>
      <c r="I29" s="54">
        <f t="shared" si="3"/>
        <v>10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0"/>
        <v>10</v>
      </c>
      <c r="O29" s="53"/>
    </row>
    <row r="30" spans="1:15" ht="20.100000000000001" customHeight="1" x14ac:dyDescent="0.25">
      <c r="A30" s="55" t="s">
        <v>165</v>
      </c>
      <c r="B30" s="51">
        <v>46023</v>
      </c>
      <c r="C30" s="52"/>
      <c r="D30" s="52"/>
      <c r="E30" s="52"/>
      <c r="F30" s="52"/>
      <c r="G30" s="52"/>
      <c r="H30" s="52"/>
      <c r="I30" s="52">
        <v>65</v>
      </c>
      <c r="J30" s="52"/>
      <c r="K30" s="52"/>
      <c r="L30" s="52"/>
      <c r="M30" s="52"/>
      <c r="N30" s="52">
        <f t="shared" si="0"/>
        <v>65</v>
      </c>
      <c r="O30" s="53"/>
    </row>
    <row r="31" spans="1:15" ht="20.100000000000001" customHeight="1" x14ac:dyDescent="0.25">
      <c r="A31" s="55"/>
      <c r="B31" s="51">
        <v>46054</v>
      </c>
      <c r="C31" s="52"/>
      <c r="D31" s="52"/>
      <c r="E31" s="52"/>
      <c r="F31" s="52"/>
      <c r="G31" s="52"/>
      <c r="H31" s="52"/>
      <c r="I31" s="52">
        <v>98</v>
      </c>
      <c r="J31" s="52"/>
      <c r="K31" s="52"/>
      <c r="L31" s="52"/>
      <c r="M31" s="52"/>
      <c r="N31" s="52">
        <f t="shared" si="0"/>
        <v>98</v>
      </c>
      <c r="O31" s="53"/>
    </row>
    <row r="32" spans="1:15" ht="20.100000000000001" customHeight="1" x14ac:dyDescent="0.25">
      <c r="A32" s="55"/>
      <c r="B32" s="51">
        <v>46082</v>
      </c>
      <c r="C32" s="52"/>
      <c r="D32" s="52"/>
      <c r="E32" s="52"/>
      <c r="F32" s="52"/>
      <c r="G32" s="52"/>
      <c r="H32" s="52"/>
      <c r="I32" s="52">
        <v>28</v>
      </c>
      <c r="J32" s="52"/>
      <c r="K32" s="52"/>
      <c r="L32" s="52"/>
      <c r="M32" s="52"/>
      <c r="N32" s="52">
        <f t="shared" si="0"/>
        <v>28</v>
      </c>
      <c r="O32" s="53"/>
    </row>
    <row r="33" spans="1:15" ht="20.100000000000001" customHeight="1" x14ac:dyDescent="0.25">
      <c r="A33" s="55"/>
      <c r="B33" s="51">
        <v>46113</v>
      </c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>
        <f t="shared" si="0"/>
        <v>0</v>
      </c>
      <c r="O33" s="53"/>
    </row>
    <row r="34" spans="1:15" ht="20.100000000000001" customHeight="1" x14ac:dyDescent="0.25">
      <c r="A34" s="55"/>
      <c r="B34" s="51">
        <v>46143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>
        <f t="shared" si="0"/>
        <v>0</v>
      </c>
      <c r="O34" s="53"/>
    </row>
    <row r="35" spans="1:15" ht="20.100000000000001" customHeight="1" x14ac:dyDescent="0.25">
      <c r="A35" s="55"/>
      <c r="B35" s="51">
        <v>46174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>
        <f t="shared" si="0"/>
        <v>0</v>
      </c>
      <c r="O35" s="53"/>
    </row>
    <row r="36" spans="1:15" ht="20.100000000000001" customHeight="1" x14ac:dyDescent="0.25">
      <c r="A36" s="55"/>
      <c r="B36" s="51">
        <v>46204</v>
      </c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>
        <f t="shared" ref="N36:N67" si="4">SUM(C36:M36)</f>
        <v>0</v>
      </c>
      <c r="O36" s="53"/>
    </row>
    <row r="37" spans="1:15" ht="20.100000000000001" customHeight="1" x14ac:dyDescent="0.25">
      <c r="A37" s="55"/>
      <c r="B37" s="51">
        <v>46235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>
        <f t="shared" si="4"/>
        <v>0</v>
      </c>
      <c r="O37" s="53"/>
    </row>
    <row r="38" spans="1:15" ht="20.100000000000001" customHeight="1" x14ac:dyDescent="0.25">
      <c r="A38" s="55"/>
      <c r="B38" s="51">
        <v>46266</v>
      </c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>
        <f t="shared" si="4"/>
        <v>0</v>
      </c>
      <c r="O38" s="53"/>
    </row>
    <row r="39" spans="1:15" ht="20.100000000000001" customHeight="1" x14ac:dyDescent="0.25">
      <c r="A39" s="55"/>
      <c r="B39" s="51">
        <v>46296</v>
      </c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>
        <f t="shared" si="4"/>
        <v>0</v>
      </c>
      <c r="O39" s="53"/>
    </row>
    <row r="40" spans="1:15" ht="20.100000000000001" customHeight="1" x14ac:dyDescent="0.25">
      <c r="A40" s="55"/>
      <c r="B40" s="51">
        <v>46327</v>
      </c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>
        <f t="shared" si="4"/>
        <v>0</v>
      </c>
      <c r="O40" s="53"/>
    </row>
    <row r="41" spans="1:15" ht="20.100000000000001" customHeight="1" x14ac:dyDescent="0.25">
      <c r="A41" s="55"/>
      <c r="B41" s="51">
        <v>46357</v>
      </c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>
        <f t="shared" si="4"/>
        <v>0</v>
      </c>
      <c r="O41" s="53"/>
    </row>
    <row r="42" spans="1:15" ht="20.100000000000001" customHeight="1" x14ac:dyDescent="0.25">
      <c r="A42" s="55"/>
      <c r="B42" s="105" t="s">
        <v>250</v>
      </c>
      <c r="C42" s="54">
        <f>SUM(C30:C41)</f>
        <v>0</v>
      </c>
      <c r="D42" s="54">
        <f t="shared" ref="D42:M42" si="5">SUM(D30:D41)</f>
        <v>0</v>
      </c>
      <c r="E42" s="54">
        <f t="shared" si="5"/>
        <v>0</v>
      </c>
      <c r="F42" s="54">
        <f t="shared" si="5"/>
        <v>0</v>
      </c>
      <c r="G42" s="54">
        <f t="shared" si="5"/>
        <v>0</v>
      </c>
      <c r="H42" s="54">
        <f t="shared" si="5"/>
        <v>0</v>
      </c>
      <c r="I42" s="54">
        <f t="shared" si="5"/>
        <v>191</v>
      </c>
      <c r="J42" s="54">
        <f t="shared" si="5"/>
        <v>0</v>
      </c>
      <c r="K42" s="54">
        <f t="shared" si="5"/>
        <v>0</v>
      </c>
      <c r="L42" s="54">
        <f t="shared" si="5"/>
        <v>0</v>
      </c>
      <c r="M42" s="54">
        <f t="shared" si="5"/>
        <v>0</v>
      </c>
      <c r="N42" s="54">
        <f t="shared" si="4"/>
        <v>191</v>
      </c>
      <c r="O42" s="53"/>
    </row>
    <row r="43" spans="1:15" ht="20.100000000000001" customHeight="1" x14ac:dyDescent="0.25">
      <c r="A43" s="55" t="s">
        <v>192</v>
      </c>
      <c r="B43" s="51">
        <v>46023</v>
      </c>
      <c r="C43" s="52"/>
      <c r="D43" s="52"/>
      <c r="E43" s="52"/>
      <c r="F43" s="52"/>
      <c r="G43" s="52"/>
      <c r="H43" s="52"/>
      <c r="I43" s="52">
        <v>135</v>
      </c>
      <c r="J43" s="52"/>
      <c r="K43" s="52"/>
      <c r="L43" s="52"/>
      <c r="M43" s="52"/>
      <c r="N43" s="52">
        <f t="shared" si="4"/>
        <v>135</v>
      </c>
      <c r="O43" s="53"/>
    </row>
    <row r="44" spans="1:15" ht="20.100000000000001" customHeight="1" x14ac:dyDescent="0.25">
      <c r="A44" s="55"/>
      <c r="B44" s="51">
        <v>46054</v>
      </c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>
        <f t="shared" si="4"/>
        <v>0</v>
      </c>
      <c r="O44" s="53"/>
    </row>
    <row r="45" spans="1:15" ht="20.100000000000001" customHeight="1" x14ac:dyDescent="0.25">
      <c r="A45" s="55"/>
      <c r="B45" s="51">
        <v>46082</v>
      </c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>
        <f t="shared" si="4"/>
        <v>0</v>
      </c>
      <c r="O45" s="53"/>
    </row>
    <row r="46" spans="1:15" ht="20.100000000000001" customHeight="1" x14ac:dyDescent="0.25">
      <c r="A46" s="55"/>
      <c r="B46" s="51">
        <v>46113</v>
      </c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>
        <f t="shared" si="4"/>
        <v>0</v>
      </c>
      <c r="O46" s="53"/>
    </row>
    <row r="47" spans="1:15" ht="20.100000000000001" customHeight="1" x14ac:dyDescent="0.25">
      <c r="A47" s="55"/>
      <c r="B47" s="51">
        <v>46143</v>
      </c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>
        <f t="shared" si="4"/>
        <v>0</v>
      </c>
      <c r="O47" s="53"/>
    </row>
    <row r="48" spans="1:15" ht="20.100000000000001" customHeight="1" x14ac:dyDescent="0.25">
      <c r="A48" s="55"/>
      <c r="B48" s="51">
        <v>46174</v>
      </c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>
        <f t="shared" si="4"/>
        <v>0</v>
      </c>
      <c r="O48" s="53"/>
    </row>
    <row r="49" spans="1:15" ht="20.100000000000001" customHeight="1" x14ac:dyDescent="0.25">
      <c r="A49" s="55"/>
      <c r="B49" s="51">
        <v>46204</v>
      </c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>
        <f t="shared" si="4"/>
        <v>0</v>
      </c>
      <c r="O49" s="53"/>
    </row>
    <row r="50" spans="1:15" ht="20.100000000000001" customHeight="1" x14ac:dyDescent="0.25">
      <c r="A50" s="55"/>
      <c r="B50" s="51">
        <v>46235</v>
      </c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>
        <f t="shared" si="4"/>
        <v>0</v>
      </c>
      <c r="O50" s="53"/>
    </row>
    <row r="51" spans="1:15" ht="20.100000000000001" customHeight="1" x14ac:dyDescent="0.25">
      <c r="A51" s="55"/>
      <c r="B51" s="51">
        <v>46266</v>
      </c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>
        <f t="shared" si="4"/>
        <v>0</v>
      </c>
      <c r="O51" s="53"/>
    </row>
    <row r="52" spans="1:15" ht="20.100000000000001" customHeight="1" x14ac:dyDescent="0.25">
      <c r="A52" s="55"/>
      <c r="B52" s="51">
        <v>46296</v>
      </c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>
        <f t="shared" si="4"/>
        <v>0</v>
      </c>
      <c r="O52" s="53"/>
    </row>
    <row r="53" spans="1:15" ht="20.100000000000001" customHeight="1" x14ac:dyDescent="0.25">
      <c r="A53" s="55"/>
      <c r="B53" s="51">
        <v>46327</v>
      </c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>
        <f t="shared" si="4"/>
        <v>0</v>
      </c>
      <c r="O53" s="53"/>
    </row>
    <row r="54" spans="1:15" ht="20.100000000000001" customHeight="1" x14ac:dyDescent="0.25">
      <c r="A54" s="55"/>
      <c r="B54" s="51">
        <v>46357</v>
      </c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>
        <f t="shared" si="4"/>
        <v>0</v>
      </c>
      <c r="O54" s="53"/>
    </row>
    <row r="55" spans="1:15" ht="20.100000000000001" customHeight="1" x14ac:dyDescent="0.25">
      <c r="A55" s="55"/>
      <c r="B55" s="105" t="s">
        <v>250</v>
      </c>
      <c r="C55" s="54">
        <f>SUM(C43:C54)</f>
        <v>0</v>
      </c>
      <c r="D55" s="54">
        <f t="shared" ref="D55:M55" si="6">SUM(D43:D54)</f>
        <v>0</v>
      </c>
      <c r="E55" s="54">
        <f t="shared" si="6"/>
        <v>0</v>
      </c>
      <c r="F55" s="54">
        <f t="shared" si="6"/>
        <v>0</v>
      </c>
      <c r="G55" s="54">
        <f t="shared" si="6"/>
        <v>0</v>
      </c>
      <c r="H55" s="54">
        <f t="shared" si="6"/>
        <v>0</v>
      </c>
      <c r="I55" s="54">
        <f t="shared" si="6"/>
        <v>135</v>
      </c>
      <c r="J55" s="54">
        <f t="shared" si="6"/>
        <v>0</v>
      </c>
      <c r="K55" s="54">
        <f t="shared" si="6"/>
        <v>0</v>
      </c>
      <c r="L55" s="54">
        <f t="shared" si="6"/>
        <v>0</v>
      </c>
      <c r="M55" s="54">
        <f t="shared" si="6"/>
        <v>0</v>
      </c>
      <c r="N55" s="54">
        <f t="shared" si="4"/>
        <v>135</v>
      </c>
      <c r="O55" s="53"/>
    </row>
    <row r="56" spans="1:15" ht="20.100000000000001" customHeight="1" x14ac:dyDescent="0.25">
      <c r="A56" s="55" t="s">
        <v>188</v>
      </c>
      <c r="B56" s="51">
        <v>46023</v>
      </c>
      <c r="C56" s="52"/>
      <c r="D56" s="52"/>
      <c r="E56" s="52"/>
      <c r="F56" s="52"/>
      <c r="G56" s="52"/>
      <c r="H56" s="52"/>
      <c r="I56" s="52">
        <v>14</v>
      </c>
      <c r="J56" s="52"/>
      <c r="K56" s="52"/>
      <c r="L56" s="52"/>
      <c r="M56" s="52"/>
      <c r="N56" s="52">
        <f t="shared" si="4"/>
        <v>14</v>
      </c>
      <c r="O56" s="53"/>
    </row>
    <row r="57" spans="1:15" ht="20.100000000000001" customHeight="1" x14ac:dyDescent="0.25">
      <c r="A57" s="55"/>
      <c r="B57" s="51">
        <v>46054</v>
      </c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>
        <f t="shared" si="4"/>
        <v>0</v>
      </c>
      <c r="O57" s="53"/>
    </row>
    <row r="58" spans="1:15" ht="20.100000000000001" customHeight="1" x14ac:dyDescent="0.25">
      <c r="A58" s="55"/>
      <c r="B58" s="51">
        <v>46082</v>
      </c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>
        <f t="shared" si="4"/>
        <v>0</v>
      </c>
      <c r="O58" s="53"/>
    </row>
    <row r="59" spans="1:15" ht="20.100000000000001" customHeight="1" x14ac:dyDescent="0.25">
      <c r="A59" s="55"/>
      <c r="B59" s="51">
        <v>46113</v>
      </c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>
        <f t="shared" si="4"/>
        <v>0</v>
      </c>
      <c r="O59" s="53"/>
    </row>
    <row r="60" spans="1:15" ht="20.100000000000001" customHeight="1" x14ac:dyDescent="0.25">
      <c r="A60" s="55"/>
      <c r="B60" s="51">
        <v>46143</v>
      </c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>
        <f t="shared" si="4"/>
        <v>0</v>
      </c>
      <c r="O60" s="53"/>
    </row>
    <row r="61" spans="1:15" ht="20.100000000000001" customHeight="1" x14ac:dyDescent="0.25">
      <c r="A61" s="55"/>
      <c r="B61" s="51">
        <v>46174</v>
      </c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>
        <f t="shared" si="4"/>
        <v>0</v>
      </c>
      <c r="O61" s="53"/>
    </row>
    <row r="62" spans="1:15" ht="20.100000000000001" customHeight="1" x14ac:dyDescent="0.25">
      <c r="A62" s="55"/>
      <c r="B62" s="51">
        <v>46204</v>
      </c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>
        <f t="shared" si="4"/>
        <v>0</v>
      </c>
      <c r="O62" s="81"/>
    </row>
    <row r="63" spans="1:15" ht="20.100000000000001" customHeight="1" x14ac:dyDescent="0.25">
      <c r="A63" s="55"/>
      <c r="B63" s="51">
        <v>46235</v>
      </c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>
        <f t="shared" si="4"/>
        <v>0</v>
      </c>
      <c r="O63" s="81"/>
    </row>
    <row r="64" spans="1:15" ht="20.100000000000001" customHeight="1" x14ac:dyDescent="0.25">
      <c r="A64" s="55"/>
      <c r="B64" s="51">
        <v>46266</v>
      </c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>
        <f t="shared" si="4"/>
        <v>0</v>
      </c>
      <c r="O64" s="53"/>
    </row>
    <row r="65" spans="1:15" ht="20.100000000000001" customHeight="1" x14ac:dyDescent="0.25">
      <c r="A65" s="55"/>
      <c r="B65" s="51">
        <v>46296</v>
      </c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>
        <f t="shared" si="4"/>
        <v>0</v>
      </c>
      <c r="O65" s="53"/>
    </row>
    <row r="66" spans="1:15" ht="20.100000000000001" customHeight="1" x14ac:dyDescent="0.25">
      <c r="A66" s="55"/>
      <c r="B66" s="51">
        <v>46327</v>
      </c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>
        <f t="shared" si="4"/>
        <v>0</v>
      </c>
      <c r="O66" s="53"/>
    </row>
    <row r="67" spans="1:15" ht="20.100000000000001" customHeight="1" x14ac:dyDescent="0.25">
      <c r="A67" s="55"/>
      <c r="B67" s="51">
        <v>46357</v>
      </c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>
        <f t="shared" si="4"/>
        <v>0</v>
      </c>
      <c r="O67" s="53"/>
    </row>
    <row r="68" spans="1:15" ht="20.100000000000001" customHeight="1" x14ac:dyDescent="0.25">
      <c r="A68" s="55"/>
      <c r="B68" s="105" t="s">
        <v>250</v>
      </c>
      <c r="C68" s="54">
        <f>SUM(C56:C67)</f>
        <v>0</v>
      </c>
      <c r="D68" s="54">
        <f t="shared" ref="D68:M68" si="7">SUM(D56:D67)</f>
        <v>0</v>
      </c>
      <c r="E68" s="54">
        <f t="shared" si="7"/>
        <v>0</v>
      </c>
      <c r="F68" s="54">
        <f t="shared" si="7"/>
        <v>0</v>
      </c>
      <c r="G68" s="54">
        <f t="shared" si="7"/>
        <v>0</v>
      </c>
      <c r="H68" s="54">
        <f t="shared" si="7"/>
        <v>0</v>
      </c>
      <c r="I68" s="54">
        <f t="shared" si="7"/>
        <v>14</v>
      </c>
      <c r="J68" s="54">
        <f t="shared" si="7"/>
        <v>0</v>
      </c>
      <c r="K68" s="54">
        <f t="shared" si="7"/>
        <v>0</v>
      </c>
      <c r="L68" s="54">
        <f t="shared" si="7"/>
        <v>0</v>
      </c>
      <c r="M68" s="54">
        <f t="shared" si="7"/>
        <v>0</v>
      </c>
      <c r="N68" s="54">
        <f t="shared" ref="N68:N97" si="8">SUM(C68:M68)</f>
        <v>14</v>
      </c>
      <c r="O68" s="53"/>
    </row>
    <row r="69" spans="1:15" ht="20.100000000000001" customHeight="1" x14ac:dyDescent="0.25">
      <c r="A69" s="55" t="s">
        <v>213</v>
      </c>
      <c r="B69" s="51">
        <v>46023</v>
      </c>
      <c r="C69" s="52"/>
      <c r="D69" s="52"/>
      <c r="E69" s="52"/>
      <c r="F69" s="52"/>
      <c r="G69" s="52"/>
      <c r="H69" s="52"/>
      <c r="I69" s="52">
        <v>72</v>
      </c>
      <c r="J69" s="52"/>
      <c r="K69" s="52"/>
      <c r="L69" s="52"/>
      <c r="M69" s="52"/>
      <c r="N69" s="52">
        <f t="shared" si="8"/>
        <v>72</v>
      </c>
      <c r="O69" s="53"/>
    </row>
    <row r="70" spans="1:15" ht="20.100000000000001" customHeight="1" x14ac:dyDescent="0.25">
      <c r="A70" s="55"/>
      <c r="B70" s="51">
        <v>46054</v>
      </c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>
        <f t="shared" si="8"/>
        <v>0</v>
      </c>
      <c r="O70" s="53"/>
    </row>
    <row r="71" spans="1:15" ht="20.100000000000001" customHeight="1" x14ac:dyDescent="0.25">
      <c r="A71" s="55"/>
      <c r="B71" s="51">
        <v>46082</v>
      </c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>
        <f t="shared" si="8"/>
        <v>0</v>
      </c>
      <c r="O71" s="53"/>
    </row>
    <row r="72" spans="1:15" ht="20.100000000000001" customHeight="1" x14ac:dyDescent="0.25">
      <c r="A72" s="55"/>
      <c r="B72" s="51">
        <v>46113</v>
      </c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>
        <f t="shared" si="8"/>
        <v>0</v>
      </c>
      <c r="O72" s="53"/>
    </row>
    <row r="73" spans="1:15" ht="20.100000000000001" customHeight="1" x14ac:dyDescent="0.25">
      <c r="A73" s="55"/>
      <c r="B73" s="51">
        <v>46143</v>
      </c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>
        <f t="shared" si="8"/>
        <v>0</v>
      </c>
      <c r="O73" s="53"/>
    </row>
    <row r="74" spans="1:15" ht="20.100000000000001" customHeight="1" x14ac:dyDescent="0.25">
      <c r="A74" s="55"/>
      <c r="B74" s="51">
        <v>46174</v>
      </c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>
        <f t="shared" si="8"/>
        <v>0</v>
      </c>
      <c r="O74" s="53"/>
    </row>
    <row r="75" spans="1:15" ht="20.100000000000001" customHeight="1" x14ac:dyDescent="0.25">
      <c r="A75" s="55"/>
      <c r="B75" s="51">
        <v>46204</v>
      </c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>
        <f t="shared" si="8"/>
        <v>0</v>
      </c>
      <c r="O75" s="53"/>
    </row>
    <row r="76" spans="1:15" ht="20.100000000000001" customHeight="1" x14ac:dyDescent="0.25">
      <c r="A76" s="55"/>
      <c r="B76" s="51">
        <v>46235</v>
      </c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>
        <f t="shared" si="8"/>
        <v>0</v>
      </c>
      <c r="O76" s="53"/>
    </row>
    <row r="77" spans="1:15" ht="20.100000000000001" customHeight="1" x14ac:dyDescent="0.25">
      <c r="A77" s="55"/>
      <c r="B77" s="51">
        <v>46266</v>
      </c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>
        <f t="shared" si="8"/>
        <v>0</v>
      </c>
      <c r="O77" s="53"/>
    </row>
    <row r="78" spans="1:15" ht="20.100000000000001" customHeight="1" x14ac:dyDescent="0.25">
      <c r="A78" s="55"/>
      <c r="B78" s="51">
        <v>46296</v>
      </c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>
        <f t="shared" si="8"/>
        <v>0</v>
      </c>
      <c r="O78" s="53"/>
    </row>
    <row r="79" spans="1:15" ht="20.100000000000001" customHeight="1" x14ac:dyDescent="0.25">
      <c r="A79" s="55"/>
      <c r="B79" s="51">
        <v>46327</v>
      </c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>
        <f t="shared" si="8"/>
        <v>0</v>
      </c>
      <c r="O79" s="53"/>
    </row>
    <row r="80" spans="1:15" ht="20.100000000000001" customHeight="1" x14ac:dyDescent="0.25">
      <c r="A80" s="55"/>
      <c r="B80" s="51">
        <v>46357</v>
      </c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>
        <f t="shared" si="8"/>
        <v>0</v>
      </c>
      <c r="O80" s="53"/>
    </row>
    <row r="81" spans="1:15" ht="20.100000000000001" customHeight="1" x14ac:dyDescent="0.25">
      <c r="A81" s="55"/>
      <c r="B81" s="105" t="s">
        <v>250</v>
      </c>
      <c r="C81" s="54">
        <f>SUM(C69:C80)</f>
        <v>0</v>
      </c>
      <c r="D81" s="54">
        <f t="shared" ref="D81:M81" si="9">SUM(D69:D80)</f>
        <v>0</v>
      </c>
      <c r="E81" s="54">
        <f t="shared" si="9"/>
        <v>0</v>
      </c>
      <c r="F81" s="54">
        <f t="shared" si="9"/>
        <v>0</v>
      </c>
      <c r="G81" s="54">
        <f t="shared" si="9"/>
        <v>0</v>
      </c>
      <c r="H81" s="54">
        <f t="shared" si="9"/>
        <v>0</v>
      </c>
      <c r="I81" s="54">
        <f t="shared" si="9"/>
        <v>72</v>
      </c>
      <c r="J81" s="54">
        <f t="shared" si="9"/>
        <v>0</v>
      </c>
      <c r="K81" s="54">
        <f t="shared" si="9"/>
        <v>0</v>
      </c>
      <c r="L81" s="54">
        <f t="shared" si="9"/>
        <v>0</v>
      </c>
      <c r="M81" s="54">
        <f t="shared" si="9"/>
        <v>0</v>
      </c>
      <c r="N81" s="54">
        <f t="shared" si="8"/>
        <v>72</v>
      </c>
      <c r="O81" s="53"/>
    </row>
    <row r="82" spans="1:15" ht="20.100000000000001" customHeight="1" x14ac:dyDescent="0.25">
      <c r="A82" s="55" t="s">
        <v>166</v>
      </c>
      <c r="B82" s="51">
        <v>46023</v>
      </c>
      <c r="C82" s="54"/>
      <c r="D82" s="54"/>
      <c r="E82" s="54"/>
      <c r="F82" s="54"/>
      <c r="G82" s="54"/>
      <c r="H82" s="54"/>
      <c r="I82" s="54">
        <v>203</v>
      </c>
      <c r="J82" s="54"/>
      <c r="K82" s="54"/>
      <c r="L82" s="54"/>
      <c r="M82" s="54"/>
      <c r="N82" s="54">
        <f t="shared" si="8"/>
        <v>203</v>
      </c>
      <c r="O82" s="53"/>
    </row>
    <row r="83" spans="1:15" ht="20.100000000000001" customHeight="1" x14ac:dyDescent="0.25">
      <c r="A83" s="55"/>
      <c r="B83" s="51">
        <v>46054</v>
      </c>
      <c r="C83" s="54"/>
      <c r="D83" s="54"/>
      <c r="E83" s="54"/>
      <c r="F83" s="54"/>
      <c r="G83" s="54"/>
      <c r="H83" s="54"/>
      <c r="I83" s="54">
        <v>173</v>
      </c>
      <c r="J83" s="54"/>
      <c r="K83" s="54"/>
      <c r="L83" s="54"/>
      <c r="M83" s="54"/>
      <c r="N83" s="54">
        <f t="shared" si="8"/>
        <v>173</v>
      </c>
      <c r="O83" s="53"/>
    </row>
    <row r="84" spans="1:15" ht="20.100000000000001" customHeight="1" x14ac:dyDescent="0.25">
      <c r="A84" s="55"/>
      <c r="B84" s="51">
        <v>46082</v>
      </c>
      <c r="C84" s="54"/>
      <c r="D84" s="54"/>
      <c r="E84" s="54"/>
      <c r="F84" s="54"/>
      <c r="G84" s="54"/>
      <c r="H84" s="54"/>
      <c r="I84" s="54">
        <v>34</v>
      </c>
      <c r="J84" s="54"/>
      <c r="K84" s="54"/>
      <c r="L84" s="54"/>
      <c r="M84" s="54"/>
      <c r="N84" s="54">
        <f t="shared" si="8"/>
        <v>34</v>
      </c>
      <c r="O84" s="53"/>
    </row>
    <row r="85" spans="1:15" ht="20.100000000000001" customHeight="1" x14ac:dyDescent="0.25">
      <c r="A85" s="55"/>
      <c r="B85" s="51">
        <v>46113</v>
      </c>
      <c r="C85" s="52"/>
      <c r="D85" s="52"/>
      <c r="E85" s="52"/>
      <c r="F85" s="54"/>
      <c r="G85" s="54"/>
      <c r="H85" s="54"/>
      <c r="I85" s="54"/>
      <c r="J85" s="54"/>
      <c r="K85" s="54"/>
      <c r="L85" s="52"/>
      <c r="M85" s="52"/>
      <c r="N85" s="52">
        <f t="shared" si="8"/>
        <v>0</v>
      </c>
      <c r="O85" s="53"/>
    </row>
    <row r="86" spans="1:15" ht="20.100000000000001" customHeight="1" x14ac:dyDescent="0.25">
      <c r="A86" s="55"/>
      <c r="B86" s="51">
        <v>46143</v>
      </c>
      <c r="C86" s="52"/>
      <c r="D86" s="52"/>
      <c r="E86" s="52"/>
      <c r="F86" s="54"/>
      <c r="G86" s="54"/>
      <c r="H86" s="54"/>
      <c r="I86" s="54"/>
      <c r="J86" s="54"/>
      <c r="K86" s="54"/>
      <c r="L86" s="52"/>
      <c r="M86" s="52"/>
      <c r="N86" s="52">
        <f t="shared" si="8"/>
        <v>0</v>
      </c>
      <c r="O86" s="53"/>
    </row>
    <row r="87" spans="1:15" ht="20.100000000000001" customHeight="1" x14ac:dyDescent="0.25">
      <c r="A87" s="55"/>
      <c r="B87" s="51">
        <v>46174</v>
      </c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>
        <f t="shared" si="8"/>
        <v>0</v>
      </c>
      <c r="O87" s="53"/>
    </row>
    <row r="88" spans="1:15" ht="20.100000000000001" customHeight="1" x14ac:dyDescent="0.25">
      <c r="A88" s="55"/>
      <c r="B88" s="51">
        <v>46204</v>
      </c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>
        <f t="shared" si="8"/>
        <v>0</v>
      </c>
      <c r="O88" s="53"/>
    </row>
    <row r="89" spans="1:15" ht="20.100000000000001" customHeight="1" x14ac:dyDescent="0.25">
      <c r="A89" s="55"/>
      <c r="B89" s="51">
        <v>46235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>
        <f t="shared" si="8"/>
        <v>0</v>
      </c>
      <c r="O89" s="53"/>
    </row>
    <row r="90" spans="1:15" ht="20.100000000000001" customHeight="1" x14ac:dyDescent="0.25">
      <c r="A90" s="55"/>
      <c r="B90" s="51">
        <v>46266</v>
      </c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>
        <f t="shared" si="8"/>
        <v>0</v>
      </c>
      <c r="O90" s="53"/>
    </row>
    <row r="91" spans="1:15" ht="20.100000000000001" customHeight="1" x14ac:dyDescent="0.25">
      <c r="A91" s="55"/>
      <c r="B91" s="51">
        <v>46296</v>
      </c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>
        <f t="shared" si="8"/>
        <v>0</v>
      </c>
      <c r="O91" s="53"/>
    </row>
    <row r="92" spans="1:15" ht="20.100000000000001" customHeight="1" x14ac:dyDescent="0.25">
      <c r="A92" s="55"/>
      <c r="B92" s="51">
        <v>46327</v>
      </c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>
        <f t="shared" si="8"/>
        <v>0</v>
      </c>
      <c r="O92" s="53"/>
    </row>
    <row r="93" spans="1:15" ht="20.100000000000001" customHeight="1" x14ac:dyDescent="0.25">
      <c r="A93" s="55"/>
      <c r="B93" s="51">
        <v>46357</v>
      </c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>
        <f t="shared" si="8"/>
        <v>0</v>
      </c>
      <c r="O93" s="53"/>
    </row>
    <row r="94" spans="1:15" ht="20.100000000000001" customHeight="1" x14ac:dyDescent="0.25">
      <c r="A94" s="55"/>
      <c r="B94" s="105" t="s">
        <v>250</v>
      </c>
      <c r="C94" s="54">
        <f t="shared" ref="C94:M94" si="10">SUM(C82:C93)</f>
        <v>0</v>
      </c>
      <c r="D94" s="54">
        <f t="shared" si="10"/>
        <v>0</v>
      </c>
      <c r="E94" s="54">
        <f t="shared" si="10"/>
        <v>0</v>
      </c>
      <c r="F94" s="54">
        <f t="shared" si="10"/>
        <v>0</v>
      </c>
      <c r="G94" s="54">
        <f t="shared" si="10"/>
        <v>0</v>
      </c>
      <c r="H94" s="54">
        <f t="shared" si="10"/>
        <v>0</v>
      </c>
      <c r="I94" s="54">
        <f t="shared" si="10"/>
        <v>410</v>
      </c>
      <c r="J94" s="54">
        <f t="shared" si="10"/>
        <v>0</v>
      </c>
      <c r="K94" s="54">
        <f t="shared" si="10"/>
        <v>0</v>
      </c>
      <c r="L94" s="54">
        <f t="shared" si="10"/>
        <v>0</v>
      </c>
      <c r="M94" s="54">
        <f t="shared" si="10"/>
        <v>0</v>
      </c>
      <c r="N94" s="54">
        <f t="shared" si="8"/>
        <v>410</v>
      </c>
      <c r="O94" s="53"/>
    </row>
    <row r="95" spans="1:15" ht="20.100000000000001" customHeight="1" x14ac:dyDescent="0.25">
      <c r="A95" s="55" t="s">
        <v>260</v>
      </c>
      <c r="B95" s="51">
        <v>46023</v>
      </c>
      <c r="C95" s="54"/>
      <c r="D95" s="54"/>
      <c r="E95" s="54"/>
      <c r="F95" s="54"/>
      <c r="G95" s="54"/>
      <c r="H95" s="54"/>
      <c r="I95" s="54">
        <v>37</v>
      </c>
      <c r="J95" s="54"/>
      <c r="K95" s="54"/>
      <c r="L95" s="54"/>
      <c r="M95" s="54"/>
      <c r="N95" s="54">
        <f t="shared" si="8"/>
        <v>37</v>
      </c>
      <c r="O95" s="53"/>
    </row>
    <row r="96" spans="1:15" ht="20.100000000000001" customHeight="1" x14ac:dyDescent="0.25">
      <c r="A96" s="55"/>
      <c r="B96" s="51">
        <v>46054</v>
      </c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>
        <f t="shared" si="8"/>
        <v>0</v>
      </c>
      <c r="O96" s="53"/>
    </row>
    <row r="97" spans="1:15" ht="20.100000000000001" customHeight="1" x14ac:dyDescent="0.25">
      <c r="A97" s="55"/>
      <c r="B97" s="51">
        <v>46082</v>
      </c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>
        <f t="shared" si="8"/>
        <v>0</v>
      </c>
      <c r="O97" s="53"/>
    </row>
    <row r="98" spans="1:15" ht="20.100000000000001" customHeight="1" x14ac:dyDescent="0.25">
      <c r="A98" s="55"/>
      <c r="B98" s="51">
        <v>46113</v>
      </c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>
        <f t="shared" ref="N98:N129" si="11">SUM(C98:M98)</f>
        <v>0</v>
      </c>
      <c r="O98" s="53"/>
    </row>
    <row r="99" spans="1:15" ht="20.100000000000001" customHeight="1" x14ac:dyDescent="0.25">
      <c r="A99" s="55"/>
      <c r="B99" s="51">
        <v>46143</v>
      </c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>
        <f t="shared" si="11"/>
        <v>0</v>
      </c>
      <c r="O99" s="53"/>
    </row>
    <row r="100" spans="1:15" ht="20.100000000000001" customHeight="1" x14ac:dyDescent="0.25">
      <c r="A100" s="55"/>
      <c r="B100" s="51">
        <v>46174</v>
      </c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>
        <f t="shared" si="11"/>
        <v>0</v>
      </c>
      <c r="O100" s="53"/>
    </row>
    <row r="101" spans="1:15" ht="20.100000000000001" customHeight="1" x14ac:dyDescent="0.25">
      <c r="A101" s="55"/>
      <c r="B101" s="51">
        <v>46204</v>
      </c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>
        <f t="shared" si="11"/>
        <v>0</v>
      </c>
      <c r="O101" s="53"/>
    </row>
    <row r="102" spans="1:15" ht="20.25" customHeight="1" x14ac:dyDescent="0.25">
      <c r="A102" s="55"/>
      <c r="B102" s="51">
        <v>46235</v>
      </c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4">
        <f t="shared" si="11"/>
        <v>0</v>
      </c>
      <c r="O102" s="53"/>
    </row>
    <row r="103" spans="1:15" ht="20.100000000000001" customHeight="1" x14ac:dyDescent="0.25">
      <c r="A103" s="55"/>
      <c r="B103" s="51">
        <v>46266</v>
      </c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>
        <f t="shared" si="11"/>
        <v>0</v>
      </c>
      <c r="O103" s="53"/>
    </row>
    <row r="104" spans="1:15" ht="20.100000000000001" customHeight="1" x14ac:dyDescent="0.25">
      <c r="A104" s="55"/>
      <c r="B104" s="51">
        <v>46296</v>
      </c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>
        <f t="shared" si="11"/>
        <v>0</v>
      </c>
      <c r="O104" s="53"/>
    </row>
    <row r="105" spans="1:15" ht="20.100000000000001" customHeight="1" x14ac:dyDescent="0.25">
      <c r="A105" s="55"/>
      <c r="B105" s="51">
        <v>46327</v>
      </c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>
        <f t="shared" si="11"/>
        <v>0</v>
      </c>
      <c r="O105" s="53"/>
    </row>
    <row r="106" spans="1:15" ht="20.100000000000001" customHeight="1" x14ac:dyDescent="0.25">
      <c r="A106" s="55"/>
      <c r="B106" s="51">
        <v>46357</v>
      </c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>
        <f t="shared" si="11"/>
        <v>0</v>
      </c>
      <c r="O106" s="53"/>
    </row>
    <row r="107" spans="1:15" ht="20.100000000000001" customHeight="1" x14ac:dyDescent="0.25">
      <c r="A107" s="55"/>
      <c r="B107" s="105" t="s">
        <v>250</v>
      </c>
      <c r="C107" s="54">
        <f>SUM(C95:C106)</f>
        <v>0</v>
      </c>
      <c r="D107" s="54">
        <f t="shared" ref="D107:M107" si="12">SUM(D95:D106)</f>
        <v>0</v>
      </c>
      <c r="E107" s="54">
        <f t="shared" si="12"/>
        <v>0</v>
      </c>
      <c r="F107" s="54">
        <f t="shared" si="12"/>
        <v>0</v>
      </c>
      <c r="G107" s="54">
        <f t="shared" si="12"/>
        <v>0</v>
      </c>
      <c r="H107" s="54">
        <f t="shared" si="12"/>
        <v>0</v>
      </c>
      <c r="I107" s="54">
        <f t="shared" si="12"/>
        <v>37</v>
      </c>
      <c r="J107" s="54">
        <f t="shared" si="12"/>
        <v>0</v>
      </c>
      <c r="K107" s="54">
        <f t="shared" si="12"/>
        <v>0</v>
      </c>
      <c r="L107" s="54">
        <f t="shared" si="12"/>
        <v>0</v>
      </c>
      <c r="M107" s="54">
        <f t="shared" si="12"/>
        <v>0</v>
      </c>
      <c r="N107" s="54">
        <f t="shared" si="11"/>
        <v>37</v>
      </c>
      <c r="O107" s="53"/>
    </row>
    <row r="108" spans="1:15" ht="20.100000000000001" customHeight="1" x14ac:dyDescent="0.25">
      <c r="A108" s="55" t="s">
        <v>261</v>
      </c>
      <c r="B108" s="51">
        <v>46023</v>
      </c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>
        <f t="shared" si="11"/>
        <v>0</v>
      </c>
      <c r="O108" s="53"/>
    </row>
    <row r="109" spans="1:15" ht="20.100000000000001" customHeight="1" x14ac:dyDescent="0.25">
      <c r="A109" s="55"/>
      <c r="B109" s="51">
        <v>46054</v>
      </c>
      <c r="C109" s="52"/>
      <c r="D109" s="52"/>
      <c r="E109" s="52"/>
      <c r="F109" s="52"/>
      <c r="G109" s="52"/>
      <c r="H109" s="52"/>
      <c r="I109" s="52">
        <v>152</v>
      </c>
      <c r="J109" s="52"/>
      <c r="K109" s="52"/>
      <c r="L109" s="52"/>
      <c r="M109" s="52"/>
      <c r="N109" s="52">
        <f t="shared" si="11"/>
        <v>152</v>
      </c>
      <c r="O109" s="53"/>
    </row>
    <row r="110" spans="1:15" ht="20.100000000000001" customHeight="1" x14ac:dyDescent="0.25">
      <c r="A110" s="55"/>
      <c r="B110" s="51">
        <v>46082</v>
      </c>
      <c r="C110" s="52"/>
      <c r="D110" s="52"/>
      <c r="E110" s="52"/>
      <c r="F110" s="52"/>
      <c r="G110" s="52"/>
      <c r="H110" s="52"/>
      <c r="I110" s="52">
        <v>21</v>
      </c>
      <c r="J110" s="52"/>
      <c r="K110" s="52"/>
      <c r="L110" s="52"/>
      <c r="M110" s="52"/>
      <c r="N110" s="52">
        <f t="shared" si="11"/>
        <v>21</v>
      </c>
      <c r="O110" s="53"/>
    </row>
    <row r="111" spans="1:15" ht="20.100000000000001" customHeight="1" x14ac:dyDescent="0.25">
      <c r="A111" s="55"/>
      <c r="B111" s="51">
        <v>46113</v>
      </c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>
        <f t="shared" si="11"/>
        <v>0</v>
      </c>
      <c r="O111" s="53"/>
    </row>
    <row r="112" spans="1:15" ht="20.100000000000001" customHeight="1" x14ac:dyDescent="0.25">
      <c r="A112" s="55"/>
      <c r="B112" s="51">
        <v>46143</v>
      </c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>
        <f t="shared" si="11"/>
        <v>0</v>
      </c>
      <c r="O112" s="53"/>
    </row>
    <row r="113" spans="1:15" ht="20.100000000000001" customHeight="1" x14ac:dyDescent="0.25">
      <c r="A113" s="55"/>
      <c r="B113" s="51">
        <v>46174</v>
      </c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>
        <f t="shared" si="11"/>
        <v>0</v>
      </c>
      <c r="O113" s="53"/>
    </row>
    <row r="114" spans="1:15" ht="20.100000000000001" customHeight="1" x14ac:dyDescent="0.25">
      <c r="A114" s="55"/>
      <c r="B114" s="51">
        <v>46204</v>
      </c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>
        <f t="shared" si="11"/>
        <v>0</v>
      </c>
      <c r="O114" s="53"/>
    </row>
    <row r="115" spans="1:15" ht="20.100000000000001" customHeight="1" x14ac:dyDescent="0.25">
      <c r="A115" s="55"/>
      <c r="B115" s="51">
        <v>46235</v>
      </c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>
        <f t="shared" si="11"/>
        <v>0</v>
      </c>
      <c r="O115" s="53"/>
    </row>
    <row r="116" spans="1:15" ht="20.100000000000001" customHeight="1" x14ac:dyDescent="0.25">
      <c r="A116" s="55"/>
      <c r="B116" s="51">
        <v>46266</v>
      </c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>
        <f t="shared" si="11"/>
        <v>0</v>
      </c>
      <c r="O116" s="53"/>
    </row>
    <row r="117" spans="1:15" ht="20.100000000000001" customHeight="1" x14ac:dyDescent="0.25">
      <c r="A117" s="55"/>
      <c r="B117" s="51">
        <v>46296</v>
      </c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>
        <f t="shared" si="11"/>
        <v>0</v>
      </c>
      <c r="O117" s="53"/>
    </row>
    <row r="118" spans="1:15" ht="20.100000000000001" customHeight="1" x14ac:dyDescent="0.25">
      <c r="A118" s="55"/>
      <c r="B118" s="51">
        <v>46327</v>
      </c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>
        <f t="shared" si="11"/>
        <v>0</v>
      </c>
      <c r="O118" s="53"/>
    </row>
    <row r="119" spans="1:15" ht="20.100000000000001" customHeight="1" x14ac:dyDescent="0.25">
      <c r="A119" s="55"/>
      <c r="B119" s="51">
        <v>46357</v>
      </c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>
        <f t="shared" si="11"/>
        <v>0</v>
      </c>
      <c r="O119" s="53"/>
    </row>
    <row r="120" spans="1:15" ht="20.100000000000001" customHeight="1" x14ac:dyDescent="0.25">
      <c r="A120" s="55"/>
      <c r="B120" s="105" t="s">
        <v>250</v>
      </c>
      <c r="C120" s="54">
        <f>SUM(C108:C119)</f>
        <v>0</v>
      </c>
      <c r="D120" s="54">
        <f t="shared" ref="D120:M120" si="13">SUM(D108:D119)</f>
        <v>0</v>
      </c>
      <c r="E120" s="54">
        <f t="shared" si="13"/>
        <v>0</v>
      </c>
      <c r="F120" s="54">
        <f t="shared" si="13"/>
        <v>0</v>
      </c>
      <c r="G120" s="54">
        <f t="shared" si="13"/>
        <v>0</v>
      </c>
      <c r="H120" s="54">
        <f t="shared" si="13"/>
        <v>0</v>
      </c>
      <c r="I120" s="54">
        <f t="shared" si="13"/>
        <v>173</v>
      </c>
      <c r="J120" s="54">
        <f t="shared" si="13"/>
        <v>0</v>
      </c>
      <c r="K120" s="54">
        <f t="shared" si="13"/>
        <v>0</v>
      </c>
      <c r="L120" s="54">
        <f t="shared" si="13"/>
        <v>0</v>
      </c>
      <c r="M120" s="54">
        <f t="shared" si="13"/>
        <v>0</v>
      </c>
      <c r="N120" s="54">
        <f t="shared" si="11"/>
        <v>173</v>
      </c>
      <c r="O120" s="53"/>
    </row>
    <row r="121" spans="1:15" ht="20.100000000000001" customHeight="1" x14ac:dyDescent="0.25">
      <c r="A121" s="55" t="s">
        <v>263</v>
      </c>
      <c r="B121" s="51">
        <v>46023</v>
      </c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>
        <f t="shared" si="11"/>
        <v>0</v>
      </c>
      <c r="O121" s="53"/>
    </row>
    <row r="122" spans="1:15" ht="20.100000000000001" customHeight="1" x14ac:dyDescent="0.25">
      <c r="A122" s="55"/>
      <c r="B122" s="51">
        <v>46054</v>
      </c>
      <c r="C122" s="54"/>
      <c r="D122" s="54"/>
      <c r="E122" s="52"/>
      <c r="F122" s="54"/>
      <c r="G122" s="54"/>
      <c r="H122" s="54"/>
      <c r="I122" s="54">
        <v>20</v>
      </c>
      <c r="J122" s="54"/>
      <c r="K122" s="54"/>
      <c r="L122" s="54"/>
      <c r="M122" s="54"/>
      <c r="N122" s="52">
        <f t="shared" si="11"/>
        <v>20</v>
      </c>
      <c r="O122" s="53"/>
    </row>
    <row r="123" spans="1:15" ht="20.100000000000001" customHeight="1" x14ac:dyDescent="0.25">
      <c r="A123" s="55"/>
      <c r="B123" s="51">
        <v>46082</v>
      </c>
      <c r="C123" s="54"/>
      <c r="D123" s="54"/>
      <c r="E123" s="54"/>
      <c r="F123" s="54"/>
      <c r="G123" s="54"/>
      <c r="H123" s="54"/>
      <c r="I123" s="54">
        <v>24</v>
      </c>
      <c r="J123" s="54"/>
      <c r="K123" s="54"/>
      <c r="L123" s="54"/>
      <c r="M123" s="54"/>
      <c r="N123" s="54">
        <f t="shared" si="11"/>
        <v>24</v>
      </c>
      <c r="O123" s="53"/>
    </row>
    <row r="124" spans="1:15" ht="20.100000000000001" customHeight="1" x14ac:dyDescent="0.25">
      <c r="A124" s="55"/>
      <c r="B124" s="51">
        <v>46113</v>
      </c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>
        <f t="shared" si="11"/>
        <v>0</v>
      </c>
      <c r="O124" s="53"/>
    </row>
    <row r="125" spans="1:15" ht="20.100000000000001" customHeight="1" x14ac:dyDescent="0.25">
      <c r="A125" s="55"/>
      <c r="B125" s="51">
        <v>46143</v>
      </c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>
        <f t="shared" si="11"/>
        <v>0</v>
      </c>
      <c r="O125" s="53"/>
    </row>
    <row r="126" spans="1:15" ht="20.100000000000001" customHeight="1" x14ac:dyDescent="0.25">
      <c r="A126" s="55"/>
      <c r="B126" s="51">
        <v>46174</v>
      </c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>
        <f t="shared" si="11"/>
        <v>0</v>
      </c>
      <c r="O126" s="53"/>
    </row>
    <row r="127" spans="1:15" ht="20.100000000000001" customHeight="1" x14ac:dyDescent="0.25">
      <c r="A127" s="55"/>
      <c r="B127" s="51">
        <v>46204</v>
      </c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>
        <f t="shared" si="11"/>
        <v>0</v>
      </c>
      <c r="O127" s="53"/>
    </row>
    <row r="128" spans="1:15" ht="20.100000000000001" customHeight="1" x14ac:dyDescent="0.25">
      <c r="A128" s="55"/>
      <c r="B128" s="51">
        <v>46235</v>
      </c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>
        <f t="shared" si="11"/>
        <v>0</v>
      </c>
      <c r="O128" s="53"/>
    </row>
    <row r="129" spans="1:15" ht="20.100000000000001" customHeight="1" x14ac:dyDescent="0.25">
      <c r="A129" s="55"/>
      <c r="B129" s="51">
        <v>46266</v>
      </c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>
        <f t="shared" si="11"/>
        <v>0</v>
      </c>
      <c r="O129" s="53"/>
    </row>
    <row r="130" spans="1:15" ht="20.100000000000001" customHeight="1" x14ac:dyDescent="0.25">
      <c r="A130" s="55"/>
      <c r="B130" s="51">
        <v>46296</v>
      </c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>
        <f t="shared" ref="N130:N184" si="14">SUM(C130:M130)</f>
        <v>0</v>
      </c>
      <c r="O130" s="53"/>
    </row>
    <row r="131" spans="1:15" ht="20.100000000000001" customHeight="1" x14ac:dyDescent="0.25">
      <c r="A131" s="55"/>
      <c r="B131" s="51">
        <v>46327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>
        <f t="shared" si="14"/>
        <v>0</v>
      </c>
      <c r="O131" s="53"/>
    </row>
    <row r="132" spans="1:15" ht="19.5" customHeight="1" x14ac:dyDescent="0.25">
      <c r="A132" s="55"/>
      <c r="B132" s="51">
        <v>46357</v>
      </c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>
        <f t="shared" si="14"/>
        <v>0</v>
      </c>
      <c r="O132" s="53"/>
    </row>
    <row r="133" spans="1:15" ht="20.100000000000001" customHeight="1" x14ac:dyDescent="0.25">
      <c r="A133" s="55"/>
      <c r="B133" s="105" t="s">
        <v>250</v>
      </c>
      <c r="C133" s="54">
        <f>SUM(C121:C132)</f>
        <v>0</v>
      </c>
      <c r="D133" s="54">
        <f t="shared" ref="D133:M133" si="15">SUM(D121:D132)</f>
        <v>0</v>
      </c>
      <c r="E133" s="54">
        <f t="shared" si="15"/>
        <v>0</v>
      </c>
      <c r="F133" s="54">
        <f t="shared" si="15"/>
        <v>0</v>
      </c>
      <c r="G133" s="54">
        <f t="shared" si="15"/>
        <v>0</v>
      </c>
      <c r="H133" s="54">
        <f t="shared" si="15"/>
        <v>0</v>
      </c>
      <c r="I133" s="54">
        <f t="shared" si="15"/>
        <v>44</v>
      </c>
      <c r="J133" s="54">
        <f t="shared" si="15"/>
        <v>0</v>
      </c>
      <c r="K133" s="54">
        <f t="shared" si="15"/>
        <v>0</v>
      </c>
      <c r="L133" s="54">
        <f t="shared" si="15"/>
        <v>0</v>
      </c>
      <c r="M133" s="54">
        <f t="shared" si="15"/>
        <v>0</v>
      </c>
      <c r="N133" s="54">
        <f t="shared" si="14"/>
        <v>44</v>
      </c>
      <c r="O133" s="53"/>
    </row>
    <row r="134" spans="1:15" ht="20.100000000000001" customHeight="1" x14ac:dyDescent="0.25">
      <c r="A134" s="55" t="s">
        <v>265</v>
      </c>
      <c r="B134" s="51">
        <v>46023</v>
      </c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>
        <f t="shared" si="14"/>
        <v>0</v>
      </c>
      <c r="O134" s="53"/>
    </row>
    <row r="135" spans="1:15" ht="20.100000000000001" customHeight="1" x14ac:dyDescent="0.25">
      <c r="A135" s="55"/>
      <c r="B135" s="51">
        <v>46054</v>
      </c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>
        <f t="shared" si="14"/>
        <v>0</v>
      </c>
      <c r="O135" s="53"/>
    </row>
    <row r="136" spans="1:15" ht="20.100000000000001" customHeight="1" x14ac:dyDescent="0.25">
      <c r="A136" s="55"/>
      <c r="B136" s="51">
        <v>46082</v>
      </c>
      <c r="C136" s="54"/>
      <c r="D136" s="54"/>
      <c r="E136" s="54"/>
      <c r="F136" s="54"/>
      <c r="G136" s="54"/>
      <c r="H136" s="54"/>
      <c r="I136" s="54">
        <v>20</v>
      </c>
      <c r="J136" s="54"/>
      <c r="K136" s="54"/>
      <c r="L136" s="54"/>
      <c r="M136" s="54"/>
      <c r="N136" s="54">
        <f t="shared" si="14"/>
        <v>20</v>
      </c>
      <c r="O136" s="53"/>
    </row>
    <row r="137" spans="1:15" ht="20.100000000000001" customHeight="1" x14ac:dyDescent="0.25">
      <c r="A137" s="55"/>
      <c r="B137" s="51">
        <v>46113</v>
      </c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>
        <f t="shared" si="14"/>
        <v>0</v>
      </c>
      <c r="O137" s="53"/>
    </row>
    <row r="138" spans="1:15" ht="20.100000000000001" customHeight="1" x14ac:dyDescent="0.25">
      <c r="A138" s="55"/>
      <c r="B138" s="51">
        <v>46143</v>
      </c>
      <c r="C138" s="54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>
        <f t="shared" si="14"/>
        <v>0</v>
      </c>
      <c r="O138" s="53"/>
    </row>
    <row r="139" spans="1:15" ht="20.100000000000001" customHeight="1" x14ac:dyDescent="0.25">
      <c r="A139" s="55"/>
      <c r="B139" s="51">
        <v>46174</v>
      </c>
      <c r="C139" s="54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>
        <f t="shared" si="14"/>
        <v>0</v>
      </c>
      <c r="O139" s="53"/>
    </row>
    <row r="140" spans="1:15" ht="20.100000000000001" customHeight="1" x14ac:dyDescent="0.25">
      <c r="A140" s="55"/>
      <c r="B140" s="51">
        <v>46204</v>
      </c>
      <c r="C140" s="54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>
        <f t="shared" si="14"/>
        <v>0</v>
      </c>
      <c r="O140" s="53"/>
    </row>
    <row r="141" spans="1:15" ht="20.100000000000001" customHeight="1" x14ac:dyDescent="0.25">
      <c r="A141" s="55"/>
      <c r="B141" s="51">
        <v>46235</v>
      </c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>
        <f t="shared" si="14"/>
        <v>0</v>
      </c>
      <c r="O141" s="53"/>
    </row>
    <row r="142" spans="1:15" ht="20.100000000000001" customHeight="1" x14ac:dyDescent="0.25">
      <c r="A142" s="55"/>
      <c r="B142" s="51">
        <v>46266</v>
      </c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>
        <f t="shared" si="14"/>
        <v>0</v>
      </c>
      <c r="O142" s="53"/>
    </row>
    <row r="143" spans="1:15" ht="20.100000000000001" customHeight="1" x14ac:dyDescent="0.25">
      <c r="A143" s="55"/>
      <c r="B143" s="51">
        <v>46296</v>
      </c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>
        <f t="shared" si="14"/>
        <v>0</v>
      </c>
      <c r="O143" s="53"/>
    </row>
    <row r="144" spans="1:15" ht="20.100000000000001" customHeight="1" x14ac:dyDescent="0.25">
      <c r="A144" s="55"/>
      <c r="B144" s="51">
        <v>46327</v>
      </c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>
        <f t="shared" si="14"/>
        <v>0</v>
      </c>
      <c r="O144" s="53"/>
    </row>
    <row r="145" spans="1:15" ht="20.100000000000001" customHeight="1" x14ac:dyDescent="0.25">
      <c r="A145" s="55"/>
      <c r="B145" s="51">
        <v>46357</v>
      </c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>
        <f t="shared" si="14"/>
        <v>0</v>
      </c>
      <c r="O145" s="53"/>
    </row>
    <row r="146" spans="1:15" ht="20.100000000000001" customHeight="1" x14ac:dyDescent="0.25">
      <c r="A146" s="55"/>
      <c r="B146" s="105" t="s">
        <v>250</v>
      </c>
      <c r="C146" s="54">
        <f>SUM(C134:C145)</f>
        <v>0</v>
      </c>
      <c r="D146" s="54">
        <f>SUM(D138:D145)</f>
        <v>0</v>
      </c>
      <c r="E146" s="54">
        <f>SUM(E134:E145)</f>
        <v>0</v>
      </c>
      <c r="F146" s="54">
        <f t="shared" ref="F146:L146" si="16">SUM(F134:F145)</f>
        <v>0</v>
      </c>
      <c r="G146" s="54">
        <f t="shared" si="16"/>
        <v>0</v>
      </c>
      <c r="H146" s="54">
        <f t="shared" si="16"/>
        <v>0</v>
      </c>
      <c r="I146" s="54">
        <f t="shared" si="16"/>
        <v>20</v>
      </c>
      <c r="J146" s="54">
        <f t="shared" si="16"/>
        <v>0</v>
      </c>
      <c r="K146" s="54">
        <f t="shared" si="16"/>
        <v>0</v>
      </c>
      <c r="L146" s="54">
        <f t="shared" si="16"/>
        <v>0</v>
      </c>
      <c r="M146" s="54">
        <f>SUM(M138:M145)</f>
        <v>0</v>
      </c>
      <c r="N146" s="54">
        <f t="shared" si="14"/>
        <v>20</v>
      </c>
      <c r="O146" s="53"/>
    </row>
    <row r="147" spans="1:15" ht="20.100000000000001" hidden="1" customHeight="1" x14ac:dyDescent="0.25">
      <c r="A147" s="55"/>
      <c r="B147" s="51">
        <v>46023</v>
      </c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>
        <f t="shared" si="14"/>
        <v>0</v>
      </c>
      <c r="O147" s="53"/>
    </row>
    <row r="148" spans="1:15" ht="20.100000000000001" hidden="1" customHeight="1" x14ac:dyDescent="0.25">
      <c r="A148" s="55"/>
      <c r="B148" s="51">
        <v>46054</v>
      </c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>
        <f t="shared" si="14"/>
        <v>0</v>
      </c>
      <c r="O148" s="53"/>
    </row>
    <row r="149" spans="1:15" ht="20.100000000000001" hidden="1" customHeight="1" x14ac:dyDescent="0.25">
      <c r="A149" s="55"/>
      <c r="B149" s="51">
        <v>46082</v>
      </c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>
        <f t="shared" si="14"/>
        <v>0</v>
      </c>
      <c r="O149" s="53"/>
    </row>
    <row r="150" spans="1:15" ht="20.100000000000001" hidden="1" customHeight="1" x14ac:dyDescent="0.25">
      <c r="A150" s="55"/>
      <c r="B150" s="51">
        <v>46113</v>
      </c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>
        <f t="shared" si="14"/>
        <v>0</v>
      </c>
      <c r="O150" s="53"/>
    </row>
    <row r="151" spans="1:15" ht="20.100000000000001" hidden="1" customHeight="1" x14ac:dyDescent="0.25">
      <c r="A151" s="55"/>
      <c r="B151" s="51">
        <v>46143</v>
      </c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>
        <f t="shared" si="14"/>
        <v>0</v>
      </c>
      <c r="O151" s="53"/>
    </row>
    <row r="152" spans="1:15" ht="20.100000000000001" hidden="1" customHeight="1" x14ac:dyDescent="0.25">
      <c r="A152" s="55"/>
      <c r="B152" s="51">
        <v>46174</v>
      </c>
      <c r="C152" s="54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>
        <f t="shared" si="14"/>
        <v>0</v>
      </c>
      <c r="O152" s="53"/>
    </row>
    <row r="153" spans="1:15" ht="20.100000000000001" hidden="1" customHeight="1" x14ac:dyDescent="0.25">
      <c r="A153" s="55"/>
      <c r="B153" s="51">
        <v>46204</v>
      </c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>
        <f t="shared" si="14"/>
        <v>0</v>
      </c>
      <c r="O153" s="53"/>
    </row>
    <row r="154" spans="1:15" ht="20.100000000000001" hidden="1" customHeight="1" x14ac:dyDescent="0.25">
      <c r="A154" s="55"/>
      <c r="B154" s="51">
        <v>46235</v>
      </c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>
        <f t="shared" si="14"/>
        <v>0</v>
      </c>
      <c r="O154" s="53"/>
    </row>
    <row r="155" spans="1:15" ht="20.100000000000001" hidden="1" customHeight="1" x14ac:dyDescent="0.25">
      <c r="A155" s="55"/>
      <c r="B155" s="51">
        <v>46266</v>
      </c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>
        <f t="shared" si="14"/>
        <v>0</v>
      </c>
      <c r="O155" s="53"/>
    </row>
    <row r="156" spans="1:15" ht="20.100000000000001" hidden="1" customHeight="1" x14ac:dyDescent="0.25">
      <c r="A156" s="55"/>
      <c r="B156" s="51">
        <v>46296</v>
      </c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>
        <f t="shared" si="14"/>
        <v>0</v>
      </c>
      <c r="O156" s="53"/>
    </row>
    <row r="157" spans="1:15" ht="20.100000000000001" hidden="1" customHeight="1" x14ac:dyDescent="0.25">
      <c r="A157" s="55"/>
      <c r="B157" s="51">
        <v>46327</v>
      </c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>
        <f t="shared" si="14"/>
        <v>0</v>
      </c>
      <c r="O157" s="53"/>
    </row>
    <row r="158" spans="1:15" ht="20.100000000000001" hidden="1" customHeight="1" x14ac:dyDescent="0.25">
      <c r="A158" s="55"/>
      <c r="B158" s="51">
        <v>46357</v>
      </c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>
        <f t="shared" si="14"/>
        <v>0</v>
      </c>
      <c r="O158" s="53"/>
    </row>
    <row r="159" spans="1:15" ht="20.100000000000001" hidden="1" customHeight="1" x14ac:dyDescent="0.25">
      <c r="A159" s="55"/>
      <c r="B159" s="105" t="s">
        <v>250</v>
      </c>
      <c r="C159" s="54">
        <f>SUM(C147:C158)</f>
        <v>0</v>
      </c>
      <c r="D159" s="54">
        <f t="shared" ref="D159:M159" si="17">SUM(D147:D158)</f>
        <v>0</v>
      </c>
      <c r="E159" s="54">
        <f t="shared" si="17"/>
        <v>0</v>
      </c>
      <c r="F159" s="54">
        <f t="shared" si="17"/>
        <v>0</v>
      </c>
      <c r="G159" s="54">
        <f t="shared" si="17"/>
        <v>0</v>
      </c>
      <c r="H159" s="54">
        <f t="shared" si="17"/>
        <v>0</v>
      </c>
      <c r="I159" s="54">
        <f t="shared" si="17"/>
        <v>0</v>
      </c>
      <c r="J159" s="54">
        <f t="shared" si="17"/>
        <v>0</v>
      </c>
      <c r="K159" s="54">
        <f t="shared" si="17"/>
        <v>0</v>
      </c>
      <c r="L159" s="54">
        <f t="shared" si="17"/>
        <v>0</v>
      </c>
      <c r="M159" s="54">
        <f t="shared" si="17"/>
        <v>0</v>
      </c>
      <c r="N159" s="54">
        <f t="shared" si="14"/>
        <v>0</v>
      </c>
      <c r="O159" s="53"/>
    </row>
    <row r="160" spans="1:15" ht="20.100000000000001" hidden="1" customHeight="1" x14ac:dyDescent="0.25">
      <c r="A160" s="55"/>
      <c r="B160" s="51">
        <v>46023</v>
      </c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>
        <f t="shared" si="14"/>
        <v>0</v>
      </c>
      <c r="O160" s="53"/>
    </row>
    <row r="161" spans="1:15" ht="20.100000000000001" hidden="1" customHeight="1" x14ac:dyDescent="0.25">
      <c r="A161" s="55"/>
      <c r="B161" s="51">
        <v>46054</v>
      </c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>
        <f t="shared" si="14"/>
        <v>0</v>
      </c>
      <c r="O161" s="53"/>
    </row>
    <row r="162" spans="1:15" ht="20.100000000000001" hidden="1" customHeight="1" x14ac:dyDescent="0.25">
      <c r="A162" s="55"/>
      <c r="B162" s="51">
        <v>46082</v>
      </c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>
        <f t="shared" si="14"/>
        <v>0</v>
      </c>
      <c r="O162" s="53"/>
    </row>
    <row r="163" spans="1:15" ht="20.100000000000001" hidden="1" customHeight="1" x14ac:dyDescent="0.25">
      <c r="A163" s="55"/>
      <c r="B163" s="51">
        <v>46113</v>
      </c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>
        <f t="shared" si="14"/>
        <v>0</v>
      </c>
      <c r="O163" s="53"/>
    </row>
    <row r="164" spans="1:15" ht="20.100000000000001" hidden="1" customHeight="1" x14ac:dyDescent="0.25">
      <c r="A164" s="55"/>
      <c r="B164" s="51">
        <v>46143</v>
      </c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>
        <f t="shared" si="14"/>
        <v>0</v>
      </c>
      <c r="O164" s="53"/>
    </row>
    <row r="165" spans="1:15" ht="20.100000000000001" hidden="1" customHeight="1" x14ac:dyDescent="0.25">
      <c r="A165" s="55"/>
      <c r="B165" s="51">
        <v>46174</v>
      </c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>
        <f t="shared" si="14"/>
        <v>0</v>
      </c>
      <c r="O165" s="53"/>
    </row>
    <row r="166" spans="1:15" ht="20.100000000000001" hidden="1" customHeight="1" x14ac:dyDescent="0.25">
      <c r="A166" s="55"/>
      <c r="B166" s="51">
        <v>46204</v>
      </c>
      <c r="C166" s="54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>
        <f t="shared" si="14"/>
        <v>0</v>
      </c>
      <c r="O166" s="53"/>
    </row>
    <row r="167" spans="1:15" ht="20.100000000000001" hidden="1" customHeight="1" x14ac:dyDescent="0.25">
      <c r="A167" s="55"/>
      <c r="B167" s="51">
        <v>46235</v>
      </c>
      <c r="C167" s="54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4">
        <f t="shared" si="14"/>
        <v>0</v>
      </c>
      <c r="O167" s="53"/>
    </row>
    <row r="168" spans="1:15" ht="20.100000000000001" hidden="1" customHeight="1" x14ac:dyDescent="0.25">
      <c r="A168" s="55"/>
      <c r="B168" s="51">
        <v>46266</v>
      </c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>
        <f t="shared" si="14"/>
        <v>0</v>
      </c>
      <c r="O168" s="53"/>
    </row>
    <row r="169" spans="1:15" ht="20.100000000000001" hidden="1" customHeight="1" x14ac:dyDescent="0.25">
      <c r="A169" s="55"/>
      <c r="B169" s="51">
        <v>46296</v>
      </c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>
        <f t="shared" si="14"/>
        <v>0</v>
      </c>
      <c r="O169" s="53"/>
    </row>
    <row r="170" spans="1:15" ht="20.100000000000001" hidden="1" customHeight="1" x14ac:dyDescent="0.25">
      <c r="A170" s="55"/>
      <c r="B170" s="51">
        <v>46327</v>
      </c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>
        <f t="shared" si="14"/>
        <v>0</v>
      </c>
      <c r="O170" s="53"/>
    </row>
    <row r="171" spans="1:15" ht="20.100000000000001" hidden="1" customHeight="1" x14ac:dyDescent="0.25">
      <c r="A171" s="55"/>
      <c r="B171" s="51">
        <v>46357</v>
      </c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>
        <f t="shared" si="14"/>
        <v>0</v>
      </c>
      <c r="O171" s="53"/>
    </row>
    <row r="172" spans="1:15" ht="20.100000000000001" hidden="1" customHeight="1" x14ac:dyDescent="0.25">
      <c r="A172" s="55"/>
      <c r="B172" s="105" t="s">
        <v>250</v>
      </c>
      <c r="C172" s="54"/>
      <c r="D172" s="54">
        <f t="shared" ref="D172:M172" si="18">SUM(D160:D171)</f>
        <v>0</v>
      </c>
      <c r="E172" s="54">
        <f t="shared" si="18"/>
        <v>0</v>
      </c>
      <c r="F172" s="54">
        <f t="shared" si="18"/>
        <v>0</v>
      </c>
      <c r="G172" s="54">
        <f t="shared" si="18"/>
        <v>0</v>
      </c>
      <c r="H172" s="54">
        <f t="shared" si="18"/>
        <v>0</v>
      </c>
      <c r="I172" s="54">
        <f t="shared" si="18"/>
        <v>0</v>
      </c>
      <c r="J172" s="54">
        <f t="shared" si="18"/>
        <v>0</v>
      </c>
      <c r="K172" s="54">
        <f t="shared" si="18"/>
        <v>0</v>
      </c>
      <c r="L172" s="54">
        <f t="shared" si="18"/>
        <v>0</v>
      </c>
      <c r="M172" s="54">
        <f t="shared" si="18"/>
        <v>0</v>
      </c>
      <c r="N172" s="54">
        <f t="shared" si="14"/>
        <v>0</v>
      </c>
      <c r="O172" s="53"/>
    </row>
    <row r="173" spans="1:15" ht="20.100000000000001" hidden="1" customHeight="1" x14ac:dyDescent="0.25">
      <c r="A173" s="55"/>
      <c r="B173" s="51">
        <v>46023</v>
      </c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>
        <f t="shared" si="14"/>
        <v>0</v>
      </c>
      <c r="O173" s="53"/>
    </row>
    <row r="174" spans="1:15" ht="20.100000000000001" hidden="1" customHeight="1" x14ac:dyDescent="0.25">
      <c r="A174" s="55"/>
      <c r="B174" s="51">
        <v>46054</v>
      </c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>
        <f t="shared" si="14"/>
        <v>0</v>
      </c>
      <c r="O174" s="53"/>
    </row>
    <row r="175" spans="1:15" ht="20.100000000000001" hidden="1" customHeight="1" x14ac:dyDescent="0.25">
      <c r="A175" s="55"/>
      <c r="B175" s="51">
        <v>46082</v>
      </c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>
        <f t="shared" si="14"/>
        <v>0</v>
      </c>
      <c r="O175" s="53"/>
    </row>
    <row r="176" spans="1:15" ht="20.100000000000001" hidden="1" customHeight="1" x14ac:dyDescent="0.25">
      <c r="A176" s="55"/>
      <c r="B176" s="51">
        <v>46113</v>
      </c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>
        <f t="shared" si="14"/>
        <v>0</v>
      </c>
      <c r="O176" s="53"/>
    </row>
    <row r="177" spans="1:15" ht="20.100000000000001" hidden="1" customHeight="1" x14ac:dyDescent="0.25">
      <c r="A177" s="55"/>
      <c r="B177" s="51">
        <v>46143</v>
      </c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>
        <f t="shared" si="14"/>
        <v>0</v>
      </c>
      <c r="O177" s="53"/>
    </row>
    <row r="178" spans="1:15" ht="20.100000000000001" hidden="1" customHeight="1" x14ac:dyDescent="0.25">
      <c r="A178" s="55"/>
      <c r="B178" s="51">
        <v>46174</v>
      </c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>
        <f t="shared" si="14"/>
        <v>0</v>
      </c>
      <c r="O178" s="53"/>
    </row>
    <row r="179" spans="1:15" ht="20.100000000000001" hidden="1" customHeight="1" x14ac:dyDescent="0.25">
      <c r="A179" s="55"/>
      <c r="B179" s="51">
        <v>46204</v>
      </c>
      <c r="C179" s="54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4">
        <f t="shared" si="14"/>
        <v>0</v>
      </c>
      <c r="O179" s="53"/>
    </row>
    <row r="180" spans="1:15" ht="20.100000000000001" hidden="1" customHeight="1" x14ac:dyDescent="0.25">
      <c r="A180" s="55"/>
      <c r="B180" s="51">
        <v>46235</v>
      </c>
      <c r="C180" s="54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4">
        <f t="shared" si="14"/>
        <v>0</v>
      </c>
      <c r="O180" s="53"/>
    </row>
    <row r="181" spans="1:15" ht="20.100000000000001" hidden="1" customHeight="1" x14ac:dyDescent="0.25">
      <c r="A181" s="55"/>
      <c r="B181" s="51">
        <v>46266</v>
      </c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>
        <f t="shared" si="14"/>
        <v>0</v>
      </c>
      <c r="O181" s="53"/>
    </row>
    <row r="182" spans="1:15" ht="20.100000000000001" hidden="1" customHeight="1" x14ac:dyDescent="0.25">
      <c r="A182" s="55"/>
      <c r="B182" s="51">
        <v>46296</v>
      </c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>
        <f t="shared" si="14"/>
        <v>0</v>
      </c>
      <c r="O182" s="53"/>
    </row>
    <row r="183" spans="1:15" ht="20.100000000000001" hidden="1" customHeight="1" x14ac:dyDescent="0.25">
      <c r="A183" s="55"/>
      <c r="B183" s="51">
        <v>46327</v>
      </c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>
        <f t="shared" si="14"/>
        <v>0</v>
      </c>
      <c r="O183" s="53"/>
    </row>
    <row r="184" spans="1:15" ht="20.100000000000001" hidden="1" customHeight="1" x14ac:dyDescent="0.25">
      <c r="A184" s="55"/>
      <c r="B184" s="51">
        <v>46357</v>
      </c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>
        <f t="shared" si="14"/>
        <v>0</v>
      </c>
      <c r="O184" s="53"/>
    </row>
    <row r="185" spans="1:15" ht="20.100000000000001" hidden="1" customHeight="1" x14ac:dyDescent="0.25">
      <c r="A185" s="55"/>
      <c r="B185" s="105" t="s">
        <v>250</v>
      </c>
      <c r="C185" s="54">
        <f t="shared" ref="C185:N185" si="19">SUM(C173:C184)</f>
        <v>0</v>
      </c>
      <c r="D185" s="54">
        <f t="shared" si="19"/>
        <v>0</v>
      </c>
      <c r="E185" s="54">
        <f t="shared" si="19"/>
        <v>0</v>
      </c>
      <c r="F185" s="54">
        <f t="shared" si="19"/>
        <v>0</v>
      </c>
      <c r="G185" s="54">
        <f t="shared" si="19"/>
        <v>0</v>
      </c>
      <c r="H185" s="54">
        <f t="shared" si="19"/>
        <v>0</v>
      </c>
      <c r="I185" s="54">
        <f t="shared" si="19"/>
        <v>0</v>
      </c>
      <c r="J185" s="54">
        <f t="shared" si="19"/>
        <v>0</v>
      </c>
      <c r="K185" s="54">
        <f t="shared" si="19"/>
        <v>0</v>
      </c>
      <c r="L185" s="54">
        <f t="shared" si="19"/>
        <v>0</v>
      </c>
      <c r="M185" s="54">
        <f t="shared" si="19"/>
        <v>0</v>
      </c>
      <c r="N185" s="54">
        <f t="shared" si="19"/>
        <v>0</v>
      </c>
      <c r="O185" s="53"/>
    </row>
    <row r="186" spans="1:15" ht="20.100000000000001" hidden="1" customHeight="1" x14ac:dyDescent="0.25">
      <c r="A186" s="66"/>
      <c r="B186" s="51">
        <v>46023</v>
      </c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>
        <f>SUM(C186:M186)</f>
        <v>0</v>
      </c>
      <c r="O186" s="53"/>
    </row>
    <row r="187" spans="1:15" ht="20.100000000000001" hidden="1" customHeight="1" x14ac:dyDescent="0.25">
      <c r="A187" s="55"/>
      <c r="B187" s="51">
        <v>46054</v>
      </c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>
        <f t="shared" ref="N187:N197" si="20">SUM(C187:M187)</f>
        <v>0</v>
      </c>
      <c r="O187" s="53"/>
    </row>
    <row r="188" spans="1:15" ht="20.100000000000001" hidden="1" customHeight="1" x14ac:dyDescent="0.25">
      <c r="A188" s="55"/>
      <c r="B188" s="51">
        <v>46082</v>
      </c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>
        <f t="shared" si="20"/>
        <v>0</v>
      </c>
      <c r="O188" s="53"/>
    </row>
    <row r="189" spans="1:15" ht="20.100000000000001" hidden="1" customHeight="1" x14ac:dyDescent="0.25">
      <c r="A189" s="55"/>
      <c r="B189" s="51">
        <v>46113</v>
      </c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>
        <f t="shared" si="20"/>
        <v>0</v>
      </c>
      <c r="O189" s="53"/>
    </row>
    <row r="190" spans="1:15" ht="20.100000000000001" hidden="1" customHeight="1" x14ac:dyDescent="0.25">
      <c r="A190" s="55"/>
      <c r="B190" s="51">
        <v>46143</v>
      </c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>
        <f t="shared" si="20"/>
        <v>0</v>
      </c>
      <c r="O190" s="53"/>
    </row>
    <row r="191" spans="1:15" ht="20.100000000000001" hidden="1" customHeight="1" x14ac:dyDescent="0.25">
      <c r="A191" s="55"/>
      <c r="B191" s="51">
        <v>46174</v>
      </c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>
        <f t="shared" si="20"/>
        <v>0</v>
      </c>
      <c r="O191" s="53"/>
    </row>
    <row r="192" spans="1:15" ht="20.100000000000001" hidden="1" customHeight="1" x14ac:dyDescent="0.25">
      <c r="A192" s="55"/>
      <c r="B192" s="51">
        <v>46204</v>
      </c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>
        <f t="shared" si="20"/>
        <v>0</v>
      </c>
      <c r="O192" s="53"/>
    </row>
    <row r="193" spans="1:15" ht="20.100000000000001" hidden="1" customHeight="1" x14ac:dyDescent="0.25">
      <c r="A193" s="55"/>
      <c r="B193" s="51">
        <v>46235</v>
      </c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>
        <f t="shared" si="20"/>
        <v>0</v>
      </c>
      <c r="O193" s="53"/>
    </row>
    <row r="194" spans="1:15" ht="20.100000000000001" hidden="1" customHeight="1" x14ac:dyDescent="0.25">
      <c r="A194" s="55"/>
      <c r="B194" s="51">
        <v>46266</v>
      </c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>
        <f t="shared" si="20"/>
        <v>0</v>
      </c>
      <c r="O194" s="53"/>
    </row>
    <row r="195" spans="1:15" ht="20.100000000000001" hidden="1" customHeight="1" x14ac:dyDescent="0.25">
      <c r="A195" s="55"/>
      <c r="B195" s="51">
        <v>46296</v>
      </c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>
        <f t="shared" si="20"/>
        <v>0</v>
      </c>
      <c r="O195" s="53"/>
    </row>
    <row r="196" spans="1:15" ht="20.100000000000001" hidden="1" customHeight="1" x14ac:dyDescent="0.25">
      <c r="A196" s="55"/>
      <c r="B196" s="51">
        <v>46327</v>
      </c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>
        <f t="shared" si="20"/>
        <v>0</v>
      </c>
      <c r="O196" s="53"/>
    </row>
    <row r="197" spans="1:15" ht="20.100000000000001" hidden="1" customHeight="1" x14ac:dyDescent="0.25">
      <c r="A197" s="55"/>
      <c r="B197" s="51">
        <v>46357</v>
      </c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>
        <f t="shared" si="20"/>
        <v>0</v>
      </c>
      <c r="O197" s="53"/>
    </row>
    <row r="198" spans="1:15" ht="20.100000000000001" hidden="1" customHeight="1" x14ac:dyDescent="0.25">
      <c r="A198" s="55"/>
      <c r="B198" s="105" t="s">
        <v>250</v>
      </c>
      <c r="C198" s="54">
        <f>SUM(C186:C197)</f>
        <v>0</v>
      </c>
      <c r="D198" s="54">
        <f t="shared" ref="D198:M198" si="21">SUM(D186:D197)</f>
        <v>0</v>
      </c>
      <c r="E198" s="54">
        <f t="shared" si="21"/>
        <v>0</v>
      </c>
      <c r="F198" s="54">
        <f t="shared" si="21"/>
        <v>0</v>
      </c>
      <c r="G198" s="54">
        <f t="shared" si="21"/>
        <v>0</v>
      </c>
      <c r="H198" s="54">
        <f t="shared" si="21"/>
        <v>0</v>
      </c>
      <c r="I198" s="54">
        <f t="shared" si="21"/>
        <v>0</v>
      </c>
      <c r="J198" s="54">
        <f t="shared" si="21"/>
        <v>0</v>
      </c>
      <c r="K198" s="54">
        <f t="shared" si="21"/>
        <v>0</v>
      </c>
      <c r="L198" s="54">
        <f t="shared" si="21"/>
        <v>0</v>
      </c>
      <c r="M198" s="54">
        <f t="shared" si="21"/>
        <v>0</v>
      </c>
      <c r="N198" s="54">
        <f>SUM(N186:N197)</f>
        <v>0</v>
      </c>
      <c r="O198" s="53"/>
    </row>
    <row r="199" spans="1:15" ht="20.100000000000001" hidden="1" customHeight="1" x14ac:dyDescent="0.25">
      <c r="A199" s="55"/>
      <c r="B199" s="51">
        <v>46023</v>
      </c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>
        <f>SUM(C199:M199)</f>
        <v>0</v>
      </c>
      <c r="O199" s="53"/>
    </row>
    <row r="200" spans="1:15" ht="20.100000000000001" hidden="1" customHeight="1" x14ac:dyDescent="0.25">
      <c r="A200" s="55"/>
      <c r="B200" s="51">
        <v>46054</v>
      </c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>
        <f t="shared" ref="N200:N210" si="22">SUM(C200:M200)</f>
        <v>0</v>
      </c>
      <c r="O200" s="53"/>
    </row>
    <row r="201" spans="1:15" ht="20.100000000000001" hidden="1" customHeight="1" x14ac:dyDescent="0.25">
      <c r="A201" s="55"/>
      <c r="B201" s="51">
        <v>46082</v>
      </c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>
        <f t="shared" si="22"/>
        <v>0</v>
      </c>
      <c r="O201" s="53"/>
    </row>
    <row r="202" spans="1:15" ht="20.100000000000001" hidden="1" customHeight="1" x14ac:dyDescent="0.25">
      <c r="A202" s="55"/>
      <c r="B202" s="51">
        <v>46113</v>
      </c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>
        <f t="shared" si="22"/>
        <v>0</v>
      </c>
      <c r="O202" s="53"/>
    </row>
    <row r="203" spans="1:15" ht="20.100000000000001" hidden="1" customHeight="1" x14ac:dyDescent="0.25">
      <c r="A203" s="55"/>
      <c r="B203" s="51">
        <v>46143</v>
      </c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>
        <f t="shared" si="22"/>
        <v>0</v>
      </c>
      <c r="O203" s="53"/>
    </row>
    <row r="204" spans="1:15" ht="20.100000000000001" hidden="1" customHeight="1" x14ac:dyDescent="0.25">
      <c r="A204" s="55"/>
      <c r="B204" s="51">
        <v>46174</v>
      </c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>
        <f t="shared" si="22"/>
        <v>0</v>
      </c>
      <c r="O204" s="53"/>
    </row>
    <row r="205" spans="1:15" ht="20.100000000000001" hidden="1" customHeight="1" x14ac:dyDescent="0.25">
      <c r="A205" s="55"/>
      <c r="B205" s="51">
        <v>46204</v>
      </c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>
        <f t="shared" si="22"/>
        <v>0</v>
      </c>
      <c r="O205" s="53"/>
    </row>
    <row r="206" spans="1:15" ht="20.100000000000001" hidden="1" customHeight="1" x14ac:dyDescent="0.25">
      <c r="A206" s="55"/>
      <c r="B206" s="51">
        <v>46235</v>
      </c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>
        <f t="shared" si="22"/>
        <v>0</v>
      </c>
      <c r="O206" s="53"/>
    </row>
    <row r="207" spans="1:15" ht="20.100000000000001" hidden="1" customHeight="1" x14ac:dyDescent="0.25">
      <c r="A207" s="55"/>
      <c r="B207" s="51">
        <v>46266</v>
      </c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>
        <f t="shared" si="22"/>
        <v>0</v>
      </c>
      <c r="O207" s="53"/>
    </row>
    <row r="208" spans="1:15" ht="20.100000000000001" hidden="1" customHeight="1" x14ac:dyDescent="0.25">
      <c r="A208" s="55"/>
      <c r="B208" s="51">
        <v>46296</v>
      </c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>
        <f t="shared" si="22"/>
        <v>0</v>
      </c>
      <c r="O208" s="53"/>
    </row>
    <row r="209" spans="1:15" ht="20.100000000000001" hidden="1" customHeight="1" x14ac:dyDescent="0.25">
      <c r="A209" s="55"/>
      <c r="B209" s="51">
        <v>46327</v>
      </c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>
        <f t="shared" si="22"/>
        <v>0</v>
      </c>
      <c r="O209" s="53"/>
    </row>
    <row r="210" spans="1:15" ht="20.100000000000001" hidden="1" customHeight="1" x14ac:dyDescent="0.25">
      <c r="A210" s="55"/>
      <c r="B210" s="51">
        <v>46357</v>
      </c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>
        <f t="shared" si="22"/>
        <v>0</v>
      </c>
      <c r="O210" s="53"/>
    </row>
    <row r="211" spans="1:15" ht="20.100000000000001" hidden="1" customHeight="1" x14ac:dyDescent="0.25">
      <c r="A211" s="55"/>
      <c r="B211" s="105" t="s">
        <v>250</v>
      </c>
      <c r="C211" s="54">
        <f>SUM(C199:C210)</f>
        <v>0</v>
      </c>
      <c r="D211" s="54">
        <f t="shared" ref="D211:M211" si="23">SUM(D199:D210)</f>
        <v>0</v>
      </c>
      <c r="E211" s="54">
        <f t="shared" si="23"/>
        <v>0</v>
      </c>
      <c r="F211" s="54">
        <f t="shared" si="23"/>
        <v>0</v>
      </c>
      <c r="G211" s="54">
        <f t="shared" si="23"/>
        <v>0</v>
      </c>
      <c r="H211" s="54">
        <f t="shared" si="23"/>
        <v>0</v>
      </c>
      <c r="I211" s="54">
        <f t="shared" si="23"/>
        <v>0</v>
      </c>
      <c r="J211" s="54">
        <f t="shared" si="23"/>
        <v>0</v>
      </c>
      <c r="K211" s="54">
        <f t="shared" si="23"/>
        <v>0</v>
      </c>
      <c r="L211" s="54">
        <f t="shared" si="23"/>
        <v>0</v>
      </c>
      <c r="M211" s="54">
        <f t="shared" si="23"/>
        <v>0</v>
      </c>
      <c r="N211" s="54">
        <f>SUM(N199:N210)</f>
        <v>0</v>
      </c>
      <c r="O211" s="53"/>
    </row>
    <row r="212" spans="1:15" ht="20.100000000000001" hidden="1" customHeight="1" x14ac:dyDescent="0.25">
      <c r="A212" s="55"/>
      <c r="B212" s="51">
        <v>46023</v>
      </c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>
        <f>SUM(C212:M212)</f>
        <v>0</v>
      </c>
      <c r="O212" s="53"/>
    </row>
    <row r="213" spans="1:15" ht="20.100000000000001" hidden="1" customHeight="1" x14ac:dyDescent="0.25">
      <c r="A213" s="55"/>
      <c r="B213" s="51">
        <v>46054</v>
      </c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>
        <f t="shared" ref="N213:N223" si="24">SUM(C213:M213)</f>
        <v>0</v>
      </c>
      <c r="O213" s="53"/>
    </row>
    <row r="214" spans="1:15" ht="20.100000000000001" hidden="1" customHeight="1" x14ac:dyDescent="0.25">
      <c r="A214" s="55"/>
      <c r="B214" s="51">
        <v>46082</v>
      </c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>
        <f t="shared" si="24"/>
        <v>0</v>
      </c>
      <c r="O214" s="53"/>
    </row>
    <row r="215" spans="1:15" ht="20.100000000000001" hidden="1" customHeight="1" x14ac:dyDescent="0.25">
      <c r="A215" s="55"/>
      <c r="B215" s="51">
        <v>46113</v>
      </c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>
        <f t="shared" si="24"/>
        <v>0</v>
      </c>
      <c r="O215" s="53"/>
    </row>
    <row r="216" spans="1:15" ht="20.100000000000001" hidden="1" customHeight="1" x14ac:dyDescent="0.25">
      <c r="A216" s="55"/>
      <c r="B216" s="51">
        <v>46143</v>
      </c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>
        <f t="shared" si="24"/>
        <v>0</v>
      </c>
      <c r="O216" s="53"/>
    </row>
    <row r="217" spans="1:15" ht="20.100000000000001" hidden="1" customHeight="1" x14ac:dyDescent="0.25">
      <c r="A217" s="55"/>
      <c r="B217" s="51">
        <v>46174</v>
      </c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>
        <f t="shared" si="24"/>
        <v>0</v>
      </c>
      <c r="O217" s="53"/>
    </row>
    <row r="218" spans="1:15" ht="20.100000000000001" hidden="1" customHeight="1" x14ac:dyDescent="0.25">
      <c r="A218" s="55"/>
      <c r="B218" s="51">
        <v>46204</v>
      </c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>
        <f t="shared" si="24"/>
        <v>0</v>
      </c>
      <c r="O218" s="53"/>
    </row>
    <row r="219" spans="1:15" ht="20.100000000000001" hidden="1" customHeight="1" x14ac:dyDescent="0.25">
      <c r="A219" s="55"/>
      <c r="B219" s="51">
        <v>46235</v>
      </c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>
        <f t="shared" si="24"/>
        <v>0</v>
      </c>
      <c r="O219" s="53"/>
    </row>
    <row r="220" spans="1:15" ht="20.100000000000001" hidden="1" customHeight="1" x14ac:dyDescent="0.25">
      <c r="A220" s="55"/>
      <c r="B220" s="51">
        <v>46266</v>
      </c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>
        <f t="shared" si="24"/>
        <v>0</v>
      </c>
      <c r="O220" s="53"/>
    </row>
    <row r="221" spans="1:15" ht="20.100000000000001" hidden="1" customHeight="1" x14ac:dyDescent="0.25">
      <c r="A221" s="55"/>
      <c r="B221" s="51">
        <v>46296</v>
      </c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>
        <f t="shared" si="24"/>
        <v>0</v>
      </c>
      <c r="O221" s="53"/>
    </row>
    <row r="222" spans="1:15" ht="20.100000000000001" hidden="1" customHeight="1" x14ac:dyDescent="0.25">
      <c r="A222" s="55"/>
      <c r="B222" s="51">
        <v>46327</v>
      </c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>
        <f t="shared" si="24"/>
        <v>0</v>
      </c>
      <c r="O222" s="53"/>
    </row>
    <row r="223" spans="1:15" ht="20.100000000000001" hidden="1" customHeight="1" x14ac:dyDescent="0.25">
      <c r="A223" s="55"/>
      <c r="B223" s="51">
        <v>46357</v>
      </c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>
        <f t="shared" si="24"/>
        <v>0</v>
      </c>
      <c r="O223" s="53"/>
    </row>
    <row r="224" spans="1:15" ht="20.100000000000001" hidden="1" customHeight="1" x14ac:dyDescent="0.25">
      <c r="A224" s="55"/>
      <c r="B224" s="105" t="s">
        <v>250</v>
      </c>
      <c r="C224" s="54">
        <f>SUM(C212:C223)</f>
        <v>0</v>
      </c>
      <c r="D224" s="54">
        <f t="shared" ref="D224:M224" si="25">SUM(D212:D223)</f>
        <v>0</v>
      </c>
      <c r="E224" s="54">
        <f t="shared" si="25"/>
        <v>0</v>
      </c>
      <c r="F224" s="54">
        <f t="shared" si="25"/>
        <v>0</v>
      </c>
      <c r="G224" s="54">
        <f t="shared" si="25"/>
        <v>0</v>
      </c>
      <c r="H224" s="54">
        <f t="shared" si="25"/>
        <v>0</v>
      </c>
      <c r="I224" s="54">
        <f t="shared" si="25"/>
        <v>0</v>
      </c>
      <c r="J224" s="54">
        <f t="shared" si="25"/>
        <v>0</v>
      </c>
      <c r="K224" s="54">
        <f t="shared" si="25"/>
        <v>0</v>
      </c>
      <c r="L224" s="54">
        <f t="shared" si="25"/>
        <v>0</v>
      </c>
      <c r="M224" s="54">
        <f t="shared" si="25"/>
        <v>0</v>
      </c>
      <c r="N224" s="54">
        <f>SUM(N212:N223)</f>
        <v>0</v>
      </c>
      <c r="O224" s="53"/>
    </row>
    <row r="225" spans="1:15" ht="20.100000000000001" hidden="1" customHeight="1" x14ac:dyDescent="0.25">
      <c r="A225" s="55"/>
      <c r="B225" s="51">
        <v>46023</v>
      </c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>
        <f>SUM(C225:M225)</f>
        <v>0</v>
      </c>
      <c r="O225" s="53"/>
    </row>
    <row r="226" spans="1:15" ht="20.100000000000001" hidden="1" customHeight="1" x14ac:dyDescent="0.25">
      <c r="A226" s="55"/>
      <c r="B226" s="51">
        <v>46054</v>
      </c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>
        <f t="shared" ref="N226:N236" si="26">SUM(C226:M226)</f>
        <v>0</v>
      </c>
      <c r="O226" s="53"/>
    </row>
    <row r="227" spans="1:15" ht="20.100000000000001" hidden="1" customHeight="1" x14ac:dyDescent="0.25">
      <c r="A227" s="55"/>
      <c r="B227" s="51">
        <v>46082</v>
      </c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>
        <f t="shared" si="26"/>
        <v>0</v>
      </c>
      <c r="O227" s="53"/>
    </row>
    <row r="228" spans="1:15" ht="20.100000000000001" hidden="1" customHeight="1" x14ac:dyDescent="0.25">
      <c r="A228" s="55"/>
      <c r="B228" s="51">
        <v>46113</v>
      </c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>
        <f t="shared" si="26"/>
        <v>0</v>
      </c>
      <c r="O228" s="53"/>
    </row>
    <row r="229" spans="1:15" ht="20.100000000000001" hidden="1" customHeight="1" x14ac:dyDescent="0.25">
      <c r="A229" s="55"/>
      <c r="B229" s="51">
        <v>46143</v>
      </c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>
        <f t="shared" si="26"/>
        <v>0</v>
      </c>
      <c r="O229" s="53"/>
    </row>
    <row r="230" spans="1:15" ht="20.100000000000001" hidden="1" customHeight="1" x14ac:dyDescent="0.25">
      <c r="A230" s="55"/>
      <c r="B230" s="51">
        <v>46174</v>
      </c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>
        <f t="shared" si="26"/>
        <v>0</v>
      </c>
      <c r="O230" s="53"/>
    </row>
    <row r="231" spans="1:15" ht="20.100000000000001" hidden="1" customHeight="1" x14ac:dyDescent="0.25">
      <c r="A231" s="55"/>
      <c r="B231" s="51">
        <v>46204</v>
      </c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>
        <f t="shared" si="26"/>
        <v>0</v>
      </c>
      <c r="O231" s="53"/>
    </row>
    <row r="232" spans="1:15" ht="20.100000000000001" hidden="1" customHeight="1" x14ac:dyDescent="0.25">
      <c r="A232" s="55"/>
      <c r="B232" s="51">
        <v>46235</v>
      </c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>
        <f t="shared" si="26"/>
        <v>0</v>
      </c>
      <c r="O232" s="53"/>
    </row>
    <row r="233" spans="1:15" ht="20.100000000000001" hidden="1" customHeight="1" x14ac:dyDescent="0.25">
      <c r="A233" s="55"/>
      <c r="B233" s="51">
        <v>46266</v>
      </c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>
        <f t="shared" si="26"/>
        <v>0</v>
      </c>
      <c r="O233" s="53"/>
    </row>
    <row r="234" spans="1:15" ht="19.5" hidden="1" customHeight="1" x14ac:dyDescent="0.25">
      <c r="A234" s="55"/>
      <c r="B234" s="51">
        <v>46296</v>
      </c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>
        <f t="shared" si="26"/>
        <v>0</v>
      </c>
      <c r="O234" s="53"/>
    </row>
    <row r="235" spans="1:15" ht="20.100000000000001" hidden="1" customHeight="1" x14ac:dyDescent="0.25">
      <c r="A235" s="55"/>
      <c r="B235" s="51">
        <v>46327</v>
      </c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>
        <f t="shared" si="26"/>
        <v>0</v>
      </c>
      <c r="O235" s="53"/>
    </row>
    <row r="236" spans="1:15" ht="20.100000000000001" hidden="1" customHeight="1" x14ac:dyDescent="0.25">
      <c r="A236" s="55"/>
      <c r="B236" s="51">
        <v>46357</v>
      </c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>
        <f t="shared" si="26"/>
        <v>0</v>
      </c>
      <c r="O236" s="53"/>
    </row>
    <row r="237" spans="1:15" ht="20.100000000000001" hidden="1" customHeight="1" x14ac:dyDescent="0.25">
      <c r="A237" s="55"/>
      <c r="B237" s="105" t="s">
        <v>250</v>
      </c>
      <c r="C237" s="54">
        <f t="shared" ref="C237:N237" si="27">SUM(C225:C236)</f>
        <v>0</v>
      </c>
      <c r="D237" s="54">
        <f t="shared" si="27"/>
        <v>0</v>
      </c>
      <c r="E237" s="54">
        <f t="shared" si="27"/>
        <v>0</v>
      </c>
      <c r="F237" s="54">
        <f t="shared" si="27"/>
        <v>0</v>
      </c>
      <c r="G237" s="54">
        <f t="shared" si="27"/>
        <v>0</v>
      </c>
      <c r="H237" s="54">
        <f t="shared" si="27"/>
        <v>0</v>
      </c>
      <c r="I237" s="54">
        <f t="shared" si="27"/>
        <v>0</v>
      </c>
      <c r="J237" s="54">
        <f t="shared" si="27"/>
        <v>0</v>
      </c>
      <c r="K237" s="54">
        <f t="shared" si="27"/>
        <v>0</v>
      </c>
      <c r="L237" s="54">
        <f t="shared" si="27"/>
        <v>0</v>
      </c>
      <c r="M237" s="54">
        <f t="shared" si="27"/>
        <v>0</v>
      </c>
      <c r="N237" s="54">
        <f t="shared" si="27"/>
        <v>0</v>
      </c>
      <c r="O237" s="53"/>
    </row>
    <row r="238" spans="1:15" ht="20.100000000000001" hidden="1" customHeight="1" x14ac:dyDescent="0.25">
      <c r="A238" s="55"/>
      <c r="B238" s="51">
        <v>46023</v>
      </c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>
        <f>SUM(C238:M238)</f>
        <v>0</v>
      </c>
      <c r="O238" s="53"/>
    </row>
    <row r="239" spans="1:15" ht="20.100000000000001" hidden="1" customHeight="1" x14ac:dyDescent="0.25">
      <c r="A239" s="55"/>
      <c r="B239" s="51">
        <v>46054</v>
      </c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>
        <f t="shared" ref="N239:N249" si="28">SUM(C239:M239)</f>
        <v>0</v>
      </c>
      <c r="O239" s="53"/>
    </row>
    <row r="240" spans="1:15" ht="20.100000000000001" hidden="1" customHeight="1" x14ac:dyDescent="0.25">
      <c r="A240" s="55"/>
      <c r="B240" s="51">
        <v>46082</v>
      </c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>
        <f t="shared" si="28"/>
        <v>0</v>
      </c>
      <c r="O240" s="53"/>
    </row>
    <row r="241" spans="1:15" ht="20.100000000000001" hidden="1" customHeight="1" x14ac:dyDescent="0.25">
      <c r="A241" s="55"/>
      <c r="B241" s="51">
        <v>46113</v>
      </c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>
        <f t="shared" si="28"/>
        <v>0</v>
      </c>
      <c r="O241" s="53"/>
    </row>
    <row r="242" spans="1:15" ht="20.100000000000001" hidden="1" customHeight="1" x14ac:dyDescent="0.25">
      <c r="A242" s="55"/>
      <c r="B242" s="51">
        <v>46143</v>
      </c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>
        <f t="shared" si="28"/>
        <v>0</v>
      </c>
      <c r="O242" s="53"/>
    </row>
    <row r="243" spans="1:15" ht="20.100000000000001" hidden="1" customHeight="1" x14ac:dyDescent="0.25">
      <c r="A243" s="55"/>
      <c r="B243" s="51">
        <v>46174</v>
      </c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>
        <f t="shared" si="28"/>
        <v>0</v>
      </c>
      <c r="O243" s="53"/>
    </row>
    <row r="244" spans="1:15" ht="20.100000000000001" hidden="1" customHeight="1" x14ac:dyDescent="0.25">
      <c r="A244" s="55"/>
      <c r="B244" s="51">
        <v>46204</v>
      </c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>
        <f t="shared" si="28"/>
        <v>0</v>
      </c>
      <c r="O244" s="53"/>
    </row>
    <row r="245" spans="1:15" ht="20.100000000000001" hidden="1" customHeight="1" x14ac:dyDescent="0.25">
      <c r="A245" s="55"/>
      <c r="B245" s="51">
        <v>46235</v>
      </c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>
        <f t="shared" si="28"/>
        <v>0</v>
      </c>
      <c r="O245" s="53"/>
    </row>
    <row r="246" spans="1:15" ht="20.100000000000001" hidden="1" customHeight="1" x14ac:dyDescent="0.25">
      <c r="A246" s="55"/>
      <c r="B246" s="51">
        <v>46266</v>
      </c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>
        <f t="shared" si="28"/>
        <v>0</v>
      </c>
      <c r="O246" s="53"/>
    </row>
    <row r="247" spans="1:15" ht="20.100000000000001" hidden="1" customHeight="1" x14ac:dyDescent="0.25">
      <c r="A247" s="55"/>
      <c r="B247" s="51">
        <v>46296</v>
      </c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>
        <f t="shared" si="28"/>
        <v>0</v>
      </c>
      <c r="O247" s="53"/>
    </row>
    <row r="248" spans="1:15" ht="20.100000000000001" hidden="1" customHeight="1" x14ac:dyDescent="0.25">
      <c r="A248" s="55"/>
      <c r="B248" s="51">
        <v>46327</v>
      </c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>
        <f t="shared" si="28"/>
        <v>0</v>
      </c>
      <c r="O248" s="53"/>
    </row>
    <row r="249" spans="1:15" ht="20.100000000000001" hidden="1" customHeight="1" x14ac:dyDescent="0.25">
      <c r="A249" s="55"/>
      <c r="B249" s="51">
        <v>46357</v>
      </c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>
        <f t="shared" si="28"/>
        <v>0</v>
      </c>
      <c r="O249" s="53"/>
    </row>
    <row r="250" spans="1:15" ht="20.100000000000001" hidden="1" customHeight="1" x14ac:dyDescent="0.25">
      <c r="A250" s="55"/>
      <c r="B250" s="105" t="s">
        <v>250</v>
      </c>
      <c r="C250" s="54">
        <f t="shared" ref="C250:N250" si="29">SUM(C238:C249)</f>
        <v>0</v>
      </c>
      <c r="D250" s="54">
        <f t="shared" si="29"/>
        <v>0</v>
      </c>
      <c r="E250" s="54">
        <f t="shared" si="29"/>
        <v>0</v>
      </c>
      <c r="F250" s="54">
        <f t="shared" si="29"/>
        <v>0</v>
      </c>
      <c r="G250" s="54">
        <f t="shared" si="29"/>
        <v>0</v>
      </c>
      <c r="H250" s="54">
        <f t="shared" si="29"/>
        <v>0</v>
      </c>
      <c r="I250" s="54">
        <f t="shared" si="29"/>
        <v>0</v>
      </c>
      <c r="J250" s="54">
        <f t="shared" si="29"/>
        <v>0</v>
      </c>
      <c r="K250" s="54">
        <f t="shared" si="29"/>
        <v>0</v>
      </c>
      <c r="L250" s="54">
        <f t="shared" si="29"/>
        <v>0</v>
      </c>
      <c r="M250" s="54">
        <f t="shared" si="29"/>
        <v>0</v>
      </c>
      <c r="N250" s="54">
        <f t="shared" si="29"/>
        <v>0</v>
      </c>
      <c r="O250" s="53"/>
    </row>
    <row r="251" spans="1:15" ht="20.100000000000001" hidden="1" customHeight="1" x14ac:dyDescent="0.25">
      <c r="A251" s="55"/>
      <c r="B251" s="51">
        <v>46023</v>
      </c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>
        <f t="shared" ref="N251:N262" si="30">SUM(C251:M251)</f>
        <v>0</v>
      </c>
      <c r="O251" s="53"/>
    </row>
    <row r="252" spans="1:15" ht="20.100000000000001" hidden="1" customHeight="1" x14ac:dyDescent="0.25">
      <c r="A252" s="55"/>
      <c r="B252" s="51">
        <v>46054</v>
      </c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>
        <f t="shared" si="30"/>
        <v>0</v>
      </c>
      <c r="O252" s="53"/>
    </row>
    <row r="253" spans="1:15" ht="20.100000000000001" hidden="1" customHeight="1" x14ac:dyDescent="0.25">
      <c r="A253" s="55"/>
      <c r="B253" s="51">
        <v>46082</v>
      </c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>
        <f t="shared" si="30"/>
        <v>0</v>
      </c>
      <c r="O253" s="53"/>
    </row>
    <row r="254" spans="1:15" ht="20.100000000000001" hidden="1" customHeight="1" x14ac:dyDescent="0.25">
      <c r="A254" s="55"/>
      <c r="B254" s="51">
        <v>46113</v>
      </c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>
        <f t="shared" si="30"/>
        <v>0</v>
      </c>
      <c r="O254" s="53"/>
    </row>
    <row r="255" spans="1:15" ht="20.100000000000001" hidden="1" customHeight="1" x14ac:dyDescent="0.25">
      <c r="A255" s="55"/>
      <c r="B255" s="51">
        <v>46143</v>
      </c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>
        <f t="shared" si="30"/>
        <v>0</v>
      </c>
      <c r="O255" s="53"/>
    </row>
    <row r="256" spans="1:15" ht="20.100000000000001" hidden="1" customHeight="1" x14ac:dyDescent="0.25">
      <c r="A256" s="55"/>
      <c r="B256" s="51">
        <v>46174</v>
      </c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>
        <f t="shared" si="30"/>
        <v>0</v>
      </c>
      <c r="O256" s="53"/>
    </row>
    <row r="257" spans="1:15" ht="20.100000000000001" hidden="1" customHeight="1" x14ac:dyDescent="0.25">
      <c r="A257" s="55"/>
      <c r="B257" s="51">
        <v>46204</v>
      </c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>
        <f t="shared" si="30"/>
        <v>0</v>
      </c>
      <c r="O257" s="53"/>
    </row>
    <row r="258" spans="1:15" ht="20.100000000000001" hidden="1" customHeight="1" x14ac:dyDescent="0.25">
      <c r="A258" s="55"/>
      <c r="B258" s="51">
        <v>46235</v>
      </c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>
        <f t="shared" si="30"/>
        <v>0</v>
      </c>
      <c r="O258" s="53"/>
    </row>
    <row r="259" spans="1:15" ht="20.100000000000001" hidden="1" customHeight="1" x14ac:dyDescent="0.25">
      <c r="A259" s="55"/>
      <c r="B259" s="51">
        <v>46266</v>
      </c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>
        <f t="shared" si="30"/>
        <v>0</v>
      </c>
      <c r="O259" s="53"/>
    </row>
    <row r="260" spans="1:15" ht="20.100000000000001" hidden="1" customHeight="1" x14ac:dyDescent="0.25">
      <c r="A260" s="55"/>
      <c r="B260" s="51">
        <v>46296</v>
      </c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>
        <f t="shared" si="30"/>
        <v>0</v>
      </c>
      <c r="O260" s="53"/>
    </row>
    <row r="261" spans="1:15" ht="20.100000000000001" hidden="1" customHeight="1" x14ac:dyDescent="0.25">
      <c r="A261" s="55"/>
      <c r="B261" s="51">
        <v>46327</v>
      </c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>
        <f t="shared" si="30"/>
        <v>0</v>
      </c>
      <c r="O261" s="53"/>
    </row>
    <row r="262" spans="1:15" ht="20.100000000000001" hidden="1" customHeight="1" x14ac:dyDescent="0.25">
      <c r="A262" s="55"/>
      <c r="B262" s="51">
        <v>46357</v>
      </c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>
        <f t="shared" si="30"/>
        <v>0</v>
      </c>
      <c r="O262" s="53"/>
    </row>
    <row r="263" spans="1:15" ht="21.75" hidden="1" customHeight="1" x14ac:dyDescent="0.25">
      <c r="A263" s="55"/>
      <c r="B263" s="105" t="s">
        <v>250</v>
      </c>
      <c r="C263" s="54">
        <f t="shared" ref="C263:N263" si="31">SUM(C251:C262)</f>
        <v>0</v>
      </c>
      <c r="D263" s="54">
        <f t="shared" si="31"/>
        <v>0</v>
      </c>
      <c r="E263" s="54">
        <f t="shared" si="31"/>
        <v>0</v>
      </c>
      <c r="F263" s="54">
        <f t="shared" si="31"/>
        <v>0</v>
      </c>
      <c r="G263" s="54">
        <f t="shared" si="31"/>
        <v>0</v>
      </c>
      <c r="H263" s="54">
        <f t="shared" si="31"/>
        <v>0</v>
      </c>
      <c r="I263" s="54">
        <f t="shared" si="31"/>
        <v>0</v>
      </c>
      <c r="J263" s="54">
        <f t="shared" si="31"/>
        <v>0</v>
      </c>
      <c r="K263" s="54">
        <f t="shared" si="31"/>
        <v>0</v>
      </c>
      <c r="L263" s="54">
        <f t="shared" si="31"/>
        <v>0</v>
      </c>
      <c r="M263" s="54">
        <f t="shared" si="31"/>
        <v>0</v>
      </c>
      <c r="N263" s="54">
        <f t="shared" si="31"/>
        <v>0</v>
      </c>
      <c r="O263" s="53"/>
    </row>
    <row r="264" spans="1:15" ht="20.100000000000001" customHeight="1" x14ac:dyDescent="0.25">
      <c r="A264" s="50"/>
      <c r="B264" s="105" t="s">
        <v>54</v>
      </c>
      <c r="C264" s="56">
        <f t="shared" ref="C264:H264" si="32">SUM(C16,C29,C42,C55,C68,C81,C94,C107,C120,C133,C146,C159,C172,C185,C198,C263,C211,C237,C224)</f>
        <v>0</v>
      </c>
      <c r="D264" s="56">
        <f t="shared" si="32"/>
        <v>0</v>
      </c>
      <c r="E264" s="56">
        <f t="shared" si="32"/>
        <v>0</v>
      </c>
      <c r="F264" s="56">
        <f t="shared" si="32"/>
        <v>0</v>
      </c>
      <c r="G264" s="56">
        <f t="shared" si="32"/>
        <v>0</v>
      </c>
      <c r="H264" s="56">
        <f t="shared" si="32"/>
        <v>0</v>
      </c>
      <c r="I264" s="56">
        <f>SUM(I16,I29,I42,I55,I68,I81,I94,I107,I120,I133,I146,I159,I172,I185,I198,I263,I211,I237,I224,I250)</f>
        <v>1535</v>
      </c>
      <c r="J264" s="56">
        <f>SUM(J16,J29,J42,J55,J68,J81,J94,J107,J120,J133,J146,J159,J172,J185,J198,J263,J211,J237,J224)</f>
        <v>0</v>
      </c>
      <c r="K264" s="56">
        <f>SUM(K16,K29,K42,K55,K68,K81,K94,K107,K120,K133,K146,K159,K172,K185,K198,K263,K211,K237,K224)</f>
        <v>0</v>
      </c>
      <c r="L264" s="56">
        <f>SUM(L16,L29,L42,L55,L68,L81,L94,L107,L120,L133,L146,L159,L172,L185,L198,L263,L211,L237,L224)</f>
        <v>0</v>
      </c>
      <c r="M264" s="56">
        <f>SUM(M16,M29,M42,M55,M68,M81,M94,M107,M120,M133,M146,M159,M172,M185,M198,M263,M211,M237,M224)</f>
        <v>0</v>
      </c>
      <c r="N264" s="56">
        <f>SUM(N16,N29,N42,N55,N68,N81,N94,N107,N120,N133,N146,N159,N172,N185,N198,N263,N211,N237,N224,N250)</f>
        <v>1535</v>
      </c>
      <c r="O264" s="53"/>
    </row>
    <row r="265" spans="1:15" ht="20.100000000000001" customHeight="1" x14ac:dyDescent="0.25"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</row>
    <row r="266" spans="1:15" ht="20.100000000000001" customHeight="1" x14ac:dyDescent="0.25"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</row>
    <row r="267" spans="1:15" ht="20.100000000000001" customHeight="1" x14ac:dyDescent="0.25"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</row>
    <row r="268" spans="1:15" ht="20.100000000000001" customHeight="1" x14ac:dyDescent="0.25"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</row>
    <row r="269" spans="1:15" ht="20.100000000000001" customHeight="1" x14ac:dyDescent="0.25"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</row>
    <row r="270" spans="1:15" ht="20.100000000000001" customHeight="1" x14ac:dyDescent="0.25"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</row>
    <row r="271" spans="1:15" ht="20.100000000000001" customHeight="1" x14ac:dyDescent="0.25"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</row>
    <row r="272" spans="1:15" ht="20.100000000000001" customHeight="1" x14ac:dyDescent="0.25"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</row>
    <row r="273" spans="3:15" ht="20.100000000000001" customHeight="1" x14ac:dyDescent="0.25"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</row>
    <row r="274" spans="3:15" ht="20.100000000000001" customHeight="1" x14ac:dyDescent="0.25"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</row>
    <row r="275" spans="3:15" ht="20.100000000000001" customHeight="1" x14ac:dyDescent="0.25"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</row>
    <row r="276" spans="3:15" ht="20.100000000000001" customHeight="1" x14ac:dyDescent="0.25"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</row>
    <row r="277" spans="3:15" ht="20.100000000000001" customHeight="1" x14ac:dyDescent="0.25"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</row>
    <row r="278" spans="3:15" ht="20.100000000000001" customHeight="1" x14ac:dyDescent="0.25"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</row>
    <row r="279" spans="3:15" ht="20.100000000000001" customHeight="1" x14ac:dyDescent="0.25"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</row>
    <row r="280" spans="3:15" ht="20.100000000000001" customHeight="1" x14ac:dyDescent="0.25"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</row>
    <row r="281" spans="3:15" ht="20.100000000000001" customHeight="1" x14ac:dyDescent="0.25"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</row>
    <row r="282" spans="3:15" ht="20.100000000000001" customHeight="1" x14ac:dyDescent="0.25"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</row>
    <row r="283" spans="3:15" ht="20.100000000000001" customHeight="1" x14ac:dyDescent="0.25"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</row>
    <row r="284" spans="3:15" ht="20.100000000000001" customHeight="1" x14ac:dyDescent="0.25"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</row>
    <row r="285" spans="3:15" ht="20.100000000000001" customHeight="1" x14ac:dyDescent="0.25"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</row>
    <row r="286" spans="3:15" ht="20.100000000000001" customHeight="1" x14ac:dyDescent="0.25"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</row>
    <row r="287" spans="3:15" ht="20.100000000000001" customHeight="1" x14ac:dyDescent="0.25"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</row>
    <row r="288" spans="3:15" ht="20.100000000000001" customHeight="1" x14ac:dyDescent="0.25"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</row>
    <row r="289" spans="3:15" ht="20.100000000000001" customHeight="1" x14ac:dyDescent="0.25"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</row>
    <row r="290" spans="3:15" ht="20.100000000000001" customHeight="1" x14ac:dyDescent="0.25"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</row>
    <row r="291" spans="3:15" ht="20.100000000000001" customHeight="1" x14ac:dyDescent="0.25"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</row>
    <row r="292" spans="3:15" ht="20.100000000000001" customHeight="1" x14ac:dyDescent="0.25"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</row>
    <row r="293" spans="3:15" ht="20.100000000000001" customHeight="1" x14ac:dyDescent="0.25"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</row>
    <row r="294" spans="3:15" ht="20.100000000000001" customHeight="1" x14ac:dyDescent="0.25"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</row>
    <row r="295" spans="3:15" ht="20.100000000000001" customHeight="1" x14ac:dyDescent="0.25"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</row>
    <row r="296" spans="3:15" ht="20.100000000000001" customHeight="1" x14ac:dyDescent="0.25"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</row>
    <row r="297" spans="3:15" ht="20.100000000000001" customHeight="1" x14ac:dyDescent="0.25"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</row>
    <row r="298" spans="3:15" ht="20.100000000000001" customHeight="1" x14ac:dyDescent="0.25"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</row>
    <row r="299" spans="3:15" ht="20.100000000000001" customHeight="1" x14ac:dyDescent="0.25"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</row>
    <row r="300" spans="3:15" ht="20.100000000000001" customHeight="1" x14ac:dyDescent="0.25"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</row>
    <row r="301" spans="3:15" ht="20.100000000000001" customHeight="1" x14ac:dyDescent="0.25"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</row>
    <row r="302" spans="3:15" ht="20.100000000000001" customHeight="1" x14ac:dyDescent="0.25"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</row>
    <row r="303" spans="3:15" ht="20.100000000000001" customHeight="1" x14ac:dyDescent="0.25"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</row>
    <row r="304" spans="3:15" ht="20.100000000000001" customHeight="1" x14ac:dyDescent="0.25"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</row>
    <row r="305" spans="3:15" ht="20.100000000000001" customHeight="1" x14ac:dyDescent="0.25"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</row>
    <row r="306" spans="3:15" ht="20.100000000000001" customHeight="1" x14ac:dyDescent="0.25"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</row>
    <row r="307" spans="3:15" ht="20.100000000000001" customHeight="1" x14ac:dyDescent="0.25"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</row>
    <row r="308" spans="3:15" ht="20.100000000000001" customHeight="1" x14ac:dyDescent="0.25"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</row>
    <row r="309" spans="3:15" ht="20.100000000000001" customHeight="1" x14ac:dyDescent="0.25"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</row>
    <row r="310" spans="3:15" ht="20.100000000000001" customHeight="1" x14ac:dyDescent="0.25"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</row>
    <row r="311" spans="3:15" ht="20.100000000000001" customHeight="1" x14ac:dyDescent="0.25"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</row>
    <row r="312" spans="3:15" ht="20.100000000000001" customHeight="1" x14ac:dyDescent="0.25"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</row>
    <row r="313" spans="3:15" ht="20.100000000000001" customHeight="1" x14ac:dyDescent="0.25"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</row>
    <row r="314" spans="3:15" ht="20.100000000000001" customHeight="1" x14ac:dyDescent="0.25"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</row>
    <row r="315" spans="3:15" ht="20.100000000000001" customHeight="1" x14ac:dyDescent="0.25"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</row>
    <row r="316" spans="3:15" ht="20.100000000000001" customHeight="1" x14ac:dyDescent="0.25"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</row>
    <row r="317" spans="3:15" ht="20.100000000000001" customHeight="1" x14ac:dyDescent="0.25"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</row>
    <row r="318" spans="3:15" ht="20.100000000000001" customHeight="1" x14ac:dyDescent="0.25"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</row>
    <row r="319" spans="3:15" ht="20.100000000000001" customHeight="1" x14ac:dyDescent="0.25"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</row>
    <row r="320" spans="3:15" ht="20.100000000000001" customHeight="1" x14ac:dyDescent="0.25"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</row>
    <row r="321" spans="3:15" ht="20.100000000000001" customHeight="1" x14ac:dyDescent="0.25"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</row>
    <row r="322" spans="3:15" ht="20.100000000000001" customHeight="1" x14ac:dyDescent="0.25"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</row>
    <row r="323" spans="3:15" ht="20.100000000000001" customHeight="1" x14ac:dyDescent="0.25"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</row>
    <row r="324" spans="3:15" ht="20.100000000000001" customHeight="1" x14ac:dyDescent="0.25"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</row>
    <row r="325" spans="3:15" ht="20.100000000000001" customHeight="1" x14ac:dyDescent="0.25"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</row>
    <row r="326" spans="3:15" ht="20.100000000000001" customHeight="1" x14ac:dyDescent="0.25"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</row>
    <row r="327" spans="3:15" ht="20.100000000000001" customHeight="1" x14ac:dyDescent="0.25"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</row>
    <row r="328" spans="3:15" ht="20.100000000000001" customHeight="1" x14ac:dyDescent="0.25"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</row>
    <row r="329" spans="3:15" ht="20.100000000000001" customHeight="1" x14ac:dyDescent="0.25"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</row>
    <row r="330" spans="3:15" ht="20.100000000000001" customHeight="1" x14ac:dyDescent="0.25"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</row>
    <row r="331" spans="3:15" ht="20.100000000000001" customHeight="1" x14ac:dyDescent="0.25"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</row>
    <row r="332" spans="3:15" ht="20.100000000000001" customHeight="1" x14ac:dyDescent="0.25"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</row>
    <row r="333" spans="3:15" ht="20.100000000000001" customHeight="1" x14ac:dyDescent="0.25"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</row>
    <row r="334" spans="3:15" ht="20.100000000000001" customHeight="1" x14ac:dyDescent="0.25"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</row>
    <row r="335" spans="3:15" ht="20.100000000000001" customHeight="1" x14ac:dyDescent="0.25"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</row>
    <row r="336" spans="3:15" ht="20.100000000000001" customHeight="1" x14ac:dyDescent="0.25"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</row>
    <row r="337" spans="3:15" ht="20.100000000000001" customHeight="1" x14ac:dyDescent="0.25"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</row>
    <row r="338" spans="3:15" ht="20.100000000000001" customHeight="1" x14ac:dyDescent="0.25"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</row>
    <row r="339" spans="3:15" ht="20.100000000000001" customHeight="1" x14ac:dyDescent="0.25"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</row>
    <row r="340" spans="3:15" ht="20.100000000000001" customHeight="1" x14ac:dyDescent="0.25"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</row>
    <row r="341" spans="3:15" ht="20.100000000000001" customHeight="1" x14ac:dyDescent="0.25"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</row>
    <row r="342" spans="3:15" ht="20.100000000000001" customHeight="1" x14ac:dyDescent="0.25"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</row>
    <row r="343" spans="3:15" ht="20.100000000000001" customHeight="1" x14ac:dyDescent="0.25"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</row>
    <row r="344" spans="3:15" ht="20.100000000000001" customHeight="1" x14ac:dyDescent="0.25"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</row>
    <row r="345" spans="3:15" ht="20.100000000000001" customHeight="1" x14ac:dyDescent="0.25"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</row>
    <row r="346" spans="3:15" ht="20.100000000000001" customHeight="1" x14ac:dyDescent="0.25"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</row>
    <row r="347" spans="3:15" ht="20.100000000000001" customHeight="1" x14ac:dyDescent="0.25"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</row>
    <row r="348" spans="3:15" ht="20.100000000000001" customHeight="1" x14ac:dyDescent="0.25"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</row>
    <row r="349" spans="3:15" ht="20.100000000000001" customHeight="1" x14ac:dyDescent="0.25"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</row>
    <row r="350" spans="3:15" ht="20.100000000000001" customHeight="1" x14ac:dyDescent="0.25"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</row>
    <row r="351" spans="3:15" ht="20.100000000000001" customHeight="1" x14ac:dyDescent="0.25"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</row>
    <row r="352" spans="3:15" ht="20.100000000000001" customHeight="1" x14ac:dyDescent="0.25"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</row>
    <row r="353" spans="3:15" ht="20.100000000000001" customHeight="1" x14ac:dyDescent="0.25"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</row>
    <row r="354" spans="3:15" ht="20.100000000000001" customHeight="1" x14ac:dyDescent="0.25"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</row>
    <row r="355" spans="3:15" ht="20.100000000000001" customHeight="1" x14ac:dyDescent="0.25"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</row>
    <row r="356" spans="3:15" ht="20.100000000000001" customHeight="1" x14ac:dyDescent="0.25"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</row>
    <row r="357" spans="3:15" ht="20.100000000000001" customHeight="1" x14ac:dyDescent="0.25"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</row>
    <row r="358" spans="3:15" ht="20.100000000000001" customHeight="1" x14ac:dyDescent="0.25"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</row>
    <row r="359" spans="3:15" ht="20.100000000000001" customHeight="1" x14ac:dyDescent="0.25"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</row>
    <row r="360" spans="3:15" ht="20.100000000000001" customHeight="1" x14ac:dyDescent="0.25"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</row>
    <row r="361" spans="3:15" ht="20.100000000000001" customHeight="1" x14ac:dyDescent="0.25"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</row>
    <row r="362" spans="3:15" ht="20.100000000000001" customHeight="1" x14ac:dyDescent="0.25"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</row>
    <row r="363" spans="3:15" ht="20.100000000000001" customHeight="1" x14ac:dyDescent="0.25"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</row>
    <row r="364" spans="3:15" ht="20.100000000000001" customHeight="1" x14ac:dyDescent="0.25"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</row>
    <row r="365" spans="3:15" ht="20.100000000000001" customHeight="1" x14ac:dyDescent="0.25"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</row>
    <row r="366" spans="3:15" ht="20.100000000000001" customHeight="1" x14ac:dyDescent="0.25"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</row>
    <row r="367" spans="3:15" ht="20.100000000000001" customHeight="1" x14ac:dyDescent="0.25"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</row>
    <row r="368" spans="3:15" ht="20.100000000000001" customHeight="1" x14ac:dyDescent="0.25"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</row>
    <row r="369" spans="3:15" ht="20.100000000000001" customHeight="1" x14ac:dyDescent="0.25"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</row>
    <row r="370" spans="3:15" ht="20.100000000000001" customHeight="1" x14ac:dyDescent="0.25"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</row>
    <row r="371" spans="3:15" ht="20.100000000000001" customHeight="1" x14ac:dyDescent="0.25"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</row>
    <row r="372" spans="3:15" ht="20.100000000000001" customHeight="1" x14ac:dyDescent="0.25"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</row>
    <row r="373" spans="3:15" ht="20.100000000000001" customHeight="1" x14ac:dyDescent="0.25"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</row>
    <row r="374" spans="3:15" ht="20.100000000000001" customHeight="1" x14ac:dyDescent="0.25"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</row>
    <row r="375" spans="3:15" ht="20.100000000000001" customHeight="1" x14ac:dyDescent="0.25"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</row>
    <row r="376" spans="3:15" ht="20.100000000000001" customHeight="1" x14ac:dyDescent="0.25"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</row>
    <row r="377" spans="3:15" ht="20.100000000000001" customHeight="1" x14ac:dyDescent="0.25"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</row>
    <row r="378" spans="3:15" ht="20.100000000000001" customHeight="1" x14ac:dyDescent="0.25"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</row>
    <row r="379" spans="3:15" ht="20.100000000000001" customHeight="1" x14ac:dyDescent="0.25"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</row>
    <row r="380" spans="3:15" ht="20.100000000000001" customHeight="1" x14ac:dyDescent="0.25"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</row>
    <row r="381" spans="3:15" ht="20.100000000000001" customHeight="1" x14ac:dyDescent="0.25"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</row>
    <row r="382" spans="3:15" ht="20.100000000000001" customHeight="1" x14ac:dyDescent="0.25"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</row>
    <row r="383" spans="3:15" ht="20.100000000000001" customHeight="1" x14ac:dyDescent="0.25"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</row>
    <row r="384" spans="3:15" ht="20.100000000000001" customHeight="1" x14ac:dyDescent="0.25"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</row>
    <row r="385" spans="3:15" ht="20.100000000000001" customHeight="1" x14ac:dyDescent="0.25"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</row>
    <row r="386" spans="3:15" ht="20.100000000000001" customHeight="1" x14ac:dyDescent="0.25"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</row>
    <row r="387" spans="3:15" ht="20.100000000000001" customHeight="1" x14ac:dyDescent="0.25"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</row>
    <row r="388" spans="3:15" ht="20.100000000000001" customHeight="1" x14ac:dyDescent="0.25"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</row>
    <row r="389" spans="3:15" ht="20.100000000000001" customHeight="1" x14ac:dyDescent="0.25"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</row>
    <row r="390" spans="3:15" ht="20.100000000000001" customHeight="1" x14ac:dyDescent="0.25"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</row>
    <row r="391" spans="3:15" ht="20.100000000000001" customHeight="1" x14ac:dyDescent="0.25"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</row>
    <row r="392" spans="3:15" ht="20.100000000000001" customHeight="1" x14ac:dyDescent="0.25"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</row>
    <row r="393" spans="3:15" ht="20.100000000000001" customHeight="1" x14ac:dyDescent="0.25"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</row>
    <row r="394" spans="3:15" ht="20.100000000000001" customHeight="1" x14ac:dyDescent="0.25"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</row>
    <row r="395" spans="3:15" ht="20.100000000000001" customHeight="1" x14ac:dyDescent="0.25"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</row>
    <row r="396" spans="3:15" ht="20.100000000000001" customHeight="1" x14ac:dyDescent="0.25"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</row>
    <row r="397" spans="3:15" ht="20.100000000000001" customHeight="1" x14ac:dyDescent="0.25"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</row>
    <row r="398" spans="3:15" ht="20.100000000000001" customHeight="1" x14ac:dyDescent="0.25"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</row>
    <row r="399" spans="3:15" ht="20.100000000000001" customHeight="1" x14ac:dyDescent="0.25"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</row>
    <row r="400" spans="3:15" ht="20.100000000000001" customHeight="1" x14ac:dyDescent="0.25"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</row>
    <row r="401" spans="3:15" ht="20.100000000000001" customHeight="1" x14ac:dyDescent="0.25"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</row>
    <row r="402" spans="3:15" ht="20.100000000000001" customHeight="1" x14ac:dyDescent="0.25"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</row>
    <row r="403" spans="3:15" ht="20.100000000000001" customHeight="1" x14ac:dyDescent="0.25"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</row>
    <row r="404" spans="3:15" ht="20.100000000000001" customHeight="1" x14ac:dyDescent="0.25"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</row>
    <row r="405" spans="3:15" ht="20.100000000000001" customHeight="1" x14ac:dyDescent="0.25"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</row>
    <row r="406" spans="3:15" ht="20.100000000000001" customHeight="1" x14ac:dyDescent="0.25"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</row>
    <row r="407" spans="3:15" ht="20.100000000000001" customHeight="1" x14ac:dyDescent="0.25"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</row>
    <row r="408" spans="3:15" ht="20.100000000000001" customHeight="1" x14ac:dyDescent="0.25"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</row>
    <row r="409" spans="3:15" ht="20.100000000000001" customHeight="1" x14ac:dyDescent="0.25"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</row>
  </sheetData>
  <autoFilter ref="A2:B264" xr:uid="{00000000-0009-0000-0000-000006000000}"/>
  <mergeCells count="8">
    <mergeCell ref="A1:N1"/>
    <mergeCell ref="A2:A3"/>
    <mergeCell ref="B2:B3"/>
    <mergeCell ref="C2:E2"/>
    <mergeCell ref="F2:H2"/>
    <mergeCell ref="L2:M2"/>
    <mergeCell ref="N2:N3"/>
    <mergeCell ref="J2:K2"/>
  </mergeCells>
  <pageMargins left="0.45" right="0.2" top="0.5" bottom="0.25" header="0.3" footer="0.3"/>
  <pageSetup paperSize="9" scale="9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6"/>
  <sheetViews>
    <sheetView workbookViewId="0">
      <selection activeCell="C14" sqref="C14:C15"/>
    </sheetView>
  </sheetViews>
  <sheetFormatPr defaultRowHeight="15" x14ac:dyDescent="0.25"/>
  <sheetData>
    <row r="1" spans="1:3" x14ac:dyDescent="0.25">
      <c r="B1" t="s">
        <v>190</v>
      </c>
    </row>
    <row r="2" spans="1:3" x14ac:dyDescent="0.25">
      <c r="A2" t="s">
        <v>207</v>
      </c>
      <c r="B2">
        <v>31</v>
      </c>
    </row>
    <row r="3" spans="1:3" x14ac:dyDescent="0.25">
      <c r="A3" t="s">
        <v>210</v>
      </c>
      <c r="B3">
        <v>29</v>
      </c>
    </row>
    <row r="4" spans="1:3" x14ac:dyDescent="0.25">
      <c r="A4" t="s">
        <v>211</v>
      </c>
      <c r="B4">
        <v>34</v>
      </c>
    </row>
    <row r="5" spans="1:3" x14ac:dyDescent="0.25">
      <c r="A5" t="s">
        <v>212</v>
      </c>
      <c r="B5">
        <v>27</v>
      </c>
    </row>
    <row r="6" spans="1:3" x14ac:dyDescent="0.25">
      <c r="A6" t="s">
        <v>214</v>
      </c>
      <c r="B6">
        <v>35</v>
      </c>
    </row>
    <row r="7" spans="1:3" x14ac:dyDescent="0.25">
      <c r="A7" t="s">
        <v>215</v>
      </c>
      <c r="B7">
        <v>29</v>
      </c>
    </row>
    <row r="8" spans="1:3" x14ac:dyDescent="0.25">
      <c r="A8" t="s">
        <v>216</v>
      </c>
      <c r="B8">
        <v>37</v>
      </c>
    </row>
    <row r="9" spans="1:3" x14ac:dyDescent="0.25">
      <c r="A9" t="s">
        <v>217</v>
      </c>
      <c r="B9">
        <v>35</v>
      </c>
    </row>
    <row r="10" spans="1:3" x14ac:dyDescent="0.25">
      <c r="A10" t="s">
        <v>221</v>
      </c>
      <c r="B10">
        <v>16</v>
      </c>
      <c r="C10">
        <v>23</v>
      </c>
    </row>
    <row r="11" spans="1:3" x14ac:dyDescent="0.25">
      <c r="A11" t="s">
        <v>226</v>
      </c>
      <c r="B11">
        <v>19</v>
      </c>
      <c r="C11">
        <v>24</v>
      </c>
    </row>
    <row r="12" spans="1:3" x14ac:dyDescent="0.25">
      <c r="A12" t="s">
        <v>227</v>
      </c>
      <c r="B12">
        <v>14</v>
      </c>
      <c r="C12">
        <v>22</v>
      </c>
    </row>
    <row r="13" spans="1:3" x14ac:dyDescent="0.25">
      <c r="A13" t="s">
        <v>229</v>
      </c>
      <c r="B13">
        <v>16</v>
      </c>
      <c r="C13">
        <v>22</v>
      </c>
    </row>
    <row r="14" spans="1:3" x14ac:dyDescent="0.25">
      <c r="A14" s="100" t="s">
        <v>54</v>
      </c>
      <c r="B14" s="100">
        <f>SUM(B2:B13)</f>
        <v>322</v>
      </c>
      <c r="C14" s="100">
        <f>SUM(C10:C13)</f>
        <v>91</v>
      </c>
    </row>
    <row r="15" spans="1:3" x14ac:dyDescent="0.25">
      <c r="A15" t="s">
        <v>230</v>
      </c>
      <c r="B15">
        <v>13</v>
      </c>
      <c r="C15">
        <v>29</v>
      </c>
    </row>
    <row r="16" spans="1:3" x14ac:dyDescent="0.25">
      <c r="A16" t="s">
        <v>232</v>
      </c>
      <c r="B16">
        <v>38</v>
      </c>
    </row>
    <row r="17" spans="1:2" x14ac:dyDescent="0.25">
      <c r="A17" t="s">
        <v>233</v>
      </c>
      <c r="B17">
        <v>44</v>
      </c>
    </row>
    <row r="18" spans="1:2" x14ac:dyDescent="0.25">
      <c r="A18" t="s">
        <v>234</v>
      </c>
      <c r="B18">
        <v>35</v>
      </c>
    </row>
    <row r="19" spans="1:2" x14ac:dyDescent="0.25">
      <c r="A19" t="s">
        <v>235</v>
      </c>
      <c r="B19">
        <v>42</v>
      </c>
    </row>
    <row r="20" spans="1:2" x14ac:dyDescent="0.25">
      <c r="A20" t="s">
        <v>236</v>
      </c>
      <c r="B20">
        <v>35</v>
      </c>
    </row>
    <row r="21" spans="1:2" x14ac:dyDescent="0.25">
      <c r="A21" t="s">
        <v>237</v>
      </c>
      <c r="B21">
        <v>43</v>
      </c>
    </row>
    <row r="22" spans="1:2" x14ac:dyDescent="0.25">
      <c r="A22" t="s">
        <v>242</v>
      </c>
      <c r="B22">
        <v>27</v>
      </c>
    </row>
    <row r="23" spans="1:2" x14ac:dyDescent="0.25">
      <c r="A23" t="s">
        <v>243</v>
      </c>
      <c r="B23">
        <v>26</v>
      </c>
    </row>
    <row r="24" spans="1:2" x14ac:dyDescent="0.25">
      <c r="A24" t="s">
        <v>245</v>
      </c>
      <c r="B24">
        <v>23</v>
      </c>
    </row>
    <row r="25" spans="1:2" x14ac:dyDescent="0.25">
      <c r="A25" t="s">
        <v>244</v>
      </c>
      <c r="B25">
        <v>30</v>
      </c>
    </row>
    <row r="26" spans="1:2" x14ac:dyDescent="0.25">
      <c r="A26" t="s">
        <v>246</v>
      </c>
      <c r="B26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K46"/>
  <sheetViews>
    <sheetView workbookViewId="0">
      <selection activeCell="J30" sqref="J30"/>
    </sheetView>
  </sheetViews>
  <sheetFormatPr defaultRowHeight="15" x14ac:dyDescent="0.25"/>
  <cols>
    <col min="2" max="4" width="9.140625" style="91"/>
  </cols>
  <sheetData>
    <row r="2" spans="1:10" x14ac:dyDescent="0.25">
      <c r="B2" s="91" t="s">
        <v>190</v>
      </c>
      <c r="C2" s="91" t="s">
        <v>191</v>
      </c>
      <c r="D2" s="91" t="s">
        <v>54</v>
      </c>
    </row>
    <row r="3" spans="1:10" x14ac:dyDescent="0.25">
      <c r="A3" t="s">
        <v>189</v>
      </c>
      <c r="B3" s="91">
        <v>99</v>
      </c>
      <c r="C3" s="91">
        <v>218</v>
      </c>
      <c r="D3" s="91">
        <v>317</v>
      </c>
    </row>
    <row r="4" spans="1:10" x14ac:dyDescent="0.25">
      <c r="A4">
        <v>13</v>
      </c>
      <c r="B4" s="91">
        <v>3</v>
      </c>
      <c r="C4" s="91">
        <v>30</v>
      </c>
    </row>
    <row r="5" spans="1:10" x14ac:dyDescent="0.25">
      <c r="A5">
        <v>14</v>
      </c>
      <c r="B5" s="91">
        <v>28</v>
      </c>
      <c r="C5" s="91">
        <v>17</v>
      </c>
    </row>
    <row r="6" spans="1:10" x14ac:dyDescent="0.25">
      <c r="A6">
        <v>15</v>
      </c>
      <c r="B6" s="91">
        <v>16</v>
      </c>
      <c r="C6" s="91">
        <v>24</v>
      </c>
    </row>
    <row r="7" spans="1:10" x14ac:dyDescent="0.25">
      <c r="A7" t="s">
        <v>54</v>
      </c>
      <c r="B7" s="92">
        <f>SUM(B3:B6)</f>
        <v>146</v>
      </c>
      <c r="C7" s="92">
        <f>SUM(C3:C6)</f>
        <v>289</v>
      </c>
    </row>
    <row r="8" spans="1:10" x14ac:dyDescent="0.25">
      <c r="A8">
        <v>16</v>
      </c>
      <c r="B8" s="91">
        <v>20</v>
      </c>
      <c r="C8" s="91">
        <v>40</v>
      </c>
    </row>
    <row r="9" spans="1:10" x14ac:dyDescent="0.25">
      <c r="A9">
        <v>17</v>
      </c>
      <c r="B9" s="91">
        <v>26</v>
      </c>
      <c r="C9" s="91">
        <v>30</v>
      </c>
    </row>
    <row r="10" spans="1:10" x14ac:dyDescent="0.25">
      <c r="A10">
        <v>18</v>
      </c>
      <c r="B10" s="91">
        <v>40</v>
      </c>
      <c r="C10" s="91">
        <v>26</v>
      </c>
    </row>
    <row r="11" spans="1:10" x14ac:dyDescent="0.25">
      <c r="A11">
        <v>20</v>
      </c>
      <c r="B11" s="91">
        <v>10</v>
      </c>
      <c r="C11" s="91">
        <v>20</v>
      </c>
    </row>
    <row r="12" spans="1:10" x14ac:dyDescent="0.25">
      <c r="A12">
        <v>21</v>
      </c>
      <c r="B12" s="91">
        <v>12</v>
      </c>
      <c r="C12" s="91">
        <v>27</v>
      </c>
    </row>
    <row r="13" spans="1:10" x14ac:dyDescent="0.25">
      <c r="A13">
        <v>22</v>
      </c>
      <c r="B13" s="91">
        <v>19</v>
      </c>
      <c r="C13" s="91">
        <v>20</v>
      </c>
    </row>
    <row r="14" spans="1:10" x14ac:dyDescent="0.25">
      <c r="A14">
        <v>23</v>
      </c>
      <c r="B14" s="91">
        <v>8</v>
      </c>
      <c r="C14" s="91">
        <v>33</v>
      </c>
    </row>
    <row r="15" spans="1:10" x14ac:dyDescent="0.25">
      <c r="A15">
        <v>24</v>
      </c>
      <c r="B15" s="91">
        <v>18</v>
      </c>
      <c r="C15" s="91">
        <v>31</v>
      </c>
    </row>
    <row r="16" spans="1:10" x14ac:dyDescent="0.25">
      <c r="A16">
        <v>25</v>
      </c>
      <c r="B16" s="91">
        <v>10</v>
      </c>
      <c r="C16" s="91">
        <v>41</v>
      </c>
      <c r="J16">
        <f>281+485</f>
        <v>766</v>
      </c>
    </row>
    <row r="17" spans="1:5" x14ac:dyDescent="0.25">
      <c r="A17">
        <v>27</v>
      </c>
      <c r="B17" s="91">
        <v>23</v>
      </c>
      <c r="C17" s="91">
        <v>25</v>
      </c>
    </row>
    <row r="18" spans="1:5" x14ac:dyDescent="0.25">
      <c r="A18">
        <v>28</v>
      </c>
      <c r="B18" s="91">
        <v>6</v>
      </c>
      <c r="C18" s="91">
        <v>20</v>
      </c>
    </row>
    <row r="19" spans="1:5" x14ac:dyDescent="0.25">
      <c r="A19">
        <v>29</v>
      </c>
      <c r="B19" s="91">
        <v>13</v>
      </c>
      <c r="C19" s="91">
        <v>72</v>
      </c>
    </row>
    <row r="20" spans="1:5" x14ac:dyDescent="0.25">
      <c r="A20">
        <v>30</v>
      </c>
      <c r="B20" s="91">
        <v>5</v>
      </c>
      <c r="C20" s="91">
        <v>68</v>
      </c>
      <c r="D20" s="91" t="s">
        <v>191</v>
      </c>
      <c r="E20" s="91">
        <v>742</v>
      </c>
    </row>
    <row r="21" spans="1:5" x14ac:dyDescent="0.25">
      <c r="A21">
        <v>31</v>
      </c>
      <c r="B21" s="91">
        <v>5</v>
      </c>
    </row>
    <row r="35" spans="10:11" x14ac:dyDescent="0.25">
      <c r="J35" t="s">
        <v>195</v>
      </c>
      <c r="K35" s="95">
        <v>26</v>
      </c>
    </row>
    <row r="36" spans="10:11" x14ac:dyDescent="0.25">
      <c r="J36" t="s">
        <v>196</v>
      </c>
      <c r="K36" s="95">
        <v>15</v>
      </c>
    </row>
    <row r="37" spans="10:11" x14ac:dyDescent="0.25">
      <c r="J37" t="s">
        <v>197</v>
      </c>
      <c r="K37" s="95">
        <v>8</v>
      </c>
    </row>
    <row r="38" spans="10:11" x14ac:dyDescent="0.25">
      <c r="J38" t="s">
        <v>198</v>
      </c>
      <c r="K38" s="95">
        <v>15</v>
      </c>
    </row>
    <row r="39" spans="10:11" x14ac:dyDescent="0.25">
      <c r="J39" t="s">
        <v>199</v>
      </c>
      <c r="K39" s="95">
        <v>5</v>
      </c>
    </row>
    <row r="40" spans="10:11" x14ac:dyDescent="0.25">
      <c r="J40" t="s">
        <v>200</v>
      </c>
      <c r="K40" s="94">
        <v>9</v>
      </c>
    </row>
    <row r="41" spans="10:11" x14ac:dyDescent="0.25">
      <c r="J41" t="s">
        <v>201</v>
      </c>
      <c r="K41" s="94">
        <v>12</v>
      </c>
    </row>
    <row r="42" spans="10:11" x14ac:dyDescent="0.25">
      <c r="J42" t="s">
        <v>202</v>
      </c>
      <c r="K42" s="94">
        <v>7</v>
      </c>
    </row>
    <row r="43" spans="10:11" x14ac:dyDescent="0.25">
      <c r="J43" t="s">
        <v>203</v>
      </c>
      <c r="K43" s="94">
        <v>2</v>
      </c>
    </row>
    <row r="44" spans="10:11" x14ac:dyDescent="0.25">
      <c r="J44" t="s">
        <v>204</v>
      </c>
      <c r="K44" s="94">
        <v>3</v>
      </c>
    </row>
    <row r="45" spans="10:11" x14ac:dyDescent="0.25">
      <c r="J45" t="s">
        <v>205</v>
      </c>
      <c r="K45" s="94">
        <v>28</v>
      </c>
    </row>
    <row r="46" spans="10:11" x14ac:dyDescent="0.25">
      <c r="J46" t="s">
        <v>206</v>
      </c>
      <c r="K46" s="9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Table</vt:lpstr>
      <vt:lpstr>7- PGSales</vt:lpstr>
      <vt:lpstr>Sheet3</vt:lpstr>
      <vt:lpstr>Sheet4</vt:lpstr>
      <vt:lpstr>Sheet5</vt:lpstr>
      <vt:lpstr>7-PG Sales</vt:lpstr>
      <vt:lpstr>7-PG Sales Summary</vt:lpstr>
      <vt:lpstr>Sheet2</vt:lpstr>
      <vt:lpstr>Sheet1</vt:lpstr>
      <vt:lpstr>'7-PG Sales Summary'!Print_Titles</vt:lpstr>
    </vt:vector>
  </TitlesOfParts>
  <Company>Lynda.com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McBee</dc:creator>
  <cp:lastModifiedBy>User</cp:lastModifiedBy>
  <cp:lastPrinted>2024-11-27T10:29:39Z</cp:lastPrinted>
  <dcterms:created xsi:type="dcterms:W3CDTF">2012-01-24T13:55:30Z</dcterms:created>
  <dcterms:modified xsi:type="dcterms:W3CDTF">2026-03-16T04:43:14Z</dcterms:modified>
</cp:coreProperties>
</file>