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840" activeTab="12"/>
  </bookViews>
  <sheets>
    <sheet name="Price" sheetId="3" r:id="rId1"/>
    <sheet name="7-MTL" sheetId="1" r:id="rId2"/>
    <sheet name="Compare for MTL" sheetId="4" r:id="rId3"/>
    <sheet name="MTL-22" sheetId="5" r:id="rId4"/>
    <sheet name="MTL-23" sheetId="6" r:id="rId5"/>
    <sheet name="MTL-24" sheetId="7" r:id="rId6"/>
    <sheet name="MTL-25" sheetId="8" r:id="rId7"/>
    <sheet name="MTL-26" sheetId="18" r:id="rId8"/>
    <sheet name="MTL-22FOC" sheetId="9" r:id="rId9"/>
    <sheet name="MTL-23FOC" sheetId="10" r:id="rId10"/>
    <sheet name="MTL-24FOC" sheetId="11" r:id="rId11"/>
    <sheet name="MTL-25FOC" sheetId="12" r:id="rId12"/>
    <sheet name="MTL-26FOC" sheetId="19" r:id="rId13"/>
    <sheet name="CopareforKK" sheetId="2" r:id="rId14"/>
    <sheet name="KK-22" sheetId="13" r:id="rId15"/>
    <sheet name="KK-23" sheetId="15" r:id="rId16"/>
    <sheet name="KK-24" sheetId="16" r:id="rId17"/>
    <sheet name="KK-25" sheetId="17" r:id="rId18"/>
    <sheet name="KK-26" sheetId="20" r:id="rId19"/>
  </sheets>
  <externalReferences>
    <externalReference r:id="rId20"/>
    <externalReference r:id="rId21"/>
    <externalReference r:id="rId22"/>
  </externalReferences>
  <definedNames>
    <definedName name="aa" localSheetId="1">#REF!</definedName>
    <definedName name="aa">#REF!</definedName>
    <definedName name="aaa" localSheetId="1">#REF!</definedName>
    <definedName name="aaa">#REF!</definedName>
    <definedName name="aaaaa">#REF!</definedName>
    <definedName name="aaaaaaa" localSheetId="1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cvvvv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 localSheetId="1">IF('7-MTL'!Values_Entered,Header_Row+'7-MTL'!Number_of_Payments,Header_Row)</definedName>
    <definedName name="Last_Row" localSheetId="2">IF('Compare for MTL'!Values_Entered,Header_Row+'Compare for MTL'!Number_of_Payments,Header_Row)</definedName>
    <definedName name="Last_Row" localSheetId="13">IF(CopareforKK!Values_Entered,Header_Row+CopareforKK!Number_of_Payments,Header_Row)</definedName>
    <definedName name="Last_Row" localSheetId="0">IF(Price!Values_Entered,Header_Row+Price!Number_of_Payments,Header_Row)</definedName>
    <definedName name="Last_Row">IF(Values_Entered,Header_Row+Number_of_Payments,Header_Row)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 localSheetId="1">MATCH(0.01,End_Bal,-1)+1</definedName>
    <definedName name="Number_of_Payments" localSheetId="2">MATCH(0.01,End_Bal,-1)+1</definedName>
    <definedName name="Number_of_Payments" localSheetId="13">MATCH(0.01,End_Bal,-1)+1</definedName>
    <definedName name="Number_of_Payments" localSheetId="0">MATCH(0.01,End_Bal,-1)+1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1">DATE(YEAR('7-MTL'!Loan_Start),MONTH('7-MTL'!Loan_Start)+Payment_Number,DAY('7-MTL'!Loan_Start))</definedName>
    <definedName name="Payment_Date" localSheetId="2">DATE(YEAR(Loan_Start),MONTH(Loan_Start)+Payment_Number,DAY(Loan_Start))</definedName>
    <definedName name="Payment_Date" localSheetId="13">DATE(YEAR(Loan_Start),MONTH(Loan_Start)+Payment_Number,DAY(Loan_Start))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rinc" localSheetId="1">#REF!</definedName>
    <definedName name="Princ">#REF!</definedName>
    <definedName name="Print_Area_Reset" localSheetId="1">OFFSET(Full_Print,0,0,'7-MTL'!Last_Row)</definedName>
    <definedName name="Print_Area_Reset" localSheetId="2">OFFSET(Full_Print,0,0,'Compare for MTL'!Last_Row)</definedName>
    <definedName name="Print_Area_Reset" localSheetId="13">OFFSET(Full_Print,0,0,CopareforKK!Last_Row)</definedName>
    <definedName name="Print_Area_Reset" localSheetId="0">OFFSET(Full_Print,0,0,Price!Last_Row)</definedName>
    <definedName name="Print_Area_Reset">OFFSET(Full_Print,0,0,Last_Row)</definedName>
    <definedName name="qqqqqq">#REF!</definedName>
    <definedName name="s" localSheetId="1">#REF!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 localSheetId="1">Scheduled_Payment+Extra_Payment</definedName>
    <definedName name="Total_Payment" localSheetId="2">Scheduled_Payment+Extra_Payment</definedName>
    <definedName name="Total_Payment" localSheetId="13">Scheduled_Payment+Extra_Payment</definedName>
    <definedName name="Total_Payment" localSheetId="0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 localSheetId="1">IF('7-MTL'!Loan_Amount*Interest_Rate*'7-MTL'!Loan_Years*'7-MTL'!Loan_Start&gt;0,1,0)</definedName>
    <definedName name="Values_Entered" localSheetId="2">IF(Loan_Amount*Interest_Rate*Loan_Years*Loan_Start&gt;0,1,0)</definedName>
    <definedName name="Values_Entered" localSheetId="13">IF(Loan_Amount*Interest_Rate*Loan_Years*Loan_Start&gt;0,1,0)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khfkgf" localSheetId="1">#REF!</definedName>
    <definedName name="vkhfkgf">#REF!</definedName>
    <definedName name="xdfrg">#REF!</definedName>
    <definedName name="y">#REF!</definedName>
    <definedName name="yhhg123">IF(Values_Entered,Header_Row+Number_of_Payments,Header_Row)</definedName>
    <definedName name="yy">#REF!</definedName>
    <definedName name="yyyyy">#REF!</definedName>
    <definedName name="zx">#REF!</definedName>
    <definedName name="zxz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2" i="19" l="1"/>
  <c r="AE142" i="19"/>
  <c r="J142" i="19"/>
  <c r="L5" i="2"/>
  <c r="K5" i="2"/>
  <c r="H13" i="20"/>
  <c r="I13" i="20"/>
  <c r="I11" i="20"/>
  <c r="I12" i="20"/>
  <c r="I10" i="20"/>
  <c r="J134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50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5" i="19"/>
  <c r="J136" i="19"/>
  <c r="J137" i="19"/>
  <c r="J138" i="19"/>
  <c r="J139" i="19"/>
  <c r="J140" i="19"/>
  <c r="J141" i="19"/>
  <c r="J143" i="19"/>
  <c r="J144" i="19"/>
  <c r="J145" i="19"/>
  <c r="J4" i="19"/>
  <c r="I166" i="19"/>
  <c r="J166" i="19"/>
  <c r="I148" i="19"/>
  <c r="I167" i="19" s="1"/>
  <c r="J148" i="19" l="1"/>
  <c r="J167" i="19" s="1"/>
  <c r="H7" i="20"/>
  <c r="I7" i="20"/>
  <c r="I5" i="20"/>
  <c r="I6" i="20"/>
  <c r="I4" i="20"/>
  <c r="L5" i="4"/>
  <c r="K5" i="4"/>
  <c r="DJ164" i="1"/>
  <c r="DK162" i="1"/>
  <c r="DK161" i="1"/>
  <c r="DK160" i="1"/>
  <c r="DK159" i="1"/>
  <c r="DK158" i="1"/>
  <c r="DK157" i="1"/>
  <c r="DK156" i="1"/>
  <c r="DK155" i="1"/>
  <c r="DK154" i="1"/>
  <c r="DK153" i="1"/>
  <c r="DK152" i="1"/>
  <c r="DK151" i="1"/>
  <c r="DK150" i="1"/>
  <c r="DK164" i="1" s="1"/>
  <c r="DK149" i="1"/>
  <c r="DJ147" i="1"/>
  <c r="DJ165" i="1" s="1"/>
  <c r="DK143" i="1"/>
  <c r="DK142" i="1"/>
  <c r="DK139" i="1"/>
  <c r="DK138" i="1"/>
  <c r="DK137" i="1"/>
  <c r="DK136" i="1"/>
  <c r="DK135" i="1"/>
  <c r="DK134" i="1"/>
  <c r="DK133" i="1"/>
  <c r="DK132" i="1"/>
  <c r="DK131" i="1"/>
  <c r="DK130" i="1"/>
  <c r="DK129" i="1"/>
  <c r="DK128" i="1"/>
  <c r="DK127" i="1"/>
  <c r="DK124" i="1"/>
  <c r="DK120" i="1"/>
  <c r="DK119" i="1"/>
  <c r="DK118" i="1"/>
  <c r="DK117" i="1"/>
  <c r="DK116" i="1"/>
  <c r="DK115" i="1"/>
  <c r="DK114" i="1"/>
  <c r="DK113" i="1"/>
  <c r="DK112" i="1"/>
  <c r="DK111" i="1"/>
  <c r="DK110" i="1"/>
  <c r="DK109" i="1"/>
  <c r="DK108" i="1"/>
  <c r="DK107" i="1"/>
  <c r="DK106" i="1"/>
  <c r="DK105" i="1"/>
  <c r="DK104" i="1"/>
  <c r="DK103" i="1"/>
  <c r="DK102" i="1"/>
  <c r="DK101" i="1"/>
  <c r="DK100" i="1"/>
  <c r="DK99" i="1"/>
  <c r="DK98" i="1"/>
  <c r="DK97" i="1"/>
  <c r="DK96" i="1"/>
  <c r="DK95" i="1"/>
  <c r="DK94" i="1"/>
  <c r="DK93" i="1"/>
  <c r="DK92" i="1"/>
  <c r="DK91" i="1"/>
  <c r="DK90" i="1"/>
  <c r="DK89" i="1"/>
  <c r="DK88" i="1"/>
  <c r="DK87" i="1"/>
  <c r="DK86" i="1"/>
  <c r="DK85" i="1"/>
  <c r="DK84" i="1"/>
  <c r="DK83" i="1"/>
  <c r="DK82" i="1"/>
  <c r="DK81" i="1"/>
  <c r="DK80" i="1"/>
  <c r="DK79" i="1"/>
  <c r="DK78" i="1"/>
  <c r="DK77" i="1"/>
  <c r="DK76" i="1"/>
  <c r="DK75" i="1"/>
  <c r="DK74" i="1"/>
  <c r="DK73" i="1"/>
  <c r="DK72" i="1"/>
  <c r="DK71" i="1"/>
  <c r="DK70" i="1"/>
  <c r="DK69" i="1"/>
  <c r="DK68" i="1"/>
  <c r="DK67" i="1"/>
  <c r="DK66" i="1"/>
  <c r="DK65" i="1"/>
  <c r="DK64" i="1"/>
  <c r="DK63" i="1"/>
  <c r="DK62" i="1"/>
  <c r="DK61" i="1"/>
  <c r="DK60" i="1"/>
  <c r="DK59" i="1"/>
  <c r="DK58" i="1"/>
  <c r="DK57" i="1"/>
  <c r="DK56" i="1"/>
  <c r="DK55" i="1"/>
  <c r="DK54" i="1"/>
  <c r="DK53" i="1"/>
  <c r="DK52" i="1"/>
  <c r="DK51" i="1"/>
  <c r="DK50" i="1"/>
  <c r="DK49" i="1"/>
  <c r="DK48" i="1"/>
  <c r="DK47" i="1"/>
  <c r="DK46" i="1"/>
  <c r="DK45" i="1"/>
  <c r="DK44" i="1"/>
  <c r="DK43" i="1"/>
  <c r="DK42" i="1"/>
  <c r="DK41" i="1"/>
  <c r="DK40" i="1"/>
  <c r="DK39" i="1"/>
  <c r="DK38" i="1"/>
  <c r="DK37" i="1"/>
  <c r="DK36" i="1"/>
  <c r="DK35" i="1"/>
  <c r="DK34" i="1"/>
  <c r="DK33" i="1"/>
  <c r="DK32" i="1"/>
  <c r="DK31" i="1"/>
  <c r="DK30" i="1"/>
  <c r="DK29" i="1"/>
  <c r="DK28" i="1"/>
  <c r="DK27" i="1"/>
  <c r="DK26" i="1"/>
  <c r="DK25" i="1"/>
  <c r="DK24" i="1"/>
  <c r="DK23" i="1"/>
  <c r="DK22" i="1"/>
  <c r="DK21" i="1"/>
  <c r="DK20" i="1"/>
  <c r="DK19" i="1"/>
  <c r="DK18" i="1"/>
  <c r="DK17" i="1"/>
  <c r="DK16" i="1"/>
  <c r="DK15" i="1"/>
  <c r="DK14" i="1"/>
  <c r="DK13" i="1"/>
  <c r="DK12" i="1"/>
  <c r="DK11" i="1"/>
  <c r="DK10" i="1"/>
  <c r="DK9" i="1"/>
  <c r="DK8" i="1"/>
  <c r="DK7" i="1"/>
  <c r="DK6" i="1"/>
  <c r="DK5" i="1"/>
  <c r="DK4" i="1"/>
  <c r="DK147" i="1" s="1"/>
  <c r="DK165" i="1" s="1"/>
  <c r="K18" i="2" l="1"/>
  <c r="L18" i="2"/>
  <c r="F44" i="3" l="1"/>
  <c r="AE10" i="20" l="1"/>
  <c r="AE11" i="20"/>
  <c r="AE12" i="20"/>
  <c r="AD11" i="20"/>
  <c r="AD12" i="20"/>
  <c r="AE13" i="20" l="1"/>
  <c r="L16" i="2" s="1"/>
  <c r="AD10" i="20"/>
  <c r="AD13" i="20" s="1"/>
  <c r="K16" i="2" s="1"/>
  <c r="AE5" i="20"/>
  <c r="AE6" i="20"/>
  <c r="AD5" i="20"/>
  <c r="AD6" i="20"/>
  <c r="AE4" i="20"/>
  <c r="AD4" i="20"/>
  <c r="EG150" i="1"/>
  <c r="EG151" i="1"/>
  <c r="EG152" i="1"/>
  <c r="EG153" i="1"/>
  <c r="EG154" i="1"/>
  <c r="EG155" i="1"/>
  <c r="EG156" i="1"/>
  <c r="EG157" i="1"/>
  <c r="EG158" i="1"/>
  <c r="EG159" i="1"/>
  <c r="EG160" i="1"/>
  <c r="EG161" i="1"/>
  <c r="EG162" i="1"/>
  <c r="EG163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G149" i="1"/>
  <c r="EF149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102" i="1"/>
  <c r="EG103" i="1"/>
  <c r="EG104" i="1"/>
  <c r="EG105" i="1"/>
  <c r="EG106" i="1"/>
  <c r="EG107" i="1"/>
  <c r="EG108" i="1"/>
  <c r="EG109" i="1"/>
  <c r="EG110" i="1"/>
  <c r="EG111" i="1"/>
  <c r="EG112" i="1"/>
  <c r="EG113" i="1"/>
  <c r="EG114" i="1"/>
  <c r="EG115" i="1"/>
  <c r="EG116" i="1"/>
  <c r="EG117" i="1"/>
  <c r="EG118" i="1"/>
  <c r="EG119" i="1"/>
  <c r="EG120" i="1"/>
  <c r="EG121" i="1"/>
  <c r="EG122" i="1"/>
  <c r="EG123" i="1"/>
  <c r="EG124" i="1"/>
  <c r="EG127" i="1"/>
  <c r="EG128" i="1"/>
  <c r="EG129" i="1"/>
  <c r="EG130" i="1"/>
  <c r="EG131" i="1"/>
  <c r="EG132" i="1"/>
  <c r="EG133" i="1"/>
  <c r="EG134" i="1"/>
  <c r="EG135" i="1"/>
  <c r="EG136" i="1"/>
  <c r="EG137" i="1"/>
  <c r="EG138" i="1"/>
  <c r="EG139" i="1"/>
  <c r="EG141" i="1"/>
  <c r="EG142" i="1"/>
  <c r="EG143" i="1"/>
  <c r="EG144" i="1"/>
  <c r="EG145" i="1"/>
  <c r="EG146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1" i="1"/>
  <c r="EF142" i="1"/>
  <c r="EF143" i="1"/>
  <c r="EF144" i="1"/>
  <c r="EF145" i="1"/>
  <c r="EF146" i="1"/>
  <c r="EF4" i="1"/>
  <c r="L4" i="2"/>
  <c r="K4" i="2"/>
  <c r="G13" i="20"/>
  <c r="F13" i="20"/>
  <c r="G11" i="20"/>
  <c r="G12" i="20"/>
  <c r="G10" i="20"/>
  <c r="AE166" i="19"/>
  <c r="AF151" i="19"/>
  <c r="AF152" i="19"/>
  <c r="AF153" i="19"/>
  <c r="AF154" i="19"/>
  <c r="AF155" i="19"/>
  <c r="AF156" i="19"/>
  <c r="AF157" i="19"/>
  <c r="AF158" i="19"/>
  <c r="AF159" i="19"/>
  <c r="AF160" i="19"/>
  <c r="AF161" i="19"/>
  <c r="AF162" i="19"/>
  <c r="AF163" i="19"/>
  <c r="AF164" i="19"/>
  <c r="AF150" i="19"/>
  <c r="AE151" i="19"/>
  <c r="AE152" i="19"/>
  <c r="AE153" i="19"/>
  <c r="AE154" i="19"/>
  <c r="AE155" i="19"/>
  <c r="AE156" i="19"/>
  <c r="AE157" i="19"/>
  <c r="AE158" i="19"/>
  <c r="AE159" i="19"/>
  <c r="AE160" i="19"/>
  <c r="AE161" i="19"/>
  <c r="AE162" i="19"/>
  <c r="AE163" i="19"/>
  <c r="AE164" i="19"/>
  <c r="AE165" i="19"/>
  <c r="AE150" i="19"/>
  <c r="AF146" i="19"/>
  <c r="AF147" i="19"/>
  <c r="AE5" i="19"/>
  <c r="AE6" i="19"/>
  <c r="AE7" i="19"/>
  <c r="AE8" i="19"/>
  <c r="AE9" i="19"/>
  <c r="AE10" i="19"/>
  <c r="AE11" i="19"/>
  <c r="AE12" i="19"/>
  <c r="AE13" i="19"/>
  <c r="AE14" i="19"/>
  <c r="AE15" i="19"/>
  <c r="AE16" i="19"/>
  <c r="AE17" i="19"/>
  <c r="AE18" i="19"/>
  <c r="AE19" i="19"/>
  <c r="AE20" i="19"/>
  <c r="AE21" i="19"/>
  <c r="AE22" i="19"/>
  <c r="AE23" i="19"/>
  <c r="AE24" i="19"/>
  <c r="AE25" i="19"/>
  <c r="AE26" i="19"/>
  <c r="AE27" i="19"/>
  <c r="AE28" i="19"/>
  <c r="AE29" i="19"/>
  <c r="AE30" i="19"/>
  <c r="AE31" i="19"/>
  <c r="AE32" i="19"/>
  <c r="AE33" i="19"/>
  <c r="AE34" i="19"/>
  <c r="AE35" i="19"/>
  <c r="AE36" i="19"/>
  <c r="AE37" i="19"/>
  <c r="AE38" i="19"/>
  <c r="AE39" i="19"/>
  <c r="AE40" i="19"/>
  <c r="AE41" i="19"/>
  <c r="AE42" i="19"/>
  <c r="AE43" i="19"/>
  <c r="AE44" i="19"/>
  <c r="AE45" i="19"/>
  <c r="AE46" i="19"/>
  <c r="AE47" i="19"/>
  <c r="AE48" i="19"/>
  <c r="AE49" i="19"/>
  <c r="AE50" i="19"/>
  <c r="AE51" i="19"/>
  <c r="AE52" i="19"/>
  <c r="AE53" i="19"/>
  <c r="AE54" i="19"/>
  <c r="AE55" i="19"/>
  <c r="AE56" i="19"/>
  <c r="AE57" i="19"/>
  <c r="AE58" i="19"/>
  <c r="AE59" i="19"/>
  <c r="AE60" i="19"/>
  <c r="AE61" i="19"/>
  <c r="AE62" i="19"/>
  <c r="AE63" i="19"/>
  <c r="AE64" i="19"/>
  <c r="AE65" i="19"/>
  <c r="AE66" i="19"/>
  <c r="AE67" i="19"/>
  <c r="AE68" i="19"/>
  <c r="AE69" i="19"/>
  <c r="AE70" i="19"/>
  <c r="AE71" i="19"/>
  <c r="AE72" i="19"/>
  <c r="AE73" i="19"/>
  <c r="AE74" i="19"/>
  <c r="AE75" i="19"/>
  <c r="AE76" i="19"/>
  <c r="AE77" i="19"/>
  <c r="AE78" i="19"/>
  <c r="AE79" i="19"/>
  <c r="AE80" i="19"/>
  <c r="AE81" i="19"/>
  <c r="AE82" i="19"/>
  <c r="AE83" i="19"/>
  <c r="AE84" i="19"/>
  <c r="AE85" i="19"/>
  <c r="AE86" i="19"/>
  <c r="AE87" i="19"/>
  <c r="AE88" i="19"/>
  <c r="AE89" i="19"/>
  <c r="AE90" i="19"/>
  <c r="AE91" i="19"/>
  <c r="AE92" i="19"/>
  <c r="AE93" i="19"/>
  <c r="AE94" i="19"/>
  <c r="AE95" i="19"/>
  <c r="AE96" i="19"/>
  <c r="AE97" i="19"/>
  <c r="AE98" i="19"/>
  <c r="AE99" i="19"/>
  <c r="AE100" i="19"/>
  <c r="AE101" i="19"/>
  <c r="AE102" i="19"/>
  <c r="AE103" i="19"/>
  <c r="AE104" i="19"/>
  <c r="AE105" i="19"/>
  <c r="AE106" i="19"/>
  <c r="AE107" i="19"/>
  <c r="AE108" i="19"/>
  <c r="AE109" i="19"/>
  <c r="AE110" i="19"/>
  <c r="AE111" i="19"/>
  <c r="AE112" i="19"/>
  <c r="AE113" i="19"/>
  <c r="AE114" i="19"/>
  <c r="AE115" i="19"/>
  <c r="AE116" i="19"/>
  <c r="AE117" i="19"/>
  <c r="AE118" i="19"/>
  <c r="AE119" i="19"/>
  <c r="AE120" i="19"/>
  <c r="AE121" i="19"/>
  <c r="AE122" i="19"/>
  <c r="AE123" i="19"/>
  <c r="AE124" i="19"/>
  <c r="AE127" i="19"/>
  <c r="AE128" i="19"/>
  <c r="AE129" i="19"/>
  <c r="AE130" i="19"/>
  <c r="AE131" i="19"/>
  <c r="AE132" i="19"/>
  <c r="AE133" i="19"/>
  <c r="AE134" i="19"/>
  <c r="AE135" i="19"/>
  <c r="AE136" i="19"/>
  <c r="AE137" i="19"/>
  <c r="AE138" i="19"/>
  <c r="AE139" i="19"/>
  <c r="AE141" i="19"/>
  <c r="AE143" i="19"/>
  <c r="AE144" i="19"/>
  <c r="AE145" i="19"/>
  <c r="AE146" i="19"/>
  <c r="AE147" i="19"/>
  <c r="AE4" i="19"/>
  <c r="H5" i="19"/>
  <c r="AF5" i="19" s="1"/>
  <c r="H6" i="19"/>
  <c r="AF6" i="19" s="1"/>
  <c r="H7" i="19"/>
  <c r="AF7" i="19" s="1"/>
  <c r="H8" i="19"/>
  <c r="AF8" i="19" s="1"/>
  <c r="H9" i="19"/>
  <c r="AF9" i="19" s="1"/>
  <c r="H10" i="19"/>
  <c r="AF10" i="19" s="1"/>
  <c r="H11" i="19"/>
  <c r="AF11" i="19" s="1"/>
  <c r="H12" i="19"/>
  <c r="AF12" i="19" s="1"/>
  <c r="H13" i="19"/>
  <c r="AF13" i="19" s="1"/>
  <c r="H14" i="19"/>
  <c r="AF14" i="19" s="1"/>
  <c r="H15" i="19"/>
  <c r="AF15" i="19" s="1"/>
  <c r="H16" i="19"/>
  <c r="AF16" i="19" s="1"/>
  <c r="H17" i="19"/>
  <c r="AF17" i="19" s="1"/>
  <c r="H18" i="19"/>
  <c r="AF18" i="19" s="1"/>
  <c r="H19" i="19"/>
  <c r="AF19" i="19" s="1"/>
  <c r="H20" i="19"/>
  <c r="AF20" i="19" s="1"/>
  <c r="H21" i="19"/>
  <c r="AF21" i="19" s="1"/>
  <c r="H22" i="19"/>
  <c r="AF22" i="19" s="1"/>
  <c r="H23" i="19"/>
  <c r="AF23" i="19" s="1"/>
  <c r="H24" i="19"/>
  <c r="AF24" i="19" s="1"/>
  <c r="H25" i="19"/>
  <c r="AF25" i="19" s="1"/>
  <c r="H26" i="19"/>
  <c r="AF26" i="19" s="1"/>
  <c r="H27" i="19"/>
  <c r="AF27" i="19" s="1"/>
  <c r="H28" i="19"/>
  <c r="AF28" i="19" s="1"/>
  <c r="H29" i="19"/>
  <c r="AF29" i="19" s="1"/>
  <c r="H30" i="19"/>
  <c r="AF30" i="19" s="1"/>
  <c r="H31" i="19"/>
  <c r="AF31" i="19" s="1"/>
  <c r="H32" i="19"/>
  <c r="AF32" i="19" s="1"/>
  <c r="H33" i="19"/>
  <c r="AF33" i="19" s="1"/>
  <c r="H34" i="19"/>
  <c r="AF34" i="19" s="1"/>
  <c r="H35" i="19"/>
  <c r="AF35" i="19" s="1"/>
  <c r="H36" i="19"/>
  <c r="AF36" i="19" s="1"/>
  <c r="H37" i="19"/>
  <c r="AF37" i="19" s="1"/>
  <c r="H38" i="19"/>
  <c r="AF38" i="19" s="1"/>
  <c r="H39" i="19"/>
  <c r="AF39" i="19" s="1"/>
  <c r="H40" i="19"/>
  <c r="AF40" i="19" s="1"/>
  <c r="H41" i="19"/>
  <c r="AF41" i="19" s="1"/>
  <c r="H42" i="19"/>
  <c r="AF42" i="19" s="1"/>
  <c r="H43" i="19"/>
  <c r="AF43" i="19" s="1"/>
  <c r="H44" i="19"/>
  <c r="AF44" i="19" s="1"/>
  <c r="H45" i="19"/>
  <c r="AF45" i="19" s="1"/>
  <c r="H46" i="19"/>
  <c r="AF46" i="19" s="1"/>
  <c r="H47" i="19"/>
  <c r="AF47" i="19" s="1"/>
  <c r="H48" i="19"/>
  <c r="AF48" i="19" s="1"/>
  <c r="H49" i="19"/>
  <c r="AF49" i="19" s="1"/>
  <c r="H50" i="19"/>
  <c r="AF50" i="19" s="1"/>
  <c r="H51" i="19"/>
  <c r="AF51" i="19" s="1"/>
  <c r="H52" i="19"/>
  <c r="AF52" i="19" s="1"/>
  <c r="H53" i="19"/>
  <c r="AF53" i="19" s="1"/>
  <c r="H54" i="19"/>
  <c r="AF54" i="19" s="1"/>
  <c r="H55" i="19"/>
  <c r="AF55" i="19" s="1"/>
  <c r="H56" i="19"/>
  <c r="AF56" i="19" s="1"/>
  <c r="H57" i="19"/>
  <c r="AF57" i="19" s="1"/>
  <c r="H58" i="19"/>
  <c r="AF58" i="19" s="1"/>
  <c r="H59" i="19"/>
  <c r="AF59" i="19" s="1"/>
  <c r="H60" i="19"/>
  <c r="AF60" i="19" s="1"/>
  <c r="H61" i="19"/>
  <c r="AF61" i="19" s="1"/>
  <c r="H62" i="19"/>
  <c r="AF62" i="19" s="1"/>
  <c r="H63" i="19"/>
  <c r="AF63" i="19" s="1"/>
  <c r="H64" i="19"/>
  <c r="AF64" i="19" s="1"/>
  <c r="H65" i="19"/>
  <c r="AF65" i="19" s="1"/>
  <c r="H66" i="19"/>
  <c r="AF66" i="19" s="1"/>
  <c r="H67" i="19"/>
  <c r="AF67" i="19" s="1"/>
  <c r="H68" i="19"/>
  <c r="AF68" i="19" s="1"/>
  <c r="H69" i="19"/>
  <c r="AF69" i="19" s="1"/>
  <c r="H70" i="19"/>
  <c r="AF70" i="19" s="1"/>
  <c r="H71" i="19"/>
  <c r="AF71" i="19" s="1"/>
  <c r="H72" i="19"/>
  <c r="AF72" i="19" s="1"/>
  <c r="H73" i="19"/>
  <c r="AF73" i="19" s="1"/>
  <c r="H74" i="19"/>
  <c r="AF74" i="19" s="1"/>
  <c r="H75" i="19"/>
  <c r="AF75" i="19" s="1"/>
  <c r="H76" i="19"/>
  <c r="AF76" i="19" s="1"/>
  <c r="H77" i="19"/>
  <c r="AF77" i="19" s="1"/>
  <c r="H78" i="19"/>
  <c r="AF78" i="19" s="1"/>
  <c r="H79" i="19"/>
  <c r="AF79" i="19" s="1"/>
  <c r="H80" i="19"/>
  <c r="AF80" i="19" s="1"/>
  <c r="H81" i="19"/>
  <c r="AF81" i="19" s="1"/>
  <c r="H82" i="19"/>
  <c r="AF82" i="19" s="1"/>
  <c r="H83" i="19"/>
  <c r="AF83" i="19" s="1"/>
  <c r="H84" i="19"/>
  <c r="AF84" i="19" s="1"/>
  <c r="H85" i="19"/>
  <c r="AF85" i="19" s="1"/>
  <c r="H86" i="19"/>
  <c r="AF86" i="19" s="1"/>
  <c r="H87" i="19"/>
  <c r="AF87" i="19" s="1"/>
  <c r="H88" i="19"/>
  <c r="AF88" i="19" s="1"/>
  <c r="H89" i="19"/>
  <c r="AF89" i="19" s="1"/>
  <c r="H90" i="19"/>
  <c r="AF90" i="19" s="1"/>
  <c r="H91" i="19"/>
  <c r="AF91" i="19" s="1"/>
  <c r="H92" i="19"/>
  <c r="AF92" i="19" s="1"/>
  <c r="H93" i="19"/>
  <c r="AF93" i="19" s="1"/>
  <c r="H94" i="19"/>
  <c r="AF94" i="19" s="1"/>
  <c r="H95" i="19"/>
  <c r="AF95" i="19" s="1"/>
  <c r="H96" i="19"/>
  <c r="AF96" i="19" s="1"/>
  <c r="H97" i="19"/>
  <c r="AF97" i="19" s="1"/>
  <c r="H98" i="19"/>
  <c r="AF98" i="19" s="1"/>
  <c r="H99" i="19"/>
  <c r="AF99" i="19" s="1"/>
  <c r="H100" i="19"/>
  <c r="AF100" i="19" s="1"/>
  <c r="H101" i="19"/>
  <c r="AF101" i="19" s="1"/>
  <c r="H102" i="19"/>
  <c r="AF102" i="19" s="1"/>
  <c r="H103" i="19"/>
  <c r="AF103" i="19" s="1"/>
  <c r="H104" i="19"/>
  <c r="AF104" i="19" s="1"/>
  <c r="H105" i="19"/>
  <c r="AF105" i="19" s="1"/>
  <c r="H106" i="19"/>
  <c r="AF106" i="19" s="1"/>
  <c r="H107" i="19"/>
  <c r="AF107" i="19" s="1"/>
  <c r="H108" i="19"/>
  <c r="AF108" i="19" s="1"/>
  <c r="H109" i="19"/>
  <c r="AF109" i="19" s="1"/>
  <c r="H110" i="19"/>
  <c r="AF110" i="19" s="1"/>
  <c r="H111" i="19"/>
  <c r="AF111" i="19" s="1"/>
  <c r="H112" i="19"/>
  <c r="AF112" i="19" s="1"/>
  <c r="H113" i="19"/>
  <c r="AF113" i="19" s="1"/>
  <c r="H114" i="19"/>
  <c r="AF114" i="19" s="1"/>
  <c r="H115" i="19"/>
  <c r="AF115" i="19" s="1"/>
  <c r="H116" i="19"/>
  <c r="AF116" i="19" s="1"/>
  <c r="H117" i="19"/>
  <c r="AF117" i="19" s="1"/>
  <c r="H118" i="19"/>
  <c r="AF118" i="19" s="1"/>
  <c r="H119" i="19"/>
  <c r="AF119" i="19" s="1"/>
  <c r="H120" i="19"/>
  <c r="AF120" i="19" s="1"/>
  <c r="H121" i="19"/>
  <c r="AF121" i="19" s="1"/>
  <c r="H122" i="19"/>
  <c r="AF122" i="19" s="1"/>
  <c r="H123" i="19"/>
  <c r="AF123" i="19" s="1"/>
  <c r="H124" i="19"/>
  <c r="AF124" i="19" s="1"/>
  <c r="H127" i="19"/>
  <c r="AF127" i="19" s="1"/>
  <c r="H128" i="19"/>
  <c r="AF128" i="19" s="1"/>
  <c r="H129" i="19"/>
  <c r="AF129" i="19" s="1"/>
  <c r="H130" i="19"/>
  <c r="AF130" i="19" s="1"/>
  <c r="H131" i="19"/>
  <c r="AF131" i="19" s="1"/>
  <c r="H132" i="19"/>
  <c r="AF132" i="19" s="1"/>
  <c r="H133" i="19"/>
  <c r="AF133" i="19" s="1"/>
  <c r="H134" i="19"/>
  <c r="AF134" i="19" s="1"/>
  <c r="H135" i="19"/>
  <c r="AF135" i="19" s="1"/>
  <c r="H136" i="19"/>
  <c r="AF136" i="19" s="1"/>
  <c r="H137" i="19"/>
  <c r="AF137" i="19" s="1"/>
  <c r="H138" i="19"/>
  <c r="AF138" i="19" s="1"/>
  <c r="H139" i="19"/>
  <c r="AF139" i="19" s="1"/>
  <c r="H141" i="19"/>
  <c r="AF141" i="19" s="1"/>
  <c r="H143" i="19"/>
  <c r="AF143" i="19" s="1"/>
  <c r="H144" i="19"/>
  <c r="AF144" i="19" s="1"/>
  <c r="H145" i="19"/>
  <c r="AF145" i="19" s="1"/>
  <c r="H4" i="19"/>
  <c r="H148" i="19" s="1"/>
  <c r="H167" i="19" s="1"/>
  <c r="H166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50" i="19"/>
  <c r="G167" i="19"/>
  <c r="G148" i="19"/>
  <c r="G166" i="19"/>
  <c r="AF4" i="19" l="1"/>
  <c r="AF148" i="19" s="1"/>
  <c r="L16" i="4" s="1"/>
  <c r="AF166" i="19"/>
  <c r="AE148" i="19"/>
  <c r="K16" i="4" s="1"/>
  <c r="AE7" i="20"/>
  <c r="AD7" i="20"/>
  <c r="EG164" i="1"/>
  <c r="EF164" i="1"/>
  <c r="EF147" i="1"/>
  <c r="EF165" i="1" s="1"/>
  <c r="EG147" i="1"/>
  <c r="F7" i="20"/>
  <c r="G7" i="20"/>
  <c r="G5" i="20"/>
  <c r="G6" i="20"/>
  <c r="G4" i="20"/>
  <c r="L18" i="4"/>
  <c r="L4" i="4"/>
  <c r="K4" i="4"/>
  <c r="K18" i="4" s="1"/>
  <c r="AE163" i="18"/>
  <c r="AF150" i="18"/>
  <c r="AF151" i="18"/>
  <c r="AF152" i="18"/>
  <c r="AF153" i="18"/>
  <c r="AF154" i="18"/>
  <c r="AF155" i="18"/>
  <c r="AF156" i="18"/>
  <c r="AF157" i="18"/>
  <c r="AF158" i="18"/>
  <c r="AF159" i="18"/>
  <c r="AF160" i="18"/>
  <c r="AF161" i="18"/>
  <c r="AF162" i="18"/>
  <c r="AF163" i="18"/>
  <c r="AE150" i="18"/>
  <c r="AE151" i="18"/>
  <c r="AE152" i="18"/>
  <c r="AE153" i="18"/>
  <c r="AE154" i="18"/>
  <c r="AE155" i="18"/>
  <c r="AE156" i="18"/>
  <c r="AE157" i="18"/>
  <c r="AE158" i="18"/>
  <c r="AE159" i="18"/>
  <c r="AE160" i="18"/>
  <c r="AE161" i="18"/>
  <c r="AE162" i="18"/>
  <c r="AF149" i="18"/>
  <c r="AF164" i="18" s="1"/>
  <c r="AE149" i="18"/>
  <c r="AE164" i="18" s="1"/>
  <c r="AF4" i="18"/>
  <c r="AF5" i="18"/>
  <c r="AF147" i="18" s="1"/>
  <c r="AF165" i="18" s="1"/>
  <c r="AF6" i="18"/>
  <c r="AF7" i="18"/>
  <c r="AF8" i="18"/>
  <c r="AF9" i="18"/>
  <c r="AF10" i="18"/>
  <c r="AF11" i="18"/>
  <c r="AF12" i="18"/>
  <c r="AF13" i="18"/>
  <c r="AF14" i="18"/>
  <c r="AF15" i="18"/>
  <c r="AF16" i="18"/>
  <c r="L24" i="4" s="1"/>
  <c r="AF17" i="18"/>
  <c r="L25" i="4" s="1"/>
  <c r="AF18" i="18"/>
  <c r="L26" i="4" s="1"/>
  <c r="AF19" i="18"/>
  <c r="L27" i="4" s="1"/>
  <c r="AF20" i="18"/>
  <c r="L28" i="4" s="1"/>
  <c r="AF21" i="18"/>
  <c r="L29" i="4" s="1"/>
  <c r="AF22" i="18"/>
  <c r="L30" i="4" s="1"/>
  <c r="AF23" i="18"/>
  <c r="L31" i="4" s="1"/>
  <c r="AF24" i="18"/>
  <c r="L32" i="4" s="1"/>
  <c r="AF25" i="18"/>
  <c r="AF26" i="18"/>
  <c r="AF27" i="18"/>
  <c r="AF28" i="18"/>
  <c r="AF29" i="18"/>
  <c r="AF30" i="18"/>
  <c r="AF31" i="18"/>
  <c r="AF32" i="18"/>
  <c r="AF33" i="18"/>
  <c r="AF34" i="18"/>
  <c r="AF35" i="18"/>
  <c r="AF36" i="18"/>
  <c r="AF37" i="18"/>
  <c r="AF38" i="18"/>
  <c r="AF39" i="18"/>
  <c r="AF40" i="18"/>
  <c r="AF41" i="18"/>
  <c r="AF42" i="18"/>
  <c r="AF43" i="18"/>
  <c r="AF44" i="18"/>
  <c r="AF45" i="18"/>
  <c r="AF46" i="18"/>
  <c r="AF47" i="18"/>
  <c r="AF48" i="18"/>
  <c r="AF49" i="18"/>
  <c r="AF50" i="18"/>
  <c r="AF51" i="18"/>
  <c r="AF52" i="18"/>
  <c r="AF53" i="18"/>
  <c r="AF54" i="18"/>
  <c r="AF55" i="18"/>
  <c r="AF56" i="18"/>
  <c r="AF57" i="18"/>
  <c r="AF58" i="18"/>
  <c r="AF59" i="18"/>
  <c r="AF60" i="18"/>
  <c r="AF61" i="18"/>
  <c r="AF62" i="18"/>
  <c r="AF63" i="18"/>
  <c r="AF64" i="18"/>
  <c r="AF65" i="18"/>
  <c r="AF66" i="18"/>
  <c r="AF67" i="18"/>
  <c r="AF68" i="18"/>
  <c r="AF69" i="18"/>
  <c r="AF70" i="18"/>
  <c r="AF71" i="18"/>
  <c r="AF72" i="18"/>
  <c r="AF73" i="18"/>
  <c r="AF74" i="18"/>
  <c r="AF75" i="18"/>
  <c r="AF76" i="18"/>
  <c r="AF77" i="18"/>
  <c r="AF78" i="18"/>
  <c r="AF79" i="18"/>
  <c r="AF80" i="18"/>
  <c r="AF81" i="18"/>
  <c r="AF82" i="18"/>
  <c r="AF83" i="18"/>
  <c r="AF84" i="18"/>
  <c r="AF85" i="18"/>
  <c r="AF86" i="18"/>
  <c r="AF87" i="18"/>
  <c r="AF88" i="18"/>
  <c r="AF89" i="18"/>
  <c r="AF90" i="18"/>
  <c r="AF91" i="18"/>
  <c r="AF92" i="18"/>
  <c r="AF93" i="18"/>
  <c r="AF94" i="18"/>
  <c r="AF95" i="18"/>
  <c r="AF96" i="18"/>
  <c r="AF97" i="18"/>
  <c r="AF98" i="18"/>
  <c r="AF99" i="18"/>
  <c r="AF100" i="18"/>
  <c r="AF101" i="18"/>
  <c r="AF102" i="18"/>
  <c r="AF103" i="18"/>
  <c r="AF104" i="18"/>
  <c r="AF105" i="18"/>
  <c r="AF106" i="18"/>
  <c r="AF107" i="18"/>
  <c r="AF108" i="18"/>
  <c r="AF109" i="18"/>
  <c r="AF110" i="18"/>
  <c r="AF111" i="18"/>
  <c r="AF112" i="18"/>
  <c r="AF113" i="18"/>
  <c r="AF114" i="18"/>
  <c r="AF115" i="18"/>
  <c r="AF116" i="18"/>
  <c r="AF117" i="18"/>
  <c r="AF118" i="18"/>
  <c r="AF119" i="18"/>
  <c r="AF120" i="18"/>
  <c r="AF121" i="18"/>
  <c r="AF122" i="18"/>
  <c r="AF123" i="18"/>
  <c r="AF124" i="18"/>
  <c r="AF127" i="18"/>
  <c r="AF128" i="18"/>
  <c r="AF129" i="18"/>
  <c r="AF130" i="18"/>
  <c r="AF131" i="18"/>
  <c r="AF132" i="18"/>
  <c r="AF133" i="18"/>
  <c r="AF134" i="18"/>
  <c r="AF135" i="18"/>
  <c r="AF136" i="18"/>
  <c r="AF137" i="18"/>
  <c r="AF138" i="18"/>
  <c r="AF139" i="18"/>
  <c r="AF141" i="18"/>
  <c r="AF142" i="18"/>
  <c r="AF143" i="18"/>
  <c r="AF144" i="18"/>
  <c r="AF145" i="18"/>
  <c r="AF146" i="18"/>
  <c r="AE5" i="18"/>
  <c r="AE6" i="18"/>
  <c r="AE7" i="18"/>
  <c r="AE8" i="18"/>
  <c r="AE9" i="18"/>
  <c r="AE10" i="18"/>
  <c r="AE11" i="18"/>
  <c r="AE12" i="18"/>
  <c r="AE13" i="18"/>
  <c r="AE14" i="18"/>
  <c r="AE15" i="18"/>
  <c r="AE16" i="18"/>
  <c r="K24" i="4" s="1"/>
  <c r="AE17" i="18"/>
  <c r="K25" i="4" s="1"/>
  <c r="AE18" i="18"/>
  <c r="K26" i="4" s="1"/>
  <c r="AE19" i="18"/>
  <c r="K27" i="4" s="1"/>
  <c r="AE20" i="18"/>
  <c r="K28" i="4" s="1"/>
  <c r="AE21" i="18"/>
  <c r="K29" i="4" s="1"/>
  <c r="AE22" i="18"/>
  <c r="K30" i="4" s="1"/>
  <c r="AE23" i="18"/>
  <c r="K31" i="4" s="1"/>
  <c r="AE24" i="18"/>
  <c r="K32" i="4" s="1"/>
  <c r="AE25" i="18"/>
  <c r="AE26" i="18"/>
  <c r="AE27" i="18"/>
  <c r="AE28" i="18"/>
  <c r="AE29" i="18"/>
  <c r="AE30" i="18"/>
  <c r="AE31" i="18"/>
  <c r="AE32" i="18"/>
  <c r="AE33" i="18"/>
  <c r="AE34" i="18"/>
  <c r="AE35" i="18"/>
  <c r="AE36" i="18"/>
  <c r="AE37" i="18"/>
  <c r="AE38" i="18"/>
  <c r="AE39" i="18"/>
  <c r="AE40" i="18"/>
  <c r="AE41" i="18"/>
  <c r="AE42" i="18"/>
  <c r="AE43" i="18"/>
  <c r="AE44" i="18"/>
  <c r="AE45" i="18"/>
  <c r="AE46" i="18"/>
  <c r="AE47" i="18"/>
  <c r="AE48" i="18"/>
  <c r="AE49" i="18"/>
  <c r="AE50" i="18"/>
  <c r="AE51" i="18"/>
  <c r="AE52" i="18"/>
  <c r="AE53" i="18"/>
  <c r="AE54" i="18"/>
  <c r="AE55" i="18"/>
  <c r="AE56" i="18"/>
  <c r="AE57" i="18"/>
  <c r="AE58" i="18"/>
  <c r="AE59" i="18"/>
  <c r="AE60" i="18"/>
  <c r="AE61" i="18"/>
  <c r="AE62" i="18"/>
  <c r="AE63" i="18"/>
  <c r="AE64" i="18"/>
  <c r="AE65" i="18"/>
  <c r="AE66" i="18"/>
  <c r="AE67" i="18"/>
  <c r="AE68" i="18"/>
  <c r="AE69" i="18"/>
  <c r="AE70" i="18"/>
  <c r="AE71" i="18"/>
  <c r="AE72" i="18"/>
  <c r="AE73" i="18"/>
  <c r="AE74" i="18"/>
  <c r="AE75" i="18"/>
  <c r="AE76" i="18"/>
  <c r="AE77" i="18"/>
  <c r="AE78" i="18"/>
  <c r="AE79" i="18"/>
  <c r="AE80" i="18"/>
  <c r="AE81" i="18"/>
  <c r="AE82" i="18"/>
  <c r="AE83" i="18"/>
  <c r="AE84" i="18"/>
  <c r="AE85" i="18"/>
  <c r="AE86" i="18"/>
  <c r="AE87" i="18"/>
  <c r="AE88" i="18"/>
  <c r="AE89" i="18"/>
  <c r="AE90" i="18"/>
  <c r="AE91" i="18"/>
  <c r="AE92" i="18"/>
  <c r="AE93" i="18"/>
  <c r="AE94" i="18"/>
  <c r="AE95" i="18"/>
  <c r="AE96" i="18"/>
  <c r="AE97" i="18"/>
  <c r="AE98" i="18"/>
  <c r="AE99" i="18"/>
  <c r="AE100" i="18"/>
  <c r="AE101" i="18"/>
  <c r="AE102" i="18"/>
  <c r="AE103" i="18"/>
  <c r="AE104" i="18"/>
  <c r="AE105" i="18"/>
  <c r="AE106" i="18"/>
  <c r="AE107" i="18"/>
  <c r="AE108" i="18"/>
  <c r="AE109" i="18"/>
  <c r="AE110" i="18"/>
  <c r="AE111" i="18"/>
  <c r="AE112" i="18"/>
  <c r="AE113" i="18"/>
  <c r="AE114" i="18"/>
  <c r="AE115" i="18"/>
  <c r="AE116" i="18"/>
  <c r="AE117" i="18"/>
  <c r="AE118" i="18"/>
  <c r="AE119" i="18"/>
  <c r="AE120" i="18"/>
  <c r="AE121" i="18"/>
  <c r="AE122" i="18"/>
  <c r="AE123" i="18"/>
  <c r="AE124" i="18"/>
  <c r="AE127" i="18"/>
  <c r="AE128" i="18"/>
  <c r="AE129" i="18"/>
  <c r="AE130" i="18"/>
  <c r="AE131" i="18"/>
  <c r="AE132" i="18"/>
  <c r="AE133" i="18"/>
  <c r="AE134" i="18"/>
  <c r="AE135" i="18"/>
  <c r="AE136" i="18"/>
  <c r="AE137" i="18"/>
  <c r="AE138" i="18"/>
  <c r="AE139" i="18"/>
  <c r="AE141" i="18"/>
  <c r="AE142" i="18"/>
  <c r="AE143" i="18"/>
  <c r="AE144" i="18"/>
  <c r="AE145" i="18"/>
  <c r="AE146" i="18"/>
  <c r="AE4" i="18"/>
  <c r="AE147" i="18" s="1"/>
  <c r="AE165" i="18" s="1"/>
  <c r="AF167" i="19" l="1"/>
  <c r="AE167" i="19"/>
  <c r="EG165" i="1"/>
  <c r="L34" i="4"/>
  <c r="K34" i="4"/>
  <c r="J15" i="2"/>
  <c r="I15" i="2"/>
  <c r="AC12" i="17"/>
  <c r="AC10" i="17"/>
  <c r="AB13" i="17"/>
  <c r="AC13" i="17"/>
  <c r="AE145" i="12"/>
  <c r="AE146" i="12"/>
  <c r="AE147" i="12"/>
  <c r="AE148" i="12"/>
  <c r="AE149" i="12"/>
  <c r="AE150" i="12"/>
  <c r="AE151" i="12"/>
  <c r="AE152" i="12"/>
  <c r="AE153" i="12"/>
  <c r="AE154" i="12"/>
  <c r="AE155" i="12"/>
  <c r="AE156" i="12"/>
  <c r="AE157" i="12"/>
  <c r="AE158" i="12"/>
  <c r="AE159" i="12"/>
  <c r="AE144" i="12"/>
  <c r="AE160" i="12" s="1"/>
  <c r="AD145" i="12"/>
  <c r="AD146" i="12"/>
  <c r="AD147" i="12"/>
  <c r="AD148" i="12"/>
  <c r="AD149" i="12"/>
  <c r="AD150" i="12"/>
  <c r="AD151" i="12"/>
  <c r="AD152" i="12"/>
  <c r="AD153" i="12"/>
  <c r="AD154" i="12"/>
  <c r="AD155" i="12"/>
  <c r="AD156" i="12"/>
  <c r="AD157" i="12"/>
  <c r="AD158" i="12"/>
  <c r="AD159" i="12"/>
  <c r="AD14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D81" i="12"/>
  <c r="AD82" i="12"/>
  <c r="AD83" i="12"/>
  <c r="AD84" i="12"/>
  <c r="AD85" i="12"/>
  <c r="AD86" i="12"/>
  <c r="AD87" i="12"/>
  <c r="AD88" i="12"/>
  <c r="AD89" i="12"/>
  <c r="AD90" i="12"/>
  <c r="AD91" i="12"/>
  <c r="AD92" i="12"/>
  <c r="AD93" i="12"/>
  <c r="AD94" i="12"/>
  <c r="AD95" i="12"/>
  <c r="AD96" i="12"/>
  <c r="AD97" i="12"/>
  <c r="AD98" i="12"/>
  <c r="AD99" i="12"/>
  <c r="AD100" i="12"/>
  <c r="AD101" i="12"/>
  <c r="AD102" i="12"/>
  <c r="AD103" i="12"/>
  <c r="AD104" i="12"/>
  <c r="AD105" i="12"/>
  <c r="AD106" i="12"/>
  <c r="AD107" i="12"/>
  <c r="AD108" i="12"/>
  <c r="AD109" i="12"/>
  <c r="AD110" i="12"/>
  <c r="AD111" i="12"/>
  <c r="AD112" i="12"/>
  <c r="AD113" i="12"/>
  <c r="AD114" i="12"/>
  <c r="AD115" i="12"/>
  <c r="AD116" i="12"/>
  <c r="AD117" i="12"/>
  <c r="AD118" i="12"/>
  <c r="AD119" i="12"/>
  <c r="AD120" i="12"/>
  <c r="AD121" i="12"/>
  <c r="AD122" i="12"/>
  <c r="AD123" i="12"/>
  <c r="AD124" i="12"/>
  <c r="AD125" i="12"/>
  <c r="AD126" i="12"/>
  <c r="AD127" i="12"/>
  <c r="AD128" i="12"/>
  <c r="AD129" i="12"/>
  <c r="AD130" i="12"/>
  <c r="AD131" i="12"/>
  <c r="AD132" i="12"/>
  <c r="AD133" i="12"/>
  <c r="AD134" i="12"/>
  <c r="AD135" i="12"/>
  <c r="AD136" i="12"/>
  <c r="AD137" i="12"/>
  <c r="AD138" i="12"/>
  <c r="AD4" i="12"/>
  <c r="AC160" i="12"/>
  <c r="AD160" i="12"/>
  <c r="J15" i="4" l="1"/>
  <c r="I15" i="4"/>
  <c r="AA12" i="17" l="1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44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4" i="12"/>
  <c r="AA160" i="12"/>
  <c r="AB160" i="12" l="1"/>
  <c r="J14" i="2"/>
  <c r="I14" i="2"/>
  <c r="J14" i="4"/>
  <c r="I14" i="4"/>
  <c r="Z145" i="12" l="1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4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4" i="12"/>
  <c r="Y160" i="12"/>
  <c r="Z160" i="12" l="1"/>
  <c r="J13" i="2"/>
  <c r="I13" i="2"/>
  <c r="J13" i="4"/>
  <c r="I13" i="4"/>
  <c r="F36" i="3" l="1"/>
  <c r="F37" i="3"/>
  <c r="DF123" i="1" l="1"/>
  <c r="DG123" i="1" s="1"/>
  <c r="DF124" i="1"/>
  <c r="DG124" i="1" s="1"/>
  <c r="DF127" i="1"/>
  <c r="DG127" i="1" s="1"/>
  <c r="DF128" i="1"/>
  <c r="DG128" i="1" s="1"/>
  <c r="DF129" i="1"/>
  <c r="DG129" i="1" s="1"/>
  <c r="AF124" i="12"/>
  <c r="W11" i="17" l="1"/>
  <c r="W12" i="17"/>
  <c r="W10" i="17"/>
  <c r="W13" i="17" s="1"/>
  <c r="V13" i="17"/>
  <c r="X145" i="12"/>
  <c r="X146" i="12"/>
  <c r="X147" i="12"/>
  <c r="X148" i="12"/>
  <c r="X149" i="12"/>
  <c r="X150" i="12"/>
  <c r="X151" i="12"/>
  <c r="AF151" i="12" s="1"/>
  <c r="X152" i="12"/>
  <c r="X153" i="12"/>
  <c r="X154" i="12"/>
  <c r="X155" i="12"/>
  <c r="X156" i="12"/>
  <c r="X157" i="12"/>
  <c r="X158" i="12"/>
  <c r="X159" i="12"/>
  <c r="X14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4" i="12"/>
  <c r="W160" i="12"/>
  <c r="X160" i="12" l="1"/>
  <c r="J12" i="2"/>
  <c r="I12" i="2"/>
  <c r="J12" i="4"/>
  <c r="I12" i="4"/>
  <c r="I11" i="4" l="1"/>
  <c r="J11" i="2"/>
  <c r="I11" i="2"/>
  <c r="U11" i="17"/>
  <c r="U12" i="17"/>
  <c r="U10" i="17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AF120" i="12" s="1"/>
  <c r="V121" i="12"/>
  <c r="AF121" i="12" s="1"/>
  <c r="V122" i="12"/>
  <c r="AF122" i="12" s="1"/>
  <c r="V123" i="12"/>
  <c r="AF123" i="12" s="1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4" i="12"/>
  <c r="V145" i="12"/>
  <c r="V146" i="12"/>
  <c r="V147" i="12"/>
  <c r="V148" i="12"/>
  <c r="V149" i="12"/>
  <c r="V150" i="12"/>
  <c r="V152" i="12"/>
  <c r="V153" i="12"/>
  <c r="AF153" i="12" s="1"/>
  <c r="V154" i="12"/>
  <c r="V155" i="12"/>
  <c r="V156" i="12"/>
  <c r="V157" i="12"/>
  <c r="V158" i="12"/>
  <c r="V159" i="12"/>
  <c r="V144" i="12"/>
  <c r="U160" i="12"/>
  <c r="V160" i="12" l="1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5" i="12"/>
  <c r="T126" i="12"/>
  <c r="T127" i="12"/>
  <c r="T128" i="12"/>
  <c r="T129" i="12"/>
  <c r="T130" i="12"/>
  <c r="T4" i="12"/>
  <c r="T145" i="12"/>
  <c r="AF145" i="12" s="1"/>
  <c r="T146" i="12"/>
  <c r="AF146" i="12" s="1"/>
  <c r="T147" i="12"/>
  <c r="AF147" i="12" s="1"/>
  <c r="T148" i="12"/>
  <c r="T149" i="12"/>
  <c r="T150" i="12"/>
  <c r="T152" i="12"/>
  <c r="AF152" i="12" s="1"/>
  <c r="T144" i="12"/>
  <c r="AF144" i="12" s="1"/>
  <c r="S160" i="12"/>
  <c r="T160" i="12" l="1"/>
  <c r="J10" i="2"/>
  <c r="I10" i="2"/>
  <c r="AE149" i="8"/>
  <c r="V149" i="8"/>
  <c r="T149" i="8"/>
  <c r="P118" i="8"/>
  <c r="N116" i="8"/>
  <c r="N117" i="8"/>
  <c r="N118" i="8"/>
  <c r="R116" i="8"/>
  <c r="R117" i="8"/>
  <c r="R118" i="8"/>
  <c r="AE116" i="8"/>
  <c r="AE117" i="8"/>
  <c r="AE118" i="8"/>
  <c r="AE119" i="8"/>
  <c r="AF119" i="8"/>
  <c r="V116" i="8"/>
  <c r="V117" i="8"/>
  <c r="V118" i="8"/>
  <c r="T116" i="8"/>
  <c r="T117" i="8"/>
  <c r="T118" i="8"/>
  <c r="DF156" i="1"/>
  <c r="DG156" i="1" s="1"/>
  <c r="CW156" i="1"/>
  <c r="CU156" i="1"/>
  <c r="AF117" i="8" l="1"/>
  <c r="AF149" i="8"/>
  <c r="AF116" i="8"/>
  <c r="AF118" i="8"/>
  <c r="I9" i="4"/>
  <c r="J9" i="2"/>
  <c r="I9" i="2"/>
  <c r="R149" i="12"/>
  <c r="AF149" i="12" s="1"/>
  <c r="R150" i="12"/>
  <c r="AF150" i="12" s="1"/>
  <c r="R154" i="12"/>
  <c r="AF154" i="12" s="1"/>
  <c r="R155" i="12"/>
  <c r="AF155" i="12" s="1"/>
  <c r="R156" i="12"/>
  <c r="AF156" i="12" s="1"/>
  <c r="R157" i="12"/>
  <c r="AF157" i="12" s="1"/>
  <c r="R158" i="12"/>
  <c r="AF158" i="12" s="1"/>
  <c r="R159" i="12"/>
  <c r="AF159" i="12" s="1"/>
  <c r="R148" i="12"/>
  <c r="AF148" i="12" s="1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4" i="12"/>
  <c r="Q160" i="12"/>
  <c r="AF160" i="12" l="1"/>
  <c r="R160" i="12"/>
  <c r="F11" i="3"/>
  <c r="F10" i="3"/>
  <c r="H96" i="8" l="1"/>
  <c r="J96" i="8"/>
  <c r="L96" i="8"/>
  <c r="I96" i="1" l="1"/>
  <c r="K96" i="1"/>
  <c r="M96" i="1"/>
  <c r="O96" i="1"/>
  <c r="Q96" i="1"/>
  <c r="S96" i="1"/>
  <c r="U96" i="1"/>
  <c r="W96" i="1"/>
  <c r="Y96" i="1"/>
  <c r="AA96" i="1"/>
  <c r="AC96" i="1"/>
  <c r="AE96" i="1"/>
  <c r="AI96" i="1"/>
  <c r="AK96" i="1"/>
  <c r="AM96" i="1"/>
  <c r="AO96" i="1"/>
  <c r="AQ96" i="1"/>
  <c r="AS96" i="1"/>
  <c r="AU96" i="1"/>
  <c r="AW96" i="1"/>
  <c r="AY96" i="1"/>
  <c r="BA96" i="1"/>
  <c r="BC96" i="1"/>
  <c r="BE96" i="1"/>
  <c r="BI96" i="1"/>
  <c r="BK96" i="1"/>
  <c r="BM96" i="1"/>
  <c r="BO96" i="1"/>
  <c r="BQ96" i="1"/>
  <c r="BS96" i="1"/>
  <c r="BU96" i="1"/>
  <c r="BW96" i="1"/>
  <c r="BY96" i="1"/>
  <c r="CA96" i="1"/>
  <c r="CC96" i="1"/>
  <c r="CE96" i="1"/>
  <c r="N5" i="12" l="1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4" i="12"/>
  <c r="J8" i="2" l="1"/>
  <c r="I8" i="2"/>
  <c r="M4" i="17" l="1"/>
  <c r="O140" i="8"/>
  <c r="O158" i="8" s="1"/>
  <c r="P140" i="8"/>
  <c r="P158" i="8" s="1"/>
  <c r="F13" i="3" l="1"/>
  <c r="F29" i="3" l="1"/>
  <c r="I13" i="17"/>
  <c r="I7" i="2"/>
  <c r="G13" i="17"/>
  <c r="H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X13" i="17"/>
  <c r="Y13" i="17"/>
  <c r="Z13" i="17"/>
  <c r="AA13" i="17"/>
  <c r="AE11" i="17"/>
  <c r="AE12" i="17"/>
  <c r="AD11" i="17"/>
  <c r="AD12" i="17"/>
  <c r="AE10" i="17"/>
  <c r="AD10" i="17"/>
  <c r="AE4" i="12"/>
  <c r="AD142" i="12"/>
  <c r="AD161" i="12" s="1"/>
  <c r="O142" i="12"/>
  <c r="O161" i="12" s="1"/>
  <c r="P142" i="12"/>
  <c r="P161" i="12" s="1"/>
  <c r="Q142" i="12"/>
  <c r="Q161" i="12" s="1"/>
  <c r="R142" i="12"/>
  <c r="R161" i="12" s="1"/>
  <c r="S142" i="12"/>
  <c r="S161" i="12" s="1"/>
  <c r="T142" i="12"/>
  <c r="T161" i="12" s="1"/>
  <c r="U142" i="12"/>
  <c r="U161" i="12" s="1"/>
  <c r="V142" i="12"/>
  <c r="V161" i="12" s="1"/>
  <c r="W142" i="12"/>
  <c r="W161" i="12" s="1"/>
  <c r="X142" i="12"/>
  <c r="X161" i="12" s="1"/>
  <c r="Y142" i="12"/>
  <c r="Y161" i="12" s="1"/>
  <c r="Z142" i="12"/>
  <c r="Z161" i="12" s="1"/>
  <c r="AA142" i="12"/>
  <c r="AA161" i="12" s="1"/>
  <c r="AB142" i="12"/>
  <c r="AB161" i="12" s="1"/>
  <c r="AC142" i="12"/>
  <c r="AC161" i="12" s="1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F75" i="12"/>
  <c r="AF76" i="12"/>
  <c r="AF77" i="12"/>
  <c r="AF78" i="12"/>
  <c r="AF79" i="12"/>
  <c r="AF80" i="12"/>
  <c r="AF81" i="12"/>
  <c r="AF82" i="12"/>
  <c r="AF83" i="12"/>
  <c r="AF84" i="12"/>
  <c r="AF85" i="12"/>
  <c r="AF86" i="12"/>
  <c r="AF87" i="12"/>
  <c r="AF88" i="12"/>
  <c r="AF89" i="12"/>
  <c r="AF90" i="12"/>
  <c r="AF91" i="12"/>
  <c r="AF92" i="12"/>
  <c r="AF93" i="12"/>
  <c r="AF94" i="12"/>
  <c r="AF95" i="12"/>
  <c r="AF96" i="12"/>
  <c r="AF97" i="12"/>
  <c r="AF98" i="12"/>
  <c r="AF99" i="12"/>
  <c r="AF101" i="12"/>
  <c r="AF102" i="12"/>
  <c r="AF103" i="12"/>
  <c r="AF104" i="12"/>
  <c r="AF105" i="12"/>
  <c r="AF106" i="12"/>
  <c r="AF107" i="12"/>
  <c r="AF108" i="12"/>
  <c r="AF109" i="12"/>
  <c r="AF110" i="12"/>
  <c r="AF111" i="12"/>
  <c r="AF112" i="12"/>
  <c r="AF113" i="12"/>
  <c r="AF114" i="12"/>
  <c r="AF115" i="12"/>
  <c r="AF116" i="12"/>
  <c r="AF117" i="12"/>
  <c r="AF118" i="12"/>
  <c r="AF119" i="12"/>
  <c r="AF125" i="12"/>
  <c r="AF126" i="12"/>
  <c r="AF127" i="12"/>
  <c r="AF128" i="12"/>
  <c r="AF129" i="12"/>
  <c r="AF130" i="12"/>
  <c r="AF131" i="12"/>
  <c r="AF132" i="12"/>
  <c r="AF133" i="12"/>
  <c r="AF134" i="12"/>
  <c r="AF135" i="12"/>
  <c r="AF136" i="12"/>
  <c r="AF137" i="12"/>
  <c r="AF138" i="12"/>
  <c r="AF139" i="12"/>
  <c r="AF140" i="12"/>
  <c r="AF141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25" i="12"/>
  <c r="AE126" i="12"/>
  <c r="AE127" i="12"/>
  <c r="AE128" i="12"/>
  <c r="AE129" i="12"/>
  <c r="AE130" i="12"/>
  <c r="AE131" i="12"/>
  <c r="AE132" i="12"/>
  <c r="AE133" i="12"/>
  <c r="AE134" i="12"/>
  <c r="AE135" i="12"/>
  <c r="AE136" i="12"/>
  <c r="AE137" i="12"/>
  <c r="AE138" i="12"/>
  <c r="AE139" i="12"/>
  <c r="AE140" i="12"/>
  <c r="AE141" i="12"/>
  <c r="AF4" i="12"/>
  <c r="M142" i="12"/>
  <c r="M161" i="12" s="1"/>
  <c r="N142" i="12"/>
  <c r="N161" i="12" s="1"/>
  <c r="AE13" i="17" l="1"/>
  <c r="J16" i="2" s="1"/>
  <c r="AD13" i="17"/>
  <c r="I16" i="2" s="1"/>
  <c r="AE142" i="12"/>
  <c r="AF100" i="12"/>
  <c r="H84" i="8"/>
  <c r="J84" i="8"/>
  <c r="L84" i="8"/>
  <c r="N84" i="8"/>
  <c r="R84" i="8"/>
  <c r="T84" i="8"/>
  <c r="V84" i="8"/>
  <c r="H83" i="8"/>
  <c r="J83" i="8"/>
  <c r="L83" i="8"/>
  <c r="N83" i="8"/>
  <c r="R83" i="8"/>
  <c r="T83" i="8"/>
  <c r="V83" i="8"/>
  <c r="H82" i="8"/>
  <c r="J82" i="8"/>
  <c r="L82" i="8"/>
  <c r="N82" i="8"/>
  <c r="R82" i="8"/>
  <c r="T82" i="8"/>
  <c r="V82" i="8"/>
  <c r="AE161" i="12" l="1"/>
  <c r="I16" i="4"/>
  <c r="AF83" i="8"/>
  <c r="AF82" i="8"/>
  <c r="AF84" i="8"/>
  <c r="CF150" i="1"/>
  <c r="CG150" i="1" s="1"/>
  <c r="CF151" i="1"/>
  <c r="CG151" i="1" s="1"/>
  <c r="CF152" i="1"/>
  <c r="CG152" i="1" s="1"/>
  <c r="CF153" i="1"/>
  <c r="CG153" i="1" s="1"/>
  <c r="CF154" i="1"/>
  <c r="CG154" i="1" s="1"/>
  <c r="CF155" i="1"/>
  <c r="CG155" i="1" s="1"/>
  <c r="CF158" i="1"/>
  <c r="CG158" i="1" s="1"/>
  <c r="CF159" i="1"/>
  <c r="CG159" i="1" s="1"/>
  <c r="CF160" i="1"/>
  <c r="CG160" i="1" s="1"/>
  <c r="CF161" i="1"/>
  <c r="CG161" i="1" s="1"/>
  <c r="CF162" i="1"/>
  <c r="CG162" i="1" s="1"/>
  <c r="CF149" i="1"/>
  <c r="CG149" i="1" s="1"/>
  <c r="BF150" i="1"/>
  <c r="BG150" i="1" s="1"/>
  <c r="BF151" i="1"/>
  <c r="BG151" i="1" s="1"/>
  <c r="BF152" i="1"/>
  <c r="BG152" i="1" s="1"/>
  <c r="BF153" i="1"/>
  <c r="BG153" i="1" s="1"/>
  <c r="BF154" i="1"/>
  <c r="BG154" i="1" s="1"/>
  <c r="BF155" i="1"/>
  <c r="BG155" i="1" s="1"/>
  <c r="BF158" i="1"/>
  <c r="BG158" i="1" s="1"/>
  <c r="BF159" i="1"/>
  <c r="BG159" i="1" s="1"/>
  <c r="BF160" i="1"/>
  <c r="BG160" i="1" s="1"/>
  <c r="BF161" i="1"/>
  <c r="BG161" i="1" s="1"/>
  <c r="BF162" i="1"/>
  <c r="BG162" i="1" s="1"/>
  <c r="BF149" i="1"/>
  <c r="BG149" i="1" s="1"/>
  <c r="AF150" i="1"/>
  <c r="AG150" i="1" s="1"/>
  <c r="AF151" i="1"/>
  <c r="AG151" i="1" s="1"/>
  <c r="AF152" i="1"/>
  <c r="AG152" i="1" s="1"/>
  <c r="AF153" i="1"/>
  <c r="AG153" i="1" s="1"/>
  <c r="AF154" i="1"/>
  <c r="AG154" i="1" s="1"/>
  <c r="AF155" i="1"/>
  <c r="AG155" i="1" s="1"/>
  <c r="AF158" i="1"/>
  <c r="AG158" i="1" s="1"/>
  <c r="AF159" i="1"/>
  <c r="AG159" i="1" s="1"/>
  <c r="AF160" i="1"/>
  <c r="AG160" i="1" s="1"/>
  <c r="AF161" i="1"/>
  <c r="AG161" i="1" s="1"/>
  <c r="AF162" i="1"/>
  <c r="AG162" i="1" s="1"/>
  <c r="AF149" i="1"/>
  <c r="AG149" i="1" s="1"/>
  <c r="CF5" i="1"/>
  <c r="CG5" i="1" s="1"/>
  <c r="CF6" i="1"/>
  <c r="CG6" i="1" s="1"/>
  <c r="CF7" i="1"/>
  <c r="CG7" i="1" s="1"/>
  <c r="CF8" i="1"/>
  <c r="CG8" i="1" s="1"/>
  <c r="CF9" i="1"/>
  <c r="CG9" i="1" s="1"/>
  <c r="CF10" i="1"/>
  <c r="CG10" i="1" s="1"/>
  <c r="CF11" i="1"/>
  <c r="CG11" i="1" s="1"/>
  <c r="CF12" i="1"/>
  <c r="CG12" i="1" s="1"/>
  <c r="CF13" i="1"/>
  <c r="CG13" i="1" s="1"/>
  <c r="CF14" i="1"/>
  <c r="CG14" i="1" s="1"/>
  <c r="CF15" i="1"/>
  <c r="CG15" i="1" s="1"/>
  <c r="CF16" i="1"/>
  <c r="G24" i="4" s="1"/>
  <c r="CF17" i="1"/>
  <c r="G25" i="4" s="1"/>
  <c r="CF18" i="1"/>
  <c r="CG18" i="1" s="1"/>
  <c r="H26" i="4" s="1"/>
  <c r="CF19" i="1"/>
  <c r="G27" i="4" s="1"/>
  <c r="CF20" i="1"/>
  <c r="CG20" i="1" s="1"/>
  <c r="H28" i="4" s="1"/>
  <c r="CF21" i="1"/>
  <c r="CG21" i="1" s="1"/>
  <c r="H29" i="4" s="1"/>
  <c r="CF22" i="1"/>
  <c r="G30" i="4" s="1"/>
  <c r="CF23" i="1"/>
  <c r="G31" i="4" s="1"/>
  <c r="CF24" i="1"/>
  <c r="CG24" i="1" s="1"/>
  <c r="H32" i="4" s="1"/>
  <c r="CF25" i="1"/>
  <c r="CG25" i="1" s="1"/>
  <c r="CF26" i="1"/>
  <c r="CG26" i="1" s="1"/>
  <c r="CF27" i="1"/>
  <c r="CG27" i="1" s="1"/>
  <c r="CF28" i="1"/>
  <c r="CG28" i="1" s="1"/>
  <c r="CF29" i="1"/>
  <c r="CG29" i="1" s="1"/>
  <c r="CF30" i="1"/>
  <c r="CG30" i="1" s="1"/>
  <c r="CF31" i="1"/>
  <c r="CG31" i="1" s="1"/>
  <c r="CF32" i="1"/>
  <c r="CG32" i="1" s="1"/>
  <c r="CF33" i="1"/>
  <c r="CG33" i="1" s="1"/>
  <c r="CF34" i="1"/>
  <c r="CG34" i="1" s="1"/>
  <c r="CF35" i="1"/>
  <c r="CG35" i="1" s="1"/>
  <c r="CF36" i="1"/>
  <c r="CG36" i="1" s="1"/>
  <c r="CF37" i="1"/>
  <c r="CG37" i="1" s="1"/>
  <c r="CF38" i="1"/>
  <c r="CG38" i="1" s="1"/>
  <c r="CF39" i="1"/>
  <c r="CG39" i="1" s="1"/>
  <c r="CF40" i="1"/>
  <c r="CG40" i="1" s="1"/>
  <c r="CF41" i="1"/>
  <c r="CG41" i="1" s="1"/>
  <c r="CF42" i="1"/>
  <c r="CG42" i="1" s="1"/>
  <c r="CF43" i="1"/>
  <c r="CG43" i="1" s="1"/>
  <c r="CF44" i="1"/>
  <c r="CG44" i="1" s="1"/>
  <c r="CF45" i="1"/>
  <c r="CG45" i="1" s="1"/>
  <c r="CF46" i="1"/>
  <c r="CG46" i="1" s="1"/>
  <c r="CF47" i="1"/>
  <c r="CG47" i="1" s="1"/>
  <c r="CF48" i="1"/>
  <c r="CG48" i="1" s="1"/>
  <c r="CF49" i="1"/>
  <c r="CG49" i="1" s="1"/>
  <c r="CF50" i="1"/>
  <c r="CG50" i="1" s="1"/>
  <c r="CF51" i="1"/>
  <c r="CG51" i="1" s="1"/>
  <c r="CF52" i="1"/>
  <c r="CG52" i="1" s="1"/>
  <c r="CF53" i="1"/>
  <c r="CG53" i="1" s="1"/>
  <c r="CF54" i="1"/>
  <c r="CG54" i="1" s="1"/>
  <c r="CF55" i="1"/>
  <c r="CG55" i="1" s="1"/>
  <c r="CF56" i="1"/>
  <c r="CG56" i="1" s="1"/>
  <c r="CF57" i="1"/>
  <c r="CG57" i="1" s="1"/>
  <c r="CF58" i="1"/>
  <c r="CG58" i="1" s="1"/>
  <c r="CF59" i="1"/>
  <c r="CG59" i="1" s="1"/>
  <c r="CF60" i="1"/>
  <c r="CG60" i="1" s="1"/>
  <c r="CF61" i="1"/>
  <c r="CG61" i="1" s="1"/>
  <c r="CF62" i="1"/>
  <c r="CG62" i="1" s="1"/>
  <c r="CF63" i="1"/>
  <c r="CG63" i="1" s="1"/>
  <c r="CF64" i="1"/>
  <c r="CG64" i="1" s="1"/>
  <c r="CF65" i="1"/>
  <c r="CG65" i="1" s="1"/>
  <c r="CF66" i="1"/>
  <c r="CG66" i="1" s="1"/>
  <c r="CF67" i="1"/>
  <c r="CG67" i="1" s="1"/>
  <c r="CF68" i="1"/>
  <c r="CG68" i="1" s="1"/>
  <c r="CF69" i="1"/>
  <c r="CG69" i="1" s="1"/>
  <c r="CF70" i="1"/>
  <c r="CG70" i="1" s="1"/>
  <c r="CF71" i="1"/>
  <c r="CG71" i="1" s="1"/>
  <c r="CF72" i="1"/>
  <c r="CG72" i="1" s="1"/>
  <c r="CF73" i="1"/>
  <c r="CG73" i="1" s="1"/>
  <c r="CF74" i="1"/>
  <c r="CG74" i="1" s="1"/>
  <c r="CF75" i="1"/>
  <c r="CG75" i="1" s="1"/>
  <c r="CF76" i="1"/>
  <c r="CG76" i="1" s="1"/>
  <c r="CF77" i="1"/>
  <c r="CG77" i="1" s="1"/>
  <c r="CF78" i="1"/>
  <c r="CG78" i="1" s="1"/>
  <c r="CF79" i="1"/>
  <c r="CG79" i="1" s="1"/>
  <c r="CF80" i="1"/>
  <c r="CG80" i="1" s="1"/>
  <c r="CF81" i="1"/>
  <c r="CG81" i="1" s="1"/>
  <c r="CF82" i="1"/>
  <c r="CG82" i="1" s="1"/>
  <c r="CF83" i="1"/>
  <c r="CG83" i="1" s="1"/>
  <c r="CF84" i="1"/>
  <c r="CG84" i="1" s="1"/>
  <c r="CF85" i="1"/>
  <c r="CG85" i="1" s="1"/>
  <c r="CF86" i="1"/>
  <c r="CG86" i="1" s="1"/>
  <c r="CF87" i="1"/>
  <c r="CG87" i="1" s="1"/>
  <c r="CF88" i="1"/>
  <c r="CG88" i="1" s="1"/>
  <c r="CF89" i="1"/>
  <c r="CG89" i="1" s="1"/>
  <c r="CF90" i="1"/>
  <c r="CG90" i="1" s="1"/>
  <c r="CF91" i="1"/>
  <c r="CG91" i="1" s="1"/>
  <c r="CF92" i="1"/>
  <c r="CG92" i="1" s="1"/>
  <c r="CF93" i="1"/>
  <c r="CG93" i="1" s="1"/>
  <c r="CF94" i="1"/>
  <c r="CG94" i="1" s="1"/>
  <c r="CF95" i="1"/>
  <c r="CG95" i="1" s="1"/>
  <c r="CF96" i="1"/>
  <c r="CG96" i="1" s="1"/>
  <c r="CF97" i="1"/>
  <c r="CG97" i="1" s="1"/>
  <c r="CF98" i="1"/>
  <c r="CG98" i="1" s="1"/>
  <c r="CF99" i="1"/>
  <c r="CG99" i="1" s="1"/>
  <c r="CF100" i="1"/>
  <c r="CG100" i="1" s="1"/>
  <c r="CF101" i="1"/>
  <c r="CG101" i="1" s="1"/>
  <c r="CF102" i="1"/>
  <c r="CG102" i="1" s="1"/>
  <c r="CF103" i="1"/>
  <c r="CG103" i="1" s="1"/>
  <c r="CF104" i="1"/>
  <c r="CG104" i="1" s="1"/>
  <c r="CF105" i="1"/>
  <c r="CG105" i="1" s="1"/>
  <c r="CF106" i="1"/>
  <c r="CG106" i="1" s="1"/>
  <c r="CF107" i="1"/>
  <c r="CG107" i="1" s="1"/>
  <c r="CF108" i="1"/>
  <c r="CG108" i="1" s="1"/>
  <c r="CF109" i="1"/>
  <c r="CG109" i="1" s="1"/>
  <c r="CF110" i="1"/>
  <c r="CG110" i="1" s="1"/>
  <c r="CF111" i="1"/>
  <c r="CG111" i="1" s="1"/>
  <c r="CF112" i="1"/>
  <c r="CG112" i="1" s="1"/>
  <c r="CF113" i="1"/>
  <c r="CG113" i="1" s="1"/>
  <c r="CF114" i="1"/>
  <c r="CG114" i="1" s="1"/>
  <c r="CF115" i="1"/>
  <c r="CG115" i="1" s="1"/>
  <c r="CF116" i="1"/>
  <c r="CG116" i="1" s="1"/>
  <c r="CF117" i="1"/>
  <c r="CG117" i="1" s="1"/>
  <c r="CF118" i="1"/>
  <c r="CG118" i="1" s="1"/>
  <c r="CF119" i="1"/>
  <c r="CG119" i="1" s="1"/>
  <c r="CF130" i="1"/>
  <c r="CG130" i="1" s="1"/>
  <c r="CF131" i="1"/>
  <c r="CG131" i="1" s="1"/>
  <c r="CF132" i="1"/>
  <c r="CG132" i="1" s="1"/>
  <c r="CF133" i="1"/>
  <c r="CG133" i="1" s="1"/>
  <c r="CF134" i="1"/>
  <c r="CG134" i="1" s="1"/>
  <c r="CF135" i="1"/>
  <c r="CG135" i="1" s="1"/>
  <c r="CF136" i="1"/>
  <c r="CG136" i="1" s="1"/>
  <c r="CF137" i="1"/>
  <c r="CG137" i="1" s="1"/>
  <c r="CF138" i="1"/>
  <c r="CG138" i="1" s="1"/>
  <c r="CF139" i="1"/>
  <c r="CG139" i="1" s="1"/>
  <c r="CF141" i="1"/>
  <c r="CG141" i="1" s="1"/>
  <c r="CF142" i="1"/>
  <c r="CG142" i="1" s="1"/>
  <c r="CF143" i="1"/>
  <c r="CG143" i="1" s="1"/>
  <c r="CF144" i="1"/>
  <c r="CG144" i="1" s="1"/>
  <c r="BF5" i="1"/>
  <c r="BG5" i="1" s="1"/>
  <c r="BF6" i="1"/>
  <c r="BG6" i="1" s="1"/>
  <c r="BF7" i="1"/>
  <c r="BG7" i="1" s="1"/>
  <c r="BF8" i="1"/>
  <c r="BG8" i="1" s="1"/>
  <c r="BF9" i="1"/>
  <c r="BG9" i="1" s="1"/>
  <c r="BF10" i="1"/>
  <c r="BG10" i="1" s="1"/>
  <c r="BF11" i="1"/>
  <c r="BG11" i="1" s="1"/>
  <c r="BF12" i="1"/>
  <c r="BG12" i="1" s="1"/>
  <c r="BF13" i="1"/>
  <c r="BG13" i="1" s="1"/>
  <c r="BF14" i="1"/>
  <c r="BG14" i="1" s="1"/>
  <c r="BF15" i="1"/>
  <c r="BG15" i="1" s="1"/>
  <c r="BF16" i="1"/>
  <c r="E24" i="4" s="1"/>
  <c r="BF17" i="1"/>
  <c r="E25" i="4" s="1"/>
  <c r="BF18" i="1"/>
  <c r="BG18" i="1" s="1"/>
  <c r="F26" i="4" s="1"/>
  <c r="BF19" i="1"/>
  <c r="BG19" i="1" s="1"/>
  <c r="F27" i="4" s="1"/>
  <c r="BF20" i="1"/>
  <c r="E28" i="4" s="1"/>
  <c r="BF21" i="1"/>
  <c r="BG21" i="1" s="1"/>
  <c r="F29" i="4" s="1"/>
  <c r="BF22" i="1"/>
  <c r="E30" i="4" s="1"/>
  <c r="BF23" i="1"/>
  <c r="E31" i="4" s="1"/>
  <c r="BF24" i="1"/>
  <c r="BG24" i="1" s="1"/>
  <c r="F32" i="4" s="1"/>
  <c r="BF25" i="1"/>
  <c r="BG25" i="1" s="1"/>
  <c r="BF26" i="1"/>
  <c r="BG26" i="1" s="1"/>
  <c r="BF27" i="1"/>
  <c r="BG27" i="1" s="1"/>
  <c r="BF28" i="1"/>
  <c r="BG28" i="1" s="1"/>
  <c r="BF29" i="1"/>
  <c r="BG29" i="1" s="1"/>
  <c r="BF30" i="1"/>
  <c r="BG30" i="1" s="1"/>
  <c r="BF31" i="1"/>
  <c r="BG31" i="1" s="1"/>
  <c r="BF32" i="1"/>
  <c r="BG32" i="1" s="1"/>
  <c r="BF33" i="1"/>
  <c r="BG33" i="1" s="1"/>
  <c r="BF34" i="1"/>
  <c r="BG34" i="1" s="1"/>
  <c r="BF35" i="1"/>
  <c r="BG35" i="1" s="1"/>
  <c r="BF36" i="1"/>
  <c r="BG36" i="1" s="1"/>
  <c r="BF37" i="1"/>
  <c r="BG37" i="1" s="1"/>
  <c r="BF38" i="1"/>
  <c r="BG38" i="1" s="1"/>
  <c r="BF39" i="1"/>
  <c r="BG39" i="1" s="1"/>
  <c r="BF40" i="1"/>
  <c r="BG40" i="1" s="1"/>
  <c r="BF41" i="1"/>
  <c r="BG41" i="1" s="1"/>
  <c r="BF42" i="1"/>
  <c r="BG42" i="1" s="1"/>
  <c r="BF43" i="1"/>
  <c r="BG43" i="1" s="1"/>
  <c r="BF44" i="1"/>
  <c r="BG44" i="1" s="1"/>
  <c r="BF45" i="1"/>
  <c r="BG45" i="1" s="1"/>
  <c r="BF46" i="1"/>
  <c r="BG46" i="1" s="1"/>
  <c r="BF47" i="1"/>
  <c r="BG47" i="1" s="1"/>
  <c r="BF48" i="1"/>
  <c r="BG48" i="1" s="1"/>
  <c r="BF49" i="1"/>
  <c r="BG49" i="1" s="1"/>
  <c r="BF50" i="1"/>
  <c r="BG50" i="1" s="1"/>
  <c r="BF51" i="1"/>
  <c r="BG51" i="1" s="1"/>
  <c r="BF52" i="1"/>
  <c r="BG52" i="1" s="1"/>
  <c r="BF53" i="1"/>
  <c r="BG53" i="1" s="1"/>
  <c r="BF54" i="1"/>
  <c r="BG54" i="1" s="1"/>
  <c r="BF55" i="1"/>
  <c r="BG55" i="1" s="1"/>
  <c r="BF56" i="1"/>
  <c r="BG56" i="1" s="1"/>
  <c r="BF57" i="1"/>
  <c r="BG57" i="1" s="1"/>
  <c r="BF58" i="1"/>
  <c r="BG58" i="1" s="1"/>
  <c r="BF59" i="1"/>
  <c r="BG59" i="1" s="1"/>
  <c r="BF60" i="1"/>
  <c r="BG60" i="1" s="1"/>
  <c r="BF61" i="1"/>
  <c r="BG61" i="1" s="1"/>
  <c r="BF62" i="1"/>
  <c r="BG62" i="1" s="1"/>
  <c r="BF63" i="1"/>
  <c r="BG63" i="1" s="1"/>
  <c r="BF64" i="1"/>
  <c r="BG64" i="1" s="1"/>
  <c r="BF65" i="1"/>
  <c r="BG65" i="1" s="1"/>
  <c r="BF66" i="1"/>
  <c r="BG66" i="1" s="1"/>
  <c r="BF67" i="1"/>
  <c r="BG67" i="1" s="1"/>
  <c r="BF68" i="1"/>
  <c r="BG68" i="1" s="1"/>
  <c r="BF69" i="1"/>
  <c r="BG69" i="1" s="1"/>
  <c r="BF70" i="1"/>
  <c r="BG70" i="1" s="1"/>
  <c r="BF71" i="1"/>
  <c r="BG71" i="1" s="1"/>
  <c r="BF72" i="1"/>
  <c r="BG72" i="1" s="1"/>
  <c r="BF73" i="1"/>
  <c r="BG73" i="1" s="1"/>
  <c r="BF74" i="1"/>
  <c r="BG74" i="1" s="1"/>
  <c r="BF75" i="1"/>
  <c r="BG75" i="1" s="1"/>
  <c r="BF76" i="1"/>
  <c r="BG76" i="1" s="1"/>
  <c r="BF77" i="1"/>
  <c r="BG77" i="1" s="1"/>
  <c r="BF78" i="1"/>
  <c r="BG78" i="1" s="1"/>
  <c r="BF79" i="1"/>
  <c r="BG79" i="1" s="1"/>
  <c r="BF80" i="1"/>
  <c r="BG80" i="1" s="1"/>
  <c r="BF81" i="1"/>
  <c r="BG81" i="1" s="1"/>
  <c r="BF82" i="1"/>
  <c r="BG82" i="1" s="1"/>
  <c r="BF83" i="1"/>
  <c r="BG83" i="1" s="1"/>
  <c r="BF84" i="1"/>
  <c r="BG84" i="1" s="1"/>
  <c r="BF85" i="1"/>
  <c r="BG85" i="1" s="1"/>
  <c r="BF86" i="1"/>
  <c r="BG86" i="1" s="1"/>
  <c r="BF87" i="1"/>
  <c r="BG87" i="1" s="1"/>
  <c r="BF88" i="1"/>
  <c r="BG88" i="1" s="1"/>
  <c r="BF89" i="1"/>
  <c r="BG89" i="1" s="1"/>
  <c r="BF90" i="1"/>
  <c r="BG90" i="1" s="1"/>
  <c r="BF91" i="1"/>
  <c r="BG91" i="1" s="1"/>
  <c r="BF92" i="1"/>
  <c r="BG92" i="1" s="1"/>
  <c r="BF93" i="1"/>
  <c r="BG93" i="1" s="1"/>
  <c r="BF94" i="1"/>
  <c r="BG94" i="1" s="1"/>
  <c r="BF95" i="1"/>
  <c r="BG95" i="1" s="1"/>
  <c r="BF96" i="1"/>
  <c r="BG96" i="1" s="1"/>
  <c r="BF97" i="1"/>
  <c r="BG97" i="1" s="1"/>
  <c r="BF98" i="1"/>
  <c r="BG98" i="1" s="1"/>
  <c r="BF99" i="1"/>
  <c r="BG99" i="1" s="1"/>
  <c r="BF100" i="1"/>
  <c r="BG100" i="1" s="1"/>
  <c r="BF101" i="1"/>
  <c r="BG101" i="1" s="1"/>
  <c r="BF102" i="1"/>
  <c r="BG102" i="1" s="1"/>
  <c r="BF103" i="1"/>
  <c r="BG103" i="1" s="1"/>
  <c r="BF104" i="1"/>
  <c r="BG104" i="1" s="1"/>
  <c r="BF105" i="1"/>
  <c r="BG105" i="1" s="1"/>
  <c r="BF106" i="1"/>
  <c r="BG106" i="1" s="1"/>
  <c r="BF107" i="1"/>
  <c r="BG107" i="1" s="1"/>
  <c r="BF108" i="1"/>
  <c r="BG108" i="1" s="1"/>
  <c r="BF109" i="1"/>
  <c r="BG109" i="1" s="1"/>
  <c r="BF110" i="1"/>
  <c r="BG110" i="1" s="1"/>
  <c r="BF111" i="1"/>
  <c r="BG111" i="1" s="1"/>
  <c r="BF112" i="1"/>
  <c r="BG112" i="1" s="1"/>
  <c r="BF113" i="1"/>
  <c r="BG113" i="1" s="1"/>
  <c r="BF114" i="1"/>
  <c r="BG114" i="1" s="1"/>
  <c r="BF115" i="1"/>
  <c r="BG115" i="1" s="1"/>
  <c r="BF116" i="1"/>
  <c r="BG116" i="1" s="1"/>
  <c r="BF117" i="1"/>
  <c r="BG117" i="1" s="1"/>
  <c r="BF118" i="1"/>
  <c r="BG118" i="1" s="1"/>
  <c r="BF119" i="1"/>
  <c r="BG119" i="1" s="1"/>
  <c r="BF130" i="1"/>
  <c r="BG130" i="1" s="1"/>
  <c r="BF131" i="1"/>
  <c r="BG131" i="1" s="1"/>
  <c r="BF132" i="1"/>
  <c r="BG132" i="1" s="1"/>
  <c r="BF133" i="1"/>
  <c r="BG133" i="1" s="1"/>
  <c r="BF134" i="1"/>
  <c r="BG134" i="1" s="1"/>
  <c r="BF135" i="1"/>
  <c r="BG135" i="1" s="1"/>
  <c r="BF136" i="1"/>
  <c r="BG136" i="1" s="1"/>
  <c r="BF137" i="1"/>
  <c r="BG137" i="1" s="1"/>
  <c r="BF138" i="1"/>
  <c r="BG138" i="1" s="1"/>
  <c r="BF139" i="1"/>
  <c r="BG139" i="1" s="1"/>
  <c r="BF141" i="1"/>
  <c r="BG141" i="1" s="1"/>
  <c r="BF142" i="1"/>
  <c r="BG142" i="1" s="1"/>
  <c r="BF143" i="1"/>
  <c r="BG143" i="1" s="1"/>
  <c r="BF144" i="1"/>
  <c r="BG144" i="1" s="1"/>
  <c r="AF5" i="1"/>
  <c r="AG5" i="1" s="1"/>
  <c r="AF6" i="1"/>
  <c r="AG6" i="1" s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13" i="1"/>
  <c r="AG13" i="1" s="1"/>
  <c r="AF14" i="1"/>
  <c r="AG14" i="1" s="1"/>
  <c r="AF15" i="1"/>
  <c r="AG15" i="1" s="1"/>
  <c r="AF16" i="1"/>
  <c r="C24" i="4" s="1"/>
  <c r="AF17" i="1"/>
  <c r="C25" i="4" s="1"/>
  <c r="AF18" i="1"/>
  <c r="AG18" i="1" s="1"/>
  <c r="D26" i="4" s="1"/>
  <c r="AF19" i="1"/>
  <c r="C27" i="4" s="1"/>
  <c r="AF20" i="1"/>
  <c r="AG20" i="1" s="1"/>
  <c r="D28" i="4" s="1"/>
  <c r="AF21" i="1"/>
  <c r="AG21" i="1" s="1"/>
  <c r="D29" i="4" s="1"/>
  <c r="AF22" i="1"/>
  <c r="C30" i="4" s="1"/>
  <c r="AF23" i="1"/>
  <c r="C31" i="4" s="1"/>
  <c r="AF24" i="1"/>
  <c r="AG24" i="1" s="1"/>
  <c r="D32" i="4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F50" i="1"/>
  <c r="AG50" i="1" s="1"/>
  <c r="AF51" i="1"/>
  <c r="AG51" i="1" s="1"/>
  <c r="AF52" i="1"/>
  <c r="AG52" i="1" s="1"/>
  <c r="AF53" i="1"/>
  <c r="AG53" i="1" s="1"/>
  <c r="AF54" i="1"/>
  <c r="AG54" i="1" s="1"/>
  <c r="AF55" i="1"/>
  <c r="AG55" i="1" s="1"/>
  <c r="AF56" i="1"/>
  <c r="AG56" i="1" s="1"/>
  <c r="AF57" i="1"/>
  <c r="AG57" i="1" s="1"/>
  <c r="AF58" i="1"/>
  <c r="AG58" i="1" s="1"/>
  <c r="AF59" i="1"/>
  <c r="AG59" i="1" s="1"/>
  <c r="AF60" i="1"/>
  <c r="AG60" i="1" s="1"/>
  <c r="AF61" i="1"/>
  <c r="AG61" i="1" s="1"/>
  <c r="AF62" i="1"/>
  <c r="AG62" i="1" s="1"/>
  <c r="AF63" i="1"/>
  <c r="AG63" i="1" s="1"/>
  <c r="AF64" i="1"/>
  <c r="AG64" i="1" s="1"/>
  <c r="AF65" i="1"/>
  <c r="AG65" i="1" s="1"/>
  <c r="AF66" i="1"/>
  <c r="AG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F80" i="1"/>
  <c r="AG80" i="1" s="1"/>
  <c r="AF81" i="1"/>
  <c r="AG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F90" i="1"/>
  <c r="AG90" i="1" s="1"/>
  <c r="AF91" i="1"/>
  <c r="AG91" i="1" s="1"/>
  <c r="AF92" i="1"/>
  <c r="AG92" i="1" s="1"/>
  <c r="AF93" i="1"/>
  <c r="AG93" i="1" s="1"/>
  <c r="AF94" i="1"/>
  <c r="AG94" i="1" s="1"/>
  <c r="AF95" i="1"/>
  <c r="AG95" i="1" s="1"/>
  <c r="AF96" i="1"/>
  <c r="AG96" i="1" s="1"/>
  <c r="AF97" i="1"/>
  <c r="AG97" i="1" s="1"/>
  <c r="AF98" i="1"/>
  <c r="AG98" i="1" s="1"/>
  <c r="AF99" i="1"/>
  <c r="AG99" i="1" s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F113" i="1"/>
  <c r="AG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30" i="1"/>
  <c r="AG130" i="1" s="1"/>
  <c r="AF131" i="1"/>
  <c r="AG131" i="1" s="1"/>
  <c r="AF132" i="1"/>
  <c r="AG132" i="1" s="1"/>
  <c r="AF133" i="1"/>
  <c r="AG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1" i="1"/>
  <c r="AG141" i="1" s="1"/>
  <c r="AF142" i="1"/>
  <c r="AG142" i="1" s="1"/>
  <c r="AF143" i="1"/>
  <c r="AG143" i="1" s="1"/>
  <c r="AF144" i="1"/>
  <c r="AG144" i="1" s="1"/>
  <c r="CF4" i="1"/>
  <c r="BF4" i="1"/>
  <c r="AF4" i="1"/>
  <c r="CT164" i="1"/>
  <c r="CP164" i="1"/>
  <c r="CN164" i="1"/>
  <c r="CL164" i="1"/>
  <c r="CJ164" i="1"/>
  <c r="CH164" i="1"/>
  <c r="CD164" i="1"/>
  <c r="CB164" i="1"/>
  <c r="BZ164" i="1"/>
  <c r="BX164" i="1"/>
  <c r="BV164" i="1"/>
  <c r="BT164" i="1"/>
  <c r="BR164" i="1"/>
  <c r="BP164" i="1"/>
  <c r="BN164" i="1"/>
  <c r="BL164" i="1"/>
  <c r="BJ164" i="1"/>
  <c r="BH164" i="1"/>
  <c r="BD164" i="1"/>
  <c r="BB164" i="1"/>
  <c r="AZ164" i="1"/>
  <c r="AX164" i="1"/>
  <c r="AV164" i="1"/>
  <c r="AT164" i="1"/>
  <c r="AR164" i="1"/>
  <c r="AP164" i="1"/>
  <c r="AN164" i="1"/>
  <c r="AL164" i="1"/>
  <c r="AJ164" i="1"/>
  <c r="AH164" i="1"/>
  <c r="AD164" i="1"/>
  <c r="AB164" i="1"/>
  <c r="Z164" i="1"/>
  <c r="X164" i="1"/>
  <c r="V164" i="1"/>
  <c r="T164" i="1"/>
  <c r="R164" i="1"/>
  <c r="P164" i="1"/>
  <c r="N164" i="1"/>
  <c r="L164" i="1"/>
  <c r="J164" i="1"/>
  <c r="H164" i="1"/>
  <c r="DF163" i="1"/>
  <c r="DG163" i="1" s="1"/>
  <c r="CW163" i="1"/>
  <c r="CU163" i="1"/>
  <c r="CS163" i="1"/>
  <c r="CQ163" i="1"/>
  <c r="CO163" i="1"/>
  <c r="CM163" i="1"/>
  <c r="CK163" i="1"/>
  <c r="CI163" i="1"/>
  <c r="CE163" i="1"/>
  <c r="DF162" i="1"/>
  <c r="DG162" i="1" s="1"/>
  <c r="CW162" i="1"/>
  <c r="CU162" i="1"/>
  <c r="CS162" i="1"/>
  <c r="CQ162" i="1"/>
  <c r="CO162" i="1"/>
  <c r="CM162" i="1"/>
  <c r="CK162" i="1"/>
  <c r="CI162" i="1"/>
  <c r="CE162" i="1"/>
  <c r="CC162" i="1"/>
  <c r="CA162" i="1"/>
  <c r="BY162" i="1"/>
  <c r="BW162" i="1"/>
  <c r="BU162" i="1"/>
  <c r="BS162" i="1"/>
  <c r="BQ162" i="1"/>
  <c r="BO162" i="1"/>
  <c r="BM162" i="1"/>
  <c r="BK162" i="1"/>
  <c r="BI162" i="1"/>
  <c r="BE162" i="1"/>
  <c r="BC162" i="1"/>
  <c r="BA162" i="1"/>
  <c r="AY162" i="1"/>
  <c r="AW162" i="1"/>
  <c r="AU162" i="1"/>
  <c r="AS162" i="1"/>
  <c r="AQ162" i="1"/>
  <c r="AO162" i="1"/>
  <c r="AM162" i="1"/>
  <c r="AK162" i="1"/>
  <c r="AI162" i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DF161" i="1"/>
  <c r="DG161" i="1" s="1"/>
  <c r="CW161" i="1"/>
  <c r="CU161" i="1"/>
  <c r="CS161" i="1"/>
  <c r="CQ161" i="1"/>
  <c r="CO161" i="1"/>
  <c r="CM161" i="1"/>
  <c r="CK161" i="1"/>
  <c r="CI161" i="1"/>
  <c r="CE161" i="1"/>
  <c r="CC161" i="1"/>
  <c r="CA161" i="1"/>
  <c r="BY161" i="1"/>
  <c r="BW161" i="1"/>
  <c r="BU161" i="1"/>
  <c r="BS161" i="1"/>
  <c r="BQ161" i="1"/>
  <c r="BO161" i="1"/>
  <c r="BM161" i="1"/>
  <c r="BK161" i="1"/>
  <c r="BI161" i="1"/>
  <c r="BE161" i="1"/>
  <c r="BC161" i="1"/>
  <c r="BA161" i="1"/>
  <c r="AY161" i="1"/>
  <c r="AW161" i="1"/>
  <c r="AU161" i="1"/>
  <c r="AS161" i="1"/>
  <c r="AQ161" i="1"/>
  <c r="AO161" i="1"/>
  <c r="AM161" i="1"/>
  <c r="AK161" i="1"/>
  <c r="AI161" i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DF160" i="1"/>
  <c r="DG160" i="1" s="1"/>
  <c r="CW160" i="1"/>
  <c r="CU160" i="1"/>
  <c r="CS160" i="1"/>
  <c r="CQ160" i="1"/>
  <c r="CO160" i="1"/>
  <c r="CM160" i="1"/>
  <c r="CK160" i="1"/>
  <c r="CI160" i="1"/>
  <c r="CE160" i="1"/>
  <c r="CC160" i="1"/>
  <c r="CA160" i="1"/>
  <c r="BY160" i="1"/>
  <c r="BW160" i="1"/>
  <c r="BU160" i="1"/>
  <c r="BS160" i="1"/>
  <c r="BQ160" i="1"/>
  <c r="BO160" i="1"/>
  <c r="BM160" i="1"/>
  <c r="BK160" i="1"/>
  <c r="BI160" i="1"/>
  <c r="BE160" i="1"/>
  <c r="BC160" i="1"/>
  <c r="BA160" i="1"/>
  <c r="AY160" i="1"/>
  <c r="AW160" i="1"/>
  <c r="AU160" i="1"/>
  <c r="AS160" i="1"/>
  <c r="AQ160" i="1"/>
  <c r="AO160" i="1"/>
  <c r="AM160" i="1"/>
  <c r="AK160" i="1"/>
  <c r="AI160" i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DF159" i="1"/>
  <c r="DG159" i="1" s="1"/>
  <c r="CW159" i="1"/>
  <c r="CU159" i="1"/>
  <c r="CS159" i="1"/>
  <c r="CQ159" i="1"/>
  <c r="CO159" i="1"/>
  <c r="CM159" i="1"/>
  <c r="CK159" i="1"/>
  <c r="CI159" i="1"/>
  <c r="CE159" i="1"/>
  <c r="CC159" i="1"/>
  <c r="CA159" i="1"/>
  <c r="BY159" i="1"/>
  <c r="BW159" i="1"/>
  <c r="BU159" i="1"/>
  <c r="BS159" i="1"/>
  <c r="BQ159" i="1"/>
  <c r="BO159" i="1"/>
  <c r="BM159" i="1"/>
  <c r="BK159" i="1"/>
  <c r="BI159" i="1"/>
  <c r="BE159" i="1"/>
  <c r="BC159" i="1"/>
  <c r="BA159" i="1"/>
  <c r="AY159" i="1"/>
  <c r="AW159" i="1"/>
  <c r="AU159" i="1"/>
  <c r="AS159" i="1"/>
  <c r="AQ159" i="1"/>
  <c r="AO159" i="1"/>
  <c r="AM159" i="1"/>
  <c r="AK159" i="1"/>
  <c r="AI159" i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DF158" i="1"/>
  <c r="DG158" i="1" s="1"/>
  <c r="CW158" i="1"/>
  <c r="CU158" i="1"/>
  <c r="CS158" i="1"/>
  <c r="CQ158" i="1"/>
  <c r="CO158" i="1"/>
  <c r="CM158" i="1"/>
  <c r="CK158" i="1"/>
  <c r="CI158" i="1"/>
  <c r="CE158" i="1"/>
  <c r="CC158" i="1"/>
  <c r="CA158" i="1"/>
  <c r="BY158" i="1"/>
  <c r="BW158" i="1"/>
  <c r="BU158" i="1"/>
  <c r="BS158" i="1"/>
  <c r="BQ158" i="1"/>
  <c r="BO158" i="1"/>
  <c r="BM158" i="1"/>
  <c r="BK158" i="1"/>
  <c r="BI158" i="1"/>
  <c r="BE158" i="1"/>
  <c r="BC158" i="1"/>
  <c r="BA158" i="1"/>
  <c r="AY158" i="1"/>
  <c r="AW158" i="1"/>
  <c r="AU158" i="1"/>
  <c r="AS158" i="1"/>
  <c r="AQ158" i="1"/>
  <c r="AO158" i="1"/>
  <c r="AM158" i="1"/>
  <c r="AK158" i="1"/>
  <c r="AI158" i="1"/>
  <c r="AE158" i="1"/>
  <c r="AC158" i="1"/>
  <c r="AA158" i="1"/>
  <c r="Y158" i="1"/>
  <c r="W158" i="1"/>
  <c r="U158" i="1"/>
  <c r="S158" i="1"/>
  <c r="Q158" i="1"/>
  <c r="O158" i="1"/>
  <c r="M158" i="1"/>
  <c r="K158" i="1"/>
  <c r="I158" i="1"/>
  <c r="DF155" i="1"/>
  <c r="DG155" i="1" s="1"/>
  <c r="CW155" i="1"/>
  <c r="CU155" i="1"/>
  <c r="CS155" i="1"/>
  <c r="CQ155" i="1"/>
  <c r="CO155" i="1"/>
  <c r="CM155" i="1"/>
  <c r="CK155" i="1"/>
  <c r="CI155" i="1"/>
  <c r="CE155" i="1"/>
  <c r="CC155" i="1"/>
  <c r="CA155" i="1"/>
  <c r="BY155" i="1"/>
  <c r="BW155" i="1"/>
  <c r="BU155" i="1"/>
  <c r="BS155" i="1"/>
  <c r="BQ155" i="1"/>
  <c r="BO155" i="1"/>
  <c r="BM155" i="1"/>
  <c r="BK155" i="1"/>
  <c r="BI155" i="1"/>
  <c r="BE155" i="1"/>
  <c r="BC155" i="1"/>
  <c r="BA155" i="1"/>
  <c r="AY155" i="1"/>
  <c r="AW155" i="1"/>
  <c r="AU155" i="1"/>
  <c r="AS155" i="1"/>
  <c r="AQ155" i="1"/>
  <c r="AO155" i="1"/>
  <c r="AM155" i="1"/>
  <c r="AK155" i="1"/>
  <c r="AI155" i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DF154" i="1"/>
  <c r="DG154" i="1" s="1"/>
  <c r="CW154" i="1"/>
  <c r="CU154" i="1"/>
  <c r="CS154" i="1"/>
  <c r="CQ154" i="1"/>
  <c r="CO154" i="1"/>
  <c r="CM154" i="1"/>
  <c r="CK154" i="1"/>
  <c r="CI154" i="1"/>
  <c r="CE154" i="1"/>
  <c r="CC154" i="1"/>
  <c r="CA154" i="1"/>
  <c r="BY154" i="1"/>
  <c r="BW154" i="1"/>
  <c r="BU154" i="1"/>
  <c r="BS154" i="1"/>
  <c r="BQ154" i="1"/>
  <c r="BO154" i="1"/>
  <c r="BM154" i="1"/>
  <c r="BK154" i="1"/>
  <c r="BI154" i="1"/>
  <c r="BE154" i="1"/>
  <c r="BC154" i="1"/>
  <c r="BA154" i="1"/>
  <c r="AY154" i="1"/>
  <c r="AW154" i="1"/>
  <c r="AU154" i="1"/>
  <c r="AS154" i="1"/>
  <c r="AQ154" i="1"/>
  <c r="AO154" i="1"/>
  <c r="AM154" i="1"/>
  <c r="AK154" i="1"/>
  <c r="AI154" i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DF153" i="1"/>
  <c r="DG153" i="1" s="1"/>
  <c r="CW153" i="1"/>
  <c r="CU153" i="1"/>
  <c r="CS153" i="1"/>
  <c r="CQ153" i="1"/>
  <c r="CO153" i="1"/>
  <c r="CM153" i="1"/>
  <c r="CK153" i="1"/>
  <c r="CI153" i="1"/>
  <c r="CE153" i="1"/>
  <c r="CC153" i="1"/>
  <c r="CA153" i="1"/>
  <c r="BY153" i="1"/>
  <c r="BW153" i="1"/>
  <c r="BU153" i="1"/>
  <c r="BS153" i="1"/>
  <c r="BQ153" i="1"/>
  <c r="BO153" i="1"/>
  <c r="BM153" i="1"/>
  <c r="BK153" i="1"/>
  <c r="BI153" i="1"/>
  <c r="BE153" i="1"/>
  <c r="BC153" i="1"/>
  <c r="BA153" i="1"/>
  <c r="AY153" i="1"/>
  <c r="AW153" i="1"/>
  <c r="AU153" i="1"/>
  <c r="AS153" i="1"/>
  <c r="AQ153" i="1"/>
  <c r="AO153" i="1"/>
  <c r="AM153" i="1"/>
  <c r="AK153" i="1"/>
  <c r="AI153" i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DF152" i="1"/>
  <c r="DG152" i="1" s="1"/>
  <c r="CW152" i="1"/>
  <c r="CU152" i="1"/>
  <c r="CS152" i="1"/>
  <c r="CQ152" i="1"/>
  <c r="CO152" i="1"/>
  <c r="CM152" i="1"/>
  <c r="CK152" i="1"/>
  <c r="CI152" i="1"/>
  <c r="CE152" i="1"/>
  <c r="CC152" i="1"/>
  <c r="CA152" i="1"/>
  <c r="BY152" i="1"/>
  <c r="BW152" i="1"/>
  <c r="BU152" i="1"/>
  <c r="BS152" i="1"/>
  <c r="BQ152" i="1"/>
  <c r="BO152" i="1"/>
  <c r="BM152" i="1"/>
  <c r="BK152" i="1"/>
  <c r="BI152" i="1"/>
  <c r="BE152" i="1"/>
  <c r="BC152" i="1"/>
  <c r="BA152" i="1"/>
  <c r="AY152" i="1"/>
  <c r="AW152" i="1"/>
  <c r="AU152" i="1"/>
  <c r="AS152" i="1"/>
  <c r="AQ152" i="1"/>
  <c r="AO152" i="1"/>
  <c r="AM152" i="1"/>
  <c r="AK152" i="1"/>
  <c r="AI152" i="1"/>
  <c r="AE152" i="1"/>
  <c r="AC152" i="1"/>
  <c r="AA152" i="1"/>
  <c r="Y152" i="1"/>
  <c r="W152" i="1"/>
  <c r="U152" i="1"/>
  <c r="S152" i="1"/>
  <c r="Q152" i="1"/>
  <c r="O152" i="1"/>
  <c r="M152" i="1"/>
  <c r="K152" i="1"/>
  <c r="I152" i="1"/>
  <c r="DF151" i="1"/>
  <c r="DG151" i="1" s="1"/>
  <c r="CW151" i="1"/>
  <c r="CU151" i="1"/>
  <c r="CS151" i="1"/>
  <c r="CQ151" i="1"/>
  <c r="CO151" i="1"/>
  <c r="CM151" i="1"/>
  <c r="CK151" i="1"/>
  <c r="CI151" i="1"/>
  <c r="CE151" i="1"/>
  <c r="CC151" i="1"/>
  <c r="CA151" i="1"/>
  <c r="BY151" i="1"/>
  <c r="BW151" i="1"/>
  <c r="BU151" i="1"/>
  <c r="BS151" i="1"/>
  <c r="BQ151" i="1"/>
  <c r="BO151" i="1"/>
  <c r="BM151" i="1"/>
  <c r="BK151" i="1"/>
  <c r="BI151" i="1"/>
  <c r="BE151" i="1"/>
  <c r="BC151" i="1"/>
  <c r="BA151" i="1"/>
  <c r="AY151" i="1"/>
  <c r="AW151" i="1"/>
  <c r="AU151" i="1"/>
  <c r="AS151" i="1"/>
  <c r="AQ151" i="1"/>
  <c r="AO151" i="1"/>
  <c r="AM151" i="1"/>
  <c r="AK151" i="1"/>
  <c r="AI151" i="1"/>
  <c r="AE151" i="1"/>
  <c r="AC151" i="1"/>
  <c r="AA151" i="1"/>
  <c r="Y151" i="1"/>
  <c r="W151" i="1"/>
  <c r="U151" i="1"/>
  <c r="S151" i="1"/>
  <c r="Q151" i="1"/>
  <c r="O151" i="1"/>
  <c r="M151" i="1"/>
  <c r="K151" i="1"/>
  <c r="I151" i="1"/>
  <c r="DF150" i="1"/>
  <c r="CW150" i="1"/>
  <c r="CU150" i="1"/>
  <c r="CS150" i="1"/>
  <c r="CQ150" i="1"/>
  <c r="CO150" i="1"/>
  <c r="CM150" i="1"/>
  <c r="CK150" i="1"/>
  <c r="CI150" i="1"/>
  <c r="CE150" i="1"/>
  <c r="CC150" i="1"/>
  <c r="CA150" i="1"/>
  <c r="BY150" i="1"/>
  <c r="BW150" i="1"/>
  <c r="BU150" i="1"/>
  <c r="BS150" i="1"/>
  <c r="BQ150" i="1"/>
  <c r="BO150" i="1"/>
  <c r="BM150" i="1"/>
  <c r="BK150" i="1"/>
  <c r="BI150" i="1"/>
  <c r="BE150" i="1"/>
  <c r="BC150" i="1"/>
  <c r="BA150" i="1"/>
  <c r="AY150" i="1"/>
  <c r="AW150" i="1"/>
  <c r="AU150" i="1"/>
  <c r="AS150" i="1"/>
  <c r="AQ150" i="1"/>
  <c r="AO150" i="1"/>
  <c r="AM150" i="1"/>
  <c r="AK150" i="1"/>
  <c r="AI150" i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DF149" i="1"/>
  <c r="DG149" i="1" s="1"/>
  <c r="CW149" i="1"/>
  <c r="CU149" i="1"/>
  <c r="CS149" i="1"/>
  <c r="CQ149" i="1"/>
  <c r="CO149" i="1"/>
  <c r="CM149" i="1"/>
  <c r="CK149" i="1"/>
  <c r="CI149" i="1"/>
  <c r="CE149" i="1"/>
  <c r="CC149" i="1"/>
  <c r="CA149" i="1"/>
  <c r="BY149" i="1"/>
  <c r="BW149" i="1"/>
  <c r="BU149" i="1"/>
  <c r="BS149" i="1"/>
  <c r="BQ149" i="1"/>
  <c r="BO149" i="1"/>
  <c r="BM149" i="1"/>
  <c r="BK149" i="1"/>
  <c r="BI149" i="1"/>
  <c r="BE149" i="1"/>
  <c r="BC149" i="1"/>
  <c r="BA149" i="1"/>
  <c r="AY149" i="1"/>
  <c r="AW149" i="1"/>
  <c r="AU149" i="1"/>
  <c r="AS149" i="1"/>
  <c r="AQ149" i="1"/>
  <c r="AO149" i="1"/>
  <c r="AM149" i="1"/>
  <c r="AK149" i="1"/>
  <c r="AI149" i="1"/>
  <c r="AE149" i="1"/>
  <c r="AC149" i="1"/>
  <c r="AA149" i="1"/>
  <c r="Y149" i="1"/>
  <c r="W149" i="1"/>
  <c r="U149" i="1"/>
  <c r="S149" i="1"/>
  <c r="Q149" i="1"/>
  <c r="O149" i="1"/>
  <c r="M149" i="1"/>
  <c r="K149" i="1"/>
  <c r="I149" i="1"/>
  <c r="CT147" i="1"/>
  <c r="CT165" i="1" s="1"/>
  <c r="CP147" i="1"/>
  <c r="CN147" i="1"/>
  <c r="CL147" i="1"/>
  <c r="I6" i="4" s="1"/>
  <c r="CJ147" i="1"/>
  <c r="CJ165" i="1" s="1"/>
  <c r="CH147" i="1"/>
  <c r="CD147" i="1"/>
  <c r="CB147" i="1"/>
  <c r="G14" i="4" s="1"/>
  <c r="BZ147" i="1"/>
  <c r="G13" i="4" s="1"/>
  <c r="BX147" i="1"/>
  <c r="BV147" i="1"/>
  <c r="BT147" i="1"/>
  <c r="G10" i="4" s="1"/>
  <c r="BR147" i="1"/>
  <c r="BR165" i="1" s="1"/>
  <c r="BP147" i="1"/>
  <c r="G8" i="4" s="1"/>
  <c r="BN147" i="1"/>
  <c r="G7" i="4" s="1"/>
  <c r="BL147" i="1"/>
  <c r="BJ147" i="1"/>
  <c r="G5" i="4" s="1"/>
  <c r="BH147" i="1"/>
  <c r="G4" i="4" s="1"/>
  <c r="BD147" i="1"/>
  <c r="E15" i="4" s="1"/>
  <c r="BB147" i="1"/>
  <c r="E14" i="4" s="1"/>
  <c r="AZ147" i="1"/>
  <c r="AZ165" i="1" s="1"/>
  <c r="AX147" i="1"/>
  <c r="AV147" i="1"/>
  <c r="E11" i="4" s="1"/>
  <c r="AT147" i="1"/>
  <c r="AR147" i="1"/>
  <c r="AR165" i="1" s="1"/>
  <c r="AP147" i="1"/>
  <c r="E8" i="4" s="1"/>
  <c r="AN147" i="1"/>
  <c r="AL147" i="1"/>
  <c r="E6" i="4" s="1"/>
  <c r="AJ147" i="1"/>
  <c r="E5" i="4" s="1"/>
  <c r="AH147" i="1"/>
  <c r="AD147" i="1"/>
  <c r="C15" i="4" s="1"/>
  <c r="AB147" i="1"/>
  <c r="C14" i="4" s="1"/>
  <c r="Z147" i="1"/>
  <c r="Z165" i="1" s="1"/>
  <c r="X147" i="1"/>
  <c r="C12" i="4" s="1"/>
  <c r="V147" i="1"/>
  <c r="T147" i="1"/>
  <c r="R147" i="1"/>
  <c r="C9" i="4" s="1"/>
  <c r="P147" i="1"/>
  <c r="C8" i="4" s="1"/>
  <c r="N147" i="1"/>
  <c r="C7" i="4" s="1"/>
  <c r="L147" i="1"/>
  <c r="C6" i="4" s="1"/>
  <c r="J147" i="1"/>
  <c r="J165" i="1" s="1"/>
  <c r="H147" i="1"/>
  <c r="C4" i="4" s="1"/>
  <c r="DF144" i="1"/>
  <c r="DG144" i="1" s="1"/>
  <c r="CW144" i="1"/>
  <c r="CU144" i="1"/>
  <c r="CS144" i="1"/>
  <c r="CQ144" i="1"/>
  <c r="CO144" i="1"/>
  <c r="CM144" i="1"/>
  <c r="CK144" i="1"/>
  <c r="CI144" i="1"/>
  <c r="DF143" i="1"/>
  <c r="DG143" i="1" s="1"/>
  <c r="CW143" i="1"/>
  <c r="CU143" i="1"/>
  <c r="CS143" i="1"/>
  <c r="CQ143" i="1"/>
  <c r="CO143" i="1"/>
  <c r="CM143" i="1"/>
  <c r="CK143" i="1"/>
  <c r="CI143" i="1"/>
  <c r="CE143" i="1"/>
  <c r="CC143" i="1"/>
  <c r="CA143" i="1"/>
  <c r="BY143" i="1"/>
  <c r="BW143" i="1"/>
  <c r="BU143" i="1"/>
  <c r="BS143" i="1"/>
  <c r="BQ143" i="1"/>
  <c r="BO143" i="1"/>
  <c r="BM143" i="1"/>
  <c r="BK143" i="1"/>
  <c r="BI143" i="1"/>
  <c r="BE143" i="1"/>
  <c r="BC143" i="1"/>
  <c r="BA143" i="1"/>
  <c r="AY143" i="1"/>
  <c r="AW143" i="1"/>
  <c r="AU143" i="1"/>
  <c r="AS143" i="1"/>
  <c r="AQ143" i="1"/>
  <c r="AO143" i="1"/>
  <c r="AM143" i="1"/>
  <c r="AK143" i="1"/>
  <c r="AI143" i="1"/>
  <c r="AE143" i="1"/>
  <c r="AC143" i="1"/>
  <c r="AA143" i="1"/>
  <c r="Y143" i="1"/>
  <c r="W143" i="1"/>
  <c r="U143" i="1"/>
  <c r="S143" i="1"/>
  <c r="Q143" i="1"/>
  <c r="O143" i="1"/>
  <c r="M143" i="1"/>
  <c r="K143" i="1"/>
  <c r="I143" i="1"/>
  <c r="DF142" i="1"/>
  <c r="DG142" i="1" s="1"/>
  <c r="CW142" i="1"/>
  <c r="CU142" i="1"/>
  <c r="CS142" i="1"/>
  <c r="CQ142" i="1"/>
  <c r="CO142" i="1"/>
  <c r="CM142" i="1"/>
  <c r="CK142" i="1"/>
  <c r="CI142" i="1"/>
  <c r="CE142" i="1"/>
  <c r="CC142" i="1"/>
  <c r="CA142" i="1"/>
  <c r="BY142" i="1"/>
  <c r="BW142" i="1"/>
  <c r="BU142" i="1"/>
  <c r="BS142" i="1"/>
  <c r="BQ142" i="1"/>
  <c r="BO142" i="1"/>
  <c r="BM142" i="1"/>
  <c r="BK142" i="1"/>
  <c r="BI142" i="1"/>
  <c r="BE142" i="1"/>
  <c r="BC142" i="1"/>
  <c r="BA142" i="1"/>
  <c r="AY142" i="1"/>
  <c r="AW142" i="1"/>
  <c r="AU142" i="1"/>
  <c r="AS142" i="1"/>
  <c r="AQ142" i="1"/>
  <c r="AO142" i="1"/>
  <c r="AM142" i="1"/>
  <c r="AK142" i="1"/>
  <c r="AI142" i="1"/>
  <c r="AE142" i="1"/>
  <c r="AC142" i="1"/>
  <c r="AA142" i="1"/>
  <c r="Y142" i="1"/>
  <c r="W142" i="1"/>
  <c r="U142" i="1"/>
  <c r="S142" i="1"/>
  <c r="Q142" i="1"/>
  <c r="O142" i="1"/>
  <c r="M142" i="1"/>
  <c r="K142" i="1"/>
  <c r="I142" i="1"/>
  <c r="DF141" i="1"/>
  <c r="DG141" i="1" s="1"/>
  <c r="CW141" i="1"/>
  <c r="CU141" i="1"/>
  <c r="CS141" i="1"/>
  <c r="CQ141" i="1"/>
  <c r="CO141" i="1"/>
  <c r="CM141" i="1"/>
  <c r="CK141" i="1"/>
  <c r="CI141" i="1"/>
  <c r="DF139" i="1"/>
  <c r="DG139" i="1" s="1"/>
  <c r="CW139" i="1"/>
  <c r="CU139" i="1"/>
  <c r="CS139" i="1"/>
  <c r="CQ139" i="1"/>
  <c r="CO139" i="1"/>
  <c r="CM139" i="1"/>
  <c r="CK139" i="1"/>
  <c r="CI139" i="1"/>
  <c r="CE139" i="1"/>
  <c r="CC139" i="1"/>
  <c r="CA139" i="1"/>
  <c r="BY139" i="1"/>
  <c r="BW139" i="1"/>
  <c r="BU139" i="1"/>
  <c r="BS139" i="1"/>
  <c r="BQ139" i="1"/>
  <c r="BO139" i="1"/>
  <c r="BM139" i="1"/>
  <c r="BK139" i="1"/>
  <c r="BI139" i="1"/>
  <c r="BE139" i="1"/>
  <c r="BC139" i="1"/>
  <c r="BA139" i="1"/>
  <c r="AY139" i="1"/>
  <c r="AW139" i="1"/>
  <c r="AU139" i="1"/>
  <c r="AS139" i="1"/>
  <c r="AQ139" i="1"/>
  <c r="AO139" i="1"/>
  <c r="AM139" i="1"/>
  <c r="AK139" i="1"/>
  <c r="AI139" i="1"/>
  <c r="AE139" i="1"/>
  <c r="AC139" i="1"/>
  <c r="AA139" i="1"/>
  <c r="Y139" i="1"/>
  <c r="W139" i="1"/>
  <c r="U139" i="1"/>
  <c r="S139" i="1"/>
  <c r="Q139" i="1"/>
  <c r="O139" i="1"/>
  <c r="M139" i="1"/>
  <c r="K139" i="1"/>
  <c r="I139" i="1"/>
  <c r="DF138" i="1"/>
  <c r="DG138" i="1" s="1"/>
  <c r="CW138" i="1"/>
  <c r="CU138" i="1"/>
  <c r="CS138" i="1"/>
  <c r="CQ138" i="1"/>
  <c r="CO138" i="1"/>
  <c r="CM138" i="1"/>
  <c r="CK138" i="1"/>
  <c r="CI138" i="1"/>
  <c r="DF137" i="1"/>
  <c r="DG137" i="1" s="1"/>
  <c r="CW137" i="1"/>
  <c r="CU137" i="1"/>
  <c r="CS137" i="1"/>
  <c r="CQ137" i="1"/>
  <c r="CO137" i="1"/>
  <c r="CM137" i="1"/>
  <c r="CK137" i="1"/>
  <c r="CI137" i="1"/>
  <c r="CE137" i="1"/>
  <c r="CC137" i="1"/>
  <c r="CA137" i="1"/>
  <c r="BY137" i="1"/>
  <c r="BW137" i="1"/>
  <c r="BU137" i="1"/>
  <c r="BS137" i="1"/>
  <c r="BQ137" i="1"/>
  <c r="BO137" i="1"/>
  <c r="BM137" i="1"/>
  <c r="BK137" i="1"/>
  <c r="BI137" i="1"/>
  <c r="BE137" i="1"/>
  <c r="BC137" i="1"/>
  <c r="BA137" i="1"/>
  <c r="AY137" i="1"/>
  <c r="AW137" i="1"/>
  <c r="AU137" i="1"/>
  <c r="AS137" i="1"/>
  <c r="AQ137" i="1"/>
  <c r="AO137" i="1"/>
  <c r="AM137" i="1"/>
  <c r="AK137" i="1"/>
  <c r="AI137" i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DF136" i="1"/>
  <c r="DG136" i="1" s="1"/>
  <c r="CW136" i="1"/>
  <c r="CU136" i="1"/>
  <c r="CS136" i="1"/>
  <c r="CQ136" i="1"/>
  <c r="CO136" i="1"/>
  <c r="CM136" i="1"/>
  <c r="CK136" i="1"/>
  <c r="CI136" i="1"/>
  <c r="CE136" i="1"/>
  <c r="CC136" i="1"/>
  <c r="CA136" i="1"/>
  <c r="BY136" i="1"/>
  <c r="BW136" i="1"/>
  <c r="BU136" i="1"/>
  <c r="BS136" i="1"/>
  <c r="BQ136" i="1"/>
  <c r="BO136" i="1"/>
  <c r="BM136" i="1"/>
  <c r="BK136" i="1"/>
  <c r="BI136" i="1"/>
  <c r="BE136" i="1"/>
  <c r="BC136" i="1"/>
  <c r="BA136" i="1"/>
  <c r="AY136" i="1"/>
  <c r="AW136" i="1"/>
  <c r="AU136" i="1"/>
  <c r="AS136" i="1"/>
  <c r="AQ136" i="1"/>
  <c r="AO136" i="1"/>
  <c r="AM136" i="1"/>
  <c r="AK136" i="1"/>
  <c r="AI136" i="1"/>
  <c r="AE136" i="1"/>
  <c r="AC136" i="1"/>
  <c r="AA136" i="1"/>
  <c r="Y136" i="1"/>
  <c r="W136" i="1"/>
  <c r="U136" i="1"/>
  <c r="S136" i="1"/>
  <c r="Q136" i="1"/>
  <c r="O136" i="1"/>
  <c r="M136" i="1"/>
  <c r="K136" i="1"/>
  <c r="I136" i="1"/>
  <c r="DF135" i="1"/>
  <c r="DG135" i="1" s="1"/>
  <c r="CW135" i="1"/>
  <c r="CU135" i="1"/>
  <c r="CS135" i="1"/>
  <c r="CQ135" i="1"/>
  <c r="CO135" i="1"/>
  <c r="CM135" i="1"/>
  <c r="CK135" i="1"/>
  <c r="CI135" i="1"/>
  <c r="CE135" i="1"/>
  <c r="CC135" i="1"/>
  <c r="CA135" i="1"/>
  <c r="BY135" i="1"/>
  <c r="BW135" i="1"/>
  <c r="BU135" i="1"/>
  <c r="BS135" i="1"/>
  <c r="BQ135" i="1"/>
  <c r="BO135" i="1"/>
  <c r="BM135" i="1"/>
  <c r="BK135" i="1"/>
  <c r="BI135" i="1"/>
  <c r="BE135" i="1"/>
  <c r="BC135" i="1"/>
  <c r="BA135" i="1"/>
  <c r="AY135" i="1"/>
  <c r="AW135" i="1"/>
  <c r="AU135" i="1"/>
  <c r="AS135" i="1"/>
  <c r="AQ135" i="1"/>
  <c r="AO135" i="1"/>
  <c r="AM135" i="1"/>
  <c r="AK135" i="1"/>
  <c r="AI135" i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DF134" i="1"/>
  <c r="DG134" i="1" s="1"/>
  <c r="CW134" i="1"/>
  <c r="CU134" i="1"/>
  <c r="CS134" i="1"/>
  <c r="CQ134" i="1"/>
  <c r="CO134" i="1"/>
  <c r="CM134" i="1"/>
  <c r="CK134" i="1"/>
  <c r="CI134" i="1"/>
  <c r="CE134" i="1"/>
  <c r="CC134" i="1"/>
  <c r="CA134" i="1"/>
  <c r="BY134" i="1"/>
  <c r="BW134" i="1"/>
  <c r="BU134" i="1"/>
  <c r="BS134" i="1"/>
  <c r="BQ134" i="1"/>
  <c r="BO134" i="1"/>
  <c r="BM134" i="1"/>
  <c r="BK134" i="1"/>
  <c r="BI134" i="1"/>
  <c r="BE134" i="1"/>
  <c r="BC134" i="1"/>
  <c r="BA134" i="1"/>
  <c r="AY134" i="1"/>
  <c r="AW134" i="1"/>
  <c r="AU134" i="1"/>
  <c r="AS134" i="1"/>
  <c r="AQ134" i="1"/>
  <c r="AO134" i="1"/>
  <c r="AM134" i="1"/>
  <c r="AK134" i="1"/>
  <c r="AI134" i="1"/>
  <c r="AE134" i="1"/>
  <c r="AC134" i="1"/>
  <c r="AA134" i="1"/>
  <c r="Y134" i="1"/>
  <c r="W134" i="1"/>
  <c r="U134" i="1"/>
  <c r="S134" i="1"/>
  <c r="Q134" i="1"/>
  <c r="O134" i="1"/>
  <c r="M134" i="1"/>
  <c r="K134" i="1"/>
  <c r="I134" i="1"/>
  <c r="DF133" i="1"/>
  <c r="DG133" i="1" s="1"/>
  <c r="CW133" i="1"/>
  <c r="CU133" i="1"/>
  <c r="CS133" i="1"/>
  <c r="CQ133" i="1"/>
  <c r="CO133" i="1"/>
  <c r="CM133" i="1"/>
  <c r="CK133" i="1"/>
  <c r="CI133" i="1"/>
  <c r="CE133" i="1"/>
  <c r="CC133" i="1"/>
  <c r="CA133" i="1"/>
  <c r="BY133" i="1"/>
  <c r="BW133" i="1"/>
  <c r="BU133" i="1"/>
  <c r="BS133" i="1"/>
  <c r="BQ133" i="1"/>
  <c r="BO133" i="1"/>
  <c r="BM133" i="1"/>
  <c r="BK133" i="1"/>
  <c r="BI133" i="1"/>
  <c r="BE133" i="1"/>
  <c r="BC133" i="1"/>
  <c r="BA133" i="1"/>
  <c r="AY133" i="1"/>
  <c r="AW133" i="1"/>
  <c r="AU133" i="1"/>
  <c r="AS133" i="1"/>
  <c r="AQ133" i="1"/>
  <c r="AO133" i="1"/>
  <c r="AM133" i="1"/>
  <c r="AK133" i="1"/>
  <c r="AI133" i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DF132" i="1"/>
  <c r="DG132" i="1" s="1"/>
  <c r="CW132" i="1"/>
  <c r="CU132" i="1"/>
  <c r="CS132" i="1"/>
  <c r="CQ132" i="1"/>
  <c r="CO132" i="1"/>
  <c r="CM132" i="1"/>
  <c r="CK132" i="1"/>
  <c r="CI132" i="1"/>
  <c r="CE132" i="1"/>
  <c r="CC132" i="1"/>
  <c r="CA132" i="1"/>
  <c r="BY132" i="1"/>
  <c r="BW132" i="1"/>
  <c r="BU132" i="1"/>
  <c r="BS132" i="1"/>
  <c r="BQ132" i="1"/>
  <c r="BO132" i="1"/>
  <c r="BM132" i="1"/>
  <c r="BK132" i="1"/>
  <c r="BI132" i="1"/>
  <c r="BE132" i="1"/>
  <c r="BC132" i="1"/>
  <c r="BA132" i="1"/>
  <c r="AY132" i="1"/>
  <c r="AW132" i="1"/>
  <c r="AU132" i="1"/>
  <c r="AS132" i="1"/>
  <c r="AQ132" i="1"/>
  <c r="AO132" i="1"/>
  <c r="AM132" i="1"/>
  <c r="AK132" i="1"/>
  <c r="AI132" i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DF131" i="1"/>
  <c r="DG131" i="1" s="1"/>
  <c r="CW131" i="1"/>
  <c r="CU131" i="1"/>
  <c r="CS131" i="1"/>
  <c r="CQ131" i="1"/>
  <c r="CO131" i="1"/>
  <c r="CM131" i="1"/>
  <c r="CK131" i="1"/>
  <c r="CI131" i="1"/>
  <c r="CE131" i="1"/>
  <c r="CC131" i="1"/>
  <c r="CA131" i="1"/>
  <c r="BY131" i="1"/>
  <c r="BW131" i="1"/>
  <c r="BU131" i="1"/>
  <c r="BS131" i="1"/>
  <c r="BQ131" i="1"/>
  <c r="BO131" i="1"/>
  <c r="BM131" i="1"/>
  <c r="BK131" i="1"/>
  <c r="BI131" i="1"/>
  <c r="BE131" i="1"/>
  <c r="BC131" i="1"/>
  <c r="BA131" i="1"/>
  <c r="AY131" i="1"/>
  <c r="AW131" i="1"/>
  <c r="AU131" i="1"/>
  <c r="AS131" i="1"/>
  <c r="AQ131" i="1"/>
  <c r="AO131" i="1"/>
  <c r="AM131" i="1"/>
  <c r="AK131" i="1"/>
  <c r="AI131" i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DF130" i="1"/>
  <c r="DG130" i="1" s="1"/>
  <c r="CW130" i="1"/>
  <c r="CU130" i="1"/>
  <c r="CS130" i="1"/>
  <c r="CQ130" i="1"/>
  <c r="CO130" i="1"/>
  <c r="CM130" i="1"/>
  <c r="CK130" i="1"/>
  <c r="CI130" i="1"/>
  <c r="CE130" i="1"/>
  <c r="CC130" i="1"/>
  <c r="CA130" i="1"/>
  <c r="BY130" i="1"/>
  <c r="BW130" i="1"/>
  <c r="BU130" i="1"/>
  <c r="BS130" i="1"/>
  <c r="BQ130" i="1"/>
  <c r="BO130" i="1"/>
  <c r="BM130" i="1"/>
  <c r="BK130" i="1"/>
  <c r="BI130" i="1"/>
  <c r="BE130" i="1"/>
  <c r="BC130" i="1"/>
  <c r="BA130" i="1"/>
  <c r="AY130" i="1"/>
  <c r="AW130" i="1"/>
  <c r="AU130" i="1"/>
  <c r="AS130" i="1"/>
  <c r="AQ130" i="1"/>
  <c r="AO130" i="1"/>
  <c r="AM130" i="1"/>
  <c r="AK130" i="1"/>
  <c r="AI130" i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DF119" i="1"/>
  <c r="DG119" i="1" s="1"/>
  <c r="CW119" i="1"/>
  <c r="CU119" i="1"/>
  <c r="CS119" i="1"/>
  <c r="CQ119" i="1"/>
  <c r="CO119" i="1"/>
  <c r="CM119" i="1"/>
  <c r="CK119" i="1"/>
  <c r="CI119" i="1"/>
  <c r="DF118" i="1"/>
  <c r="DG118" i="1" s="1"/>
  <c r="CW118" i="1"/>
  <c r="CU118" i="1"/>
  <c r="CS118" i="1"/>
  <c r="CQ118" i="1"/>
  <c r="CO118" i="1"/>
  <c r="CM118" i="1"/>
  <c r="CK118" i="1"/>
  <c r="CI118" i="1"/>
  <c r="DF117" i="1"/>
  <c r="DG117" i="1" s="1"/>
  <c r="CW117" i="1"/>
  <c r="CU117" i="1"/>
  <c r="CS117" i="1"/>
  <c r="CQ117" i="1"/>
  <c r="CO117" i="1"/>
  <c r="CM117" i="1"/>
  <c r="CK117" i="1"/>
  <c r="CI117" i="1"/>
  <c r="DF116" i="1"/>
  <c r="DG116" i="1" s="1"/>
  <c r="CW116" i="1"/>
  <c r="CU116" i="1"/>
  <c r="CS116" i="1"/>
  <c r="CQ116" i="1"/>
  <c r="CO116" i="1"/>
  <c r="CM116" i="1"/>
  <c r="CK116" i="1"/>
  <c r="CI116" i="1"/>
  <c r="DF115" i="1"/>
  <c r="DG115" i="1" s="1"/>
  <c r="CW115" i="1"/>
  <c r="CU115" i="1"/>
  <c r="CS115" i="1"/>
  <c r="CQ115" i="1"/>
  <c r="CO115" i="1"/>
  <c r="CM115" i="1"/>
  <c r="CK115" i="1"/>
  <c r="CI115" i="1"/>
  <c r="CE115" i="1"/>
  <c r="CC115" i="1"/>
  <c r="CA115" i="1"/>
  <c r="BY115" i="1"/>
  <c r="BW115" i="1"/>
  <c r="BU115" i="1"/>
  <c r="BS115" i="1"/>
  <c r="BQ115" i="1"/>
  <c r="BO115" i="1"/>
  <c r="BM115" i="1"/>
  <c r="BK115" i="1"/>
  <c r="BI115" i="1"/>
  <c r="BE115" i="1"/>
  <c r="BC115" i="1"/>
  <c r="BA115" i="1"/>
  <c r="AY115" i="1"/>
  <c r="AW115" i="1"/>
  <c r="AU115" i="1"/>
  <c r="AS115" i="1"/>
  <c r="AQ115" i="1"/>
  <c r="AO115" i="1"/>
  <c r="AM115" i="1"/>
  <c r="AK115" i="1"/>
  <c r="AI115" i="1"/>
  <c r="AE115" i="1"/>
  <c r="AC115" i="1"/>
  <c r="AA115" i="1"/>
  <c r="Y115" i="1"/>
  <c r="W115" i="1"/>
  <c r="U115" i="1"/>
  <c r="S115" i="1"/>
  <c r="Q115" i="1"/>
  <c r="O115" i="1"/>
  <c r="M115" i="1"/>
  <c r="K115" i="1"/>
  <c r="I115" i="1"/>
  <c r="DF114" i="1"/>
  <c r="DG114" i="1" s="1"/>
  <c r="CW114" i="1"/>
  <c r="CU114" i="1"/>
  <c r="CS114" i="1"/>
  <c r="CQ114" i="1"/>
  <c r="CO114" i="1"/>
  <c r="CM114" i="1"/>
  <c r="CK114" i="1"/>
  <c r="CI114" i="1"/>
  <c r="CE114" i="1"/>
  <c r="CC114" i="1"/>
  <c r="CA114" i="1"/>
  <c r="BY114" i="1"/>
  <c r="BW114" i="1"/>
  <c r="BU114" i="1"/>
  <c r="BS114" i="1"/>
  <c r="BQ114" i="1"/>
  <c r="BO114" i="1"/>
  <c r="BM114" i="1"/>
  <c r="BK114" i="1"/>
  <c r="BI114" i="1"/>
  <c r="BE114" i="1"/>
  <c r="BC114" i="1"/>
  <c r="BA114" i="1"/>
  <c r="AY114" i="1"/>
  <c r="AW114" i="1"/>
  <c r="AU114" i="1"/>
  <c r="AS114" i="1"/>
  <c r="AQ114" i="1"/>
  <c r="AO114" i="1"/>
  <c r="AM114" i="1"/>
  <c r="AK114" i="1"/>
  <c r="AI114" i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DF113" i="1"/>
  <c r="DG113" i="1" s="1"/>
  <c r="CW113" i="1"/>
  <c r="CU113" i="1"/>
  <c r="CS113" i="1"/>
  <c r="CQ113" i="1"/>
  <c r="CO113" i="1"/>
  <c r="CM113" i="1"/>
  <c r="CK113" i="1"/>
  <c r="CI113" i="1"/>
  <c r="CE113" i="1"/>
  <c r="CC113" i="1"/>
  <c r="CA113" i="1"/>
  <c r="BY113" i="1"/>
  <c r="BW113" i="1"/>
  <c r="BU113" i="1"/>
  <c r="BS113" i="1"/>
  <c r="BQ113" i="1"/>
  <c r="BO113" i="1"/>
  <c r="BM113" i="1"/>
  <c r="BK113" i="1"/>
  <c r="BI113" i="1"/>
  <c r="BE113" i="1"/>
  <c r="BC113" i="1"/>
  <c r="BA113" i="1"/>
  <c r="AY113" i="1"/>
  <c r="AW113" i="1"/>
  <c r="AU113" i="1"/>
  <c r="AS113" i="1"/>
  <c r="AQ113" i="1"/>
  <c r="AO113" i="1"/>
  <c r="AM113" i="1"/>
  <c r="AK113" i="1"/>
  <c r="AI113" i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DF112" i="1"/>
  <c r="DG112" i="1" s="1"/>
  <c r="CW112" i="1"/>
  <c r="CU112" i="1"/>
  <c r="CS112" i="1"/>
  <c r="CQ112" i="1"/>
  <c r="CO112" i="1"/>
  <c r="CM112" i="1"/>
  <c r="CK112" i="1"/>
  <c r="CI112" i="1"/>
  <c r="DF111" i="1"/>
  <c r="DG111" i="1" s="1"/>
  <c r="CW111" i="1"/>
  <c r="CU111" i="1"/>
  <c r="CS111" i="1"/>
  <c r="CQ111" i="1"/>
  <c r="CO111" i="1"/>
  <c r="CM111" i="1"/>
  <c r="CK111" i="1"/>
  <c r="CI111" i="1"/>
  <c r="CE111" i="1"/>
  <c r="CC111" i="1"/>
  <c r="CA111" i="1"/>
  <c r="BY111" i="1"/>
  <c r="BW111" i="1"/>
  <c r="BU111" i="1"/>
  <c r="BS111" i="1"/>
  <c r="BQ111" i="1"/>
  <c r="BO111" i="1"/>
  <c r="BM111" i="1"/>
  <c r="BK111" i="1"/>
  <c r="BI111" i="1"/>
  <c r="BE111" i="1"/>
  <c r="BC111" i="1"/>
  <c r="BA111" i="1"/>
  <c r="AY111" i="1"/>
  <c r="AW111" i="1"/>
  <c r="AU111" i="1"/>
  <c r="AS111" i="1"/>
  <c r="AQ111" i="1"/>
  <c r="AO111" i="1"/>
  <c r="AM111" i="1"/>
  <c r="AK111" i="1"/>
  <c r="AI111" i="1"/>
  <c r="AE111" i="1"/>
  <c r="AC111" i="1"/>
  <c r="AA111" i="1"/>
  <c r="Y111" i="1"/>
  <c r="W111" i="1"/>
  <c r="U111" i="1"/>
  <c r="S111" i="1"/>
  <c r="Q111" i="1"/>
  <c r="O111" i="1"/>
  <c r="M111" i="1"/>
  <c r="K111" i="1"/>
  <c r="I111" i="1"/>
  <c r="DF110" i="1"/>
  <c r="DG110" i="1" s="1"/>
  <c r="CW110" i="1"/>
  <c r="CU110" i="1"/>
  <c r="CS110" i="1"/>
  <c r="CQ110" i="1"/>
  <c r="CO110" i="1"/>
  <c r="CM110" i="1"/>
  <c r="CK110" i="1"/>
  <c r="CI110" i="1"/>
  <c r="DF109" i="1"/>
  <c r="DG109" i="1" s="1"/>
  <c r="CW109" i="1"/>
  <c r="CU109" i="1"/>
  <c r="CS109" i="1"/>
  <c r="CQ109" i="1"/>
  <c r="CO109" i="1"/>
  <c r="CM109" i="1"/>
  <c r="CK109" i="1"/>
  <c r="CI109" i="1"/>
  <c r="DF108" i="1"/>
  <c r="DG108" i="1" s="1"/>
  <c r="CW108" i="1"/>
  <c r="CU108" i="1"/>
  <c r="CS108" i="1"/>
  <c r="CQ108" i="1"/>
  <c r="CO108" i="1"/>
  <c r="CM108" i="1"/>
  <c r="CK108" i="1"/>
  <c r="CI108" i="1"/>
  <c r="DF107" i="1"/>
  <c r="DG107" i="1" s="1"/>
  <c r="CW107" i="1"/>
  <c r="CU107" i="1"/>
  <c r="CS107" i="1"/>
  <c r="CQ107" i="1"/>
  <c r="CO107" i="1"/>
  <c r="CM107" i="1"/>
  <c r="CK107" i="1"/>
  <c r="CI107" i="1"/>
  <c r="DF106" i="1"/>
  <c r="DG106" i="1" s="1"/>
  <c r="CW106" i="1"/>
  <c r="CU106" i="1"/>
  <c r="CS106" i="1"/>
  <c r="CQ106" i="1"/>
  <c r="CO106" i="1"/>
  <c r="CM106" i="1"/>
  <c r="CK106" i="1"/>
  <c r="CI106" i="1"/>
  <c r="CE106" i="1"/>
  <c r="CC106" i="1"/>
  <c r="CA106" i="1"/>
  <c r="BY106" i="1"/>
  <c r="BW106" i="1"/>
  <c r="BU106" i="1"/>
  <c r="BS106" i="1"/>
  <c r="BQ106" i="1"/>
  <c r="BO106" i="1"/>
  <c r="BM106" i="1"/>
  <c r="BK106" i="1"/>
  <c r="BI106" i="1"/>
  <c r="BE106" i="1"/>
  <c r="BC106" i="1"/>
  <c r="BA106" i="1"/>
  <c r="AY106" i="1"/>
  <c r="AW106" i="1"/>
  <c r="AU106" i="1"/>
  <c r="AS106" i="1"/>
  <c r="AQ106" i="1"/>
  <c r="AO106" i="1"/>
  <c r="AM106" i="1"/>
  <c r="AK106" i="1"/>
  <c r="AI106" i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DF105" i="1"/>
  <c r="DG105" i="1" s="1"/>
  <c r="CW105" i="1"/>
  <c r="CU105" i="1"/>
  <c r="CS105" i="1"/>
  <c r="CQ105" i="1"/>
  <c r="CO105" i="1"/>
  <c r="CM105" i="1"/>
  <c r="CK105" i="1"/>
  <c r="CI105" i="1"/>
  <c r="CE105" i="1"/>
  <c r="CC105" i="1"/>
  <c r="CA105" i="1"/>
  <c r="BY105" i="1"/>
  <c r="BW105" i="1"/>
  <c r="BU105" i="1"/>
  <c r="BS105" i="1"/>
  <c r="BQ105" i="1"/>
  <c r="BO105" i="1"/>
  <c r="BM105" i="1"/>
  <c r="BK105" i="1"/>
  <c r="BI105" i="1"/>
  <c r="BE105" i="1"/>
  <c r="BC105" i="1"/>
  <c r="BA105" i="1"/>
  <c r="AY105" i="1"/>
  <c r="AW105" i="1"/>
  <c r="AU105" i="1"/>
  <c r="AS105" i="1"/>
  <c r="AQ105" i="1"/>
  <c r="AO105" i="1"/>
  <c r="AM105" i="1"/>
  <c r="AK105" i="1"/>
  <c r="AI105" i="1"/>
  <c r="AE105" i="1"/>
  <c r="AC105" i="1"/>
  <c r="AA105" i="1"/>
  <c r="Y105" i="1"/>
  <c r="W105" i="1"/>
  <c r="U105" i="1"/>
  <c r="S105" i="1"/>
  <c r="Q105" i="1"/>
  <c r="O105" i="1"/>
  <c r="M105" i="1"/>
  <c r="K105" i="1"/>
  <c r="I105" i="1"/>
  <c r="DF104" i="1"/>
  <c r="DG104" i="1" s="1"/>
  <c r="CW104" i="1"/>
  <c r="CU104" i="1"/>
  <c r="CS104" i="1"/>
  <c r="CQ104" i="1"/>
  <c r="CO104" i="1"/>
  <c r="CM104" i="1"/>
  <c r="CK104" i="1"/>
  <c r="CI104" i="1"/>
  <c r="DF103" i="1"/>
  <c r="DG103" i="1" s="1"/>
  <c r="CW103" i="1"/>
  <c r="CU103" i="1"/>
  <c r="CS103" i="1"/>
  <c r="CQ103" i="1"/>
  <c r="CO103" i="1"/>
  <c r="CM103" i="1"/>
  <c r="CK103" i="1"/>
  <c r="CI103" i="1"/>
  <c r="DF102" i="1"/>
  <c r="DG102" i="1" s="1"/>
  <c r="CW102" i="1"/>
  <c r="CU102" i="1"/>
  <c r="CS102" i="1"/>
  <c r="CQ102" i="1"/>
  <c r="CO102" i="1"/>
  <c r="CM102" i="1"/>
  <c r="CK102" i="1"/>
  <c r="CI102" i="1"/>
  <c r="DF101" i="1"/>
  <c r="DG101" i="1" s="1"/>
  <c r="CW101" i="1"/>
  <c r="CU101" i="1"/>
  <c r="CS101" i="1"/>
  <c r="CQ101" i="1"/>
  <c r="CO101" i="1"/>
  <c r="CM101" i="1"/>
  <c r="CK101" i="1"/>
  <c r="CI101" i="1"/>
  <c r="CE101" i="1"/>
  <c r="CC101" i="1"/>
  <c r="CA101" i="1"/>
  <c r="BY101" i="1"/>
  <c r="BW101" i="1"/>
  <c r="BU101" i="1"/>
  <c r="BS101" i="1"/>
  <c r="BQ101" i="1"/>
  <c r="BO101" i="1"/>
  <c r="BM101" i="1"/>
  <c r="BK101" i="1"/>
  <c r="BI101" i="1"/>
  <c r="BE101" i="1"/>
  <c r="BC101" i="1"/>
  <c r="BA101" i="1"/>
  <c r="AY101" i="1"/>
  <c r="AW101" i="1"/>
  <c r="AU101" i="1"/>
  <c r="AS101" i="1"/>
  <c r="AQ101" i="1"/>
  <c r="AO101" i="1"/>
  <c r="AM101" i="1"/>
  <c r="AK101" i="1"/>
  <c r="AI101" i="1"/>
  <c r="AE101" i="1"/>
  <c r="AC101" i="1"/>
  <c r="AA101" i="1"/>
  <c r="Y101" i="1"/>
  <c r="W101" i="1"/>
  <c r="U101" i="1"/>
  <c r="S101" i="1"/>
  <c r="Q101" i="1"/>
  <c r="O101" i="1"/>
  <c r="M101" i="1"/>
  <c r="K101" i="1"/>
  <c r="I101" i="1"/>
  <c r="DF100" i="1"/>
  <c r="DG100" i="1" s="1"/>
  <c r="CW100" i="1"/>
  <c r="CU100" i="1"/>
  <c r="CS100" i="1"/>
  <c r="CQ100" i="1"/>
  <c r="CO100" i="1"/>
  <c r="CM100" i="1"/>
  <c r="CK100" i="1"/>
  <c r="CI100" i="1"/>
  <c r="DF99" i="1"/>
  <c r="DG99" i="1" s="1"/>
  <c r="CW99" i="1"/>
  <c r="CU99" i="1"/>
  <c r="CS99" i="1"/>
  <c r="CQ99" i="1"/>
  <c r="CO99" i="1"/>
  <c r="CM99" i="1"/>
  <c r="CK99" i="1"/>
  <c r="CI99" i="1"/>
  <c r="CE99" i="1"/>
  <c r="CC99" i="1"/>
  <c r="CA99" i="1"/>
  <c r="BY99" i="1"/>
  <c r="BW99" i="1"/>
  <c r="BU99" i="1"/>
  <c r="BS99" i="1"/>
  <c r="BQ99" i="1"/>
  <c r="BO99" i="1"/>
  <c r="BM99" i="1"/>
  <c r="BK99" i="1"/>
  <c r="BI99" i="1"/>
  <c r="BE99" i="1"/>
  <c r="BC99" i="1"/>
  <c r="BA99" i="1"/>
  <c r="AY99" i="1"/>
  <c r="AW99" i="1"/>
  <c r="AU99" i="1"/>
  <c r="AS99" i="1"/>
  <c r="AQ99" i="1"/>
  <c r="AO99" i="1"/>
  <c r="AM99" i="1"/>
  <c r="AK99" i="1"/>
  <c r="AI99" i="1"/>
  <c r="AE99" i="1"/>
  <c r="AC99" i="1"/>
  <c r="AA99" i="1"/>
  <c r="Y99" i="1"/>
  <c r="W99" i="1"/>
  <c r="U99" i="1"/>
  <c r="S99" i="1"/>
  <c r="Q99" i="1"/>
  <c r="O99" i="1"/>
  <c r="M99" i="1"/>
  <c r="K99" i="1"/>
  <c r="I99" i="1"/>
  <c r="DF98" i="1"/>
  <c r="DG98" i="1" s="1"/>
  <c r="CW98" i="1"/>
  <c r="CU98" i="1"/>
  <c r="CS98" i="1"/>
  <c r="CQ98" i="1"/>
  <c r="CO98" i="1"/>
  <c r="CM98" i="1"/>
  <c r="CK98" i="1"/>
  <c r="CI98" i="1"/>
  <c r="CE98" i="1"/>
  <c r="CC98" i="1"/>
  <c r="CA98" i="1"/>
  <c r="BY98" i="1"/>
  <c r="BW98" i="1"/>
  <c r="BU98" i="1"/>
  <c r="BS98" i="1"/>
  <c r="BQ98" i="1"/>
  <c r="BO98" i="1"/>
  <c r="BM98" i="1"/>
  <c r="BK98" i="1"/>
  <c r="BI98" i="1"/>
  <c r="BE98" i="1"/>
  <c r="DF97" i="1"/>
  <c r="DG97" i="1" s="1"/>
  <c r="CW97" i="1"/>
  <c r="CU97" i="1"/>
  <c r="CS97" i="1"/>
  <c r="CQ97" i="1"/>
  <c r="CO97" i="1"/>
  <c r="CM97" i="1"/>
  <c r="CK97" i="1"/>
  <c r="CI97" i="1"/>
  <c r="DF96" i="1"/>
  <c r="DG96" i="1" s="1"/>
  <c r="CW96" i="1"/>
  <c r="CU96" i="1"/>
  <c r="CS96" i="1"/>
  <c r="CQ96" i="1"/>
  <c r="CO96" i="1"/>
  <c r="CM96" i="1"/>
  <c r="CK96" i="1"/>
  <c r="CI96" i="1"/>
  <c r="DF95" i="1"/>
  <c r="DG95" i="1" s="1"/>
  <c r="CW95" i="1"/>
  <c r="CU95" i="1"/>
  <c r="CS95" i="1"/>
  <c r="CQ95" i="1"/>
  <c r="CO95" i="1"/>
  <c r="CM95" i="1"/>
  <c r="CK95" i="1"/>
  <c r="CI95" i="1"/>
  <c r="CE95" i="1"/>
  <c r="CC95" i="1"/>
  <c r="CA95" i="1"/>
  <c r="BY95" i="1"/>
  <c r="BW95" i="1"/>
  <c r="BU95" i="1"/>
  <c r="BS95" i="1"/>
  <c r="BQ95" i="1"/>
  <c r="BO95" i="1"/>
  <c r="BM95" i="1"/>
  <c r="BK95" i="1"/>
  <c r="BI95" i="1"/>
  <c r="BE95" i="1"/>
  <c r="BC95" i="1"/>
  <c r="BA95" i="1"/>
  <c r="AY95" i="1"/>
  <c r="AW95" i="1"/>
  <c r="AU95" i="1"/>
  <c r="AS95" i="1"/>
  <c r="AQ95" i="1"/>
  <c r="AO95" i="1"/>
  <c r="AM95" i="1"/>
  <c r="AK95" i="1"/>
  <c r="AI95" i="1"/>
  <c r="AE95" i="1"/>
  <c r="AC95" i="1"/>
  <c r="AA95" i="1"/>
  <c r="Y95" i="1"/>
  <c r="W95" i="1"/>
  <c r="U95" i="1"/>
  <c r="S95" i="1"/>
  <c r="Q95" i="1"/>
  <c r="O95" i="1"/>
  <c r="M95" i="1"/>
  <c r="K95" i="1"/>
  <c r="I95" i="1"/>
  <c r="DF94" i="1"/>
  <c r="DG94" i="1" s="1"/>
  <c r="CW94" i="1"/>
  <c r="CU94" i="1"/>
  <c r="CS94" i="1"/>
  <c r="CQ94" i="1"/>
  <c r="CO94" i="1"/>
  <c r="CM94" i="1"/>
  <c r="CK94" i="1"/>
  <c r="CI94" i="1"/>
  <c r="CE94" i="1"/>
  <c r="CC94" i="1"/>
  <c r="CA94" i="1"/>
  <c r="BY94" i="1"/>
  <c r="BW94" i="1"/>
  <c r="BU94" i="1"/>
  <c r="BS94" i="1"/>
  <c r="BQ94" i="1"/>
  <c r="BO94" i="1"/>
  <c r="BM94" i="1"/>
  <c r="BK94" i="1"/>
  <c r="BI94" i="1"/>
  <c r="BE94" i="1"/>
  <c r="BC94" i="1"/>
  <c r="BA94" i="1"/>
  <c r="AY94" i="1"/>
  <c r="AW94" i="1"/>
  <c r="AU94" i="1"/>
  <c r="AS94" i="1"/>
  <c r="AQ94" i="1"/>
  <c r="AO94" i="1"/>
  <c r="AM94" i="1"/>
  <c r="AK94" i="1"/>
  <c r="AI94" i="1"/>
  <c r="AE94" i="1"/>
  <c r="AC94" i="1"/>
  <c r="AA94" i="1"/>
  <c r="Y94" i="1"/>
  <c r="W94" i="1"/>
  <c r="U94" i="1"/>
  <c r="S94" i="1"/>
  <c r="Q94" i="1"/>
  <c r="O94" i="1"/>
  <c r="M94" i="1"/>
  <c r="K94" i="1"/>
  <c r="I94" i="1"/>
  <c r="DF93" i="1"/>
  <c r="DG93" i="1" s="1"/>
  <c r="CW93" i="1"/>
  <c r="CU93" i="1"/>
  <c r="CS93" i="1"/>
  <c r="CQ93" i="1"/>
  <c r="CO93" i="1"/>
  <c r="CM93" i="1"/>
  <c r="CK93" i="1"/>
  <c r="CI93" i="1"/>
  <c r="CE93" i="1"/>
  <c r="CC93" i="1"/>
  <c r="CA93" i="1"/>
  <c r="BY93" i="1"/>
  <c r="BW93" i="1"/>
  <c r="BU93" i="1"/>
  <c r="BS93" i="1"/>
  <c r="BQ93" i="1"/>
  <c r="BO93" i="1"/>
  <c r="BM93" i="1"/>
  <c r="BK93" i="1"/>
  <c r="BI93" i="1"/>
  <c r="BE93" i="1"/>
  <c r="BC93" i="1"/>
  <c r="BA93" i="1"/>
  <c r="AY93" i="1"/>
  <c r="AW93" i="1"/>
  <c r="AU93" i="1"/>
  <c r="AS93" i="1"/>
  <c r="AQ93" i="1"/>
  <c r="AO93" i="1"/>
  <c r="AM93" i="1"/>
  <c r="AK93" i="1"/>
  <c r="AI93" i="1"/>
  <c r="AE93" i="1"/>
  <c r="AC93" i="1"/>
  <c r="AA93" i="1"/>
  <c r="Y93" i="1"/>
  <c r="W93" i="1"/>
  <c r="U93" i="1"/>
  <c r="S93" i="1"/>
  <c r="Q93" i="1"/>
  <c r="O93" i="1"/>
  <c r="M93" i="1"/>
  <c r="K93" i="1"/>
  <c r="I93" i="1"/>
  <c r="DF92" i="1"/>
  <c r="DG92" i="1" s="1"/>
  <c r="CW92" i="1"/>
  <c r="CU92" i="1"/>
  <c r="CS92" i="1"/>
  <c r="CQ92" i="1"/>
  <c r="CO92" i="1"/>
  <c r="CM92" i="1"/>
  <c r="CK92" i="1"/>
  <c r="CI92" i="1"/>
  <c r="CE92" i="1"/>
  <c r="CC92" i="1"/>
  <c r="CA92" i="1"/>
  <c r="BY92" i="1"/>
  <c r="BW92" i="1"/>
  <c r="BU92" i="1"/>
  <c r="BS92" i="1"/>
  <c r="BQ92" i="1"/>
  <c r="BO92" i="1"/>
  <c r="BM92" i="1"/>
  <c r="BK92" i="1"/>
  <c r="BI92" i="1"/>
  <c r="BE92" i="1"/>
  <c r="BC92" i="1"/>
  <c r="BA92" i="1"/>
  <c r="AY92" i="1"/>
  <c r="AW92" i="1"/>
  <c r="AU92" i="1"/>
  <c r="AS92" i="1"/>
  <c r="AQ92" i="1"/>
  <c r="AO92" i="1"/>
  <c r="AM92" i="1"/>
  <c r="AK92" i="1"/>
  <c r="AI92" i="1"/>
  <c r="AE92" i="1"/>
  <c r="AC92" i="1"/>
  <c r="AA92" i="1"/>
  <c r="Y92" i="1"/>
  <c r="W92" i="1"/>
  <c r="U92" i="1"/>
  <c r="S92" i="1"/>
  <c r="Q92" i="1"/>
  <c r="O92" i="1"/>
  <c r="M92" i="1"/>
  <c r="K92" i="1"/>
  <c r="I92" i="1"/>
  <c r="DF91" i="1"/>
  <c r="DG91" i="1" s="1"/>
  <c r="CW91" i="1"/>
  <c r="CU91" i="1"/>
  <c r="CS91" i="1"/>
  <c r="CQ91" i="1"/>
  <c r="CO91" i="1"/>
  <c r="CM91" i="1"/>
  <c r="CK91" i="1"/>
  <c r="CI91" i="1"/>
  <c r="CE91" i="1"/>
  <c r="CC91" i="1"/>
  <c r="CA91" i="1"/>
  <c r="BY91" i="1"/>
  <c r="BW91" i="1"/>
  <c r="BU91" i="1"/>
  <c r="BS91" i="1"/>
  <c r="BQ91" i="1"/>
  <c r="BO91" i="1"/>
  <c r="BM91" i="1"/>
  <c r="BK91" i="1"/>
  <c r="BI91" i="1"/>
  <c r="BE91" i="1"/>
  <c r="BC91" i="1"/>
  <c r="BA91" i="1"/>
  <c r="AY91" i="1"/>
  <c r="AW91" i="1"/>
  <c r="AU91" i="1"/>
  <c r="AS91" i="1"/>
  <c r="AQ91" i="1"/>
  <c r="AO91" i="1"/>
  <c r="AM91" i="1"/>
  <c r="AK91" i="1"/>
  <c r="AI91" i="1"/>
  <c r="AE91" i="1"/>
  <c r="AC91" i="1"/>
  <c r="AA91" i="1"/>
  <c r="Y91" i="1"/>
  <c r="W91" i="1"/>
  <c r="U91" i="1"/>
  <c r="S91" i="1"/>
  <c r="Q91" i="1"/>
  <c r="O91" i="1"/>
  <c r="M91" i="1"/>
  <c r="K91" i="1"/>
  <c r="I91" i="1"/>
  <c r="DF90" i="1"/>
  <c r="CW90" i="1"/>
  <c r="CU90" i="1"/>
  <c r="CS90" i="1"/>
  <c r="CQ90" i="1"/>
  <c r="CO90" i="1"/>
  <c r="CM90" i="1"/>
  <c r="CK90" i="1"/>
  <c r="CI90" i="1"/>
  <c r="CE90" i="1"/>
  <c r="CC90" i="1"/>
  <c r="CA90" i="1"/>
  <c r="BY90" i="1"/>
  <c r="BW90" i="1"/>
  <c r="BU90" i="1"/>
  <c r="BS90" i="1"/>
  <c r="BQ90" i="1"/>
  <c r="BO90" i="1"/>
  <c r="BM90" i="1"/>
  <c r="BK90" i="1"/>
  <c r="BI90" i="1"/>
  <c r="BE90" i="1"/>
  <c r="BC90" i="1"/>
  <c r="BA90" i="1"/>
  <c r="AY90" i="1"/>
  <c r="AW90" i="1"/>
  <c r="AU90" i="1"/>
  <c r="AS90" i="1"/>
  <c r="AQ90" i="1"/>
  <c r="AO90" i="1"/>
  <c r="AM90" i="1"/>
  <c r="AK90" i="1"/>
  <c r="AI90" i="1"/>
  <c r="AE90" i="1"/>
  <c r="AC90" i="1"/>
  <c r="AA90" i="1"/>
  <c r="Y90" i="1"/>
  <c r="W90" i="1"/>
  <c r="U90" i="1"/>
  <c r="S90" i="1"/>
  <c r="Q90" i="1"/>
  <c r="O90" i="1"/>
  <c r="M90" i="1"/>
  <c r="K90" i="1"/>
  <c r="I90" i="1"/>
  <c r="DF89" i="1"/>
  <c r="CW89" i="1"/>
  <c r="CU89" i="1"/>
  <c r="CS89" i="1"/>
  <c r="CQ89" i="1"/>
  <c r="CO89" i="1"/>
  <c r="CM89" i="1"/>
  <c r="CK89" i="1"/>
  <c r="CI89" i="1"/>
  <c r="CE89" i="1"/>
  <c r="CC89" i="1"/>
  <c r="CA89" i="1"/>
  <c r="BY89" i="1"/>
  <c r="BW89" i="1"/>
  <c r="BU89" i="1"/>
  <c r="BS89" i="1"/>
  <c r="BQ89" i="1"/>
  <c r="BO89" i="1"/>
  <c r="BM89" i="1"/>
  <c r="BK89" i="1"/>
  <c r="BI89" i="1"/>
  <c r="BE89" i="1"/>
  <c r="BC89" i="1"/>
  <c r="BA89" i="1"/>
  <c r="AY89" i="1"/>
  <c r="AW89" i="1"/>
  <c r="AU89" i="1"/>
  <c r="AS89" i="1"/>
  <c r="AQ89" i="1"/>
  <c r="AO89" i="1"/>
  <c r="AM89" i="1"/>
  <c r="AK89" i="1"/>
  <c r="AI89" i="1"/>
  <c r="AE89" i="1"/>
  <c r="AC89" i="1"/>
  <c r="AA89" i="1"/>
  <c r="Y89" i="1"/>
  <c r="W89" i="1"/>
  <c r="U89" i="1"/>
  <c r="S89" i="1"/>
  <c r="Q89" i="1"/>
  <c r="O89" i="1"/>
  <c r="M89" i="1"/>
  <c r="K89" i="1"/>
  <c r="I89" i="1"/>
  <c r="DF88" i="1"/>
  <c r="CW88" i="1"/>
  <c r="CU88" i="1"/>
  <c r="CS88" i="1"/>
  <c r="CQ88" i="1"/>
  <c r="CO88" i="1"/>
  <c r="CM88" i="1"/>
  <c r="CK88" i="1"/>
  <c r="CI88" i="1"/>
  <c r="CE88" i="1"/>
  <c r="CC88" i="1"/>
  <c r="CA88" i="1"/>
  <c r="BY88" i="1"/>
  <c r="BW88" i="1"/>
  <c r="BU88" i="1"/>
  <c r="BS88" i="1"/>
  <c r="BQ88" i="1"/>
  <c r="BO88" i="1"/>
  <c r="BM88" i="1"/>
  <c r="BK88" i="1"/>
  <c r="BI88" i="1"/>
  <c r="BE88" i="1"/>
  <c r="BC88" i="1"/>
  <c r="BA88" i="1"/>
  <c r="AY88" i="1"/>
  <c r="AW88" i="1"/>
  <c r="AU88" i="1"/>
  <c r="AS88" i="1"/>
  <c r="AQ88" i="1"/>
  <c r="AO88" i="1"/>
  <c r="AM88" i="1"/>
  <c r="AK88" i="1"/>
  <c r="AI88" i="1"/>
  <c r="AE88" i="1"/>
  <c r="AC88" i="1"/>
  <c r="AA88" i="1"/>
  <c r="Y88" i="1"/>
  <c r="W88" i="1"/>
  <c r="U88" i="1"/>
  <c r="S88" i="1"/>
  <c r="Q88" i="1"/>
  <c r="O88" i="1"/>
  <c r="M88" i="1"/>
  <c r="K88" i="1"/>
  <c r="I88" i="1"/>
  <c r="DF87" i="1"/>
  <c r="DG87" i="1" s="1"/>
  <c r="CW87" i="1"/>
  <c r="CU87" i="1"/>
  <c r="CS87" i="1"/>
  <c r="CQ87" i="1"/>
  <c r="CO87" i="1"/>
  <c r="CM87" i="1"/>
  <c r="CK87" i="1"/>
  <c r="CI87" i="1"/>
  <c r="CE87" i="1"/>
  <c r="CC87" i="1"/>
  <c r="CA87" i="1"/>
  <c r="BY87" i="1"/>
  <c r="BW87" i="1"/>
  <c r="BU87" i="1"/>
  <c r="BS87" i="1"/>
  <c r="BQ87" i="1"/>
  <c r="BO87" i="1"/>
  <c r="BM87" i="1"/>
  <c r="BK87" i="1"/>
  <c r="BI87" i="1"/>
  <c r="BE87" i="1"/>
  <c r="BC87" i="1"/>
  <c r="BA87" i="1"/>
  <c r="AY87" i="1"/>
  <c r="AW87" i="1"/>
  <c r="AU87" i="1"/>
  <c r="AS87" i="1"/>
  <c r="AQ87" i="1"/>
  <c r="AO87" i="1"/>
  <c r="AM87" i="1"/>
  <c r="AK87" i="1"/>
  <c r="AI87" i="1"/>
  <c r="AE87" i="1"/>
  <c r="AC87" i="1"/>
  <c r="AA87" i="1"/>
  <c r="Y87" i="1"/>
  <c r="W87" i="1"/>
  <c r="U87" i="1"/>
  <c r="S87" i="1"/>
  <c r="Q87" i="1"/>
  <c r="O87" i="1"/>
  <c r="M87" i="1"/>
  <c r="K87" i="1"/>
  <c r="I87" i="1"/>
  <c r="DF86" i="1"/>
  <c r="CW86" i="1"/>
  <c r="CU86" i="1"/>
  <c r="CS86" i="1"/>
  <c r="CQ86" i="1"/>
  <c r="CO86" i="1"/>
  <c r="CM86" i="1"/>
  <c r="CK86" i="1"/>
  <c r="CI86" i="1"/>
  <c r="CE86" i="1"/>
  <c r="CC86" i="1"/>
  <c r="CA86" i="1"/>
  <c r="BY86" i="1"/>
  <c r="BW86" i="1"/>
  <c r="BU86" i="1"/>
  <c r="BS86" i="1"/>
  <c r="BQ86" i="1"/>
  <c r="BO86" i="1"/>
  <c r="BM86" i="1"/>
  <c r="BK86" i="1"/>
  <c r="BI86" i="1"/>
  <c r="BE86" i="1"/>
  <c r="BC86" i="1"/>
  <c r="BA86" i="1"/>
  <c r="AY86" i="1"/>
  <c r="AW86" i="1"/>
  <c r="AU86" i="1"/>
  <c r="AS86" i="1"/>
  <c r="AQ86" i="1"/>
  <c r="AO86" i="1"/>
  <c r="AM86" i="1"/>
  <c r="AK86" i="1"/>
  <c r="AI86" i="1"/>
  <c r="AE86" i="1"/>
  <c r="AC86" i="1"/>
  <c r="AA86" i="1"/>
  <c r="Y86" i="1"/>
  <c r="W86" i="1"/>
  <c r="U86" i="1"/>
  <c r="S86" i="1"/>
  <c r="Q86" i="1"/>
  <c r="O86" i="1"/>
  <c r="M86" i="1"/>
  <c r="K86" i="1"/>
  <c r="I86" i="1"/>
  <c r="DF85" i="1"/>
  <c r="DG85" i="1" s="1"/>
  <c r="CW85" i="1"/>
  <c r="CU85" i="1"/>
  <c r="CS85" i="1"/>
  <c r="CQ85" i="1"/>
  <c r="CO85" i="1"/>
  <c r="CM85" i="1"/>
  <c r="CK85" i="1"/>
  <c r="CI85" i="1"/>
  <c r="CE85" i="1"/>
  <c r="CC85" i="1"/>
  <c r="CA85" i="1"/>
  <c r="BY85" i="1"/>
  <c r="BW85" i="1"/>
  <c r="BU85" i="1"/>
  <c r="BS85" i="1"/>
  <c r="BQ85" i="1"/>
  <c r="BO85" i="1"/>
  <c r="BM85" i="1"/>
  <c r="BK85" i="1"/>
  <c r="BI85" i="1"/>
  <c r="BE85" i="1"/>
  <c r="BC85" i="1"/>
  <c r="BA85" i="1"/>
  <c r="AY85" i="1"/>
  <c r="AW85" i="1"/>
  <c r="AU85" i="1"/>
  <c r="AS85" i="1"/>
  <c r="AQ85" i="1"/>
  <c r="AO85" i="1"/>
  <c r="AM85" i="1"/>
  <c r="AK85" i="1"/>
  <c r="AI85" i="1"/>
  <c r="AE85" i="1"/>
  <c r="AC85" i="1"/>
  <c r="AA85" i="1"/>
  <c r="Y85" i="1"/>
  <c r="W85" i="1"/>
  <c r="U85" i="1"/>
  <c r="S85" i="1"/>
  <c r="Q85" i="1"/>
  <c r="O85" i="1"/>
  <c r="M85" i="1"/>
  <c r="K85" i="1"/>
  <c r="I85" i="1"/>
  <c r="DF84" i="1"/>
  <c r="DG84" i="1" s="1"/>
  <c r="CW84" i="1"/>
  <c r="CU84" i="1"/>
  <c r="CS84" i="1"/>
  <c r="CQ84" i="1"/>
  <c r="CO84" i="1"/>
  <c r="CM84" i="1"/>
  <c r="CK84" i="1"/>
  <c r="CI84" i="1"/>
  <c r="CE84" i="1"/>
  <c r="CC84" i="1"/>
  <c r="CA84" i="1"/>
  <c r="BY84" i="1"/>
  <c r="BW84" i="1"/>
  <c r="BU84" i="1"/>
  <c r="BS84" i="1"/>
  <c r="BQ84" i="1"/>
  <c r="BO84" i="1"/>
  <c r="BM84" i="1"/>
  <c r="BK84" i="1"/>
  <c r="BI84" i="1"/>
  <c r="BE84" i="1"/>
  <c r="BC84" i="1"/>
  <c r="BA84" i="1"/>
  <c r="AY84" i="1"/>
  <c r="AW84" i="1"/>
  <c r="AU84" i="1"/>
  <c r="AS84" i="1"/>
  <c r="AQ84" i="1"/>
  <c r="AO84" i="1"/>
  <c r="AM84" i="1"/>
  <c r="AK84" i="1"/>
  <c r="AI84" i="1"/>
  <c r="AE84" i="1"/>
  <c r="AC84" i="1"/>
  <c r="AA84" i="1"/>
  <c r="Y84" i="1"/>
  <c r="W84" i="1"/>
  <c r="U84" i="1"/>
  <c r="S84" i="1"/>
  <c r="Q84" i="1"/>
  <c r="O84" i="1"/>
  <c r="M84" i="1"/>
  <c r="K84" i="1"/>
  <c r="I84" i="1"/>
  <c r="DF83" i="1"/>
  <c r="DG83" i="1" s="1"/>
  <c r="CW83" i="1"/>
  <c r="CU83" i="1"/>
  <c r="CS83" i="1"/>
  <c r="CQ83" i="1"/>
  <c r="CO83" i="1"/>
  <c r="CM83" i="1"/>
  <c r="CK83" i="1"/>
  <c r="CI83" i="1"/>
  <c r="DF82" i="1"/>
  <c r="DG82" i="1" s="1"/>
  <c r="CW82" i="1"/>
  <c r="CU82" i="1"/>
  <c r="CS82" i="1"/>
  <c r="CQ82" i="1"/>
  <c r="CO82" i="1"/>
  <c r="CM82" i="1"/>
  <c r="CK82" i="1"/>
  <c r="CI82" i="1"/>
  <c r="DF81" i="1"/>
  <c r="CW81" i="1"/>
  <c r="CU81" i="1"/>
  <c r="CS81" i="1"/>
  <c r="CQ81" i="1"/>
  <c r="CO81" i="1"/>
  <c r="CM81" i="1"/>
  <c r="CK81" i="1"/>
  <c r="CI81" i="1"/>
  <c r="CE81" i="1"/>
  <c r="CC81" i="1"/>
  <c r="CA81" i="1"/>
  <c r="BY81" i="1"/>
  <c r="BW81" i="1"/>
  <c r="BU81" i="1"/>
  <c r="BS81" i="1"/>
  <c r="BQ81" i="1"/>
  <c r="BO81" i="1"/>
  <c r="BM81" i="1"/>
  <c r="BK81" i="1"/>
  <c r="BI81" i="1"/>
  <c r="BE81" i="1"/>
  <c r="BC81" i="1"/>
  <c r="BA81" i="1"/>
  <c r="AY81" i="1"/>
  <c r="AW81" i="1"/>
  <c r="AU81" i="1"/>
  <c r="AS81" i="1"/>
  <c r="AQ81" i="1"/>
  <c r="AO81" i="1"/>
  <c r="AM81" i="1"/>
  <c r="AK81" i="1"/>
  <c r="AI81" i="1"/>
  <c r="AE81" i="1"/>
  <c r="AC81" i="1"/>
  <c r="AA81" i="1"/>
  <c r="Y81" i="1"/>
  <c r="W81" i="1"/>
  <c r="U81" i="1"/>
  <c r="S81" i="1"/>
  <c r="Q81" i="1"/>
  <c r="O81" i="1"/>
  <c r="M81" i="1"/>
  <c r="K81" i="1"/>
  <c r="I81" i="1"/>
  <c r="DF80" i="1"/>
  <c r="DG80" i="1" s="1"/>
  <c r="CW80" i="1"/>
  <c r="CU80" i="1"/>
  <c r="CS80" i="1"/>
  <c r="CQ80" i="1"/>
  <c r="CO80" i="1"/>
  <c r="CM80" i="1"/>
  <c r="CK80" i="1"/>
  <c r="CI80" i="1"/>
  <c r="CE80" i="1"/>
  <c r="CC80" i="1"/>
  <c r="CA80" i="1"/>
  <c r="BY80" i="1"/>
  <c r="BW80" i="1"/>
  <c r="BU80" i="1"/>
  <c r="BS80" i="1"/>
  <c r="BQ80" i="1"/>
  <c r="BO80" i="1"/>
  <c r="BM80" i="1"/>
  <c r="BK80" i="1"/>
  <c r="BI80" i="1"/>
  <c r="BE80" i="1"/>
  <c r="BC80" i="1"/>
  <c r="BA80" i="1"/>
  <c r="AY80" i="1"/>
  <c r="AW80" i="1"/>
  <c r="AU80" i="1"/>
  <c r="AS80" i="1"/>
  <c r="AQ80" i="1"/>
  <c r="AO80" i="1"/>
  <c r="AM80" i="1"/>
  <c r="AK80" i="1"/>
  <c r="AI80" i="1"/>
  <c r="AE80" i="1"/>
  <c r="AC80" i="1"/>
  <c r="AA80" i="1"/>
  <c r="Y80" i="1"/>
  <c r="W80" i="1"/>
  <c r="U80" i="1"/>
  <c r="S80" i="1"/>
  <c r="Q80" i="1"/>
  <c r="O80" i="1"/>
  <c r="M80" i="1"/>
  <c r="K80" i="1"/>
  <c r="I80" i="1"/>
  <c r="DF79" i="1"/>
  <c r="DG79" i="1" s="1"/>
  <c r="CW79" i="1"/>
  <c r="CU79" i="1"/>
  <c r="CS79" i="1"/>
  <c r="CQ79" i="1"/>
  <c r="CO79" i="1"/>
  <c r="CM79" i="1"/>
  <c r="CK79" i="1"/>
  <c r="CI79" i="1"/>
  <c r="CE79" i="1"/>
  <c r="CC79" i="1"/>
  <c r="CA79" i="1"/>
  <c r="BY79" i="1"/>
  <c r="BW79" i="1"/>
  <c r="BU79" i="1"/>
  <c r="BS79" i="1"/>
  <c r="BQ79" i="1"/>
  <c r="BO79" i="1"/>
  <c r="BM79" i="1"/>
  <c r="BK79" i="1"/>
  <c r="BI79" i="1"/>
  <c r="BE79" i="1"/>
  <c r="BC79" i="1"/>
  <c r="BA79" i="1"/>
  <c r="AY79" i="1"/>
  <c r="AW79" i="1"/>
  <c r="AU79" i="1"/>
  <c r="AS79" i="1"/>
  <c r="AQ79" i="1"/>
  <c r="AO79" i="1"/>
  <c r="AM79" i="1"/>
  <c r="AK79" i="1"/>
  <c r="AI79" i="1"/>
  <c r="AE79" i="1"/>
  <c r="AC79" i="1"/>
  <c r="AA79" i="1"/>
  <c r="Y79" i="1"/>
  <c r="W79" i="1"/>
  <c r="U79" i="1"/>
  <c r="S79" i="1"/>
  <c r="Q79" i="1"/>
  <c r="O79" i="1"/>
  <c r="M79" i="1"/>
  <c r="K79" i="1"/>
  <c r="I79" i="1"/>
  <c r="DF78" i="1"/>
  <c r="DG78" i="1" s="1"/>
  <c r="CW78" i="1"/>
  <c r="CU78" i="1"/>
  <c r="CS78" i="1"/>
  <c r="CQ78" i="1"/>
  <c r="CO78" i="1"/>
  <c r="CM78" i="1"/>
  <c r="CK78" i="1"/>
  <c r="CI78" i="1"/>
  <c r="CE78" i="1"/>
  <c r="CC78" i="1"/>
  <c r="CA78" i="1"/>
  <c r="BY78" i="1"/>
  <c r="BW78" i="1"/>
  <c r="BU78" i="1"/>
  <c r="BS78" i="1"/>
  <c r="BQ78" i="1"/>
  <c r="BO78" i="1"/>
  <c r="BM78" i="1"/>
  <c r="BK78" i="1"/>
  <c r="BI78" i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E78" i="1"/>
  <c r="AC78" i="1"/>
  <c r="AA78" i="1"/>
  <c r="Y78" i="1"/>
  <c r="W78" i="1"/>
  <c r="U78" i="1"/>
  <c r="S78" i="1"/>
  <c r="Q78" i="1"/>
  <c r="O78" i="1"/>
  <c r="M78" i="1"/>
  <c r="K78" i="1"/>
  <c r="I78" i="1"/>
  <c r="DF77" i="1"/>
  <c r="DG77" i="1" s="1"/>
  <c r="CW77" i="1"/>
  <c r="CU77" i="1"/>
  <c r="CS77" i="1"/>
  <c r="CQ77" i="1"/>
  <c r="CO77" i="1"/>
  <c r="CM77" i="1"/>
  <c r="CK77" i="1"/>
  <c r="CI77" i="1"/>
  <c r="CE77" i="1"/>
  <c r="CC77" i="1"/>
  <c r="CA77" i="1"/>
  <c r="BY77" i="1"/>
  <c r="BW77" i="1"/>
  <c r="BU77" i="1"/>
  <c r="BS77" i="1"/>
  <c r="BQ77" i="1"/>
  <c r="BO77" i="1"/>
  <c r="BM77" i="1"/>
  <c r="BK77" i="1"/>
  <c r="BI77" i="1"/>
  <c r="BE77" i="1"/>
  <c r="BC77" i="1"/>
  <c r="BA77" i="1"/>
  <c r="AY77" i="1"/>
  <c r="AW77" i="1"/>
  <c r="AU77" i="1"/>
  <c r="AS77" i="1"/>
  <c r="AQ77" i="1"/>
  <c r="AO77" i="1"/>
  <c r="AM77" i="1"/>
  <c r="AK77" i="1"/>
  <c r="AI77" i="1"/>
  <c r="AE77" i="1"/>
  <c r="AC77" i="1"/>
  <c r="AA77" i="1"/>
  <c r="Y77" i="1"/>
  <c r="W77" i="1"/>
  <c r="U77" i="1"/>
  <c r="S77" i="1"/>
  <c r="Q77" i="1"/>
  <c r="O77" i="1"/>
  <c r="M77" i="1"/>
  <c r="K77" i="1"/>
  <c r="I77" i="1"/>
  <c r="DF76" i="1"/>
  <c r="DG76" i="1" s="1"/>
  <c r="CW76" i="1"/>
  <c r="CU76" i="1"/>
  <c r="CS76" i="1"/>
  <c r="CQ76" i="1"/>
  <c r="CO76" i="1"/>
  <c r="CM76" i="1"/>
  <c r="CK76" i="1"/>
  <c r="CI76" i="1"/>
  <c r="CE76" i="1"/>
  <c r="CC76" i="1"/>
  <c r="CA76" i="1"/>
  <c r="BY76" i="1"/>
  <c r="BW76" i="1"/>
  <c r="BU76" i="1"/>
  <c r="BS76" i="1"/>
  <c r="BQ76" i="1"/>
  <c r="BO76" i="1"/>
  <c r="BM76" i="1"/>
  <c r="BK76" i="1"/>
  <c r="BI76" i="1"/>
  <c r="BE76" i="1"/>
  <c r="BC76" i="1"/>
  <c r="BA76" i="1"/>
  <c r="AY76" i="1"/>
  <c r="AW76" i="1"/>
  <c r="AU76" i="1"/>
  <c r="AS76" i="1"/>
  <c r="AQ76" i="1"/>
  <c r="AO76" i="1"/>
  <c r="AM76" i="1"/>
  <c r="AK76" i="1"/>
  <c r="AI76" i="1"/>
  <c r="AE76" i="1"/>
  <c r="AC76" i="1"/>
  <c r="AA76" i="1"/>
  <c r="Y76" i="1"/>
  <c r="W76" i="1"/>
  <c r="U76" i="1"/>
  <c r="S76" i="1"/>
  <c r="Q76" i="1"/>
  <c r="O76" i="1"/>
  <c r="M76" i="1"/>
  <c r="K76" i="1"/>
  <c r="I76" i="1"/>
  <c r="DF75" i="1"/>
  <c r="DG75" i="1" s="1"/>
  <c r="CW75" i="1"/>
  <c r="CU75" i="1"/>
  <c r="CS75" i="1"/>
  <c r="CQ75" i="1"/>
  <c r="CO75" i="1"/>
  <c r="CM75" i="1"/>
  <c r="CK75" i="1"/>
  <c r="CI75" i="1"/>
  <c r="CE75" i="1"/>
  <c r="CC75" i="1"/>
  <c r="CA75" i="1"/>
  <c r="BY75" i="1"/>
  <c r="BW75" i="1"/>
  <c r="BU75" i="1"/>
  <c r="BS75" i="1"/>
  <c r="BQ75" i="1"/>
  <c r="BO75" i="1"/>
  <c r="BM75" i="1"/>
  <c r="BK75" i="1"/>
  <c r="BI75" i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E75" i="1"/>
  <c r="AC75" i="1"/>
  <c r="AA75" i="1"/>
  <c r="Y75" i="1"/>
  <c r="W75" i="1"/>
  <c r="U75" i="1"/>
  <c r="S75" i="1"/>
  <c r="Q75" i="1"/>
  <c r="O75" i="1"/>
  <c r="M75" i="1"/>
  <c r="K75" i="1"/>
  <c r="I75" i="1"/>
  <c r="DF74" i="1"/>
  <c r="DG74" i="1" s="1"/>
  <c r="CW74" i="1"/>
  <c r="CU74" i="1"/>
  <c r="CS74" i="1"/>
  <c r="CQ74" i="1"/>
  <c r="CO74" i="1"/>
  <c r="CM74" i="1"/>
  <c r="CK74" i="1"/>
  <c r="CI74" i="1"/>
  <c r="CE74" i="1"/>
  <c r="CC74" i="1"/>
  <c r="CA74" i="1"/>
  <c r="BY74" i="1"/>
  <c r="BW74" i="1"/>
  <c r="BU74" i="1"/>
  <c r="BS74" i="1"/>
  <c r="BQ74" i="1"/>
  <c r="BO74" i="1"/>
  <c r="BM74" i="1"/>
  <c r="BK74" i="1"/>
  <c r="BI74" i="1"/>
  <c r="BE74" i="1"/>
  <c r="BC74" i="1"/>
  <c r="BA74" i="1"/>
  <c r="AY74" i="1"/>
  <c r="AW74" i="1"/>
  <c r="AU74" i="1"/>
  <c r="AS74" i="1"/>
  <c r="AQ74" i="1"/>
  <c r="AO74" i="1"/>
  <c r="AM74" i="1"/>
  <c r="AK74" i="1"/>
  <c r="AI74" i="1"/>
  <c r="AE74" i="1"/>
  <c r="AC74" i="1"/>
  <c r="AA74" i="1"/>
  <c r="Y74" i="1"/>
  <c r="W74" i="1"/>
  <c r="U74" i="1"/>
  <c r="S74" i="1"/>
  <c r="Q74" i="1"/>
  <c r="O74" i="1"/>
  <c r="M74" i="1"/>
  <c r="K74" i="1"/>
  <c r="I74" i="1"/>
  <c r="DF73" i="1"/>
  <c r="DG73" i="1" s="1"/>
  <c r="CW73" i="1"/>
  <c r="CU73" i="1"/>
  <c r="CS73" i="1"/>
  <c r="CQ73" i="1"/>
  <c r="CO73" i="1"/>
  <c r="CM73" i="1"/>
  <c r="CK73" i="1"/>
  <c r="CI73" i="1"/>
  <c r="CE73" i="1"/>
  <c r="CC73" i="1"/>
  <c r="CA73" i="1"/>
  <c r="BY73" i="1"/>
  <c r="BW73" i="1"/>
  <c r="BU73" i="1"/>
  <c r="BS73" i="1"/>
  <c r="BQ73" i="1"/>
  <c r="BO73" i="1"/>
  <c r="BM73" i="1"/>
  <c r="BK73" i="1"/>
  <c r="BI73" i="1"/>
  <c r="BE73" i="1"/>
  <c r="BC73" i="1"/>
  <c r="BA73" i="1"/>
  <c r="AY73" i="1"/>
  <c r="AW73" i="1"/>
  <c r="AU73" i="1"/>
  <c r="AS73" i="1"/>
  <c r="AQ73" i="1"/>
  <c r="AO73" i="1"/>
  <c r="AM73" i="1"/>
  <c r="AK73" i="1"/>
  <c r="AI73" i="1"/>
  <c r="AE73" i="1"/>
  <c r="AC73" i="1"/>
  <c r="AA73" i="1"/>
  <c r="Y73" i="1"/>
  <c r="W73" i="1"/>
  <c r="U73" i="1"/>
  <c r="S73" i="1"/>
  <c r="Q73" i="1"/>
  <c r="O73" i="1"/>
  <c r="M73" i="1"/>
  <c r="K73" i="1"/>
  <c r="I73" i="1"/>
  <c r="DF72" i="1"/>
  <c r="CW72" i="1"/>
  <c r="CU72" i="1"/>
  <c r="CS72" i="1"/>
  <c r="CQ72" i="1"/>
  <c r="CO72" i="1"/>
  <c r="CM72" i="1"/>
  <c r="CK72" i="1"/>
  <c r="CI72" i="1"/>
  <c r="CE72" i="1"/>
  <c r="CC72" i="1"/>
  <c r="CA72" i="1"/>
  <c r="BY72" i="1"/>
  <c r="BW72" i="1"/>
  <c r="BU72" i="1"/>
  <c r="BS72" i="1"/>
  <c r="BQ72" i="1"/>
  <c r="BO72" i="1"/>
  <c r="BM72" i="1"/>
  <c r="BK72" i="1"/>
  <c r="BI72" i="1"/>
  <c r="BE72" i="1"/>
  <c r="BC72" i="1"/>
  <c r="BA72" i="1"/>
  <c r="AY72" i="1"/>
  <c r="AW72" i="1"/>
  <c r="AU72" i="1"/>
  <c r="AS72" i="1"/>
  <c r="AQ72" i="1"/>
  <c r="AO72" i="1"/>
  <c r="AM72" i="1"/>
  <c r="AK72" i="1"/>
  <c r="AI72" i="1"/>
  <c r="AE72" i="1"/>
  <c r="AC72" i="1"/>
  <c r="AA72" i="1"/>
  <c r="Y72" i="1"/>
  <c r="W72" i="1"/>
  <c r="U72" i="1"/>
  <c r="S72" i="1"/>
  <c r="Q72" i="1"/>
  <c r="O72" i="1"/>
  <c r="M72" i="1"/>
  <c r="K72" i="1"/>
  <c r="I72" i="1"/>
  <c r="DF71" i="1"/>
  <c r="DG71" i="1" s="1"/>
  <c r="CW71" i="1"/>
  <c r="CU71" i="1"/>
  <c r="CS71" i="1"/>
  <c r="CQ71" i="1"/>
  <c r="CO71" i="1"/>
  <c r="CM71" i="1"/>
  <c r="CK71" i="1"/>
  <c r="CI71" i="1"/>
  <c r="CE71" i="1"/>
  <c r="CC71" i="1"/>
  <c r="CA71" i="1"/>
  <c r="BY71" i="1"/>
  <c r="BW71" i="1"/>
  <c r="BU71" i="1"/>
  <c r="BS71" i="1"/>
  <c r="BQ71" i="1"/>
  <c r="BO71" i="1"/>
  <c r="BM71" i="1"/>
  <c r="BK71" i="1"/>
  <c r="BI71" i="1"/>
  <c r="BE71" i="1"/>
  <c r="BC71" i="1"/>
  <c r="BA71" i="1"/>
  <c r="AY71" i="1"/>
  <c r="AW71" i="1"/>
  <c r="AU71" i="1"/>
  <c r="AS71" i="1"/>
  <c r="AQ71" i="1"/>
  <c r="AO71" i="1"/>
  <c r="AM71" i="1"/>
  <c r="AK71" i="1"/>
  <c r="AI71" i="1"/>
  <c r="AE71" i="1"/>
  <c r="AC71" i="1"/>
  <c r="AA71" i="1"/>
  <c r="Y71" i="1"/>
  <c r="W71" i="1"/>
  <c r="U71" i="1"/>
  <c r="S71" i="1"/>
  <c r="Q71" i="1"/>
  <c r="O71" i="1"/>
  <c r="M71" i="1"/>
  <c r="K71" i="1"/>
  <c r="I71" i="1"/>
  <c r="DF70" i="1"/>
  <c r="CW70" i="1"/>
  <c r="CU70" i="1"/>
  <c r="CS70" i="1"/>
  <c r="CQ70" i="1"/>
  <c r="CO70" i="1"/>
  <c r="CM70" i="1"/>
  <c r="CK70" i="1"/>
  <c r="CI70" i="1"/>
  <c r="CE70" i="1"/>
  <c r="CC70" i="1"/>
  <c r="CA70" i="1"/>
  <c r="BY70" i="1"/>
  <c r="BW70" i="1"/>
  <c r="BU70" i="1"/>
  <c r="BS70" i="1"/>
  <c r="BQ70" i="1"/>
  <c r="BO70" i="1"/>
  <c r="BM70" i="1"/>
  <c r="BK70" i="1"/>
  <c r="BI70" i="1"/>
  <c r="BE70" i="1"/>
  <c r="BC70" i="1"/>
  <c r="BA70" i="1"/>
  <c r="AY70" i="1"/>
  <c r="AW70" i="1"/>
  <c r="AU70" i="1"/>
  <c r="AS70" i="1"/>
  <c r="AQ70" i="1"/>
  <c r="AO70" i="1"/>
  <c r="AM70" i="1"/>
  <c r="AK70" i="1"/>
  <c r="AI70" i="1"/>
  <c r="AE70" i="1"/>
  <c r="AC70" i="1"/>
  <c r="AA70" i="1"/>
  <c r="Y70" i="1"/>
  <c r="W70" i="1"/>
  <c r="U70" i="1"/>
  <c r="S70" i="1"/>
  <c r="Q70" i="1"/>
  <c r="O70" i="1"/>
  <c r="M70" i="1"/>
  <c r="K70" i="1"/>
  <c r="I70" i="1"/>
  <c r="DF69" i="1"/>
  <c r="DG69" i="1" s="1"/>
  <c r="CW69" i="1"/>
  <c r="CU69" i="1"/>
  <c r="CS69" i="1"/>
  <c r="CQ69" i="1"/>
  <c r="CO69" i="1"/>
  <c r="CM69" i="1"/>
  <c r="CK69" i="1"/>
  <c r="CI69" i="1"/>
  <c r="CE69" i="1"/>
  <c r="CC69" i="1"/>
  <c r="CA69" i="1"/>
  <c r="BY69" i="1"/>
  <c r="BW69" i="1"/>
  <c r="BU69" i="1"/>
  <c r="BS69" i="1"/>
  <c r="BQ69" i="1"/>
  <c r="BO69" i="1"/>
  <c r="BM69" i="1"/>
  <c r="BK69" i="1"/>
  <c r="BI69" i="1"/>
  <c r="BE69" i="1"/>
  <c r="BC69" i="1"/>
  <c r="BA69" i="1"/>
  <c r="AY69" i="1"/>
  <c r="AW69" i="1"/>
  <c r="AU69" i="1"/>
  <c r="AS69" i="1"/>
  <c r="AQ69" i="1"/>
  <c r="AO69" i="1"/>
  <c r="AM69" i="1"/>
  <c r="AK69" i="1"/>
  <c r="AI69" i="1"/>
  <c r="AE69" i="1"/>
  <c r="AC69" i="1"/>
  <c r="AA69" i="1"/>
  <c r="Y69" i="1"/>
  <c r="W69" i="1"/>
  <c r="U69" i="1"/>
  <c r="S69" i="1"/>
  <c r="Q69" i="1"/>
  <c r="O69" i="1"/>
  <c r="M69" i="1"/>
  <c r="K69" i="1"/>
  <c r="I69" i="1"/>
  <c r="DF68" i="1"/>
  <c r="DG68" i="1" s="1"/>
  <c r="CW68" i="1"/>
  <c r="CU68" i="1"/>
  <c r="CS68" i="1"/>
  <c r="CQ68" i="1"/>
  <c r="CO68" i="1"/>
  <c r="CM68" i="1"/>
  <c r="CK68" i="1"/>
  <c r="CI68" i="1"/>
  <c r="CE68" i="1"/>
  <c r="CC68" i="1"/>
  <c r="CA68" i="1"/>
  <c r="BY68" i="1"/>
  <c r="BW68" i="1"/>
  <c r="BU68" i="1"/>
  <c r="BS68" i="1"/>
  <c r="BQ68" i="1"/>
  <c r="BO68" i="1"/>
  <c r="BM68" i="1"/>
  <c r="BK68" i="1"/>
  <c r="BI68" i="1"/>
  <c r="BE68" i="1"/>
  <c r="BC68" i="1"/>
  <c r="BA68" i="1"/>
  <c r="AY68" i="1"/>
  <c r="AW68" i="1"/>
  <c r="AU68" i="1"/>
  <c r="AS68" i="1"/>
  <c r="AQ68" i="1"/>
  <c r="AO68" i="1"/>
  <c r="AM68" i="1"/>
  <c r="AK68" i="1"/>
  <c r="AI68" i="1"/>
  <c r="AE68" i="1"/>
  <c r="AC68" i="1"/>
  <c r="AA68" i="1"/>
  <c r="Y68" i="1"/>
  <c r="W68" i="1"/>
  <c r="U68" i="1"/>
  <c r="S68" i="1"/>
  <c r="Q68" i="1"/>
  <c r="O68" i="1"/>
  <c r="M68" i="1"/>
  <c r="K68" i="1"/>
  <c r="I68" i="1"/>
  <c r="DF67" i="1"/>
  <c r="DG67" i="1" s="1"/>
  <c r="CW67" i="1"/>
  <c r="CU67" i="1"/>
  <c r="CS67" i="1"/>
  <c r="CQ67" i="1"/>
  <c r="CO67" i="1"/>
  <c r="CM67" i="1"/>
  <c r="CK67" i="1"/>
  <c r="CI67" i="1"/>
  <c r="CE67" i="1"/>
  <c r="CC67" i="1"/>
  <c r="CA67" i="1"/>
  <c r="BY67" i="1"/>
  <c r="BW67" i="1"/>
  <c r="BU67" i="1"/>
  <c r="BS67" i="1"/>
  <c r="BQ67" i="1"/>
  <c r="BO67" i="1"/>
  <c r="BM67" i="1"/>
  <c r="BK67" i="1"/>
  <c r="BI67" i="1"/>
  <c r="BE67" i="1"/>
  <c r="BC67" i="1"/>
  <c r="BA67" i="1"/>
  <c r="AY67" i="1"/>
  <c r="AW67" i="1"/>
  <c r="AU67" i="1"/>
  <c r="AS67" i="1"/>
  <c r="AQ67" i="1"/>
  <c r="AO67" i="1"/>
  <c r="AM67" i="1"/>
  <c r="AK67" i="1"/>
  <c r="AI67" i="1"/>
  <c r="AE67" i="1"/>
  <c r="AC67" i="1"/>
  <c r="AA67" i="1"/>
  <c r="Y67" i="1"/>
  <c r="W67" i="1"/>
  <c r="U67" i="1"/>
  <c r="S67" i="1"/>
  <c r="Q67" i="1"/>
  <c r="O67" i="1"/>
  <c r="M67" i="1"/>
  <c r="K67" i="1"/>
  <c r="I67" i="1"/>
  <c r="DF66" i="1"/>
  <c r="DG66" i="1" s="1"/>
  <c r="CW66" i="1"/>
  <c r="CU66" i="1"/>
  <c r="CS66" i="1"/>
  <c r="CQ66" i="1"/>
  <c r="CO66" i="1"/>
  <c r="CM66" i="1"/>
  <c r="CK66" i="1"/>
  <c r="CI66" i="1"/>
  <c r="CE66" i="1"/>
  <c r="CC66" i="1"/>
  <c r="CA66" i="1"/>
  <c r="BY66" i="1"/>
  <c r="BW66" i="1"/>
  <c r="BU66" i="1"/>
  <c r="BS66" i="1"/>
  <c r="BQ66" i="1"/>
  <c r="BO66" i="1"/>
  <c r="BM66" i="1"/>
  <c r="BK66" i="1"/>
  <c r="BI66" i="1"/>
  <c r="BE66" i="1"/>
  <c r="BC66" i="1"/>
  <c r="BA66" i="1"/>
  <c r="AY66" i="1"/>
  <c r="AW66" i="1"/>
  <c r="AU66" i="1"/>
  <c r="AS66" i="1"/>
  <c r="AQ66" i="1"/>
  <c r="AO66" i="1"/>
  <c r="AM66" i="1"/>
  <c r="AK66" i="1"/>
  <c r="AI66" i="1"/>
  <c r="AE66" i="1"/>
  <c r="AC66" i="1"/>
  <c r="AA66" i="1"/>
  <c r="Y66" i="1"/>
  <c r="W66" i="1"/>
  <c r="U66" i="1"/>
  <c r="S66" i="1"/>
  <c r="Q66" i="1"/>
  <c r="O66" i="1"/>
  <c r="M66" i="1"/>
  <c r="K66" i="1"/>
  <c r="I66" i="1"/>
  <c r="DF65" i="1"/>
  <c r="DG65" i="1" s="1"/>
  <c r="CW65" i="1"/>
  <c r="CU65" i="1"/>
  <c r="CS65" i="1"/>
  <c r="CQ65" i="1"/>
  <c r="CO65" i="1"/>
  <c r="CM65" i="1"/>
  <c r="CK65" i="1"/>
  <c r="CI65" i="1"/>
  <c r="DF64" i="1"/>
  <c r="DG64" i="1" s="1"/>
  <c r="CW64" i="1"/>
  <c r="CU64" i="1"/>
  <c r="CS64" i="1"/>
  <c r="CQ64" i="1"/>
  <c r="CO64" i="1"/>
  <c r="CM64" i="1"/>
  <c r="CK64" i="1"/>
  <c r="CI64" i="1"/>
  <c r="CE64" i="1"/>
  <c r="CC64" i="1"/>
  <c r="CA64" i="1"/>
  <c r="BY64" i="1"/>
  <c r="BW64" i="1"/>
  <c r="BU64" i="1"/>
  <c r="BS64" i="1"/>
  <c r="BQ64" i="1"/>
  <c r="BO64" i="1"/>
  <c r="BM64" i="1"/>
  <c r="BK64" i="1"/>
  <c r="BI64" i="1"/>
  <c r="BE64" i="1"/>
  <c r="BC64" i="1"/>
  <c r="BA64" i="1"/>
  <c r="AY64" i="1"/>
  <c r="AW64" i="1"/>
  <c r="AU64" i="1"/>
  <c r="AS64" i="1"/>
  <c r="AQ64" i="1"/>
  <c r="AO64" i="1"/>
  <c r="AM64" i="1"/>
  <c r="AK64" i="1"/>
  <c r="AI64" i="1"/>
  <c r="AE64" i="1"/>
  <c r="AC64" i="1"/>
  <c r="AA64" i="1"/>
  <c r="Y64" i="1"/>
  <c r="W64" i="1"/>
  <c r="U64" i="1"/>
  <c r="S64" i="1"/>
  <c r="Q64" i="1"/>
  <c r="O64" i="1"/>
  <c r="M64" i="1"/>
  <c r="K64" i="1"/>
  <c r="I64" i="1"/>
  <c r="DF63" i="1"/>
  <c r="DG63" i="1" s="1"/>
  <c r="CW63" i="1"/>
  <c r="CU63" i="1"/>
  <c r="CS63" i="1"/>
  <c r="CQ63" i="1"/>
  <c r="CO63" i="1"/>
  <c r="CM63" i="1"/>
  <c r="CK63" i="1"/>
  <c r="CI63" i="1"/>
  <c r="CE63" i="1"/>
  <c r="CC63" i="1"/>
  <c r="CA63" i="1"/>
  <c r="BY63" i="1"/>
  <c r="BW63" i="1"/>
  <c r="BU63" i="1"/>
  <c r="BS63" i="1"/>
  <c r="BQ63" i="1"/>
  <c r="BO63" i="1"/>
  <c r="BM63" i="1"/>
  <c r="BK63" i="1"/>
  <c r="BI63" i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E63" i="1"/>
  <c r="AC63" i="1"/>
  <c r="AA63" i="1"/>
  <c r="Y63" i="1"/>
  <c r="W63" i="1"/>
  <c r="U63" i="1"/>
  <c r="S63" i="1"/>
  <c r="Q63" i="1"/>
  <c r="O63" i="1"/>
  <c r="M63" i="1"/>
  <c r="K63" i="1"/>
  <c r="I63" i="1"/>
  <c r="DF62" i="1"/>
  <c r="DG62" i="1" s="1"/>
  <c r="CW62" i="1"/>
  <c r="CU62" i="1"/>
  <c r="CS62" i="1"/>
  <c r="CQ62" i="1"/>
  <c r="CO62" i="1"/>
  <c r="CM62" i="1"/>
  <c r="CK62" i="1"/>
  <c r="CI62" i="1"/>
  <c r="CE62" i="1"/>
  <c r="CC62" i="1"/>
  <c r="CA62" i="1"/>
  <c r="BY62" i="1"/>
  <c r="BW62" i="1"/>
  <c r="BU62" i="1"/>
  <c r="BS62" i="1"/>
  <c r="BQ62" i="1"/>
  <c r="BO62" i="1"/>
  <c r="BM62" i="1"/>
  <c r="BK62" i="1"/>
  <c r="BI62" i="1"/>
  <c r="BE62" i="1"/>
  <c r="BC62" i="1"/>
  <c r="BA62" i="1"/>
  <c r="AY62" i="1"/>
  <c r="AW62" i="1"/>
  <c r="AU62" i="1"/>
  <c r="AS62" i="1"/>
  <c r="AQ62" i="1"/>
  <c r="AO62" i="1"/>
  <c r="AM62" i="1"/>
  <c r="AK62" i="1"/>
  <c r="AI62" i="1"/>
  <c r="AE62" i="1"/>
  <c r="AC62" i="1"/>
  <c r="AA62" i="1"/>
  <c r="Y62" i="1"/>
  <c r="W62" i="1"/>
  <c r="U62" i="1"/>
  <c r="S62" i="1"/>
  <c r="Q62" i="1"/>
  <c r="O62" i="1"/>
  <c r="M62" i="1"/>
  <c r="K62" i="1"/>
  <c r="I62" i="1"/>
  <c r="DF61" i="1"/>
  <c r="DG61" i="1" s="1"/>
  <c r="CW61" i="1"/>
  <c r="CU61" i="1"/>
  <c r="CS61" i="1"/>
  <c r="CQ61" i="1"/>
  <c r="CO61" i="1"/>
  <c r="CM61" i="1"/>
  <c r="CK61" i="1"/>
  <c r="CI61" i="1"/>
  <c r="CE61" i="1"/>
  <c r="CC61" i="1"/>
  <c r="CA61" i="1"/>
  <c r="BY61" i="1"/>
  <c r="BW61" i="1"/>
  <c r="BU61" i="1"/>
  <c r="BS61" i="1"/>
  <c r="BQ61" i="1"/>
  <c r="BO61" i="1"/>
  <c r="BM61" i="1"/>
  <c r="BK61" i="1"/>
  <c r="BI61" i="1"/>
  <c r="BE61" i="1"/>
  <c r="BC61" i="1"/>
  <c r="BA61" i="1"/>
  <c r="AY61" i="1"/>
  <c r="AW61" i="1"/>
  <c r="AU61" i="1"/>
  <c r="AS61" i="1"/>
  <c r="AQ61" i="1"/>
  <c r="AO61" i="1"/>
  <c r="AM61" i="1"/>
  <c r="AK61" i="1"/>
  <c r="AI61" i="1"/>
  <c r="AE61" i="1"/>
  <c r="AC61" i="1"/>
  <c r="AA61" i="1"/>
  <c r="Y61" i="1"/>
  <c r="W61" i="1"/>
  <c r="U61" i="1"/>
  <c r="S61" i="1"/>
  <c r="Q61" i="1"/>
  <c r="O61" i="1"/>
  <c r="M61" i="1"/>
  <c r="K61" i="1"/>
  <c r="I61" i="1"/>
  <c r="DF60" i="1"/>
  <c r="DG60" i="1" s="1"/>
  <c r="CW60" i="1"/>
  <c r="CU60" i="1"/>
  <c r="CS60" i="1"/>
  <c r="CQ60" i="1"/>
  <c r="CO60" i="1"/>
  <c r="CM60" i="1"/>
  <c r="CK60" i="1"/>
  <c r="CI60" i="1"/>
  <c r="CE60" i="1"/>
  <c r="CC60" i="1"/>
  <c r="CA60" i="1"/>
  <c r="BY60" i="1"/>
  <c r="BW60" i="1"/>
  <c r="BU60" i="1"/>
  <c r="BS60" i="1"/>
  <c r="BQ60" i="1"/>
  <c r="BO60" i="1"/>
  <c r="BM60" i="1"/>
  <c r="BK60" i="1"/>
  <c r="BI60" i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E60" i="1"/>
  <c r="AC60" i="1"/>
  <c r="AA60" i="1"/>
  <c r="Y60" i="1"/>
  <c r="W60" i="1"/>
  <c r="U60" i="1"/>
  <c r="S60" i="1"/>
  <c r="Q60" i="1"/>
  <c r="O60" i="1"/>
  <c r="M60" i="1"/>
  <c r="K60" i="1"/>
  <c r="I60" i="1"/>
  <c r="DF59" i="1"/>
  <c r="DG59" i="1" s="1"/>
  <c r="CW59" i="1"/>
  <c r="CU59" i="1"/>
  <c r="CS59" i="1"/>
  <c r="CQ59" i="1"/>
  <c r="CO59" i="1"/>
  <c r="CM59" i="1"/>
  <c r="CK59" i="1"/>
  <c r="CI59" i="1"/>
  <c r="CE59" i="1"/>
  <c r="CC59" i="1"/>
  <c r="CA59" i="1"/>
  <c r="BY59" i="1"/>
  <c r="BW59" i="1"/>
  <c r="BU59" i="1"/>
  <c r="BS59" i="1"/>
  <c r="BQ59" i="1"/>
  <c r="BO59" i="1"/>
  <c r="BM59" i="1"/>
  <c r="BK59" i="1"/>
  <c r="BI59" i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E59" i="1"/>
  <c r="AC59" i="1"/>
  <c r="AA59" i="1"/>
  <c r="Y59" i="1"/>
  <c r="W59" i="1"/>
  <c r="U59" i="1"/>
  <c r="S59" i="1"/>
  <c r="Q59" i="1"/>
  <c r="O59" i="1"/>
  <c r="M59" i="1"/>
  <c r="K59" i="1"/>
  <c r="I59" i="1"/>
  <c r="DF58" i="1"/>
  <c r="DG58" i="1" s="1"/>
  <c r="CW58" i="1"/>
  <c r="CU58" i="1"/>
  <c r="CS58" i="1"/>
  <c r="CQ58" i="1"/>
  <c r="CO58" i="1"/>
  <c r="CM58" i="1"/>
  <c r="CK58" i="1"/>
  <c r="CI58" i="1"/>
  <c r="CE58" i="1"/>
  <c r="CC58" i="1"/>
  <c r="CA58" i="1"/>
  <c r="BY58" i="1"/>
  <c r="BW58" i="1"/>
  <c r="BU58" i="1"/>
  <c r="BS58" i="1"/>
  <c r="BQ58" i="1"/>
  <c r="BO58" i="1"/>
  <c r="BM58" i="1"/>
  <c r="BK58" i="1"/>
  <c r="BI58" i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E58" i="1"/>
  <c r="AC58" i="1"/>
  <c r="AA58" i="1"/>
  <c r="Y58" i="1"/>
  <c r="W58" i="1"/>
  <c r="U58" i="1"/>
  <c r="S58" i="1"/>
  <c r="Q58" i="1"/>
  <c r="O58" i="1"/>
  <c r="M58" i="1"/>
  <c r="K58" i="1"/>
  <c r="I58" i="1"/>
  <c r="DF57" i="1"/>
  <c r="DG57" i="1" s="1"/>
  <c r="CW57" i="1"/>
  <c r="CU57" i="1"/>
  <c r="CS57" i="1"/>
  <c r="CQ57" i="1"/>
  <c r="CO57" i="1"/>
  <c r="CM57" i="1"/>
  <c r="CK57" i="1"/>
  <c r="CI57" i="1"/>
  <c r="CE57" i="1"/>
  <c r="CC57" i="1"/>
  <c r="CA57" i="1"/>
  <c r="BY57" i="1"/>
  <c r="BW57" i="1"/>
  <c r="BU57" i="1"/>
  <c r="BS57" i="1"/>
  <c r="BQ57" i="1"/>
  <c r="BO57" i="1"/>
  <c r="BM57" i="1"/>
  <c r="BK57" i="1"/>
  <c r="BI57" i="1"/>
  <c r="BE57" i="1"/>
  <c r="BC57" i="1"/>
  <c r="BA57" i="1"/>
  <c r="AY57" i="1"/>
  <c r="AW57" i="1"/>
  <c r="AU57" i="1"/>
  <c r="AS57" i="1"/>
  <c r="AQ57" i="1"/>
  <c r="AO57" i="1"/>
  <c r="AM57" i="1"/>
  <c r="AK57" i="1"/>
  <c r="AI57" i="1"/>
  <c r="AE57" i="1"/>
  <c r="AC57" i="1"/>
  <c r="AA57" i="1"/>
  <c r="Y57" i="1"/>
  <c r="W57" i="1"/>
  <c r="U57" i="1"/>
  <c r="S57" i="1"/>
  <c r="Q57" i="1"/>
  <c r="O57" i="1"/>
  <c r="M57" i="1"/>
  <c r="K57" i="1"/>
  <c r="I57" i="1"/>
  <c r="DF56" i="1"/>
  <c r="DG56" i="1" s="1"/>
  <c r="CW56" i="1"/>
  <c r="CU56" i="1"/>
  <c r="CS56" i="1"/>
  <c r="CQ56" i="1"/>
  <c r="CO56" i="1"/>
  <c r="CM56" i="1"/>
  <c r="CK56" i="1"/>
  <c r="CI56" i="1"/>
  <c r="CE56" i="1"/>
  <c r="CC56" i="1"/>
  <c r="CA56" i="1"/>
  <c r="BY56" i="1"/>
  <c r="BW56" i="1"/>
  <c r="BU56" i="1"/>
  <c r="BS56" i="1"/>
  <c r="BQ56" i="1"/>
  <c r="BO56" i="1"/>
  <c r="BM56" i="1"/>
  <c r="BK56" i="1"/>
  <c r="BI56" i="1"/>
  <c r="BE56" i="1"/>
  <c r="BC56" i="1"/>
  <c r="BA56" i="1"/>
  <c r="AY56" i="1"/>
  <c r="AW56" i="1"/>
  <c r="AU56" i="1"/>
  <c r="AS56" i="1"/>
  <c r="AQ56" i="1"/>
  <c r="AO56" i="1"/>
  <c r="AM56" i="1"/>
  <c r="AK56" i="1"/>
  <c r="AI56" i="1"/>
  <c r="AE56" i="1"/>
  <c r="AC56" i="1"/>
  <c r="AA56" i="1"/>
  <c r="Y56" i="1"/>
  <c r="W56" i="1"/>
  <c r="U56" i="1"/>
  <c r="S56" i="1"/>
  <c r="Q56" i="1"/>
  <c r="O56" i="1"/>
  <c r="M56" i="1"/>
  <c r="K56" i="1"/>
  <c r="I56" i="1"/>
  <c r="DF55" i="1"/>
  <c r="DG55" i="1" s="1"/>
  <c r="CW55" i="1"/>
  <c r="CU55" i="1"/>
  <c r="CS55" i="1"/>
  <c r="CQ55" i="1"/>
  <c r="CO55" i="1"/>
  <c r="CM55" i="1"/>
  <c r="CK55" i="1"/>
  <c r="CI55" i="1"/>
  <c r="CE55" i="1"/>
  <c r="CC55" i="1"/>
  <c r="CA55" i="1"/>
  <c r="BY55" i="1"/>
  <c r="BW55" i="1"/>
  <c r="BU55" i="1"/>
  <c r="BS55" i="1"/>
  <c r="BQ55" i="1"/>
  <c r="BO55" i="1"/>
  <c r="BM55" i="1"/>
  <c r="BK55" i="1"/>
  <c r="BI55" i="1"/>
  <c r="BE55" i="1"/>
  <c r="BC55" i="1"/>
  <c r="BA55" i="1"/>
  <c r="AY55" i="1"/>
  <c r="AW55" i="1"/>
  <c r="AU55" i="1"/>
  <c r="AS55" i="1"/>
  <c r="AQ55" i="1"/>
  <c r="AO55" i="1"/>
  <c r="AM55" i="1"/>
  <c r="AK55" i="1"/>
  <c r="AI55" i="1"/>
  <c r="AE55" i="1"/>
  <c r="AC55" i="1"/>
  <c r="AA55" i="1"/>
  <c r="Y55" i="1"/>
  <c r="W55" i="1"/>
  <c r="U55" i="1"/>
  <c r="S55" i="1"/>
  <c r="Q55" i="1"/>
  <c r="O55" i="1"/>
  <c r="M55" i="1"/>
  <c r="K55" i="1"/>
  <c r="I55" i="1"/>
  <c r="DF54" i="1"/>
  <c r="DG54" i="1" s="1"/>
  <c r="CW54" i="1"/>
  <c r="CU54" i="1"/>
  <c r="CS54" i="1"/>
  <c r="CQ54" i="1"/>
  <c r="CO54" i="1"/>
  <c r="CM54" i="1"/>
  <c r="CK54" i="1"/>
  <c r="CI54" i="1"/>
  <c r="CE54" i="1"/>
  <c r="CC54" i="1"/>
  <c r="CA54" i="1"/>
  <c r="BY54" i="1"/>
  <c r="BW54" i="1"/>
  <c r="BU54" i="1"/>
  <c r="BS54" i="1"/>
  <c r="BQ54" i="1"/>
  <c r="BO54" i="1"/>
  <c r="BM54" i="1"/>
  <c r="BK54" i="1"/>
  <c r="BI54" i="1"/>
  <c r="BE54" i="1"/>
  <c r="BC54" i="1"/>
  <c r="BA54" i="1"/>
  <c r="AY54" i="1"/>
  <c r="AW54" i="1"/>
  <c r="AU54" i="1"/>
  <c r="AS54" i="1"/>
  <c r="AQ54" i="1"/>
  <c r="AO54" i="1"/>
  <c r="AM54" i="1"/>
  <c r="AK54" i="1"/>
  <c r="AI54" i="1"/>
  <c r="AE54" i="1"/>
  <c r="AC54" i="1"/>
  <c r="AA54" i="1"/>
  <c r="Y54" i="1"/>
  <c r="W54" i="1"/>
  <c r="U54" i="1"/>
  <c r="S54" i="1"/>
  <c r="Q54" i="1"/>
  <c r="O54" i="1"/>
  <c r="M54" i="1"/>
  <c r="K54" i="1"/>
  <c r="I54" i="1"/>
  <c r="DF53" i="1"/>
  <c r="DG53" i="1" s="1"/>
  <c r="CW53" i="1"/>
  <c r="CU53" i="1"/>
  <c r="CS53" i="1"/>
  <c r="CQ53" i="1"/>
  <c r="CO53" i="1"/>
  <c r="CM53" i="1"/>
  <c r="CK53" i="1"/>
  <c r="CI53" i="1"/>
  <c r="CE53" i="1"/>
  <c r="CC53" i="1"/>
  <c r="CA53" i="1"/>
  <c r="BY53" i="1"/>
  <c r="BW53" i="1"/>
  <c r="BU53" i="1"/>
  <c r="BS53" i="1"/>
  <c r="BQ53" i="1"/>
  <c r="BO53" i="1"/>
  <c r="BM53" i="1"/>
  <c r="BK53" i="1"/>
  <c r="BI53" i="1"/>
  <c r="BE53" i="1"/>
  <c r="BC53" i="1"/>
  <c r="BA53" i="1"/>
  <c r="AY53" i="1"/>
  <c r="AW53" i="1"/>
  <c r="AU53" i="1"/>
  <c r="AS53" i="1"/>
  <c r="AQ53" i="1"/>
  <c r="AO53" i="1"/>
  <c r="AM53" i="1"/>
  <c r="AK53" i="1"/>
  <c r="AI53" i="1"/>
  <c r="AE53" i="1"/>
  <c r="AC53" i="1"/>
  <c r="AA53" i="1"/>
  <c r="Y53" i="1"/>
  <c r="W53" i="1"/>
  <c r="U53" i="1"/>
  <c r="S53" i="1"/>
  <c r="Q53" i="1"/>
  <c r="O53" i="1"/>
  <c r="M53" i="1"/>
  <c r="K53" i="1"/>
  <c r="I53" i="1"/>
  <c r="DF52" i="1"/>
  <c r="CW52" i="1"/>
  <c r="CU52" i="1"/>
  <c r="CS52" i="1"/>
  <c r="CQ52" i="1"/>
  <c r="CO52" i="1"/>
  <c r="CM52" i="1"/>
  <c r="CK52" i="1"/>
  <c r="CI52" i="1"/>
  <c r="CE52" i="1"/>
  <c r="CC52" i="1"/>
  <c r="CA52" i="1"/>
  <c r="BY52" i="1"/>
  <c r="BW52" i="1"/>
  <c r="BU52" i="1"/>
  <c r="BS52" i="1"/>
  <c r="BQ52" i="1"/>
  <c r="BO52" i="1"/>
  <c r="BM52" i="1"/>
  <c r="BK52" i="1"/>
  <c r="BI52" i="1"/>
  <c r="BE52" i="1"/>
  <c r="BC52" i="1"/>
  <c r="BA52" i="1"/>
  <c r="AY52" i="1"/>
  <c r="AW52" i="1"/>
  <c r="AU52" i="1"/>
  <c r="AS52" i="1"/>
  <c r="AQ52" i="1"/>
  <c r="AO52" i="1"/>
  <c r="AM52" i="1"/>
  <c r="AK52" i="1"/>
  <c r="AI52" i="1"/>
  <c r="AE52" i="1"/>
  <c r="AC52" i="1"/>
  <c r="AA52" i="1"/>
  <c r="Y52" i="1"/>
  <c r="W52" i="1"/>
  <c r="U52" i="1"/>
  <c r="S52" i="1"/>
  <c r="Q52" i="1"/>
  <c r="O52" i="1"/>
  <c r="M52" i="1"/>
  <c r="K52" i="1"/>
  <c r="I52" i="1"/>
  <c r="DF51" i="1"/>
  <c r="DG51" i="1" s="1"/>
  <c r="CW51" i="1"/>
  <c r="CU51" i="1"/>
  <c r="CS51" i="1"/>
  <c r="CQ51" i="1"/>
  <c r="CO51" i="1"/>
  <c r="CM51" i="1"/>
  <c r="CK51" i="1"/>
  <c r="CI51" i="1"/>
  <c r="CE51" i="1"/>
  <c r="CC51" i="1"/>
  <c r="CA51" i="1"/>
  <c r="BY51" i="1"/>
  <c r="BW51" i="1"/>
  <c r="BU51" i="1"/>
  <c r="BS51" i="1"/>
  <c r="BQ51" i="1"/>
  <c r="BO51" i="1"/>
  <c r="BM51" i="1"/>
  <c r="BK51" i="1"/>
  <c r="BI51" i="1"/>
  <c r="BE51" i="1"/>
  <c r="BC51" i="1"/>
  <c r="BA51" i="1"/>
  <c r="AY51" i="1"/>
  <c r="AW51" i="1"/>
  <c r="AU51" i="1"/>
  <c r="AS51" i="1"/>
  <c r="AQ51" i="1"/>
  <c r="AO51" i="1"/>
  <c r="AM51" i="1"/>
  <c r="AK51" i="1"/>
  <c r="AI51" i="1"/>
  <c r="AE51" i="1"/>
  <c r="AC51" i="1"/>
  <c r="AA51" i="1"/>
  <c r="Y51" i="1"/>
  <c r="W51" i="1"/>
  <c r="U51" i="1"/>
  <c r="S51" i="1"/>
  <c r="Q51" i="1"/>
  <c r="O51" i="1"/>
  <c r="M51" i="1"/>
  <c r="K51" i="1"/>
  <c r="I51" i="1"/>
  <c r="DF50" i="1"/>
  <c r="CW50" i="1"/>
  <c r="CU50" i="1"/>
  <c r="CS50" i="1"/>
  <c r="CQ50" i="1"/>
  <c r="CO50" i="1"/>
  <c r="CM50" i="1"/>
  <c r="CK50" i="1"/>
  <c r="CI50" i="1"/>
  <c r="CE50" i="1"/>
  <c r="CC50" i="1"/>
  <c r="CA50" i="1"/>
  <c r="BY50" i="1"/>
  <c r="BW50" i="1"/>
  <c r="BU50" i="1"/>
  <c r="BS50" i="1"/>
  <c r="BQ50" i="1"/>
  <c r="BO50" i="1"/>
  <c r="BM50" i="1"/>
  <c r="BK50" i="1"/>
  <c r="BI50" i="1"/>
  <c r="BE50" i="1"/>
  <c r="BC50" i="1"/>
  <c r="BA50" i="1"/>
  <c r="AY50" i="1"/>
  <c r="AW50" i="1"/>
  <c r="AU50" i="1"/>
  <c r="AS50" i="1"/>
  <c r="AQ50" i="1"/>
  <c r="AO50" i="1"/>
  <c r="AM50" i="1"/>
  <c r="AK50" i="1"/>
  <c r="AI50" i="1"/>
  <c r="AE50" i="1"/>
  <c r="AC50" i="1"/>
  <c r="AA50" i="1"/>
  <c r="Y50" i="1"/>
  <c r="W50" i="1"/>
  <c r="U50" i="1"/>
  <c r="S50" i="1"/>
  <c r="Q50" i="1"/>
  <c r="O50" i="1"/>
  <c r="M50" i="1"/>
  <c r="K50" i="1"/>
  <c r="I50" i="1"/>
  <c r="DF49" i="1"/>
  <c r="DG49" i="1" s="1"/>
  <c r="CW49" i="1"/>
  <c r="CU49" i="1"/>
  <c r="CS49" i="1"/>
  <c r="CQ49" i="1"/>
  <c r="CO49" i="1"/>
  <c r="CM49" i="1"/>
  <c r="CK49" i="1"/>
  <c r="CI49" i="1"/>
  <c r="CE49" i="1"/>
  <c r="CC49" i="1"/>
  <c r="CA49" i="1"/>
  <c r="BY49" i="1"/>
  <c r="BW49" i="1"/>
  <c r="BU49" i="1"/>
  <c r="BS49" i="1"/>
  <c r="BQ49" i="1"/>
  <c r="BO49" i="1"/>
  <c r="BM49" i="1"/>
  <c r="BK49" i="1"/>
  <c r="BI49" i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E49" i="1"/>
  <c r="AC49" i="1"/>
  <c r="AA49" i="1"/>
  <c r="Y49" i="1"/>
  <c r="W49" i="1"/>
  <c r="U49" i="1"/>
  <c r="S49" i="1"/>
  <c r="Q49" i="1"/>
  <c r="O49" i="1"/>
  <c r="M49" i="1"/>
  <c r="K49" i="1"/>
  <c r="I49" i="1"/>
  <c r="DF48" i="1"/>
  <c r="DG48" i="1" s="1"/>
  <c r="CW48" i="1"/>
  <c r="CU48" i="1"/>
  <c r="CS48" i="1"/>
  <c r="CQ48" i="1"/>
  <c r="CO48" i="1"/>
  <c r="CM48" i="1"/>
  <c r="CK48" i="1"/>
  <c r="CI48" i="1"/>
  <c r="CE48" i="1"/>
  <c r="CC48" i="1"/>
  <c r="CA48" i="1"/>
  <c r="BY48" i="1"/>
  <c r="BW48" i="1"/>
  <c r="BU48" i="1"/>
  <c r="BS48" i="1"/>
  <c r="BQ48" i="1"/>
  <c r="BO48" i="1"/>
  <c r="BM48" i="1"/>
  <c r="BK48" i="1"/>
  <c r="BI48" i="1"/>
  <c r="BE48" i="1"/>
  <c r="BC48" i="1"/>
  <c r="BA48" i="1"/>
  <c r="AY48" i="1"/>
  <c r="AW48" i="1"/>
  <c r="AU48" i="1"/>
  <c r="AS48" i="1"/>
  <c r="AQ48" i="1"/>
  <c r="AO48" i="1"/>
  <c r="AM48" i="1"/>
  <c r="AK48" i="1"/>
  <c r="AI48" i="1"/>
  <c r="AE48" i="1"/>
  <c r="AC48" i="1"/>
  <c r="AA48" i="1"/>
  <c r="Y48" i="1"/>
  <c r="W48" i="1"/>
  <c r="U48" i="1"/>
  <c r="S48" i="1"/>
  <c r="Q48" i="1"/>
  <c r="O48" i="1"/>
  <c r="M48" i="1"/>
  <c r="K48" i="1"/>
  <c r="I48" i="1"/>
  <c r="DF47" i="1"/>
  <c r="DG47" i="1" s="1"/>
  <c r="CW47" i="1"/>
  <c r="CU47" i="1"/>
  <c r="CS47" i="1"/>
  <c r="CQ47" i="1"/>
  <c r="CO47" i="1"/>
  <c r="CM47" i="1"/>
  <c r="CK47" i="1"/>
  <c r="CI47" i="1"/>
  <c r="CE47" i="1"/>
  <c r="CC47" i="1"/>
  <c r="CA47" i="1"/>
  <c r="BY47" i="1"/>
  <c r="BW47" i="1"/>
  <c r="BU47" i="1"/>
  <c r="BS47" i="1"/>
  <c r="BQ47" i="1"/>
  <c r="BO47" i="1"/>
  <c r="BM47" i="1"/>
  <c r="BK47" i="1"/>
  <c r="BI47" i="1"/>
  <c r="BE47" i="1"/>
  <c r="BC47" i="1"/>
  <c r="BA47" i="1"/>
  <c r="AY47" i="1"/>
  <c r="AW47" i="1"/>
  <c r="AU47" i="1"/>
  <c r="AS47" i="1"/>
  <c r="AQ47" i="1"/>
  <c r="AO47" i="1"/>
  <c r="AM47" i="1"/>
  <c r="AK47" i="1"/>
  <c r="AI47" i="1"/>
  <c r="AE47" i="1"/>
  <c r="AC47" i="1"/>
  <c r="AA47" i="1"/>
  <c r="Y47" i="1"/>
  <c r="W47" i="1"/>
  <c r="U47" i="1"/>
  <c r="S47" i="1"/>
  <c r="Q47" i="1"/>
  <c r="O47" i="1"/>
  <c r="M47" i="1"/>
  <c r="K47" i="1"/>
  <c r="I47" i="1"/>
  <c r="DF46" i="1"/>
  <c r="DG46" i="1" s="1"/>
  <c r="CW46" i="1"/>
  <c r="CU46" i="1"/>
  <c r="CS46" i="1"/>
  <c r="CQ46" i="1"/>
  <c r="CO46" i="1"/>
  <c r="CM46" i="1"/>
  <c r="CK46" i="1"/>
  <c r="CI46" i="1"/>
  <c r="CE46" i="1"/>
  <c r="CC46" i="1"/>
  <c r="CA46" i="1"/>
  <c r="BY46" i="1"/>
  <c r="BW46" i="1"/>
  <c r="BU46" i="1"/>
  <c r="BS46" i="1"/>
  <c r="BQ46" i="1"/>
  <c r="BO46" i="1"/>
  <c r="BM46" i="1"/>
  <c r="BK46" i="1"/>
  <c r="BI46" i="1"/>
  <c r="BE46" i="1"/>
  <c r="BC46" i="1"/>
  <c r="BA46" i="1"/>
  <c r="AY46" i="1"/>
  <c r="AW46" i="1"/>
  <c r="AU46" i="1"/>
  <c r="AS46" i="1"/>
  <c r="AQ46" i="1"/>
  <c r="AO46" i="1"/>
  <c r="AM46" i="1"/>
  <c r="AK46" i="1"/>
  <c r="AI46" i="1"/>
  <c r="AE46" i="1"/>
  <c r="AC46" i="1"/>
  <c r="AA46" i="1"/>
  <c r="Y46" i="1"/>
  <c r="W46" i="1"/>
  <c r="U46" i="1"/>
  <c r="S46" i="1"/>
  <c r="Q46" i="1"/>
  <c r="O46" i="1"/>
  <c r="M46" i="1"/>
  <c r="K46" i="1"/>
  <c r="I46" i="1"/>
  <c r="DF45" i="1"/>
  <c r="DG45" i="1" s="1"/>
  <c r="CW45" i="1"/>
  <c r="CU45" i="1"/>
  <c r="CS45" i="1"/>
  <c r="CQ45" i="1"/>
  <c r="CO45" i="1"/>
  <c r="CM45" i="1"/>
  <c r="CK45" i="1"/>
  <c r="CI45" i="1"/>
  <c r="CE45" i="1"/>
  <c r="CC45" i="1"/>
  <c r="CA45" i="1"/>
  <c r="BY45" i="1"/>
  <c r="BW45" i="1"/>
  <c r="BU45" i="1"/>
  <c r="BS45" i="1"/>
  <c r="BQ45" i="1"/>
  <c r="BO45" i="1"/>
  <c r="BM45" i="1"/>
  <c r="BK45" i="1"/>
  <c r="BI45" i="1"/>
  <c r="BE45" i="1"/>
  <c r="BC45" i="1"/>
  <c r="BA45" i="1"/>
  <c r="AY45" i="1"/>
  <c r="AW45" i="1"/>
  <c r="AU45" i="1"/>
  <c r="AS45" i="1"/>
  <c r="AQ45" i="1"/>
  <c r="AO45" i="1"/>
  <c r="AM45" i="1"/>
  <c r="AK45" i="1"/>
  <c r="AI45" i="1"/>
  <c r="AE45" i="1"/>
  <c r="AC45" i="1"/>
  <c r="AA45" i="1"/>
  <c r="Y45" i="1"/>
  <c r="W45" i="1"/>
  <c r="U45" i="1"/>
  <c r="S45" i="1"/>
  <c r="Q45" i="1"/>
  <c r="O45" i="1"/>
  <c r="M45" i="1"/>
  <c r="K45" i="1"/>
  <c r="I45" i="1"/>
  <c r="DF44" i="1"/>
  <c r="DG44" i="1" s="1"/>
  <c r="CW44" i="1"/>
  <c r="CU44" i="1"/>
  <c r="CS44" i="1"/>
  <c r="CQ44" i="1"/>
  <c r="CO44" i="1"/>
  <c r="CM44" i="1"/>
  <c r="CK44" i="1"/>
  <c r="CI44" i="1"/>
  <c r="CE44" i="1"/>
  <c r="CC44" i="1"/>
  <c r="CA44" i="1"/>
  <c r="BY44" i="1"/>
  <c r="BW44" i="1"/>
  <c r="BU44" i="1"/>
  <c r="BS44" i="1"/>
  <c r="BQ44" i="1"/>
  <c r="BO44" i="1"/>
  <c r="BM44" i="1"/>
  <c r="BK44" i="1"/>
  <c r="BI44" i="1"/>
  <c r="BE44" i="1"/>
  <c r="BC44" i="1"/>
  <c r="BA44" i="1"/>
  <c r="AY44" i="1"/>
  <c r="AW44" i="1"/>
  <c r="AU44" i="1"/>
  <c r="AS44" i="1"/>
  <c r="AQ44" i="1"/>
  <c r="AO44" i="1"/>
  <c r="AM44" i="1"/>
  <c r="AK44" i="1"/>
  <c r="AI44" i="1"/>
  <c r="AE44" i="1"/>
  <c r="AC44" i="1"/>
  <c r="AA44" i="1"/>
  <c r="Y44" i="1"/>
  <c r="W44" i="1"/>
  <c r="U44" i="1"/>
  <c r="S44" i="1"/>
  <c r="Q44" i="1"/>
  <c r="O44" i="1"/>
  <c r="M44" i="1"/>
  <c r="K44" i="1"/>
  <c r="I44" i="1"/>
  <c r="DF43" i="1"/>
  <c r="DG43" i="1" s="1"/>
  <c r="CW43" i="1"/>
  <c r="CU43" i="1"/>
  <c r="CS43" i="1"/>
  <c r="CQ43" i="1"/>
  <c r="CO43" i="1"/>
  <c r="CM43" i="1"/>
  <c r="CK43" i="1"/>
  <c r="CI43" i="1"/>
  <c r="CE43" i="1"/>
  <c r="CC43" i="1"/>
  <c r="CA43" i="1"/>
  <c r="BY43" i="1"/>
  <c r="BW43" i="1"/>
  <c r="BU43" i="1"/>
  <c r="BS43" i="1"/>
  <c r="BQ43" i="1"/>
  <c r="BO43" i="1"/>
  <c r="BM43" i="1"/>
  <c r="BK43" i="1"/>
  <c r="BI43" i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E43" i="1"/>
  <c r="AC43" i="1"/>
  <c r="AA43" i="1"/>
  <c r="Y43" i="1"/>
  <c r="W43" i="1"/>
  <c r="U43" i="1"/>
  <c r="S43" i="1"/>
  <c r="Q43" i="1"/>
  <c r="O43" i="1"/>
  <c r="M43" i="1"/>
  <c r="K43" i="1"/>
  <c r="I43" i="1"/>
  <c r="DF42" i="1"/>
  <c r="DG42" i="1" s="1"/>
  <c r="CW42" i="1"/>
  <c r="CU42" i="1"/>
  <c r="CS42" i="1"/>
  <c r="CQ42" i="1"/>
  <c r="CO42" i="1"/>
  <c r="CM42" i="1"/>
  <c r="CK42" i="1"/>
  <c r="CI42" i="1"/>
  <c r="CE42" i="1"/>
  <c r="CC42" i="1"/>
  <c r="CA42" i="1"/>
  <c r="BY42" i="1"/>
  <c r="BW42" i="1"/>
  <c r="BU42" i="1"/>
  <c r="BS42" i="1"/>
  <c r="BQ42" i="1"/>
  <c r="BO42" i="1"/>
  <c r="BM42" i="1"/>
  <c r="BK42" i="1"/>
  <c r="BI42" i="1"/>
  <c r="BE42" i="1"/>
  <c r="BC42" i="1"/>
  <c r="BA42" i="1"/>
  <c r="AY42" i="1"/>
  <c r="AW42" i="1"/>
  <c r="AU42" i="1"/>
  <c r="AS42" i="1"/>
  <c r="AQ42" i="1"/>
  <c r="AO42" i="1"/>
  <c r="AM42" i="1"/>
  <c r="AK42" i="1"/>
  <c r="AI42" i="1"/>
  <c r="AE42" i="1"/>
  <c r="AC42" i="1"/>
  <c r="AA42" i="1"/>
  <c r="Y42" i="1"/>
  <c r="W42" i="1"/>
  <c r="U42" i="1"/>
  <c r="S42" i="1"/>
  <c r="Q42" i="1"/>
  <c r="O42" i="1"/>
  <c r="M42" i="1"/>
  <c r="K42" i="1"/>
  <c r="I42" i="1"/>
  <c r="DF41" i="1"/>
  <c r="DG41" i="1" s="1"/>
  <c r="CW41" i="1"/>
  <c r="CU41" i="1"/>
  <c r="CS41" i="1"/>
  <c r="CQ41" i="1"/>
  <c r="CO41" i="1"/>
  <c r="CM41" i="1"/>
  <c r="CK41" i="1"/>
  <c r="CI41" i="1"/>
  <c r="CE41" i="1"/>
  <c r="CC41" i="1"/>
  <c r="CA41" i="1"/>
  <c r="BY41" i="1"/>
  <c r="BW41" i="1"/>
  <c r="BU41" i="1"/>
  <c r="BS41" i="1"/>
  <c r="BQ41" i="1"/>
  <c r="BO41" i="1"/>
  <c r="BM41" i="1"/>
  <c r="BK41" i="1"/>
  <c r="BI41" i="1"/>
  <c r="BE41" i="1"/>
  <c r="BC41" i="1"/>
  <c r="BA41" i="1"/>
  <c r="AY41" i="1"/>
  <c r="AW41" i="1"/>
  <c r="AU41" i="1"/>
  <c r="AS41" i="1"/>
  <c r="AQ41" i="1"/>
  <c r="AO41" i="1"/>
  <c r="AM41" i="1"/>
  <c r="AK41" i="1"/>
  <c r="AI41" i="1"/>
  <c r="AE41" i="1"/>
  <c r="AC41" i="1"/>
  <c r="AA41" i="1"/>
  <c r="Y41" i="1"/>
  <c r="W41" i="1"/>
  <c r="U41" i="1"/>
  <c r="S41" i="1"/>
  <c r="Q41" i="1"/>
  <c r="O41" i="1"/>
  <c r="M41" i="1"/>
  <c r="K41" i="1"/>
  <c r="I41" i="1"/>
  <c r="DF40" i="1"/>
  <c r="DG40" i="1" s="1"/>
  <c r="CW40" i="1"/>
  <c r="CU40" i="1"/>
  <c r="CS40" i="1"/>
  <c r="CQ40" i="1"/>
  <c r="CO40" i="1"/>
  <c r="CM40" i="1"/>
  <c r="CK40" i="1"/>
  <c r="CI40" i="1"/>
  <c r="CE40" i="1"/>
  <c r="CC40" i="1"/>
  <c r="CA40" i="1"/>
  <c r="BY40" i="1"/>
  <c r="BW40" i="1"/>
  <c r="BU40" i="1"/>
  <c r="BS40" i="1"/>
  <c r="BQ40" i="1"/>
  <c r="BO40" i="1"/>
  <c r="BM40" i="1"/>
  <c r="BK40" i="1"/>
  <c r="BI40" i="1"/>
  <c r="BE40" i="1"/>
  <c r="BC40" i="1"/>
  <c r="BA40" i="1"/>
  <c r="AY40" i="1"/>
  <c r="AW40" i="1"/>
  <c r="AU40" i="1"/>
  <c r="AS40" i="1"/>
  <c r="AQ40" i="1"/>
  <c r="AO40" i="1"/>
  <c r="AM40" i="1"/>
  <c r="AK40" i="1"/>
  <c r="AI40" i="1"/>
  <c r="AE40" i="1"/>
  <c r="AC40" i="1"/>
  <c r="AA40" i="1"/>
  <c r="Y40" i="1"/>
  <c r="W40" i="1"/>
  <c r="U40" i="1"/>
  <c r="S40" i="1"/>
  <c r="Q40" i="1"/>
  <c r="O40" i="1"/>
  <c r="M40" i="1"/>
  <c r="K40" i="1"/>
  <c r="I40" i="1"/>
  <c r="DF39" i="1"/>
  <c r="DG39" i="1" s="1"/>
  <c r="CW39" i="1"/>
  <c r="CU39" i="1"/>
  <c r="CS39" i="1"/>
  <c r="CQ39" i="1"/>
  <c r="CO39" i="1"/>
  <c r="CM39" i="1"/>
  <c r="CK39" i="1"/>
  <c r="CI39" i="1"/>
  <c r="CE39" i="1"/>
  <c r="CC39" i="1"/>
  <c r="CA39" i="1"/>
  <c r="BY39" i="1"/>
  <c r="BW39" i="1"/>
  <c r="BU39" i="1"/>
  <c r="BS39" i="1"/>
  <c r="BQ39" i="1"/>
  <c r="BO39" i="1"/>
  <c r="BM39" i="1"/>
  <c r="BK39" i="1"/>
  <c r="BI39" i="1"/>
  <c r="BE39" i="1"/>
  <c r="BC39" i="1"/>
  <c r="BA39" i="1"/>
  <c r="AY39" i="1"/>
  <c r="AW39" i="1"/>
  <c r="AU39" i="1"/>
  <c r="AS39" i="1"/>
  <c r="AQ39" i="1"/>
  <c r="AO39" i="1"/>
  <c r="AM39" i="1"/>
  <c r="AK39" i="1"/>
  <c r="AI39" i="1"/>
  <c r="AE39" i="1"/>
  <c r="AC39" i="1"/>
  <c r="AA39" i="1"/>
  <c r="Y39" i="1"/>
  <c r="W39" i="1"/>
  <c r="U39" i="1"/>
  <c r="S39" i="1"/>
  <c r="Q39" i="1"/>
  <c r="O39" i="1"/>
  <c r="M39" i="1"/>
  <c r="K39" i="1"/>
  <c r="I39" i="1"/>
  <c r="DF38" i="1"/>
  <c r="DG38" i="1" s="1"/>
  <c r="CW38" i="1"/>
  <c r="CU38" i="1"/>
  <c r="CS38" i="1"/>
  <c r="CQ38" i="1"/>
  <c r="CO38" i="1"/>
  <c r="CM38" i="1"/>
  <c r="CK38" i="1"/>
  <c r="CI38" i="1"/>
  <c r="CE38" i="1"/>
  <c r="CC38" i="1"/>
  <c r="CA38" i="1"/>
  <c r="BY38" i="1"/>
  <c r="BW38" i="1"/>
  <c r="BU38" i="1"/>
  <c r="BS38" i="1"/>
  <c r="BQ38" i="1"/>
  <c r="BO38" i="1"/>
  <c r="BM38" i="1"/>
  <c r="BK38" i="1"/>
  <c r="BI38" i="1"/>
  <c r="BE38" i="1"/>
  <c r="BC38" i="1"/>
  <c r="BA38" i="1"/>
  <c r="AY38" i="1"/>
  <c r="AW38" i="1"/>
  <c r="AU38" i="1"/>
  <c r="AS38" i="1"/>
  <c r="AQ38" i="1"/>
  <c r="AO38" i="1"/>
  <c r="AM38" i="1"/>
  <c r="AK38" i="1"/>
  <c r="AI38" i="1"/>
  <c r="AE38" i="1"/>
  <c r="AC38" i="1"/>
  <c r="AA38" i="1"/>
  <c r="Y38" i="1"/>
  <c r="W38" i="1"/>
  <c r="U38" i="1"/>
  <c r="S38" i="1"/>
  <c r="Q38" i="1"/>
  <c r="O38" i="1"/>
  <c r="M38" i="1"/>
  <c r="K38" i="1"/>
  <c r="I38" i="1"/>
  <c r="DF37" i="1"/>
  <c r="DG37" i="1" s="1"/>
  <c r="CW37" i="1"/>
  <c r="CU37" i="1"/>
  <c r="CS37" i="1"/>
  <c r="CQ37" i="1"/>
  <c r="CO37" i="1"/>
  <c r="CM37" i="1"/>
  <c r="CK37" i="1"/>
  <c r="CI37" i="1"/>
  <c r="CE37" i="1"/>
  <c r="CC37" i="1"/>
  <c r="CA37" i="1"/>
  <c r="BY37" i="1"/>
  <c r="BW37" i="1"/>
  <c r="BU37" i="1"/>
  <c r="BS37" i="1"/>
  <c r="BQ37" i="1"/>
  <c r="BO37" i="1"/>
  <c r="BM37" i="1"/>
  <c r="BK37" i="1"/>
  <c r="BI37" i="1"/>
  <c r="BE37" i="1"/>
  <c r="BC37" i="1"/>
  <c r="BA37" i="1"/>
  <c r="AY37" i="1"/>
  <c r="AW37" i="1"/>
  <c r="AU37" i="1"/>
  <c r="AS37" i="1"/>
  <c r="AQ37" i="1"/>
  <c r="AO37" i="1"/>
  <c r="AM37" i="1"/>
  <c r="AK37" i="1"/>
  <c r="AI37" i="1"/>
  <c r="AE37" i="1"/>
  <c r="AC37" i="1"/>
  <c r="AA37" i="1"/>
  <c r="Y37" i="1"/>
  <c r="W37" i="1"/>
  <c r="U37" i="1"/>
  <c r="S37" i="1"/>
  <c r="Q37" i="1"/>
  <c r="O37" i="1"/>
  <c r="M37" i="1"/>
  <c r="K37" i="1"/>
  <c r="I37" i="1"/>
  <c r="DF36" i="1"/>
  <c r="DG36" i="1" s="1"/>
  <c r="CW36" i="1"/>
  <c r="CU36" i="1"/>
  <c r="CS36" i="1"/>
  <c r="CQ36" i="1"/>
  <c r="CO36" i="1"/>
  <c r="CM36" i="1"/>
  <c r="CK36" i="1"/>
  <c r="CI36" i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E36" i="1"/>
  <c r="AC36" i="1"/>
  <c r="AA36" i="1"/>
  <c r="Y36" i="1"/>
  <c r="W36" i="1"/>
  <c r="U36" i="1"/>
  <c r="S36" i="1"/>
  <c r="Q36" i="1"/>
  <c r="O36" i="1"/>
  <c r="M36" i="1"/>
  <c r="K36" i="1"/>
  <c r="I36" i="1"/>
  <c r="DF35" i="1"/>
  <c r="DG35" i="1" s="1"/>
  <c r="CW35" i="1"/>
  <c r="CU35" i="1"/>
  <c r="CS35" i="1"/>
  <c r="CQ35" i="1"/>
  <c r="CO35" i="1"/>
  <c r="CM35" i="1"/>
  <c r="CK35" i="1"/>
  <c r="CI35" i="1"/>
  <c r="CE35" i="1"/>
  <c r="CC35" i="1"/>
  <c r="CA35" i="1"/>
  <c r="BY35" i="1"/>
  <c r="BW35" i="1"/>
  <c r="BU35" i="1"/>
  <c r="BS35" i="1"/>
  <c r="BQ35" i="1"/>
  <c r="BO35" i="1"/>
  <c r="BM35" i="1"/>
  <c r="BK35" i="1"/>
  <c r="BI35" i="1"/>
  <c r="BE35" i="1"/>
  <c r="BC35" i="1"/>
  <c r="BA35" i="1"/>
  <c r="AY35" i="1"/>
  <c r="AW35" i="1"/>
  <c r="AU35" i="1"/>
  <c r="AS35" i="1"/>
  <c r="AQ35" i="1"/>
  <c r="AO35" i="1"/>
  <c r="AM35" i="1"/>
  <c r="AK35" i="1"/>
  <c r="AI35" i="1"/>
  <c r="AE35" i="1"/>
  <c r="AC35" i="1"/>
  <c r="AA35" i="1"/>
  <c r="Y35" i="1"/>
  <c r="W35" i="1"/>
  <c r="U35" i="1"/>
  <c r="S35" i="1"/>
  <c r="Q35" i="1"/>
  <c r="O35" i="1"/>
  <c r="M35" i="1"/>
  <c r="K35" i="1"/>
  <c r="I35" i="1"/>
  <c r="DF34" i="1"/>
  <c r="DG34" i="1" s="1"/>
  <c r="CW34" i="1"/>
  <c r="CU34" i="1"/>
  <c r="CS34" i="1"/>
  <c r="CQ34" i="1"/>
  <c r="CO34" i="1"/>
  <c r="CM34" i="1"/>
  <c r="CK34" i="1"/>
  <c r="CI34" i="1"/>
  <c r="CE34" i="1"/>
  <c r="CC34" i="1"/>
  <c r="CA34" i="1"/>
  <c r="BY34" i="1"/>
  <c r="BW34" i="1"/>
  <c r="BU34" i="1"/>
  <c r="BS34" i="1"/>
  <c r="BQ34" i="1"/>
  <c r="BO34" i="1"/>
  <c r="BM34" i="1"/>
  <c r="BK34" i="1"/>
  <c r="BI34" i="1"/>
  <c r="BE34" i="1"/>
  <c r="BC34" i="1"/>
  <c r="BA34" i="1"/>
  <c r="AY34" i="1"/>
  <c r="AW34" i="1"/>
  <c r="AU34" i="1"/>
  <c r="AS34" i="1"/>
  <c r="AQ34" i="1"/>
  <c r="AO34" i="1"/>
  <c r="AM34" i="1"/>
  <c r="AK34" i="1"/>
  <c r="AI34" i="1"/>
  <c r="AE34" i="1"/>
  <c r="AC34" i="1"/>
  <c r="AA34" i="1"/>
  <c r="Y34" i="1"/>
  <c r="W34" i="1"/>
  <c r="U34" i="1"/>
  <c r="S34" i="1"/>
  <c r="Q34" i="1"/>
  <c r="O34" i="1"/>
  <c r="M34" i="1"/>
  <c r="K34" i="1"/>
  <c r="I34" i="1"/>
  <c r="DF33" i="1"/>
  <c r="DG33" i="1" s="1"/>
  <c r="CW33" i="1"/>
  <c r="CU33" i="1"/>
  <c r="CS33" i="1"/>
  <c r="CQ33" i="1"/>
  <c r="CO33" i="1"/>
  <c r="CM33" i="1"/>
  <c r="CK33" i="1"/>
  <c r="CI33" i="1"/>
  <c r="CE33" i="1"/>
  <c r="CC33" i="1"/>
  <c r="CA33" i="1"/>
  <c r="BY33" i="1"/>
  <c r="BW33" i="1"/>
  <c r="BU33" i="1"/>
  <c r="BS33" i="1"/>
  <c r="BQ33" i="1"/>
  <c r="BO33" i="1"/>
  <c r="BM33" i="1"/>
  <c r="BK33" i="1"/>
  <c r="BI33" i="1"/>
  <c r="BE33" i="1"/>
  <c r="BC33" i="1"/>
  <c r="BA33" i="1"/>
  <c r="AY33" i="1"/>
  <c r="AW33" i="1"/>
  <c r="AU33" i="1"/>
  <c r="AS33" i="1"/>
  <c r="AQ33" i="1"/>
  <c r="AO33" i="1"/>
  <c r="AM33" i="1"/>
  <c r="AK33" i="1"/>
  <c r="AI33" i="1"/>
  <c r="AE33" i="1"/>
  <c r="AC33" i="1"/>
  <c r="AA33" i="1"/>
  <c r="Y33" i="1"/>
  <c r="W33" i="1"/>
  <c r="U33" i="1"/>
  <c r="S33" i="1"/>
  <c r="Q33" i="1"/>
  <c r="O33" i="1"/>
  <c r="M33" i="1"/>
  <c r="K33" i="1"/>
  <c r="I33" i="1"/>
  <c r="DF32" i="1"/>
  <c r="DG32" i="1" s="1"/>
  <c r="CW32" i="1"/>
  <c r="CU32" i="1"/>
  <c r="CS32" i="1"/>
  <c r="CQ32" i="1"/>
  <c r="CO32" i="1"/>
  <c r="CM32" i="1"/>
  <c r="CK32" i="1"/>
  <c r="CI32" i="1"/>
  <c r="CE32" i="1"/>
  <c r="CC32" i="1"/>
  <c r="CA32" i="1"/>
  <c r="BY32" i="1"/>
  <c r="BW32" i="1"/>
  <c r="BU32" i="1"/>
  <c r="BS32" i="1"/>
  <c r="BQ32" i="1"/>
  <c r="BO32" i="1"/>
  <c r="BM32" i="1"/>
  <c r="BK32" i="1"/>
  <c r="BI32" i="1"/>
  <c r="BE32" i="1"/>
  <c r="BC32" i="1"/>
  <c r="BA32" i="1"/>
  <c r="AY32" i="1"/>
  <c r="AW32" i="1"/>
  <c r="AU32" i="1"/>
  <c r="AS32" i="1"/>
  <c r="AQ32" i="1"/>
  <c r="AO32" i="1"/>
  <c r="AM32" i="1"/>
  <c r="AK32" i="1"/>
  <c r="AI32" i="1"/>
  <c r="AE32" i="1"/>
  <c r="AC32" i="1"/>
  <c r="AA32" i="1"/>
  <c r="Y32" i="1"/>
  <c r="W32" i="1"/>
  <c r="U32" i="1"/>
  <c r="S32" i="1"/>
  <c r="Q32" i="1"/>
  <c r="O32" i="1"/>
  <c r="M32" i="1"/>
  <c r="K32" i="1"/>
  <c r="I32" i="1"/>
  <c r="DF31" i="1"/>
  <c r="DG31" i="1" s="1"/>
  <c r="CW31" i="1"/>
  <c r="CU31" i="1"/>
  <c r="CS31" i="1"/>
  <c r="CQ31" i="1"/>
  <c r="CO31" i="1"/>
  <c r="CM31" i="1"/>
  <c r="CK31" i="1"/>
  <c r="CI31" i="1"/>
  <c r="CE31" i="1"/>
  <c r="CC31" i="1"/>
  <c r="CA31" i="1"/>
  <c r="BY31" i="1"/>
  <c r="BW31" i="1"/>
  <c r="BU31" i="1"/>
  <c r="BS31" i="1"/>
  <c r="BQ31" i="1"/>
  <c r="BO31" i="1"/>
  <c r="BM31" i="1"/>
  <c r="BK31" i="1"/>
  <c r="BI31" i="1"/>
  <c r="BE31" i="1"/>
  <c r="BC31" i="1"/>
  <c r="BA31" i="1"/>
  <c r="AY31" i="1"/>
  <c r="AW31" i="1"/>
  <c r="AU31" i="1"/>
  <c r="AS31" i="1"/>
  <c r="AQ31" i="1"/>
  <c r="AO31" i="1"/>
  <c r="AM31" i="1"/>
  <c r="AK31" i="1"/>
  <c r="AI31" i="1"/>
  <c r="AE31" i="1"/>
  <c r="AC31" i="1"/>
  <c r="AA31" i="1"/>
  <c r="Y31" i="1"/>
  <c r="W31" i="1"/>
  <c r="U31" i="1"/>
  <c r="S31" i="1"/>
  <c r="Q31" i="1"/>
  <c r="O31" i="1"/>
  <c r="M31" i="1"/>
  <c r="K31" i="1"/>
  <c r="I31" i="1"/>
  <c r="DF30" i="1"/>
  <c r="DG30" i="1" s="1"/>
  <c r="CW30" i="1"/>
  <c r="CU30" i="1"/>
  <c r="CS30" i="1"/>
  <c r="CQ30" i="1"/>
  <c r="CO30" i="1"/>
  <c r="CM30" i="1"/>
  <c r="CK30" i="1"/>
  <c r="CI30" i="1"/>
  <c r="CE30" i="1"/>
  <c r="CC30" i="1"/>
  <c r="CA30" i="1"/>
  <c r="BY30" i="1"/>
  <c r="BW30" i="1"/>
  <c r="BU30" i="1"/>
  <c r="BS30" i="1"/>
  <c r="BQ30" i="1"/>
  <c r="BO30" i="1"/>
  <c r="BM30" i="1"/>
  <c r="BK30" i="1"/>
  <c r="BI30" i="1"/>
  <c r="BE30" i="1"/>
  <c r="BC30" i="1"/>
  <c r="BA30" i="1"/>
  <c r="AY30" i="1"/>
  <c r="AW30" i="1"/>
  <c r="AU30" i="1"/>
  <c r="AS30" i="1"/>
  <c r="AQ30" i="1"/>
  <c r="AO30" i="1"/>
  <c r="AM30" i="1"/>
  <c r="AK30" i="1"/>
  <c r="AI30" i="1"/>
  <c r="AE30" i="1"/>
  <c r="AC30" i="1"/>
  <c r="AA30" i="1"/>
  <c r="Y30" i="1"/>
  <c r="W30" i="1"/>
  <c r="U30" i="1"/>
  <c r="S30" i="1"/>
  <c r="Q30" i="1"/>
  <c r="O30" i="1"/>
  <c r="M30" i="1"/>
  <c r="K30" i="1"/>
  <c r="I30" i="1"/>
  <c r="DF29" i="1"/>
  <c r="DG29" i="1" s="1"/>
  <c r="CW29" i="1"/>
  <c r="CU29" i="1"/>
  <c r="CS29" i="1"/>
  <c r="CQ29" i="1"/>
  <c r="CO29" i="1"/>
  <c r="CM29" i="1"/>
  <c r="CK29" i="1"/>
  <c r="CI29" i="1"/>
  <c r="CE29" i="1"/>
  <c r="CC29" i="1"/>
  <c r="CA29" i="1"/>
  <c r="BY29" i="1"/>
  <c r="BW29" i="1"/>
  <c r="BU29" i="1"/>
  <c r="BS29" i="1"/>
  <c r="BQ29" i="1"/>
  <c r="BO29" i="1"/>
  <c r="BM29" i="1"/>
  <c r="BK29" i="1"/>
  <c r="BI29" i="1"/>
  <c r="BE29" i="1"/>
  <c r="BC29" i="1"/>
  <c r="BA29" i="1"/>
  <c r="AY29" i="1"/>
  <c r="AW29" i="1"/>
  <c r="AU29" i="1"/>
  <c r="AS29" i="1"/>
  <c r="AQ29" i="1"/>
  <c r="AO29" i="1"/>
  <c r="AM29" i="1"/>
  <c r="AK29" i="1"/>
  <c r="AI29" i="1"/>
  <c r="AE29" i="1"/>
  <c r="AC29" i="1"/>
  <c r="AA29" i="1"/>
  <c r="Y29" i="1"/>
  <c r="W29" i="1"/>
  <c r="U29" i="1"/>
  <c r="S29" i="1"/>
  <c r="Q29" i="1"/>
  <c r="O29" i="1"/>
  <c r="M29" i="1"/>
  <c r="K29" i="1"/>
  <c r="I29" i="1"/>
  <c r="DF28" i="1"/>
  <c r="DG28" i="1" s="1"/>
  <c r="CW28" i="1"/>
  <c r="CU28" i="1"/>
  <c r="CS28" i="1"/>
  <c r="CQ28" i="1"/>
  <c r="CO28" i="1"/>
  <c r="CM28" i="1"/>
  <c r="CK28" i="1"/>
  <c r="CI28" i="1"/>
  <c r="CE28" i="1"/>
  <c r="CC28" i="1"/>
  <c r="CA28" i="1"/>
  <c r="BY28" i="1"/>
  <c r="BW28" i="1"/>
  <c r="BU28" i="1"/>
  <c r="BS28" i="1"/>
  <c r="BQ28" i="1"/>
  <c r="BO28" i="1"/>
  <c r="BM28" i="1"/>
  <c r="BK28" i="1"/>
  <c r="BI28" i="1"/>
  <c r="BE28" i="1"/>
  <c r="BC28" i="1"/>
  <c r="BA28" i="1"/>
  <c r="AY28" i="1"/>
  <c r="AW28" i="1"/>
  <c r="AU28" i="1"/>
  <c r="AS28" i="1"/>
  <c r="AQ28" i="1"/>
  <c r="AO28" i="1"/>
  <c r="AM28" i="1"/>
  <c r="AK28" i="1"/>
  <c r="AI28" i="1"/>
  <c r="AE28" i="1"/>
  <c r="AC28" i="1"/>
  <c r="AA28" i="1"/>
  <c r="Y28" i="1"/>
  <c r="W28" i="1"/>
  <c r="U28" i="1"/>
  <c r="S28" i="1"/>
  <c r="Q28" i="1"/>
  <c r="O28" i="1"/>
  <c r="M28" i="1"/>
  <c r="K28" i="1"/>
  <c r="I28" i="1"/>
  <c r="DF27" i="1"/>
  <c r="DG27" i="1" s="1"/>
  <c r="CW27" i="1"/>
  <c r="CU27" i="1"/>
  <c r="CS27" i="1"/>
  <c r="CQ27" i="1"/>
  <c r="CO27" i="1"/>
  <c r="CM27" i="1"/>
  <c r="CK27" i="1"/>
  <c r="CI27" i="1"/>
  <c r="CE27" i="1"/>
  <c r="CC27" i="1"/>
  <c r="CA27" i="1"/>
  <c r="BY27" i="1"/>
  <c r="BW27" i="1"/>
  <c r="BU27" i="1"/>
  <c r="BS27" i="1"/>
  <c r="BQ27" i="1"/>
  <c r="BO27" i="1"/>
  <c r="BM27" i="1"/>
  <c r="BK27" i="1"/>
  <c r="BI27" i="1"/>
  <c r="BE27" i="1"/>
  <c r="BC27" i="1"/>
  <c r="BA27" i="1"/>
  <c r="AY27" i="1"/>
  <c r="AW27" i="1"/>
  <c r="AU27" i="1"/>
  <c r="AS27" i="1"/>
  <c r="AQ27" i="1"/>
  <c r="AO27" i="1"/>
  <c r="AM27" i="1"/>
  <c r="AK27" i="1"/>
  <c r="AI27" i="1"/>
  <c r="AE27" i="1"/>
  <c r="AC27" i="1"/>
  <c r="AA27" i="1"/>
  <c r="Y27" i="1"/>
  <c r="W27" i="1"/>
  <c r="U27" i="1"/>
  <c r="S27" i="1"/>
  <c r="Q27" i="1"/>
  <c r="O27" i="1"/>
  <c r="M27" i="1"/>
  <c r="K27" i="1"/>
  <c r="I27" i="1"/>
  <c r="DF26" i="1"/>
  <c r="DG26" i="1" s="1"/>
  <c r="CW26" i="1"/>
  <c r="CU26" i="1"/>
  <c r="CS26" i="1"/>
  <c r="CQ26" i="1"/>
  <c r="CO26" i="1"/>
  <c r="CM26" i="1"/>
  <c r="CK26" i="1"/>
  <c r="CI26" i="1"/>
  <c r="CE26" i="1"/>
  <c r="CC26" i="1"/>
  <c r="CA26" i="1"/>
  <c r="BY26" i="1"/>
  <c r="BW26" i="1"/>
  <c r="BU26" i="1"/>
  <c r="BS26" i="1"/>
  <c r="BQ26" i="1"/>
  <c r="BO26" i="1"/>
  <c r="BM26" i="1"/>
  <c r="BK26" i="1"/>
  <c r="BI26" i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E26" i="1"/>
  <c r="AC26" i="1"/>
  <c r="AA26" i="1"/>
  <c r="Y26" i="1"/>
  <c r="W26" i="1"/>
  <c r="U26" i="1"/>
  <c r="S26" i="1"/>
  <c r="Q26" i="1"/>
  <c r="O26" i="1"/>
  <c r="M26" i="1"/>
  <c r="K26" i="1"/>
  <c r="I26" i="1"/>
  <c r="DF25" i="1"/>
  <c r="DG25" i="1" s="1"/>
  <c r="CW25" i="1"/>
  <c r="CU25" i="1"/>
  <c r="CS25" i="1"/>
  <c r="CQ25" i="1"/>
  <c r="CO25" i="1"/>
  <c r="CM25" i="1"/>
  <c r="CK25" i="1"/>
  <c r="CI25" i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E25" i="1"/>
  <c r="AC25" i="1"/>
  <c r="AA25" i="1"/>
  <c r="Y25" i="1"/>
  <c r="W25" i="1"/>
  <c r="U25" i="1"/>
  <c r="S25" i="1"/>
  <c r="Q25" i="1"/>
  <c r="O25" i="1"/>
  <c r="M25" i="1"/>
  <c r="K25" i="1"/>
  <c r="I25" i="1"/>
  <c r="DF24" i="1"/>
  <c r="DG24" i="1" s="1"/>
  <c r="J32" i="4" s="1"/>
  <c r="CW24" i="1"/>
  <c r="CU24" i="1"/>
  <c r="CS24" i="1"/>
  <c r="CQ24" i="1"/>
  <c r="CO24" i="1"/>
  <c r="CM24" i="1"/>
  <c r="CK24" i="1"/>
  <c r="CI24" i="1"/>
  <c r="CE24" i="1"/>
  <c r="CC24" i="1"/>
  <c r="CA24" i="1"/>
  <c r="BY24" i="1"/>
  <c r="BW24" i="1"/>
  <c r="BU24" i="1"/>
  <c r="BS24" i="1"/>
  <c r="BQ24" i="1"/>
  <c r="BO24" i="1"/>
  <c r="BM24" i="1"/>
  <c r="BK24" i="1"/>
  <c r="BI24" i="1"/>
  <c r="BE24" i="1"/>
  <c r="BC24" i="1"/>
  <c r="BA24" i="1"/>
  <c r="AY24" i="1"/>
  <c r="AW24" i="1"/>
  <c r="AU24" i="1"/>
  <c r="AS24" i="1"/>
  <c r="AQ24" i="1"/>
  <c r="AO24" i="1"/>
  <c r="AM24" i="1"/>
  <c r="AK24" i="1"/>
  <c r="AI24" i="1"/>
  <c r="AE24" i="1"/>
  <c r="AC24" i="1"/>
  <c r="AA24" i="1"/>
  <c r="Y24" i="1"/>
  <c r="W24" i="1"/>
  <c r="U24" i="1"/>
  <c r="S24" i="1"/>
  <c r="Q24" i="1"/>
  <c r="O24" i="1"/>
  <c r="M24" i="1"/>
  <c r="K24" i="1"/>
  <c r="I24" i="1"/>
  <c r="DF23" i="1"/>
  <c r="I31" i="4" s="1"/>
  <c r="CW23" i="1"/>
  <c r="CU23" i="1"/>
  <c r="CS23" i="1"/>
  <c r="CQ23" i="1"/>
  <c r="CO23" i="1"/>
  <c r="CM23" i="1"/>
  <c r="CK23" i="1"/>
  <c r="CI23" i="1"/>
  <c r="CE23" i="1"/>
  <c r="CC23" i="1"/>
  <c r="CA23" i="1"/>
  <c r="BY23" i="1"/>
  <c r="BW23" i="1"/>
  <c r="BU23" i="1"/>
  <c r="BS23" i="1"/>
  <c r="BQ23" i="1"/>
  <c r="BO23" i="1"/>
  <c r="BM23" i="1"/>
  <c r="BK23" i="1"/>
  <c r="BI23" i="1"/>
  <c r="BE23" i="1"/>
  <c r="BC23" i="1"/>
  <c r="BA23" i="1"/>
  <c r="AY23" i="1"/>
  <c r="AW23" i="1"/>
  <c r="AU23" i="1"/>
  <c r="AS23" i="1"/>
  <c r="AQ23" i="1"/>
  <c r="AO23" i="1"/>
  <c r="AM23" i="1"/>
  <c r="AK23" i="1"/>
  <c r="AI23" i="1"/>
  <c r="AE23" i="1"/>
  <c r="AC23" i="1"/>
  <c r="AA23" i="1"/>
  <c r="Y23" i="1"/>
  <c r="W23" i="1"/>
  <c r="U23" i="1"/>
  <c r="S23" i="1"/>
  <c r="Q23" i="1"/>
  <c r="O23" i="1"/>
  <c r="M23" i="1"/>
  <c r="K23" i="1"/>
  <c r="I23" i="1"/>
  <c r="DF22" i="1"/>
  <c r="DG22" i="1" s="1"/>
  <c r="J30" i="4" s="1"/>
  <c r="CW22" i="1"/>
  <c r="CU22" i="1"/>
  <c r="CS22" i="1"/>
  <c r="CQ22" i="1"/>
  <c r="CO22" i="1"/>
  <c r="CM22" i="1"/>
  <c r="CK22" i="1"/>
  <c r="CI22" i="1"/>
  <c r="CE22" i="1"/>
  <c r="CC22" i="1"/>
  <c r="CA22" i="1"/>
  <c r="BY22" i="1"/>
  <c r="BW22" i="1"/>
  <c r="BU22" i="1"/>
  <c r="BS22" i="1"/>
  <c r="BQ22" i="1"/>
  <c r="BO22" i="1"/>
  <c r="BM22" i="1"/>
  <c r="BK22" i="1"/>
  <c r="BI22" i="1"/>
  <c r="BE22" i="1"/>
  <c r="BC22" i="1"/>
  <c r="BA22" i="1"/>
  <c r="AY22" i="1"/>
  <c r="AW22" i="1"/>
  <c r="AU22" i="1"/>
  <c r="AS22" i="1"/>
  <c r="AQ22" i="1"/>
  <c r="AO22" i="1"/>
  <c r="AM22" i="1"/>
  <c r="AK22" i="1"/>
  <c r="AI22" i="1"/>
  <c r="AE22" i="1"/>
  <c r="AC22" i="1"/>
  <c r="AA22" i="1"/>
  <c r="Y22" i="1"/>
  <c r="W22" i="1"/>
  <c r="U22" i="1"/>
  <c r="S22" i="1"/>
  <c r="Q22" i="1"/>
  <c r="O22" i="1"/>
  <c r="M22" i="1"/>
  <c r="K22" i="1"/>
  <c r="I22" i="1"/>
  <c r="DF21" i="1"/>
  <c r="I29" i="4" s="1"/>
  <c r="CW21" i="1"/>
  <c r="CU21" i="1"/>
  <c r="CS21" i="1"/>
  <c r="CQ21" i="1"/>
  <c r="CO21" i="1"/>
  <c r="CM21" i="1"/>
  <c r="CK21" i="1"/>
  <c r="CI21" i="1"/>
  <c r="CE21" i="1"/>
  <c r="CC21" i="1"/>
  <c r="CA21" i="1"/>
  <c r="BY21" i="1"/>
  <c r="BW21" i="1"/>
  <c r="BU21" i="1"/>
  <c r="BS21" i="1"/>
  <c r="BQ21" i="1"/>
  <c r="BO21" i="1"/>
  <c r="BM21" i="1"/>
  <c r="BK21" i="1"/>
  <c r="BI21" i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E21" i="1"/>
  <c r="AC21" i="1"/>
  <c r="AA21" i="1"/>
  <c r="Y21" i="1"/>
  <c r="W21" i="1"/>
  <c r="U21" i="1"/>
  <c r="S21" i="1"/>
  <c r="Q21" i="1"/>
  <c r="O21" i="1"/>
  <c r="M21" i="1"/>
  <c r="K21" i="1"/>
  <c r="I21" i="1"/>
  <c r="DF20" i="1"/>
  <c r="DG20" i="1" s="1"/>
  <c r="J28" i="4" s="1"/>
  <c r="CW20" i="1"/>
  <c r="CU20" i="1"/>
  <c r="CS20" i="1"/>
  <c r="CQ20" i="1"/>
  <c r="CO20" i="1"/>
  <c r="CM20" i="1"/>
  <c r="CK20" i="1"/>
  <c r="CI20" i="1"/>
  <c r="CE20" i="1"/>
  <c r="CC20" i="1"/>
  <c r="CA20" i="1"/>
  <c r="BY20" i="1"/>
  <c r="BW20" i="1"/>
  <c r="BU20" i="1"/>
  <c r="BS20" i="1"/>
  <c r="BQ20" i="1"/>
  <c r="BO20" i="1"/>
  <c r="BM20" i="1"/>
  <c r="BK20" i="1"/>
  <c r="BI20" i="1"/>
  <c r="BE20" i="1"/>
  <c r="BC20" i="1"/>
  <c r="BA20" i="1"/>
  <c r="AY20" i="1"/>
  <c r="AW20" i="1"/>
  <c r="AU20" i="1"/>
  <c r="AS20" i="1"/>
  <c r="AQ20" i="1"/>
  <c r="AO20" i="1"/>
  <c r="AM20" i="1"/>
  <c r="AK20" i="1"/>
  <c r="AI20" i="1"/>
  <c r="AE20" i="1"/>
  <c r="AC20" i="1"/>
  <c r="AA20" i="1"/>
  <c r="Y20" i="1"/>
  <c r="W20" i="1"/>
  <c r="U20" i="1"/>
  <c r="S20" i="1"/>
  <c r="Q20" i="1"/>
  <c r="O20" i="1"/>
  <c r="M20" i="1"/>
  <c r="K20" i="1"/>
  <c r="I20" i="1"/>
  <c r="DF19" i="1"/>
  <c r="I27" i="4" s="1"/>
  <c r="CW19" i="1"/>
  <c r="CU19" i="1"/>
  <c r="CS19" i="1"/>
  <c r="CQ19" i="1"/>
  <c r="CO19" i="1"/>
  <c r="CM19" i="1"/>
  <c r="CK19" i="1"/>
  <c r="CI19" i="1"/>
  <c r="CE19" i="1"/>
  <c r="CC19" i="1"/>
  <c r="CA19" i="1"/>
  <c r="BY19" i="1"/>
  <c r="BW19" i="1"/>
  <c r="BU19" i="1"/>
  <c r="BS19" i="1"/>
  <c r="BQ19" i="1"/>
  <c r="BO19" i="1"/>
  <c r="BM19" i="1"/>
  <c r="BK19" i="1"/>
  <c r="BI19" i="1"/>
  <c r="BE19" i="1"/>
  <c r="BC19" i="1"/>
  <c r="BA19" i="1"/>
  <c r="AY19" i="1"/>
  <c r="AW19" i="1"/>
  <c r="AU19" i="1"/>
  <c r="AS19" i="1"/>
  <c r="AQ19" i="1"/>
  <c r="AO19" i="1"/>
  <c r="AM19" i="1"/>
  <c r="AK19" i="1"/>
  <c r="AI19" i="1"/>
  <c r="AE19" i="1"/>
  <c r="AC19" i="1"/>
  <c r="AA19" i="1"/>
  <c r="Y19" i="1"/>
  <c r="W19" i="1"/>
  <c r="U19" i="1"/>
  <c r="S19" i="1"/>
  <c r="Q19" i="1"/>
  <c r="O19" i="1"/>
  <c r="M19" i="1"/>
  <c r="K19" i="1"/>
  <c r="I19" i="1"/>
  <c r="DF18" i="1"/>
  <c r="DG18" i="1" s="1"/>
  <c r="J26" i="4" s="1"/>
  <c r="CW18" i="1"/>
  <c r="CU18" i="1"/>
  <c r="CS18" i="1"/>
  <c r="CQ18" i="1"/>
  <c r="CO18" i="1"/>
  <c r="CM18" i="1"/>
  <c r="CK18" i="1"/>
  <c r="CI18" i="1"/>
  <c r="CE18" i="1"/>
  <c r="CC18" i="1"/>
  <c r="CA18" i="1"/>
  <c r="BY18" i="1"/>
  <c r="BW18" i="1"/>
  <c r="BU18" i="1"/>
  <c r="BS18" i="1"/>
  <c r="BQ18" i="1"/>
  <c r="BO18" i="1"/>
  <c r="BM18" i="1"/>
  <c r="BK18" i="1"/>
  <c r="BI18" i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E18" i="1"/>
  <c r="AC18" i="1"/>
  <c r="AA18" i="1"/>
  <c r="Y18" i="1"/>
  <c r="W18" i="1"/>
  <c r="U18" i="1"/>
  <c r="S18" i="1"/>
  <c r="Q18" i="1"/>
  <c r="O18" i="1"/>
  <c r="M18" i="1"/>
  <c r="K18" i="1"/>
  <c r="I18" i="1"/>
  <c r="DF17" i="1"/>
  <c r="I25" i="4" s="1"/>
  <c r="CW17" i="1"/>
  <c r="CU17" i="1"/>
  <c r="CS17" i="1"/>
  <c r="CQ17" i="1"/>
  <c r="CO17" i="1"/>
  <c r="CM17" i="1"/>
  <c r="CK17" i="1"/>
  <c r="CI17" i="1"/>
  <c r="CE17" i="1"/>
  <c r="CC17" i="1"/>
  <c r="CA17" i="1"/>
  <c r="BY17" i="1"/>
  <c r="BW17" i="1"/>
  <c r="BU17" i="1"/>
  <c r="BS17" i="1"/>
  <c r="BQ17" i="1"/>
  <c r="BO17" i="1"/>
  <c r="BM17" i="1"/>
  <c r="BK17" i="1"/>
  <c r="BI17" i="1"/>
  <c r="BE17" i="1"/>
  <c r="BC17" i="1"/>
  <c r="BA17" i="1"/>
  <c r="AY17" i="1"/>
  <c r="AW17" i="1"/>
  <c r="AU17" i="1"/>
  <c r="AS17" i="1"/>
  <c r="AQ17" i="1"/>
  <c r="AO17" i="1"/>
  <c r="AM17" i="1"/>
  <c r="AK17" i="1"/>
  <c r="AI17" i="1"/>
  <c r="AE17" i="1"/>
  <c r="AC17" i="1"/>
  <c r="AA17" i="1"/>
  <c r="Y17" i="1"/>
  <c r="W17" i="1"/>
  <c r="U17" i="1"/>
  <c r="S17" i="1"/>
  <c r="Q17" i="1"/>
  <c r="O17" i="1"/>
  <c r="M17" i="1"/>
  <c r="K17" i="1"/>
  <c r="I17" i="1"/>
  <c r="DF16" i="1"/>
  <c r="DG16" i="1" s="1"/>
  <c r="J24" i="4" s="1"/>
  <c r="CW16" i="1"/>
  <c r="CU16" i="1"/>
  <c r="CS16" i="1"/>
  <c r="CQ16" i="1"/>
  <c r="CO16" i="1"/>
  <c r="CM16" i="1"/>
  <c r="CK16" i="1"/>
  <c r="CI16" i="1"/>
  <c r="CE16" i="1"/>
  <c r="CC16" i="1"/>
  <c r="CA16" i="1"/>
  <c r="BY16" i="1"/>
  <c r="BW16" i="1"/>
  <c r="BU16" i="1"/>
  <c r="BS16" i="1"/>
  <c r="BQ16" i="1"/>
  <c r="BO16" i="1"/>
  <c r="BM16" i="1"/>
  <c r="BK16" i="1"/>
  <c r="BI16" i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E16" i="1"/>
  <c r="AC16" i="1"/>
  <c r="AA16" i="1"/>
  <c r="Y16" i="1"/>
  <c r="W16" i="1"/>
  <c r="U16" i="1"/>
  <c r="S16" i="1"/>
  <c r="Q16" i="1"/>
  <c r="O16" i="1"/>
  <c r="M16" i="1"/>
  <c r="K16" i="1"/>
  <c r="I16" i="1"/>
  <c r="DF15" i="1"/>
  <c r="DG15" i="1" s="1"/>
  <c r="CW15" i="1"/>
  <c r="CU15" i="1"/>
  <c r="CS15" i="1"/>
  <c r="CQ15" i="1"/>
  <c r="CO15" i="1"/>
  <c r="CM15" i="1"/>
  <c r="CK15" i="1"/>
  <c r="CI15" i="1"/>
  <c r="CE15" i="1"/>
  <c r="CC15" i="1"/>
  <c r="CA15" i="1"/>
  <c r="BY15" i="1"/>
  <c r="BW15" i="1"/>
  <c r="BU15" i="1"/>
  <c r="BS15" i="1"/>
  <c r="BQ15" i="1"/>
  <c r="BO15" i="1"/>
  <c r="BM15" i="1"/>
  <c r="BK15" i="1"/>
  <c r="BI15" i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E15" i="1"/>
  <c r="AC15" i="1"/>
  <c r="AA15" i="1"/>
  <c r="Y15" i="1"/>
  <c r="W15" i="1"/>
  <c r="U15" i="1"/>
  <c r="S15" i="1"/>
  <c r="Q15" i="1"/>
  <c r="O15" i="1"/>
  <c r="M15" i="1"/>
  <c r="K15" i="1"/>
  <c r="I15" i="1"/>
  <c r="DF14" i="1"/>
  <c r="DG14" i="1" s="1"/>
  <c r="CW14" i="1"/>
  <c r="CU14" i="1"/>
  <c r="CS14" i="1"/>
  <c r="CQ14" i="1"/>
  <c r="CO14" i="1"/>
  <c r="CM14" i="1"/>
  <c r="CK14" i="1"/>
  <c r="CI14" i="1"/>
  <c r="CE14" i="1"/>
  <c r="CC14" i="1"/>
  <c r="CA14" i="1"/>
  <c r="BY14" i="1"/>
  <c r="BW14" i="1"/>
  <c r="BU14" i="1"/>
  <c r="BS14" i="1"/>
  <c r="BQ14" i="1"/>
  <c r="BO14" i="1"/>
  <c r="BM14" i="1"/>
  <c r="BK14" i="1"/>
  <c r="BI14" i="1"/>
  <c r="BE14" i="1"/>
  <c r="BC14" i="1"/>
  <c r="BA14" i="1"/>
  <c r="AY14" i="1"/>
  <c r="AW14" i="1"/>
  <c r="AU14" i="1"/>
  <c r="AS14" i="1"/>
  <c r="AQ14" i="1"/>
  <c r="AO14" i="1"/>
  <c r="AM14" i="1"/>
  <c r="AK14" i="1"/>
  <c r="AI14" i="1"/>
  <c r="AE14" i="1"/>
  <c r="AC14" i="1"/>
  <c r="AA14" i="1"/>
  <c r="Y14" i="1"/>
  <c r="W14" i="1"/>
  <c r="U14" i="1"/>
  <c r="S14" i="1"/>
  <c r="Q14" i="1"/>
  <c r="O14" i="1"/>
  <c r="M14" i="1"/>
  <c r="K14" i="1"/>
  <c r="I14" i="1"/>
  <c r="DF13" i="1"/>
  <c r="DG13" i="1" s="1"/>
  <c r="CW13" i="1"/>
  <c r="CU13" i="1"/>
  <c r="CS13" i="1"/>
  <c r="CQ13" i="1"/>
  <c r="CO13" i="1"/>
  <c r="CM13" i="1"/>
  <c r="CK13" i="1"/>
  <c r="CI13" i="1"/>
  <c r="CE13" i="1"/>
  <c r="CC13" i="1"/>
  <c r="CA13" i="1"/>
  <c r="BY13" i="1"/>
  <c r="BW13" i="1"/>
  <c r="BU13" i="1"/>
  <c r="BS13" i="1"/>
  <c r="BQ13" i="1"/>
  <c r="BO13" i="1"/>
  <c r="BM13" i="1"/>
  <c r="BK13" i="1"/>
  <c r="BI13" i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E13" i="1"/>
  <c r="AC13" i="1"/>
  <c r="AA13" i="1"/>
  <c r="Y13" i="1"/>
  <c r="W13" i="1"/>
  <c r="U13" i="1"/>
  <c r="S13" i="1"/>
  <c r="Q13" i="1"/>
  <c r="O13" i="1"/>
  <c r="M13" i="1"/>
  <c r="K13" i="1"/>
  <c r="I13" i="1"/>
  <c r="DF12" i="1"/>
  <c r="DG12" i="1" s="1"/>
  <c r="CW12" i="1"/>
  <c r="CU12" i="1"/>
  <c r="CS12" i="1"/>
  <c r="CQ12" i="1"/>
  <c r="CO12" i="1"/>
  <c r="CM12" i="1"/>
  <c r="CK12" i="1"/>
  <c r="CI12" i="1"/>
  <c r="CE12" i="1"/>
  <c r="CC12" i="1"/>
  <c r="CA12" i="1"/>
  <c r="BY12" i="1"/>
  <c r="BW12" i="1"/>
  <c r="BU12" i="1"/>
  <c r="BS12" i="1"/>
  <c r="BQ12" i="1"/>
  <c r="BO12" i="1"/>
  <c r="BM12" i="1"/>
  <c r="BK12" i="1"/>
  <c r="BI12" i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E12" i="1"/>
  <c r="AC12" i="1"/>
  <c r="AA12" i="1"/>
  <c r="Y12" i="1"/>
  <c r="W12" i="1"/>
  <c r="U12" i="1"/>
  <c r="S12" i="1"/>
  <c r="Q12" i="1"/>
  <c r="O12" i="1"/>
  <c r="M12" i="1"/>
  <c r="K12" i="1"/>
  <c r="I12" i="1"/>
  <c r="DF11" i="1"/>
  <c r="DG11" i="1" s="1"/>
  <c r="CW11" i="1"/>
  <c r="CU11" i="1"/>
  <c r="CS11" i="1"/>
  <c r="CQ11" i="1"/>
  <c r="CO11" i="1"/>
  <c r="CM11" i="1"/>
  <c r="CK11" i="1"/>
  <c r="CI11" i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E11" i="1"/>
  <c r="AC11" i="1"/>
  <c r="AA11" i="1"/>
  <c r="Y11" i="1"/>
  <c r="W11" i="1"/>
  <c r="U11" i="1"/>
  <c r="S11" i="1"/>
  <c r="Q11" i="1"/>
  <c r="O11" i="1"/>
  <c r="M11" i="1"/>
  <c r="K11" i="1"/>
  <c r="I11" i="1"/>
  <c r="DF10" i="1"/>
  <c r="DG10" i="1" s="1"/>
  <c r="CW10" i="1"/>
  <c r="CU10" i="1"/>
  <c r="CS10" i="1"/>
  <c r="CQ10" i="1"/>
  <c r="CO10" i="1"/>
  <c r="CM10" i="1"/>
  <c r="CK10" i="1"/>
  <c r="CI10" i="1"/>
  <c r="CE10" i="1"/>
  <c r="CC10" i="1"/>
  <c r="CA10" i="1"/>
  <c r="BY10" i="1"/>
  <c r="BW10" i="1"/>
  <c r="BU10" i="1"/>
  <c r="BS10" i="1"/>
  <c r="BQ10" i="1"/>
  <c r="BO10" i="1"/>
  <c r="BM10" i="1"/>
  <c r="BK10" i="1"/>
  <c r="BI10" i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E10" i="1"/>
  <c r="AC10" i="1"/>
  <c r="AA10" i="1"/>
  <c r="Y10" i="1"/>
  <c r="W10" i="1"/>
  <c r="U10" i="1"/>
  <c r="S10" i="1"/>
  <c r="Q10" i="1"/>
  <c r="O10" i="1"/>
  <c r="M10" i="1"/>
  <c r="K10" i="1"/>
  <c r="I10" i="1"/>
  <c r="DF9" i="1"/>
  <c r="DG9" i="1" s="1"/>
  <c r="CW9" i="1"/>
  <c r="CU9" i="1"/>
  <c r="CS9" i="1"/>
  <c r="CQ9" i="1"/>
  <c r="CO9" i="1"/>
  <c r="CM9" i="1"/>
  <c r="CK9" i="1"/>
  <c r="CI9" i="1"/>
  <c r="CE9" i="1"/>
  <c r="CC9" i="1"/>
  <c r="CA9" i="1"/>
  <c r="BY9" i="1"/>
  <c r="BW9" i="1"/>
  <c r="BU9" i="1"/>
  <c r="BS9" i="1"/>
  <c r="BQ9" i="1"/>
  <c r="BO9" i="1"/>
  <c r="BM9" i="1"/>
  <c r="BK9" i="1"/>
  <c r="BI9" i="1"/>
  <c r="BE9" i="1"/>
  <c r="BC9" i="1"/>
  <c r="BA9" i="1"/>
  <c r="AY9" i="1"/>
  <c r="AW9" i="1"/>
  <c r="AU9" i="1"/>
  <c r="AS9" i="1"/>
  <c r="AQ9" i="1"/>
  <c r="AO9" i="1"/>
  <c r="AM9" i="1"/>
  <c r="AK9" i="1"/>
  <c r="AI9" i="1"/>
  <c r="AE9" i="1"/>
  <c r="AC9" i="1"/>
  <c r="AA9" i="1"/>
  <c r="Y9" i="1"/>
  <c r="W9" i="1"/>
  <c r="U9" i="1"/>
  <c r="S9" i="1"/>
  <c r="Q9" i="1"/>
  <c r="O9" i="1"/>
  <c r="M9" i="1"/>
  <c r="K9" i="1"/>
  <c r="I9" i="1"/>
  <c r="DF8" i="1"/>
  <c r="DG8" i="1" s="1"/>
  <c r="CW8" i="1"/>
  <c r="CU8" i="1"/>
  <c r="CS8" i="1"/>
  <c r="CQ8" i="1"/>
  <c r="CO8" i="1"/>
  <c r="CM8" i="1"/>
  <c r="CK8" i="1"/>
  <c r="CI8" i="1"/>
  <c r="CE8" i="1"/>
  <c r="CC8" i="1"/>
  <c r="CA8" i="1"/>
  <c r="BY8" i="1"/>
  <c r="BW8" i="1"/>
  <c r="BU8" i="1"/>
  <c r="BS8" i="1"/>
  <c r="BQ8" i="1"/>
  <c r="BO8" i="1"/>
  <c r="BM8" i="1"/>
  <c r="BK8" i="1"/>
  <c r="BI8" i="1"/>
  <c r="BE8" i="1"/>
  <c r="BC8" i="1"/>
  <c r="BA8" i="1"/>
  <c r="AY8" i="1"/>
  <c r="AW8" i="1"/>
  <c r="AU8" i="1"/>
  <c r="AS8" i="1"/>
  <c r="AQ8" i="1"/>
  <c r="AO8" i="1"/>
  <c r="AM8" i="1"/>
  <c r="AK8" i="1"/>
  <c r="AI8" i="1"/>
  <c r="AE8" i="1"/>
  <c r="AC8" i="1"/>
  <c r="AA8" i="1"/>
  <c r="Y8" i="1"/>
  <c r="W8" i="1"/>
  <c r="U8" i="1"/>
  <c r="S8" i="1"/>
  <c r="Q8" i="1"/>
  <c r="O8" i="1"/>
  <c r="M8" i="1"/>
  <c r="K8" i="1"/>
  <c r="I8" i="1"/>
  <c r="DF7" i="1"/>
  <c r="DG7" i="1" s="1"/>
  <c r="CW7" i="1"/>
  <c r="CU7" i="1"/>
  <c r="CS7" i="1"/>
  <c r="CQ7" i="1"/>
  <c r="CO7" i="1"/>
  <c r="CM7" i="1"/>
  <c r="CK7" i="1"/>
  <c r="CI7" i="1"/>
  <c r="CE7" i="1"/>
  <c r="CC7" i="1"/>
  <c r="CA7" i="1"/>
  <c r="BY7" i="1"/>
  <c r="BW7" i="1"/>
  <c r="BU7" i="1"/>
  <c r="BS7" i="1"/>
  <c r="BQ7" i="1"/>
  <c r="BO7" i="1"/>
  <c r="BM7" i="1"/>
  <c r="BK7" i="1"/>
  <c r="BI7" i="1"/>
  <c r="BE7" i="1"/>
  <c r="BC7" i="1"/>
  <c r="BA7" i="1"/>
  <c r="AY7" i="1"/>
  <c r="AW7" i="1"/>
  <c r="AU7" i="1"/>
  <c r="AS7" i="1"/>
  <c r="AQ7" i="1"/>
  <c r="AO7" i="1"/>
  <c r="AM7" i="1"/>
  <c r="AK7" i="1"/>
  <c r="AI7" i="1"/>
  <c r="AE7" i="1"/>
  <c r="AC7" i="1"/>
  <c r="AA7" i="1"/>
  <c r="Y7" i="1"/>
  <c r="W7" i="1"/>
  <c r="U7" i="1"/>
  <c r="S7" i="1"/>
  <c r="Q7" i="1"/>
  <c r="O7" i="1"/>
  <c r="M7" i="1"/>
  <c r="K7" i="1"/>
  <c r="I7" i="1"/>
  <c r="DF6" i="1"/>
  <c r="DG6" i="1" s="1"/>
  <c r="CW6" i="1"/>
  <c r="CU6" i="1"/>
  <c r="CS6" i="1"/>
  <c r="CQ6" i="1"/>
  <c r="CO6" i="1"/>
  <c r="CM6" i="1"/>
  <c r="CK6" i="1"/>
  <c r="CI6" i="1"/>
  <c r="CE6" i="1"/>
  <c r="CC6" i="1"/>
  <c r="CA6" i="1"/>
  <c r="BY6" i="1"/>
  <c r="BW6" i="1"/>
  <c r="BU6" i="1"/>
  <c r="BS6" i="1"/>
  <c r="BQ6" i="1"/>
  <c r="BO6" i="1"/>
  <c r="BM6" i="1"/>
  <c r="BK6" i="1"/>
  <c r="BI6" i="1"/>
  <c r="BE6" i="1"/>
  <c r="BC6" i="1"/>
  <c r="BA6" i="1"/>
  <c r="AY6" i="1"/>
  <c r="AW6" i="1"/>
  <c r="AU6" i="1"/>
  <c r="AS6" i="1"/>
  <c r="AQ6" i="1"/>
  <c r="AO6" i="1"/>
  <c r="AM6" i="1"/>
  <c r="AK6" i="1"/>
  <c r="AI6" i="1"/>
  <c r="AE6" i="1"/>
  <c r="AC6" i="1"/>
  <c r="AA6" i="1"/>
  <c r="Y6" i="1"/>
  <c r="W6" i="1"/>
  <c r="U6" i="1"/>
  <c r="S6" i="1"/>
  <c r="Q6" i="1"/>
  <c r="O6" i="1"/>
  <c r="M6" i="1"/>
  <c r="K6" i="1"/>
  <c r="I6" i="1"/>
  <c r="DF5" i="1"/>
  <c r="DG5" i="1" s="1"/>
  <c r="CW5" i="1"/>
  <c r="CU5" i="1"/>
  <c r="CS5" i="1"/>
  <c r="CQ5" i="1"/>
  <c r="CO5" i="1"/>
  <c r="CM5" i="1"/>
  <c r="CK5" i="1"/>
  <c r="CI5" i="1"/>
  <c r="CE5" i="1"/>
  <c r="CC5" i="1"/>
  <c r="CA5" i="1"/>
  <c r="BY5" i="1"/>
  <c r="BW5" i="1"/>
  <c r="BU5" i="1"/>
  <c r="BS5" i="1"/>
  <c r="BQ5" i="1"/>
  <c r="BO5" i="1"/>
  <c r="BM5" i="1"/>
  <c r="BK5" i="1"/>
  <c r="BI5" i="1"/>
  <c r="BE5" i="1"/>
  <c r="BC5" i="1"/>
  <c r="BA5" i="1"/>
  <c r="AY5" i="1"/>
  <c r="AW5" i="1"/>
  <c r="AU5" i="1"/>
  <c r="AS5" i="1"/>
  <c r="AQ5" i="1"/>
  <c r="AO5" i="1"/>
  <c r="AM5" i="1"/>
  <c r="AK5" i="1"/>
  <c r="AI5" i="1"/>
  <c r="AE5" i="1"/>
  <c r="AC5" i="1"/>
  <c r="AA5" i="1"/>
  <c r="Y5" i="1"/>
  <c r="W5" i="1"/>
  <c r="U5" i="1"/>
  <c r="S5" i="1"/>
  <c r="Q5" i="1"/>
  <c r="O5" i="1"/>
  <c r="M5" i="1"/>
  <c r="K5" i="1"/>
  <c r="I5" i="1"/>
  <c r="DF4" i="1"/>
  <c r="DG4" i="1" s="1"/>
  <c r="CW4" i="1"/>
  <c r="CU4" i="1"/>
  <c r="CS4" i="1"/>
  <c r="CQ4" i="1"/>
  <c r="CO4" i="1"/>
  <c r="CM4" i="1"/>
  <c r="CK4" i="1"/>
  <c r="CI4" i="1"/>
  <c r="CE4" i="1"/>
  <c r="CC4" i="1"/>
  <c r="CA4" i="1"/>
  <c r="BY4" i="1"/>
  <c r="BW4" i="1"/>
  <c r="BU4" i="1"/>
  <c r="BS4" i="1"/>
  <c r="BQ4" i="1"/>
  <c r="BO4" i="1"/>
  <c r="BM4" i="1"/>
  <c r="BK4" i="1"/>
  <c r="BI4" i="1"/>
  <c r="BG4" i="1"/>
  <c r="BE4" i="1"/>
  <c r="BC4" i="1"/>
  <c r="BA4" i="1"/>
  <c r="AY4" i="1"/>
  <c r="AW4" i="1"/>
  <c r="AU4" i="1"/>
  <c r="AS4" i="1"/>
  <c r="AQ4" i="1"/>
  <c r="AO4" i="1"/>
  <c r="AM4" i="1"/>
  <c r="AK4" i="1"/>
  <c r="AI4" i="1"/>
  <c r="AG4" i="1"/>
  <c r="AE4" i="1"/>
  <c r="AC4" i="1"/>
  <c r="AA4" i="1"/>
  <c r="Y4" i="1"/>
  <c r="W4" i="1"/>
  <c r="U4" i="1"/>
  <c r="S4" i="1"/>
  <c r="Q4" i="1"/>
  <c r="O4" i="1"/>
  <c r="M4" i="1"/>
  <c r="K4" i="1"/>
  <c r="I4" i="1"/>
  <c r="T165" i="1" l="1"/>
  <c r="AT165" i="1"/>
  <c r="BL165" i="1"/>
  <c r="AG19" i="1"/>
  <c r="D27" i="4" s="1"/>
  <c r="AG16" i="1"/>
  <c r="D24" i="4" s="1"/>
  <c r="V165" i="1"/>
  <c r="AN165" i="1"/>
  <c r="BV165" i="1"/>
  <c r="CD165" i="1"/>
  <c r="AH165" i="1"/>
  <c r="AX165" i="1"/>
  <c r="BX165" i="1"/>
  <c r="CH165" i="1"/>
  <c r="BS164" i="1"/>
  <c r="BG16" i="1"/>
  <c r="F24" i="4" s="1"/>
  <c r="CG23" i="1"/>
  <c r="H31" i="4" s="1"/>
  <c r="BG22" i="1"/>
  <c r="F30" i="4" s="1"/>
  <c r="DG150" i="1"/>
  <c r="DG164" i="1" s="1"/>
  <c r="D156" i="1"/>
  <c r="BG17" i="1"/>
  <c r="F25" i="4" s="1"/>
  <c r="CG17" i="1"/>
  <c r="H25" i="4" s="1"/>
  <c r="BG23" i="1"/>
  <c r="F31" i="4" s="1"/>
  <c r="Y147" i="1"/>
  <c r="D12" i="4" s="1"/>
  <c r="AW147" i="1"/>
  <c r="F11" i="4" s="1"/>
  <c r="BE147" i="1"/>
  <c r="F15" i="4" s="1"/>
  <c r="BU147" i="1"/>
  <c r="H10" i="4" s="1"/>
  <c r="CM147" i="1"/>
  <c r="J6" i="4" s="1"/>
  <c r="AG23" i="1"/>
  <c r="D31" i="4" s="1"/>
  <c r="CG22" i="1"/>
  <c r="H30" i="4" s="1"/>
  <c r="CG16" i="1"/>
  <c r="H24" i="4" s="1"/>
  <c r="M31" i="4"/>
  <c r="Q164" i="1"/>
  <c r="X165" i="1"/>
  <c r="AP165" i="1"/>
  <c r="R165" i="1"/>
  <c r="BG20" i="1"/>
  <c r="F28" i="4" s="1"/>
  <c r="N28" i="4" s="1"/>
  <c r="CG19" i="1"/>
  <c r="H27" i="4" s="1"/>
  <c r="C11" i="4"/>
  <c r="E10" i="4"/>
  <c r="G9" i="4"/>
  <c r="I5" i="4"/>
  <c r="C32" i="4"/>
  <c r="C28" i="4"/>
  <c r="K147" i="1"/>
  <c r="D5" i="4" s="1"/>
  <c r="S147" i="1"/>
  <c r="D9" i="4" s="1"/>
  <c r="AQ147" i="1"/>
  <c r="F8" i="4" s="1"/>
  <c r="BO147" i="1"/>
  <c r="H7" i="4" s="1"/>
  <c r="CW147" i="1"/>
  <c r="M147" i="1"/>
  <c r="D6" i="4" s="1"/>
  <c r="AJ165" i="1"/>
  <c r="BZ165" i="1"/>
  <c r="BH165" i="1"/>
  <c r="E7" i="4"/>
  <c r="G6" i="4"/>
  <c r="E29" i="4"/>
  <c r="E27" i="4"/>
  <c r="M27" i="4" s="1"/>
  <c r="G32" i="4"/>
  <c r="G28" i="4"/>
  <c r="G26" i="4"/>
  <c r="I32" i="4"/>
  <c r="AS147" i="1"/>
  <c r="F9" i="4" s="1"/>
  <c r="BI147" i="1"/>
  <c r="H4" i="4" s="1"/>
  <c r="AE147" i="1"/>
  <c r="D15" i="4" s="1"/>
  <c r="CP165" i="1"/>
  <c r="I8" i="4"/>
  <c r="L165" i="1"/>
  <c r="BB165" i="1"/>
  <c r="BT165" i="1"/>
  <c r="AG22" i="1"/>
  <c r="D30" i="4" s="1"/>
  <c r="AG17" i="1"/>
  <c r="D25" i="4" s="1"/>
  <c r="C5" i="4"/>
  <c r="C13" i="4"/>
  <c r="E4" i="4"/>
  <c r="E12" i="4"/>
  <c r="G11" i="4"/>
  <c r="G15" i="4"/>
  <c r="C26" i="4"/>
  <c r="AK147" i="1"/>
  <c r="F5" i="4" s="1"/>
  <c r="W147" i="1"/>
  <c r="D11" i="4" s="1"/>
  <c r="BC147" i="1"/>
  <c r="F14" i="4" s="1"/>
  <c r="CA147" i="1"/>
  <c r="H13" i="4" s="1"/>
  <c r="N26" i="4"/>
  <c r="AD165" i="1"/>
  <c r="AV165" i="1"/>
  <c r="BN165" i="1"/>
  <c r="C10" i="4"/>
  <c r="E9" i="4"/>
  <c r="E13" i="4"/>
  <c r="G12" i="4"/>
  <c r="I4" i="4"/>
  <c r="C29" i="4"/>
  <c r="E32" i="4"/>
  <c r="E26" i="4"/>
  <c r="G29" i="4"/>
  <c r="I28" i="4"/>
  <c r="CL165" i="1"/>
  <c r="I24" i="4"/>
  <c r="M24" i="4" s="1"/>
  <c r="I26" i="4"/>
  <c r="D9" i="1"/>
  <c r="I30" i="4"/>
  <c r="M30" i="4" s="1"/>
  <c r="D131" i="1"/>
  <c r="D11" i="1"/>
  <c r="D17" i="1"/>
  <c r="D21" i="1"/>
  <c r="D52" i="1"/>
  <c r="D13" i="1"/>
  <c r="D63" i="1"/>
  <c r="D7" i="1"/>
  <c r="D19" i="1"/>
  <c r="D70" i="1"/>
  <c r="D74" i="1"/>
  <c r="D89" i="1"/>
  <c r="D23" i="1"/>
  <c r="D29" i="1"/>
  <c r="D50" i="1"/>
  <c r="D27" i="1"/>
  <c r="D72" i="1"/>
  <c r="CK147" i="1"/>
  <c r="J5" i="4" s="1"/>
  <c r="CS147" i="1"/>
  <c r="N32" i="4"/>
  <c r="N30" i="4"/>
  <c r="K164" i="1"/>
  <c r="W164" i="1"/>
  <c r="AK164" i="1"/>
  <c r="AW164" i="1"/>
  <c r="BK164" i="1"/>
  <c r="BW164" i="1"/>
  <c r="CK164" i="1"/>
  <c r="M164" i="1"/>
  <c r="Y164" i="1"/>
  <c r="AM164" i="1"/>
  <c r="AY164" i="1"/>
  <c r="BM164" i="1"/>
  <c r="BY164" i="1"/>
  <c r="CW164" i="1"/>
  <c r="CN165" i="1"/>
  <c r="P165" i="1"/>
  <c r="AB165" i="1"/>
  <c r="BP165" i="1"/>
  <c r="AC164" i="1"/>
  <c r="CQ164" i="1"/>
  <c r="S164" i="1"/>
  <c r="AE164" i="1"/>
  <c r="AS164" i="1"/>
  <c r="BE164" i="1"/>
  <c r="CS164" i="1"/>
  <c r="M25" i="4"/>
  <c r="DF164" i="1"/>
  <c r="O164" i="1"/>
  <c r="AA164" i="1"/>
  <c r="AO164" i="1"/>
  <c r="BA164" i="1"/>
  <c r="BO164" i="1"/>
  <c r="CA164" i="1"/>
  <c r="CO164" i="1"/>
  <c r="D151" i="1"/>
  <c r="D154" i="1"/>
  <c r="D159" i="1"/>
  <c r="D162" i="1"/>
  <c r="AQ164" i="1"/>
  <c r="BC164" i="1"/>
  <c r="BQ164" i="1"/>
  <c r="CC164" i="1"/>
  <c r="H165" i="1"/>
  <c r="D149" i="1"/>
  <c r="D152" i="1"/>
  <c r="D155" i="1"/>
  <c r="D160" i="1"/>
  <c r="I164" i="1"/>
  <c r="U164" i="1"/>
  <c r="AI164" i="1"/>
  <c r="AU164" i="1"/>
  <c r="BI164" i="1"/>
  <c r="BU164" i="1"/>
  <c r="CI164" i="1"/>
  <c r="CU164" i="1"/>
  <c r="CE164" i="1"/>
  <c r="AF164" i="1"/>
  <c r="D150" i="1"/>
  <c r="D153" i="1"/>
  <c r="D158" i="1"/>
  <c r="D161" i="1"/>
  <c r="CG164" i="1"/>
  <c r="CF164" i="1"/>
  <c r="AG164" i="1"/>
  <c r="D134" i="1"/>
  <c r="AI147" i="1"/>
  <c r="F4" i="4" s="1"/>
  <c r="AU147" i="1"/>
  <c r="BF147" i="1"/>
  <c r="BQ147" i="1"/>
  <c r="H8" i="4" s="1"/>
  <c r="CC147" i="1"/>
  <c r="H14" i="4" s="1"/>
  <c r="DG17" i="1"/>
  <c r="J25" i="4" s="1"/>
  <c r="DG19" i="1"/>
  <c r="J27" i="4" s="1"/>
  <c r="DG21" i="1"/>
  <c r="J29" i="4" s="1"/>
  <c r="N29" i="4" s="1"/>
  <c r="DG23" i="1"/>
  <c r="J31" i="4" s="1"/>
  <c r="D26" i="1"/>
  <c r="D28" i="1"/>
  <c r="DG50" i="1"/>
  <c r="DG52" i="1"/>
  <c r="D62" i="1"/>
  <c r="D64" i="1"/>
  <c r="DG70" i="1"/>
  <c r="DG72" i="1"/>
  <c r="D75" i="1"/>
  <c r="DG81" i="1"/>
  <c r="D81" i="1"/>
  <c r="DG89" i="1"/>
  <c r="D92" i="1"/>
  <c r="D93" i="1"/>
  <c r="D136" i="1"/>
  <c r="N165" i="1"/>
  <c r="BJ165" i="1"/>
  <c r="CB165" i="1"/>
  <c r="D36" i="1"/>
  <c r="D38" i="1"/>
  <c r="D66" i="1"/>
  <c r="D77" i="1"/>
  <c r="D80" i="1"/>
  <c r="DG90" i="1"/>
  <c r="D90" i="1"/>
  <c r="O147" i="1"/>
  <c r="AA147" i="1"/>
  <c r="D13" i="4" s="1"/>
  <c r="BS147" i="1"/>
  <c r="CE147" i="1"/>
  <c r="H15" i="4" s="1"/>
  <c r="CO147" i="1"/>
  <c r="D16" i="1"/>
  <c r="D18" i="1"/>
  <c r="D20" i="1"/>
  <c r="D22" i="1"/>
  <c r="D24" i="1"/>
  <c r="D49" i="1"/>
  <c r="D51" i="1"/>
  <c r="D60" i="1"/>
  <c r="D71" i="1"/>
  <c r="DG86" i="1"/>
  <c r="D86" i="1"/>
  <c r="D95" i="1"/>
  <c r="D40" i="1"/>
  <c r="D44" i="1"/>
  <c r="D57" i="1"/>
  <c r="AC147" i="1"/>
  <c r="AY147" i="1"/>
  <c r="CQ147" i="1"/>
  <c r="J8" i="4" s="1"/>
  <c r="D6" i="1"/>
  <c r="D8" i="1"/>
  <c r="D10" i="1"/>
  <c r="D12" i="1"/>
  <c r="D14" i="1"/>
  <c r="D31" i="1"/>
  <c r="D33" i="1"/>
  <c r="D35" i="1"/>
  <c r="D37" i="1"/>
  <c r="D39" i="1"/>
  <c r="D41" i="1"/>
  <c r="D43" i="1"/>
  <c r="D45" i="1"/>
  <c r="D47" i="1"/>
  <c r="D56" i="1"/>
  <c r="D58" i="1"/>
  <c r="D67" i="1"/>
  <c r="D78" i="1"/>
  <c r="D87" i="1"/>
  <c r="D143" i="1"/>
  <c r="CM164" i="1"/>
  <c r="D32" i="1"/>
  <c r="D34" i="1"/>
  <c r="D42" i="1"/>
  <c r="D46" i="1"/>
  <c r="D55" i="1"/>
  <c r="D68" i="1"/>
  <c r="Q147" i="1"/>
  <c r="AM147" i="1"/>
  <c r="F6" i="4" s="1"/>
  <c r="CF147" i="1"/>
  <c r="D4" i="1"/>
  <c r="AO147" i="1"/>
  <c r="F7" i="4" s="1"/>
  <c r="BA147" i="1"/>
  <c r="BK147" i="1"/>
  <c r="H5" i="4" s="1"/>
  <c r="BW147" i="1"/>
  <c r="CG4" i="1"/>
  <c r="DG88" i="1"/>
  <c r="D88" i="1"/>
  <c r="AL165" i="1"/>
  <c r="BD165" i="1"/>
  <c r="BF164" i="1"/>
  <c r="BG164" i="1"/>
  <c r="I147" i="1"/>
  <c r="D4" i="4" s="1"/>
  <c r="U147" i="1"/>
  <c r="D10" i="4" s="1"/>
  <c r="AF147" i="1"/>
  <c r="BM147" i="1"/>
  <c r="BY147" i="1"/>
  <c r="CI147" i="1"/>
  <c r="CU147" i="1"/>
  <c r="D137" i="1"/>
  <c r="D135" i="1"/>
  <c r="D133" i="1"/>
  <c r="D132" i="1"/>
  <c r="D130" i="1"/>
  <c r="DF147" i="1"/>
  <c r="D142" i="1"/>
  <c r="D94" i="1"/>
  <c r="D84" i="1"/>
  <c r="D139" i="1"/>
  <c r="F13" i="17"/>
  <c r="H7" i="17"/>
  <c r="J7" i="17"/>
  <c r="I6" i="2" s="1"/>
  <c r="L7" i="17"/>
  <c r="N7" i="17"/>
  <c r="P7" i="17"/>
  <c r="R7" i="17"/>
  <c r="T7" i="17"/>
  <c r="V7" i="17"/>
  <c r="X7" i="17"/>
  <c r="Z7" i="17"/>
  <c r="AB7" i="17"/>
  <c r="F7" i="17"/>
  <c r="AD6" i="17"/>
  <c r="AC6" i="17"/>
  <c r="AA6" i="17"/>
  <c r="Y6" i="17"/>
  <c r="W6" i="17"/>
  <c r="U6" i="17"/>
  <c r="S6" i="17"/>
  <c r="Q6" i="17"/>
  <c r="O6" i="17"/>
  <c r="M6" i="17"/>
  <c r="K6" i="17"/>
  <c r="I6" i="17"/>
  <c r="G6" i="17"/>
  <c r="AD5" i="17"/>
  <c r="AC5" i="17"/>
  <c r="AA5" i="17"/>
  <c r="Y5" i="17"/>
  <c r="W5" i="17"/>
  <c r="U5" i="17"/>
  <c r="S5" i="17"/>
  <c r="Q5" i="17"/>
  <c r="O5" i="17"/>
  <c r="M5" i="17"/>
  <c r="K5" i="17"/>
  <c r="I5" i="17"/>
  <c r="G5" i="17"/>
  <c r="AD4" i="17"/>
  <c r="AC4" i="17"/>
  <c r="AA4" i="17"/>
  <c r="Y4" i="17"/>
  <c r="W4" i="17"/>
  <c r="U4" i="17"/>
  <c r="S4" i="17"/>
  <c r="Q4" i="17"/>
  <c r="O4" i="17"/>
  <c r="K4" i="17"/>
  <c r="I4" i="17"/>
  <c r="G4" i="17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F13" i="16"/>
  <c r="H7" i="16"/>
  <c r="J7" i="16"/>
  <c r="L7" i="16"/>
  <c r="N7" i="16"/>
  <c r="P7" i="16"/>
  <c r="R7" i="16"/>
  <c r="T7" i="16"/>
  <c r="V7" i="16"/>
  <c r="X7" i="16"/>
  <c r="Z7" i="16"/>
  <c r="AB7" i="16"/>
  <c r="F7" i="16"/>
  <c r="AE6" i="16"/>
  <c r="AD6" i="16"/>
  <c r="AC6" i="16"/>
  <c r="AA6" i="16"/>
  <c r="Y6" i="16"/>
  <c r="W6" i="16"/>
  <c r="U6" i="16"/>
  <c r="S6" i="16"/>
  <c r="Q6" i="16"/>
  <c r="O6" i="16"/>
  <c r="M6" i="16"/>
  <c r="K6" i="16"/>
  <c r="I6" i="16"/>
  <c r="G6" i="16"/>
  <c r="AE5" i="16"/>
  <c r="AD5" i="16"/>
  <c r="AC5" i="16"/>
  <c r="AA5" i="16"/>
  <c r="Y5" i="16"/>
  <c r="W5" i="16"/>
  <c r="U5" i="16"/>
  <c r="S5" i="16"/>
  <c r="Q5" i="16"/>
  <c r="O5" i="16"/>
  <c r="M5" i="16"/>
  <c r="M7" i="16" s="1"/>
  <c r="K5" i="16"/>
  <c r="I5" i="16"/>
  <c r="G5" i="16"/>
  <c r="S7" i="7"/>
  <c r="AD4" i="16"/>
  <c r="AD7" i="16" s="1"/>
  <c r="AC4" i="16"/>
  <c r="AA4" i="16"/>
  <c r="Y4" i="16"/>
  <c r="W4" i="16"/>
  <c r="U4" i="16"/>
  <c r="S4" i="16"/>
  <c r="S7" i="16" s="1"/>
  <c r="Q4" i="16"/>
  <c r="O4" i="16"/>
  <c r="M4" i="16"/>
  <c r="K4" i="16"/>
  <c r="I4" i="16"/>
  <c r="G4" i="16"/>
  <c r="G7" i="16" s="1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F13" i="15"/>
  <c r="X28" i="10"/>
  <c r="H7" i="15"/>
  <c r="J7" i="15"/>
  <c r="K7" i="15"/>
  <c r="L7" i="15"/>
  <c r="N7" i="15"/>
  <c r="O7" i="15"/>
  <c r="P7" i="15"/>
  <c r="R7" i="15"/>
  <c r="T7" i="15"/>
  <c r="V7" i="15"/>
  <c r="W7" i="15"/>
  <c r="X7" i="15"/>
  <c r="Z7" i="15"/>
  <c r="AA7" i="15"/>
  <c r="AB7" i="15"/>
  <c r="F7" i="15"/>
  <c r="AD6" i="15"/>
  <c r="AE6" i="15" s="1"/>
  <c r="AC6" i="15"/>
  <c r="AA6" i="15"/>
  <c r="Y6" i="15"/>
  <c r="W6" i="15"/>
  <c r="U6" i="15"/>
  <c r="S6" i="15"/>
  <c r="S7" i="15" s="1"/>
  <c r="Q6" i="15"/>
  <c r="O6" i="15"/>
  <c r="M6" i="15"/>
  <c r="K6" i="15"/>
  <c r="I6" i="15"/>
  <c r="G6" i="15"/>
  <c r="G7" i="15" s="1"/>
  <c r="AE5" i="15"/>
  <c r="AD5" i="15"/>
  <c r="AC5" i="15"/>
  <c r="AC7" i="15" s="1"/>
  <c r="AA5" i="15"/>
  <c r="Y5" i="15"/>
  <c r="W5" i="15"/>
  <c r="U5" i="15"/>
  <c r="U7" i="15" s="1"/>
  <c r="S5" i="15"/>
  <c r="Q5" i="15"/>
  <c r="Q7" i="15" s="1"/>
  <c r="O5" i="15"/>
  <c r="M5" i="15"/>
  <c r="K5" i="15"/>
  <c r="I5" i="15"/>
  <c r="I7" i="15" s="1"/>
  <c r="G5" i="15"/>
  <c r="AE4" i="15"/>
  <c r="AD4" i="15"/>
  <c r="AD7" i="15" s="1"/>
  <c r="AC4" i="15"/>
  <c r="AA4" i="15"/>
  <c r="Y4" i="15"/>
  <c r="Y7" i="15" s="1"/>
  <c r="W4" i="15"/>
  <c r="U4" i="15"/>
  <c r="S4" i="15"/>
  <c r="Q4" i="15"/>
  <c r="O4" i="15"/>
  <c r="M4" i="15"/>
  <c r="M7" i="15" s="1"/>
  <c r="K4" i="15"/>
  <c r="I4" i="15"/>
  <c r="G4" i="15"/>
  <c r="I13" i="13"/>
  <c r="J13" i="13"/>
  <c r="K13" i="13"/>
  <c r="M13" i="13"/>
  <c r="O13" i="13"/>
  <c r="Q13" i="13"/>
  <c r="R13" i="13"/>
  <c r="S13" i="13"/>
  <c r="T13" i="13"/>
  <c r="U13" i="13"/>
  <c r="W13" i="13"/>
  <c r="Y13" i="13"/>
  <c r="AA13" i="13"/>
  <c r="AB13" i="13"/>
  <c r="AC13" i="13"/>
  <c r="G13" i="13"/>
  <c r="AF12" i="13"/>
  <c r="AE12" i="13"/>
  <c r="AD12" i="13"/>
  <c r="AD13" i="13" s="1"/>
  <c r="AB12" i="13"/>
  <c r="Z12" i="13"/>
  <c r="Z13" i="13" s="1"/>
  <c r="X12" i="13"/>
  <c r="V12" i="13"/>
  <c r="V13" i="13" s="1"/>
  <c r="R12" i="13"/>
  <c r="P12" i="13"/>
  <c r="N12" i="13"/>
  <c r="J12" i="13"/>
  <c r="H12" i="13"/>
  <c r="AE11" i="13"/>
  <c r="AF11" i="13" s="1"/>
  <c r="AD11" i="13"/>
  <c r="X11" i="13"/>
  <c r="X13" i="13" s="1"/>
  <c r="V11" i="13"/>
  <c r="R11" i="13"/>
  <c r="P11" i="13"/>
  <c r="N11" i="13"/>
  <c r="N13" i="13" s="1"/>
  <c r="L11" i="13"/>
  <c r="J11" i="13"/>
  <c r="H11" i="13"/>
  <c r="H4" i="9"/>
  <c r="AE10" i="13"/>
  <c r="AE13" i="13" s="1"/>
  <c r="AD10" i="13"/>
  <c r="AB10" i="13"/>
  <c r="Z10" i="13"/>
  <c r="X10" i="13"/>
  <c r="V10" i="13"/>
  <c r="P10" i="13"/>
  <c r="P13" i="13" s="1"/>
  <c r="N10" i="13"/>
  <c r="L10" i="13"/>
  <c r="L13" i="13" s="1"/>
  <c r="J10" i="13"/>
  <c r="H10" i="13"/>
  <c r="H13" i="13" s="1"/>
  <c r="G7" i="13"/>
  <c r="I7" i="13"/>
  <c r="K7" i="13"/>
  <c r="M7" i="13"/>
  <c r="O7" i="13"/>
  <c r="P7" i="13"/>
  <c r="Q7" i="13"/>
  <c r="S7" i="13"/>
  <c r="U7" i="13"/>
  <c r="W7" i="13"/>
  <c r="Y7" i="13"/>
  <c r="AA7" i="13"/>
  <c r="AC7" i="13"/>
  <c r="AE6" i="13"/>
  <c r="AF6" i="13" s="1"/>
  <c r="AD6" i="13"/>
  <c r="AB6" i="13"/>
  <c r="Z6" i="13"/>
  <c r="X6" i="13"/>
  <c r="V6" i="13"/>
  <c r="T6" i="13"/>
  <c r="R6" i="13"/>
  <c r="P6" i="13"/>
  <c r="N6" i="13"/>
  <c r="L6" i="13"/>
  <c r="J6" i="13"/>
  <c r="H6" i="13"/>
  <c r="AE5" i="13"/>
  <c r="AE7" i="13" s="1"/>
  <c r="AD5" i="13"/>
  <c r="AB5" i="13"/>
  <c r="Z5" i="13"/>
  <c r="X5" i="13"/>
  <c r="V5" i="13"/>
  <c r="T5" i="13"/>
  <c r="R5" i="13"/>
  <c r="P5" i="13"/>
  <c r="N5" i="13"/>
  <c r="L5" i="13"/>
  <c r="J5" i="13"/>
  <c r="H5" i="13"/>
  <c r="H7" i="13" s="1"/>
  <c r="AE4" i="13"/>
  <c r="AF4" i="13" s="1"/>
  <c r="AD4" i="13"/>
  <c r="AB4" i="13"/>
  <c r="AB7" i="13" s="1"/>
  <c r="Z4" i="13"/>
  <c r="X4" i="13"/>
  <c r="X7" i="13" s="1"/>
  <c r="V4" i="13"/>
  <c r="T4" i="13"/>
  <c r="T7" i="13" s="1"/>
  <c r="R4" i="13"/>
  <c r="P4" i="13"/>
  <c r="N4" i="13"/>
  <c r="L4" i="13"/>
  <c r="L7" i="13" s="1"/>
  <c r="J4" i="13"/>
  <c r="H4" i="13"/>
  <c r="AD132" i="7"/>
  <c r="AD133" i="7"/>
  <c r="AD134" i="7"/>
  <c r="AD135" i="7"/>
  <c r="AD136" i="7"/>
  <c r="AD137" i="7"/>
  <c r="AD138" i="7"/>
  <c r="AD139" i="7"/>
  <c r="AD140" i="7"/>
  <c r="AD141" i="7"/>
  <c r="AD142" i="7"/>
  <c r="AD131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4" i="7"/>
  <c r="AD122" i="5"/>
  <c r="AD110" i="5"/>
  <c r="AD111" i="5"/>
  <c r="AD112" i="5"/>
  <c r="AD113" i="5"/>
  <c r="AD114" i="5"/>
  <c r="AD115" i="5"/>
  <c r="AD116" i="5"/>
  <c r="AD117" i="5"/>
  <c r="AD118" i="5"/>
  <c r="AD119" i="5"/>
  <c r="AD120" i="5"/>
  <c r="AD109" i="5"/>
  <c r="AD108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66" i="5"/>
  <c r="AD132" i="6"/>
  <c r="AD133" i="6"/>
  <c r="AD134" i="6"/>
  <c r="AD135" i="6"/>
  <c r="AD136" i="6"/>
  <c r="AD137" i="6"/>
  <c r="AD138" i="6"/>
  <c r="AD139" i="6"/>
  <c r="AD140" i="6"/>
  <c r="AD141" i="6"/>
  <c r="AD142" i="6"/>
  <c r="AD131" i="6"/>
  <c r="AD96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67" i="6"/>
  <c r="AD22" i="6"/>
  <c r="AD66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4" i="6"/>
  <c r="AD132" i="5"/>
  <c r="AD133" i="5"/>
  <c r="AD134" i="5"/>
  <c r="AD135" i="5"/>
  <c r="AD136" i="5"/>
  <c r="AD137" i="5"/>
  <c r="AD138" i="5"/>
  <c r="AD139" i="5"/>
  <c r="AD140" i="5"/>
  <c r="AD141" i="5"/>
  <c r="AD142" i="5"/>
  <c r="AD131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4" i="5"/>
  <c r="H34" i="4" l="1"/>
  <c r="N24" i="4"/>
  <c r="AA7" i="17"/>
  <c r="CG147" i="1"/>
  <c r="CG165" i="1" s="1"/>
  <c r="AG147" i="1"/>
  <c r="AG165" i="1" s="1"/>
  <c r="N27" i="4"/>
  <c r="C34" i="4"/>
  <c r="F34" i="4"/>
  <c r="BG147" i="1"/>
  <c r="BG165" i="1" s="1"/>
  <c r="G34" i="4"/>
  <c r="M165" i="1"/>
  <c r="M26" i="4"/>
  <c r="E34" i="4"/>
  <c r="D34" i="4"/>
  <c r="M29" i="4"/>
  <c r="AE6" i="17"/>
  <c r="I34" i="4"/>
  <c r="CW165" i="1"/>
  <c r="BO165" i="1"/>
  <c r="Y165" i="1"/>
  <c r="CM165" i="1"/>
  <c r="S165" i="1"/>
  <c r="N31" i="4"/>
  <c r="AW165" i="1"/>
  <c r="BE165" i="1"/>
  <c r="CK165" i="1"/>
  <c r="W165" i="1"/>
  <c r="K165" i="1"/>
  <c r="AK165" i="1"/>
  <c r="BU165" i="1"/>
  <c r="BC165" i="1"/>
  <c r="AQ165" i="1"/>
  <c r="AS165" i="1"/>
  <c r="AE165" i="1"/>
  <c r="BI165" i="1"/>
  <c r="CA165" i="1"/>
  <c r="J34" i="4"/>
  <c r="M32" i="4"/>
  <c r="M28" i="4"/>
  <c r="N25" i="4"/>
  <c r="O165" i="1"/>
  <c r="D7" i="4"/>
  <c r="CS165" i="1"/>
  <c r="AY165" i="1"/>
  <c r="F12" i="4"/>
  <c r="BS165" i="1"/>
  <c r="H9" i="4"/>
  <c r="AU165" i="1"/>
  <c r="F10" i="4"/>
  <c r="BY165" i="1"/>
  <c r="H12" i="4"/>
  <c r="BW165" i="1"/>
  <c r="H11" i="4"/>
  <c r="Q165" i="1"/>
  <c r="D8" i="4"/>
  <c r="AC165" i="1"/>
  <c r="D14" i="4"/>
  <c r="BA165" i="1"/>
  <c r="F13" i="4"/>
  <c r="BM165" i="1"/>
  <c r="H6" i="4"/>
  <c r="O7" i="17"/>
  <c r="DG147" i="1"/>
  <c r="DG165" i="1" s="1"/>
  <c r="CI165" i="1"/>
  <c r="J4" i="4"/>
  <c r="BK165" i="1"/>
  <c r="AM165" i="1"/>
  <c r="AA165" i="1"/>
  <c r="AF165" i="1"/>
  <c r="AF166" i="1" s="1"/>
  <c r="CQ165" i="1"/>
  <c r="CC165" i="1"/>
  <c r="DF165" i="1"/>
  <c r="I165" i="1"/>
  <c r="CE165" i="1"/>
  <c r="CF165" i="1"/>
  <c r="CF166" i="1" s="1"/>
  <c r="AI165" i="1"/>
  <c r="U165" i="1"/>
  <c r="AO165" i="1"/>
  <c r="CO165" i="1"/>
  <c r="BQ165" i="1"/>
  <c r="CU165" i="1"/>
  <c r="BF165" i="1"/>
  <c r="BF166" i="1" s="1"/>
  <c r="Z7" i="13"/>
  <c r="M7" i="17"/>
  <c r="J7" i="2" s="1"/>
  <c r="Y7" i="17"/>
  <c r="AC7" i="16"/>
  <c r="Y7" i="16"/>
  <c r="N7" i="13"/>
  <c r="AF10" i="13"/>
  <c r="AF13" i="13" s="1"/>
  <c r="R7" i="13"/>
  <c r="AD7" i="13"/>
  <c r="K7" i="16"/>
  <c r="W7" i="16"/>
  <c r="AE4" i="17"/>
  <c r="S7" i="17"/>
  <c r="AD7" i="17"/>
  <c r="Q7" i="17"/>
  <c r="AC7" i="17"/>
  <c r="AE7" i="15"/>
  <c r="I7" i="16"/>
  <c r="U7" i="16"/>
  <c r="Q7" i="16"/>
  <c r="J7" i="13"/>
  <c r="V7" i="13"/>
  <c r="O7" i="16"/>
  <c r="AA7" i="16"/>
  <c r="K7" i="17"/>
  <c r="J6" i="2" s="1"/>
  <c r="W7" i="17"/>
  <c r="I7" i="17"/>
  <c r="U7" i="17"/>
  <c r="AE5" i="17"/>
  <c r="G7" i="17"/>
  <c r="AE4" i="16"/>
  <c r="AE7" i="16" s="1"/>
  <c r="AF5" i="13"/>
  <c r="AF7" i="13" s="1"/>
  <c r="AF36" i="12"/>
  <c r="AF142" i="12" s="1"/>
  <c r="I142" i="12"/>
  <c r="I161" i="12" s="1"/>
  <c r="K142" i="12"/>
  <c r="K161" i="12" s="1"/>
  <c r="G142" i="12"/>
  <c r="G161" i="12" s="1"/>
  <c r="AE7" i="11"/>
  <c r="AE8" i="11"/>
  <c r="AF8" i="11" s="1"/>
  <c r="AE12" i="11"/>
  <c r="AF12" i="11" s="1"/>
  <c r="AE16" i="11"/>
  <c r="AF16" i="11" s="1"/>
  <c r="AE18" i="11"/>
  <c r="AF18" i="11" s="1"/>
  <c r="AE22" i="11"/>
  <c r="AF22" i="11" s="1"/>
  <c r="AE28" i="11"/>
  <c r="AF28" i="11" s="1"/>
  <c r="AE31" i="11"/>
  <c r="AF31" i="11" s="1"/>
  <c r="AE36" i="11"/>
  <c r="AF36" i="11" s="1"/>
  <c r="AE38" i="11"/>
  <c r="AF38" i="11" s="1"/>
  <c r="AE41" i="11"/>
  <c r="AF41" i="11" s="1"/>
  <c r="AE44" i="11"/>
  <c r="AF44" i="11" s="1"/>
  <c r="AE51" i="11"/>
  <c r="AF51" i="11" s="1"/>
  <c r="AE57" i="11"/>
  <c r="AF57" i="11" s="1"/>
  <c r="AE63" i="11"/>
  <c r="AF63" i="11" s="1"/>
  <c r="AE64" i="11"/>
  <c r="AF64" i="11" s="1"/>
  <c r="AE75" i="11"/>
  <c r="AF75" i="11" s="1"/>
  <c r="AE86" i="11"/>
  <c r="AF86" i="11" s="1"/>
  <c r="AE87" i="11"/>
  <c r="AF87" i="11" s="1"/>
  <c r="AE90" i="11"/>
  <c r="AF90" i="11" s="1"/>
  <c r="AE91" i="11"/>
  <c r="AF91" i="11" s="1"/>
  <c r="AE94" i="11"/>
  <c r="AF94" i="11" s="1"/>
  <c r="AE96" i="11"/>
  <c r="AF96" i="11" s="1"/>
  <c r="AE108" i="11"/>
  <c r="AF108" i="11" s="1"/>
  <c r="AE109" i="11"/>
  <c r="AF109" i="11" s="1"/>
  <c r="AE114" i="11"/>
  <c r="AF114" i="11" s="1"/>
  <c r="AE115" i="11"/>
  <c r="AF115" i="11" s="1"/>
  <c r="AE116" i="11"/>
  <c r="AF116" i="11" s="1"/>
  <c r="AE117" i="11"/>
  <c r="AF117" i="11" s="1"/>
  <c r="AE119" i="11"/>
  <c r="AF119" i="11" s="1"/>
  <c r="AD12" i="11"/>
  <c r="AD16" i="11"/>
  <c r="AD18" i="11"/>
  <c r="AD129" i="11" s="1"/>
  <c r="AD145" i="11" s="1"/>
  <c r="AD22" i="11"/>
  <c r="AD28" i="11"/>
  <c r="AD36" i="11"/>
  <c r="AD41" i="11"/>
  <c r="AD44" i="11"/>
  <c r="AD51" i="11"/>
  <c r="AD57" i="11"/>
  <c r="AD63" i="11"/>
  <c r="AD64" i="11"/>
  <c r="AD75" i="11"/>
  <c r="AD86" i="11"/>
  <c r="AD87" i="11"/>
  <c r="AD90" i="11"/>
  <c r="AD91" i="11"/>
  <c r="AD96" i="11"/>
  <c r="AD114" i="11"/>
  <c r="AD115" i="11"/>
  <c r="AD116" i="11"/>
  <c r="AD4" i="11"/>
  <c r="AB12" i="11"/>
  <c r="AB129" i="11" s="1"/>
  <c r="AB145" i="11" s="1"/>
  <c r="AB16" i="11"/>
  <c r="AB22" i="11"/>
  <c r="AB28" i="11"/>
  <c r="AB36" i="11"/>
  <c r="AB41" i="11"/>
  <c r="AB44" i="11"/>
  <c r="AB51" i="11"/>
  <c r="AB57" i="11"/>
  <c r="AB63" i="11"/>
  <c r="AB64" i="11"/>
  <c r="AB75" i="11"/>
  <c r="AB86" i="11"/>
  <c r="AB87" i="11"/>
  <c r="AB90" i="11"/>
  <c r="AB91" i="11"/>
  <c r="AB96" i="11"/>
  <c r="AB109" i="11"/>
  <c r="AB114" i="11"/>
  <c r="AB115" i="11"/>
  <c r="AB116" i="11"/>
  <c r="Z129" i="11"/>
  <c r="Z145" i="11" s="1"/>
  <c r="Z12" i="11"/>
  <c r="Z16" i="11"/>
  <c r="Z18" i="11"/>
  <c r="Z22" i="11"/>
  <c r="Z28" i="11"/>
  <c r="Z36" i="11"/>
  <c r="Z38" i="11"/>
  <c r="Z41" i="11"/>
  <c r="Z44" i="11"/>
  <c r="Z51" i="11"/>
  <c r="Z57" i="11"/>
  <c r="Z63" i="11"/>
  <c r="Z64" i="11"/>
  <c r="Z75" i="11"/>
  <c r="Z86" i="11"/>
  <c r="Z87" i="11"/>
  <c r="Z90" i="11"/>
  <c r="Z91" i="11"/>
  <c r="Z96" i="11"/>
  <c r="Z108" i="11"/>
  <c r="Z114" i="11"/>
  <c r="Z115" i="11"/>
  <c r="Z116" i="11"/>
  <c r="Z117" i="11"/>
  <c r="Z4" i="11"/>
  <c r="X12" i="11"/>
  <c r="X16" i="11"/>
  <c r="X22" i="11"/>
  <c r="X28" i="11"/>
  <c r="X36" i="11"/>
  <c r="X38" i="11"/>
  <c r="X41" i="11"/>
  <c r="X44" i="11"/>
  <c r="X51" i="11"/>
  <c r="X57" i="11"/>
  <c r="X64" i="11"/>
  <c r="X75" i="11"/>
  <c r="X86" i="11"/>
  <c r="X90" i="11"/>
  <c r="X91" i="11"/>
  <c r="X96" i="11"/>
  <c r="X108" i="11"/>
  <c r="X114" i="11"/>
  <c r="X115" i="11"/>
  <c r="X116" i="11"/>
  <c r="X117" i="11"/>
  <c r="X4" i="11"/>
  <c r="X129" i="11" s="1"/>
  <c r="X145" i="11" s="1"/>
  <c r="V12" i="11"/>
  <c r="V16" i="11"/>
  <c r="V22" i="11"/>
  <c r="V28" i="11"/>
  <c r="V36" i="11"/>
  <c r="V38" i="11"/>
  <c r="V41" i="11"/>
  <c r="V44" i="11"/>
  <c r="V57" i="11"/>
  <c r="V63" i="11"/>
  <c r="V64" i="11"/>
  <c r="V86" i="11"/>
  <c r="V87" i="11"/>
  <c r="V96" i="11"/>
  <c r="V114" i="11"/>
  <c r="V115" i="11"/>
  <c r="V116" i="11"/>
  <c r="V117" i="11"/>
  <c r="V4" i="11"/>
  <c r="V129" i="11" s="1"/>
  <c r="V145" i="11" s="1"/>
  <c r="T7" i="11"/>
  <c r="T12" i="11"/>
  <c r="T16" i="11"/>
  <c r="T22" i="11"/>
  <c r="T28" i="11"/>
  <c r="T36" i="11"/>
  <c r="T41" i="11"/>
  <c r="T44" i="11"/>
  <c r="T51" i="11"/>
  <c r="T57" i="11"/>
  <c r="T63" i="11"/>
  <c r="T64" i="11"/>
  <c r="T75" i="11"/>
  <c r="T86" i="11"/>
  <c r="T87" i="11"/>
  <c r="T96" i="11"/>
  <c r="T108" i="11"/>
  <c r="T114" i="11"/>
  <c r="T115" i="11"/>
  <c r="T116" i="11"/>
  <c r="T117" i="11"/>
  <c r="T4" i="11"/>
  <c r="T129" i="11" s="1"/>
  <c r="T145" i="11" s="1"/>
  <c r="R12" i="11"/>
  <c r="R16" i="11"/>
  <c r="R18" i="11"/>
  <c r="R22" i="11"/>
  <c r="R28" i="11"/>
  <c r="R36" i="11"/>
  <c r="R38" i="11"/>
  <c r="R41" i="11"/>
  <c r="R44" i="11"/>
  <c r="R51" i="11"/>
  <c r="R57" i="11"/>
  <c r="R63" i="11"/>
  <c r="R64" i="11"/>
  <c r="R86" i="11"/>
  <c r="R87" i="11"/>
  <c r="R96" i="11"/>
  <c r="R114" i="11"/>
  <c r="R115" i="11"/>
  <c r="R116" i="11"/>
  <c r="R117" i="11"/>
  <c r="R4" i="11"/>
  <c r="R129" i="11" s="1"/>
  <c r="R145" i="11" s="1"/>
  <c r="P12" i="11"/>
  <c r="P16" i="11"/>
  <c r="P18" i="11"/>
  <c r="P22" i="11"/>
  <c r="P28" i="11"/>
  <c r="P36" i="11"/>
  <c r="P38" i="11"/>
  <c r="P41" i="11"/>
  <c r="P44" i="11"/>
  <c r="P51" i="11"/>
  <c r="P57" i="11"/>
  <c r="P63" i="11"/>
  <c r="P129" i="11" s="1"/>
  <c r="P145" i="11" s="1"/>
  <c r="P64" i="11"/>
  <c r="P75" i="11"/>
  <c r="P86" i="11"/>
  <c r="P87" i="11"/>
  <c r="P96" i="11"/>
  <c r="P114" i="11"/>
  <c r="P115" i="11"/>
  <c r="P117" i="11"/>
  <c r="P4" i="11"/>
  <c r="N12" i="11"/>
  <c r="N22" i="11"/>
  <c r="N28" i="11"/>
  <c r="N36" i="11"/>
  <c r="N38" i="11"/>
  <c r="N41" i="11"/>
  <c r="N44" i="11"/>
  <c r="N51" i="11"/>
  <c r="N57" i="11"/>
  <c r="N64" i="11"/>
  <c r="N87" i="11"/>
  <c r="N96" i="11"/>
  <c r="N109" i="11"/>
  <c r="N114" i="11"/>
  <c r="N115" i="11"/>
  <c r="N117" i="11"/>
  <c r="N4" i="11"/>
  <c r="N129" i="11" s="1"/>
  <c r="N145" i="11" s="1"/>
  <c r="L12" i="11"/>
  <c r="L22" i="11"/>
  <c r="L28" i="11"/>
  <c r="L31" i="11"/>
  <c r="L36" i="11"/>
  <c r="L38" i="11"/>
  <c r="L41" i="11"/>
  <c r="L51" i="11"/>
  <c r="L57" i="11"/>
  <c r="L63" i="11"/>
  <c r="L64" i="11"/>
  <c r="L75" i="11"/>
  <c r="L87" i="11"/>
  <c r="L94" i="11"/>
  <c r="L96" i="11"/>
  <c r="L108" i="11"/>
  <c r="L114" i="11"/>
  <c r="L115" i="11"/>
  <c r="L116" i="11"/>
  <c r="L4" i="11"/>
  <c r="L129" i="11" s="1"/>
  <c r="L145" i="11" s="1"/>
  <c r="J7" i="11"/>
  <c r="J8" i="11"/>
  <c r="J12" i="11"/>
  <c r="J16" i="11"/>
  <c r="J18" i="11"/>
  <c r="J22" i="11"/>
  <c r="J129" i="11" s="1"/>
  <c r="J145" i="11" s="1"/>
  <c r="J28" i="11"/>
  <c r="J36" i="11"/>
  <c r="J41" i="11"/>
  <c r="J44" i="11"/>
  <c r="J51" i="11"/>
  <c r="J57" i="11"/>
  <c r="J63" i="11"/>
  <c r="J75" i="11"/>
  <c r="J96" i="11"/>
  <c r="J109" i="11"/>
  <c r="J114" i="11"/>
  <c r="J115" i="11"/>
  <c r="J4" i="11"/>
  <c r="H12" i="11"/>
  <c r="H16" i="11"/>
  <c r="H18" i="11"/>
  <c r="H129" i="11" s="1"/>
  <c r="H145" i="11" s="1"/>
  <c r="H22" i="11"/>
  <c r="H28" i="11"/>
  <c r="H36" i="11"/>
  <c r="H38" i="11"/>
  <c r="H41" i="11"/>
  <c r="H51" i="11"/>
  <c r="H57" i="11"/>
  <c r="H63" i="11"/>
  <c r="H75" i="11"/>
  <c r="H114" i="11"/>
  <c r="H115" i="11"/>
  <c r="H116" i="11"/>
  <c r="H119" i="11"/>
  <c r="H4" i="11"/>
  <c r="O145" i="11"/>
  <c r="AA145" i="11"/>
  <c r="H144" i="11"/>
  <c r="I144" i="11"/>
  <c r="I145" i="11" s="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U145" i="11" s="1"/>
  <c r="V144" i="11"/>
  <c r="W144" i="11"/>
  <c r="X144" i="11"/>
  <c r="Y144" i="11"/>
  <c r="Z144" i="11"/>
  <c r="AA144" i="11"/>
  <c r="AB144" i="11"/>
  <c r="AC144" i="11"/>
  <c r="AD144" i="11"/>
  <c r="AE144" i="11"/>
  <c r="AF144" i="11"/>
  <c r="G144" i="11"/>
  <c r="I129" i="11"/>
  <c r="K129" i="11"/>
  <c r="K145" i="11" s="1"/>
  <c r="M129" i="11"/>
  <c r="M145" i="11" s="1"/>
  <c r="O129" i="11"/>
  <c r="Q129" i="11"/>
  <c r="Q145" i="11" s="1"/>
  <c r="S129" i="11"/>
  <c r="S145" i="11" s="1"/>
  <c r="U129" i="11"/>
  <c r="W129" i="11"/>
  <c r="W145" i="11" s="1"/>
  <c r="Y129" i="11"/>
  <c r="Y145" i="11" s="1"/>
  <c r="AA129" i="11"/>
  <c r="AC129" i="11"/>
  <c r="AC145" i="11" s="1"/>
  <c r="G129" i="11"/>
  <c r="G145" i="11" s="1"/>
  <c r="AE4" i="11"/>
  <c r="AF4" i="11" s="1"/>
  <c r="AD7" i="10"/>
  <c r="AD8" i="10"/>
  <c r="AD12" i="10"/>
  <c r="AD16" i="10"/>
  <c r="AD22" i="10"/>
  <c r="AD28" i="10"/>
  <c r="AD36" i="10"/>
  <c r="AD38" i="10"/>
  <c r="AD41" i="10"/>
  <c r="AD51" i="10"/>
  <c r="AD57" i="10"/>
  <c r="AD63" i="10"/>
  <c r="AD108" i="10"/>
  <c r="AD109" i="10"/>
  <c r="AD114" i="10"/>
  <c r="AD116" i="10"/>
  <c r="AD4" i="10"/>
  <c r="AB7" i="10"/>
  <c r="AB12" i="10"/>
  <c r="AB16" i="10"/>
  <c r="AB18" i="10"/>
  <c r="AB22" i="10"/>
  <c r="AB28" i="10"/>
  <c r="AB36" i="10"/>
  <c r="AB38" i="10"/>
  <c r="AB41" i="10"/>
  <c r="AB51" i="10"/>
  <c r="AB57" i="10"/>
  <c r="AB63" i="10"/>
  <c r="AB75" i="10"/>
  <c r="AB95" i="10"/>
  <c r="AB96" i="10"/>
  <c r="AB114" i="10"/>
  <c r="AB115" i="10"/>
  <c r="AB117" i="10"/>
  <c r="AB4" i="10"/>
  <c r="AB129" i="10" s="1"/>
  <c r="AB145" i="10" s="1"/>
  <c r="Z7" i="10"/>
  <c r="Z8" i="10"/>
  <c r="Z12" i="10"/>
  <c r="Z16" i="10"/>
  <c r="Z22" i="10"/>
  <c r="Z129" i="10" s="1"/>
  <c r="Z145" i="10" s="1"/>
  <c r="Z28" i="10"/>
  <c r="Z36" i="10"/>
  <c r="Z38" i="10"/>
  <c r="Z41" i="10"/>
  <c r="Z51" i="10"/>
  <c r="Z57" i="10"/>
  <c r="Z75" i="10"/>
  <c r="Z114" i="10"/>
  <c r="Z117" i="10"/>
  <c r="Z4" i="10"/>
  <c r="X7" i="10"/>
  <c r="X12" i="10"/>
  <c r="X16" i="10"/>
  <c r="X22" i="10"/>
  <c r="X36" i="10"/>
  <c r="X39" i="10"/>
  <c r="X41" i="10"/>
  <c r="X129" i="10" s="1"/>
  <c r="X145" i="10" s="1"/>
  <c r="X51" i="10"/>
  <c r="X57" i="10"/>
  <c r="X63" i="10"/>
  <c r="X75" i="10"/>
  <c r="X96" i="10"/>
  <c r="X114" i="10"/>
  <c r="X115" i="10"/>
  <c r="X4" i="10"/>
  <c r="V12" i="10"/>
  <c r="V16" i="10"/>
  <c r="V22" i="10"/>
  <c r="V129" i="10" s="1"/>
  <c r="V145" i="10" s="1"/>
  <c r="V28" i="10"/>
  <c r="V36" i="10"/>
  <c r="V41" i="10"/>
  <c r="V51" i="10"/>
  <c r="V57" i="10"/>
  <c r="V75" i="10"/>
  <c r="V114" i="10"/>
  <c r="V115" i="10"/>
  <c r="V116" i="10"/>
  <c r="V117" i="10"/>
  <c r="V4" i="10"/>
  <c r="T7" i="10"/>
  <c r="T12" i="10"/>
  <c r="T16" i="10"/>
  <c r="T22" i="10"/>
  <c r="T28" i="10"/>
  <c r="T36" i="10"/>
  <c r="T41" i="10"/>
  <c r="T51" i="10"/>
  <c r="T57" i="10"/>
  <c r="T63" i="10"/>
  <c r="T95" i="10"/>
  <c r="T96" i="10"/>
  <c r="T108" i="10"/>
  <c r="T114" i="10"/>
  <c r="T115" i="10"/>
  <c r="T4" i="10"/>
  <c r="R12" i="10"/>
  <c r="R16" i="10"/>
  <c r="R22" i="10"/>
  <c r="R28" i="10"/>
  <c r="R36" i="10"/>
  <c r="R41" i="10"/>
  <c r="R51" i="10"/>
  <c r="R57" i="10"/>
  <c r="R63" i="10"/>
  <c r="R96" i="10"/>
  <c r="R108" i="10"/>
  <c r="R109" i="10"/>
  <c r="R114" i="10"/>
  <c r="R4" i="10"/>
  <c r="P7" i="10"/>
  <c r="P8" i="10"/>
  <c r="P12" i="10"/>
  <c r="P16" i="10"/>
  <c r="P18" i="10"/>
  <c r="P28" i="10"/>
  <c r="P31" i="10"/>
  <c r="P36" i="10"/>
  <c r="P41" i="10"/>
  <c r="P51" i="10"/>
  <c r="P57" i="10"/>
  <c r="P63" i="10"/>
  <c r="P75" i="10"/>
  <c r="P95" i="10"/>
  <c r="P96" i="10"/>
  <c r="P114" i="10"/>
  <c r="P115" i="10"/>
  <c r="P116" i="10"/>
  <c r="P117" i="10"/>
  <c r="P119" i="10"/>
  <c r="P4" i="10"/>
  <c r="N12" i="10"/>
  <c r="N16" i="10"/>
  <c r="N22" i="10"/>
  <c r="N129" i="10" s="1"/>
  <c r="N145" i="10" s="1"/>
  <c r="N28" i="10"/>
  <c r="N36" i="10"/>
  <c r="N41" i="10"/>
  <c r="N51" i="10"/>
  <c r="N57" i="10"/>
  <c r="N63" i="10"/>
  <c r="N75" i="10"/>
  <c r="N95" i="10"/>
  <c r="N96" i="10"/>
  <c r="N114" i="10"/>
  <c r="N115" i="10"/>
  <c r="N116" i="10"/>
  <c r="N4" i="10"/>
  <c r="L12" i="10"/>
  <c r="L16" i="10"/>
  <c r="L28" i="10"/>
  <c r="L36" i="10"/>
  <c r="L41" i="10"/>
  <c r="L51" i="10"/>
  <c r="L57" i="10"/>
  <c r="L63" i="10"/>
  <c r="L64" i="10"/>
  <c r="L95" i="10"/>
  <c r="L109" i="10"/>
  <c r="L114" i="10"/>
  <c r="L115" i="10"/>
  <c r="L116" i="10"/>
  <c r="L117" i="10"/>
  <c r="L4" i="10"/>
  <c r="J7" i="10"/>
  <c r="J8" i="10"/>
  <c r="J12" i="10"/>
  <c r="J16" i="10"/>
  <c r="J18" i="10"/>
  <c r="J22" i="10"/>
  <c r="J28" i="10"/>
  <c r="J36" i="10"/>
  <c r="J41" i="10"/>
  <c r="J51" i="10"/>
  <c r="J57" i="10"/>
  <c r="J63" i="10"/>
  <c r="J114" i="10"/>
  <c r="J115" i="10"/>
  <c r="J116" i="10"/>
  <c r="J117" i="10"/>
  <c r="J4" i="10"/>
  <c r="H12" i="10"/>
  <c r="H18" i="10"/>
  <c r="H22" i="10"/>
  <c r="H28" i="10"/>
  <c r="H36" i="10"/>
  <c r="H41" i="10"/>
  <c r="H51" i="10"/>
  <c r="H57" i="10"/>
  <c r="H63" i="10"/>
  <c r="H75" i="10"/>
  <c r="H109" i="10"/>
  <c r="H114" i="10"/>
  <c r="H115" i="10"/>
  <c r="H116" i="10"/>
  <c r="H117" i="10"/>
  <c r="H4" i="10"/>
  <c r="H129" i="10" s="1"/>
  <c r="H145" i="10" s="1"/>
  <c r="AF28" i="10"/>
  <c r="AF38" i="10"/>
  <c r="AF51" i="10"/>
  <c r="AF64" i="10"/>
  <c r="AE96" i="10"/>
  <c r="AF96" i="10" s="1"/>
  <c r="G129" i="10"/>
  <c r="G145" i="10" s="1"/>
  <c r="O145" i="10"/>
  <c r="Y145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G144" i="10"/>
  <c r="I129" i="10"/>
  <c r="I145" i="10" s="1"/>
  <c r="K129" i="10"/>
  <c r="K145" i="10" s="1"/>
  <c r="M129" i="10"/>
  <c r="M145" i="10" s="1"/>
  <c r="O129" i="10"/>
  <c r="Q129" i="10"/>
  <c r="S129" i="10"/>
  <c r="S145" i="10" s="1"/>
  <c r="U129" i="10"/>
  <c r="U145" i="10" s="1"/>
  <c r="W129" i="10"/>
  <c r="W145" i="10" s="1"/>
  <c r="Y129" i="10"/>
  <c r="AA129" i="10"/>
  <c r="AA145" i="10" s="1"/>
  <c r="AC129" i="10"/>
  <c r="AC145" i="10" s="1"/>
  <c r="AE7" i="10"/>
  <c r="AF7" i="10" s="1"/>
  <c r="AE8" i="10"/>
  <c r="AF8" i="10" s="1"/>
  <c r="AE12" i="10"/>
  <c r="AF12" i="10" s="1"/>
  <c r="AE16" i="10"/>
  <c r="AF16" i="10" s="1"/>
  <c r="AE18" i="10"/>
  <c r="AF18" i="10" s="1"/>
  <c r="AE22" i="10"/>
  <c r="AF22" i="10" s="1"/>
  <c r="AE28" i="10"/>
  <c r="AE31" i="10"/>
  <c r="AF31" i="10" s="1"/>
  <c r="AE36" i="10"/>
  <c r="AF36" i="10" s="1"/>
  <c r="AE38" i="10"/>
  <c r="AE39" i="10"/>
  <c r="AF39" i="10" s="1"/>
  <c r="AE41" i="10"/>
  <c r="AF41" i="10" s="1"/>
  <c r="AE51" i="10"/>
  <c r="AE57" i="10"/>
  <c r="AF57" i="10" s="1"/>
  <c r="AE63" i="10"/>
  <c r="AF63" i="10" s="1"/>
  <c r="AE64" i="10"/>
  <c r="AE75" i="10"/>
  <c r="AF75" i="10" s="1"/>
  <c r="AE95" i="10"/>
  <c r="AF95" i="10" s="1"/>
  <c r="AE108" i="10"/>
  <c r="AF108" i="10" s="1"/>
  <c r="AE109" i="10"/>
  <c r="AF109" i="10" s="1"/>
  <c r="AE114" i="10"/>
  <c r="AF114" i="10" s="1"/>
  <c r="AE115" i="10"/>
  <c r="AF115" i="10" s="1"/>
  <c r="AE116" i="10"/>
  <c r="AF116" i="10" s="1"/>
  <c r="AE117" i="10"/>
  <c r="AF117" i="10" s="1"/>
  <c r="AE119" i="10"/>
  <c r="AF119" i="10" s="1"/>
  <c r="AE4" i="10"/>
  <c r="AF4" i="10" s="1"/>
  <c r="AE95" i="9"/>
  <c r="AF95" i="9" s="1"/>
  <c r="AF8" i="9"/>
  <c r="AF109" i="9"/>
  <c r="AF116" i="9"/>
  <c r="AD7" i="9"/>
  <c r="AD129" i="9" s="1"/>
  <c r="AD145" i="9" s="1"/>
  <c r="AD8" i="9"/>
  <c r="AD12" i="9"/>
  <c r="AD16" i="9"/>
  <c r="AD18" i="9"/>
  <c r="AD22" i="9"/>
  <c r="AD28" i="9"/>
  <c r="AD36" i="9"/>
  <c r="AD51" i="9"/>
  <c r="AD57" i="9"/>
  <c r="AD63" i="9"/>
  <c r="AD75" i="9"/>
  <c r="AD108" i="9"/>
  <c r="AD114" i="9"/>
  <c r="AD115" i="9"/>
  <c r="AD4" i="9"/>
  <c r="AB12" i="9"/>
  <c r="AB16" i="9"/>
  <c r="AB22" i="9"/>
  <c r="AB28" i="9"/>
  <c r="AB36" i="9"/>
  <c r="AB41" i="9"/>
  <c r="AB51" i="9"/>
  <c r="AB57" i="9"/>
  <c r="AB108" i="9"/>
  <c r="AB109" i="9"/>
  <c r="AB114" i="9"/>
  <c r="AB117" i="9"/>
  <c r="AB4" i="9"/>
  <c r="AB129" i="9" s="1"/>
  <c r="AB145" i="9" s="1"/>
  <c r="Z7" i="9"/>
  <c r="Z8" i="9"/>
  <c r="Z12" i="9"/>
  <c r="Z16" i="9"/>
  <c r="Z22" i="9"/>
  <c r="Z28" i="9"/>
  <c r="Z36" i="9"/>
  <c r="Z41" i="9"/>
  <c r="Z51" i="9"/>
  <c r="Z57" i="9"/>
  <c r="Z63" i="9"/>
  <c r="Z75" i="9"/>
  <c r="Z87" i="9"/>
  <c r="Z108" i="9"/>
  <c r="Z114" i="9"/>
  <c r="Z115" i="9"/>
  <c r="Z116" i="9"/>
  <c r="Z117" i="9"/>
  <c r="Z4" i="9"/>
  <c r="X7" i="9"/>
  <c r="X12" i="9"/>
  <c r="X16" i="9"/>
  <c r="X18" i="9"/>
  <c r="X22" i="9"/>
  <c r="X28" i="9"/>
  <c r="X36" i="9"/>
  <c r="X41" i="9"/>
  <c r="X51" i="9"/>
  <c r="X57" i="9"/>
  <c r="X75" i="9"/>
  <c r="X114" i="9"/>
  <c r="X117" i="9"/>
  <c r="X4" i="9"/>
  <c r="X129" i="9" s="1"/>
  <c r="X145" i="9" s="1"/>
  <c r="V7" i="9"/>
  <c r="V8" i="9"/>
  <c r="V12" i="9"/>
  <c r="V16" i="9"/>
  <c r="V18" i="9"/>
  <c r="V22" i="9"/>
  <c r="V28" i="9"/>
  <c r="V36" i="9"/>
  <c r="V41" i="9"/>
  <c r="V51" i="9"/>
  <c r="V57" i="9"/>
  <c r="V63" i="9"/>
  <c r="V114" i="9"/>
  <c r="V115" i="9"/>
  <c r="V116" i="9"/>
  <c r="V4" i="9"/>
  <c r="T7" i="9"/>
  <c r="T8" i="9"/>
  <c r="T12" i="9"/>
  <c r="T28" i="9"/>
  <c r="T36" i="9"/>
  <c r="T41" i="9"/>
  <c r="T51" i="9"/>
  <c r="T57" i="9"/>
  <c r="T75" i="9"/>
  <c r="T114" i="9"/>
  <c r="T115" i="9"/>
  <c r="T4" i="9"/>
  <c r="R12" i="9"/>
  <c r="R18" i="9"/>
  <c r="R22" i="9"/>
  <c r="R28" i="9"/>
  <c r="R36" i="9"/>
  <c r="R41" i="9"/>
  <c r="R51" i="9"/>
  <c r="R57" i="9"/>
  <c r="R63" i="9"/>
  <c r="R75" i="9"/>
  <c r="R95" i="9"/>
  <c r="R108" i="9"/>
  <c r="R114" i="9"/>
  <c r="R115" i="9"/>
  <c r="R116" i="9"/>
  <c r="R117" i="9"/>
  <c r="R4" i="9"/>
  <c r="R129" i="9" s="1"/>
  <c r="R145" i="9" s="1"/>
  <c r="P7" i="9"/>
  <c r="P8" i="9"/>
  <c r="P12" i="9"/>
  <c r="P16" i="9"/>
  <c r="P129" i="9" s="1"/>
  <c r="P145" i="9" s="1"/>
  <c r="P18" i="9"/>
  <c r="P22" i="9"/>
  <c r="P28" i="9"/>
  <c r="P36" i="9"/>
  <c r="P41" i="9"/>
  <c r="P51" i="9"/>
  <c r="P57" i="9"/>
  <c r="P63" i="9"/>
  <c r="P75" i="9"/>
  <c r="P77" i="9"/>
  <c r="P114" i="9"/>
  <c r="P115" i="9"/>
  <c r="P116" i="9"/>
  <c r="P117" i="9"/>
  <c r="P4" i="9"/>
  <c r="N7" i="9"/>
  <c r="N8" i="9"/>
  <c r="N129" i="9" s="1"/>
  <c r="N145" i="9" s="1"/>
  <c r="N12" i="9"/>
  <c r="N16" i="9"/>
  <c r="N18" i="9"/>
  <c r="N22" i="9"/>
  <c r="N28" i="9"/>
  <c r="N36" i="9"/>
  <c r="N41" i="9"/>
  <c r="N51" i="9"/>
  <c r="N57" i="9"/>
  <c r="N63" i="9"/>
  <c r="N114" i="9"/>
  <c r="N115" i="9"/>
  <c r="N116" i="9"/>
  <c r="N117" i="9"/>
  <c r="N4" i="9"/>
  <c r="L7" i="9"/>
  <c r="L8" i="9"/>
  <c r="L12" i="9"/>
  <c r="L16" i="9"/>
  <c r="L18" i="9"/>
  <c r="L28" i="9"/>
  <c r="L36" i="9"/>
  <c r="L41" i="9"/>
  <c r="L51" i="9"/>
  <c r="L57" i="9"/>
  <c r="L63" i="9"/>
  <c r="L75" i="9"/>
  <c r="L77" i="9"/>
  <c r="L114" i="9"/>
  <c r="L115" i="9"/>
  <c r="L4" i="9"/>
  <c r="J7" i="9"/>
  <c r="J8" i="9"/>
  <c r="J12" i="9"/>
  <c r="J16" i="9"/>
  <c r="J129" i="9" s="1"/>
  <c r="J145" i="9" s="1"/>
  <c r="J18" i="9"/>
  <c r="J22" i="9"/>
  <c r="J28" i="9"/>
  <c r="J36" i="9"/>
  <c r="J41" i="9"/>
  <c r="J51" i="9"/>
  <c r="J57" i="9"/>
  <c r="J63" i="9"/>
  <c r="J75" i="9"/>
  <c r="J114" i="9"/>
  <c r="J115" i="9"/>
  <c r="J116" i="9"/>
  <c r="J117" i="9"/>
  <c r="J4" i="9"/>
  <c r="AE12" i="9"/>
  <c r="AF12" i="9" s="1"/>
  <c r="AE7" i="9"/>
  <c r="AF7" i="9" s="1"/>
  <c r="AE8" i="9"/>
  <c r="AE16" i="9"/>
  <c r="AF16" i="9" s="1"/>
  <c r="AE18" i="9"/>
  <c r="AF18" i="9" s="1"/>
  <c r="AE22" i="9"/>
  <c r="AF22" i="9" s="1"/>
  <c r="AE28" i="9"/>
  <c r="AF28" i="9" s="1"/>
  <c r="AE31" i="9"/>
  <c r="AF31" i="9" s="1"/>
  <c r="AE36" i="9"/>
  <c r="AF36" i="9" s="1"/>
  <c r="AE41" i="9"/>
  <c r="AF41" i="9" s="1"/>
  <c r="AE51" i="9"/>
  <c r="AF51" i="9" s="1"/>
  <c r="AE57" i="9"/>
  <c r="AF57" i="9" s="1"/>
  <c r="AE63" i="9"/>
  <c r="AF63" i="9" s="1"/>
  <c r="AE75" i="9"/>
  <c r="AF75" i="9" s="1"/>
  <c r="AE77" i="9"/>
  <c r="AF77" i="9" s="1"/>
  <c r="AE87" i="9"/>
  <c r="AF87" i="9" s="1"/>
  <c r="AE108" i="9"/>
  <c r="AF108" i="9" s="1"/>
  <c r="AE109" i="9"/>
  <c r="AE114" i="9"/>
  <c r="AF114" i="9" s="1"/>
  <c r="AE115" i="9"/>
  <c r="AF115" i="9" s="1"/>
  <c r="AE116" i="9"/>
  <c r="AE117" i="9"/>
  <c r="AF117" i="9" s="1"/>
  <c r="AE4" i="9"/>
  <c r="AF4" i="9" s="1"/>
  <c r="H7" i="9"/>
  <c r="H12" i="9"/>
  <c r="H16" i="9"/>
  <c r="H18" i="9"/>
  <c r="H22" i="9"/>
  <c r="H28" i="9"/>
  <c r="H36" i="9"/>
  <c r="H41" i="9"/>
  <c r="H51" i="9"/>
  <c r="H63" i="9"/>
  <c r="H114" i="9"/>
  <c r="H115" i="9"/>
  <c r="H116" i="9"/>
  <c r="H117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G144" i="9"/>
  <c r="G145" i="9" s="1"/>
  <c r="W129" i="9"/>
  <c r="W145" i="9" s="1"/>
  <c r="Y129" i="9"/>
  <c r="AA129" i="9"/>
  <c r="AC129" i="9"/>
  <c r="AC145" i="9" s="1"/>
  <c r="I129" i="9"/>
  <c r="K129" i="9"/>
  <c r="K145" i="9" s="1"/>
  <c r="L129" i="9"/>
  <c r="L145" i="9" s="1"/>
  <c r="M129" i="9"/>
  <c r="O129" i="9"/>
  <c r="Q129" i="9"/>
  <c r="Q145" i="9" s="1"/>
  <c r="S129" i="9"/>
  <c r="S145" i="9" s="1"/>
  <c r="U129" i="9"/>
  <c r="U145" i="9" s="1"/>
  <c r="G129" i="9"/>
  <c r="AF161" i="12" l="1"/>
  <c r="J16" i="4"/>
  <c r="N34" i="4"/>
  <c r="M34" i="4"/>
  <c r="H142" i="12"/>
  <c r="H161" i="12" s="1"/>
  <c r="J142" i="12"/>
  <c r="J161" i="12" s="1"/>
  <c r="L142" i="12"/>
  <c r="L161" i="12" s="1"/>
  <c r="Z129" i="9"/>
  <c r="Z145" i="9" s="1"/>
  <c r="Q145" i="10"/>
  <c r="AE129" i="11"/>
  <c r="AE145" i="11" s="1"/>
  <c r="AF7" i="11"/>
  <c r="O145" i="9"/>
  <c r="AA145" i="9"/>
  <c r="J129" i="10"/>
  <c r="J145" i="10" s="1"/>
  <c r="AD129" i="10"/>
  <c r="AD145" i="10" s="1"/>
  <c r="AE7" i="17"/>
  <c r="T129" i="9"/>
  <c r="T145" i="9" s="1"/>
  <c r="M145" i="9"/>
  <c r="Y145" i="9"/>
  <c r="H129" i="9"/>
  <c r="H145" i="9" s="1"/>
  <c r="P129" i="10"/>
  <c r="P145" i="10" s="1"/>
  <c r="I145" i="9"/>
  <c r="V129" i="9"/>
  <c r="V145" i="9" s="1"/>
  <c r="R129" i="10"/>
  <c r="R145" i="10" s="1"/>
  <c r="AF129" i="10"/>
  <c r="AF145" i="10" s="1"/>
  <c r="AF129" i="11"/>
  <c r="AF145" i="11" s="1"/>
  <c r="T129" i="10"/>
  <c r="T145" i="10" s="1"/>
  <c r="L129" i="10"/>
  <c r="L145" i="10" s="1"/>
  <c r="AE129" i="10"/>
  <c r="AE145" i="10" s="1"/>
  <c r="AF129" i="9"/>
  <c r="AF145" i="9" s="1"/>
  <c r="AE129" i="9"/>
  <c r="AE145" i="9" s="1"/>
  <c r="AE139" i="8"/>
  <c r="AE138" i="8"/>
  <c r="AE136" i="8"/>
  <c r="AE135" i="8"/>
  <c r="AE134" i="8"/>
  <c r="V143" i="8"/>
  <c r="V144" i="8"/>
  <c r="V145" i="8"/>
  <c r="V146" i="8"/>
  <c r="V147" i="8"/>
  <c r="V148" i="8"/>
  <c r="V151" i="8"/>
  <c r="V152" i="8"/>
  <c r="V153" i="8"/>
  <c r="V154" i="8"/>
  <c r="V155" i="8"/>
  <c r="V142" i="8"/>
  <c r="V139" i="8"/>
  <c r="V96" i="8"/>
  <c r="AE94" i="8" s="1"/>
  <c r="V97" i="8"/>
  <c r="V98" i="8"/>
  <c r="V99" i="8"/>
  <c r="V100" i="8"/>
  <c r="V101" i="8"/>
  <c r="V102" i="8"/>
  <c r="V103" i="8"/>
  <c r="V104" i="8"/>
  <c r="V106" i="8"/>
  <c r="V107" i="8"/>
  <c r="V108" i="8"/>
  <c r="V110" i="8"/>
  <c r="V111" i="8"/>
  <c r="V112" i="8"/>
  <c r="V113" i="8"/>
  <c r="V114" i="8"/>
  <c r="V115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95" i="8"/>
  <c r="V94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5" i="8"/>
  <c r="V86" i="8"/>
  <c r="V87" i="8"/>
  <c r="V88" i="8"/>
  <c r="V89" i="8"/>
  <c r="V90" i="8"/>
  <c r="V91" i="8"/>
  <c r="V92" i="8"/>
  <c r="V93" i="8"/>
  <c r="V65" i="8"/>
  <c r="V63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4" i="8"/>
  <c r="V4" i="8"/>
  <c r="T143" i="8"/>
  <c r="T144" i="8"/>
  <c r="T145" i="8"/>
  <c r="T146" i="8"/>
  <c r="T147" i="8"/>
  <c r="T148" i="8"/>
  <c r="T151" i="8"/>
  <c r="T152" i="8"/>
  <c r="T153" i="8"/>
  <c r="T154" i="8"/>
  <c r="T155" i="8"/>
  <c r="T142" i="8"/>
  <c r="T137" i="8"/>
  <c r="T138" i="8"/>
  <c r="T136" i="8"/>
  <c r="T135" i="8"/>
  <c r="T133" i="8"/>
  <c r="T134" i="8"/>
  <c r="T132" i="8"/>
  <c r="T113" i="8"/>
  <c r="T114" i="8"/>
  <c r="T115" i="8"/>
  <c r="T125" i="8"/>
  <c r="T126" i="8"/>
  <c r="T127" i="8"/>
  <c r="T128" i="8"/>
  <c r="T129" i="8"/>
  <c r="T130" i="8"/>
  <c r="T131" i="8"/>
  <c r="T112" i="8"/>
  <c r="T107" i="8"/>
  <c r="T108" i="8"/>
  <c r="T110" i="8"/>
  <c r="T111" i="8"/>
  <c r="T106" i="8"/>
  <c r="T102" i="8"/>
  <c r="T103" i="8"/>
  <c r="T104" i="8"/>
  <c r="T101" i="8"/>
  <c r="T100" i="8"/>
  <c r="T99" i="8"/>
  <c r="T96" i="8"/>
  <c r="T97" i="8"/>
  <c r="T98" i="8"/>
  <c r="T94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5" i="8"/>
  <c r="T86" i="8"/>
  <c r="T87" i="8"/>
  <c r="T88" i="8"/>
  <c r="T89" i="8"/>
  <c r="T90" i="8"/>
  <c r="T91" i="8"/>
  <c r="T92" i="8"/>
  <c r="T93" i="8"/>
  <c r="T95" i="8"/>
  <c r="T65" i="8"/>
  <c r="T6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4" i="8"/>
  <c r="R143" i="8"/>
  <c r="R144" i="8"/>
  <c r="R145" i="8"/>
  <c r="R146" i="8"/>
  <c r="R147" i="8"/>
  <c r="R148" i="8"/>
  <c r="R151" i="8"/>
  <c r="R152" i="8"/>
  <c r="R153" i="8"/>
  <c r="R154" i="8"/>
  <c r="R155" i="8"/>
  <c r="R142" i="8"/>
  <c r="R137" i="8"/>
  <c r="R138" i="8"/>
  <c r="R136" i="8"/>
  <c r="R135" i="8"/>
  <c r="R134" i="8"/>
  <c r="R113" i="8"/>
  <c r="R114" i="8"/>
  <c r="R115" i="8"/>
  <c r="R125" i="8"/>
  <c r="R126" i="8"/>
  <c r="R127" i="8"/>
  <c r="R128" i="8"/>
  <c r="R129" i="8"/>
  <c r="R130" i="8"/>
  <c r="R131" i="8"/>
  <c r="R132" i="8"/>
  <c r="R133" i="8"/>
  <c r="R112" i="8"/>
  <c r="R111" i="8"/>
  <c r="R107" i="8"/>
  <c r="R108" i="8"/>
  <c r="R110" i="8"/>
  <c r="R106" i="8"/>
  <c r="R102" i="8"/>
  <c r="R103" i="8"/>
  <c r="R104" i="8"/>
  <c r="R101" i="8"/>
  <c r="R100" i="8"/>
  <c r="R99" i="8"/>
  <c r="R96" i="8"/>
  <c r="R97" i="8"/>
  <c r="R98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5" i="8"/>
  <c r="R86" i="8"/>
  <c r="R87" i="8"/>
  <c r="R88" i="8"/>
  <c r="R89" i="8"/>
  <c r="R90" i="8"/>
  <c r="R91" i="8"/>
  <c r="R92" i="8"/>
  <c r="R93" i="8"/>
  <c r="R94" i="8"/>
  <c r="R95" i="8"/>
  <c r="R65" i="8"/>
  <c r="R63" i="8"/>
  <c r="R6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4" i="8"/>
  <c r="N143" i="8"/>
  <c r="N144" i="8"/>
  <c r="N145" i="8"/>
  <c r="N146" i="8"/>
  <c r="N147" i="8"/>
  <c r="N148" i="8"/>
  <c r="N151" i="8"/>
  <c r="N152" i="8"/>
  <c r="N153" i="8"/>
  <c r="N154" i="8"/>
  <c r="N155" i="8"/>
  <c r="N142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6" i="8"/>
  <c r="N107" i="8"/>
  <c r="N108" i="8"/>
  <c r="N110" i="8"/>
  <c r="N111" i="8"/>
  <c r="N112" i="8"/>
  <c r="N113" i="8"/>
  <c r="N114" i="8"/>
  <c r="N115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6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4" i="8"/>
  <c r="L143" i="8"/>
  <c r="L144" i="8"/>
  <c r="L145" i="8"/>
  <c r="L146" i="8"/>
  <c r="L147" i="8"/>
  <c r="L148" i="8"/>
  <c r="L151" i="8"/>
  <c r="L152" i="8"/>
  <c r="L153" i="8"/>
  <c r="L154" i="8"/>
  <c r="L155" i="8"/>
  <c r="L142" i="8"/>
  <c r="L100" i="8"/>
  <c r="L101" i="8"/>
  <c r="L102" i="8"/>
  <c r="L103" i="8"/>
  <c r="L104" i="8"/>
  <c r="L106" i="8"/>
  <c r="L107" i="8"/>
  <c r="L108" i="8"/>
  <c r="L110" i="8"/>
  <c r="L111" i="8"/>
  <c r="L112" i="8"/>
  <c r="L113" i="8"/>
  <c r="L114" i="8"/>
  <c r="L115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99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5" i="8"/>
  <c r="L86" i="8"/>
  <c r="L87" i="8"/>
  <c r="L88" i="8"/>
  <c r="L89" i="8"/>
  <c r="L90" i="8"/>
  <c r="L91" i="8"/>
  <c r="L92" i="8"/>
  <c r="L93" i="8"/>
  <c r="L94" i="8"/>
  <c r="L95" i="8"/>
  <c r="L66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4" i="8"/>
  <c r="J143" i="8"/>
  <c r="J144" i="8"/>
  <c r="J145" i="8"/>
  <c r="J146" i="8"/>
  <c r="J147" i="8"/>
  <c r="J148" i="8"/>
  <c r="J151" i="8"/>
  <c r="J152" i="8"/>
  <c r="J153" i="8"/>
  <c r="J154" i="8"/>
  <c r="J155" i="8"/>
  <c r="J142" i="8"/>
  <c r="J137" i="8"/>
  <c r="J135" i="8"/>
  <c r="J114" i="8"/>
  <c r="J115" i="8"/>
  <c r="J125" i="8"/>
  <c r="J126" i="8"/>
  <c r="J127" i="8"/>
  <c r="J128" i="8"/>
  <c r="J129" i="8"/>
  <c r="J130" i="8"/>
  <c r="J131" i="8"/>
  <c r="J132" i="8"/>
  <c r="J133" i="8"/>
  <c r="J113" i="8"/>
  <c r="J111" i="8"/>
  <c r="J106" i="8"/>
  <c r="J101" i="8"/>
  <c r="J99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5" i="8"/>
  <c r="J86" i="8"/>
  <c r="J87" i="8"/>
  <c r="J88" i="8"/>
  <c r="J89" i="8"/>
  <c r="J90" i="8"/>
  <c r="J91" i="8"/>
  <c r="J92" i="8"/>
  <c r="J93" i="8"/>
  <c r="J94" i="8"/>
  <c r="J95" i="8"/>
  <c r="J66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4" i="8"/>
  <c r="H143" i="8"/>
  <c r="H144" i="8"/>
  <c r="H145" i="8"/>
  <c r="H146" i="8"/>
  <c r="H147" i="8"/>
  <c r="H148" i="8"/>
  <c r="H151" i="8"/>
  <c r="H152" i="8"/>
  <c r="H153" i="8"/>
  <c r="H154" i="8"/>
  <c r="H155" i="8"/>
  <c r="H142" i="8"/>
  <c r="H102" i="8"/>
  <c r="H103" i="8"/>
  <c r="H104" i="8"/>
  <c r="H106" i="8"/>
  <c r="H107" i="8"/>
  <c r="H108" i="8"/>
  <c r="H110" i="8"/>
  <c r="H111" i="8"/>
  <c r="H112" i="8"/>
  <c r="H113" i="8"/>
  <c r="H114" i="8"/>
  <c r="H115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01" i="8"/>
  <c r="H99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5" i="8"/>
  <c r="H86" i="8"/>
  <c r="H87" i="8"/>
  <c r="H88" i="8"/>
  <c r="H89" i="8"/>
  <c r="H90" i="8"/>
  <c r="H91" i="8"/>
  <c r="H92" i="8"/>
  <c r="H93" i="8"/>
  <c r="H94" i="8"/>
  <c r="H95" i="8"/>
  <c r="H66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4" i="8"/>
  <c r="S157" i="8"/>
  <c r="M157" i="8"/>
  <c r="K157" i="8"/>
  <c r="I157" i="8"/>
  <c r="G157" i="8"/>
  <c r="AE155" i="8"/>
  <c r="AE154" i="8"/>
  <c r="AE153" i="8"/>
  <c r="AE152" i="8"/>
  <c r="AE151" i="8"/>
  <c r="AE148" i="8"/>
  <c r="AE147" i="8"/>
  <c r="AE146" i="8"/>
  <c r="AE145" i="8"/>
  <c r="AE144" i="8"/>
  <c r="AE143" i="8"/>
  <c r="AE142" i="8"/>
  <c r="S140" i="8"/>
  <c r="I10" i="4" s="1"/>
  <c r="M140" i="8"/>
  <c r="K140" i="8"/>
  <c r="I140" i="8"/>
  <c r="G140" i="8"/>
  <c r="J138" i="8"/>
  <c r="AE137" i="8"/>
  <c r="AE133" i="8"/>
  <c r="AE132" i="8"/>
  <c r="AE131" i="8"/>
  <c r="AE130" i="8"/>
  <c r="AE129" i="8"/>
  <c r="AE128" i="8"/>
  <c r="AE127" i="8"/>
  <c r="AE126" i="8"/>
  <c r="AE125" i="8"/>
  <c r="AE115" i="8"/>
  <c r="AE114" i="8"/>
  <c r="AE113" i="8"/>
  <c r="AE111" i="8"/>
  <c r="AE106" i="8"/>
  <c r="AE101" i="8"/>
  <c r="AE99" i="8"/>
  <c r="AE95" i="8"/>
  <c r="AE93" i="8"/>
  <c r="AE92" i="8"/>
  <c r="AE91" i="8"/>
  <c r="AE90" i="8"/>
  <c r="AE89" i="8"/>
  <c r="AE88" i="8"/>
  <c r="AE87" i="8"/>
  <c r="AE86" i="8"/>
  <c r="AE85" i="8"/>
  <c r="AE81" i="8"/>
  <c r="AE80" i="8"/>
  <c r="AE79" i="8"/>
  <c r="AE78" i="8"/>
  <c r="AE77" i="8"/>
  <c r="AE76" i="8"/>
  <c r="AE75" i="8"/>
  <c r="AE74" i="8"/>
  <c r="AE73" i="8"/>
  <c r="AE72" i="8"/>
  <c r="AE71" i="8"/>
  <c r="AE70" i="8"/>
  <c r="AE69" i="8"/>
  <c r="AE68" i="8"/>
  <c r="AE67" i="8"/>
  <c r="AE66" i="8"/>
  <c r="AE64" i="8"/>
  <c r="AE63" i="8"/>
  <c r="AE62" i="8"/>
  <c r="AE61" i="8"/>
  <c r="AE60" i="8"/>
  <c r="AE59" i="8"/>
  <c r="AE58" i="8"/>
  <c r="AE57" i="8"/>
  <c r="AE56" i="8"/>
  <c r="AE55" i="8"/>
  <c r="AE54" i="8"/>
  <c r="AE53" i="8"/>
  <c r="AE52" i="8"/>
  <c r="AE51" i="8"/>
  <c r="AE50" i="8"/>
  <c r="AE49" i="8"/>
  <c r="AE48" i="8"/>
  <c r="AE47" i="8"/>
  <c r="AE46" i="8"/>
  <c r="AE45" i="8"/>
  <c r="AE44" i="8"/>
  <c r="AE43" i="8"/>
  <c r="AE42" i="8"/>
  <c r="AE41" i="8"/>
  <c r="AE40" i="8"/>
  <c r="AE39" i="8"/>
  <c r="AE38" i="8"/>
  <c r="AE37" i="8"/>
  <c r="AE36" i="8"/>
  <c r="AE35" i="8"/>
  <c r="AE34" i="8"/>
  <c r="AE33" i="8"/>
  <c r="AE32" i="8"/>
  <c r="AE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10" i="8"/>
  <c r="AE9" i="8"/>
  <c r="AE8" i="8"/>
  <c r="AE7" i="8"/>
  <c r="AE6" i="8"/>
  <c r="AE5" i="8"/>
  <c r="AE4" i="8"/>
  <c r="AB144" i="7"/>
  <c r="AE137" i="7"/>
  <c r="AE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31" i="7"/>
  <c r="AC144" i="7" s="1"/>
  <c r="AC124" i="7"/>
  <c r="AE122" i="7"/>
  <c r="AC122" i="7"/>
  <c r="AE110" i="7"/>
  <c r="AE117" i="7"/>
  <c r="AE11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08" i="7"/>
  <c r="AC106" i="7"/>
  <c r="AC102" i="7"/>
  <c r="AC98" i="7"/>
  <c r="AE98" i="7"/>
  <c r="AE96" i="7"/>
  <c r="AC96" i="7"/>
  <c r="AE71" i="7"/>
  <c r="AE73" i="7"/>
  <c r="AE79" i="7"/>
  <c r="AE81" i="7"/>
  <c r="AE87" i="7"/>
  <c r="AE89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66" i="7"/>
  <c r="AE5" i="7"/>
  <c r="AE11" i="7"/>
  <c r="AE12" i="7"/>
  <c r="AE13" i="7"/>
  <c r="AE19" i="7"/>
  <c r="AE20" i="7"/>
  <c r="AE21" i="7"/>
  <c r="AE27" i="7"/>
  <c r="AE28" i="7"/>
  <c r="AE29" i="7"/>
  <c r="AE35" i="7"/>
  <c r="AE36" i="7"/>
  <c r="AE37" i="7"/>
  <c r="AE43" i="7"/>
  <c r="AE44" i="7"/>
  <c r="AE45" i="7"/>
  <c r="AE51" i="7"/>
  <c r="AE52" i="7"/>
  <c r="AE53" i="7"/>
  <c r="AE59" i="7"/>
  <c r="AE60" i="7"/>
  <c r="AE61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4" i="7"/>
  <c r="AA132" i="7"/>
  <c r="AA133" i="7"/>
  <c r="AA134" i="7"/>
  <c r="AA135" i="7"/>
  <c r="AA136" i="7"/>
  <c r="AA137" i="7"/>
  <c r="AA138" i="7"/>
  <c r="AA139" i="7"/>
  <c r="AA140" i="7"/>
  <c r="AA141" i="7"/>
  <c r="AA142" i="7"/>
  <c r="AA131" i="7"/>
  <c r="AA124" i="7"/>
  <c r="AA122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08" i="7"/>
  <c r="AA106" i="7"/>
  <c r="AA102" i="7"/>
  <c r="AA98" i="7"/>
  <c r="AA9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66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4" i="7"/>
  <c r="Y132" i="7"/>
  <c r="Y133" i="7"/>
  <c r="Y134" i="7"/>
  <c r="Y135" i="7"/>
  <c r="Y136" i="7"/>
  <c r="Y137" i="7"/>
  <c r="Y138" i="7"/>
  <c r="Y139" i="7"/>
  <c r="Y140" i="7"/>
  <c r="Y141" i="7"/>
  <c r="Y142" i="7"/>
  <c r="Y131" i="7"/>
  <c r="Y124" i="7"/>
  <c r="Y122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08" i="7"/>
  <c r="Y106" i="7"/>
  <c r="Y102" i="7"/>
  <c r="Y98" i="7"/>
  <c r="Y9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66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4" i="7"/>
  <c r="W132" i="7"/>
  <c r="W133" i="7"/>
  <c r="W134" i="7"/>
  <c r="W135" i="7"/>
  <c r="W136" i="7"/>
  <c r="W137" i="7"/>
  <c r="W138" i="7"/>
  <c r="W139" i="7"/>
  <c r="W140" i="7"/>
  <c r="W141" i="7"/>
  <c r="W142" i="7"/>
  <c r="W131" i="7"/>
  <c r="W124" i="7"/>
  <c r="W122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08" i="7"/>
  <c r="W106" i="7"/>
  <c r="W102" i="7"/>
  <c r="W98" i="7"/>
  <c r="W97" i="7"/>
  <c r="W9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66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4" i="7"/>
  <c r="U132" i="7"/>
  <c r="U133" i="7"/>
  <c r="U134" i="7"/>
  <c r="U135" i="7"/>
  <c r="U136" i="7"/>
  <c r="U137" i="7"/>
  <c r="U138" i="7"/>
  <c r="U139" i="7"/>
  <c r="U140" i="7"/>
  <c r="U141" i="7"/>
  <c r="U142" i="7"/>
  <c r="U131" i="7"/>
  <c r="U124" i="7"/>
  <c r="U122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08" i="7"/>
  <c r="U106" i="7"/>
  <c r="U102" i="7"/>
  <c r="U98" i="7"/>
  <c r="U9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66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4" i="7"/>
  <c r="S132" i="7"/>
  <c r="S133" i="7"/>
  <c r="S134" i="7"/>
  <c r="S135" i="7"/>
  <c r="S136" i="7"/>
  <c r="S137" i="7"/>
  <c r="S138" i="7"/>
  <c r="S139" i="7"/>
  <c r="S140" i="7"/>
  <c r="S141" i="7"/>
  <c r="S142" i="7"/>
  <c r="S131" i="7"/>
  <c r="S124" i="7"/>
  <c r="S122" i="7"/>
  <c r="S110" i="7"/>
  <c r="S111" i="7"/>
  <c r="S112" i="7"/>
  <c r="S113" i="7"/>
  <c r="S114" i="7"/>
  <c r="S115" i="7"/>
  <c r="S116" i="7"/>
  <c r="S117" i="7"/>
  <c r="S118" i="7"/>
  <c r="S119" i="7"/>
  <c r="S120" i="7"/>
  <c r="S109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9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66" i="7"/>
  <c r="S5" i="7"/>
  <c r="S6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4" i="7"/>
  <c r="Q132" i="7"/>
  <c r="Q133" i="7"/>
  <c r="Q134" i="7"/>
  <c r="Q135" i="7"/>
  <c r="Q136" i="7"/>
  <c r="Q137" i="7"/>
  <c r="Q138" i="7"/>
  <c r="Q139" i="7"/>
  <c r="Q140" i="7"/>
  <c r="Q141" i="7"/>
  <c r="Q142" i="7"/>
  <c r="Q131" i="7"/>
  <c r="Q124" i="7"/>
  <c r="Q122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08" i="7"/>
  <c r="Q106" i="7"/>
  <c r="Q102" i="7"/>
  <c r="Q101" i="7"/>
  <c r="Q98" i="7"/>
  <c r="Q9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66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4" i="7"/>
  <c r="O132" i="7"/>
  <c r="O133" i="7"/>
  <c r="O134" i="7"/>
  <c r="O135" i="7"/>
  <c r="O136" i="7"/>
  <c r="O137" i="7"/>
  <c r="O138" i="7"/>
  <c r="O139" i="7"/>
  <c r="O140" i="7"/>
  <c r="O141" i="7"/>
  <c r="O142" i="7"/>
  <c r="O131" i="7"/>
  <c r="O124" i="7"/>
  <c r="O122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08" i="7"/>
  <c r="O106" i="7"/>
  <c r="O102" i="7"/>
  <c r="O98" i="7"/>
  <c r="O9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66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4" i="7"/>
  <c r="M132" i="7"/>
  <c r="M133" i="7"/>
  <c r="M134" i="7"/>
  <c r="M135" i="7"/>
  <c r="M136" i="7"/>
  <c r="M137" i="7"/>
  <c r="M138" i="7"/>
  <c r="M139" i="7"/>
  <c r="M140" i="7"/>
  <c r="M141" i="7"/>
  <c r="M142" i="7"/>
  <c r="M131" i="7"/>
  <c r="M124" i="7"/>
  <c r="M122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08" i="7"/>
  <c r="M106" i="7"/>
  <c r="M102" i="7"/>
  <c r="M98" i="7"/>
  <c r="M97" i="7"/>
  <c r="M9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66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4" i="7"/>
  <c r="K132" i="7"/>
  <c r="K133" i="7"/>
  <c r="K134" i="7"/>
  <c r="K135" i="7"/>
  <c r="K136" i="7"/>
  <c r="K137" i="7"/>
  <c r="K138" i="7"/>
  <c r="K139" i="7"/>
  <c r="K140" i="7"/>
  <c r="K141" i="7"/>
  <c r="K142" i="7"/>
  <c r="K131" i="7"/>
  <c r="K124" i="7"/>
  <c r="K122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08" i="7"/>
  <c r="K106" i="7"/>
  <c r="K101" i="7"/>
  <c r="K102" i="7"/>
  <c r="K97" i="7"/>
  <c r="K98" i="7"/>
  <c r="K99" i="7"/>
  <c r="K100" i="7"/>
  <c r="K9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66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4" i="7"/>
  <c r="I132" i="7"/>
  <c r="I133" i="7"/>
  <c r="I134" i="7"/>
  <c r="I135" i="7"/>
  <c r="I136" i="7"/>
  <c r="I137" i="7"/>
  <c r="I138" i="7"/>
  <c r="I139" i="7"/>
  <c r="I140" i="7"/>
  <c r="I141" i="7"/>
  <c r="I142" i="7"/>
  <c r="I131" i="7"/>
  <c r="I124" i="7"/>
  <c r="I122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08" i="7"/>
  <c r="I106" i="7"/>
  <c r="I102" i="7"/>
  <c r="I98" i="7"/>
  <c r="I9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66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4" i="7"/>
  <c r="G132" i="7"/>
  <c r="G133" i="7"/>
  <c r="G134" i="7"/>
  <c r="G135" i="7"/>
  <c r="G136" i="7"/>
  <c r="G137" i="7"/>
  <c r="G138" i="7"/>
  <c r="G139" i="7"/>
  <c r="G140" i="7"/>
  <c r="G141" i="7"/>
  <c r="G142" i="7"/>
  <c r="G131" i="7"/>
  <c r="G124" i="7"/>
  <c r="G122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08" i="7"/>
  <c r="G106" i="7"/>
  <c r="G102" i="7"/>
  <c r="G98" i="7"/>
  <c r="G9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66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4" i="7"/>
  <c r="Z144" i="7"/>
  <c r="X144" i="7"/>
  <c r="V144" i="7"/>
  <c r="T144" i="7"/>
  <c r="R144" i="7"/>
  <c r="P144" i="7"/>
  <c r="N144" i="7"/>
  <c r="L144" i="7"/>
  <c r="J144" i="7"/>
  <c r="H144" i="7"/>
  <c r="F144" i="7"/>
  <c r="AE142" i="7"/>
  <c r="AE141" i="7"/>
  <c r="AE140" i="7"/>
  <c r="AE139" i="7"/>
  <c r="AE138" i="7"/>
  <c r="AE136" i="7"/>
  <c r="AE135" i="7"/>
  <c r="AE134" i="7"/>
  <c r="AE133" i="7"/>
  <c r="AE132" i="7"/>
  <c r="AB129" i="7"/>
  <c r="Z129" i="7"/>
  <c r="X129" i="7"/>
  <c r="V129" i="7"/>
  <c r="T129" i="7"/>
  <c r="R129" i="7"/>
  <c r="P129" i="7"/>
  <c r="N129" i="7"/>
  <c r="N145" i="7" s="1"/>
  <c r="L129" i="7"/>
  <c r="J129" i="7"/>
  <c r="H129" i="7"/>
  <c r="F129" i="7"/>
  <c r="AE125" i="7"/>
  <c r="AC125" i="7"/>
  <c r="AA125" i="7"/>
  <c r="Y125" i="7"/>
  <c r="W125" i="7"/>
  <c r="U125" i="7"/>
  <c r="S125" i="7"/>
  <c r="Q125" i="7"/>
  <c r="O125" i="7"/>
  <c r="M125" i="7"/>
  <c r="K125" i="7"/>
  <c r="I125" i="7"/>
  <c r="G125" i="7"/>
  <c r="AE124" i="7"/>
  <c r="AE120" i="7"/>
  <c r="AE119" i="7"/>
  <c r="AE116" i="7"/>
  <c r="AE115" i="7"/>
  <c r="AE114" i="7"/>
  <c r="AE113" i="7"/>
  <c r="AE112" i="7"/>
  <c r="AE111" i="7"/>
  <c r="AE109" i="7"/>
  <c r="AE108" i="7"/>
  <c r="AE106" i="7"/>
  <c r="AE102" i="7"/>
  <c r="AC101" i="7"/>
  <c r="AA101" i="7"/>
  <c r="Y101" i="7"/>
  <c r="W101" i="7"/>
  <c r="U101" i="7"/>
  <c r="O101" i="7"/>
  <c r="M101" i="7"/>
  <c r="I101" i="7"/>
  <c r="G101" i="7"/>
  <c r="AE95" i="7"/>
  <c r="AC95" i="7"/>
  <c r="AA95" i="7"/>
  <c r="Y95" i="7"/>
  <c r="W95" i="7"/>
  <c r="U95" i="7"/>
  <c r="S95" i="7"/>
  <c r="Q95" i="7"/>
  <c r="O95" i="7"/>
  <c r="M95" i="7"/>
  <c r="K95" i="7"/>
  <c r="I95" i="7"/>
  <c r="G95" i="7"/>
  <c r="AE92" i="7"/>
  <c r="AE91" i="7"/>
  <c r="AE90" i="7"/>
  <c r="AE88" i="7"/>
  <c r="AE86" i="7"/>
  <c r="AE85" i="7"/>
  <c r="AE84" i="7"/>
  <c r="AE83" i="7"/>
  <c r="AE82" i="7"/>
  <c r="AE80" i="7"/>
  <c r="AE78" i="7"/>
  <c r="AE77" i="7"/>
  <c r="AE76" i="7"/>
  <c r="AE75" i="7"/>
  <c r="AE74" i="7"/>
  <c r="AE72" i="7"/>
  <c r="AE70" i="7"/>
  <c r="AE69" i="7"/>
  <c r="AE68" i="7"/>
  <c r="AE67" i="7"/>
  <c r="AE66" i="7"/>
  <c r="AE64" i="7"/>
  <c r="AE63" i="7"/>
  <c r="AE62" i="7"/>
  <c r="AE58" i="7"/>
  <c r="AE57" i="7"/>
  <c r="AE56" i="7"/>
  <c r="AE55" i="7"/>
  <c r="AE54" i="7"/>
  <c r="AE50" i="7"/>
  <c r="AE49" i="7"/>
  <c r="AE48" i="7"/>
  <c r="AE47" i="7"/>
  <c r="AE46" i="7"/>
  <c r="AE42" i="7"/>
  <c r="AE41" i="7"/>
  <c r="AE40" i="7"/>
  <c r="AE39" i="7"/>
  <c r="AE38" i="7"/>
  <c r="AE34" i="7"/>
  <c r="AE33" i="7"/>
  <c r="AE32" i="7"/>
  <c r="AE31" i="7"/>
  <c r="AE30" i="7"/>
  <c r="AE26" i="7"/>
  <c r="AE25" i="7"/>
  <c r="AE24" i="7"/>
  <c r="AE23" i="7"/>
  <c r="AE22" i="7"/>
  <c r="AE18" i="7"/>
  <c r="AE17" i="7"/>
  <c r="AE16" i="7"/>
  <c r="AE15" i="7"/>
  <c r="AE14" i="7"/>
  <c r="AE10" i="7"/>
  <c r="AE9" i="7"/>
  <c r="AE8" i="7"/>
  <c r="AE7" i="7"/>
  <c r="AE6" i="7"/>
  <c r="AE4" i="7"/>
  <c r="AE137" i="6"/>
  <c r="AE138" i="6"/>
  <c r="AE139" i="6"/>
  <c r="AE122" i="6"/>
  <c r="AE110" i="6"/>
  <c r="AE116" i="6"/>
  <c r="AE118" i="6"/>
  <c r="AE97" i="6"/>
  <c r="AE73" i="6"/>
  <c r="AE74" i="6"/>
  <c r="AE81" i="6"/>
  <c r="AE82" i="6"/>
  <c r="AE89" i="6"/>
  <c r="AE90" i="6"/>
  <c r="AE8" i="6"/>
  <c r="AE9" i="6"/>
  <c r="AE16" i="6"/>
  <c r="AE17" i="6"/>
  <c r="AE24" i="6"/>
  <c r="AE25" i="6"/>
  <c r="AE32" i="6"/>
  <c r="AE33" i="6"/>
  <c r="AE40" i="6"/>
  <c r="AE41" i="6"/>
  <c r="AE48" i="6"/>
  <c r="AE49" i="6"/>
  <c r="AE56" i="6"/>
  <c r="AE57" i="6"/>
  <c r="AE64" i="6"/>
  <c r="AE4" i="6"/>
  <c r="AC132" i="6"/>
  <c r="AC133" i="6"/>
  <c r="AC134" i="6"/>
  <c r="AC135" i="6"/>
  <c r="AC136" i="6"/>
  <c r="AC137" i="6"/>
  <c r="AC138" i="6"/>
  <c r="AC139" i="6"/>
  <c r="AC140" i="6"/>
  <c r="AC141" i="6"/>
  <c r="AC142" i="6"/>
  <c r="AC131" i="6"/>
  <c r="AC124" i="6"/>
  <c r="AC122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08" i="6"/>
  <c r="AC106" i="6"/>
  <c r="AC102" i="6"/>
  <c r="AC97" i="6"/>
  <c r="AC98" i="6"/>
  <c r="AC9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66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4" i="6"/>
  <c r="AA132" i="6"/>
  <c r="AA133" i="6"/>
  <c r="AA134" i="6"/>
  <c r="AA135" i="6"/>
  <c r="AA136" i="6"/>
  <c r="AA137" i="6"/>
  <c r="AA138" i="6"/>
  <c r="AA139" i="6"/>
  <c r="AA140" i="6"/>
  <c r="AA141" i="6"/>
  <c r="AA142" i="6"/>
  <c r="AA131" i="6"/>
  <c r="AA124" i="6"/>
  <c r="AA122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08" i="6"/>
  <c r="AA106" i="6"/>
  <c r="AA102" i="6"/>
  <c r="AA97" i="6"/>
  <c r="AA98" i="6"/>
  <c r="AA9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66" i="6"/>
  <c r="AA6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4" i="6"/>
  <c r="Y132" i="6"/>
  <c r="Y133" i="6"/>
  <c r="Y134" i="6"/>
  <c r="Y135" i="6"/>
  <c r="Y136" i="6"/>
  <c r="Y137" i="6"/>
  <c r="Y138" i="6"/>
  <c r="Y139" i="6"/>
  <c r="Y140" i="6"/>
  <c r="Y141" i="6"/>
  <c r="Y142" i="6"/>
  <c r="Y131" i="6"/>
  <c r="Y124" i="6"/>
  <c r="Y125" i="6"/>
  <c r="Y123" i="6"/>
  <c r="Y122" i="6"/>
  <c r="Y121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08" i="6"/>
  <c r="Y102" i="6"/>
  <c r="Y106" i="6"/>
  <c r="Y101" i="6"/>
  <c r="Y97" i="6"/>
  <c r="Y98" i="6"/>
  <c r="Y9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66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4" i="6"/>
  <c r="W132" i="6"/>
  <c r="W133" i="6"/>
  <c r="W134" i="6"/>
  <c r="W135" i="6"/>
  <c r="W136" i="6"/>
  <c r="W137" i="6"/>
  <c r="W138" i="6"/>
  <c r="W139" i="6"/>
  <c r="W140" i="6"/>
  <c r="W141" i="6"/>
  <c r="W142" i="6"/>
  <c r="W131" i="6"/>
  <c r="W123" i="6"/>
  <c r="W124" i="6"/>
  <c r="W125" i="6"/>
  <c r="W126" i="6"/>
  <c r="W127" i="6"/>
  <c r="W122" i="6"/>
  <c r="W120" i="6"/>
  <c r="W109" i="6"/>
  <c r="W110" i="6"/>
  <c r="W111" i="6"/>
  <c r="W112" i="6"/>
  <c r="W113" i="6"/>
  <c r="W114" i="6"/>
  <c r="W115" i="6"/>
  <c r="W116" i="6"/>
  <c r="W117" i="6"/>
  <c r="W118" i="6"/>
  <c r="W119" i="6"/>
  <c r="W108" i="6"/>
  <c r="W106" i="6"/>
  <c r="W102" i="6"/>
  <c r="W101" i="6"/>
  <c r="W97" i="6"/>
  <c r="W98" i="6"/>
  <c r="W9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66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4" i="6"/>
  <c r="U132" i="6"/>
  <c r="U133" i="6"/>
  <c r="U134" i="6"/>
  <c r="U135" i="6"/>
  <c r="U136" i="6"/>
  <c r="U137" i="6"/>
  <c r="U138" i="6"/>
  <c r="U139" i="6"/>
  <c r="U140" i="6"/>
  <c r="U141" i="6"/>
  <c r="U142" i="6"/>
  <c r="U131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65" i="6"/>
  <c r="U64" i="6"/>
  <c r="U63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5" i="6"/>
  <c r="U6" i="6"/>
  <c r="U7" i="6"/>
  <c r="U8" i="6"/>
  <c r="U4" i="6"/>
  <c r="S132" i="6"/>
  <c r="S133" i="6"/>
  <c r="S134" i="6"/>
  <c r="S135" i="6"/>
  <c r="S136" i="6"/>
  <c r="S137" i="6"/>
  <c r="S138" i="6"/>
  <c r="S139" i="6"/>
  <c r="S140" i="6"/>
  <c r="S141" i="6"/>
  <c r="S142" i="6"/>
  <c r="S131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02" i="6"/>
  <c r="S101" i="6"/>
  <c r="S99" i="6"/>
  <c r="S100" i="6"/>
  <c r="S97" i="6"/>
  <c r="S98" i="6"/>
  <c r="S96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65" i="6"/>
  <c r="S63" i="6"/>
  <c r="S6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4" i="6"/>
  <c r="Q132" i="6"/>
  <c r="Q133" i="6"/>
  <c r="Q134" i="6"/>
  <c r="Q135" i="6"/>
  <c r="Q136" i="6"/>
  <c r="Q137" i="6"/>
  <c r="Q138" i="6"/>
  <c r="Q139" i="6"/>
  <c r="Q140" i="6"/>
  <c r="Q141" i="6"/>
  <c r="Q142" i="6"/>
  <c r="Q131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96" i="6"/>
  <c r="Q93" i="6"/>
  <c r="Q94" i="6"/>
  <c r="Q95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4" i="6"/>
  <c r="O132" i="6"/>
  <c r="O133" i="6"/>
  <c r="O134" i="6"/>
  <c r="O135" i="6"/>
  <c r="O136" i="6"/>
  <c r="O137" i="6"/>
  <c r="O138" i="6"/>
  <c r="O139" i="6"/>
  <c r="O140" i="6"/>
  <c r="O141" i="6"/>
  <c r="O142" i="6"/>
  <c r="O131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4" i="6"/>
  <c r="M132" i="6"/>
  <c r="M133" i="6"/>
  <c r="M134" i="6"/>
  <c r="M135" i="6"/>
  <c r="M136" i="6"/>
  <c r="M137" i="6"/>
  <c r="M138" i="6"/>
  <c r="M139" i="6"/>
  <c r="M140" i="6"/>
  <c r="M141" i="6"/>
  <c r="M142" i="6"/>
  <c r="M131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4" i="6"/>
  <c r="K132" i="6"/>
  <c r="K133" i="6"/>
  <c r="K134" i="6"/>
  <c r="K135" i="6"/>
  <c r="K136" i="6"/>
  <c r="K137" i="6"/>
  <c r="K138" i="6"/>
  <c r="K139" i="6"/>
  <c r="K140" i="6"/>
  <c r="K141" i="6"/>
  <c r="K142" i="6"/>
  <c r="K131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4" i="6"/>
  <c r="I132" i="6"/>
  <c r="I133" i="6"/>
  <c r="I134" i="6"/>
  <c r="I135" i="6"/>
  <c r="I136" i="6"/>
  <c r="I137" i="6"/>
  <c r="I138" i="6"/>
  <c r="I139" i="6"/>
  <c r="I140" i="6"/>
  <c r="I141" i="6"/>
  <c r="I142" i="6"/>
  <c r="I131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6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4" i="6"/>
  <c r="G132" i="6"/>
  <c r="G133" i="6"/>
  <c r="G134" i="6"/>
  <c r="G135" i="6"/>
  <c r="G136" i="6"/>
  <c r="G137" i="6"/>
  <c r="G138" i="6"/>
  <c r="G139" i="6"/>
  <c r="G140" i="6"/>
  <c r="G141" i="6"/>
  <c r="G142" i="6"/>
  <c r="G131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4" i="6"/>
  <c r="AB144" i="6"/>
  <c r="Z144" i="6"/>
  <c r="X144" i="6"/>
  <c r="V144" i="6"/>
  <c r="T144" i="6"/>
  <c r="R144" i="6"/>
  <c r="P144" i="6"/>
  <c r="N144" i="6"/>
  <c r="L144" i="6"/>
  <c r="J144" i="6"/>
  <c r="H144" i="6"/>
  <c r="F144" i="6"/>
  <c r="AE142" i="6"/>
  <c r="AE141" i="6"/>
  <c r="AE140" i="6"/>
  <c r="AE136" i="6"/>
  <c r="AE135" i="6"/>
  <c r="AE134" i="6"/>
  <c r="AE133" i="6"/>
  <c r="AE132" i="6"/>
  <c r="AE131" i="6"/>
  <c r="AB129" i="6"/>
  <c r="AB145" i="6" s="1"/>
  <c r="Z129" i="6"/>
  <c r="X129" i="6"/>
  <c r="V129" i="6"/>
  <c r="V145" i="6" s="1"/>
  <c r="T129" i="6"/>
  <c r="T145" i="6" s="1"/>
  <c r="R129" i="6"/>
  <c r="P129" i="6"/>
  <c r="N129" i="6"/>
  <c r="L129" i="6"/>
  <c r="J129" i="6"/>
  <c r="H129" i="6"/>
  <c r="H145" i="6" s="1"/>
  <c r="F129" i="6"/>
  <c r="F145" i="6" s="1"/>
  <c r="AE125" i="6"/>
  <c r="AC125" i="6"/>
  <c r="AA125" i="6"/>
  <c r="AE124" i="6"/>
  <c r="AE120" i="6"/>
  <c r="AE119" i="6"/>
  <c r="AE117" i="6"/>
  <c r="AE115" i="6"/>
  <c r="AE114" i="6"/>
  <c r="AE113" i="6"/>
  <c r="AE112" i="6"/>
  <c r="AE111" i="6"/>
  <c r="AE109" i="6"/>
  <c r="AE108" i="6"/>
  <c r="AE106" i="6"/>
  <c r="AE102" i="6"/>
  <c r="AC101" i="6"/>
  <c r="AA101" i="6"/>
  <c r="AE98" i="6"/>
  <c r="AE96" i="6"/>
  <c r="AE95" i="6"/>
  <c r="AC95" i="6"/>
  <c r="AE92" i="6"/>
  <c r="AE91" i="6"/>
  <c r="AE88" i="6"/>
  <c r="AE87" i="6"/>
  <c r="AE86" i="6"/>
  <c r="AE85" i="6"/>
  <c r="AE84" i="6"/>
  <c r="AE83" i="6"/>
  <c r="AE80" i="6"/>
  <c r="AE79" i="6"/>
  <c r="AE78" i="6"/>
  <c r="AE77" i="6"/>
  <c r="AE76" i="6"/>
  <c r="AE75" i="6"/>
  <c r="AE72" i="6"/>
  <c r="AE71" i="6"/>
  <c r="AE70" i="6"/>
  <c r="AE69" i="6"/>
  <c r="AE68" i="6"/>
  <c r="AE67" i="6"/>
  <c r="AE66" i="6"/>
  <c r="AE63" i="6"/>
  <c r="AE62" i="6"/>
  <c r="AE61" i="6"/>
  <c r="AE60" i="6"/>
  <c r="AE59" i="6"/>
  <c r="AE58" i="6"/>
  <c r="AE55" i="6"/>
  <c r="AE54" i="6"/>
  <c r="AE53" i="6"/>
  <c r="AE52" i="6"/>
  <c r="AE51" i="6"/>
  <c r="AE50" i="6"/>
  <c r="AE47" i="6"/>
  <c r="AE46" i="6"/>
  <c r="AE45" i="6"/>
  <c r="AE44" i="6"/>
  <c r="AE43" i="6"/>
  <c r="AE42" i="6"/>
  <c r="AE39" i="6"/>
  <c r="AE38" i="6"/>
  <c r="AE37" i="6"/>
  <c r="AE36" i="6"/>
  <c r="AE35" i="6"/>
  <c r="AE34" i="6"/>
  <c r="AE31" i="6"/>
  <c r="AE30" i="6"/>
  <c r="AE29" i="6"/>
  <c r="AE28" i="6"/>
  <c r="AE27" i="6"/>
  <c r="AE26" i="6"/>
  <c r="AE23" i="6"/>
  <c r="AE22" i="6"/>
  <c r="AE21" i="6"/>
  <c r="AE20" i="6"/>
  <c r="AE19" i="6"/>
  <c r="AE18" i="6"/>
  <c r="AE15" i="6"/>
  <c r="AE14" i="6"/>
  <c r="AE13" i="6"/>
  <c r="AE12" i="6"/>
  <c r="AE11" i="6"/>
  <c r="AE10" i="6"/>
  <c r="AE7" i="6"/>
  <c r="AE6" i="6"/>
  <c r="AE5" i="6"/>
  <c r="AF145" i="8" l="1"/>
  <c r="I158" i="8"/>
  <c r="AF148" i="8"/>
  <c r="M158" i="8"/>
  <c r="I7" i="4"/>
  <c r="AF96" i="8"/>
  <c r="L145" i="7"/>
  <c r="T145" i="7"/>
  <c r="V157" i="8"/>
  <c r="AF147" i="8"/>
  <c r="T157" i="8"/>
  <c r="AF15" i="8"/>
  <c r="AF38" i="8"/>
  <c r="AF60" i="8"/>
  <c r="AF131" i="8"/>
  <c r="AF54" i="8"/>
  <c r="AF21" i="8"/>
  <c r="AF56" i="8"/>
  <c r="AF32" i="8"/>
  <c r="AF8" i="8"/>
  <c r="AF42" i="8"/>
  <c r="AF18" i="8"/>
  <c r="T140" i="8"/>
  <c r="J10" i="4" s="1"/>
  <c r="AF23" i="8"/>
  <c r="AF7" i="8"/>
  <c r="AF95" i="8"/>
  <c r="K144" i="7"/>
  <c r="AF62" i="8"/>
  <c r="AF20" i="8"/>
  <c r="AF14" i="8"/>
  <c r="AF93" i="8"/>
  <c r="AF72" i="8"/>
  <c r="O129" i="6"/>
  <c r="U129" i="6"/>
  <c r="P145" i="7"/>
  <c r="AB145" i="7"/>
  <c r="AF13" i="8"/>
  <c r="AF136" i="8"/>
  <c r="AF151" i="8"/>
  <c r="AF48" i="8"/>
  <c r="AF24" i="8"/>
  <c r="AF58" i="8"/>
  <c r="AF28" i="8"/>
  <c r="AF10" i="8"/>
  <c r="AF137" i="8"/>
  <c r="AF11" i="8"/>
  <c r="V140" i="8"/>
  <c r="AF155" i="8"/>
  <c r="X145" i="6"/>
  <c r="AF36" i="8"/>
  <c r="AF12" i="8"/>
  <c r="AF17" i="8"/>
  <c r="AF153" i="8"/>
  <c r="I144" i="6"/>
  <c r="M144" i="6"/>
  <c r="W144" i="6"/>
  <c r="AA129" i="7"/>
  <c r="AA144" i="7"/>
  <c r="AE157" i="8"/>
  <c r="AF5" i="8"/>
  <c r="AF70" i="8"/>
  <c r="AF134" i="8"/>
  <c r="AF64" i="8"/>
  <c r="AF40" i="8"/>
  <c r="AF16" i="8"/>
  <c r="AF44" i="8"/>
  <c r="AF26" i="8"/>
  <c r="R140" i="8"/>
  <c r="J9" i="4" s="1"/>
  <c r="AF144" i="8"/>
  <c r="K129" i="6"/>
  <c r="AF19" i="8"/>
  <c r="L145" i="6"/>
  <c r="AF30" i="8"/>
  <c r="AF6" i="8"/>
  <c r="AF4" i="8"/>
  <c r="AF85" i="8"/>
  <c r="AF87" i="8"/>
  <c r="AF34" i="8"/>
  <c r="N145" i="6"/>
  <c r="I129" i="6"/>
  <c r="S144" i="7"/>
  <c r="Y129" i="7"/>
  <c r="K158" i="8"/>
  <c r="AF52" i="8"/>
  <c r="AF46" i="8"/>
  <c r="AF22" i="8"/>
  <c r="AF139" i="8"/>
  <c r="AF127" i="8"/>
  <c r="AF154" i="8"/>
  <c r="AF9" i="8"/>
  <c r="AF74" i="8"/>
  <c r="AF50" i="8"/>
  <c r="AF143" i="8"/>
  <c r="M144" i="7"/>
  <c r="K144" i="6"/>
  <c r="K145" i="6" s="1"/>
  <c r="J145" i="6"/>
  <c r="Z145" i="6"/>
  <c r="R145" i="7"/>
  <c r="Y144" i="6"/>
  <c r="AA144" i="6"/>
  <c r="AC144" i="6"/>
  <c r="AD144" i="7"/>
  <c r="Y144" i="7"/>
  <c r="N140" i="8"/>
  <c r="J7" i="4" s="1"/>
  <c r="N157" i="8"/>
  <c r="AF129" i="8"/>
  <c r="F145" i="7"/>
  <c r="V145" i="7"/>
  <c r="W144" i="7"/>
  <c r="S158" i="8"/>
  <c r="I144" i="7"/>
  <c r="P145" i="6"/>
  <c r="Q144" i="6"/>
  <c r="S144" i="6"/>
  <c r="H145" i="7"/>
  <c r="X145" i="7"/>
  <c r="G144" i="7"/>
  <c r="G158" i="8"/>
  <c r="G144" i="6"/>
  <c r="AD129" i="6"/>
  <c r="R145" i="6"/>
  <c r="J145" i="7"/>
  <c r="Z145" i="7"/>
  <c r="O144" i="7"/>
  <c r="Q144" i="7"/>
  <c r="AE140" i="8"/>
  <c r="AF68" i="8"/>
  <c r="AF115" i="8"/>
  <c r="AF91" i="8"/>
  <c r="AF80" i="8"/>
  <c r="AF76" i="8"/>
  <c r="AF78" i="8"/>
  <c r="AF89" i="8"/>
  <c r="AF106" i="8"/>
  <c r="R157" i="8"/>
  <c r="AF135" i="8"/>
  <c r="AF111" i="8"/>
  <c r="AF101" i="8"/>
  <c r="AF133" i="8"/>
  <c r="AF125" i="8"/>
  <c r="AF113" i="8"/>
  <c r="AF132" i="8"/>
  <c r="AF128" i="8"/>
  <c r="AF138" i="8"/>
  <c r="AF130" i="8"/>
  <c r="AF126" i="8"/>
  <c r="AF114" i="8"/>
  <c r="AF63" i="8"/>
  <c r="AF59" i="8"/>
  <c r="AF55" i="8"/>
  <c r="AF51" i="8"/>
  <c r="AF47" i="8"/>
  <c r="AF43" i="8"/>
  <c r="AF39" i="8"/>
  <c r="AF35" i="8"/>
  <c r="AF31" i="8"/>
  <c r="AF27" i="8"/>
  <c r="AF61" i="8"/>
  <c r="AF57" i="8"/>
  <c r="AF53" i="8"/>
  <c r="AF49" i="8"/>
  <c r="AF45" i="8"/>
  <c r="AF41" i="8"/>
  <c r="AF37" i="8"/>
  <c r="AF33" i="8"/>
  <c r="AF29" i="8"/>
  <c r="AF25" i="8"/>
  <c r="AF152" i="8"/>
  <c r="AF146" i="8"/>
  <c r="L157" i="8"/>
  <c r="L140" i="8"/>
  <c r="J157" i="8"/>
  <c r="AF99" i="8"/>
  <c r="J140" i="8"/>
  <c r="AF94" i="8"/>
  <c r="AF90" i="8"/>
  <c r="AF86" i="8"/>
  <c r="AF79" i="8"/>
  <c r="AF75" i="8"/>
  <c r="AF71" i="8"/>
  <c r="AF67" i="8"/>
  <c r="AF92" i="8"/>
  <c r="AF88" i="8"/>
  <c r="AF81" i="8"/>
  <c r="AF77" i="8"/>
  <c r="AF73" i="8"/>
  <c r="AF69" i="8"/>
  <c r="H157" i="8"/>
  <c r="AF142" i="8"/>
  <c r="H140" i="8"/>
  <c r="AF66" i="8"/>
  <c r="AE129" i="7"/>
  <c r="AC129" i="7"/>
  <c r="AC145" i="7" s="1"/>
  <c r="W129" i="7"/>
  <c r="U144" i="7"/>
  <c r="U129" i="7"/>
  <c r="S129" i="7"/>
  <c r="Q129" i="7"/>
  <c r="O129" i="7"/>
  <c r="O145" i="7" s="1"/>
  <c r="AD129" i="7"/>
  <c r="AD145" i="7" s="1"/>
  <c r="M129" i="7"/>
  <c r="M145" i="7" s="1"/>
  <c r="K129" i="7"/>
  <c r="I129" i="7"/>
  <c r="I145" i="7" s="1"/>
  <c r="G129" i="7"/>
  <c r="AE144" i="7"/>
  <c r="AE144" i="6"/>
  <c r="AC129" i="6"/>
  <c r="AA129" i="6"/>
  <c r="Y129" i="6"/>
  <c r="W129" i="6"/>
  <c r="W145" i="6" s="1"/>
  <c r="U144" i="6"/>
  <c r="U145" i="6" s="1"/>
  <c r="S129" i="6"/>
  <c r="Q129" i="6"/>
  <c r="Q145" i="6" s="1"/>
  <c r="O144" i="6"/>
  <c r="O145" i="6" s="1"/>
  <c r="M129" i="6"/>
  <c r="M145" i="6" s="1"/>
  <c r="I145" i="6"/>
  <c r="G129" i="6"/>
  <c r="G145" i="6" s="1"/>
  <c r="AD144" i="6"/>
  <c r="AE129" i="6"/>
  <c r="AB144" i="5"/>
  <c r="Z144" i="5"/>
  <c r="X144" i="5"/>
  <c r="V144" i="5"/>
  <c r="T144" i="5"/>
  <c r="R144" i="5"/>
  <c r="P144" i="5"/>
  <c r="N144" i="5"/>
  <c r="L144" i="5"/>
  <c r="J144" i="5"/>
  <c r="H144" i="5"/>
  <c r="F144" i="5"/>
  <c r="AE142" i="5"/>
  <c r="AC142" i="5"/>
  <c r="AA142" i="5"/>
  <c r="Y142" i="5"/>
  <c r="W142" i="5"/>
  <c r="U142" i="5"/>
  <c r="S142" i="5"/>
  <c r="Q142" i="5"/>
  <c r="O142" i="5"/>
  <c r="M142" i="5"/>
  <c r="K142" i="5"/>
  <c r="I142" i="5"/>
  <c r="G142" i="5"/>
  <c r="AE141" i="5"/>
  <c r="AC141" i="5"/>
  <c r="AA141" i="5"/>
  <c r="Y141" i="5"/>
  <c r="W141" i="5"/>
  <c r="U141" i="5"/>
  <c r="S141" i="5"/>
  <c r="Q141" i="5"/>
  <c r="O141" i="5"/>
  <c r="M141" i="5"/>
  <c r="K141" i="5"/>
  <c r="I141" i="5"/>
  <c r="G141" i="5"/>
  <c r="AE140" i="5"/>
  <c r="AC140" i="5"/>
  <c r="AA140" i="5"/>
  <c r="Y140" i="5"/>
  <c r="W140" i="5"/>
  <c r="U140" i="5"/>
  <c r="S140" i="5"/>
  <c r="Q140" i="5"/>
  <c r="O140" i="5"/>
  <c r="M140" i="5"/>
  <c r="K140" i="5"/>
  <c r="I140" i="5"/>
  <c r="G140" i="5"/>
  <c r="AE139" i="5"/>
  <c r="AC139" i="5"/>
  <c r="AA139" i="5"/>
  <c r="Y139" i="5"/>
  <c r="W139" i="5"/>
  <c r="U139" i="5"/>
  <c r="S139" i="5"/>
  <c r="Q139" i="5"/>
  <c r="O139" i="5"/>
  <c r="M139" i="5"/>
  <c r="K139" i="5"/>
  <c r="I139" i="5"/>
  <c r="G139" i="5"/>
  <c r="AE138" i="5"/>
  <c r="AC138" i="5"/>
  <c r="AA138" i="5"/>
  <c r="Y138" i="5"/>
  <c r="W138" i="5"/>
  <c r="U138" i="5"/>
  <c r="S138" i="5"/>
  <c r="Q138" i="5"/>
  <c r="O138" i="5"/>
  <c r="M138" i="5"/>
  <c r="K138" i="5"/>
  <c r="I138" i="5"/>
  <c r="G138" i="5"/>
  <c r="AE137" i="5"/>
  <c r="AC137" i="5"/>
  <c r="AA137" i="5"/>
  <c r="Y137" i="5"/>
  <c r="W137" i="5"/>
  <c r="U137" i="5"/>
  <c r="S137" i="5"/>
  <c r="Q137" i="5"/>
  <c r="O137" i="5"/>
  <c r="M137" i="5"/>
  <c r="K137" i="5"/>
  <c r="I137" i="5"/>
  <c r="G137" i="5"/>
  <c r="AE136" i="5"/>
  <c r="AC136" i="5"/>
  <c r="AA136" i="5"/>
  <c r="Y136" i="5"/>
  <c r="W136" i="5"/>
  <c r="U136" i="5"/>
  <c r="S136" i="5"/>
  <c r="Q136" i="5"/>
  <c r="O136" i="5"/>
  <c r="M136" i="5"/>
  <c r="K136" i="5"/>
  <c r="I136" i="5"/>
  <c r="G136" i="5"/>
  <c r="AE135" i="5"/>
  <c r="AC135" i="5"/>
  <c r="AA135" i="5"/>
  <c r="Y135" i="5"/>
  <c r="W135" i="5"/>
  <c r="U135" i="5"/>
  <c r="S135" i="5"/>
  <c r="Q135" i="5"/>
  <c r="O135" i="5"/>
  <c r="M135" i="5"/>
  <c r="K135" i="5"/>
  <c r="I135" i="5"/>
  <c r="G135" i="5"/>
  <c r="AE134" i="5"/>
  <c r="AC134" i="5"/>
  <c r="AA134" i="5"/>
  <c r="Y134" i="5"/>
  <c r="W134" i="5"/>
  <c r="U134" i="5"/>
  <c r="S134" i="5"/>
  <c r="Q134" i="5"/>
  <c r="O134" i="5"/>
  <c r="M134" i="5"/>
  <c r="K134" i="5"/>
  <c r="I134" i="5"/>
  <c r="G134" i="5"/>
  <c r="AE133" i="5"/>
  <c r="AC133" i="5"/>
  <c r="AA133" i="5"/>
  <c r="Y133" i="5"/>
  <c r="W133" i="5"/>
  <c r="U133" i="5"/>
  <c r="S133" i="5"/>
  <c r="Q133" i="5"/>
  <c r="O133" i="5"/>
  <c r="M133" i="5"/>
  <c r="K133" i="5"/>
  <c r="I133" i="5"/>
  <c r="G133" i="5"/>
  <c r="AE132" i="5"/>
  <c r="AC132" i="5"/>
  <c r="AA132" i="5"/>
  <c r="Y132" i="5"/>
  <c r="W132" i="5"/>
  <c r="U132" i="5"/>
  <c r="S132" i="5"/>
  <c r="Q132" i="5"/>
  <c r="O132" i="5"/>
  <c r="M132" i="5"/>
  <c r="K132" i="5"/>
  <c r="I132" i="5"/>
  <c r="G132" i="5"/>
  <c r="AE131" i="5"/>
  <c r="AC131" i="5"/>
  <c r="AA131" i="5"/>
  <c r="Y131" i="5"/>
  <c r="W131" i="5"/>
  <c r="U131" i="5"/>
  <c r="S131" i="5"/>
  <c r="Q131" i="5"/>
  <c r="O131" i="5"/>
  <c r="M131" i="5"/>
  <c r="M144" i="5" s="1"/>
  <c r="K131" i="5"/>
  <c r="I131" i="5"/>
  <c r="G131" i="5"/>
  <c r="AB129" i="5"/>
  <c r="AB145" i="5" s="1"/>
  <c r="Z129" i="5"/>
  <c r="Z145" i="5" s="1"/>
  <c r="X129" i="5"/>
  <c r="X145" i="5" s="1"/>
  <c r="V129" i="5"/>
  <c r="V145" i="5" s="1"/>
  <c r="T129" i="5"/>
  <c r="T145" i="5" s="1"/>
  <c r="R129" i="5"/>
  <c r="R145" i="5" s="1"/>
  <c r="P129" i="5"/>
  <c r="P145" i="5" s="1"/>
  <c r="N129" i="5"/>
  <c r="N145" i="5" s="1"/>
  <c r="L129" i="5"/>
  <c r="L145" i="5" s="1"/>
  <c r="J129" i="5"/>
  <c r="J145" i="5" s="1"/>
  <c r="H129" i="5"/>
  <c r="H145" i="5" s="1"/>
  <c r="F129" i="5"/>
  <c r="F145" i="5" s="1"/>
  <c r="AD125" i="5"/>
  <c r="AE125" i="5" s="1"/>
  <c r="AC125" i="5"/>
  <c r="AA125" i="5"/>
  <c r="Y125" i="5"/>
  <c r="W125" i="5"/>
  <c r="U125" i="5"/>
  <c r="S125" i="5"/>
  <c r="Q125" i="5"/>
  <c r="O125" i="5"/>
  <c r="M125" i="5"/>
  <c r="K125" i="5"/>
  <c r="I125" i="5"/>
  <c r="G125" i="5"/>
  <c r="AD124" i="5"/>
  <c r="AE124" i="5" s="1"/>
  <c r="AC124" i="5"/>
  <c r="AA124" i="5"/>
  <c r="Y124" i="5"/>
  <c r="W124" i="5"/>
  <c r="U124" i="5"/>
  <c r="S124" i="5"/>
  <c r="Q124" i="5"/>
  <c r="O124" i="5"/>
  <c r="M124" i="5"/>
  <c r="K124" i="5"/>
  <c r="I124" i="5"/>
  <c r="G124" i="5"/>
  <c r="AE122" i="5"/>
  <c r="AC122" i="5"/>
  <c r="AA122" i="5"/>
  <c r="Y122" i="5"/>
  <c r="W122" i="5"/>
  <c r="U122" i="5"/>
  <c r="S122" i="5"/>
  <c r="Q122" i="5"/>
  <c r="O122" i="5"/>
  <c r="M122" i="5"/>
  <c r="K122" i="5"/>
  <c r="I122" i="5"/>
  <c r="G122" i="5"/>
  <c r="AE120" i="5"/>
  <c r="AC120" i="5"/>
  <c r="AA120" i="5"/>
  <c r="Y120" i="5"/>
  <c r="W120" i="5"/>
  <c r="U120" i="5"/>
  <c r="S120" i="5"/>
  <c r="Q120" i="5"/>
  <c r="O120" i="5"/>
  <c r="M120" i="5"/>
  <c r="K120" i="5"/>
  <c r="I120" i="5"/>
  <c r="G120" i="5"/>
  <c r="AE119" i="5"/>
  <c r="AC119" i="5"/>
  <c r="AA119" i="5"/>
  <c r="Y119" i="5"/>
  <c r="W119" i="5"/>
  <c r="U119" i="5"/>
  <c r="S119" i="5"/>
  <c r="Q119" i="5"/>
  <c r="O119" i="5"/>
  <c r="M119" i="5"/>
  <c r="K119" i="5"/>
  <c r="I119" i="5"/>
  <c r="G119" i="5"/>
  <c r="AE118" i="5"/>
  <c r="AC118" i="5"/>
  <c r="AA118" i="5"/>
  <c r="Y118" i="5"/>
  <c r="W118" i="5"/>
  <c r="U118" i="5"/>
  <c r="S118" i="5"/>
  <c r="Q118" i="5"/>
  <c r="O118" i="5"/>
  <c r="M118" i="5"/>
  <c r="K118" i="5"/>
  <c r="I118" i="5"/>
  <c r="G118" i="5"/>
  <c r="AE117" i="5"/>
  <c r="AC117" i="5"/>
  <c r="AA117" i="5"/>
  <c r="Y117" i="5"/>
  <c r="W117" i="5"/>
  <c r="U117" i="5"/>
  <c r="S117" i="5"/>
  <c r="Q117" i="5"/>
  <c r="O117" i="5"/>
  <c r="M117" i="5"/>
  <c r="K117" i="5"/>
  <c r="I117" i="5"/>
  <c r="G117" i="5"/>
  <c r="AE116" i="5"/>
  <c r="AC116" i="5"/>
  <c r="AA116" i="5"/>
  <c r="Y116" i="5"/>
  <c r="W116" i="5"/>
  <c r="U116" i="5"/>
  <c r="S116" i="5"/>
  <c r="Q116" i="5"/>
  <c r="O116" i="5"/>
  <c r="M116" i="5"/>
  <c r="K116" i="5"/>
  <c r="I116" i="5"/>
  <c r="G116" i="5"/>
  <c r="AE115" i="5"/>
  <c r="AC115" i="5"/>
  <c r="AA115" i="5"/>
  <c r="Y115" i="5"/>
  <c r="W115" i="5"/>
  <c r="U115" i="5"/>
  <c r="S115" i="5"/>
  <c r="Q115" i="5"/>
  <c r="O115" i="5"/>
  <c r="M115" i="5"/>
  <c r="K115" i="5"/>
  <c r="I115" i="5"/>
  <c r="G115" i="5"/>
  <c r="AE114" i="5"/>
  <c r="AC114" i="5"/>
  <c r="AA114" i="5"/>
  <c r="Y114" i="5"/>
  <c r="W114" i="5"/>
  <c r="U114" i="5"/>
  <c r="S114" i="5"/>
  <c r="Q114" i="5"/>
  <c r="O114" i="5"/>
  <c r="M114" i="5"/>
  <c r="K114" i="5"/>
  <c r="I114" i="5"/>
  <c r="G114" i="5"/>
  <c r="AE113" i="5"/>
  <c r="AC113" i="5"/>
  <c r="AA113" i="5"/>
  <c r="Y113" i="5"/>
  <c r="W113" i="5"/>
  <c r="U113" i="5"/>
  <c r="S113" i="5"/>
  <c r="Q113" i="5"/>
  <c r="O113" i="5"/>
  <c r="M113" i="5"/>
  <c r="K113" i="5"/>
  <c r="I113" i="5"/>
  <c r="G113" i="5"/>
  <c r="AE112" i="5"/>
  <c r="AC112" i="5"/>
  <c r="AA112" i="5"/>
  <c r="Y112" i="5"/>
  <c r="W112" i="5"/>
  <c r="U112" i="5"/>
  <c r="S112" i="5"/>
  <c r="Q112" i="5"/>
  <c r="O112" i="5"/>
  <c r="M112" i="5"/>
  <c r="K112" i="5"/>
  <c r="I112" i="5"/>
  <c r="G112" i="5"/>
  <c r="AE111" i="5"/>
  <c r="AC111" i="5"/>
  <c r="AA111" i="5"/>
  <c r="Y111" i="5"/>
  <c r="W111" i="5"/>
  <c r="U111" i="5"/>
  <c r="S111" i="5"/>
  <c r="Q111" i="5"/>
  <c r="O111" i="5"/>
  <c r="M111" i="5"/>
  <c r="K111" i="5"/>
  <c r="I111" i="5"/>
  <c r="G111" i="5"/>
  <c r="AE110" i="5"/>
  <c r="AC110" i="5"/>
  <c r="AA110" i="5"/>
  <c r="Y110" i="5"/>
  <c r="W110" i="5"/>
  <c r="U110" i="5"/>
  <c r="S110" i="5"/>
  <c r="Q110" i="5"/>
  <c r="O110" i="5"/>
  <c r="M110" i="5"/>
  <c r="K110" i="5"/>
  <c r="I110" i="5"/>
  <c r="G110" i="5"/>
  <c r="AE109" i="5"/>
  <c r="AC109" i="5"/>
  <c r="AA109" i="5"/>
  <c r="Y109" i="5"/>
  <c r="W109" i="5"/>
  <c r="U109" i="5"/>
  <c r="S109" i="5"/>
  <c r="Q109" i="5"/>
  <c r="O109" i="5"/>
  <c r="M109" i="5"/>
  <c r="K109" i="5"/>
  <c r="I109" i="5"/>
  <c r="G109" i="5"/>
  <c r="AE108" i="5"/>
  <c r="AC108" i="5"/>
  <c r="AA108" i="5"/>
  <c r="Y108" i="5"/>
  <c r="W108" i="5"/>
  <c r="U108" i="5"/>
  <c r="S108" i="5"/>
  <c r="Q108" i="5"/>
  <c r="O108" i="5"/>
  <c r="M108" i="5"/>
  <c r="K108" i="5"/>
  <c r="I108" i="5"/>
  <c r="G108" i="5"/>
  <c r="AD106" i="5"/>
  <c r="AE106" i="5" s="1"/>
  <c r="AC106" i="5"/>
  <c r="AA106" i="5"/>
  <c r="Y106" i="5"/>
  <c r="W106" i="5"/>
  <c r="U106" i="5"/>
  <c r="S106" i="5"/>
  <c r="Q106" i="5"/>
  <c r="O106" i="5"/>
  <c r="M106" i="5"/>
  <c r="K106" i="5"/>
  <c r="I106" i="5"/>
  <c r="G106" i="5"/>
  <c r="AD102" i="5"/>
  <c r="AE102" i="5" s="1"/>
  <c r="AC102" i="5"/>
  <c r="AA102" i="5"/>
  <c r="Y102" i="5"/>
  <c r="W102" i="5"/>
  <c r="U102" i="5"/>
  <c r="S102" i="5"/>
  <c r="Q102" i="5"/>
  <c r="O102" i="5"/>
  <c r="M102" i="5"/>
  <c r="K102" i="5"/>
  <c r="I102" i="5"/>
  <c r="G102" i="5"/>
  <c r="AD101" i="5"/>
  <c r="AC101" i="5"/>
  <c r="AA101" i="5"/>
  <c r="Y101" i="5"/>
  <c r="W101" i="5"/>
  <c r="U101" i="5"/>
  <c r="S101" i="5"/>
  <c r="Q101" i="5"/>
  <c r="O101" i="5"/>
  <c r="M101" i="5"/>
  <c r="K101" i="5"/>
  <c r="I101" i="5"/>
  <c r="G101" i="5"/>
  <c r="AD98" i="5"/>
  <c r="AE98" i="5" s="1"/>
  <c r="AC98" i="5"/>
  <c r="AA98" i="5"/>
  <c r="Y98" i="5"/>
  <c r="W98" i="5"/>
  <c r="U98" i="5"/>
  <c r="S98" i="5"/>
  <c r="Q98" i="5"/>
  <c r="O98" i="5"/>
  <c r="M98" i="5"/>
  <c r="K98" i="5"/>
  <c r="I98" i="5"/>
  <c r="G98" i="5"/>
  <c r="AE96" i="5"/>
  <c r="AD96" i="5"/>
  <c r="AC96" i="5"/>
  <c r="AA96" i="5"/>
  <c r="Y96" i="5"/>
  <c r="W96" i="5"/>
  <c r="U96" i="5"/>
  <c r="S96" i="5"/>
  <c r="Q96" i="5"/>
  <c r="O96" i="5"/>
  <c r="M96" i="5"/>
  <c r="K96" i="5"/>
  <c r="I96" i="5"/>
  <c r="G96" i="5"/>
  <c r="AE92" i="5"/>
  <c r="AC92" i="5"/>
  <c r="AA92" i="5"/>
  <c r="Y92" i="5"/>
  <c r="W92" i="5"/>
  <c r="U92" i="5"/>
  <c r="S92" i="5"/>
  <c r="Q92" i="5"/>
  <c r="O92" i="5"/>
  <c r="M92" i="5"/>
  <c r="K92" i="5"/>
  <c r="I92" i="5"/>
  <c r="G92" i="5"/>
  <c r="AE91" i="5"/>
  <c r="AC91" i="5"/>
  <c r="AA91" i="5"/>
  <c r="Y91" i="5"/>
  <c r="W91" i="5"/>
  <c r="U91" i="5"/>
  <c r="S91" i="5"/>
  <c r="Q91" i="5"/>
  <c r="O91" i="5"/>
  <c r="M91" i="5"/>
  <c r="K91" i="5"/>
  <c r="I91" i="5"/>
  <c r="G91" i="5"/>
  <c r="AE90" i="5"/>
  <c r="AC90" i="5"/>
  <c r="AA90" i="5"/>
  <c r="Y90" i="5"/>
  <c r="W90" i="5"/>
  <c r="U90" i="5"/>
  <c r="S90" i="5"/>
  <c r="Q90" i="5"/>
  <c r="O90" i="5"/>
  <c r="M90" i="5"/>
  <c r="K90" i="5"/>
  <c r="I90" i="5"/>
  <c r="G90" i="5"/>
  <c r="AE89" i="5"/>
  <c r="AC89" i="5"/>
  <c r="AA89" i="5"/>
  <c r="Y89" i="5"/>
  <c r="W89" i="5"/>
  <c r="U89" i="5"/>
  <c r="S89" i="5"/>
  <c r="Q89" i="5"/>
  <c r="O89" i="5"/>
  <c r="M89" i="5"/>
  <c r="K89" i="5"/>
  <c r="I89" i="5"/>
  <c r="G89" i="5"/>
  <c r="AE88" i="5"/>
  <c r="AC88" i="5"/>
  <c r="AA88" i="5"/>
  <c r="Y88" i="5"/>
  <c r="W88" i="5"/>
  <c r="U88" i="5"/>
  <c r="S88" i="5"/>
  <c r="Q88" i="5"/>
  <c r="O88" i="5"/>
  <c r="M88" i="5"/>
  <c r="K88" i="5"/>
  <c r="I88" i="5"/>
  <c r="G88" i="5"/>
  <c r="AE87" i="5"/>
  <c r="AC87" i="5"/>
  <c r="AA87" i="5"/>
  <c r="Y87" i="5"/>
  <c r="W87" i="5"/>
  <c r="U87" i="5"/>
  <c r="S87" i="5"/>
  <c r="Q87" i="5"/>
  <c r="O87" i="5"/>
  <c r="M87" i="5"/>
  <c r="K87" i="5"/>
  <c r="I87" i="5"/>
  <c r="G87" i="5"/>
  <c r="AE86" i="5"/>
  <c r="AC86" i="5"/>
  <c r="AA86" i="5"/>
  <c r="Y86" i="5"/>
  <c r="W86" i="5"/>
  <c r="U86" i="5"/>
  <c r="S86" i="5"/>
  <c r="Q86" i="5"/>
  <c r="O86" i="5"/>
  <c r="M86" i="5"/>
  <c r="K86" i="5"/>
  <c r="I86" i="5"/>
  <c r="G86" i="5"/>
  <c r="AE85" i="5"/>
  <c r="AC85" i="5"/>
  <c r="AA85" i="5"/>
  <c r="Y85" i="5"/>
  <c r="W85" i="5"/>
  <c r="U85" i="5"/>
  <c r="S85" i="5"/>
  <c r="Q85" i="5"/>
  <c r="O85" i="5"/>
  <c r="M85" i="5"/>
  <c r="K85" i="5"/>
  <c r="I85" i="5"/>
  <c r="G85" i="5"/>
  <c r="AE84" i="5"/>
  <c r="AC84" i="5"/>
  <c r="AA84" i="5"/>
  <c r="Y84" i="5"/>
  <c r="W84" i="5"/>
  <c r="U84" i="5"/>
  <c r="S84" i="5"/>
  <c r="Q84" i="5"/>
  <c r="O84" i="5"/>
  <c r="M84" i="5"/>
  <c r="K84" i="5"/>
  <c r="I84" i="5"/>
  <c r="G84" i="5"/>
  <c r="AE83" i="5"/>
  <c r="AC83" i="5"/>
  <c r="AA83" i="5"/>
  <c r="Y83" i="5"/>
  <c r="W83" i="5"/>
  <c r="U83" i="5"/>
  <c r="S83" i="5"/>
  <c r="Q83" i="5"/>
  <c r="O83" i="5"/>
  <c r="M83" i="5"/>
  <c r="K83" i="5"/>
  <c r="I83" i="5"/>
  <c r="G83" i="5"/>
  <c r="AE82" i="5"/>
  <c r="AC82" i="5"/>
  <c r="AA82" i="5"/>
  <c r="Y82" i="5"/>
  <c r="W82" i="5"/>
  <c r="U82" i="5"/>
  <c r="S82" i="5"/>
  <c r="Q82" i="5"/>
  <c r="O82" i="5"/>
  <c r="M82" i="5"/>
  <c r="K82" i="5"/>
  <c r="I82" i="5"/>
  <c r="G82" i="5"/>
  <c r="AE81" i="5"/>
  <c r="AC81" i="5"/>
  <c r="AA81" i="5"/>
  <c r="Y81" i="5"/>
  <c r="W81" i="5"/>
  <c r="U81" i="5"/>
  <c r="S81" i="5"/>
  <c r="Q81" i="5"/>
  <c r="O81" i="5"/>
  <c r="M81" i="5"/>
  <c r="K81" i="5"/>
  <c r="I81" i="5"/>
  <c r="G81" i="5"/>
  <c r="AE80" i="5"/>
  <c r="AC80" i="5"/>
  <c r="AA80" i="5"/>
  <c r="Y80" i="5"/>
  <c r="W80" i="5"/>
  <c r="U80" i="5"/>
  <c r="S80" i="5"/>
  <c r="Q80" i="5"/>
  <c r="O80" i="5"/>
  <c r="M80" i="5"/>
  <c r="K80" i="5"/>
  <c r="I80" i="5"/>
  <c r="G80" i="5"/>
  <c r="AE79" i="5"/>
  <c r="AC79" i="5"/>
  <c r="AA79" i="5"/>
  <c r="Y79" i="5"/>
  <c r="W79" i="5"/>
  <c r="U79" i="5"/>
  <c r="S79" i="5"/>
  <c r="Q79" i="5"/>
  <c r="O79" i="5"/>
  <c r="M79" i="5"/>
  <c r="K79" i="5"/>
  <c r="I79" i="5"/>
  <c r="G79" i="5"/>
  <c r="AE78" i="5"/>
  <c r="AC78" i="5"/>
  <c r="AA78" i="5"/>
  <c r="Y78" i="5"/>
  <c r="W78" i="5"/>
  <c r="U78" i="5"/>
  <c r="S78" i="5"/>
  <c r="Q78" i="5"/>
  <c r="O78" i="5"/>
  <c r="M78" i="5"/>
  <c r="K78" i="5"/>
  <c r="I78" i="5"/>
  <c r="G78" i="5"/>
  <c r="AE77" i="5"/>
  <c r="AC77" i="5"/>
  <c r="AA77" i="5"/>
  <c r="Y77" i="5"/>
  <c r="W77" i="5"/>
  <c r="U77" i="5"/>
  <c r="S77" i="5"/>
  <c r="Q77" i="5"/>
  <c r="O77" i="5"/>
  <c r="M77" i="5"/>
  <c r="K77" i="5"/>
  <c r="I77" i="5"/>
  <c r="G77" i="5"/>
  <c r="AE76" i="5"/>
  <c r="AC76" i="5"/>
  <c r="AA76" i="5"/>
  <c r="Y76" i="5"/>
  <c r="W76" i="5"/>
  <c r="U76" i="5"/>
  <c r="S76" i="5"/>
  <c r="Q76" i="5"/>
  <c r="O76" i="5"/>
  <c r="M76" i="5"/>
  <c r="K76" i="5"/>
  <c r="I76" i="5"/>
  <c r="G76" i="5"/>
  <c r="AE75" i="5"/>
  <c r="AC75" i="5"/>
  <c r="AA75" i="5"/>
  <c r="Y75" i="5"/>
  <c r="W75" i="5"/>
  <c r="U75" i="5"/>
  <c r="S75" i="5"/>
  <c r="Q75" i="5"/>
  <c r="O75" i="5"/>
  <c r="M75" i="5"/>
  <c r="K75" i="5"/>
  <c r="I75" i="5"/>
  <c r="G75" i="5"/>
  <c r="AE74" i="5"/>
  <c r="AC74" i="5"/>
  <c r="AA74" i="5"/>
  <c r="Y74" i="5"/>
  <c r="W74" i="5"/>
  <c r="U74" i="5"/>
  <c r="S74" i="5"/>
  <c r="Q74" i="5"/>
  <c r="O74" i="5"/>
  <c r="M74" i="5"/>
  <c r="K74" i="5"/>
  <c r="I74" i="5"/>
  <c r="G74" i="5"/>
  <c r="AE73" i="5"/>
  <c r="AC73" i="5"/>
  <c r="AA73" i="5"/>
  <c r="Y73" i="5"/>
  <c r="W73" i="5"/>
  <c r="U73" i="5"/>
  <c r="S73" i="5"/>
  <c r="Q73" i="5"/>
  <c r="O73" i="5"/>
  <c r="M73" i="5"/>
  <c r="K73" i="5"/>
  <c r="I73" i="5"/>
  <c r="G73" i="5"/>
  <c r="AE72" i="5"/>
  <c r="AC72" i="5"/>
  <c r="AA72" i="5"/>
  <c r="Y72" i="5"/>
  <c r="W72" i="5"/>
  <c r="U72" i="5"/>
  <c r="S72" i="5"/>
  <c r="Q72" i="5"/>
  <c r="O72" i="5"/>
  <c r="M72" i="5"/>
  <c r="K72" i="5"/>
  <c r="I72" i="5"/>
  <c r="G72" i="5"/>
  <c r="AE71" i="5"/>
  <c r="AC71" i="5"/>
  <c r="AA71" i="5"/>
  <c r="Y71" i="5"/>
  <c r="W71" i="5"/>
  <c r="U71" i="5"/>
  <c r="S71" i="5"/>
  <c r="Q71" i="5"/>
  <c r="O71" i="5"/>
  <c r="M71" i="5"/>
  <c r="K71" i="5"/>
  <c r="I71" i="5"/>
  <c r="G71" i="5"/>
  <c r="AE70" i="5"/>
  <c r="AC70" i="5"/>
  <c r="AA70" i="5"/>
  <c r="Y70" i="5"/>
  <c r="W70" i="5"/>
  <c r="U70" i="5"/>
  <c r="S70" i="5"/>
  <c r="Q70" i="5"/>
  <c r="O70" i="5"/>
  <c r="M70" i="5"/>
  <c r="K70" i="5"/>
  <c r="I70" i="5"/>
  <c r="G70" i="5"/>
  <c r="AE69" i="5"/>
  <c r="AC69" i="5"/>
  <c r="AA69" i="5"/>
  <c r="Y69" i="5"/>
  <c r="W69" i="5"/>
  <c r="U69" i="5"/>
  <c r="S69" i="5"/>
  <c r="Q69" i="5"/>
  <c r="O69" i="5"/>
  <c r="M69" i="5"/>
  <c r="K69" i="5"/>
  <c r="I69" i="5"/>
  <c r="G69" i="5"/>
  <c r="AE68" i="5"/>
  <c r="AC68" i="5"/>
  <c r="AA68" i="5"/>
  <c r="Y68" i="5"/>
  <c r="W68" i="5"/>
  <c r="U68" i="5"/>
  <c r="S68" i="5"/>
  <c r="Q68" i="5"/>
  <c r="O68" i="5"/>
  <c r="M68" i="5"/>
  <c r="K68" i="5"/>
  <c r="I68" i="5"/>
  <c r="G68" i="5"/>
  <c r="AE67" i="5"/>
  <c r="AC67" i="5"/>
  <c r="AA67" i="5"/>
  <c r="Y67" i="5"/>
  <c r="W67" i="5"/>
  <c r="U67" i="5"/>
  <c r="S67" i="5"/>
  <c r="Q67" i="5"/>
  <c r="O67" i="5"/>
  <c r="M67" i="5"/>
  <c r="K67" i="5"/>
  <c r="I67" i="5"/>
  <c r="G67" i="5"/>
  <c r="AE66" i="5"/>
  <c r="AC66" i="5"/>
  <c r="AA66" i="5"/>
  <c r="Y66" i="5"/>
  <c r="W66" i="5"/>
  <c r="U66" i="5"/>
  <c r="S66" i="5"/>
  <c r="Q66" i="5"/>
  <c r="O66" i="5"/>
  <c r="M66" i="5"/>
  <c r="K66" i="5"/>
  <c r="I66" i="5"/>
  <c r="G66" i="5"/>
  <c r="AE64" i="5"/>
  <c r="AC64" i="5"/>
  <c r="AA64" i="5"/>
  <c r="Y64" i="5"/>
  <c r="W64" i="5"/>
  <c r="U64" i="5"/>
  <c r="S64" i="5"/>
  <c r="Q64" i="5"/>
  <c r="O64" i="5"/>
  <c r="M64" i="5"/>
  <c r="K64" i="5"/>
  <c r="I64" i="5"/>
  <c r="G64" i="5"/>
  <c r="AE63" i="5"/>
  <c r="AC63" i="5"/>
  <c r="AA63" i="5"/>
  <c r="Y63" i="5"/>
  <c r="W63" i="5"/>
  <c r="U63" i="5"/>
  <c r="S63" i="5"/>
  <c r="Q63" i="5"/>
  <c r="O63" i="5"/>
  <c r="M63" i="5"/>
  <c r="K63" i="5"/>
  <c r="I63" i="5"/>
  <c r="G63" i="5"/>
  <c r="AE62" i="5"/>
  <c r="AC62" i="5"/>
  <c r="AA62" i="5"/>
  <c r="Y62" i="5"/>
  <c r="W62" i="5"/>
  <c r="U62" i="5"/>
  <c r="S62" i="5"/>
  <c r="Q62" i="5"/>
  <c r="O62" i="5"/>
  <c r="M62" i="5"/>
  <c r="K62" i="5"/>
  <c r="I62" i="5"/>
  <c r="G62" i="5"/>
  <c r="AE61" i="5"/>
  <c r="AC61" i="5"/>
  <c r="AA61" i="5"/>
  <c r="Y61" i="5"/>
  <c r="W61" i="5"/>
  <c r="U61" i="5"/>
  <c r="S61" i="5"/>
  <c r="Q61" i="5"/>
  <c r="O61" i="5"/>
  <c r="M61" i="5"/>
  <c r="K61" i="5"/>
  <c r="I61" i="5"/>
  <c r="G61" i="5"/>
  <c r="AE60" i="5"/>
  <c r="AC60" i="5"/>
  <c r="AA60" i="5"/>
  <c r="Y60" i="5"/>
  <c r="W60" i="5"/>
  <c r="U60" i="5"/>
  <c r="S60" i="5"/>
  <c r="Q60" i="5"/>
  <c r="O60" i="5"/>
  <c r="M60" i="5"/>
  <c r="K60" i="5"/>
  <c r="I60" i="5"/>
  <c r="G60" i="5"/>
  <c r="AE59" i="5"/>
  <c r="AC59" i="5"/>
  <c r="AA59" i="5"/>
  <c r="Y59" i="5"/>
  <c r="W59" i="5"/>
  <c r="U59" i="5"/>
  <c r="S59" i="5"/>
  <c r="Q59" i="5"/>
  <c r="O59" i="5"/>
  <c r="M59" i="5"/>
  <c r="K59" i="5"/>
  <c r="I59" i="5"/>
  <c r="G59" i="5"/>
  <c r="AE58" i="5"/>
  <c r="AC58" i="5"/>
  <c r="AA58" i="5"/>
  <c r="Y58" i="5"/>
  <c r="W58" i="5"/>
  <c r="U58" i="5"/>
  <c r="S58" i="5"/>
  <c r="Q58" i="5"/>
  <c r="O58" i="5"/>
  <c r="M58" i="5"/>
  <c r="K58" i="5"/>
  <c r="I58" i="5"/>
  <c r="G58" i="5"/>
  <c r="AE57" i="5"/>
  <c r="AC57" i="5"/>
  <c r="AA57" i="5"/>
  <c r="Y57" i="5"/>
  <c r="W57" i="5"/>
  <c r="U57" i="5"/>
  <c r="S57" i="5"/>
  <c r="Q57" i="5"/>
  <c r="O57" i="5"/>
  <c r="M57" i="5"/>
  <c r="K57" i="5"/>
  <c r="I57" i="5"/>
  <c r="G57" i="5"/>
  <c r="AE56" i="5"/>
  <c r="AC56" i="5"/>
  <c r="AA56" i="5"/>
  <c r="Y56" i="5"/>
  <c r="W56" i="5"/>
  <c r="U56" i="5"/>
  <c r="S56" i="5"/>
  <c r="Q56" i="5"/>
  <c r="O56" i="5"/>
  <c r="M56" i="5"/>
  <c r="K56" i="5"/>
  <c r="I56" i="5"/>
  <c r="G56" i="5"/>
  <c r="AE55" i="5"/>
  <c r="AC55" i="5"/>
  <c r="AA55" i="5"/>
  <c r="Y55" i="5"/>
  <c r="W55" i="5"/>
  <c r="U55" i="5"/>
  <c r="S55" i="5"/>
  <c r="Q55" i="5"/>
  <c r="O55" i="5"/>
  <c r="M55" i="5"/>
  <c r="K55" i="5"/>
  <c r="I55" i="5"/>
  <c r="G55" i="5"/>
  <c r="AE54" i="5"/>
  <c r="AC54" i="5"/>
  <c r="AA54" i="5"/>
  <c r="Y54" i="5"/>
  <c r="W54" i="5"/>
  <c r="U54" i="5"/>
  <c r="S54" i="5"/>
  <c r="Q54" i="5"/>
  <c r="O54" i="5"/>
  <c r="M54" i="5"/>
  <c r="K54" i="5"/>
  <c r="I54" i="5"/>
  <c r="G54" i="5"/>
  <c r="AE53" i="5"/>
  <c r="AC53" i="5"/>
  <c r="AA53" i="5"/>
  <c r="Y53" i="5"/>
  <c r="W53" i="5"/>
  <c r="U53" i="5"/>
  <c r="S53" i="5"/>
  <c r="Q53" i="5"/>
  <c r="O53" i="5"/>
  <c r="M53" i="5"/>
  <c r="K53" i="5"/>
  <c r="I53" i="5"/>
  <c r="G53" i="5"/>
  <c r="AE52" i="5"/>
  <c r="AC52" i="5"/>
  <c r="AA52" i="5"/>
  <c r="Y52" i="5"/>
  <c r="W52" i="5"/>
  <c r="U52" i="5"/>
  <c r="S52" i="5"/>
  <c r="Q52" i="5"/>
  <c r="O52" i="5"/>
  <c r="M52" i="5"/>
  <c r="K52" i="5"/>
  <c r="I52" i="5"/>
  <c r="G52" i="5"/>
  <c r="AE51" i="5"/>
  <c r="AC51" i="5"/>
  <c r="AA51" i="5"/>
  <c r="Y51" i="5"/>
  <c r="W51" i="5"/>
  <c r="U51" i="5"/>
  <c r="S51" i="5"/>
  <c r="Q51" i="5"/>
  <c r="O51" i="5"/>
  <c r="M51" i="5"/>
  <c r="K51" i="5"/>
  <c r="I51" i="5"/>
  <c r="G51" i="5"/>
  <c r="AE50" i="5"/>
  <c r="AC50" i="5"/>
  <c r="AA50" i="5"/>
  <c r="Y50" i="5"/>
  <c r="W50" i="5"/>
  <c r="U50" i="5"/>
  <c r="S50" i="5"/>
  <c r="Q50" i="5"/>
  <c r="O50" i="5"/>
  <c r="M50" i="5"/>
  <c r="K50" i="5"/>
  <c r="I50" i="5"/>
  <c r="G50" i="5"/>
  <c r="AE49" i="5"/>
  <c r="AC49" i="5"/>
  <c r="AA49" i="5"/>
  <c r="Y49" i="5"/>
  <c r="W49" i="5"/>
  <c r="U49" i="5"/>
  <c r="S49" i="5"/>
  <c r="Q49" i="5"/>
  <c r="O49" i="5"/>
  <c r="M49" i="5"/>
  <c r="K49" i="5"/>
  <c r="I49" i="5"/>
  <c r="G49" i="5"/>
  <c r="AE48" i="5"/>
  <c r="AC48" i="5"/>
  <c r="AA48" i="5"/>
  <c r="Y48" i="5"/>
  <c r="W48" i="5"/>
  <c r="U48" i="5"/>
  <c r="S48" i="5"/>
  <c r="Q48" i="5"/>
  <c r="O48" i="5"/>
  <c r="M48" i="5"/>
  <c r="K48" i="5"/>
  <c r="I48" i="5"/>
  <c r="G48" i="5"/>
  <c r="AE47" i="5"/>
  <c r="AC47" i="5"/>
  <c r="AA47" i="5"/>
  <c r="Y47" i="5"/>
  <c r="W47" i="5"/>
  <c r="U47" i="5"/>
  <c r="S47" i="5"/>
  <c r="Q47" i="5"/>
  <c r="O47" i="5"/>
  <c r="M47" i="5"/>
  <c r="K47" i="5"/>
  <c r="I47" i="5"/>
  <c r="G47" i="5"/>
  <c r="AE46" i="5"/>
  <c r="AC46" i="5"/>
  <c r="AA46" i="5"/>
  <c r="Y46" i="5"/>
  <c r="W46" i="5"/>
  <c r="U46" i="5"/>
  <c r="S46" i="5"/>
  <c r="Q46" i="5"/>
  <c r="O46" i="5"/>
  <c r="M46" i="5"/>
  <c r="K46" i="5"/>
  <c r="I46" i="5"/>
  <c r="G46" i="5"/>
  <c r="AE45" i="5"/>
  <c r="AC45" i="5"/>
  <c r="AA45" i="5"/>
  <c r="Y45" i="5"/>
  <c r="W45" i="5"/>
  <c r="U45" i="5"/>
  <c r="S45" i="5"/>
  <c r="Q45" i="5"/>
  <c r="O45" i="5"/>
  <c r="M45" i="5"/>
  <c r="K45" i="5"/>
  <c r="I45" i="5"/>
  <c r="G45" i="5"/>
  <c r="AE44" i="5"/>
  <c r="AC44" i="5"/>
  <c r="AA44" i="5"/>
  <c r="Y44" i="5"/>
  <c r="W44" i="5"/>
  <c r="U44" i="5"/>
  <c r="S44" i="5"/>
  <c r="Q44" i="5"/>
  <c r="O44" i="5"/>
  <c r="M44" i="5"/>
  <c r="K44" i="5"/>
  <c r="I44" i="5"/>
  <c r="G44" i="5"/>
  <c r="AE43" i="5"/>
  <c r="AC43" i="5"/>
  <c r="AA43" i="5"/>
  <c r="Y43" i="5"/>
  <c r="W43" i="5"/>
  <c r="U43" i="5"/>
  <c r="S43" i="5"/>
  <c r="Q43" i="5"/>
  <c r="O43" i="5"/>
  <c r="M43" i="5"/>
  <c r="K43" i="5"/>
  <c r="I43" i="5"/>
  <c r="G43" i="5"/>
  <c r="AE42" i="5"/>
  <c r="AC42" i="5"/>
  <c r="AA42" i="5"/>
  <c r="Y42" i="5"/>
  <c r="W42" i="5"/>
  <c r="U42" i="5"/>
  <c r="S42" i="5"/>
  <c r="Q42" i="5"/>
  <c r="O42" i="5"/>
  <c r="M42" i="5"/>
  <c r="K42" i="5"/>
  <c r="I42" i="5"/>
  <c r="G42" i="5"/>
  <c r="AE41" i="5"/>
  <c r="AC41" i="5"/>
  <c r="AA41" i="5"/>
  <c r="Y41" i="5"/>
  <c r="W41" i="5"/>
  <c r="U41" i="5"/>
  <c r="S41" i="5"/>
  <c r="Q41" i="5"/>
  <c r="O41" i="5"/>
  <c r="M41" i="5"/>
  <c r="K41" i="5"/>
  <c r="I41" i="5"/>
  <c r="G41" i="5"/>
  <c r="AE40" i="5"/>
  <c r="AC40" i="5"/>
  <c r="AA40" i="5"/>
  <c r="Y40" i="5"/>
  <c r="W40" i="5"/>
  <c r="U40" i="5"/>
  <c r="S40" i="5"/>
  <c r="Q40" i="5"/>
  <c r="O40" i="5"/>
  <c r="M40" i="5"/>
  <c r="K40" i="5"/>
  <c r="I40" i="5"/>
  <c r="G40" i="5"/>
  <c r="AE39" i="5"/>
  <c r="AC39" i="5"/>
  <c r="AA39" i="5"/>
  <c r="Y39" i="5"/>
  <c r="W39" i="5"/>
  <c r="U39" i="5"/>
  <c r="S39" i="5"/>
  <c r="Q39" i="5"/>
  <c r="O39" i="5"/>
  <c r="M39" i="5"/>
  <c r="K39" i="5"/>
  <c r="I39" i="5"/>
  <c r="G39" i="5"/>
  <c r="AE38" i="5"/>
  <c r="AC38" i="5"/>
  <c r="AA38" i="5"/>
  <c r="Y38" i="5"/>
  <c r="W38" i="5"/>
  <c r="U38" i="5"/>
  <c r="S38" i="5"/>
  <c r="Q38" i="5"/>
  <c r="O38" i="5"/>
  <c r="M38" i="5"/>
  <c r="K38" i="5"/>
  <c r="I38" i="5"/>
  <c r="G38" i="5"/>
  <c r="AE37" i="5"/>
  <c r="AC37" i="5"/>
  <c r="AA37" i="5"/>
  <c r="Y37" i="5"/>
  <c r="W37" i="5"/>
  <c r="U37" i="5"/>
  <c r="S37" i="5"/>
  <c r="Q37" i="5"/>
  <c r="O37" i="5"/>
  <c r="M37" i="5"/>
  <c r="K37" i="5"/>
  <c r="I37" i="5"/>
  <c r="G37" i="5"/>
  <c r="AE36" i="5"/>
  <c r="AC36" i="5"/>
  <c r="AA36" i="5"/>
  <c r="Y36" i="5"/>
  <c r="W36" i="5"/>
  <c r="U36" i="5"/>
  <c r="S36" i="5"/>
  <c r="Q36" i="5"/>
  <c r="O36" i="5"/>
  <c r="M36" i="5"/>
  <c r="K36" i="5"/>
  <c r="I36" i="5"/>
  <c r="G36" i="5"/>
  <c r="AE35" i="5"/>
  <c r="AC35" i="5"/>
  <c r="AA35" i="5"/>
  <c r="Y35" i="5"/>
  <c r="W35" i="5"/>
  <c r="U35" i="5"/>
  <c r="S35" i="5"/>
  <c r="Q35" i="5"/>
  <c r="O35" i="5"/>
  <c r="M35" i="5"/>
  <c r="K35" i="5"/>
  <c r="I35" i="5"/>
  <c r="G35" i="5"/>
  <c r="AE34" i="5"/>
  <c r="AC34" i="5"/>
  <c r="AA34" i="5"/>
  <c r="Y34" i="5"/>
  <c r="W34" i="5"/>
  <c r="U34" i="5"/>
  <c r="S34" i="5"/>
  <c r="Q34" i="5"/>
  <c r="O34" i="5"/>
  <c r="M34" i="5"/>
  <c r="K34" i="5"/>
  <c r="I34" i="5"/>
  <c r="G34" i="5"/>
  <c r="AE33" i="5"/>
  <c r="AC33" i="5"/>
  <c r="AA33" i="5"/>
  <c r="Y33" i="5"/>
  <c r="W33" i="5"/>
  <c r="U33" i="5"/>
  <c r="S33" i="5"/>
  <c r="Q33" i="5"/>
  <c r="O33" i="5"/>
  <c r="M33" i="5"/>
  <c r="K33" i="5"/>
  <c r="I33" i="5"/>
  <c r="G33" i="5"/>
  <c r="AE32" i="5"/>
  <c r="AC32" i="5"/>
  <c r="AA32" i="5"/>
  <c r="Y32" i="5"/>
  <c r="W32" i="5"/>
  <c r="U32" i="5"/>
  <c r="S32" i="5"/>
  <c r="Q32" i="5"/>
  <c r="O32" i="5"/>
  <c r="M32" i="5"/>
  <c r="K32" i="5"/>
  <c r="I32" i="5"/>
  <c r="G32" i="5"/>
  <c r="AE31" i="5"/>
  <c r="AC31" i="5"/>
  <c r="AA31" i="5"/>
  <c r="Y31" i="5"/>
  <c r="W31" i="5"/>
  <c r="U31" i="5"/>
  <c r="S31" i="5"/>
  <c r="Q31" i="5"/>
  <c r="O31" i="5"/>
  <c r="M31" i="5"/>
  <c r="K31" i="5"/>
  <c r="I31" i="5"/>
  <c r="G31" i="5"/>
  <c r="AE30" i="5"/>
  <c r="AC30" i="5"/>
  <c r="AA30" i="5"/>
  <c r="Y30" i="5"/>
  <c r="W30" i="5"/>
  <c r="U30" i="5"/>
  <c r="S30" i="5"/>
  <c r="Q30" i="5"/>
  <c r="O30" i="5"/>
  <c r="M30" i="5"/>
  <c r="K30" i="5"/>
  <c r="I30" i="5"/>
  <c r="G30" i="5"/>
  <c r="AE29" i="5"/>
  <c r="AC29" i="5"/>
  <c r="AA29" i="5"/>
  <c r="Y29" i="5"/>
  <c r="W29" i="5"/>
  <c r="U29" i="5"/>
  <c r="S29" i="5"/>
  <c r="Q29" i="5"/>
  <c r="O29" i="5"/>
  <c r="M29" i="5"/>
  <c r="K29" i="5"/>
  <c r="I29" i="5"/>
  <c r="G29" i="5"/>
  <c r="AE28" i="5"/>
  <c r="AC28" i="5"/>
  <c r="AA28" i="5"/>
  <c r="Y28" i="5"/>
  <c r="W28" i="5"/>
  <c r="U28" i="5"/>
  <c r="S28" i="5"/>
  <c r="Q28" i="5"/>
  <c r="O28" i="5"/>
  <c r="M28" i="5"/>
  <c r="K28" i="5"/>
  <c r="I28" i="5"/>
  <c r="G28" i="5"/>
  <c r="AE27" i="5"/>
  <c r="AC27" i="5"/>
  <c r="AA27" i="5"/>
  <c r="Y27" i="5"/>
  <c r="W27" i="5"/>
  <c r="U27" i="5"/>
  <c r="S27" i="5"/>
  <c r="Q27" i="5"/>
  <c r="O27" i="5"/>
  <c r="M27" i="5"/>
  <c r="K27" i="5"/>
  <c r="I27" i="5"/>
  <c r="G27" i="5"/>
  <c r="AE26" i="5"/>
  <c r="AC26" i="5"/>
  <c r="AA26" i="5"/>
  <c r="Y26" i="5"/>
  <c r="W26" i="5"/>
  <c r="U26" i="5"/>
  <c r="S26" i="5"/>
  <c r="Q26" i="5"/>
  <c r="O26" i="5"/>
  <c r="M26" i="5"/>
  <c r="K26" i="5"/>
  <c r="I26" i="5"/>
  <c r="G26" i="5"/>
  <c r="AE25" i="5"/>
  <c r="AC25" i="5"/>
  <c r="AA25" i="5"/>
  <c r="Y25" i="5"/>
  <c r="W25" i="5"/>
  <c r="U25" i="5"/>
  <c r="S25" i="5"/>
  <c r="Q25" i="5"/>
  <c r="O25" i="5"/>
  <c r="M25" i="5"/>
  <c r="K25" i="5"/>
  <c r="I25" i="5"/>
  <c r="G25" i="5"/>
  <c r="AE24" i="5"/>
  <c r="AC24" i="5"/>
  <c r="AA24" i="5"/>
  <c r="Y24" i="5"/>
  <c r="W24" i="5"/>
  <c r="U24" i="5"/>
  <c r="S24" i="5"/>
  <c r="Q24" i="5"/>
  <c r="O24" i="5"/>
  <c r="M24" i="5"/>
  <c r="K24" i="5"/>
  <c r="I24" i="5"/>
  <c r="G24" i="5"/>
  <c r="AE23" i="5"/>
  <c r="AC23" i="5"/>
  <c r="AA23" i="5"/>
  <c r="Y23" i="5"/>
  <c r="W23" i="5"/>
  <c r="U23" i="5"/>
  <c r="S23" i="5"/>
  <c r="Q23" i="5"/>
  <c r="O23" i="5"/>
  <c r="M23" i="5"/>
  <c r="K23" i="5"/>
  <c r="I23" i="5"/>
  <c r="G23" i="5"/>
  <c r="AE22" i="5"/>
  <c r="AC22" i="5"/>
  <c r="AA22" i="5"/>
  <c r="Y22" i="5"/>
  <c r="W22" i="5"/>
  <c r="U22" i="5"/>
  <c r="S22" i="5"/>
  <c r="Q22" i="5"/>
  <c r="O22" i="5"/>
  <c r="M22" i="5"/>
  <c r="K22" i="5"/>
  <c r="I22" i="5"/>
  <c r="G22" i="5"/>
  <c r="AE21" i="5"/>
  <c r="AC21" i="5"/>
  <c r="AA21" i="5"/>
  <c r="Y21" i="5"/>
  <c r="W21" i="5"/>
  <c r="U21" i="5"/>
  <c r="S21" i="5"/>
  <c r="Q21" i="5"/>
  <c r="O21" i="5"/>
  <c r="M21" i="5"/>
  <c r="K21" i="5"/>
  <c r="I21" i="5"/>
  <c r="G21" i="5"/>
  <c r="AE20" i="5"/>
  <c r="AC20" i="5"/>
  <c r="AA20" i="5"/>
  <c r="Y20" i="5"/>
  <c r="W20" i="5"/>
  <c r="U20" i="5"/>
  <c r="S20" i="5"/>
  <c r="Q20" i="5"/>
  <c r="O20" i="5"/>
  <c r="M20" i="5"/>
  <c r="K20" i="5"/>
  <c r="I20" i="5"/>
  <c r="G20" i="5"/>
  <c r="AE19" i="5"/>
  <c r="AC19" i="5"/>
  <c r="AA19" i="5"/>
  <c r="Y19" i="5"/>
  <c r="W19" i="5"/>
  <c r="U19" i="5"/>
  <c r="S19" i="5"/>
  <c r="Q19" i="5"/>
  <c r="O19" i="5"/>
  <c r="M19" i="5"/>
  <c r="K19" i="5"/>
  <c r="I19" i="5"/>
  <c r="G19" i="5"/>
  <c r="AE18" i="5"/>
  <c r="AC18" i="5"/>
  <c r="AA18" i="5"/>
  <c r="Y18" i="5"/>
  <c r="W18" i="5"/>
  <c r="U18" i="5"/>
  <c r="S18" i="5"/>
  <c r="Q18" i="5"/>
  <c r="O18" i="5"/>
  <c r="M18" i="5"/>
  <c r="K18" i="5"/>
  <c r="I18" i="5"/>
  <c r="G18" i="5"/>
  <c r="AE17" i="5"/>
  <c r="AC17" i="5"/>
  <c r="AA17" i="5"/>
  <c r="Y17" i="5"/>
  <c r="W17" i="5"/>
  <c r="U17" i="5"/>
  <c r="S17" i="5"/>
  <c r="Q17" i="5"/>
  <c r="O17" i="5"/>
  <c r="M17" i="5"/>
  <c r="K17" i="5"/>
  <c r="I17" i="5"/>
  <c r="G17" i="5"/>
  <c r="AE16" i="5"/>
  <c r="AC16" i="5"/>
  <c r="AA16" i="5"/>
  <c r="Y16" i="5"/>
  <c r="W16" i="5"/>
  <c r="U16" i="5"/>
  <c r="S16" i="5"/>
  <c r="Q16" i="5"/>
  <c r="O16" i="5"/>
  <c r="M16" i="5"/>
  <c r="K16" i="5"/>
  <c r="I16" i="5"/>
  <c r="G16" i="5"/>
  <c r="AE15" i="5"/>
  <c r="AC15" i="5"/>
  <c r="AA15" i="5"/>
  <c r="Y15" i="5"/>
  <c r="W15" i="5"/>
  <c r="U15" i="5"/>
  <c r="S15" i="5"/>
  <c r="Q15" i="5"/>
  <c r="O15" i="5"/>
  <c r="M15" i="5"/>
  <c r="K15" i="5"/>
  <c r="I15" i="5"/>
  <c r="G15" i="5"/>
  <c r="AE14" i="5"/>
  <c r="AC14" i="5"/>
  <c r="AA14" i="5"/>
  <c r="Y14" i="5"/>
  <c r="W14" i="5"/>
  <c r="U14" i="5"/>
  <c r="S14" i="5"/>
  <c r="Q14" i="5"/>
  <c r="O14" i="5"/>
  <c r="M14" i="5"/>
  <c r="K14" i="5"/>
  <c r="I14" i="5"/>
  <c r="G14" i="5"/>
  <c r="AE13" i="5"/>
  <c r="AC13" i="5"/>
  <c r="AA13" i="5"/>
  <c r="Y13" i="5"/>
  <c r="W13" i="5"/>
  <c r="U13" i="5"/>
  <c r="S13" i="5"/>
  <c r="Q13" i="5"/>
  <c r="O13" i="5"/>
  <c r="M13" i="5"/>
  <c r="K13" i="5"/>
  <c r="I13" i="5"/>
  <c r="G13" i="5"/>
  <c r="AE12" i="5"/>
  <c r="AC12" i="5"/>
  <c r="AA12" i="5"/>
  <c r="Y12" i="5"/>
  <c r="W12" i="5"/>
  <c r="U12" i="5"/>
  <c r="S12" i="5"/>
  <c r="Q12" i="5"/>
  <c r="O12" i="5"/>
  <c r="M12" i="5"/>
  <c r="K12" i="5"/>
  <c r="I12" i="5"/>
  <c r="G12" i="5"/>
  <c r="AE11" i="5"/>
  <c r="AC11" i="5"/>
  <c r="AA11" i="5"/>
  <c r="Y11" i="5"/>
  <c r="W11" i="5"/>
  <c r="U11" i="5"/>
  <c r="S11" i="5"/>
  <c r="Q11" i="5"/>
  <c r="O11" i="5"/>
  <c r="M11" i="5"/>
  <c r="K11" i="5"/>
  <c r="I11" i="5"/>
  <c r="G11" i="5"/>
  <c r="AE10" i="5"/>
  <c r="AC10" i="5"/>
  <c r="AA10" i="5"/>
  <c r="Y10" i="5"/>
  <c r="W10" i="5"/>
  <c r="U10" i="5"/>
  <c r="S10" i="5"/>
  <c r="Q10" i="5"/>
  <c r="O10" i="5"/>
  <c r="M10" i="5"/>
  <c r="K10" i="5"/>
  <c r="I10" i="5"/>
  <c r="G10" i="5"/>
  <c r="AE9" i="5"/>
  <c r="AC9" i="5"/>
  <c r="AA9" i="5"/>
  <c r="Y9" i="5"/>
  <c r="W9" i="5"/>
  <c r="U9" i="5"/>
  <c r="S9" i="5"/>
  <c r="Q9" i="5"/>
  <c r="O9" i="5"/>
  <c r="M9" i="5"/>
  <c r="K9" i="5"/>
  <c r="I9" i="5"/>
  <c r="G9" i="5"/>
  <c r="AE8" i="5"/>
  <c r="AC8" i="5"/>
  <c r="AA8" i="5"/>
  <c r="Y8" i="5"/>
  <c r="W8" i="5"/>
  <c r="U8" i="5"/>
  <c r="S8" i="5"/>
  <c r="Q8" i="5"/>
  <c r="O8" i="5"/>
  <c r="M8" i="5"/>
  <c r="K8" i="5"/>
  <c r="I8" i="5"/>
  <c r="G8" i="5"/>
  <c r="AE7" i="5"/>
  <c r="AC7" i="5"/>
  <c r="AA7" i="5"/>
  <c r="Y7" i="5"/>
  <c r="W7" i="5"/>
  <c r="U7" i="5"/>
  <c r="S7" i="5"/>
  <c r="Q7" i="5"/>
  <c r="O7" i="5"/>
  <c r="M7" i="5"/>
  <c r="K7" i="5"/>
  <c r="I7" i="5"/>
  <c r="G7" i="5"/>
  <c r="AE6" i="5"/>
  <c r="AC6" i="5"/>
  <c r="AA6" i="5"/>
  <c r="Y6" i="5"/>
  <c r="W6" i="5"/>
  <c r="U6" i="5"/>
  <c r="S6" i="5"/>
  <c r="Q6" i="5"/>
  <c r="O6" i="5"/>
  <c r="M6" i="5"/>
  <c r="K6" i="5"/>
  <c r="I6" i="5"/>
  <c r="G6" i="5"/>
  <c r="AE5" i="5"/>
  <c r="AC5" i="5"/>
  <c r="AA5" i="5"/>
  <c r="Y5" i="5"/>
  <c r="W5" i="5"/>
  <c r="U5" i="5"/>
  <c r="S5" i="5"/>
  <c r="Q5" i="5"/>
  <c r="O5" i="5"/>
  <c r="M5" i="5"/>
  <c r="K5" i="5"/>
  <c r="I5" i="5"/>
  <c r="G5" i="5"/>
  <c r="AC4" i="5"/>
  <c r="AC129" i="5" s="1"/>
  <c r="AA4" i="5"/>
  <c r="Y4" i="5"/>
  <c r="W4" i="5"/>
  <c r="U4" i="5"/>
  <c r="S4" i="5"/>
  <c r="Q4" i="5"/>
  <c r="Q129" i="5" s="1"/>
  <c r="O4" i="5"/>
  <c r="M4" i="5"/>
  <c r="K4" i="5"/>
  <c r="I4" i="5"/>
  <c r="G4" i="5"/>
  <c r="G145" i="7" l="1"/>
  <c r="K145" i="7"/>
  <c r="V158" i="8"/>
  <c r="J11" i="4"/>
  <c r="T158" i="8"/>
  <c r="AE158" i="8"/>
  <c r="AA145" i="7"/>
  <c r="U145" i="7"/>
  <c r="Y145" i="7"/>
  <c r="W129" i="5"/>
  <c r="Q144" i="5"/>
  <c r="M129" i="5"/>
  <c r="M145" i="5" s="1"/>
  <c r="Y129" i="5"/>
  <c r="U144" i="5"/>
  <c r="S144" i="5"/>
  <c r="AA144" i="5"/>
  <c r="Q145" i="7"/>
  <c r="R158" i="8"/>
  <c r="K129" i="5"/>
  <c r="S129" i="5"/>
  <c r="S145" i="5" s="1"/>
  <c r="G144" i="5"/>
  <c r="Y144" i="5"/>
  <c r="O129" i="5"/>
  <c r="O145" i="5" s="1"/>
  <c r="AA129" i="5"/>
  <c r="W144" i="5"/>
  <c r="S145" i="7"/>
  <c r="G129" i="5"/>
  <c r="G145" i="5" s="1"/>
  <c r="O144" i="5"/>
  <c r="I144" i="5"/>
  <c r="I145" i="5" s="1"/>
  <c r="AC145" i="6"/>
  <c r="N158" i="8"/>
  <c r="Q145" i="5"/>
  <c r="AD129" i="5"/>
  <c r="I129" i="5"/>
  <c r="U129" i="5"/>
  <c r="U145" i="5" s="1"/>
  <c r="AC144" i="5"/>
  <c r="AC145" i="5" s="1"/>
  <c r="K144" i="5"/>
  <c r="W145" i="7"/>
  <c r="AA145" i="5"/>
  <c r="Y145" i="5"/>
  <c r="K145" i="5"/>
  <c r="AD145" i="6"/>
  <c r="AE4" i="5"/>
  <c r="AE129" i="5" s="1"/>
  <c r="AD144" i="5"/>
  <c r="AD145" i="5" s="1"/>
  <c r="Y145" i="6"/>
  <c r="AA145" i="6"/>
  <c r="S145" i="6"/>
  <c r="AF157" i="8"/>
  <c r="AF140" i="8"/>
  <c r="L158" i="8"/>
  <c r="J158" i="8"/>
  <c r="H158" i="8"/>
  <c r="AE145" i="7"/>
  <c r="AE145" i="6"/>
  <c r="AE144" i="5"/>
  <c r="H16" i="4"/>
  <c r="G16" i="4"/>
  <c r="F16" i="4"/>
  <c r="E16" i="4"/>
  <c r="D16" i="4"/>
  <c r="C16" i="4"/>
  <c r="M13" i="4"/>
  <c r="M12" i="4"/>
  <c r="N10" i="4"/>
  <c r="M9" i="4"/>
  <c r="M8" i="4"/>
  <c r="M16" i="4" l="1"/>
  <c r="N14" i="4"/>
  <c r="C18" i="4"/>
  <c r="C19" i="4" s="1"/>
  <c r="M5" i="4"/>
  <c r="W145" i="5"/>
  <c r="N7" i="4"/>
  <c r="N11" i="4"/>
  <c r="N15" i="4"/>
  <c r="M10" i="4"/>
  <c r="M14" i="4"/>
  <c r="N5" i="4"/>
  <c r="E18" i="4"/>
  <c r="E19" i="4" s="1"/>
  <c r="N9" i="4"/>
  <c r="N13" i="4"/>
  <c r="D18" i="4"/>
  <c r="D19" i="4" s="1"/>
  <c r="F18" i="4"/>
  <c r="F19" i="4" s="1"/>
  <c r="G18" i="4"/>
  <c r="G19" i="4" s="1"/>
  <c r="N8" i="4"/>
  <c r="N12" i="4"/>
  <c r="N16" i="4"/>
  <c r="H18" i="4"/>
  <c r="H19" i="4" s="1"/>
  <c r="M7" i="4"/>
  <c r="M11" i="4"/>
  <c r="M15" i="4"/>
  <c r="AF158" i="8"/>
  <c r="AE145" i="5"/>
  <c r="N4" i="4"/>
  <c r="M4" i="4"/>
  <c r="F43" i="3" l="1"/>
  <c r="F42" i="3"/>
  <c r="F41" i="3"/>
  <c r="F40" i="3"/>
  <c r="F39" i="3"/>
  <c r="F38" i="3"/>
  <c r="F35" i="3"/>
  <c r="F34" i="3"/>
  <c r="F33" i="3"/>
  <c r="F32" i="3"/>
  <c r="F31" i="3"/>
  <c r="F30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2" i="3"/>
  <c r="F9" i="3"/>
  <c r="F8" i="3"/>
  <c r="F7" i="3"/>
  <c r="F6" i="3"/>
  <c r="F5" i="3"/>
  <c r="F4" i="3"/>
  <c r="F3" i="3"/>
  <c r="D18" i="2"/>
  <c r="N17" i="2"/>
  <c r="M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M10" i="2" s="1"/>
  <c r="D10" i="2"/>
  <c r="C10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M6" i="2" s="1"/>
  <c r="D6" i="2"/>
  <c r="C6" i="2"/>
  <c r="J5" i="2"/>
  <c r="I5" i="2"/>
  <c r="H5" i="2"/>
  <c r="G5" i="2"/>
  <c r="F5" i="2"/>
  <c r="E5" i="2"/>
  <c r="D5" i="2"/>
  <c r="C5" i="2"/>
  <c r="J4" i="2"/>
  <c r="I4" i="2"/>
  <c r="I18" i="2" s="1"/>
  <c r="H4" i="2"/>
  <c r="G4" i="2"/>
  <c r="F4" i="2"/>
  <c r="E4" i="2"/>
  <c r="D4" i="2"/>
  <c r="C4" i="2"/>
  <c r="M4" i="2" l="1"/>
  <c r="M14" i="2"/>
  <c r="E18" i="2"/>
  <c r="N9" i="2"/>
  <c r="N13" i="2"/>
  <c r="C18" i="2"/>
  <c r="M7" i="2"/>
  <c r="M11" i="2"/>
  <c r="M15" i="2"/>
  <c r="N4" i="2"/>
  <c r="N5" i="2"/>
  <c r="N6" i="2"/>
  <c r="N10" i="2"/>
  <c r="N14" i="2"/>
  <c r="F18" i="2"/>
  <c r="G18" i="2"/>
  <c r="M9" i="2"/>
  <c r="M13" i="2"/>
  <c r="H18" i="2"/>
  <c r="N8" i="2"/>
  <c r="N12" i="2"/>
  <c r="N16" i="2"/>
  <c r="M8" i="2"/>
  <c r="M12" i="2"/>
  <c r="M16" i="2"/>
  <c r="J18" i="2"/>
  <c r="N7" i="2"/>
  <c r="N11" i="2"/>
  <c r="N15" i="2"/>
  <c r="M5" i="2"/>
  <c r="N18" i="2" l="1"/>
  <c r="M18" i="2"/>
  <c r="I18" i="4" l="1"/>
  <c r="I19" i="4" s="1"/>
  <c r="M6" i="4"/>
  <c r="M18" i="4" s="1"/>
  <c r="J18" i="4" l="1"/>
  <c r="J19" i="4" s="1"/>
  <c r="N6" i="4"/>
  <c r="N18" i="4" s="1"/>
</calcChain>
</file>

<file path=xl/sharedStrings.xml><?xml version="1.0" encoding="utf-8"?>
<sst xmlns="http://schemas.openxmlformats.org/spreadsheetml/2006/main" count="4777" uniqueCount="240">
  <si>
    <t>MTL</t>
  </si>
  <si>
    <t>Sr.</t>
  </si>
  <si>
    <t xml:space="preserve">Product Name </t>
  </si>
  <si>
    <t>Ranking</t>
  </si>
  <si>
    <t>ML</t>
  </si>
  <si>
    <t xml:space="preserve">Packing </t>
  </si>
  <si>
    <t>Sales Price</t>
  </si>
  <si>
    <t>2022 Average</t>
  </si>
  <si>
    <t>2023 Average</t>
  </si>
  <si>
    <t>2024 Average</t>
  </si>
  <si>
    <t>2025 Total</t>
  </si>
  <si>
    <t>Bot</t>
  </si>
  <si>
    <t>Lit</t>
  </si>
  <si>
    <t>"Zay" Vodka 700-ml</t>
  </si>
  <si>
    <t>ပုလင်း</t>
  </si>
  <si>
    <t>1 * 12</t>
  </si>
  <si>
    <t>"Zay" Vodka (1 Liter)</t>
  </si>
  <si>
    <t>‌ကော်ဘူး</t>
  </si>
  <si>
    <t>"Zay" (1 Liter)</t>
  </si>
  <si>
    <t>"Zay" (0.6 Liter)</t>
  </si>
  <si>
    <t>"Zay" (0.35 Liter)</t>
  </si>
  <si>
    <t>1 * 40</t>
  </si>
  <si>
    <t>"Zay" Vodka</t>
  </si>
  <si>
    <t>"Zay" Vodka - 640ml</t>
  </si>
  <si>
    <t>1 * 24</t>
  </si>
  <si>
    <t>1 * 14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</si>
  <si>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</si>
  <si>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</si>
  <si>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</si>
  <si>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</si>
  <si>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</si>
  <si>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</si>
  <si>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</si>
  <si>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</si>
  <si>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</si>
  <si>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</si>
  <si>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</si>
  <si>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</si>
  <si>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>1*12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</si>
  <si>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</si>
  <si>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</si>
  <si>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</si>
  <si>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</si>
  <si>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</si>
  <si>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</si>
  <si>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</si>
  <si>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</si>
  <si>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</si>
  <si>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</si>
  <si>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</si>
  <si>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</si>
  <si>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</si>
  <si>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</si>
  <si>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</si>
  <si>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</si>
  <si>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</si>
  <si>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 xml:space="preserve">Top Lime </t>
  </si>
  <si>
    <t>Dagon Tamarind (1 Liter)</t>
  </si>
  <si>
    <t>Dagon Tamarind - 600ml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</si>
  <si>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</si>
  <si>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</si>
  <si>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</si>
  <si>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</si>
  <si>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</si>
  <si>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</si>
  <si>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</si>
  <si>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</si>
  <si>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</si>
  <si>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</si>
  <si>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</si>
  <si>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</si>
  <si>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</si>
  <si>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</si>
  <si>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</si>
  <si>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</si>
  <si>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</si>
  <si>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</si>
  <si>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</si>
  <si>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</si>
  <si>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</si>
  <si>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</si>
  <si>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စပါး</t>
  </si>
  <si>
    <t>1* 24</t>
  </si>
  <si>
    <t>Paddyစပါး</t>
  </si>
  <si>
    <t>မန်းဘီအီး</t>
  </si>
  <si>
    <t>ပျားသံပုရာ</t>
  </si>
  <si>
    <t>Formula Rum 700ml</t>
  </si>
  <si>
    <t>Formula Rum 350ml</t>
  </si>
  <si>
    <t>Super Vodka (1 Liter) - 38%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</si>
  <si>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</si>
  <si>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</si>
  <si>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</si>
  <si>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</si>
  <si>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</si>
  <si>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</si>
  <si>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</si>
  <si>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</si>
  <si>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</si>
  <si>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</si>
  <si>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ရုပ်ပျို</t>
  </si>
  <si>
    <t>ပုံးဘီအီး</t>
  </si>
  <si>
    <t>1*50</t>
  </si>
  <si>
    <t>Care+ အရက်ပြန် 700 ml</t>
  </si>
  <si>
    <t>Care+ အရက်ပြန် 20 Liter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</si>
  <si>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</si>
  <si>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</si>
  <si>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</si>
  <si>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</si>
  <si>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</si>
  <si>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</si>
  <si>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</si>
  <si>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</si>
  <si>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</si>
  <si>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</si>
  <si>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</si>
  <si>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</si>
  <si>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</si>
  <si>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</si>
  <si>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</si>
  <si>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Whisky စုစုပေါင်း</t>
  </si>
  <si>
    <t>All Total</t>
  </si>
  <si>
    <t>BE Sales KK For MTL  (All In Bottle)</t>
  </si>
  <si>
    <t>No</t>
  </si>
  <si>
    <t>Month</t>
  </si>
  <si>
    <t>2022 (BE)</t>
  </si>
  <si>
    <t>2023 (BE)</t>
  </si>
  <si>
    <t>2024 (BE)</t>
  </si>
  <si>
    <t>2025 (BE)</t>
  </si>
  <si>
    <t>Total</t>
  </si>
  <si>
    <t xml:space="preserve">Bottle </t>
  </si>
  <si>
    <t xml:space="preserve">Liters </t>
  </si>
  <si>
    <t>January</t>
  </si>
  <si>
    <t>February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</si>
  <si>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</si>
  <si>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</si>
  <si>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</si>
  <si>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</si>
  <si>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</si>
  <si>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</si>
  <si>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</si>
  <si>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</si>
  <si>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</si>
  <si>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</si>
  <si>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လက်ဆောင်ပေးစာရင်း</t>
  </si>
  <si>
    <t>စဉ်</t>
  </si>
  <si>
    <t>အမျိုးအမည်</t>
  </si>
  <si>
    <t>ထုပ်ပိုးပုံ</t>
  </si>
  <si>
    <t>1bot</t>
  </si>
  <si>
    <t>1 Pk</t>
  </si>
  <si>
    <t>ဇေ Vodka</t>
  </si>
  <si>
    <t>၁ x ၁၂</t>
  </si>
  <si>
    <t>ဇေ အရက်သန့်</t>
  </si>
  <si>
    <t>၁  x ၁၄</t>
  </si>
  <si>
    <t>"ဇေ" ကော်ဘူး (1 Liter)</t>
  </si>
  <si>
    <t>၁   x ၁၂</t>
  </si>
  <si>
    <t>"ဇေ" ကော်ဘူး (0.6 Liter)</t>
  </si>
  <si>
    <t>၁   x  ၁၂</t>
  </si>
  <si>
    <t>ဇေRed ကော်ဘူး (1 Liter) 30%</t>
  </si>
  <si>
    <t>၁   x၁၂</t>
  </si>
  <si>
    <t>ကောင်းကြည် (1 Liter ) 25%</t>
  </si>
  <si>
    <t>၁  x ၁၂</t>
  </si>
  <si>
    <t>ကောင်းကြည် (0.6 Liter ) 25%</t>
  </si>
  <si>
    <t>၁  x ၂၄</t>
  </si>
  <si>
    <t>Zeyawaddy Rum 43%</t>
  </si>
  <si>
    <t>ဇေယျဝတီ Red</t>
  </si>
  <si>
    <t>၁  x  ၁၂</t>
  </si>
  <si>
    <t>၁ x၁၄</t>
  </si>
  <si>
    <t>၁ x ၁၄</t>
  </si>
  <si>
    <t>ဒဂုံမန်ကျည်းအရက်</t>
  </si>
  <si>
    <t>ကောင်းကြည်</t>
  </si>
  <si>
    <t>သံပုရာအရက်</t>
  </si>
  <si>
    <t>ဒဂုံနာနတ်ဝိုင်</t>
  </si>
  <si>
    <t>ဒဂုံအရက်သန့်</t>
  </si>
  <si>
    <t>လိမ္မော်ဖြူ</t>
  </si>
  <si>
    <t>Black Cat</t>
  </si>
  <si>
    <t>မိုးနဲကွန်ကီ</t>
  </si>
  <si>
    <t>ချယ်ရီကော်ဘူး(.6 Liter)</t>
  </si>
  <si>
    <t>ချယ်ရီသံပုရာကော်ဘူး(.6 Liter)</t>
  </si>
  <si>
    <t>ချယ်ရီသံပုရာကော်ဘူး(1 Liter)</t>
  </si>
  <si>
    <t>Col 700ml</t>
  </si>
  <si>
    <t>Col 350ml</t>
  </si>
  <si>
    <t>Col 175ml</t>
  </si>
  <si>
    <t>၁  x ၄၈</t>
  </si>
  <si>
    <t>Col 700ml Smooth</t>
  </si>
  <si>
    <t>Col 350ml  Smooth</t>
  </si>
  <si>
    <t>Col 175ml Smooth</t>
  </si>
  <si>
    <t>BE Sales For MTL  (All In Bottle)</t>
  </si>
  <si>
    <t>Super Liquor</t>
  </si>
  <si>
    <t>2022 Sum</t>
  </si>
  <si>
    <t>2023 Sum</t>
  </si>
  <si>
    <t>2024 Sum</t>
  </si>
  <si>
    <t>BE(KK) Sales For MTL  (All In Bottle)</t>
  </si>
  <si>
    <t>2022 (KK)</t>
  </si>
  <si>
    <t>2023 (KK)</t>
  </si>
  <si>
    <t>2024 (KK)</t>
  </si>
  <si>
    <t>2025 (KK)</t>
  </si>
  <si>
    <t>Super Vodka (1Liter) -38%</t>
  </si>
  <si>
    <t>ကော်ဘူး</t>
  </si>
  <si>
    <t>ရွှေမင်းသားမန်ကျည်းခေါင်ရည်</t>
  </si>
  <si>
    <t xml:space="preserve">1 * 14 </t>
  </si>
  <si>
    <t>1  * 12</t>
  </si>
  <si>
    <t>Super Liquar</t>
  </si>
  <si>
    <t>Super Vodka (1 Liter)-38%</t>
  </si>
  <si>
    <t>၁  x  ၁၄</t>
  </si>
  <si>
    <t>မိုးနဲကွန်ကီးကော်ဘူး</t>
  </si>
  <si>
    <t>1 *12</t>
  </si>
  <si>
    <t>၁ x  ၁၂</t>
  </si>
  <si>
    <t>ရွှေမင်းသားမန်းကျည်းခေါင်ရည်(0.6 Liter)</t>
  </si>
  <si>
    <t>ရွှေမင်းသားခေါင်ရည် (0.6 Liter)</t>
  </si>
  <si>
    <t>1* 12</t>
  </si>
  <si>
    <t>Three Lions OP -55% Alc</t>
  </si>
  <si>
    <t>ရွှေမန်း-Rum</t>
  </si>
  <si>
    <t>1 *20</t>
  </si>
  <si>
    <t>Ngwe Taung 700ml (New)</t>
  </si>
  <si>
    <t>Ngwe Taung 700ml (ဂါလံ)</t>
  </si>
  <si>
    <t>1*20</t>
  </si>
  <si>
    <t>Ngwe Taung 700ml  NFS</t>
  </si>
  <si>
    <t>1 *14</t>
  </si>
  <si>
    <t>ရွှေမန်း Rum</t>
  </si>
  <si>
    <t>၁  x 12</t>
  </si>
  <si>
    <t>ရွှေမန်းRum ကော်ဘူး (1 Liter)</t>
  </si>
  <si>
    <t>Dagon Tamarind -600</t>
  </si>
  <si>
    <t>1 x 14</t>
  </si>
  <si>
    <t>1 x 12</t>
  </si>
  <si>
    <t>1 x 24</t>
  </si>
  <si>
    <t>1 x12</t>
  </si>
  <si>
    <t>Three Lions OP-55%Alc</t>
  </si>
  <si>
    <t>Three Lions OP-35%Alc</t>
  </si>
  <si>
    <t>ရွှေမန်း -Rum</t>
  </si>
  <si>
    <t>1*14</t>
  </si>
  <si>
    <t>Care+ လက်သန့်ဆေးရည်</t>
  </si>
  <si>
    <t>2026 Total</t>
  </si>
  <si>
    <t>2026 (BE)</t>
  </si>
  <si>
    <t>2026 (KK)</t>
  </si>
  <si>
    <t>Ngwe Taung 700ml NFS</t>
  </si>
  <si>
    <t xml:space="preserve">MTL </t>
  </si>
  <si>
    <t>ဆန်ပုံး(ဝါ)</t>
  </si>
  <si>
    <t>ဆန်ပုံး(ပြာ)</t>
  </si>
  <si>
    <t>OP -87 % Alc (red)</t>
  </si>
  <si>
    <t>OP - 69% Alc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</si>
</sst>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48">
    <font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name val="Pyidaungsu"/>
      <family val="2"/>
    </font>
    <font>
      <sz val="11"/>
      <color theme="1"/>
      <name val="Zawgyi-One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sz val="12"/>
      <color theme="1"/>
      <name val="Aptos Narrow"/>
      <family val="2"/>
      <scheme val="minor"/>
    </font>
    <font>
      <sz val="12"/>
      <color theme="1"/>
      <name val="Pyidaungsu"/>
      <family val="2"/>
    </font>
    <font>
      <b/>
      <sz val="12"/>
      <color theme="1"/>
      <name val="Pyidaungsu"/>
      <family val="2"/>
    </font>
    <font>
      <b/>
      <sz val="12"/>
      <color rgb="FFFF0000"/>
      <name val="Pyidaungsu"/>
      <family val="2"/>
    </font>
    <font>
      <b/>
      <sz val="12"/>
      <name val="Pyidaungsu"/>
      <family val="2"/>
    </font>
    <font>
      <b/>
      <sz val="12"/>
      <color theme="1" tint="4.9989318521683403E-2"/>
      <name val="Pyidaungsu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theme="1"/>
      <name val="Myanmar3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FF0000"/>
      <name val="Pyidaungsu"/>
      <family val="2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1"/>
      <color theme="1" tint="4.9989318521683403E-2"/>
      <name val="Pyidaungsu"/>
      <family val="2"/>
    </font>
    <font>
      <b/>
      <sz val="11"/>
      <color rgb="FFFF0000"/>
      <name val="Pyidaungsu"/>
      <family val="2"/>
    </font>
    <font>
      <sz val="13"/>
      <color theme="1"/>
      <name val="Pyidaungsu"/>
      <family val="2"/>
    </font>
    <font>
      <b/>
      <sz val="11"/>
      <name val="Pyidaungsu"/>
      <family val="2"/>
    </font>
    <font>
      <b/>
      <sz val="13"/>
      <color theme="1"/>
      <name val="Pyidaungsu"/>
      <family val="2"/>
    </font>
    <font>
      <b/>
      <sz val="13"/>
      <color rgb="FFFF0000"/>
      <name val="Pyidaungsu"/>
      <family val="2"/>
    </font>
    <font>
      <sz val="10"/>
      <color theme="1" tint="4.9989318521683403E-2"/>
      <name val="Pyidaungsu"/>
      <family val="2"/>
    </font>
    <font>
      <sz val="10"/>
      <color theme="1" tint="0.249977111117893"/>
      <name val="Pyidaungsu"/>
      <family val="2"/>
    </font>
    <font>
      <b/>
      <sz val="10"/>
      <color theme="1" tint="4.9989318521683403E-2"/>
      <name val="Pyidaungsu"/>
      <family val="2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9">
    <xf numFmtId="0" fontId="0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7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7" borderId="0" applyNumberFormat="0" applyBorder="0" applyAlignment="0" applyProtection="0"/>
    <xf numFmtId="0" fontId="18" fillId="11" borderId="0" applyNumberFormat="0" applyBorder="0" applyAlignment="0" applyProtection="0"/>
    <xf numFmtId="0" fontId="19" fillId="28" borderId="9" applyNumberFormat="0" applyAlignment="0" applyProtection="0"/>
    <xf numFmtId="0" fontId="20" fillId="29" borderId="10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12" borderId="0" applyNumberFormat="0" applyBorder="0" applyAlignment="0" applyProtection="0"/>
    <xf numFmtId="0" fontId="25" fillId="0" borderId="11" applyNumberFormat="0" applyFill="0" applyAlignment="0" applyProtection="0"/>
    <xf numFmtId="0" fontId="26" fillId="0" borderId="12" applyNumberFormat="0" applyFill="0" applyAlignment="0" applyProtection="0"/>
    <xf numFmtId="0" fontId="27" fillId="0" borderId="13" applyNumberFormat="0" applyFill="0" applyAlignment="0" applyProtection="0"/>
    <xf numFmtId="0" fontId="27" fillId="0" borderId="0" applyNumberFormat="0" applyFill="0" applyBorder="0" applyAlignment="0" applyProtection="0"/>
    <xf numFmtId="0" fontId="28" fillId="15" borderId="9" applyNumberFormat="0" applyAlignment="0" applyProtection="0"/>
    <xf numFmtId="0" fontId="29" fillId="0" borderId="14" applyNumberFormat="0" applyFill="0" applyAlignment="0" applyProtection="0"/>
    <xf numFmtId="0" fontId="30" fillId="30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31" borderId="15" applyNumberFormat="0" applyFont="0" applyAlignment="0" applyProtection="0"/>
    <xf numFmtId="0" fontId="32" fillId="28" borderId="16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5" fillId="0" borderId="0" applyNumberFormat="0" applyFill="0" applyBorder="0" applyAlignment="0" applyProtection="0"/>
  </cellStyleXfs>
  <cellXfs count="274">
    <xf numFmtId="0" fontId="0" fillId="0" borderId="0" xfId="0"/>
    <xf numFmtId="0" fontId="5" fillId="0" borderId="0" xfId="2" applyFont="1"/>
    <xf numFmtId="0" fontId="8" fillId="0" borderId="8" xfId="3" applyFont="1" applyBorder="1" applyAlignment="1">
      <alignment horizontal="center" vertical="center"/>
    </xf>
    <xf numFmtId="0" fontId="8" fillId="0" borderId="8" xfId="3" applyFont="1" applyBorder="1" applyAlignment="1">
      <alignment horizontal="left" vertical="center"/>
    </xf>
    <xf numFmtId="0" fontId="8" fillId="4" borderId="8" xfId="3" applyFont="1" applyFill="1" applyBorder="1" applyAlignment="1">
      <alignment horizontal="left" vertical="center"/>
    </xf>
    <xf numFmtId="0" fontId="8" fillId="5" borderId="8" xfId="3" applyFont="1" applyFill="1" applyBorder="1" applyAlignment="1">
      <alignment horizontal="left" vertical="center"/>
    </xf>
    <xf numFmtId="43" fontId="5" fillId="0" borderId="8" xfId="5" applyFont="1" applyFill="1" applyBorder="1"/>
    <xf numFmtId="164" fontId="5" fillId="0" borderId="8" xfId="1" applyNumberFormat="1" applyFont="1" applyFill="1" applyBorder="1" applyAlignment="1">
      <alignment vertical="center"/>
    </xf>
    <xf numFmtId="0" fontId="5" fillId="0" borderId="8" xfId="2" applyFont="1" applyBorder="1" applyAlignment="1">
      <alignment vertical="center"/>
    </xf>
    <xf numFmtId="43" fontId="5" fillId="0" borderId="8" xfId="5" applyFont="1" applyFill="1" applyBorder="1" applyAlignment="1">
      <alignment horizontal="center" vertical="center"/>
    </xf>
    <xf numFmtId="165" fontId="6" fillId="6" borderId="8" xfId="3" applyNumberFormat="1" applyFont="1" applyFill="1" applyBorder="1" applyAlignment="1">
      <alignment horizontal="center" vertical="center"/>
    </xf>
    <xf numFmtId="0" fontId="4" fillId="0" borderId="8" xfId="2" applyFont="1" applyBorder="1" applyAlignment="1">
      <alignment vertical="center"/>
    </xf>
    <xf numFmtId="0" fontId="3" fillId="0" borderId="8" xfId="3" applyFont="1" applyBorder="1" applyAlignment="1">
      <alignment vertical="center" wrapText="1"/>
    </xf>
    <xf numFmtId="43" fontId="4" fillId="0" borderId="8" xfId="5" applyFont="1" applyFill="1" applyBorder="1" applyAlignment="1">
      <alignment horizontal="center" vertical="center"/>
    </xf>
    <xf numFmtId="165" fontId="8" fillId="0" borderId="8" xfId="3" applyNumberFormat="1" applyFont="1" applyBorder="1" applyAlignment="1">
      <alignment horizontal="center" vertical="center"/>
    </xf>
    <xf numFmtId="43" fontId="5" fillId="0" borderId="8" xfId="7" applyFont="1" applyFill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4" fillId="6" borderId="8" xfId="2" applyFont="1" applyFill="1" applyBorder="1" applyAlignment="1">
      <alignment horizontal="center" vertical="center"/>
    </xf>
    <xf numFmtId="0" fontId="3" fillId="7" borderId="8" xfId="3" applyFont="1" applyFill="1" applyBorder="1" applyAlignment="1">
      <alignment vertical="center"/>
    </xf>
    <xf numFmtId="0" fontId="5" fillId="0" borderId="0" xfId="2" applyFont="1" applyAlignment="1">
      <alignment horizontal="left" vertical="center"/>
    </xf>
    <xf numFmtId="164" fontId="9" fillId="0" borderId="0" xfId="1" applyNumberFormat="1" applyFont="1" applyFill="1"/>
    <xf numFmtId="0" fontId="9" fillId="0" borderId="0" xfId="2" applyFont="1"/>
    <xf numFmtId="164" fontId="5" fillId="0" borderId="0" xfId="2" applyNumberFormat="1" applyFont="1"/>
    <xf numFmtId="164" fontId="9" fillId="0" borderId="0" xfId="2" applyNumberFormat="1" applyFont="1"/>
    <xf numFmtId="165" fontId="5" fillId="0" borderId="0" xfId="2" applyNumberFormat="1" applyFont="1"/>
    <xf numFmtId="165" fontId="9" fillId="0" borderId="0" xfId="2" applyNumberFormat="1" applyFont="1"/>
    <xf numFmtId="0" fontId="7" fillId="0" borderId="0" xfId="9"/>
    <xf numFmtId="0" fontId="11" fillId="9" borderId="18" xfId="8" applyFont="1" applyFill="1" applyBorder="1" applyAlignment="1">
      <alignment horizontal="left"/>
    </xf>
    <xf numFmtId="0" fontId="13" fillId="9" borderId="18" xfId="8" applyFont="1" applyFill="1" applyBorder="1" applyAlignment="1">
      <alignment horizontal="left" vertical="center"/>
    </xf>
    <xf numFmtId="164" fontId="14" fillId="9" borderId="18" xfId="1" applyNumberFormat="1" applyFont="1" applyFill="1" applyBorder="1" applyAlignment="1">
      <alignment horizontal="center" vertical="center"/>
    </xf>
    <xf numFmtId="164" fontId="13" fillId="9" borderId="18" xfId="1" applyNumberFormat="1" applyFont="1" applyFill="1" applyBorder="1" applyAlignment="1">
      <alignment vertical="center"/>
    </xf>
    <xf numFmtId="164" fontId="15" fillId="9" borderId="18" xfId="1" applyNumberFormat="1" applyFont="1" applyFill="1" applyBorder="1" applyAlignment="1">
      <alignment vertical="center"/>
    </xf>
    <xf numFmtId="164" fontId="12" fillId="9" borderId="18" xfId="1" applyNumberFormat="1" applyFont="1" applyFill="1" applyBorder="1" applyAlignment="1">
      <alignment horizontal="center" vertical="center"/>
    </xf>
    <xf numFmtId="0" fontId="0" fillId="0" borderId="22" xfId="0" applyBorder="1"/>
    <xf numFmtId="0" fontId="36" fillId="0" borderId="18" xfId="0" applyFont="1" applyBorder="1"/>
    <xf numFmtId="0" fontId="4" fillId="0" borderId="0" xfId="2" applyFont="1" applyAlignment="1">
      <alignment vertical="center"/>
    </xf>
    <xf numFmtId="0" fontId="3" fillId="0" borderId="0" xfId="3" applyFont="1" applyAlignment="1">
      <alignment vertical="center" wrapText="1"/>
    </xf>
    <xf numFmtId="164" fontId="9" fillId="0" borderId="0" xfId="1" applyNumberFormat="1" applyFont="1"/>
    <xf numFmtId="164" fontId="7" fillId="0" borderId="0" xfId="9" applyNumberFormat="1"/>
    <xf numFmtId="0" fontId="37" fillId="0" borderId="18" xfId="8" applyFont="1" applyBorder="1" applyAlignment="1">
      <alignment horizontal="center" vertical="center"/>
    </xf>
    <xf numFmtId="0" fontId="37" fillId="0" borderId="18" xfId="8" applyFont="1" applyBorder="1" applyAlignment="1">
      <alignment horizontal="left" vertical="center"/>
    </xf>
    <xf numFmtId="164" fontId="37" fillId="0" borderId="18" xfId="1" applyNumberFormat="1" applyFont="1" applyBorder="1" applyAlignment="1">
      <alignment horizontal="center" vertical="center"/>
    </xf>
    <xf numFmtId="164" fontId="36" fillId="0" borderId="18" xfId="1" applyNumberFormat="1" applyFont="1" applyBorder="1" applyAlignment="1">
      <alignment horizontal="center" vertical="center"/>
    </xf>
    <xf numFmtId="164" fontId="39" fillId="0" borderId="18" xfId="1" applyNumberFormat="1" applyFont="1" applyBorder="1" applyAlignment="1">
      <alignment horizontal="center" vertical="center"/>
    </xf>
    <xf numFmtId="164" fontId="38" fillId="5" borderId="18" xfId="1" applyNumberFormat="1" applyFont="1" applyFill="1" applyBorder="1" applyAlignment="1">
      <alignment horizontal="center" vertical="center"/>
    </xf>
    <xf numFmtId="164" fontId="40" fillId="5" borderId="18" xfId="1" applyNumberFormat="1" applyFont="1" applyFill="1" applyBorder="1" applyAlignment="1">
      <alignment horizontal="center" vertical="center"/>
    </xf>
    <xf numFmtId="164" fontId="36" fillId="0" borderId="18" xfId="1" applyNumberFormat="1" applyFont="1" applyBorder="1" applyAlignment="1">
      <alignment vertical="center"/>
    </xf>
    <xf numFmtId="0" fontId="5" fillId="0" borderId="0" xfId="9" applyFont="1"/>
    <xf numFmtId="0" fontId="8" fillId="0" borderId="18" xfId="127" applyFont="1" applyBorder="1" applyAlignment="1">
      <alignment vertical="center"/>
    </xf>
    <xf numFmtId="0" fontId="5" fillId="0" borderId="18" xfId="127" applyFont="1" applyBorder="1" applyAlignment="1">
      <alignment vertical="center"/>
    </xf>
    <xf numFmtId="0" fontId="5" fillId="0" borderId="8" xfId="127" applyFont="1" applyBorder="1" applyAlignment="1">
      <alignment vertical="center"/>
    </xf>
    <xf numFmtId="0" fontId="5" fillId="32" borderId="18" xfId="127" applyFont="1" applyFill="1" applyBorder="1" applyAlignment="1">
      <alignment vertical="center"/>
    </xf>
    <xf numFmtId="164" fontId="5" fillId="0" borderId="8" xfId="5" applyNumberFormat="1" applyFont="1" applyFill="1" applyBorder="1" applyAlignment="1">
      <alignment horizontal="center" vertical="center"/>
    </xf>
    <xf numFmtId="164" fontId="36" fillId="0" borderId="8" xfId="1" applyNumberFormat="1" applyFont="1" applyBorder="1" applyAlignment="1">
      <alignment horizontal="center" vertical="center"/>
    </xf>
    <xf numFmtId="0" fontId="41" fillId="0" borderId="0" xfId="0" applyFont="1"/>
    <xf numFmtId="17" fontId="38" fillId="0" borderId="8" xfId="2" applyNumberFormat="1" applyFont="1" applyBorder="1" applyAlignment="1">
      <alignment horizontal="center"/>
    </xf>
    <xf numFmtId="17" fontId="40" fillId="0" borderId="8" xfId="2" applyNumberFormat="1" applyFont="1" applyBorder="1" applyAlignment="1">
      <alignment horizontal="center"/>
    </xf>
    <xf numFmtId="17" fontId="38" fillId="0" borderId="18" xfId="2" applyNumberFormat="1" applyFont="1" applyBorder="1" applyAlignment="1">
      <alignment horizontal="center"/>
    </xf>
    <xf numFmtId="17" fontId="40" fillId="0" borderId="18" xfId="2" applyNumberFormat="1" applyFont="1" applyBorder="1" applyAlignment="1">
      <alignment horizontal="center"/>
    </xf>
    <xf numFmtId="0" fontId="0" fillId="0" borderId="18" xfId="0" applyBorder="1" applyAlignment="1"/>
    <xf numFmtId="0" fontId="0" fillId="0" borderId="18" xfId="0" applyBorder="1" applyAlignment="1">
      <alignment vertical="center"/>
    </xf>
    <xf numFmtId="1" fontId="0" fillId="0" borderId="18" xfId="0" applyNumberFormat="1" applyBorder="1" applyAlignment="1">
      <alignment vertical="center"/>
    </xf>
    <xf numFmtId="43" fontId="5" fillId="0" borderId="8" xfId="5" applyFont="1" applyFill="1" applyBorder="1" applyAlignment="1">
      <alignment vertical="center"/>
    </xf>
    <xf numFmtId="0" fontId="8" fillId="0" borderId="8" xfId="3" applyFont="1" applyBorder="1" applyAlignment="1">
      <alignment vertical="center"/>
    </xf>
    <xf numFmtId="0" fontId="8" fillId="4" borderId="8" xfId="3" applyFont="1" applyFill="1" applyBorder="1" applyAlignment="1">
      <alignment vertical="center"/>
    </xf>
    <xf numFmtId="0" fontId="8" fillId="5" borderId="8" xfId="3" applyFont="1" applyFill="1" applyBorder="1" applyAlignment="1">
      <alignment vertical="center"/>
    </xf>
    <xf numFmtId="165" fontId="6" fillId="6" borderId="8" xfId="3" applyNumberFormat="1" applyFont="1" applyFill="1" applyBorder="1" applyAlignment="1">
      <alignment vertical="center"/>
    </xf>
    <xf numFmtId="43" fontId="4" fillId="0" borderId="8" xfId="5" applyFont="1" applyFill="1" applyBorder="1" applyAlignment="1">
      <alignment vertical="center"/>
    </xf>
    <xf numFmtId="165" fontId="8" fillId="0" borderId="8" xfId="3" applyNumberFormat="1" applyFont="1" applyBorder="1" applyAlignment="1">
      <alignment vertical="center"/>
    </xf>
    <xf numFmtId="43" fontId="5" fillId="0" borderId="8" xfId="7" applyFont="1" applyFill="1" applyBorder="1" applyAlignment="1">
      <alignment vertical="center"/>
    </xf>
    <xf numFmtId="0" fontId="4" fillId="6" borderId="8" xfId="2" applyFont="1" applyFill="1" applyBorder="1" applyAlignment="1">
      <alignment vertical="center"/>
    </xf>
    <xf numFmtId="0" fontId="8" fillId="4" borderId="8" xfId="3" applyFont="1" applyFill="1" applyBorder="1" applyAlignment="1">
      <alignment horizontal="center" vertical="center"/>
    </xf>
    <xf numFmtId="0" fontId="8" fillId="5" borderId="8" xfId="3" applyFont="1" applyFill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0" fontId="3" fillId="7" borderId="8" xfId="3" applyFont="1" applyFill="1" applyBorder="1" applyAlignment="1">
      <alignment horizontal="center" vertical="center"/>
    </xf>
    <xf numFmtId="0" fontId="5" fillId="0" borderId="18" xfId="9" applyFont="1" applyBorder="1" applyAlignment="1">
      <alignment vertical="center"/>
    </xf>
    <xf numFmtId="164" fontId="5" fillId="0" borderId="18" xfId="1" applyNumberFormat="1" applyFont="1" applyBorder="1" applyAlignment="1">
      <alignment vertical="center"/>
    </xf>
    <xf numFmtId="0" fontId="5" fillId="0" borderId="8" xfId="9" applyFont="1" applyBorder="1" applyAlignment="1">
      <alignment vertical="center"/>
    </xf>
    <xf numFmtId="164" fontId="5" fillId="0" borderId="8" xfId="1" applyNumberFormat="1" applyFont="1" applyBorder="1" applyAlignment="1">
      <alignment vertical="center"/>
    </xf>
    <xf numFmtId="164" fontId="5" fillId="0" borderId="18" xfId="1" applyNumberFormat="1" applyFont="1" applyBorder="1" applyAlignment="1">
      <alignment horizontal="center" vertical="center"/>
    </xf>
    <xf numFmtId="0" fontId="44" fillId="0" borderId="2" xfId="2" applyFont="1" applyBorder="1" applyAlignment="1">
      <alignment horizontal="center" vertical="center"/>
    </xf>
    <xf numFmtId="0" fontId="41" fillId="0" borderId="0" xfId="2" applyFont="1"/>
    <xf numFmtId="17" fontId="38" fillId="2" borderId="8" xfId="2" applyNumberFormat="1" applyFont="1" applyFill="1" applyBorder="1" applyAlignment="1">
      <alignment horizontal="center"/>
    </xf>
    <xf numFmtId="17" fontId="40" fillId="2" borderId="8" xfId="2" applyNumberFormat="1" applyFont="1" applyFill="1" applyBorder="1" applyAlignment="1">
      <alignment horizontal="center"/>
    </xf>
    <xf numFmtId="164" fontId="38" fillId="0" borderId="8" xfId="1" applyNumberFormat="1" applyFont="1" applyBorder="1" applyAlignment="1">
      <alignment horizontal="center"/>
    </xf>
    <xf numFmtId="164" fontId="40" fillId="0" borderId="8" xfId="1" applyNumberFormat="1" applyFont="1" applyBorder="1" applyAlignment="1">
      <alignment horizontal="center"/>
    </xf>
    <xf numFmtId="164" fontId="40" fillId="0" borderId="8" xfId="1" applyNumberFormat="1" applyFont="1" applyFill="1" applyBorder="1" applyAlignment="1">
      <alignment horizontal="center"/>
    </xf>
    <xf numFmtId="164" fontId="5" fillId="0" borderId="8" xfId="4" applyNumberFormat="1" applyFont="1" applyFill="1" applyBorder="1" applyAlignment="1"/>
    <xf numFmtId="164" fontId="9" fillId="0" borderId="8" xfId="1" applyNumberFormat="1" applyFont="1" applyFill="1" applyBorder="1" applyAlignment="1"/>
    <xf numFmtId="164" fontId="5" fillId="2" borderId="8" xfId="1" applyNumberFormat="1" applyFont="1" applyFill="1" applyBorder="1" applyAlignment="1"/>
    <xf numFmtId="164" fontId="5" fillId="0" borderId="8" xfId="1" applyNumberFormat="1" applyFont="1" applyFill="1" applyBorder="1" applyAlignment="1"/>
    <xf numFmtId="164" fontId="5" fillId="0" borderId="8" xfId="4" applyNumberFormat="1" applyFont="1" applyFill="1" applyBorder="1" applyAlignment="1">
      <alignment vertical="center"/>
    </xf>
    <xf numFmtId="164" fontId="9" fillId="0" borderId="8" xfId="1" applyNumberFormat="1" applyFont="1" applyFill="1" applyBorder="1" applyAlignment="1">
      <alignment vertical="center"/>
    </xf>
    <xf numFmtId="164" fontId="5" fillId="2" borderId="8" xfId="1" applyNumberFormat="1" applyFont="1" applyFill="1" applyBorder="1" applyAlignment="1">
      <alignment vertical="center"/>
    </xf>
    <xf numFmtId="164" fontId="9" fillId="2" borderId="8" xfId="1" applyNumberFormat="1" applyFont="1" applyFill="1" applyBorder="1" applyAlignment="1">
      <alignment vertical="center"/>
    </xf>
    <xf numFmtId="164" fontId="5" fillId="3" borderId="8" xfId="4" applyNumberFormat="1" applyFont="1" applyFill="1" applyBorder="1" applyAlignment="1">
      <alignment vertical="center"/>
    </xf>
    <xf numFmtId="164" fontId="8" fillId="6" borderId="8" xfId="1" applyNumberFormat="1" applyFont="1" applyFill="1" applyBorder="1" applyAlignment="1">
      <alignment vertical="center"/>
    </xf>
    <xf numFmtId="164" fontId="9" fillId="6" borderId="8" xfId="1" applyNumberFormat="1" applyFont="1" applyFill="1" applyBorder="1" applyAlignment="1">
      <alignment vertical="center"/>
    </xf>
    <xf numFmtId="164" fontId="5" fillId="0" borderId="8" xfId="2" applyNumberFormat="1" applyFont="1" applyBorder="1" applyAlignment="1">
      <alignment vertical="center"/>
    </xf>
    <xf numFmtId="43" fontId="5" fillId="0" borderId="8" xfId="64" applyFont="1" applyFill="1" applyBorder="1" applyAlignment="1">
      <alignment vertical="center"/>
    </xf>
    <xf numFmtId="164" fontId="6" fillId="6" borderId="8" xfId="1" applyNumberFormat="1" applyFont="1" applyFill="1" applyBorder="1" applyAlignment="1">
      <alignment vertical="center"/>
    </xf>
    <xf numFmtId="164" fontId="3" fillId="6" borderId="8" xfId="1" applyNumberFormat="1" applyFont="1" applyFill="1" applyBorder="1" applyAlignment="1">
      <alignment vertical="center"/>
    </xf>
    <xf numFmtId="164" fontId="6" fillId="2" borderId="8" xfId="1" applyNumberFormat="1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vertical="center"/>
    </xf>
    <xf numFmtId="164" fontId="4" fillId="8" borderId="8" xfId="1" applyNumberFormat="1" applyFont="1" applyFill="1" applyBorder="1" applyAlignment="1">
      <alignment vertical="center"/>
    </xf>
    <xf numFmtId="164" fontId="3" fillId="8" borderId="8" xfId="1" applyNumberFormat="1" applyFont="1" applyFill="1" applyBorder="1" applyAlignment="1">
      <alignment vertical="center"/>
    </xf>
    <xf numFmtId="164" fontId="4" fillId="2" borderId="8" xfId="1" applyNumberFormat="1" applyFont="1" applyFill="1" applyBorder="1" applyAlignment="1">
      <alignment vertical="center"/>
    </xf>
    <xf numFmtId="164" fontId="4" fillId="3" borderId="8" xfId="1" applyNumberFormat="1" applyFont="1" applyFill="1" applyBorder="1" applyAlignment="1">
      <alignment vertical="center"/>
    </xf>
    <xf numFmtId="164" fontId="5" fillId="0" borderId="8" xfId="64" applyNumberFormat="1" applyFont="1" applyFill="1" applyBorder="1" applyAlignment="1">
      <alignment vertical="center"/>
    </xf>
    <xf numFmtId="43" fontId="4" fillId="0" borderId="8" xfId="64" applyFont="1" applyFill="1" applyBorder="1" applyAlignment="1">
      <alignment vertical="center"/>
    </xf>
    <xf numFmtId="164" fontId="5" fillId="0" borderId="8" xfId="4" applyNumberFormat="1" applyFont="1" applyFill="1" applyBorder="1" applyAlignment="1">
      <alignment horizontal="center" vertical="center"/>
    </xf>
    <xf numFmtId="164" fontId="9" fillId="0" borderId="8" xfId="1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164" fontId="5" fillId="0" borderId="8" xfId="1" applyNumberFormat="1" applyFont="1" applyFill="1" applyBorder="1" applyAlignment="1">
      <alignment horizontal="center" vertical="center"/>
    </xf>
    <xf numFmtId="164" fontId="6" fillId="6" borderId="8" xfId="1" applyNumberFormat="1" applyFont="1" applyFill="1" applyBorder="1" applyAlignment="1">
      <alignment horizontal="center" vertical="center"/>
    </xf>
    <xf numFmtId="164" fontId="3" fillId="6" borderId="8" xfId="1" applyNumberFormat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4" fillId="8" borderId="8" xfId="1" applyNumberFormat="1" applyFont="1" applyFill="1" applyBorder="1" applyAlignment="1">
      <alignment horizontal="center" vertical="center"/>
    </xf>
    <xf numFmtId="164" fontId="3" fillId="8" borderId="8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0" fontId="38" fillId="0" borderId="18" xfId="8" applyFont="1" applyBorder="1" applyAlignment="1">
      <alignment horizontal="center" vertical="center"/>
    </xf>
    <xf numFmtId="0" fontId="40" fillId="0" borderId="18" xfId="8" applyFont="1" applyBorder="1" applyAlignment="1">
      <alignment horizontal="center" vertical="center"/>
    </xf>
    <xf numFmtId="0" fontId="5" fillId="0" borderId="18" xfId="8" applyFont="1" applyBorder="1" applyAlignment="1">
      <alignment horizontal="center" vertical="center"/>
    </xf>
    <xf numFmtId="0" fontId="5" fillId="0" borderId="18" xfId="8" applyFont="1" applyBorder="1" applyAlignment="1">
      <alignment horizontal="left" vertical="center"/>
    </xf>
    <xf numFmtId="164" fontId="9" fillId="0" borderId="18" xfId="1" applyNumberFormat="1" applyFont="1" applyBorder="1" applyAlignment="1">
      <alignment horizontal="center" vertical="center"/>
    </xf>
    <xf numFmtId="164" fontId="45" fillId="0" borderId="18" xfId="1" applyNumberFormat="1" applyFont="1" applyBorder="1" applyAlignment="1">
      <alignment horizontal="center" vertical="center"/>
    </xf>
    <xf numFmtId="164" fontId="45" fillId="0" borderId="8" xfId="1" applyNumberFormat="1" applyFont="1" applyBorder="1" applyAlignment="1">
      <alignment horizontal="center" vertical="center"/>
    </xf>
    <xf numFmtId="164" fontId="9" fillId="0" borderId="8" xfId="1" applyNumberFormat="1" applyFont="1" applyBorder="1" applyAlignment="1">
      <alignment horizontal="center" vertical="center"/>
    </xf>
    <xf numFmtId="164" fontId="4" fillId="5" borderId="18" xfId="1" applyNumberFormat="1" applyFont="1" applyFill="1" applyBorder="1" applyAlignment="1">
      <alignment horizontal="center" vertical="center"/>
    </xf>
    <xf numFmtId="164" fontId="3" fillId="5" borderId="18" xfId="1" applyNumberFormat="1" applyFont="1" applyFill="1" applyBorder="1" applyAlignment="1">
      <alignment horizontal="center" vertical="center"/>
    </xf>
    <xf numFmtId="0" fontId="5" fillId="2" borderId="18" xfId="8" applyFont="1" applyFill="1" applyBorder="1" applyAlignment="1">
      <alignment horizontal="center" vertical="center"/>
    </xf>
    <xf numFmtId="0" fontId="4" fillId="2" borderId="18" xfId="8" applyFont="1" applyFill="1" applyBorder="1" applyAlignment="1">
      <alignment horizontal="left" vertical="center"/>
    </xf>
    <xf numFmtId="164" fontId="5" fillId="2" borderId="18" xfId="1" applyNumberFormat="1" applyFont="1" applyFill="1" applyBorder="1" applyAlignment="1">
      <alignment horizontal="center" vertical="center"/>
    </xf>
    <xf numFmtId="164" fontId="9" fillId="2" borderId="18" xfId="1" applyNumberFormat="1" applyFont="1" applyFill="1" applyBorder="1" applyAlignment="1">
      <alignment horizontal="center" vertical="center"/>
    </xf>
    <xf numFmtId="164" fontId="46" fillId="2" borderId="18" xfId="1" applyNumberFormat="1" applyFont="1" applyFill="1" applyBorder="1" applyAlignment="1">
      <alignment horizontal="center" vertical="center"/>
    </xf>
    <xf numFmtId="164" fontId="45" fillId="2" borderId="8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1" fillId="0" borderId="0" xfId="0" applyFont="1" applyAlignment="1">
      <alignment vertical="center"/>
    </xf>
    <xf numFmtId="43" fontId="9" fillId="0" borderId="8" xfId="1" applyFont="1" applyFill="1" applyBorder="1" applyAlignment="1"/>
    <xf numFmtId="43" fontId="9" fillId="2" borderId="8" xfId="1" applyFont="1" applyFill="1" applyBorder="1" applyAlignment="1"/>
    <xf numFmtId="43" fontId="9" fillId="0" borderId="8" xfId="1" applyFont="1" applyFill="1" applyBorder="1" applyAlignment="1">
      <alignment horizontal="center" vertical="center"/>
    </xf>
    <xf numFmtId="43" fontId="9" fillId="2" borderId="8" xfId="1" applyFont="1" applyFill="1" applyBorder="1" applyAlignment="1">
      <alignment horizontal="center" vertical="center"/>
    </xf>
    <xf numFmtId="164" fontId="5" fillId="4" borderId="8" xfId="4" applyNumberFormat="1" applyFont="1" applyFill="1" applyBorder="1" applyAlignment="1"/>
    <xf numFmtId="164" fontId="5" fillId="4" borderId="8" xfId="4" applyNumberFormat="1" applyFont="1" applyFill="1" applyBorder="1" applyAlignment="1">
      <alignment vertical="center"/>
    </xf>
    <xf numFmtId="43" fontId="9" fillId="0" borderId="8" xfId="1" applyFont="1" applyFill="1" applyBorder="1" applyAlignment="1">
      <alignment vertical="center"/>
    </xf>
    <xf numFmtId="43" fontId="9" fillId="2" borderId="8" xfId="1" applyFont="1" applyFill="1" applyBorder="1" applyAlignment="1">
      <alignment vertical="center"/>
    </xf>
    <xf numFmtId="164" fontId="5" fillId="0" borderId="8" xfId="5" applyNumberFormat="1" applyFont="1" applyFill="1" applyBorder="1" applyAlignment="1"/>
    <xf numFmtId="43" fontId="9" fillId="0" borderId="8" xfId="5" applyFont="1" applyFill="1" applyBorder="1" applyAlignment="1"/>
    <xf numFmtId="164" fontId="8" fillId="0" borderId="8" xfId="5" applyNumberFormat="1" applyFont="1" applyFill="1" applyBorder="1" applyAlignment="1"/>
    <xf numFmtId="164" fontId="9" fillId="0" borderId="8" xfId="5" applyNumberFormat="1" applyFont="1" applyFill="1" applyBorder="1" applyAlignment="1"/>
    <xf numFmtId="0" fontId="0" fillId="0" borderId="0" xfId="0" applyAlignment="1"/>
    <xf numFmtId="164" fontId="5" fillId="0" borderId="8" xfId="5" applyNumberFormat="1" applyFont="1" applyFill="1" applyBorder="1" applyAlignment="1">
      <alignment vertical="center"/>
    </xf>
    <xf numFmtId="43" fontId="9" fillId="0" borderId="8" xfId="5" applyFont="1" applyFill="1" applyBorder="1" applyAlignment="1">
      <alignment horizontal="center" vertical="center"/>
    </xf>
    <xf numFmtId="164" fontId="8" fillId="0" borderId="8" xfId="5" applyNumberFormat="1" applyFont="1" applyFill="1" applyBorder="1" applyAlignment="1">
      <alignment horizontal="center" vertical="center"/>
    </xf>
    <xf numFmtId="164" fontId="9" fillId="0" borderId="8" xfId="5" applyNumberFormat="1" applyFont="1" applyFill="1" applyBorder="1" applyAlignment="1">
      <alignment horizontal="center" vertical="center"/>
    </xf>
    <xf numFmtId="164" fontId="5" fillId="0" borderId="8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8" fillId="0" borderId="8" xfId="1" applyNumberFormat="1" applyFont="1" applyFill="1" applyBorder="1" applyAlignment="1">
      <alignment horizontal="center" vertical="center"/>
    </xf>
    <xf numFmtId="0" fontId="38" fillId="0" borderId="8" xfId="0" applyFont="1" applyBorder="1"/>
    <xf numFmtId="0" fontId="0" fillId="0" borderId="8" xfId="0" applyFont="1" applyBorder="1"/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164" fontId="5" fillId="4" borderId="8" xfId="1" applyNumberFormat="1" applyFont="1" applyFill="1" applyBorder="1" applyAlignment="1">
      <alignment vertical="center"/>
    </xf>
    <xf numFmtId="164" fontId="5" fillId="3" borderId="8" xfId="1" applyNumberFormat="1" applyFont="1" applyFill="1" applyBorder="1" applyAlignment="1">
      <alignment vertical="center"/>
    </xf>
    <xf numFmtId="164" fontId="5" fillId="8" borderId="8" xfId="1" applyNumberFormat="1" applyFont="1" applyFill="1" applyBorder="1" applyAlignment="1">
      <alignment vertical="center"/>
    </xf>
    <xf numFmtId="17" fontId="38" fillId="0" borderId="19" xfId="2" applyNumberFormat="1" applyFont="1" applyBorder="1" applyAlignment="1">
      <alignment horizontal="center"/>
    </xf>
    <xf numFmtId="17" fontId="40" fillId="0" borderId="19" xfId="2" applyNumberFormat="1" applyFont="1" applyBorder="1" applyAlignment="1">
      <alignment horizontal="center"/>
    </xf>
    <xf numFmtId="0" fontId="37" fillId="0" borderId="18" xfId="0" applyFont="1" applyBorder="1"/>
    <xf numFmtId="0" fontId="0" fillId="0" borderId="8" xfId="0" applyBorder="1" applyAlignment="1"/>
    <xf numFmtId="43" fontId="0" fillId="0" borderId="18" xfId="1" applyFont="1" applyBorder="1" applyAlignment="1"/>
    <xf numFmtId="43" fontId="0" fillId="0" borderId="8" xfId="1" applyFont="1" applyBorder="1" applyAlignment="1"/>
    <xf numFmtId="43" fontId="0" fillId="0" borderId="18" xfId="1" applyFont="1" applyBorder="1" applyAlignment="1">
      <alignment vertical="center"/>
    </xf>
    <xf numFmtId="43" fontId="0" fillId="0" borderId="8" xfId="1" applyFont="1" applyBorder="1" applyAlignment="1">
      <alignment vertical="center"/>
    </xf>
    <xf numFmtId="43" fontId="0" fillId="0" borderId="18" xfId="0" applyNumberFormat="1" applyBorder="1" applyAlignment="1">
      <alignment vertical="center"/>
    </xf>
    <xf numFmtId="0" fontId="38" fillId="0" borderId="8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17" fontId="38" fillId="0" borderId="8" xfId="2" applyNumberFormat="1" applyFont="1" applyBorder="1" applyAlignment="1">
      <alignment horizontal="center" vertical="center"/>
    </xf>
    <xf numFmtId="164" fontId="40" fillId="0" borderId="8" xfId="1" applyNumberFormat="1" applyFont="1" applyFill="1" applyBorder="1" applyAlignment="1">
      <alignment horizontal="center" vertical="center"/>
    </xf>
    <xf numFmtId="17" fontId="40" fillId="0" borderId="8" xfId="2" applyNumberFormat="1" applyFont="1" applyBorder="1" applyAlignment="1">
      <alignment horizontal="center" vertical="center"/>
    </xf>
    <xf numFmtId="0" fontId="38" fillId="0" borderId="8" xfId="8" applyFont="1" applyBorder="1" applyAlignment="1">
      <alignment horizontal="center" vertical="center"/>
    </xf>
    <xf numFmtId="0" fontId="40" fillId="0" borderId="8" xfId="8" applyFont="1" applyBorder="1" applyAlignment="1">
      <alignment horizontal="center" vertical="center"/>
    </xf>
    <xf numFmtId="164" fontId="9" fillId="0" borderId="8" xfId="1" applyNumberFormat="1" applyFont="1" applyBorder="1" applyAlignment="1">
      <alignment vertical="center"/>
    </xf>
    <xf numFmtId="164" fontId="3" fillId="9" borderId="8" xfId="1" applyNumberFormat="1" applyFont="1" applyFill="1" applyBorder="1" applyAlignment="1">
      <alignment vertical="center"/>
    </xf>
    <xf numFmtId="164" fontId="47" fillId="9" borderId="8" xfId="1" applyNumberFormat="1" applyFont="1" applyFill="1" applyBorder="1" applyAlignment="1">
      <alignment vertical="center"/>
    </xf>
    <xf numFmtId="0" fontId="5" fillId="0" borderId="8" xfId="8" applyFont="1" applyBorder="1" applyAlignment="1">
      <alignment vertical="center"/>
    </xf>
    <xf numFmtId="164" fontId="45" fillId="0" borderId="8" xfId="1" applyNumberFormat="1" applyFont="1" applyBorder="1" applyAlignment="1">
      <alignment vertical="center"/>
    </xf>
    <xf numFmtId="164" fontId="46" fillId="0" borderId="8" xfId="1" applyNumberFormat="1" applyFont="1" applyBorder="1" applyAlignment="1">
      <alignment vertical="center"/>
    </xf>
    <xf numFmtId="164" fontId="4" fillId="5" borderId="8" xfId="1" applyNumberFormat="1" applyFont="1" applyFill="1" applyBorder="1" applyAlignment="1">
      <alignment vertical="center"/>
    </xf>
    <xf numFmtId="164" fontId="3" fillId="5" borderId="8" xfId="1" applyNumberFormat="1" applyFont="1" applyFill="1" applyBorder="1" applyAlignment="1">
      <alignment vertical="center"/>
    </xf>
    <xf numFmtId="0" fontId="5" fillId="2" borderId="8" xfId="8" applyFont="1" applyFill="1" applyBorder="1" applyAlignment="1">
      <alignment vertical="center"/>
    </xf>
    <xf numFmtId="0" fontId="4" fillId="2" borderId="8" xfId="8" applyFont="1" applyFill="1" applyBorder="1" applyAlignment="1">
      <alignment vertical="center"/>
    </xf>
    <xf numFmtId="164" fontId="46" fillId="2" borderId="8" xfId="1" applyNumberFormat="1" applyFont="1" applyFill="1" applyBorder="1" applyAlignment="1">
      <alignment vertical="center"/>
    </xf>
    <xf numFmtId="0" fontId="5" fillId="9" borderId="8" xfId="8" applyFont="1" applyFill="1" applyBorder="1" applyAlignment="1">
      <alignment vertical="center"/>
    </xf>
    <xf numFmtId="0" fontId="3" fillId="9" borderId="8" xfId="8" applyFont="1" applyFill="1" applyBorder="1" applyAlignment="1">
      <alignment vertical="center"/>
    </xf>
    <xf numFmtId="164" fontId="6" fillId="9" borderId="8" xfId="1" applyNumberFormat="1" applyFont="1" applyFill="1" applyBorder="1" applyAlignment="1">
      <alignment vertical="center"/>
    </xf>
    <xf numFmtId="164" fontId="4" fillId="9" borderId="8" xfId="1" applyNumberFormat="1" applyFont="1" applyFill="1" applyBorder="1" applyAlignment="1">
      <alignment vertical="center"/>
    </xf>
    <xf numFmtId="164" fontId="0" fillId="0" borderId="8" xfId="0" applyNumberFormat="1" applyBorder="1" applyAlignment="1"/>
    <xf numFmtId="165" fontId="6" fillId="4" borderId="8" xfId="3" applyNumberFormat="1" applyFont="1" applyFill="1" applyBorder="1" applyAlignment="1">
      <alignment vertical="center"/>
    </xf>
    <xf numFmtId="1" fontId="0" fillId="0" borderId="8" xfId="0" applyNumberFormat="1" applyBorder="1" applyAlignment="1"/>
    <xf numFmtId="164" fontId="36" fillId="0" borderId="8" xfId="0" applyNumberFormat="1" applyFont="1" applyBorder="1" applyAlignment="1"/>
    <xf numFmtId="43" fontId="4" fillId="0" borderId="0" xfId="5" applyFont="1" applyFill="1" applyBorder="1" applyAlignment="1">
      <alignment vertical="center"/>
    </xf>
    <xf numFmtId="164" fontId="0" fillId="0" borderId="0" xfId="0" applyNumberFormat="1" applyAlignment="1"/>
    <xf numFmtId="0" fontId="36" fillId="0" borderId="8" xfId="0" applyFont="1" applyBorder="1" applyAlignment="1"/>
    <xf numFmtId="43" fontId="36" fillId="0" borderId="8" xfId="1" applyFont="1" applyBorder="1" applyAlignment="1"/>
    <xf numFmtId="164" fontId="0" fillId="0" borderId="8" xfId="1" applyNumberFormat="1" applyFont="1" applyBorder="1" applyAlignment="1"/>
    <xf numFmtId="164" fontId="36" fillId="0" borderId="8" xfId="1" applyNumberFormat="1" applyFont="1" applyBorder="1" applyAlignment="1"/>
    <xf numFmtId="165" fontId="6" fillId="4" borderId="0" xfId="3" applyNumberFormat="1" applyFont="1" applyFill="1" applyAlignment="1">
      <alignment vertical="center"/>
    </xf>
    <xf numFmtId="43" fontId="9" fillId="0" borderId="8" xfId="5" applyFont="1" applyFill="1" applyBorder="1" applyAlignment="1">
      <alignment vertical="center"/>
    </xf>
    <xf numFmtId="164" fontId="9" fillId="0" borderId="8" xfId="5" applyNumberFormat="1" applyFont="1" applyFill="1" applyBorder="1" applyAlignment="1">
      <alignment vertical="center"/>
    </xf>
    <xf numFmtId="164" fontId="5" fillId="33" borderId="8" xfId="1" applyNumberFormat="1" applyFont="1" applyFill="1" applyBorder="1" applyAlignment="1">
      <alignment vertical="center"/>
    </xf>
    <xf numFmtId="164" fontId="5" fillId="0" borderId="8" xfId="1" applyNumberFormat="1" applyFont="1" applyBorder="1" applyAlignment="1"/>
    <xf numFmtId="164" fontId="9" fillId="0" borderId="8" xfId="1" applyNumberFormat="1" applyFont="1" applyBorder="1" applyAlignment="1"/>
    <xf numFmtId="0" fontId="5" fillId="0" borderId="0" xfId="0" applyFont="1" applyAlignment="1"/>
    <xf numFmtId="164" fontId="5" fillId="0" borderId="8" xfId="0" applyNumberFormat="1" applyFont="1" applyBorder="1" applyAlignment="1"/>
    <xf numFmtId="164" fontId="9" fillId="0" borderId="8" xfId="0" applyNumberFormat="1" applyFont="1" applyBorder="1" applyAlignment="1"/>
    <xf numFmtId="164" fontId="5" fillId="0" borderId="8" xfId="0" applyNumberFormat="1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164" fontId="5" fillId="3" borderId="8" xfId="0" applyNumberFormat="1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164" fontId="5" fillId="8" borderId="8" xfId="0" applyNumberFormat="1" applyFont="1" applyFill="1" applyBorder="1" applyAlignment="1">
      <alignment vertical="center"/>
    </xf>
    <xf numFmtId="0" fontId="5" fillId="0" borderId="8" xfId="0" applyFont="1" applyBorder="1" applyAlignment="1"/>
    <xf numFmtId="0" fontId="38" fillId="0" borderId="19" xfId="9" applyFont="1" applyBorder="1" applyAlignment="1">
      <alignment horizontal="center" vertical="center"/>
    </xf>
    <xf numFmtId="0" fontId="38" fillId="0" borderId="7" xfId="9" applyFont="1" applyBorder="1" applyAlignment="1">
      <alignment horizontal="center" vertical="center"/>
    </xf>
    <xf numFmtId="0" fontId="38" fillId="0" borderId="18" xfId="127" applyFont="1" applyBorder="1" applyAlignment="1">
      <alignment horizontal="center" vertical="center"/>
    </xf>
    <xf numFmtId="0" fontId="38" fillId="0" borderId="18" xfId="9" applyFont="1" applyBorder="1" applyAlignment="1">
      <alignment horizontal="center" vertical="center"/>
    </xf>
    <xf numFmtId="17" fontId="38" fillId="0" borderId="20" xfId="2" applyNumberFormat="1" applyFont="1" applyBorder="1" applyAlignment="1">
      <alignment horizontal="center"/>
    </xf>
    <xf numFmtId="17" fontId="38" fillId="0" borderId="21" xfId="2" applyNumberFormat="1" applyFont="1" applyBorder="1" applyAlignment="1">
      <alignment horizontal="center"/>
    </xf>
    <xf numFmtId="0" fontId="44" fillId="0" borderId="1" xfId="2" applyFont="1" applyBorder="1" applyAlignment="1">
      <alignment horizontal="center" vertical="center"/>
    </xf>
    <xf numFmtId="0" fontId="44" fillId="0" borderId="2" xfId="2" applyFont="1" applyBorder="1" applyAlignment="1">
      <alignment horizontal="center" vertical="center"/>
    </xf>
    <xf numFmtId="0" fontId="44" fillId="0" borderId="3" xfId="2" applyFont="1" applyBorder="1" applyAlignment="1">
      <alignment horizontal="center" vertical="center"/>
    </xf>
    <xf numFmtId="0" fontId="43" fillId="0" borderId="1" xfId="2" applyFont="1" applyBorder="1" applyAlignment="1">
      <alignment horizontal="center"/>
    </xf>
    <xf numFmtId="0" fontId="43" fillId="0" borderId="2" xfId="2" applyFont="1" applyBorder="1" applyAlignment="1">
      <alignment horizontal="center"/>
    </xf>
    <xf numFmtId="0" fontId="42" fillId="0" borderId="19" xfId="3" applyFont="1" applyBorder="1" applyAlignment="1">
      <alignment horizontal="center" vertical="center" wrapText="1"/>
    </xf>
    <xf numFmtId="0" fontId="42" fillId="0" borderId="7" xfId="3" applyFont="1" applyBorder="1" applyAlignment="1">
      <alignment horizontal="center" vertical="center" wrapText="1"/>
    </xf>
    <xf numFmtId="0" fontId="42" fillId="0" borderId="19" xfId="3" applyFont="1" applyBorder="1" applyAlignment="1">
      <alignment horizontal="center" vertical="center"/>
    </xf>
    <xf numFmtId="0" fontId="42" fillId="0" borderId="7" xfId="3" applyFont="1" applyBorder="1" applyAlignment="1">
      <alignment horizontal="center" vertical="center"/>
    </xf>
    <xf numFmtId="17" fontId="38" fillId="2" borderId="20" xfId="2" applyNumberFormat="1" applyFont="1" applyFill="1" applyBorder="1" applyAlignment="1">
      <alignment horizontal="center"/>
    </xf>
    <xf numFmtId="17" fontId="38" fillId="2" borderId="21" xfId="2" applyNumberFormat="1" applyFont="1" applyFill="1" applyBorder="1" applyAlignment="1">
      <alignment horizontal="center"/>
    </xf>
    <xf numFmtId="0" fontId="38" fillId="0" borderId="20" xfId="2" applyFont="1" applyBorder="1" applyAlignment="1">
      <alignment horizontal="center"/>
    </xf>
    <xf numFmtId="0" fontId="38" fillId="0" borderId="21" xfId="2" applyFont="1" applyBorder="1" applyAlignment="1">
      <alignment horizontal="center"/>
    </xf>
    <xf numFmtId="0" fontId="43" fillId="0" borderId="2" xfId="8" applyFont="1" applyBorder="1" applyAlignment="1">
      <alignment horizontal="center" vertical="center" wrapText="1"/>
    </xf>
    <xf numFmtId="0" fontId="38" fillId="0" borderId="19" xfId="8" applyFont="1" applyBorder="1" applyAlignment="1">
      <alignment horizontal="center" vertical="center"/>
    </xf>
    <xf numFmtId="0" fontId="38" fillId="0" borderId="7" xfId="8" applyFont="1" applyBorder="1" applyAlignment="1">
      <alignment horizontal="center" vertical="center"/>
    </xf>
    <xf numFmtId="0" fontId="38" fillId="0" borderId="20" xfId="8" applyFont="1" applyBorder="1" applyAlignment="1">
      <alignment horizontal="center" vertical="center"/>
    </xf>
    <xf numFmtId="0" fontId="38" fillId="0" borderId="21" xfId="8" applyFont="1" applyBorder="1" applyAlignment="1">
      <alignment horizontal="center" vertical="center"/>
    </xf>
    <xf numFmtId="0" fontId="38" fillId="0" borderId="18" xfId="8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17" fontId="38" fillId="0" borderId="5" xfId="2" applyNumberFormat="1" applyFont="1" applyBorder="1" applyAlignment="1">
      <alignment horizontal="center"/>
    </xf>
    <xf numFmtId="17" fontId="38" fillId="0" borderId="6" xfId="2" applyNumberFormat="1" applyFont="1" applyBorder="1" applyAlignment="1">
      <alignment horizontal="center"/>
    </xf>
    <xf numFmtId="0" fontId="42" fillId="0" borderId="4" xfId="3" applyFont="1" applyBorder="1" applyAlignment="1">
      <alignment horizontal="center" vertical="center" wrapText="1"/>
    </xf>
    <xf numFmtId="0" fontId="42" fillId="0" borderId="4" xfId="3" applyFont="1" applyBorder="1" applyAlignment="1">
      <alignment horizontal="center" vertical="center"/>
    </xf>
    <xf numFmtId="17" fontId="38" fillId="2" borderId="5" xfId="2" applyNumberFormat="1" applyFont="1" applyFill="1" applyBorder="1" applyAlignment="1">
      <alignment horizontal="center"/>
    </xf>
    <xf numFmtId="17" fontId="38" fillId="2" borderId="6" xfId="2" applyNumberFormat="1" applyFont="1" applyFill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38" fillId="0" borderId="5" xfId="2" applyFont="1" applyBorder="1" applyAlignment="1">
      <alignment horizontal="center"/>
    </xf>
    <xf numFmtId="0" fontId="38" fillId="0" borderId="6" xfId="2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8" fillId="0" borderId="5" xfId="2" applyFont="1" applyBorder="1" applyAlignment="1">
      <alignment horizontal="center" vertical="center"/>
    </xf>
    <xf numFmtId="0" fontId="38" fillId="0" borderId="6" xfId="2" applyFont="1" applyBorder="1" applyAlignment="1">
      <alignment horizontal="center" vertical="center"/>
    </xf>
    <xf numFmtId="17" fontId="38" fillId="0" borderId="5" xfId="2" applyNumberFormat="1" applyFont="1" applyBorder="1" applyAlignment="1">
      <alignment horizontal="center" vertical="center"/>
    </xf>
    <xf numFmtId="17" fontId="38" fillId="0" borderId="6" xfId="2" applyNumberFormat="1" applyFont="1" applyBorder="1" applyAlignment="1">
      <alignment horizontal="center" vertical="center"/>
    </xf>
    <xf numFmtId="0" fontId="38" fillId="0" borderId="5" xfId="8" applyFont="1" applyBorder="1" applyAlignment="1">
      <alignment horizontal="center" vertical="center"/>
    </xf>
    <xf numFmtId="0" fontId="38" fillId="0" borderId="6" xfId="8" applyFont="1" applyBorder="1" applyAlignment="1">
      <alignment horizontal="center" vertical="center"/>
    </xf>
    <xf numFmtId="0" fontId="38" fillId="0" borderId="8" xfId="8" applyFont="1" applyBorder="1" applyAlignment="1">
      <alignment horizontal="center" vertical="center"/>
    </xf>
    <xf numFmtId="0" fontId="38" fillId="0" borderId="4" xfId="8" applyFont="1" applyBorder="1" applyAlignment="1">
      <alignment horizontal="center" vertical="center"/>
    </xf>
    <xf numFmtId="0" fontId="37" fillId="0" borderId="8" xfId="0" applyFont="1" applyBorder="1" applyAlignment="1">
      <alignment horizontal="center"/>
    </xf>
    <xf numFmtId="164" fontId="0" fillId="0" borderId="8" xfId="1" applyNumberFormat="1" applyFont="1" applyBorder="1" applyAlignment="1">
      <alignment vertical="center"/>
    </xf>
  </cellXfs>
  <cellStyles count="189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Comma" xfId="1" builtinId="3"/>
    <cellStyle name="Comma 10" xfId="37"/>
    <cellStyle name="Comma 10 2" xfId="38"/>
    <cellStyle name="Comma 10 3" xfId="39"/>
    <cellStyle name="Comma 10 3 2" xfId="40"/>
    <cellStyle name="Comma 10 4" xfId="41"/>
    <cellStyle name="Comma 10 5" xfId="42"/>
    <cellStyle name="Comma 10 6" xfId="43"/>
    <cellStyle name="Comma 10 6 2" xfId="44"/>
    <cellStyle name="Comma 10 6 3" xfId="45"/>
    <cellStyle name="Comma 10 6 3 2" xfId="46"/>
    <cellStyle name="Comma 11" xfId="47"/>
    <cellStyle name="Comma 11 2" xfId="48"/>
    <cellStyle name="Comma 12" xfId="49"/>
    <cellStyle name="Comma 13" xfId="50"/>
    <cellStyle name="Comma 13 2" xfId="51"/>
    <cellStyle name="Comma 13 2 2" xfId="52"/>
    <cellStyle name="Comma 14" xfId="53"/>
    <cellStyle name="Comma 14 2" xfId="54"/>
    <cellStyle name="Comma 14 3" xfId="55"/>
    <cellStyle name="Comma 15" xfId="56"/>
    <cellStyle name="Comma 15 2" xfId="57"/>
    <cellStyle name="Comma 16" xfId="58"/>
    <cellStyle name="Comma 16 2" xfId="59"/>
    <cellStyle name="Comma 16 3" xfId="60"/>
    <cellStyle name="Comma 17" xfId="61"/>
    <cellStyle name="Comma 18" xfId="62"/>
    <cellStyle name="Comma 19" xfId="63"/>
    <cellStyle name="Comma 2" xfId="6"/>
    <cellStyle name="Comma 2 2" xfId="5"/>
    <cellStyle name="Comma 2 2 2" xfId="7"/>
    <cellStyle name="Comma 2 2 3 2 2 2" xfId="64"/>
    <cellStyle name="Comma 2 2 3 2 2 2 2" xfId="65"/>
    <cellStyle name="Comma 2 2 3 2 2 2 2 2" xfId="66"/>
    <cellStyle name="Comma 2 2 3 2 2 2 3" xfId="67"/>
    <cellStyle name="Comma 2 2 3 2 2 2 4" xfId="68"/>
    <cellStyle name="Comma 2 2 3 2 2 2 5" xfId="69"/>
    <cellStyle name="Comma 2 2 3 2 2 2 5 2" xfId="70"/>
    <cellStyle name="Comma 2 2 3 2 2 2 5 3" xfId="71"/>
    <cellStyle name="Comma 2 2 3 2 2 2 5 3 2" xfId="72"/>
    <cellStyle name="Comma 2 2 3 2 2 3 2" xfId="73"/>
    <cellStyle name="Comma 2 3" xfId="74"/>
    <cellStyle name="Comma 20" xfId="75"/>
    <cellStyle name="Comma 21" xfId="76"/>
    <cellStyle name="Comma 22" xfId="77"/>
    <cellStyle name="Comma 23" xfId="4"/>
    <cellStyle name="Comma 3" xfId="78"/>
    <cellStyle name="Comma 3 2" xfId="79"/>
    <cellStyle name="Comma 3 3" xfId="80"/>
    <cellStyle name="Comma 4" xfId="81"/>
    <cellStyle name="Comma 4 2" xfId="82"/>
    <cellStyle name="Comma 5" xfId="83"/>
    <cellStyle name="Comma 5 2" xfId="84"/>
    <cellStyle name="Comma 6" xfId="85"/>
    <cellStyle name="Comma 7" xfId="86"/>
    <cellStyle name="Comma 7 2" xfId="87"/>
    <cellStyle name="Comma 7 2 2" xfId="88"/>
    <cellStyle name="Comma 7 3" xfId="89"/>
    <cellStyle name="Comma 8" xfId="90"/>
    <cellStyle name="Comma 8 2" xfId="91"/>
    <cellStyle name="Comma 8 3" xfId="92"/>
    <cellStyle name="Comma 8 3 2" xfId="93"/>
    <cellStyle name="Comma 8 4" xfId="94"/>
    <cellStyle name="Comma 8 5" xfId="95"/>
    <cellStyle name="Comma 8 6" xfId="96"/>
    <cellStyle name="Comma 8 7" xfId="97"/>
    <cellStyle name="Comma 9" xfId="98"/>
    <cellStyle name="Explanatory Text 2" xfId="99"/>
    <cellStyle name="Good 2" xfId="100"/>
    <cellStyle name="Heading 1 2" xfId="101"/>
    <cellStyle name="Heading 2 2" xfId="102"/>
    <cellStyle name="Heading 3 2" xfId="103"/>
    <cellStyle name="Heading 4 2" xfId="104"/>
    <cellStyle name="Input 2" xfId="105"/>
    <cellStyle name="Linked Cell 2" xfId="106"/>
    <cellStyle name="Neutral 2" xfId="107"/>
    <cellStyle name="Normal" xfId="0" builtinId="0"/>
    <cellStyle name="Normal 10" xfId="108"/>
    <cellStyle name="Normal 11" xfId="109"/>
    <cellStyle name="Normal 11 2" xfId="110"/>
    <cellStyle name="Normal 12" xfId="111"/>
    <cellStyle name="Normal 13" xfId="112"/>
    <cellStyle name="Normal 13 2" xfId="113"/>
    <cellStyle name="Normal 13 3" xfId="114"/>
    <cellStyle name="Normal 14" xfId="115"/>
    <cellStyle name="Normal 14 2" xfId="116"/>
    <cellStyle name="Normal 14 4 2 2 2" xfId="117"/>
    <cellStyle name="Normal 14 4 2 2 2 2" xfId="118"/>
    <cellStyle name="Normal 14 4 2 2 2 2 2" xfId="119"/>
    <cellStyle name="Normal 15" xfId="120"/>
    <cellStyle name="Normal 16" xfId="121"/>
    <cellStyle name="Normal 16 2 2" xfId="122"/>
    <cellStyle name="Normal 17" xfId="123"/>
    <cellStyle name="Normal 18" xfId="124"/>
    <cellStyle name="Normal 19" xfId="2"/>
    <cellStyle name="Normal 2" xfId="3"/>
    <cellStyle name="Normal 2 2" xfId="8"/>
    <cellStyle name="Normal 2 3" xfId="125"/>
    <cellStyle name="Normal 2 4" xfId="126"/>
    <cellStyle name="Normal 20" xfId="127"/>
    <cellStyle name="Normal 3" xfId="9"/>
    <cellStyle name="Normal 3 2" xfId="128"/>
    <cellStyle name="Normal 4" xfId="129"/>
    <cellStyle name="Normal 4 2" xfId="130"/>
    <cellStyle name="Normal 5" xfId="131"/>
    <cellStyle name="Normal 5 2" xfId="132"/>
    <cellStyle name="Normal 5 2 2" xfId="133"/>
    <cellStyle name="Normal 5 2 3" xfId="134"/>
    <cellStyle name="Normal 5 2 4" xfId="135"/>
    <cellStyle name="Normal 5 2 4 2" xfId="136"/>
    <cellStyle name="Normal 5 3" xfId="137"/>
    <cellStyle name="Normal 5 4" xfId="138"/>
    <cellStyle name="Normal 5 5" xfId="139"/>
    <cellStyle name="Normal 5 6" xfId="140"/>
    <cellStyle name="Normal 5 6 2" xfId="141"/>
    <cellStyle name="Normal 5 6 2 2" xfId="142"/>
    <cellStyle name="Normal 5 6 2 2 2" xfId="143"/>
    <cellStyle name="Normal 5 6 3" xfId="144"/>
    <cellStyle name="Normal 5 6 3 2" xfId="145"/>
    <cellStyle name="Normal 5 6 3 2 2" xfId="146"/>
    <cellStyle name="Normal 5 6 3 3" xfId="147"/>
    <cellStyle name="Normal 5 6 4" xfId="148"/>
    <cellStyle name="Normal 5 7" xfId="149"/>
    <cellStyle name="Normal 5 8" xfId="150"/>
    <cellStyle name="Normal 5 9" xfId="151"/>
    <cellStyle name="Normal 5 9 2" xfId="152"/>
    <cellStyle name="Normal 5 9 3" xfId="153"/>
    <cellStyle name="Normal 5 9 3 2" xfId="154"/>
    <cellStyle name="Normal 6" xfId="155"/>
    <cellStyle name="Normal 6 2" xfId="156"/>
    <cellStyle name="Normal 7" xfId="157"/>
    <cellStyle name="Normal 8" xfId="158"/>
    <cellStyle name="Normal 9" xfId="159"/>
    <cellStyle name="Normal 9 2 2 2 2 2" xfId="160"/>
    <cellStyle name="Normal 9 2 2 2 2 2 2" xfId="161"/>
    <cellStyle name="Normal 9 2 2 2 2 2 2 2" xfId="162"/>
    <cellStyle name="Normal 9 2 2 2 2 2 3" xfId="163"/>
    <cellStyle name="Normal 9 2 2 2 2 2 4" xfId="164"/>
    <cellStyle name="Normal 9 2 2 2 2 2 5" xfId="165"/>
    <cellStyle name="Normal 9 2 2 2 2 2 5 2" xfId="166"/>
    <cellStyle name="Normal 9 2 2 2 2 2 5 3" xfId="167"/>
    <cellStyle name="Normal 9 2 2 2 2 2 5 3 2" xfId="168"/>
    <cellStyle name="Normal 9 2 2 2 2 3" xfId="169"/>
    <cellStyle name="Note 2" xfId="170"/>
    <cellStyle name="Output 2" xfId="171"/>
    <cellStyle name="Percent 2 2 2 2 2 2" xfId="172"/>
    <cellStyle name="Percent 2 2 2 2 2 2 2" xfId="173"/>
    <cellStyle name="Percent 2 2 2 2 2 2 2 2" xfId="174"/>
    <cellStyle name="Percent 2 2 2 2 2 2 3" xfId="175"/>
    <cellStyle name="Percent 2 2 2 2 2 2 4" xfId="176"/>
    <cellStyle name="Percent 2 2 2 2 2 2 5" xfId="177"/>
    <cellStyle name="Percent 2 2 2 2 2 2 5 2" xfId="178"/>
    <cellStyle name="Percent 2 2 2 2 2 2 5 3" xfId="179"/>
    <cellStyle name="Percent 2 2 2 2 2 2 5 3 2" xfId="180"/>
    <cellStyle name="Percent 4 2 2 2" xfId="181"/>
    <cellStyle name="Percent 4 2 2 2 2" xfId="182"/>
    <cellStyle name="Percent 4 2 2 2 2 2" xfId="183"/>
    <cellStyle name="Percent 4 2 2 2 3" xfId="184"/>
    <cellStyle name="Percent 4 2 2 3" xfId="185"/>
    <cellStyle name="Title 2" xfId="186"/>
    <cellStyle name="Total 2" xfId="187"/>
    <cellStyle name="Warning Text 2" xfId="1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M%20SKU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e for MTL"/>
      <sheetName val="MTL-22"/>
      <sheetName val="MTL-23"/>
      <sheetName val="MTL-24"/>
      <sheetName val="MTL-25"/>
      <sheetName val="MTL-FOC -22"/>
      <sheetName val="MTL-FOC-23"/>
      <sheetName val="MTL-FOC-24"/>
      <sheetName val="MTL-FOC-25"/>
      <sheetName val="CopareforKK"/>
      <sheetName val="KK22"/>
      <sheetName val="KK23"/>
      <sheetName val="KK24"/>
      <sheetName val="KK25"/>
      <sheetName val="Price"/>
      <sheetName val="Sheet1"/>
    </sheetNames>
    <sheetDataSet>
      <sheetData sheetId="0"/>
      <sheetData sheetId="1">
        <row r="36">
          <cell r="D36">
            <v>798573</v>
          </cell>
        </row>
      </sheetData>
      <sheetData sheetId="2">
        <row r="35">
          <cell r="D35">
            <v>868076</v>
          </cell>
        </row>
      </sheetData>
      <sheetData sheetId="3">
        <row r="35">
          <cell r="D35">
            <v>949178</v>
          </cell>
        </row>
      </sheetData>
      <sheetData sheetId="4">
        <row r="35">
          <cell r="D35">
            <v>965752</v>
          </cell>
        </row>
      </sheetData>
      <sheetData sheetId="5">
        <row r="38">
          <cell r="AB38">
            <v>3713</v>
          </cell>
          <cell r="AC38">
            <v>2651.18</v>
          </cell>
        </row>
      </sheetData>
      <sheetData sheetId="6">
        <row r="38">
          <cell r="AB38">
            <v>9598</v>
          </cell>
          <cell r="AC38">
            <v>6344.73</v>
          </cell>
        </row>
      </sheetData>
      <sheetData sheetId="7">
        <row r="38">
          <cell r="AB38">
            <v>8806</v>
          </cell>
          <cell r="AC38">
            <v>6150.47</v>
          </cell>
        </row>
      </sheetData>
      <sheetData sheetId="8"/>
      <sheetData sheetId="9"/>
      <sheetData sheetId="10">
        <row r="8">
          <cell r="D8">
            <v>80957</v>
          </cell>
          <cell r="E8">
            <v>54790.520000000004</v>
          </cell>
          <cell r="F8">
            <v>75224</v>
          </cell>
          <cell r="G8">
            <v>50728.639999999999</v>
          </cell>
          <cell r="H8">
            <v>91908</v>
          </cell>
          <cell r="I8">
            <v>63741.120000000003</v>
          </cell>
          <cell r="J8">
            <v>68560</v>
          </cell>
          <cell r="K8">
            <v>47632.480000000003</v>
          </cell>
          <cell r="L8">
            <v>64296</v>
          </cell>
          <cell r="M8">
            <v>43226.879999999997</v>
          </cell>
          <cell r="N8">
            <v>72224</v>
          </cell>
          <cell r="O8">
            <v>48752</v>
          </cell>
          <cell r="P8">
            <v>71933</v>
          </cell>
          <cell r="Q8">
            <v>49611.8</v>
          </cell>
          <cell r="R8">
            <v>78552</v>
          </cell>
          <cell r="S8">
            <v>54868.32</v>
          </cell>
          <cell r="T8">
            <v>67801</v>
          </cell>
          <cell r="U8">
            <v>46326.400000000009</v>
          </cell>
          <cell r="V8">
            <v>71984</v>
          </cell>
          <cell r="W8">
            <v>49333.760000000002</v>
          </cell>
          <cell r="X8">
            <v>81306</v>
          </cell>
          <cell r="Y8">
            <v>56771.040000000001</v>
          </cell>
          <cell r="Z8">
            <v>95010</v>
          </cell>
          <cell r="AA8">
            <v>64569.600000000006</v>
          </cell>
          <cell r="AC8">
            <v>630352.55999999994</v>
          </cell>
        </row>
        <row r="14">
          <cell r="AB14">
            <v>416</v>
          </cell>
          <cell r="AC14">
            <v>312.15999999999997</v>
          </cell>
        </row>
      </sheetData>
      <sheetData sheetId="11">
        <row r="8">
          <cell r="D8">
            <v>81462</v>
          </cell>
          <cell r="E8">
            <v>56508.479999999996</v>
          </cell>
          <cell r="F8">
            <v>66098</v>
          </cell>
          <cell r="G8">
            <v>44689.279999999999</v>
          </cell>
          <cell r="H8">
            <v>74318</v>
          </cell>
          <cell r="I8">
            <v>52016.960000000006</v>
          </cell>
          <cell r="J8">
            <v>72502</v>
          </cell>
          <cell r="K8">
            <v>50736.160000000003</v>
          </cell>
          <cell r="L8">
            <v>58764</v>
          </cell>
          <cell r="M8">
            <v>42061.919999999998</v>
          </cell>
          <cell r="N8">
            <v>72738</v>
          </cell>
          <cell r="O8">
            <v>51260.399999999994</v>
          </cell>
          <cell r="P8">
            <v>84484</v>
          </cell>
          <cell r="Q8">
            <v>59576.08</v>
          </cell>
          <cell r="R8">
            <v>73347</v>
          </cell>
          <cell r="S8">
            <v>50543.64</v>
          </cell>
          <cell r="T8">
            <v>80246</v>
          </cell>
          <cell r="U8">
            <v>56019.92</v>
          </cell>
          <cell r="V8">
            <v>78502</v>
          </cell>
          <cell r="W8">
            <v>53934.400000000001</v>
          </cell>
          <cell r="X8">
            <v>83376</v>
          </cell>
          <cell r="Y8">
            <v>59379.840000000004</v>
          </cell>
          <cell r="Z8">
            <v>105170</v>
          </cell>
          <cell r="AA8">
            <v>73364</v>
          </cell>
        </row>
        <row r="14">
          <cell r="AB14">
            <v>352</v>
          </cell>
          <cell r="AC14">
            <v>268.32</v>
          </cell>
        </row>
      </sheetData>
      <sheetData sheetId="12">
        <row r="8">
          <cell r="D8">
            <v>92135</v>
          </cell>
          <cell r="E8">
            <v>64438.400000000001</v>
          </cell>
          <cell r="F8">
            <v>78426</v>
          </cell>
          <cell r="G8">
            <v>54973.920000000006</v>
          </cell>
          <cell r="H8">
            <v>81740</v>
          </cell>
          <cell r="I8">
            <v>56504.480000000003</v>
          </cell>
          <cell r="J8">
            <v>79178</v>
          </cell>
          <cell r="K8">
            <v>57488</v>
          </cell>
          <cell r="L8">
            <v>74948</v>
          </cell>
          <cell r="M8">
            <v>51288.320000000007</v>
          </cell>
          <cell r="N8">
            <v>80104</v>
          </cell>
          <cell r="O8">
            <v>56039.68</v>
          </cell>
          <cell r="P8">
            <v>90428</v>
          </cell>
          <cell r="Q8">
            <v>64519.039999999994</v>
          </cell>
          <cell r="R8">
            <v>81676</v>
          </cell>
          <cell r="S8">
            <v>60121.599999999999</v>
          </cell>
          <cell r="T8">
            <v>87376</v>
          </cell>
          <cell r="U8">
            <v>63049.599999999999</v>
          </cell>
          <cell r="V8">
            <v>106510</v>
          </cell>
          <cell r="W8">
            <v>78505.600000000006</v>
          </cell>
          <cell r="X8">
            <v>94270</v>
          </cell>
          <cell r="Y8">
            <v>69463.360000000001</v>
          </cell>
          <cell r="Z8">
            <v>116576</v>
          </cell>
          <cell r="AA8">
            <v>87648.320000000007</v>
          </cell>
        </row>
        <row r="14">
          <cell r="AB14">
            <v>1506</v>
          </cell>
          <cell r="AC14">
            <v>1400.28</v>
          </cell>
        </row>
      </sheetData>
      <sheetData sheetId="13">
        <row r="8">
          <cell r="D8">
            <v>113379</v>
          </cell>
          <cell r="E8">
            <v>84700.799999999988</v>
          </cell>
          <cell r="F8">
            <v>78954</v>
          </cell>
          <cell r="G8">
            <v>57786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Q15" sqref="Q15"/>
    </sheetView>
  </sheetViews>
  <sheetFormatPr defaultRowHeight="18"/>
  <cols>
    <col min="1" max="1" width="4.28515625" style="47" customWidth="1"/>
    <col min="2" max="2" width="39" style="47" customWidth="1"/>
    <col min="3" max="3" width="10.42578125" style="47" customWidth="1"/>
    <col min="4" max="4" width="9.140625" style="47"/>
    <col min="5" max="5" width="11.7109375" style="47" customWidth="1"/>
    <col min="6" max="6" width="14.7109375" style="47" customWidth="1"/>
    <col min="7" max="16384" width="9.140625" style="47"/>
  </cols>
  <sheetData>
    <row r="1" spans="1:6" ht="18" customHeight="1">
      <c r="A1" s="228" t="s">
        <v>144</v>
      </c>
      <c r="B1" s="228" t="s">
        <v>145</v>
      </c>
      <c r="C1" s="228" t="s">
        <v>4</v>
      </c>
      <c r="D1" s="229" t="s">
        <v>146</v>
      </c>
      <c r="E1" s="226" t="s">
        <v>147</v>
      </c>
      <c r="F1" s="226" t="s">
        <v>148</v>
      </c>
    </row>
    <row r="2" spans="1:6" ht="23.25" customHeight="1">
      <c r="A2" s="228"/>
      <c r="B2" s="228"/>
      <c r="C2" s="228"/>
      <c r="D2" s="229"/>
      <c r="E2" s="227"/>
      <c r="F2" s="227"/>
    </row>
    <row r="3" spans="1:6" ht="20.100000000000001" customHeight="1">
      <c r="A3" s="49">
        <v>1</v>
      </c>
      <c r="B3" s="48" t="s">
        <v>149</v>
      </c>
      <c r="C3" s="48">
        <v>0.7</v>
      </c>
      <c r="D3" s="76" t="s">
        <v>150</v>
      </c>
      <c r="E3" s="77">
        <v>2020</v>
      </c>
      <c r="F3" s="77">
        <f>E3*12</f>
        <v>24240</v>
      </c>
    </row>
    <row r="4" spans="1:6" ht="20.100000000000001" customHeight="1">
      <c r="A4" s="49">
        <v>2</v>
      </c>
      <c r="B4" s="48" t="s">
        <v>151</v>
      </c>
      <c r="C4" s="48">
        <v>0.64</v>
      </c>
      <c r="D4" s="76" t="s">
        <v>152</v>
      </c>
      <c r="E4" s="77">
        <v>1380</v>
      </c>
      <c r="F4" s="77">
        <f>E4*14</f>
        <v>19320</v>
      </c>
    </row>
    <row r="5" spans="1:6" ht="20.100000000000001" customHeight="1">
      <c r="A5" s="49">
        <v>3</v>
      </c>
      <c r="B5" s="48" t="s">
        <v>153</v>
      </c>
      <c r="C5" s="48">
        <v>1</v>
      </c>
      <c r="D5" s="76" t="s">
        <v>154</v>
      </c>
      <c r="E5" s="77">
        <v>1680</v>
      </c>
      <c r="F5" s="77">
        <f t="shared" ref="F5:F11" si="0">E5*12</f>
        <v>20160</v>
      </c>
    </row>
    <row r="6" spans="1:6" ht="20.100000000000001" customHeight="1">
      <c r="A6" s="49">
        <v>4</v>
      </c>
      <c r="B6" s="48" t="s">
        <v>155</v>
      </c>
      <c r="C6" s="48">
        <v>0.6</v>
      </c>
      <c r="D6" s="76" t="s">
        <v>156</v>
      </c>
      <c r="E6" s="77">
        <v>1130</v>
      </c>
      <c r="F6" s="77">
        <f t="shared" si="0"/>
        <v>13560</v>
      </c>
    </row>
    <row r="7" spans="1:6" ht="20.100000000000001" customHeight="1">
      <c r="A7" s="49">
        <v>5</v>
      </c>
      <c r="B7" s="48" t="s">
        <v>157</v>
      </c>
      <c r="C7" s="48">
        <v>1</v>
      </c>
      <c r="D7" s="76" t="s">
        <v>158</v>
      </c>
      <c r="E7" s="77">
        <v>1680</v>
      </c>
      <c r="F7" s="77">
        <f t="shared" si="0"/>
        <v>20160</v>
      </c>
    </row>
    <row r="8" spans="1:6" ht="20.100000000000001" customHeight="1">
      <c r="A8" s="49">
        <v>6</v>
      </c>
      <c r="B8" s="49" t="s">
        <v>159</v>
      </c>
      <c r="C8" s="49">
        <v>1</v>
      </c>
      <c r="D8" s="76" t="s">
        <v>160</v>
      </c>
      <c r="E8" s="77">
        <v>1530</v>
      </c>
      <c r="F8" s="77">
        <f t="shared" si="0"/>
        <v>18360</v>
      </c>
    </row>
    <row r="9" spans="1:6" ht="20.100000000000001" customHeight="1">
      <c r="A9" s="49">
        <v>7</v>
      </c>
      <c r="B9" s="49" t="s">
        <v>161</v>
      </c>
      <c r="C9" s="49">
        <v>1</v>
      </c>
      <c r="D9" s="76" t="s">
        <v>154</v>
      </c>
      <c r="E9" s="77">
        <v>1090</v>
      </c>
      <c r="F9" s="77">
        <f t="shared" si="0"/>
        <v>13080</v>
      </c>
    </row>
    <row r="10" spans="1:6" ht="20.100000000000001" customHeight="1">
      <c r="A10" s="49">
        <v>8</v>
      </c>
      <c r="B10" s="50" t="s">
        <v>207</v>
      </c>
      <c r="C10" s="50">
        <v>0.6</v>
      </c>
      <c r="D10" s="78" t="s">
        <v>206</v>
      </c>
      <c r="E10" s="79">
        <v>800</v>
      </c>
      <c r="F10" s="79">
        <f t="shared" si="0"/>
        <v>9600</v>
      </c>
    </row>
    <row r="11" spans="1:6" ht="20.100000000000001" customHeight="1">
      <c r="A11" s="49">
        <v>9</v>
      </c>
      <c r="B11" s="50" t="s">
        <v>208</v>
      </c>
      <c r="C11" s="50">
        <v>0.6</v>
      </c>
      <c r="D11" s="78" t="s">
        <v>150</v>
      </c>
      <c r="E11" s="79">
        <v>800</v>
      </c>
      <c r="F11" s="79">
        <f t="shared" si="0"/>
        <v>9600</v>
      </c>
    </row>
    <row r="12" spans="1:6" ht="20.100000000000001" customHeight="1">
      <c r="A12" s="49">
        <v>10</v>
      </c>
      <c r="B12" s="49" t="s">
        <v>80</v>
      </c>
      <c r="C12" s="49">
        <v>0.64</v>
      </c>
      <c r="D12" s="76" t="s">
        <v>162</v>
      </c>
      <c r="E12" s="77">
        <v>800</v>
      </c>
      <c r="F12" s="77">
        <f>E12*24</f>
        <v>19200</v>
      </c>
    </row>
    <row r="13" spans="1:6" ht="20.100000000000001" customHeight="1">
      <c r="A13" s="49">
        <v>11</v>
      </c>
      <c r="B13" s="50" t="s">
        <v>198</v>
      </c>
      <c r="C13" s="50">
        <v>0.64</v>
      </c>
      <c r="D13" s="78" t="s">
        <v>203</v>
      </c>
      <c r="E13" s="79">
        <v>830</v>
      </c>
      <c r="F13" s="79">
        <f>E13*14</f>
        <v>11620</v>
      </c>
    </row>
    <row r="14" spans="1:6" ht="20.100000000000001" customHeight="1">
      <c r="A14" s="49">
        <v>12</v>
      </c>
      <c r="B14" s="49" t="s">
        <v>163</v>
      </c>
      <c r="C14" s="49">
        <v>0.68</v>
      </c>
      <c r="D14" s="76" t="s">
        <v>158</v>
      </c>
      <c r="E14" s="77">
        <v>1550</v>
      </c>
      <c r="F14" s="77">
        <f>E14*12</f>
        <v>18600</v>
      </c>
    </row>
    <row r="15" spans="1:6" ht="20.100000000000001" customHeight="1">
      <c r="A15" s="49">
        <v>13</v>
      </c>
      <c r="B15" s="49" t="s">
        <v>164</v>
      </c>
      <c r="C15" s="49">
        <v>0.7</v>
      </c>
      <c r="D15" s="76" t="s">
        <v>165</v>
      </c>
      <c r="E15" s="77">
        <v>1800</v>
      </c>
      <c r="F15" s="77">
        <f>E15*12</f>
        <v>21600</v>
      </c>
    </row>
    <row r="16" spans="1:6" ht="20.100000000000001" customHeight="1">
      <c r="A16" s="49">
        <v>14</v>
      </c>
      <c r="B16" s="49" t="s">
        <v>164</v>
      </c>
      <c r="C16" s="49">
        <v>0.64</v>
      </c>
      <c r="D16" s="76" t="s">
        <v>152</v>
      </c>
      <c r="E16" s="77">
        <v>1330</v>
      </c>
      <c r="F16" s="77">
        <f>E16*14</f>
        <v>18620</v>
      </c>
    </row>
    <row r="17" spans="1:6" ht="20.100000000000001" customHeight="1">
      <c r="A17" s="49">
        <v>15</v>
      </c>
      <c r="B17" s="51" t="s">
        <v>50</v>
      </c>
      <c r="C17" s="49">
        <v>0.64</v>
      </c>
      <c r="D17" s="76" t="s">
        <v>166</v>
      </c>
      <c r="E17" s="77">
        <v>1600</v>
      </c>
      <c r="F17" s="77">
        <f t="shared" ref="F17:F32" si="1">E17*14</f>
        <v>22400</v>
      </c>
    </row>
    <row r="18" spans="1:6" ht="20.100000000000001" customHeight="1">
      <c r="A18" s="49">
        <v>16</v>
      </c>
      <c r="B18" s="49" t="s">
        <v>60</v>
      </c>
      <c r="C18" s="49">
        <v>0.64</v>
      </c>
      <c r="D18" s="76" t="s">
        <v>167</v>
      </c>
      <c r="E18" s="77">
        <v>1350</v>
      </c>
      <c r="F18" s="77">
        <f t="shared" si="1"/>
        <v>18900</v>
      </c>
    </row>
    <row r="19" spans="1:6" ht="20.100000000000001" customHeight="1">
      <c r="A19" s="49">
        <v>17</v>
      </c>
      <c r="B19" s="49" t="s">
        <v>168</v>
      </c>
      <c r="C19" s="49">
        <v>0.64</v>
      </c>
      <c r="D19" s="76" t="s">
        <v>167</v>
      </c>
      <c r="E19" s="77">
        <v>1280</v>
      </c>
      <c r="F19" s="77">
        <f t="shared" si="1"/>
        <v>17920</v>
      </c>
    </row>
    <row r="20" spans="1:6" ht="20.100000000000001" customHeight="1">
      <c r="A20" s="49">
        <v>18</v>
      </c>
      <c r="B20" s="49" t="s">
        <v>169</v>
      </c>
      <c r="C20" s="49">
        <v>0.64</v>
      </c>
      <c r="D20" s="76" t="s">
        <v>167</v>
      </c>
      <c r="E20" s="77">
        <v>1330</v>
      </c>
      <c r="F20" s="77">
        <f t="shared" si="1"/>
        <v>18620</v>
      </c>
    </row>
    <row r="21" spans="1:6" ht="20.100000000000001" customHeight="1">
      <c r="A21" s="49">
        <v>19</v>
      </c>
      <c r="B21" s="49" t="s">
        <v>170</v>
      </c>
      <c r="C21" s="49">
        <v>0.64</v>
      </c>
      <c r="D21" s="76" t="s">
        <v>167</v>
      </c>
      <c r="E21" s="77">
        <v>1330</v>
      </c>
      <c r="F21" s="77">
        <f t="shared" si="1"/>
        <v>18620</v>
      </c>
    </row>
    <row r="22" spans="1:6" ht="20.100000000000001" customHeight="1">
      <c r="A22" s="49">
        <v>20</v>
      </c>
      <c r="B22" s="49" t="s">
        <v>171</v>
      </c>
      <c r="C22" s="49">
        <v>0.64</v>
      </c>
      <c r="D22" s="76" t="s">
        <v>162</v>
      </c>
      <c r="E22" s="77">
        <v>1330</v>
      </c>
      <c r="F22" s="77">
        <f>E22*24</f>
        <v>31920</v>
      </c>
    </row>
    <row r="23" spans="1:6" ht="20.100000000000001" customHeight="1">
      <c r="A23" s="49">
        <v>21</v>
      </c>
      <c r="B23" s="49" t="s">
        <v>172</v>
      </c>
      <c r="C23" s="49">
        <v>0.64</v>
      </c>
      <c r="D23" s="76" t="s">
        <v>167</v>
      </c>
      <c r="E23" s="77">
        <v>1330</v>
      </c>
      <c r="F23" s="77">
        <f t="shared" si="1"/>
        <v>18620</v>
      </c>
    </row>
    <row r="24" spans="1:6" ht="20.100000000000001" customHeight="1">
      <c r="A24" s="49">
        <v>22</v>
      </c>
      <c r="B24" s="48" t="s">
        <v>173</v>
      </c>
      <c r="C24" s="49">
        <v>0.64</v>
      </c>
      <c r="D24" s="76" t="s">
        <v>162</v>
      </c>
      <c r="E24" s="77">
        <v>1330</v>
      </c>
      <c r="F24" s="77">
        <f>E24*24</f>
        <v>31920</v>
      </c>
    </row>
    <row r="25" spans="1:6" ht="20.100000000000001" customHeight="1">
      <c r="A25" s="49">
        <v>23</v>
      </c>
      <c r="B25" s="49" t="s">
        <v>174</v>
      </c>
      <c r="C25" s="48">
        <v>0.64</v>
      </c>
      <c r="D25" s="76" t="s">
        <v>162</v>
      </c>
      <c r="E25" s="77">
        <v>1330</v>
      </c>
      <c r="F25" s="77">
        <f>E25*24</f>
        <v>31920</v>
      </c>
    </row>
    <row r="26" spans="1:6" ht="20.100000000000001" customHeight="1">
      <c r="A26" s="49">
        <v>24</v>
      </c>
      <c r="B26" s="49" t="s">
        <v>95</v>
      </c>
      <c r="C26" s="49">
        <v>0.64</v>
      </c>
      <c r="D26" s="76" t="s">
        <v>167</v>
      </c>
      <c r="E26" s="77">
        <v>1330</v>
      </c>
      <c r="F26" s="77">
        <f t="shared" si="1"/>
        <v>18620</v>
      </c>
    </row>
    <row r="27" spans="1:6" ht="20.100000000000001" customHeight="1">
      <c r="A27" s="49">
        <v>25</v>
      </c>
      <c r="B27" s="49" t="s">
        <v>53</v>
      </c>
      <c r="C27" s="49">
        <v>0.64</v>
      </c>
      <c r="D27" s="76" t="s">
        <v>167</v>
      </c>
      <c r="E27" s="77">
        <v>1370</v>
      </c>
      <c r="F27" s="77">
        <f t="shared" si="1"/>
        <v>19180</v>
      </c>
    </row>
    <row r="28" spans="1:6" ht="20.100000000000001" customHeight="1">
      <c r="A28" s="49">
        <v>26</v>
      </c>
      <c r="B28" s="49" t="s">
        <v>175</v>
      </c>
      <c r="C28" s="49">
        <v>0.64</v>
      </c>
      <c r="D28" s="76" t="s">
        <v>167</v>
      </c>
      <c r="E28" s="77">
        <v>1700</v>
      </c>
      <c r="F28" s="77">
        <f t="shared" si="1"/>
        <v>23800</v>
      </c>
    </row>
    <row r="29" spans="1:6" ht="20.100000000000001" customHeight="1">
      <c r="A29" s="49">
        <v>27</v>
      </c>
      <c r="B29" s="50" t="s">
        <v>204</v>
      </c>
      <c r="C29" s="50">
        <v>1</v>
      </c>
      <c r="D29" s="78" t="s">
        <v>150</v>
      </c>
      <c r="E29" s="79">
        <v>2100</v>
      </c>
      <c r="F29" s="77">
        <f>E29*12</f>
        <v>25200</v>
      </c>
    </row>
    <row r="30" spans="1:6" ht="20.100000000000001" customHeight="1">
      <c r="A30" s="49">
        <v>28</v>
      </c>
      <c r="B30" s="49" t="s">
        <v>86</v>
      </c>
      <c r="C30" s="49">
        <v>0.7</v>
      </c>
      <c r="D30" s="76" t="s">
        <v>165</v>
      </c>
      <c r="E30" s="77">
        <v>3600</v>
      </c>
      <c r="F30" s="77">
        <f>E30*12</f>
        <v>43200</v>
      </c>
    </row>
    <row r="31" spans="1:6" ht="20.100000000000001" customHeight="1">
      <c r="A31" s="49">
        <v>29</v>
      </c>
      <c r="B31" s="49" t="s">
        <v>87</v>
      </c>
      <c r="C31" s="49">
        <v>0.35</v>
      </c>
      <c r="D31" s="76" t="s">
        <v>162</v>
      </c>
      <c r="E31" s="77">
        <v>2100</v>
      </c>
      <c r="F31" s="77">
        <f>E31*24</f>
        <v>50400</v>
      </c>
    </row>
    <row r="32" spans="1:6" ht="20.100000000000001" customHeight="1">
      <c r="A32" s="49">
        <v>30</v>
      </c>
      <c r="B32" s="49" t="s">
        <v>76</v>
      </c>
      <c r="C32" s="49">
        <v>0.64</v>
      </c>
      <c r="D32" s="76" t="s">
        <v>167</v>
      </c>
      <c r="E32" s="77">
        <v>1380</v>
      </c>
      <c r="F32" s="77">
        <f t="shared" si="1"/>
        <v>19320</v>
      </c>
    </row>
    <row r="33" spans="1:6" ht="20.100000000000001" customHeight="1">
      <c r="A33" s="49">
        <v>31</v>
      </c>
      <c r="B33" s="49" t="s">
        <v>176</v>
      </c>
      <c r="C33" s="49">
        <v>0.6</v>
      </c>
      <c r="D33" s="76" t="s">
        <v>162</v>
      </c>
      <c r="E33" s="77">
        <v>875</v>
      </c>
      <c r="F33" s="77">
        <f>E33*24</f>
        <v>21000</v>
      </c>
    </row>
    <row r="34" spans="1:6" ht="20.100000000000001" customHeight="1">
      <c r="A34" s="49">
        <v>32</v>
      </c>
      <c r="B34" s="49" t="s">
        <v>177</v>
      </c>
      <c r="C34" s="49">
        <v>0.6</v>
      </c>
      <c r="D34" s="76" t="s">
        <v>162</v>
      </c>
      <c r="E34" s="77">
        <v>915</v>
      </c>
      <c r="F34" s="77">
        <f>E34*24</f>
        <v>21960</v>
      </c>
    </row>
    <row r="35" spans="1:6" ht="20.100000000000001" customHeight="1">
      <c r="A35" s="49">
        <v>33</v>
      </c>
      <c r="B35" s="49" t="s">
        <v>178</v>
      </c>
      <c r="C35" s="49">
        <v>1</v>
      </c>
      <c r="D35" s="76" t="s">
        <v>165</v>
      </c>
      <c r="E35" s="77">
        <v>1260</v>
      </c>
      <c r="F35" s="77">
        <f>E35*12</f>
        <v>15120</v>
      </c>
    </row>
    <row r="36" spans="1:6" ht="20.100000000000001" customHeight="1">
      <c r="A36" s="49">
        <v>34</v>
      </c>
      <c r="B36" s="50" t="s">
        <v>218</v>
      </c>
      <c r="C36" s="50">
        <v>0.64</v>
      </c>
      <c r="D36" s="78" t="s">
        <v>167</v>
      </c>
      <c r="E36" s="79">
        <v>1500</v>
      </c>
      <c r="F36" s="77">
        <f t="shared" ref="F36:F37" si="2">E36*12</f>
        <v>18000</v>
      </c>
    </row>
    <row r="37" spans="1:6" ht="20.100000000000001" customHeight="1">
      <c r="A37" s="49">
        <v>35</v>
      </c>
      <c r="B37" s="50" t="s">
        <v>220</v>
      </c>
      <c r="C37" s="50">
        <v>1</v>
      </c>
      <c r="D37" s="78" t="s">
        <v>219</v>
      </c>
      <c r="E37" s="79">
        <v>1600</v>
      </c>
      <c r="F37" s="77">
        <f t="shared" si="2"/>
        <v>19200</v>
      </c>
    </row>
    <row r="38" spans="1:6" ht="20.100000000000001" customHeight="1">
      <c r="A38" s="49">
        <v>36</v>
      </c>
      <c r="B38" s="49" t="s">
        <v>179</v>
      </c>
      <c r="C38" s="49">
        <v>0.7</v>
      </c>
      <c r="D38" s="76" t="s">
        <v>165</v>
      </c>
      <c r="E38" s="77">
        <v>4500</v>
      </c>
      <c r="F38" s="77">
        <f>E38*12</f>
        <v>54000</v>
      </c>
    </row>
    <row r="39" spans="1:6" ht="20.100000000000001" customHeight="1">
      <c r="A39" s="49">
        <v>37</v>
      </c>
      <c r="B39" s="76" t="s">
        <v>180</v>
      </c>
      <c r="C39" s="76">
        <v>0.35</v>
      </c>
      <c r="D39" s="76" t="s">
        <v>162</v>
      </c>
      <c r="E39" s="77">
        <v>2300</v>
      </c>
      <c r="F39" s="77">
        <f>E39*24</f>
        <v>55200</v>
      </c>
    </row>
    <row r="40" spans="1:6" ht="20.100000000000001" customHeight="1">
      <c r="A40" s="49">
        <v>38</v>
      </c>
      <c r="B40" s="49" t="s">
        <v>181</v>
      </c>
      <c r="C40" s="76">
        <v>0.17499999999999999</v>
      </c>
      <c r="D40" s="76" t="s">
        <v>182</v>
      </c>
      <c r="E40" s="77">
        <v>1300</v>
      </c>
      <c r="F40" s="77">
        <f>E40*48</f>
        <v>62400</v>
      </c>
    </row>
    <row r="41" spans="1:6" ht="20.100000000000001" customHeight="1">
      <c r="A41" s="49">
        <v>39</v>
      </c>
      <c r="B41" s="76" t="s">
        <v>183</v>
      </c>
      <c r="C41" s="76">
        <v>0.7</v>
      </c>
      <c r="D41" s="76" t="s">
        <v>165</v>
      </c>
      <c r="E41" s="77">
        <v>5200</v>
      </c>
      <c r="F41" s="77">
        <f>E41*12</f>
        <v>62400</v>
      </c>
    </row>
    <row r="42" spans="1:6" ht="20.100000000000001" customHeight="1">
      <c r="A42" s="49">
        <v>40</v>
      </c>
      <c r="B42" s="49" t="s">
        <v>184</v>
      </c>
      <c r="C42" s="76">
        <v>0.35</v>
      </c>
      <c r="D42" s="76" t="s">
        <v>162</v>
      </c>
      <c r="E42" s="77">
        <v>2600</v>
      </c>
      <c r="F42" s="77">
        <f>E42*24</f>
        <v>62400</v>
      </c>
    </row>
    <row r="43" spans="1:6" ht="20.100000000000001" customHeight="1">
      <c r="A43" s="49">
        <v>41</v>
      </c>
      <c r="B43" s="76" t="s">
        <v>185</v>
      </c>
      <c r="C43" s="76">
        <v>0.17499999999999999</v>
      </c>
      <c r="D43" s="76" t="s">
        <v>182</v>
      </c>
      <c r="E43" s="77">
        <v>1450</v>
      </c>
      <c r="F43" s="77">
        <f>E43*48</f>
        <v>69600</v>
      </c>
    </row>
    <row r="44" spans="1:6" ht="20.100000000000001" customHeight="1">
      <c r="A44" s="49">
        <v>42</v>
      </c>
      <c r="B44" s="78" t="s">
        <v>112</v>
      </c>
      <c r="C44" s="78">
        <v>0.7</v>
      </c>
      <c r="D44" s="76" t="s">
        <v>165</v>
      </c>
      <c r="E44" s="79">
        <v>4700</v>
      </c>
      <c r="F44" s="77">
        <f>E44*12</f>
        <v>56400</v>
      </c>
    </row>
    <row r="45" spans="1:6" ht="20.100000000000001" customHeight="1">
      <c r="A45" s="76"/>
      <c r="B45" s="76"/>
      <c r="C45" s="76"/>
      <c r="D45" s="76"/>
      <c r="E45" s="76"/>
      <c r="F45" s="76"/>
    </row>
  </sheetData>
  <mergeCells count="6">
    <mergeCell ref="F1:F2"/>
    <mergeCell ref="A1:A2"/>
    <mergeCell ref="B1:B2"/>
    <mergeCell ref="C1:C2"/>
    <mergeCell ref="D1:D2"/>
    <mergeCell ref="E1:E2"/>
  </mergeCells>
  <pageMargins left="0" right="0" top="0" bottom="0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H206"/>
  <sheetViews>
    <sheetView zoomScaleNormal="100" workbookViewId="0">
      <pane xSplit="7" ySplit="4" topLeftCell="CZ143" activePane="bottomRight" state="frozen"/>
      <selection activeCell="CF133" sqref="CF133"/>
      <selection pane="topRight" activeCell="CF133" sqref="CF133"/>
      <selection pane="bottomLeft" activeCell="CF133" sqref="CF133"/>
      <selection pane="bottomRight" activeCell="A163" sqref="A163"/>
    </sheetView>
  </sheetViews>
  <sheetFormatPr defaultColWidth="10.5703125" defaultRowHeight="18"/>
  <cols>
    <col min="1" max="1" width="4" style="19" bestFit="1" customWidth="1"/>
    <col min="2" max="2" width="28.42578125" style="19" bestFit="1" customWidth="1"/>
    <col min="3" max="3" width="7.5703125" style="19" bestFit="1" customWidth="1"/>
    <col min="4" max="4" width="7.7109375" style="19" bestFit="1" customWidth="1"/>
    <col min="5" max="5" width="5.85546875" style="19" bestFit="1" customWidth="1"/>
    <col min="6" max="6" width="7.85546875" style="19" bestFit="1" customWidth="1"/>
    <col min="7" max="7" width="9.7109375" style="19" bestFit="1" customWidth="1"/>
    <col min="8" max="31" width="8.5703125" style="19" customWidth="1"/>
    <col min="32" max="33" width="10" style="19" bestFit="1" customWidth="1"/>
    <col min="34" max="55" width="8.5703125" style="19" customWidth="1"/>
    <col min="56" max="56" width="10" style="19" customWidth="1"/>
    <col min="57" max="57" width="8.5703125" style="19" customWidth="1"/>
    <col min="58" max="59" width="10" style="19" bestFit="1" customWidth="1"/>
    <col min="60" max="81" width="8.5703125" style="19" customWidth="1"/>
    <col min="82" max="82" width="10" style="19" customWidth="1"/>
    <col min="83" max="83" width="8.5703125" style="19" customWidth="1"/>
    <col min="84" max="84" width="11" style="19" bestFit="1" customWidth="1"/>
    <col min="85" max="85" width="10" style="19" bestFit="1" customWidth="1"/>
    <col min="86" max="86" width="11" style="1" bestFit="1" customWidth="1"/>
    <col min="87" max="87" width="11" style="20" bestFit="1" customWidth="1"/>
    <col min="88" max="88" width="11" style="1" bestFit="1" customWidth="1"/>
    <col min="89" max="89" width="11.140625" style="21" bestFit="1" customWidth="1"/>
    <col min="90" max="90" width="12.42578125" style="1" bestFit="1" customWidth="1"/>
    <col min="91" max="91" width="11" style="37" bestFit="1" customWidth="1"/>
    <col min="92" max="92" width="10.5703125" style="1" customWidth="1"/>
    <col min="93" max="93" width="12.42578125" style="21" customWidth="1"/>
    <col min="94" max="94" width="12.140625" style="1" customWidth="1"/>
    <col min="95" max="95" width="10.7109375" style="21" customWidth="1"/>
    <col min="96" max="96" width="9.85546875" style="1" customWidth="1"/>
    <col min="97" max="97" width="10.5703125" style="21" customWidth="1"/>
    <col min="98" max="98" width="9.42578125" style="1" customWidth="1"/>
    <col min="99" max="99" width="9.7109375" style="21" customWidth="1"/>
    <col min="100" max="100" width="9.7109375" style="1" customWidth="1"/>
    <col min="101" max="101" width="10.7109375" style="21" customWidth="1"/>
    <col min="102" max="102" width="12.7109375" style="1" customWidth="1"/>
    <col min="103" max="103" width="10.42578125" style="21" customWidth="1"/>
    <col min="104" max="104" width="14.140625" style="1" customWidth="1"/>
    <col min="105" max="105" width="13.140625" style="21" customWidth="1"/>
    <col min="106" max="106" width="16.5703125" style="1" customWidth="1"/>
    <col min="107" max="107" width="10.42578125" style="21" customWidth="1"/>
    <col min="108" max="108" width="13.85546875" style="1" customWidth="1"/>
    <col min="109" max="109" width="15" style="21" customWidth="1"/>
    <col min="110" max="110" width="12.42578125" style="1" bestFit="1" customWidth="1"/>
    <col min="111" max="111" width="12.42578125" style="21" bestFit="1" customWidth="1"/>
    <col min="112" max="135" width="10.5703125" style="1"/>
    <col min="136" max="136" width="13.28515625" style="1" customWidth="1"/>
    <col min="137" max="16384" width="10.5703125" style="1"/>
  </cols>
  <sheetData>
    <row r="1" spans="1:138" ht="24.75">
      <c r="A1" s="232" t="s">
        <v>0</v>
      </c>
      <c r="B1" s="233"/>
      <c r="C1" s="233"/>
      <c r="D1" s="233"/>
      <c r="E1" s="233"/>
      <c r="F1" s="233"/>
      <c r="G1" s="234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235">
        <v>2025</v>
      </c>
      <c r="CI1" s="236"/>
      <c r="CJ1" s="236"/>
      <c r="CK1" s="236"/>
      <c r="CL1" s="236"/>
      <c r="CM1" s="236"/>
      <c r="CN1" s="236"/>
      <c r="CO1" s="236"/>
      <c r="CP1" s="236"/>
      <c r="CQ1" s="236"/>
      <c r="CR1" s="236"/>
      <c r="CS1" s="236"/>
      <c r="CT1" s="236"/>
      <c r="CU1" s="236"/>
      <c r="CV1" s="236"/>
      <c r="CW1" s="236"/>
      <c r="CX1" s="236"/>
      <c r="CY1" s="236"/>
      <c r="CZ1" s="236"/>
      <c r="DA1" s="236"/>
      <c r="DB1" s="236"/>
      <c r="DC1" s="236"/>
      <c r="DD1" s="236"/>
      <c r="DE1" s="236"/>
      <c r="DF1" s="236"/>
      <c r="DG1" s="236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</row>
    <row r="2" spans="1:138" ht="18.75" customHeight="1">
      <c r="A2" s="237" t="s">
        <v>1</v>
      </c>
      <c r="B2" s="237" t="s">
        <v>2</v>
      </c>
      <c r="C2" s="237"/>
      <c r="D2" s="239" t="s">
        <v>3</v>
      </c>
      <c r="E2" s="239" t="s">
        <v>4</v>
      </c>
      <c r="F2" s="239" t="s">
        <v>5</v>
      </c>
      <c r="G2" s="239" t="s">
        <v>6</v>
      </c>
      <c r="H2" s="230">
        <v>44562</v>
      </c>
      <c r="I2" s="231"/>
      <c r="J2" s="230">
        <v>44593</v>
      </c>
      <c r="K2" s="231"/>
      <c r="L2" s="230">
        <v>44621</v>
      </c>
      <c r="M2" s="231"/>
      <c r="N2" s="230">
        <v>44652</v>
      </c>
      <c r="O2" s="231"/>
      <c r="P2" s="230">
        <v>44682</v>
      </c>
      <c r="Q2" s="231"/>
      <c r="R2" s="230">
        <v>44713</v>
      </c>
      <c r="S2" s="231"/>
      <c r="T2" s="230">
        <v>44743</v>
      </c>
      <c r="U2" s="231"/>
      <c r="V2" s="230">
        <v>44774</v>
      </c>
      <c r="W2" s="231"/>
      <c r="X2" s="230">
        <v>44805</v>
      </c>
      <c r="Y2" s="231"/>
      <c r="Z2" s="230">
        <v>44835</v>
      </c>
      <c r="AA2" s="231"/>
      <c r="AB2" s="230">
        <v>44866</v>
      </c>
      <c r="AC2" s="231"/>
      <c r="AD2" s="230">
        <v>44896</v>
      </c>
      <c r="AE2" s="231"/>
      <c r="AF2" s="241" t="s">
        <v>188</v>
      </c>
      <c r="AG2" s="242"/>
      <c r="AH2" s="230">
        <v>44927</v>
      </c>
      <c r="AI2" s="231"/>
      <c r="AJ2" s="230">
        <v>44958</v>
      </c>
      <c r="AK2" s="231"/>
      <c r="AL2" s="230">
        <v>44986</v>
      </c>
      <c r="AM2" s="231"/>
      <c r="AN2" s="230">
        <v>45017</v>
      </c>
      <c r="AO2" s="231"/>
      <c r="AP2" s="230">
        <v>45047</v>
      </c>
      <c r="AQ2" s="231"/>
      <c r="AR2" s="230">
        <v>45078</v>
      </c>
      <c r="AS2" s="231"/>
      <c r="AT2" s="230">
        <v>45108</v>
      </c>
      <c r="AU2" s="231"/>
      <c r="AV2" s="230">
        <v>45139</v>
      </c>
      <c r="AW2" s="231"/>
      <c r="AX2" s="230">
        <v>45170</v>
      </c>
      <c r="AY2" s="231"/>
      <c r="AZ2" s="230">
        <v>45200</v>
      </c>
      <c r="BA2" s="231"/>
      <c r="BB2" s="230">
        <v>45231</v>
      </c>
      <c r="BC2" s="231"/>
      <c r="BD2" s="230">
        <v>45261</v>
      </c>
      <c r="BE2" s="231"/>
      <c r="BF2" s="241" t="s">
        <v>189</v>
      </c>
      <c r="BG2" s="242"/>
      <c r="BH2" s="230">
        <v>45292</v>
      </c>
      <c r="BI2" s="231"/>
      <c r="BJ2" s="230">
        <v>45323</v>
      </c>
      <c r="BK2" s="231"/>
      <c r="BL2" s="230">
        <v>45352</v>
      </c>
      <c r="BM2" s="231"/>
      <c r="BN2" s="230">
        <v>45383</v>
      </c>
      <c r="BO2" s="231"/>
      <c r="BP2" s="230">
        <v>45413</v>
      </c>
      <c r="BQ2" s="231"/>
      <c r="BR2" s="230">
        <v>45444</v>
      </c>
      <c r="BS2" s="231"/>
      <c r="BT2" s="230">
        <v>45474</v>
      </c>
      <c r="BU2" s="231"/>
      <c r="BV2" s="230">
        <v>45505</v>
      </c>
      <c r="BW2" s="231"/>
      <c r="BX2" s="230">
        <v>45536</v>
      </c>
      <c r="BY2" s="231"/>
      <c r="BZ2" s="230">
        <v>45566</v>
      </c>
      <c r="CA2" s="231"/>
      <c r="CB2" s="230">
        <v>45597</v>
      </c>
      <c r="CC2" s="231"/>
      <c r="CD2" s="230">
        <v>45627</v>
      </c>
      <c r="CE2" s="231"/>
      <c r="CF2" s="241" t="s">
        <v>190</v>
      </c>
      <c r="CG2" s="242"/>
      <c r="CH2" s="230">
        <v>45658</v>
      </c>
      <c r="CI2" s="231"/>
      <c r="CJ2" s="230">
        <v>45689</v>
      </c>
      <c r="CK2" s="231"/>
      <c r="CL2" s="230">
        <v>45717</v>
      </c>
      <c r="CM2" s="231"/>
      <c r="CN2" s="230">
        <v>45748</v>
      </c>
      <c r="CO2" s="231"/>
      <c r="CP2" s="230">
        <v>45778</v>
      </c>
      <c r="CQ2" s="231"/>
      <c r="CR2" s="230">
        <v>45809</v>
      </c>
      <c r="CS2" s="231"/>
      <c r="CT2" s="230">
        <v>45839</v>
      </c>
      <c r="CU2" s="231"/>
      <c r="CV2" s="230">
        <v>45870</v>
      </c>
      <c r="CW2" s="231"/>
      <c r="CX2" s="230">
        <v>45901</v>
      </c>
      <c r="CY2" s="231"/>
      <c r="CZ2" s="230">
        <v>45931</v>
      </c>
      <c r="DA2" s="231"/>
      <c r="DB2" s="230">
        <v>45962</v>
      </c>
      <c r="DC2" s="231"/>
      <c r="DD2" s="230">
        <v>45992</v>
      </c>
      <c r="DE2" s="231"/>
      <c r="DF2" s="243" t="s">
        <v>10</v>
      </c>
      <c r="DG2" s="244"/>
      <c r="DH2" s="230">
        <v>46023</v>
      </c>
      <c r="DI2" s="231"/>
      <c r="DJ2" s="230">
        <v>46054</v>
      </c>
      <c r="DK2" s="231"/>
      <c r="DL2" s="230">
        <v>46082</v>
      </c>
      <c r="DM2" s="231"/>
      <c r="DN2" s="230">
        <v>46113</v>
      </c>
      <c r="DO2" s="231"/>
      <c r="DP2" s="230">
        <v>46143</v>
      </c>
      <c r="DQ2" s="231"/>
      <c r="DR2" s="230">
        <v>46174</v>
      </c>
      <c r="DS2" s="231"/>
      <c r="DT2" s="230">
        <v>46204</v>
      </c>
      <c r="DU2" s="231"/>
      <c r="DV2" s="230">
        <v>46235</v>
      </c>
      <c r="DW2" s="231"/>
      <c r="DX2" s="230">
        <v>46266</v>
      </c>
      <c r="DY2" s="231"/>
      <c r="DZ2" s="230">
        <v>46296</v>
      </c>
      <c r="EA2" s="231"/>
      <c r="EB2" s="230">
        <v>46327</v>
      </c>
      <c r="EC2" s="231"/>
      <c r="ED2" s="230">
        <v>46357</v>
      </c>
      <c r="EE2" s="231"/>
      <c r="EF2" s="243" t="s">
        <v>231</v>
      </c>
      <c r="EG2" s="244"/>
    </row>
    <row r="3" spans="1:138" ht="18.75" customHeight="1">
      <c r="A3" s="238"/>
      <c r="B3" s="238"/>
      <c r="C3" s="238"/>
      <c r="D3" s="240"/>
      <c r="E3" s="240"/>
      <c r="F3" s="240"/>
      <c r="G3" s="240"/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55" t="s">
        <v>11</v>
      </c>
      <c r="AE3" s="56" t="s">
        <v>12</v>
      </c>
      <c r="AF3" s="83" t="s">
        <v>11</v>
      </c>
      <c r="AG3" s="84" t="s">
        <v>12</v>
      </c>
      <c r="AH3" s="55" t="s">
        <v>11</v>
      </c>
      <c r="AI3" s="56" t="s">
        <v>12</v>
      </c>
      <c r="AJ3" s="55" t="s">
        <v>11</v>
      </c>
      <c r="AK3" s="56" t="s">
        <v>12</v>
      </c>
      <c r="AL3" s="55" t="s">
        <v>11</v>
      </c>
      <c r="AM3" s="56" t="s">
        <v>12</v>
      </c>
      <c r="AN3" s="55" t="s">
        <v>11</v>
      </c>
      <c r="AO3" s="56" t="s">
        <v>12</v>
      </c>
      <c r="AP3" s="55" t="s">
        <v>11</v>
      </c>
      <c r="AQ3" s="56" t="s">
        <v>12</v>
      </c>
      <c r="AR3" s="55" t="s">
        <v>11</v>
      </c>
      <c r="AS3" s="56" t="s">
        <v>12</v>
      </c>
      <c r="AT3" s="55" t="s">
        <v>11</v>
      </c>
      <c r="AU3" s="56" t="s">
        <v>12</v>
      </c>
      <c r="AV3" s="55" t="s">
        <v>11</v>
      </c>
      <c r="AW3" s="56" t="s">
        <v>12</v>
      </c>
      <c r="AX3" s="55" t="s">
        <v>11</v>
      </c>
      <c r="AY3" s="56" t="s">
        <v>12</v>
      </c>
      <c r="AZ3" s="55" t="s">
        <v>11</v>
      </c>
      <c r="BA3" s="56" t="s">
        <v>12</v>
      </c>
      <c r="BB3" s="55" t="s">
        <v>11</v>
      </c>
      <c r="BC3" s="56" t="s">
        <v>12</v>
      </c>
      <c r="BD3" s="55" t="s">
        <v>11</v>
      </c>
      <c r="BE3" s="56" t="s">
        <v>12</v>
      </c>
      <c r="BF3" s="83" t="s">
        <v>11</v>
      </c>
      <c r="BG3" s="84" t="s">
        <v>12</v>
      </c>
      <c r="BH3" s="55" t="s">
        <v>11</v>
      </c>
      <c r="BI3" s="56" t="s">
        <v>12</v>
      </c>
      <c r="BJ3" s="55" t="s">
        <v>11</v>
      </c>
      <c r="BK3" s="56" t="s">
        <v>12</v>
      </c>
      <c r="BL3" s="55" t="s">
        <v>11</v>
      </c>
      <c r="BM3" s="56" t="s">
        <v>12</v>
      </c>
      <c r="BN3" s="55" t="s">
        <v>11</v>
      </c>
      <c r="BO3" s="56" t="s">
        <v>12</v>
      </c>
      <c r="BP3" s="55" t="s">
        <v>11</v>
      </c>
      <c r="BQ3" s="56" t="s">
        <v>12</v>
      </c>
      <c r="BR3" s="55" t="s">
        <v>11</v>
      </c>
      <c r="BS3" s="56" t="s">
        <v>12</v>
      </c>
      <c r="BT3" s="55" t="s">
        <v>11</v>
      </c>
      <c r="BU3" s="56" t="s">
        <v>12</v>
      </c>
      <c r="BV3" s="55" t="s">
        <v>11</v>
      </c>
      <c r="BW3" s="56" t="s">
        <v>12</v>
      </c>
      <c r="BX3" s="55" t="s">
        <v>11</v>
      </c>
      <c r="BY3" s="56" t="s">
        <v>12</v>
      </c>
      <c r="BZ3" s="55" t="s">
        <v>11</v>
      </c>
      <c r="CA3" s="56" t="s">
        <v>12</v>
      </c>
      <c r="CB3" s="55" t="s">
        <v>11</v>
      </c>
      <c r="CC3" s="56" t="s">
        <v>12</v>
      </c>
      <c r="CD3" s="55" t="s">
        <v>11</v>
      </c>
      <c r="CE3" s="56" t="s">
        <v>12</v>
      </c>
      <c r="CF3" s="83" t="s">
        <v>11</v>
      </c>
      <c r="CG3" s="84" t="s">
        <v>12</v>
      </c>
      <c r="CH3" s="85" t="s">
        <v>11</v>
      </c>
      <c r="CI3" s="86" t="s">
        <v>12</v>
      </c>
      <c r="CJ3" s="85" t="s">
        <v>11</v>
      </c>
      <c r="CK3" s="86" t="s">
        <v>12</v>
      </c>
      <c r="CL3" s="85" t="s">
        <v>11</v>
      </c>
      <c r="CM3" s="86" t="s">
        <v>12</v>
      </c>
      <c r="CN3" s="85" t="s">
        <v>11</v>
      </c>
      <c r="CO3" s="86" t="s">
        <v>12</v>
      </c>
      <c r="CP3" s="85" t="s">
        <v>11</v>
      </c>
      <c r="CQ3" s="86" t="s">
        <v>12</v>
      </c>
      <c r="CR3" s="85" t="s">
        <v>11</v>
      </c>
      <c r="CS3" s="86" t="s">
        <v>12</v>
      </c>
      <c r="CT3" s="85" t="s">
        <v>11</v>
      </c>
      <c r="CU3" s="86" t="s">
        <v>12</v>
      </c>
      <c r="CV3" s="85" t="s">
        <v>11</v>
      </c>
      <c r="CW3" s="86" t="s">
        <v>12</v>
      </c>
      <c r="CX3" s="85" t="s">
        <v>11</v>
      </c>
      <c r="CY3" s="86" t="s">
        <v>12</v>
      </c>
      <c r="CZ3" s="85" t="s">
        <v>11</v>
      </c>
      <c r="DA3" s="86" t="s">
        <v>12</v>
      </c>
      <c r="DB3" s="85" t="s">
        <v>11</v>
      </c>
      <c r="DC3" s="86" t="s">
        <v>12</v>
      </c>
      <c r="DD3" s="85" t="s">
        <v>11</v>
      </c>
      <c r="DE3" s="86" t="s">
        <v>12</v>
      </c>
      <c r="DF3" s="85" t="s">
        <v>11</v>
      </c>
      <c r="DG3" s="87" t="s">
        <v>12</v>
      </c>
      <c r="DH3" s="85" t="s">
        <v>11</v>
      </c>
      <c r="DI3" s="86" t="s">
        <v>12</v>
      </c>
      <c r="DJ3" s="85" t="s">
        <v>11</v>
      </c>
      <c r="DK3" s="86" t="s">
        <v>12</v>
      </c>
      <c r="DL3" s="85" t="s">
        <v>11</v>
      </c>
      <c r="DM3" s="86" t="s">
        <v>12</v>
      </c>
      <c r="DN3" s="85" t="s">
        <v>11</v>
      </c>
      <c r="DO3" s="86" t="s">
        <v>12</v>
      </c>
      <c r="DP3" s="85" t="s">
        <v>11</v>
      </c>
      <c r="DQ3" s="86" t="s">
        <v>12</v>
      </c>
      <c r="DR3" s="85" t="s">
        <v>11</v>
      </c>
      <c r="DS3" s="86" t="s">
        <v>12</v>
      </c>
      <c r="DT3" s="85" t="s">
        <v>11</v>
      </c>
      <c r="DU3" s="86" t="s">
        <v>12</v>
      </c>
      <c r="DV3" s="85" t="s">
        <v>11</v>
      </c>
      <c r="DW3" s="86" t="s">
        <v>12</v>
      </c>
      <c r="DX3" s="85" t="s">
        <v>11</v>
      </c>
      <c r="DY3" s="86" t="s">
        <v>12</v>
      </c>
      <c r="DZ3" s="85" t="s">
        <v>11</v>
      </c>
      <c r="EA3" s="86" t="s">
        <v>12</v>
      </c>
      <c r="EB3" s="85" t="s">
        <v>11</v>
      </c>
      <c r="EC3" s="86" t="s">
        <v>12</v>
      </c>
      <c r="ED3" s="85" t="s">
        <v>11</v>
      </c>
      <c r="EE3" s="86" t="s">
        <v>12</v>
      </c>
      <c r="EF3" s="85" t="s">
        <v>11</v>
      </c>
      <c r="EG3" s="87" t="s">
        <v>12</v>
      </c>
    </row>
    <row r="4" spans="1:138" ht="20.100000000000001" customHeight="1">
      <c r="A4" s="63">
        <v>1</v>
      </c>
      <c r="B4" s="63" t="s">
        <v>13</v>
      </c>
      <c r="C4" s="63" t="s">
        <v>14</v>
      </c>
      <c r="D4" s="63">
        <f>RANK(DF4,$DF$4:$DF$144)</f>
        <v>24</v>
      </c>
      <c r="E4" s="63">
        <v>0.7</v>
      </c>
      <c r="F4" s="63" t="s">
        <v>15</v>
      </c>
      <c r="G4" s="63">
        <v>2020</v>
      </c>
      <c r="H4" s="92">
        <v>19961</v>
      </c>
      <c r="I4" s="93">
        <f t="shared" ref="I4:K19" si="0">H4*$E4</f>
        <v>13972.699999999999</v>
      </c>
      <c r="J4" s="92">
        <v>12844</v>
      </c>
      <c r="K4" s="93">
        <f t="shared" ref="K4" si="1">J4*$E4</f>
        <v>8990.7999999999993</v>
      </c>
      <c r="L4" s="92">
        <v>22152</v>
      </c>
      <c r="M4" s="93">
        <f t="shared" ref="M4:M60" si="2">L4*$E4</f>
        <v>15506.4</v>
      </c>
      <c r="N4" s="92">
        <v>13368</v>
      </c>
      <c r="O4" s="93">
        <f t="shared" ref="O4:O60" si="3">N4*$E4</f>
        <v>9357.5999999999985</v>
      </c>
      <c r="P4" s="92">
        <v>13720</v>
      </c>
      <c r="Q4" s="93">
        <f t="shared" ref="Q4:Q60" si="4">P4*$E4</f>
        <v>9604</v>
      </c>
      <c r="R4" s="92">
        <v>8880</v>
      </c>
      <c r="S4" s="93">
        <f t="shared" ref="S4:S60" si="5">R4*$E4</f>
        <v>6216</v>
      </c>
      <c r="T4" s="92">
        <v>8208</v>
      </c>
      <c r="U4" s="93">
        <f t="shared" ref="U4:U60" si="6">T4*$E4</f>
        <v>5745.5999999999995</v>
      </c>
      <c r="V4" s="92">
        <v>14127</v>
      </c>
      <c r="W4" s="93">
        <f t="shared" ref="W4:W60" si="7">V4*$E4</f>
        <v>9888.9</v>
      </c>
      <c r="X4" s="92">
        <v>6948</v>
      </c>
      <c r="Y4" s="93">
        <f t="shared" ref="Y4:Y60" si="8">X4*$E4</f>
        <v>4863.5999999999995</v>
      </c>
      <c r="Z4" s="92">
        <v>3876</v>
      </c>
      <c r="AA4" s="93">
        <f t="shared" ref="AA4:AA60" si="9">Z4*$E4</f>
        <v>2713.2</v>
      </c>
      <c r="AB4" s="92">
        <v>5580</v>
      </c>
      <c r="AC4" s="93">
        <f t="shared" ref="AC4:AC60" si="10">AB4*$E4</f>
        <v>3905.9999999999995</v>
      </c>
      <c r="AD4" s="92">
        <v>4932</v>
      </c>
      <c r="AE4" s="93">
        <f t="shared" ref="AE4:AE60" si="11">AD4*$E4</f>
        <v>3452.3999999999996</v>
      </c>
      <c r="AF4" s="94">
        <f>(AD4+AB4+Z4+X4+V4+T4+R4+P4+N4+L4+J4+H4)/1</f>
        <v>134596</v>
      </c>
      <c r="AG4" s="95">
        <f t="shared" ref="AG4" si="12">AF4*$E4</f>
        <v>94217.2</v>
      </c>
      <c r="AH4" s="92">
        <v>6960</v>
      </c>
      <c r="AI4" s="93">
        <f t="shared" ref="AI4:AI67" si="13">AH4*$E4</f>
        <v>4872</v>
      </c>
      <c r="AJ4" s="92">
        <v>6120</v>
      </c>
      <c r="AK4" s="93">
        <f t="shared" ref="AK4:AK67" si="14">AJ4*$E4</f>
        <v>4284</v>
      </c>
      <c r="AL4" s="92">
        <v>4584</v>
      </c>
      <c r="AM4" s="93">
        <f t="shared" ref="AM4:AM67" si="15">AL4*$E4</f>
        <v>3208.7999999999997</v>
      </c>
      <c r="AN4" s="92">
        <v>2172</v>
      </c>
      <c r="AO4" s="93">
        <f t="shared" ref="AO4:AO67" si="16">AN4*$E4</f>
        <v>1520.3999999999999</v>
      </c>
      <c r="AP4" s="92">
        <v>3288</v>
      </c>
      <c r="AQ4" s="93">
        <f t="shared" ref="AQ4:AQ67" si="17">AP4*$E4</f>
        <v>2301.6</v>
      </c>
      <c r="AR4" s="92">
        <v>3060</v>
      </c>
      <c r="AS4" s="93">
        <f t="shared" ref="AS4:AS67" si="18">AR4*$E4</f>
        <v>2142</v>
      </c>
      <c r="AT4" s="92">
        <v>2472</v>
      </c>
      <c r="AU4" s="93">
        <f t="shared" ref="AU4:AU67" si="19">AT4*$E4</f>
        <v>1730.3999999999999</v>
      </c>
      <c r="AV4" s="92">
        <v>2232</v>
      </c>
      <c r="AW4" s="93">
        <f t="shared" ref="AW4:AW67" si="20">AV4*$E4</f>
        <v>1562.3999999999999</v>
      </c>
      <c r="AX4" s="92">
        <v>1032</v>
      </c>
      <c r="AY4" s="93">
        <f t="shared" ref="AY4:AY67" si="21">AX4*$E4</f>
        <v>722.4</v>
      </c>
      <c r="AZ4" s="92">
        <v>2856</v>
      </c>
      <c r="BA4" s="93">
        <f t="shared" ref="BA4:BA67" si="22">AZ4*$E4</f>
        <v>1999.1999999999998</v>
      </c>
      <c r="BB4" s="92">
        <v>2235</v>
      </c>
      <c r="BC4" s="93">
        <f t="shared" ref="BC4:BC67" si="23">BB4*$E4</f>
        <v>1564.5</v>
      </c>
      <c r="BD4" s="92">
        <v>3036</v>
      </c>
      <c r="BE4" s="93">
        <f t="shared" ref="BE4:BE67" si="24">BD4*$E4</f>
        <v>2125.1999999999998</v>
      </c>
      <c r="BF4" s="94">
        <f>(BD4+BB4+AZ4+AX4+AV4+AT4+AR4+AP4+AN4+AL4+AJ4+AH4)/1</f>
        <v>40047</v>
      </c>
      <c r="BG4" s="95">
        <f t="shared" ref="BG4" si="25">BF4*$E4</f>
        <v>28032.899999999998</v>
      </c>
      <c r="BH4" s="96">
        <v>2178</v>
      </c>
      <c r="BI4" s="93">
        <f t="shared" ref="BI4:BI67" si="26">BH4*$E4</f>
        <v>1524.6</v>
      </c>
      <c r="BJ4" s="92">
        <v>2118</v>
      </c>
      <c r="BK4" s="93">
        <f t="shared" ref="BK4:BK67" si="27">BJ4*$E4</f>
        <v>1482.6</v>
      </c>
      <c r="BL4" s="92">
        <v>2737</v>
      </c>
      <c r="BM4" s="93">
        <f t="shared" ref="BM4:BS19" si="28">BL4*$E4</f>
        <v>1915.8999999999999</v>
      </c>
      <c r="BN4" s="92">
        <v>2268</v>
      </c>
      <c r="BO4" s="93">
        <f t="shared" ref="BO4" si="29">BN4*$E4</f>
        <v>1587.6</v>
      </c>
      <c r="BP4" s="92">
        <v>1992</v>
      </c>
      <c r="BQ4" s="93">
        <f t="shared" ref="BQ4" si="30">BP4*$E4</f>
        <v>1394.3999999999999</v>
      </c>
      <c r="BR4" s="92">
        <v>1452</v>
      </c>
      <c r="BS4" s="93">
        <f t="shared" ref="BS4" si="31">BR4*$E4</f>
        <v>1016.4</v>
      </c>
      <c r="BT4" s="92">
        <v>2598</v>
      </c>
      <c r="BU4" s="93">
        <f t="shared" ref="BU4:BU67" si="32">BT4*$E4</f>
        <v>1818.6</v>
      </c>
      <c r="BV4" s="92">
        <v>2496</v>
      </c>
      <c r="BW4" s="93">
        <f t="shared" ref="BW4:BW67" si="33">BV4*$E4</f>
        <v>1747.1999999999998</v>
      </c>
      <c r="BX4" s="92">
        <v>1668</v>
      </c>
      <c r="BY4" s="93">
        <f t="shared" ref="BY4:BY67" si="34">BX4*$E4</f>
        <v>1167.5999999999999</v>
      </c>
      <c r="BZ4" s="92">
        <v>948</v>
      </c>
      <c r="CA4" s="93">
        <f t="shared" ref="CA4:CA67" si="35">BZ4*$E4</f>
        <v>663.59999999999991</v>
      </c>
      <c r="CB4" s="92">
        <v>1212</v>
      </c>
      <c r="CC4" s="93">
        <f t="shared" ref="CC4:CC67" si="36">CB4*$E4</f>
        <v>848.4</v>
      </c>
      <c r="CD4" s="7">
        <v>3264</v>
      </c>
      <c r="CE4" s="93">
        <f t="shared" ref="CE4:CE67" si="37">CD4*$E4</f>
        <v>2284.7999999999997</v>
      </c>
      <c r="CF4" s="94">
        <f>(CD4+CB4+BZ4+BX4+BV4+BT4+BR4+BP4+BN4+BL4+BJ4+BH4)/1</f>
        <v>24931</v>
      </c>
      <c r="CG4" s="95">
        <f t="shared" ref="CG4" si="38">CF4*$E4</f>
        <v>17451.699999999997</v>
      </c>
      <c r="CH4" s="7">
        <v>1308</v>
      </c>
      <c r="CI4" s="93">
        <f>CH4*$E4</f>
        <v>915.59999999999991</v>
      </c>
      <c r="CJ4" s="7">
        <v>1860</v>
      </c>
      <c r="CK4" s="93">
        <f>CJ4*$E4</f>
        <v>1302</v>
      </c>
      <c r="CL4" s="7">
        <v>840</v>
      </c>
      <c r="CM4" s="93">
        <f>CL4*$E4</f>
        <v>588</v>
      </c>
      <c r="CN4" s="7">
        <v>358</v>
      </c>
      <c r="CO4" s="93">
        <f>CN4*$E4</f>
        <v>250.6</v>
      </c>
      <c r="CP4" s="7">
        <v>2640</v>
      </c>
      <c r="CQ4" s="93">
        <f>CP4*$E4</f>
        <v>1847.9999999999998</v>
      </c>
      <c r="CR4" s="7">
        <v>696</v>
      </c>
      <c r="CS4" s="93">
        <f>CR4*$E4</f>
        <v>487.2</v>
      </c>
      <c r="CT4" s="7">
        <v>576</v>
      </c>
      <c r="CU4" s="93">
        <f>CT4*$E4</f>
        <v>403.2</v>
      </c>
      <c r="CV4" s="7">
        <v>660</v>
      </c>
      <c r="CW4" s="93">
        <f>CV4*$E4</f>
        <v>461.99999999999994</v>
      </c>
      <c r="CX4" s="7">
        <v>1322</v>
      </c>
      <c r="CY4" s="93">
        <v>925.4</v>
      </c>
      <c r="CZ4" s="7">
        <v>624</v>
      </c>
      <c r="DA4" s="93">
        <v>436.79999999999995</v>
      </c>
      <c r="DB4" s="7">
        <v>1740</v>
      </c>
      <c r="DC4" s="93">
        <v>1218</v>
      </c>
      <c r="DD4" s="7">
        <v>960</v>
      </c>
      <c r="DE4" s="93">
        <v>672</v>
      </c>
      <c r="DF4" s="97">
        <f t="shared" ref="DF4:DF67" si="39">SUM(CH4,CJ4,CL4,CN4,CP4,CR4,CT4,CV4,CX4,CZ4,DB4,DD4)</f>
        <v>13584</v>
      </c>
      <c r="DG4" s="98">
        <f>DF4*$E4</f>
        <v>9508.7999999999993</v>
      </c>
      <c r="DH4" s="79">
        <v>1224</v>
      </c>
      <c r="DI4" s="79">
        <v>856.8</v>
      </c>
      <c r="DJ4" s="154">
        <v>900</v>
      </c>
      <c r="DK4" s="212">
        <f>DJ4*$E4</f>
        <v>630</v>
      </c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99">
        <f>SUM(DH4,DJ4,DL4,DN4,DP4,DR4,DT4,DV4,DX4,DZ4,EB4,ED4)</f>
        <v>2124</v>
      </c>
      <c r="EG4" s="99">
        <f>SUM(DI4,DK4,DM4,DO4,DQ4,DS4,DU4,DW4,DY4,EA4,EC4,EE4)</f>
        <v>1486.8</v>
      </c>
    </row>
    <row r="5" spans="1:138" ht="20.100000000000001" customHeight="1">
      <c r="A5" s="63"/>
      <c r="B5" s="63"/>
      <c r="C5" s="63"/>
      <c r="D5" s="63"/>
      <c r="E5" s="63"/>
      <c r="F5" s="63"/>
      <c r="G5" s="63"/>
      <c r="H5" s="7"/>
      <c r="I5" s="93">
        <f t="shared" si="0"/>
        <v>0</v>
      </c>
      <c r="J5" s="7"/>
      <c r="K5" s="93">
        <f t="shared" si="0"/>
        <v>0</v>
      </c>
      <c r="L5" s="7"/>
      <c r="M5" s="93">
        <f t="shared" si="2"/>
        <v>0</v>
      </c>
      <c r="N5" s="7"/>
      <c r="O5" s="93">
        <f t="shared" si="3"/>
        <v>0</v>
      </c>
      <c r="P5" s="7"/>
      <c r="Q5" s="93">
        <f t="shared" si="4"/>
        <v>0</v>
      </c>
      <c r="R5" s="7"/>
      <c r="S5" s="93">
        <f t="shared" si="5"/>
        <v>0</v>
      </c>
      <c r="T5" s="7"/>
      <c r="U5" s="93">
        <f t="shared" si="6"/>
        <v>0</v>
      </c>
      <c r="V5" s="7"/>
      <c r="W5" s="93">
        <f t="shared" si="7"/>
        <v>0</v>
      </c>
      <c r="X5" s="7"/>
      <c r="Y5" s="93">
        <f t="shared" si="8"/>
        <v>0</v>
      </c>
      <c r="Z5" s="7"/>
      <c r="AA5" s="93">
        <f t="shared" si="9"/>
        <v>0</v>
      </c>
      <c r="AB5" s="7"/>
      <c r="AC5" s="93">
        <f t="shared" si="10"/>
        <v>0</v>
      </c>
      <c r="AD5" s="7"/>
      <c r="AE5" s="93">
        <f t="shared" si="11"/>
        <v>0</v>
      </c>
      <c r="AF5" s="94">
        <f t="shared" ref="AF5:AF68" si="40">(AD5+AB5+Z5+X5+V5+T5+R5+P5+N5+L5+J5+H5)/1</f>
        <v>0</v>
      </c>
      <c r="AG5" s="95">
        <f t="shared" ref="AG5:AG68" si="41">AF5*$E5</f>
        <v>0</v>
      </c>
      <c r="AH5" s="7"/>
      <c r="AI5" s="93">
        <f t="shared" si="13"/>
        <v>0</v>
      </c>
      <c r="AJ5" s="7"/>
      <c r="AK5" s="93">
        <f t="shared" si="14"/>
        <v>0</v>
      </c>
      <c r="AL5" s="7"/>
      <c r="AM5" s="93">
        <f t="shared" si="15"/>
        <v>0</v>
      </c>
      <c r="AN5" s="7"/>
      <c r="AO5" s="93">
        <f t="shared" si="16"/>
        <v>0</v>
      </c>
      <c r="AP5" s="7"/>
      <c r="AQ5" s="93">
        <f t="shared" si="17"/>
        <v>0</v>
      </c>
      <c r="AR5" s="7"/>
      <c r="AS5" s="93">
        <f t="shared" si="18"/>
        <v>0</v>
      </c>
      <c r="AT5" s="7"/>
      <c r="AU5" s="93">
        <f t="shared" si="19"/>
        <v>0</v>
      </c>
      <c r="AV5" s="7"/>
      <c r="AW5" s="93">
        <f t="shared" si="20"/>
        <v>0</v>
      </c>
      <c r="AX5" s="7"/>
      <c r="AY5" s="93">
        <f t="shared" si="21"/>
        <v>0</v>
      </c>
      <c r="AZ5" s="7"/>
      <c r="BA5" s="93">
        <f t="shared" si="22"/>
        <v>0</v>
      </c>
      <c r="BB5" s="7"/>
      <c r="BC5" s="93">
        <f t="shared" si="23"/>
        <v>0</v>
      </c>
      <c r="BD5" s="7"/>
      <c r="BE5" s="93">
        <f t="shared" si="24"/>
        <v>0</v>
      </c>
      <c r="BF5" s="94">
        <f t="shared" ref="BF5:BF68" si="42">(BD5+BB5+AZ5+AX5+AV5+AT5+AR5+AP5+AN5+AL5+AJ5+AH5)/1</f>
        <v>0</v>
      </c>
      <c r="BG5" s="95">
        <f t="shared" ref="BG5:BG68" si="43">BF5*$E5</f>
        <v>0</v>
      </c>
      <c r="BH5" s="7"/>
      <c r="BI5" s="93">
        <f t="shared" si="26"/>
        <v>0</v>
      </c>
      <c r="BJ5" s="7"/>
      <c r="BK5" s="93">
        <f t="shared" si="27"/>
        <v>0</v>
      </c>
      <c r="BL5" s="7"/>
      <c r="BM5" s="93">
        <f t="shared" si="28"/>
        <v>0</v>
      </c>
      <c r="BN5" s="7"/>
      <c r="BO5" s="93">
        <f t="shared" si="28"/>
        <v>0</v>
      </c>
      <c r="BP5" s="7"/>
      <c r="BQ5" s="93">
        <f t="shared" si="28"/>
        <v>0</v>
      </c>
      <c r="BR5" s="7"/>
      <c r="BS5" s="93">
        <f t="shared" si="28"/>
        <v>0</v>
      </c>
      <c r="BT5" s="7"/>
      <c r="BU5" s="93">
        <f t="shared" si="32"/>
        <v>0</v>
      </c>
      <c r="BV5" s="7"/>
      <c r="BW5" s="93">
        <f t="shared" si="33"/>
        <v>0</v>
      </c>
      <c r="BX5" s="7"/>
      <c r="BY5" s="93">
        <f t="shared" si="34"/>
        <v>0</v>
      </c>
      <c r="BZ5" s="7"/>
      <c r="CA5" s="93">
        <f t="shared" si="35"/>
        <v>0</v>
      </c>
      <c r="CB5" s="7"/>
      <c r="CC5" s="93">
        <f t="shared" si="36"/>
        <v>0</v>
      </c>
      <c r="CD5" s="7"/>
      <c r="CE5" s="93">
        <f t="shared" si="37"/>
        <v>0</v>
      </c>
      <c r="CF5" s="94">
        <f t="shared" ref="CF5:CF68" si="44">(CD5+CB5+BZ5+BX5+BV5+BT5+BR5+BP5+BN5+BL5+BJ5+BH5)/1</f>
        <v>0</v>
      </c>
      <c r="CG5" s="95">
        <f t="shared" ref="CG5:CG68" si="45">CF5*$E5</f>
        <v>0</v>
      </c>
      <c r="CH5" s="7"/>
      <c r="CI5" s="93">
        <f t="shared" ref="CI5:CI68" si="46">CH5*$E5</f>
        <v>0</v>
      </c>
      <c r="CJ5" s="7"/>
      <c r="CK5" s="93">
        <f t="shared" ref="CK5:CK68" si="47">CJ5*$E5</f>
        <v>0</v>
      </c>
      <c r="CL5" s="7"/>
      <c r="CM5" s="93">
        <f t="shared" ref="CM5:CM68" si="48">CL5*$E5</f>
        <v>0</v>
      </c>
      <c r="CN5" s="7"/>
      <c r="CO5" s="93">
        <f t="shared" ref="CO5:CO68" si="49">CN5*$E5</f>
        <v>0</v>
      </c>
      <c r="CP5" s="7"/>
      <c r="CQ5" s="93">
        <f t="shared" ref="CQ5:CQ68" si="50">CP5*$E5</f>
        <v>0</v>
      </c>
      <c r="CR5" s="7"/>
      <c r="CS5" s="93">
        <f t="shared" ref="CS5:CS68" si="51">CR5*$E5</f>
        <v>0</v>
      </c>
      <c r="CT5" s="7"/>
      <c r="CU5" s="93">
        <f t="shared" ref="CU5:CU68" si="52">CT5*$E5</f>
        <v>0</v>
      </c>
      <c r="CV5" s="7"/>
      <c r="CW5" s="93">
        <f t="shared" ref="CW5:CW68" si="53">CV5*$E5</f>
        <v>0</v>
      </c>
      <c r="CX5" s="7"/>
      <c r="CY5" s="93">
        <v>0</v>
      </c>
      <c r="CZ5" s="7"/>
      <c r="DA5" s="93">
        <v>0</v>
      </c>
      <c r="DB5" s="7"/>
      <c r="DC5" s="93">
        <v>0</v>
      </c>
      <c r="DD5" s="7"/>
      <c r="DE5" s="93">
        <v>0</v>
      </c>
      <c r="DF5" s="97">
        <f t="shared" si="39"/>
        <v>0</v>
      </c>
      <c r="DG5" s="98">
        <f t="shared" ref="DG5:DG68" si="54">DF5*$E5</f>
        <v>0</v>
      </c>
      <c r="DH5" s="79"/>
      <c r="DI5" s="79">
        <v>0</v>
      </c>
      <c r="DJ5" s="154"/>
      <c r="DK5" s="212">
        <f t="shared" ref="DK5:DK73" si="55">DJ5*$E5</f>
        <v>0</v>
      </c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99">
        <f t="shared" ref="EF5:EF68" si="56">SUM(DH5,DJ5,DL5,DN5,DP5,DR5,DT5,DV5,DX5,DZ5,EB5,ED5)</f>
        <v>0</v>
      </c>
      <c r="EG5" s="99">
        <f t="shared" ref="EG5:EG68" si="57">SUM(DI5,DK5,DM5,DO5,DQ5,DS5,DU5,DW5,DY5,EA5,EC5,EE5)</f>
        <v>0</v>
      </c>
    </row>
    <row r="6" spans="1:138" ht="20.100000000000001" customHeight="1">
      <c r="A6" s="63">
        <v>2</v>
      </c>
      <c r="B6" s="63" t="s">
        <v>16</v>
      </c>
      <c r="C6" s="63" t="s">
        <v>17</v>
      </c>
      <c r="D6" s="63">
        <f t="shared" ref="D6:D14" si="58">RANK(DF6,$DF$4:$DF$144)</f>
        <v>35</v>
      </c>
      <c r="E6" s="63">
        <v>1</v>
      </c>
      <c r="F6" s="63" t="s">
        <v>15</v>
      </c>
      <c r="G6" s="63"/>
      <c r="H6" s="7"/>
      <c r="I6" s="93">
        <f t="shared" si="0"/>
        <v>0</v>
      </c>
      <c r="J6" s="7"/>
      <c r="K6" s="93">
        <f t="shared" si="0"/>
        <v>0</v>
      </c>
      <c r="L6" s="7"/>
      <c r="M6" s="93">
        <f t="shared" si="2"/>
        <v>0</v>
      </c>
      <c r="N6" s="7"/>
      <c r="O6" s="93">
        <f t="shared" si="3"/>
        <v>0</v>
      </c>
      <c r="P6" s="7"/>
      <c r="Q6" s="93">
        <f t="shared" si="4"/>
        <v>0</v>
      </c>
      <c r="R6" s="7"/>
      <c r="S6" s="93">
        <f t="shared" si="5"/>
        <v>0</v>
      </c>
      <c r="T6" s="7"/>
      <c r="U6" s="93">
        <f t="shared" si="6"/>
        <v>0</v>
      </c>
      <c r="V6" s="7"/>
      <c r="W6" s="93">
        <f t="shared" si="7"/>
        <v>0</v>
      </c>
      <c r="X6" s="7"/>
      <c r="Y6" s="93">
        <f t="shared" si="8"/>
        <v>0</v>
      </c>
      <c r="Z6" s="7"/>
      <c r="AA6" s="93">
        <f t="shared" si="9"/>
        <v>0</v>
      </c>
      <c r="AB6" s="7"/>
      <c r="AC6" s="93">
        <f t="shared" si="10"/>
        <v>0</v>
      </c>
      <c r="AD6" s="7"/>
      <c r="AE6" s="93">
        <f t="shared" si="11"/>
        <v>0</v>
      </c>
      <c r="AF6" s="94">
        <f t="shared" si="40"/>
        <v>0</v>
      </c>
      <c r="AG6" s="95">
        <f t="shared" si="41"/>
        <v>0</v>
      </c>
      <c r="AH6" s="7"/>
      <c r="AI6" s="93">
        <f t="shared" si="13"/>
        <v>0</v>
      </c>
      <c r="AJ6" s="7"/>
      <c r="AK6" s="93">
        <f t="shared" si="14"/>
        <v>0</v>
      </c>
      <c r="AL6" s="7"/>
      <c r="AM6" s="93">
        <f t="shared" si="15"/>
        <v>0</v>
      </c>
      <c r="AN6" s="7"/>
      <c r="AO6" s="93">
        <f t="shared" si="16"/>
        <v>0</v>
      </c>
      <c r="AP6" s="7"/>
      <c r="AQ6" s="93">
        <f t="shared" si="17"/>
        <v>0</v>
      </c>
      <c r="AR6" s="7"/>
      <c r="AS6" s="93">
        <f t="shared" si="18"/>
        <v>0</v>
      </c>
      <c r="AT6" s="7"/>
      <c r="AU6" s="93">
        <f t="shared" si="19"/>
        <v>0</v>
      </c>
      <c r="AV6" s="7"/>
      <c r="AW6" s="93">
        <f t="shared" si="20"/>
        <v>0</v>
      </c>
      <c r="AX6" s="7"/>
      <c r="AY6" s="93">
        <f t="shared" si="21"/>
        <v>0</v>
      </c>
      <c r="AZ6" s="7"/>
      <c r="BA6" s="93">
        <f t="shared" si="22"/>
        <v>0</v>
      </c>
      <c r="BB6" s="7"/>
      <c r="BC6" s="93">
        <f t="shared" si="23"/>
        <v>0</v>
      </c>
      <c r="BD6" s="7"/>
      <c r="BE6" s="93">
        <f t="shared" si="24"/>
        <v>0</v>
      </c>
      <c r="BF6" s="94">
        <f t="shared" si="42"/>
        <v>0</v>
      </c>
      <c r="BG6" s="95">
        <f t="shared" si="43"/>
        <v>0</v>
      </c>
      <c r="BH6" s="7"/>
      <c r="BI6" s="93">
        <f t="shared" si="26"/>
        <v>0</v>
      </c>
      <c r="BJ6" s="7"/>
      <c r="BK6" s="93">
        <f t="shared" si="27"/>
        <v>0</v>
      </c>
      <c r="BL6" s="7"/>
      <c r="BM6" s="93">
        <f t="shared" si="28"/>
        <v>0</v>
      </c>
      <c r="BN6" s="7"/>
      <c r="BO6" s="93">
        <f t="shared" si="28"/>
        <v>0</v>
      </c>
      <c r="BP6" s="7"/>
      <c r="BQ6" s="93">
        <f t="shared" si="28"/>
        <v>0</v>
      </c>
      <c r="BR6" s="7"/>
      <c r="BS6" s="93">
        <f t="shared" si="28"/>
        <v>0</v>
      </c>
      <c r="BT6" s="7"/>
      <c r="BU6" s="93">
        <f t="shared" si="32"/>
        <v>0</v>
      </c>
      <c r="BV6" s="7"/>
      <c r="BW6" s="93">
        <f t="shared" si="33"/>
        <v>0</v>
      </c>
      <c r="BX6" s="7"/>
      <c r="BY6" s="93">
        <f t="shared" si="34"/>
        <v>0</v>
      </c>
      <c r="BZ6" s="7"/>
      <c r="CA6" s="93">
        <f t="shared" si="35"/>
        <v>0</v>
      </c>
      <c r="CB6" s="7"/>
      <c r="CC6" s="93">
        <f t="shared" si="36"/>
        <v>0</v>
      </c>
      <c r="CD6" s="7"/>
      <c r="CE6" s="93">
        <f t="shared" si="37"/>
        <v>0</v>
      </c>
      <c r="CF6" s="94">
        <f t="shared" si="44"/>
        <v>0</v>
      </c>
      <c r="CG6" s="95">
        <f t="shared" si="45"/>
        <v>0</v>
      </c>
      <c r="CH6" s="7"/>
      <c r="CI6" s="93">
        <f t="shared" si="46"/>
        <v>0</v>
      </c>
      <c r="CJ6" s="7"/>
      <c r="CK6" s="93">
        <f t="shared" si="47"/>
        <v>0</v>
      </c>
      <c r="CL6" s="7"/>
      <c r="CM6" s="93">
        <f t="shared" si="48"/>
        <v>0</v>
      </c>
      <c r="CN6" s="7"/>
      <c r="CO6" s="93">
        <f t="shared" si="49"/>
        <v>0</v>
      </c>
      <c r="CP6" s="7"/>
      <c r="CQ6" s="93">
        <f t="shared" si="50"/>
        <v>0</v>
      </c>
      <c r="CR6" s="7"/>
      <c r="CS6" s="93">
        <f t="shared" si="51"/>
        <v>0</v>
      </c>
      <c r="CT6" s="7"/>
      <c r="CU6" s="93">
        <f t="shared" si="52"/>
        <v>0</v>
      </c>
      <c r="CV6" s="7"/>
      <c r="CW6" s="93">
        <f t="shared" si="53"/>
        <v>0</v>
      </c>
      <c r="CX6" s="7"/>
      <c r="CY6" s="93">
        <v>0</v>
      </c>
      <c r="CZ6" s="7"/>
      <c r="DA6" s="93">
        <v>0</v>
      </c>
      <c r="DB6" s="7"/>
      <c r="DC6" s="93">
        <v>0</v>
      </c>
      <c r="DD6" s="7"/>
      <c r="DE6" s="93">
        <v>0</v>
      </c>
      <c r="DF6" s="97">
        <f t="shared" si="39"/>
        <v>0</v>
      </c>
      <c r="DG6" s="98">
        <f t="shared" si="54"/>
        <v>0</v>
      </c>
      <c r="DH6" s="79"/>
      <c r="DI6" s="79">
        <v>0</v>
      </c>
      <c r="DJ6" s="154"/>
      <c r="DK6" s="212">
        <f t="shared" si="55"/>
        <v>0</v>
      </c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99">
        <f t="shared" si="56"/>
        <v>0</v>
      </c>
      <c r="EG6" s="99">
        <f t="shared" si="57"/>
        <v>0</v>
      </c>
    </row>
    <row r="7" spans="1:138" ht="20.100000000000001" customHeight="1">
      <c r="A7" s="63">
        <v>3</v>
      </c>
      <c r="B7" s="63" t="s">
        <v>18</v>
      </c>
      <c r="C7" s="63" t="s">
        <v>17</v>
      </c>
      <c r="D7" s="63">
        <f t="shared" si="58"/>
        <v>34</v>
      </c>
      <c r="E7" s="63">
        <v>1</v>
      </c>
      <c r="F7" s="63" t="s">
        <v>15</v>
      </c>
      <c r="G7" s="63">
        <v>1680</v>
      </c>
      <c r="H7" s="92">
        <v>972</v>
      </c>
      <c r="I7" s="93">
        <f t="shared" si="0"/>
        <v>972</v>
      </c>
      <c r="J7" s="92">
        <v>468</v>
      </c>
      <c r="K7" s="93">
        <f t="shared" si="0"/>
        <v>468</v>
      </c>
      <c r="L7" s="92"/>
      <c r="M7" s="93">
        <f t="shared" si="2"/>
        <v>0</v>
      </c>
      <c r="N7" s="92">
        <v>420</v>
      </c>
      <c r="O7" s="93">
        <f t="shared" si="3"/>
        <v>420</v>
      </c>
      <c r="P7" s="92">
        <v>600</v>
      </c>
      <c r="Q7" s="93">
        <f t="shared" si="4"/>
        <v>600</v>
      </c>
      <c r="R7" s="92"/>
      <c r="S7" s="93">
        <f t="shared" si="5"/>
        <v>0</v>
      </c>
      <c r="T7" s="92"/>
      <c r="U7" s="93">
        <f t="shared" si="6"/>
        <v>0</v>
      </c>
      <c r="V7" s="92">
        <v>420</v>
      </c>
      <c r="W7" s="93">
        <f t="shared" si="7"/>
        <v>420</v>
      </c>
      <c r="X7" s="92">
        <v>288</v>
      </c>
      <c r="Y7" s="93">
        <f t="shared" si="8"/>
        <v>288</v>
      </c>
      <c r="Z7" s="92">
        <v>180</v>
      </c>
      <c r="AA7" s="93">
        <f t="shared" si="9"/>
        <v>180</v>
      </c>
      <c r="AB7" s="92"/>
      <c r="AC7" s="93">
        <f t="shared" si="10"/>
        <v>0</v>
      </c>
      <c r="AD7" s="92">
        <v>120</v>
      </c>
      <c r="AE7" s="93">
        <f t="shared" si="11"/>
        <v>120</v>
      </c>
      <c r="AF7" s="94">
        <f t="shared" si="40"/>
        <v>3468</v>
      </c>
      <c r="AG7" s="95">
        <f t="shared" si="41"/>
        <v>3468</v>
      </c>
      <c r="AH7" s="92">
        <v>120</v>
      </c>
      <c r="AI7" s="93">
        <f t="shared" si="13"/>
        <v>120</v>
      </c>
      <c r="AJ7" s="92"/>
      <c r="AK7" s="93">
        <f t="shared" si="14"/>
        <v>0</v>
      </c>
      <c r="AL7" s="92">
        <v>60</v>
      </c>
      <c r="AM7" s="93">
        <f t="shared" si="15"/>
        <v>60</v>
      </c>
      <c r="AN7" s="92"/>
      <c r="AO7" s="93">
        <f t="shared" si="16"/>
        <v>0</v>
      </c>
      <c r="AP7" s="92">
        <v>300</v>
      </c>
      <c r="AQ7" s="93">
        <f t="shared" si="17"/>
        <v>300</v>
      </c>
      <c r="AR7" s="92"/>
      <c r="AS7" s="93">
        <f t="shared" si="18"/>
        <v>0</v>
      </c>
      <c r="AT7" s="92"/>
      <c r="AU7" s="93">
        <f t="shared" si="19"/>
        <v>0</v>
      </c>
      <c r="AV7" s="92"/>
      <c r="AW7" s="93">
        <f t="shared" si="20"/>
        <v>0</v>
      </c>
      <c r="AX7" s="92">
        <v>180</v>
      </c>
      <c r="AY7" s="93">
        <f t="shared" si="21"/>
        <v>180</v>
      </c>
      <c r="AZ7" s="92">
        <v>12</v>
      </c>
      <c r="BA7" s="93">
        <f t="shared" si="22"/>
        <v>12</v>
      </c>
      <c r="BB7" s="92">
        <v>828</v>
      </c>
      <c r="BC7" s="93">
        <f t="shared" si="23"/>
        <v>828</v>
      </c>
      <c r="BD7" s="92">
        <v>600</v>
      </c>
      <c r="BE7" s="93">
        <f t="shared" si="24"/>
        <v>600</v>
      </c>
      <c r="BF7" s="94">
        <f t="shared" si="42"/>
        <v>2100</v>
      </c>
      <c r="BG7" s="95">
        <f t="shared" si="43"/>
        <v>2100</v>
      </c>
      <c r="BH7" s="92"/>
      <c r="BI7" s="93">
        <f t="shared" si="26"/>
        <v>0</v>
      </c>
      <c r="BJ7" s="92">
        <v>240</v>
      </c>
      <c r="BK7" s="93">
        <f t="shared" si="27"/>
        <v>240</v>
      </c>
      <c r="BL7" s="92"/>
      <c r="BM7" s="93">
        <f t="shared" si="28"/>
        <v>0</v>
      </c>
      <c r="BN7" s="92"/>
      <c r="BO7" s="93">
        <f t="shared" si="28"/>
        <v>0</v>
      </c>
      <c r="BP7" s="92">
        <v>660</v>
      </c>
      <c r="BQ7" s="93">
        <f t="shared" si="28"/>
        <v>660</v>
      </c>
      <c r="BR7" s="92"/>
      <c r="BS7" s="93">
        <f t="shared" si="28"/>
        <v>0</v>
      </c>
      <c r="BT7" s="92"/>
      <c r="BU7" s="93">
        <f t="shared" si="32"/>
        <v>0</v>
      </c>
      <c r="BV7" s="92"/>
      <c r="BW7" s="93">
        <f t="shared" si="33"/>
        <v>0</v>
      </c>
      <c r="BX7" s="92"/>
      <c r="BY7" s="93">
        <f t="shared" si="34"/>
        <v>0</v>
      </c>
      <c r="BZ7" s="92"/>
      <c r="CA7" s="93">
        <f t="shared" si="35"/>
        <v>0</v>
      </c>
      <c r="CB7" s="92"/>
      <c r="CC7" s="93">
        <f t="shared" si="36"/>
        <v>0</v>
      </c>
      <c r="CD7" s="7"/>
      <c r="CE7" s="93">
        <f t="shared" si="37"/>
        <v>0</v>
      </c>
      <c r="CF7" s="94">
        <f t="shared" si="44"/>
        <v>900</v>
      </c>
      <c r="CG7" s="95">
        <f t="shared" si="45"/>
        <v>900</v>
      </c>
      <c r="CH7" s="7"/>
      <c r="CI7" s="93">
        <f t="shared" si="46"/>
        <v>0</v>
      </c>
      <c r="CJ7" s="7"/>
      <c r="CK7" s="93">
        <f t="shared" si="47"/>
        <v>0</v>
      </c>
      <c r="CL7" s="7"/>
      <c r="CM7" s="93">
        <f t="shared" si="48"/>
        <v>0</v>
      </c>
      <c r="CN7" s="7"/>
      <c r="CO7" s="93">
        <f t="shared" si="49"/>
        <v>0</v>
      </c>
      <c r="CP7" s="7"/>
      <c r="CQ7" s="93">
        <f t="shared" si="50"/>
        <v>0</v>
      </c>
      <c r="CR7" s="7"/>
      <c r="CS7" s="93">
        <f t="shared" si="51"/>
        <v>0</v>
      </c>
      <c r="CT7" s="7">
        <v>24</v>
      </c>
      <c r="CU7" s="93">
        <f t="shared" si="52"/>
        <v>24</v>
      </c>
      <c r="CV7" s="7"/>
      <c r="CW7" s="93">
        <f t="shared" si="53"/>
        <v>0</v>
      </c>
      <c r="CX7" s="7"/>
      <c r="CY7" s="93">
        <v>0</v>
      </c>
      <c r="CZ7" s="7"/>
      <c r="DA7" s="93">
        <v>0</v>
      </c>
      <c r="DB7" s="7"/>
      <c r="DC7" s="93">
        <v>0</v>
      </c>
      <c r="DD7" s="7"/>
      <c r="DE7" s="93">
        <v>0</v>
      </c>
      <c r="DF7" s="97">
        <f t="shared" si="39"/>
        <v>24</v>
      </c>
      <c r="DG7" s="98">
        <f t="shared" si="54"/>
        <v>24</v>
      </c>
      <c r="DH7" s="79"/>
      <c r="DI7" s="79">
        <v>0</v>
      </c>
      <c r="DJ7" s="154"/>
      <c r="DK7" s="212">
        <f t="shared" si="55"/>
        <v>0</v>
      </c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99">
        <f t="shared" si="56"/>
        <v>0</v>
      </c>
      <c r="EG7" s="99">
        <f t="shared" si="57"/>
        <v>0</v>
      </c>
    </row>
    <row r="8" spans="1:138" ht="20.100000000000001" customHeight="1">
      <c r="A8" s="63">
        <v>4</v>
      </c>
      <c r="B8" s="63" t="s">
        <v>19</v>
      </c>
      <c r="C8" s="63" t="s">
        <v>17</v>
      </c>
      <c r="D8" s="63">
        <f t="shared" si="58"/>
        <v>35</v>
      </c>
      <c r="E8" s="63">
        <v>0.6</v>
      </c>
      <c r="F8" s="63" t="s">
        <v>15</v>
      </c>
      <c r="G8" s="63">
        <v>1130</v>
      </c>
      <c r="H8" s="92"/>
      <c r="I8" s="93">
        <f t="shared" si="0"/>
        <v>0</v>
      </c>
      <c r="J8" s="92"/>
      <c r="K8" s="93">
        <f t="shared" si="0"/>
        <v>0</v>
      </c>
      <c r="L8" s="92"/>
      <c r="M8" s="93">
        <f t="shared" si="2"/>
        <v>0</v>
      </c>
      <c r="N8" s="92"/>
      <c r="O8" s="93">
        <f t="shared" si="3"/>
        <v>0</v>
      </c>
      <c r="P8" s="92">
        <v>84</v>
      </c>
      <c r="Q8" s="93">
        <f t="shared" si="4"/>
        <v>50.4</v>
      </c>
      <c r="R8" s="92">
        <v>720</v>
      </c>
      <c r="S8" s="93">
        <f t="shared" si="5"/>
        <v>432</v>
      </c>
      <c r="T8" s="92"/>
      <c r="U8" s="93">
        <f t="shared" si="6"/>
        <v>0</v>
      </c>
      <c r="V8" s="92">
        <v>24</v>
      </c>
      <c r="W8" s="93">
        <f t="shared" si="7"/>
        <v>14.399999999999999</v>
      </c>
      <c r="X8" s="92"/>
      <c r="Y8" s="93">
        <f t="shared" si="8"/>
        <v>0</v>
      </c>
      <c r="Z8" s="92"/>
      <c r="AA8" s="93">
        <f t="shared" si="9"/>
        <v>0</v>
      </c>
      <c r="AB8" s="92"/>
      <c r="AC8" s="93">
        <f t="shared" si="10"/>
        <v>0</v>
      </c>
      <c r="AD8" s="92"/>
      <c r="AE8" s="93">
        <f t="shared" si="11"/>
        <v>0</v>
      </c>
      <c r="AF8" s="94">
        <f t="shared" si="40"/>
        <v>828</v>
      </c>
      <c r="AG8" s="95">
        <f t="shared" si="41"/>
        <v>496.79999999999995</v>
      </c>
      <c r="AH8" s="92">
        <v>60</v>
      </c>
      <c r="AI8" s="93">
        <f t="shared" si="13"/>
        <v>36</v>
      </c>
      <c r="AJ8" s="92"/>
      <c r="AK8" s="93">
        <f t="shared" si="14"/>
        <v>0</v>
      </c>
      <c r="AL8" s="92"/>
      <c r="AM8" s="93">
        <f t="shared" si="15"/>
        <v>0</v>
      </c>
      <c r="AN8" s="92"/>
      <c r="AO8" s="93">
        <f t="shared" si="16"/>
        <v>0</v>
      </c>
      <c r="AP8" s="92"/>
      <c r="AQ8" s="93">
        <f t="shared" si="17"/>
        <v>0</v>
      </c>
      <c r="AR8" s="92"/>
      <c r="AS8" s="93">
        <f t="shared" si="18"/>
        <v>0</v>
      </c>
      <c r="AT8" s="92"/>
      <c r="AU8" s="93">
        <f t="shared" si="19"/>
        <v>0</v>
      </c>
      <c r="AV8" s="92"/>
      <c r="AW8" s="93">
        <f t="shared" si="20"/>
        <v>0</v>
      </c>
      <c r="AX8" s="92"/>
      <c r="AY8" s="93">
        <f t="shared" si="21"/>
        <v>0</v>
      </c>
      <c r="AZ8" s="92"/>
      <c r="BA8" s="93">
        <f t="shared" si="22"/>
        <v>0</v>
      </c>
      <c r="BB8" s="92">
        <v>60</v>
      </c>
      <c r="BC8" s="93">
        <f t="shared" si="23"/>
        <v>36</v>
      </c>
      <c r="BD8" s="92"/>
      <c r="BE8" s="93">
        <f t="shared" si="24"/>
        <v>0</v>
      </c>
      <c r="BF8" s="94">
        <f t="shared" si="42"/>
        <v>120</v>
      </c>
      <c r="BG8" s="95">
        <f t="shared" si="43"/>
        <v>72</v>
      </c>
      <c r="BH8" s="7"/>
      <c r="BI8" s="93">
        <f t="shared" si="26"/>
        <v>0</v>
      </c>
      <c r="BJ8" s="7"/>
      <c r="BK8" s="93">
        <f t="shared" si="27"/>
        <v>0</v>
      </c>
      <c r="BL8" s="7"/>
      <c r="BM8" s="93">
        <f t="shared" si="28"/>
        <v>0</v>
      </c>
      <c r="BN8" s="7"/>
      <c r="BO8" s="93">
        <f t="shared" si="28"/>
        <v>0</v>
      </c>
      <c r="BP8" s="7"/>
      <c r="BQ8" s="93">
        <f t="shared" si="28"/>
        <v>0</v>
      </c>
      <c r="BR8" s="7"/>
      <c r="BS8" s="93">
        <f t="shared" si="28"/>
        <v>0</v>
      </c>
      <c r="BT8" s="7"/>
      <c r="BU8" s="93">
        <f t="shared" si="32"/>
        <v>0</v>
      </c>
      <c r="BV8" s="7"/>
      <c r="BW8" s="93">
        <f t="shared" si="33"/>
        <v>0</v>
      </c>
      <c r="BX8" s="7"/>
      <c r="BY8" s="93">
        <f t="shared" si="34"/>
        <v>0</v>
      </c>
      <c r="BZ8" s="7"/>
      <c r="CA8" s="93">
        <f t="shared" si="35"/>
        <v>0</v>
      </c>
      <c r="CB8" s="7"/>
      <c r="CC8" s="93">
        <f t="shared" si="36"/>
        <v>0</v>
      </c>
      <c r="CD8" s="7"/>
      <c r="CE8" s="93">
        <f t="shared" si="37"/>
        <v>0</v>
      </c>
      <c r="CF8" s="94">
        <f t="shared" si="44"/>
        <v>0</v>
      </c>
      <c r="CG8" s="95">
        <f t="shared" si="45"/>
        <v>0</v>
      </c>
      <c r="CH8" s="7"/>
      <c r="CI8" s="93">
        <f t="shared" si="46"/>
        <v>0</v>
      </c>
      <c r="CJ8" s="7"/>
      <c r="CK8" s="93">
        <f t="shared" si="47"/>
        <v>0</v>
      </c>
      <c r="CL8" s="7"/>
      <c r="CM8" s="93">
        <f t="shared" si="48"/>
        <v>0</v>
      </c>
      <c r="CN8" s="7"/>
      <c r="CO8" s="93">
        <f t="shared" si="49"/>
        <v>0</v>
      </c>
      <c r="CP8" s="7"/>
      <c r="CQ8" s="93">
        <f t="shared" si="50"/>
        <v>0</v>
      </c>
      <c r="CR8" s="7"/>
      <c r="CS8" s="93">
        <f t="shared" si="51"/>
        <v>0</v>
      </c>
      <c r="CT8" s="7"/>
      <c r="CU8" s="93">
        <f t="shared" si="52"/>
        <v>0</v>
      </c>
      <c r="CV8" s="7"/>
      <c r="CW8" s="93">
        <f t="shared" si="53"/>
        <v>0</v>
      </c>
      <c r="CX8" s="7"/>
      <c r="CY8" s="93">
        <v>0</v>
      </c>
      <c r="CZ8" s="7"/>
      <c r="DA8" s="93">
        <v>0</v>
      </c>
      <c r="DB8" s="7"/>
      <c r="DC8" s="93">
        <v>0</v>
      </c>
      <c r="DD8" s="7"/>
      <c r="DE8" s="93">
        <v>0</v>
      </c>
      <c r="DF8" s="97">
        <f t="shared" si="39"/>
        <v>0</v>
      </c>
      <c r="DG8" s="98">
        <f t="shared" si="54"/>
        <v>0</v>
      </c>
      <c r="DH8" s="79"/>
      <c r="DI8" s="79">
        <v>0</v>
      </c>
      <c r="DJ8" s="154"/>
      <c r="DK8" s="212">
        <f t="shared" si="55"/>
        <v>0</v>
      </c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99">
        <f t="shared" si="56"/>
        <v>0</v>
      </c>
      <c r="EG8" s="99">
        <f t="shared" si="57"/>
        <v>0</v>
      </c>
    </row>
    <row r="9" spans="1:138" ht="20.100000000000001" customHeight="1">
      <c r="A9" s="63">
        <v>5</v>
      </c>
      <c r="B9" s="63" t="s">
        <v>20</v>
      </c>
      <c r="C9" s="63" t="s">
        <v>17</v>
      </c>
      <c r="D9" s="63">
        <f t="shared" si="58"/>
        <v>35</v>
      </c>
      <c r="E9" s="63">
        <v>0.35</v>
      </c>
      <c r="F9" s="63" t="s">
        <v>21</v>
      </c>
      <c r="G9" s="63"/>
      <c r="H9" s="7"/>
      <c r="I9" s="93">
        <f t="shared" si="0"/>
        <v>0</v>
      </c>
      <c r="J9" s="7"/>
      <c r="K9" s="93">
        <f t="shared" si="0"/>
        <v>0</v>
      </c>
      <c r="L9" s="7"/>
      <c r="M9" s="93">
        <f t="shared" si="2"/>
        <v>0</v>
      </c>
      <c r="N9" s="7"/>
      <c r="O9" s="93">
        <f t="shared" si="3"/>
        <v>0</v>
      </c>
      <c r="P9" s="7"/>
      <c r="Q9" s="93">
        <f t="shared" si="4"/>
        <v>0</v>
      </c>
      <c r="R9" s="7"/>
      <c r="S9" s="93">
        <f t="shared" si="5"/>
        <v>0</v>
      </c>
      <c r="T9" s="7"/>
      <c r="U9" s="93">
        <f t="shared" si="6"/>
        <v>0</v>
      </c>
      <c r="V9" s="7"/>
      <c r="W9" s="93">
        <f t="shared" si="7"/>
        <v>0</v>
      </c>
      <c r="X9" s="7"/>
      <c r="Y9" s="93">
        <f t="shared" si="8"/>
        <v>0</v>
      </c>
      <c r="Z9" s="7"/>
      <c r="AA9" s="93">
        <f t="shared" si="9"/>
        <v>0</v>
      </c>
      <c r="AB9" s="7"/>
      <c r="AC9" s="93">
        <f t="shared" si="10"/>
        <v>0</v>
      </c>
      <c r="AD9" s="7"/>
      <c r="AE9" s="93">
        <f t="shared" si="11"/>
        <v>0</v>
      </c>
      <c r="AF9" s="94">
        <f t="shared" si="40"/>
        <v>0</v>
      </c>
      <c r="AG9" s="95">
        <f t="shared" si="41"/>
        <v>0</v>
      </c>
      <c r="AH9" s="7"/>
      <c r="AI9" s="93">
        <f t="shared" si="13"/>
        <v>0</v>
      </c>
      <c r="AJ9" s="7"/>
      <c r="AK9" s="93">
        <f t="shared" si="14"/>
        <v>0</v>
      </c>
      <c r="AL9" s="7"/>
      <c r="AM9" s="93">
        <f t="shared" si="15"/>
        <v>0</v>
      </c>
      <c r="AN9" s="7"/>
      <c r="AO9" s="93">
        <f t="shared" si="16"/>
        <v>0</v>
      </c>
      <c r="AP9" s="7"/>
      <c r="AQ9" s="93">
        <f t="shared" si="17"/>
        <v>0</v>
      </c>
      <c r="AR9" s="7"/>
      <c r="AS9" s="93">
        <f t="shared" si="18"/>
        <v>0</v>
      </c>
      <c r="AT9" s="7"/>
      <c r="AU9" s="93">
        <f t="shared" si="19"/>
        <v>0</v>
      </c>
      <c r="AV9" s="7"/>
      <c r="AW9" s="93">
        <f t="shared" si="20"/>
        <v>0</v>
      </c>
      <c r="AX9" s="7"/>
      <c r="AY9" s="93">
        <f t="shared" si="21"/>
        <v>0</v>
      </c>
      <c r="AZ9" s="7"/>
      <c r="BA9" s="93">
        <f t="shared" si="22"/>
        <v>0</v>
      </c>
      <c r="BB9" s="7"/>
      <c r="BC9" s="93">
        <f t="shared" si="23"/>
        <v>0</v>
      </c>
      <c r="BD9" s="7"/>
      <c r="BE9" s="93">
        <f t="shared" si="24"/>
        <v>0</v>
      </c>
      <c r="BF9" s="94">
        <f t="shared" si="42"/>
        <v>0</v>
      </c>
      <c r="BG9" s="95">
        <f t="shared" si="43"/>
        <v>0</v>
      </c>
      <c r="BH9" s="7"/>
      <c r="BI9" s="93">
        <f t="shared" si="26"/>
        <v>0</v>
      </c>
      <c r="BJ9" s="7"/>
      <c r="BK9" s="93">
        <f t="shared" si="27"/>
        <v>0</v>
      </c>
      <c r="BL9" s="7"/>
      <c r="BM9" s="93">
        <f t="shared" si="28"/>
        <v>0</v>
      </c>
      <c r="BN9" s="7"/>
      <c r="BO9" s="93">
        <f t="shared" si="28"/>
        <v>0</v>
      </c>
      <c r="BP9" s="7"/>
      <c r="BQ9" s="93">
        <f t="shared" si="28"/>
        <v>0</v>
      </c>
      <c r="BR9" s="7"/>
      <c r="BS9" s="93">
        <f t="shared" si="28"/>
        <v>0</v>
      </c>
      <c r="BT9" s="7"/>
      <c r="BU9" s="93">
        <f t="shared" si="32"/>
        <v>0</v>
      </c>
      <c r="BV9" s="7"/>
      <c r="BW9" s="93">
        <f t="shared" si="33"/>
        <v>0</v>
      </c>
      <c r="BX9" s="7"/>
      <c r="BY9" s="93">
        <f t="shared" si="34"/>
        <v>0</v>
      </c>
      <c r="BZ9" s="7"/>
      <c r="CA9" s="93">
        <f t="shared" si="35"/>
        <v>0</v>
      </c>
      <c r="CB9" s="7"/>
      <c r="CC9" s="93">
        <f t="shared" si="36"/>
        <v>0</v>
      </c>
      <c r="CD9" s="7"/>
      <c r="CE9" s="93">
        <f t="shared" si="37"/>
        <v>0</v>
      </c>
      <c r="CF9" s="94">
        <f t="shared" si="44"/>
        <v>0</v>
      </c>
      <c r="CG9" s="95">
        <f t="shared" si="45"/>
        <v>0</v>
      </c>
      <c r="CH9" s="7"/>
      <c r="CI9" s="93">
        <f t="shared" si="46"/>
        <v>0</v>
      </c>
      <c r="CJ9" s="7"/>
      <c r="CK9" s="93">
        <f t="shared" si="47"/>
        <v>0</v>
      </c>
      <c r="CL9" s="7"/>
      <c r="CM9" s="93">
        <f t="shared" si="48"/>
        <v>0</v>
      </c>
      <c r="CN9" s="7"/>
      <c r="CO9" s="93">
        <f t="shared" si="49"/>
        <v>0</v>
      </c>
      <c r="CP9" s="7"/>
      <c r="CQ9" s="93">
        <f t="shared" si="50"/>
        <v>0</v>
      </c>
      <c r="CR9" s="7"/>
      <c r="CS9" s="93">
        <f t="shared" si="51"/>
        <v>0</v>
      </c>
      <c r="CT9" s="7"/>
      <c r="CU9" s="93">
        <f t="shared" si="52"/>
        <v>0</v>
      </c>
      <c r="CV9" s="7"/>
      <c r="CW9" s="93">
        <f t="shared" si="53"/>
        <v>0</v>
      </c>
      <c r="CX9" s="7"/>
      <c r="CY9" s="93">
        <v>0</v>
      </c>
      <c r="CZ9" s="7"/>
      <c r="DA9" s="93">
        <v>0</v>
      </c>
      <c r="DB9" s="7"/>
      <c r="DC9" s="93">
        <v>0</v>
      </c>
      <c r="DD9" s="7"/>
      <c r="DE9" s="93">
        <v>0</v>
      </c>
      <c r="DF9" s="97">
        <f t="shared" si="39"/>
        <v>0</v>
      </c>
      <c r="DG9" s="98">
        <f t="shared" si="54"/>
        <v>0</v>
      </c>
      <c r="DH9" s="79"/>
      <c r="DI9" s="79">
        <v>0</v>
      </c>
      <c r="DJ9" s="154"/>
      <c r="DK9" s="212">
        <f t="shared" si="55"/>
        <v>0</v>
      </c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99">
        <f t="shared" si="56"/>
        <v>0</v>
      </c>
      <c r="EG9" s="99">
        <f t="shared" si="57"/>
        <v>0</v>
      </c>
    </row>
    <row r="10" spans="1:138" ht="20.100000000000001" customHeight="1">
      <c r="A10" s="63">
        <v>6</v>
      </c>
      <c r="B10" s="63" t="s">
        <v>22</v>
      </c>
      <c r="C10" s="63" t="s">
        <v>14</v>
      </c>
      <c r="D10" s="63">
        <f t="shared" si="58"/>
        <v>35</v>
      </c>
      <c r="E10" s="63">
        <v>0.7</v>
      </c>
      <c r="F10" s="63" t="s">
        <v>15</v>
      </c>
      <c r="G10" s="63"/>
      <c r="H10" s="7"/>
      <c r="I10" s="93">
        <f t="shared" si="0"/>
        <v>0</v>
      </c>
      <c r="J10" s="7"/>
      <c r="K10" s="93">
        <f t="shared" si="0"/>
        <v>0</v>
      </c>
      <c r="L10" s="7"/>
      <c r="M10" s="93">
        <f t="shared" si="2"/>
        <v>0</v>
      </c>
      <c r="N10" s="7"/>
      <c r="O10" s="93">
        <f t="shared" si="3"/>
        <v>0</v>
      </c>
      <c r="P10" s="7"/>
      <c r="Q10" s="93">
        <f t="shared" si="4"/>
        <v>0</v>
      </c>
      <c r="R10" s="7"/>
      <c r="S10" s="93">
        <f t="shared" si="5"/>
        <v>0</v>
      </c>
      <c r="T10" s="7"/>
      <c r="U10" s="93">
        <f t="shared" si="6"/>
        <v>0</v>
      </c>
      <c r="V10" s="7"/>
      <c r="W10" s="93">
        <f t="shared" si="7"/>
        <v>0</v>
      </c>
      <c r="X10" s="7"/>
      <c r="Y10" s="93">
        <f t="shared" si="8"/>
        <v>0</v>
      </c>
      <c r="Z10" s="7"/>
      <c r="AA10" s="93">
        <f t="shared" si="9"/>
        <v>0</v>
      </c>
      <c r="AB10" s="7"/>
      <c r="AC10" s="93">
        <f t="shared" si="10"/>
        <v>0</v>
      </c>
      <c r="AD10" s="7"/>
      <c r="AE10" s="93">
        <f t="shared" si="11"/>
        <v>0</v>
      </c>
      <c r="AF10" s="94">
        <f t="shared" si="40"/>
        <v>0</v>
      </c>
      <c r="AG10" s="95">
        <f t="shared" si="41"/>
        <v>0</v>
      </c>
      <c r="AH10" s="7"/>
      <c r="AI10" s="93">
        <f t="shared" si="13"/>
        <v>0</v>
      </c>
      <c r="AJ10" s="7"/>
      <c r="AK10" s="93">
        <f t="shared" si="14"/>
        <v>0</v>
      </c>
      <c r="AL10" s="7"/>
      <c r="AM10" s="93">
        <f t="shared" si="15"/>
        <v>0</v>
      </c>
      <c r="AN10" s="7"/>
      <c r="AO10" s="93">
        <f t="shared" si="16"/>
        <v>0</v>
      </c>
      <c r="AP10" s="7"/>
      <c r="AQ10" s="93">
        <f t="shared" si="17"/>
        <v>0</v>
      </c>
      <c r="AR10" s="7"/>
      <c r="AS10" s="93">
        <f t="shared" si="18"/>
        <v>0</v>
      </c>
      <c r="AT10" s="7"/>
      <c r="AU10" s="93">
        <f t="shared" si="19"/>
        <v>0</v>
      </c>
      <c r="AV10" s="7"/>
      <c r="AW10" s="93">
        <f t="shared" si="20"/>
        <v>0</v>
      </c>
      <c r="AX10" s="7"/>
      <c r="AY10" s="93">
        <f t="shared" si="21"/>
        <v>0</v>
      </c>
      <c r="AZ10" s="7"/>
      <c r="BA10" s="93">
        <f t="shared" si="22"/>
        <v>0</v>
      </c>
      <c r="BB10" s="7"/>
      <c r="BC10" s="93">
        <f t="shared" si="23"/>
        <v>0</v>
      </c>
      <c r="BD10" s="7"/>
      <c r="BE10" s="93">
        <f t="shared" si="24"/>
        <v>0</v>
      </c>
      <c r="BF10" s="94">
        <f t="shared" si="42"/>
        <v>0</v>
      </c>
      <c r="BG10" s="95">
        <f t="shared" si="43"/>
        <v>0</v>
      </c>
      <c r="BH10" s="7"/>
      <c r="BI10" s="93">
        <f t="shared" si="26"/>
        <v>0</v>
      </c>
      <c r="BJ10" s="7"/>
      <c r="BK10" s="93">
        <f t="shared" si="27"/>
        <v>0</v>
      </c>
      <c r="BL10" s="7"/>
      <c r="BM10" s="93">
        <f t="shared" si="28"/>
        <v>0</v>
      </c>
      <c r="BN10" s="7"/>
      <c r="BO10" s="93">
        <f t="shared" si="28"/>
        <v>0</v>
      </c>
      <c r="BP10" s="7"/>
      <c r="BQ10" s="93">
        <f t="shared" si="28"/>
        <v>0</v>
      </c>
      <c r="BR10" s="7"/>
      <c r="BS10" s="93">
        <f t="shared" si="28"/>
        <v>0</v>
      </c>
      <c r="BT10" s="7"/>
      <c r="BU10" s="93">
        <f t="shared" si="32"/>
        <v>0</v>
      </c>
      <c r="BV10" s="7"/>
      <c r="BW10" s="93">
        <f t="shared" si="33"/>
        <v>0</v>
      </c>
      <c r="BX10" s="7"/>
      <c r="BY10" s="93">
        <f t="shared" si="34"/>
        <v>0</v>
      </c>
      <c r="BZ10" s="7"/>
      <c r="CA10" s="93">
        <f t="shared" si="35"/>
        <v>0</v>
      </c>
      <c r="CB10" s="7"/>
      <c r="CC10" s="93">
        <f t="shared" si="36"/>
        <v>0</v>
      </c>
      <c r="CD10" s="7"/>
      <c r="CE10" s="93">
        <f t="shared" si="37"/>
        <v>0</v>
      </c>
      <c r="CF10" s="94">
        <f t="shared" si="44"/>
        <v>0</v>
      </c>
      <c r="CG10" s="95">
        <f t="shared" si="45"/>
        <v>0</v>
      </c>
      <c r="CH10" s="7"/>
      <c r="CI10" s="93">
        <f t="shared" si="46"/>
        <v>0</v>
      </c>
      <c r="CJ10" s="7"/>
      <c r="CK10" s="93">
        <f t="shared" si="47"/>
        <v>0</v>
      </c>
      <c r="CL10" s="7"/>
      <c r="CM10" s="93">
        <f t="shared" si="48"/>
        <v>0</v>
      </c>
      <c r="CN10" s="7"/>
      <c r="CO10" s="93">
        <f t="shared" si="49"/>
        <v>0</v>
      </c>
      <c r="CP10" s="7"/>
      <c r="CQ10" s="93">
        <f t="shared" si="50"/>
        <v>0</v>
      </c>
      <c r="CR10" s="7"/>
      <c r="CS10" s="93">
        <f t="shared" si="51"/>
        <v>0</v>
      </c>
      <c r="CT10" s="7"/>
      <c r="CU10" s="93">
        <f t="shared" si="52"/>
        <v>0</v>
      </c>
      <c r="CV10" s="7"/>
      <c r="CW10" s="93">
        <f t="shared" si="53"/>
        <v>0</v>
      </c>
      <c r="CX10" s="7"/>
      <c r="CY10" s="93">
        <v>0</v>
      </c>
      <c r="CZ10" s="7"/>
      <c r="DA10" s="93">
        <v>0</v>
      </c>
      <c r="DB10" s="7"/>
      <c r="DC10" s="93">
        <v>0</v>
      </c>
      <c r="DD10" s="7"/>
      <c r="DE10" s="93">
        <v>0</v>
      </c>
      <c r="DF10" s="97">
        <f t="shared" si="39"/>
        <v>0</v>
      </c>
      <c r="DG10" s="98">
        <f t="shared" si="54"/>
        <v>0</v>
      </c>
      <c r="DH10" s="79"/>
      <c r="DI10" s="79">
        <v>0</v>
      </c>
      <c r="DJ10" s="154"/>
      <c r="DK10" s="212">
        <f t="shared" si="55"/>
        <v>0</v>
      </c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99">
        <f t="shared" si="56"/>
        <v>0</v>
      </c>
      <c r="EG10" s="99">
        <f t="shared" si="57"/>
        <v>0</v>
      </c>
    </row>
    <row r="11" spans="1:138" ht="20.100000000000001" customHeight="1">
      <c r="A11" s="63">
        <v>7</v>
      </c>
      <c r="B11" s="63" t="s">
        <v>23</v>
      </c>
      <c r="C11" s="63" t="s">
        <v>14</v>
      </c>
      <c r="D11" s="63">
        <f t="shared" si="58"/>
        <v>35</v>
      </c>
      <c r="E11" s="63">
        <v>0.64</v>
      </c>
      <c r="F11" s="63" t="s">
        <v>24</v>
      </c>
      <c r="G11" s="63"/>
      <c r="H11" s="7"/>
      <c r="I11" s="93">
        <f t="shared" si="0"/>
        <v>0</v>
      </c>
      <c r="J11" s="7"/>
      <c r="K11" s="93">
        <f t="shared" si="0"/>
        <v>0</v>
      </c>
      <c r="L11" s="7"/>
      <c r="M11" s="93">
        <f t="shared" si="2"/>
        <v>0</v>
      </c>
      <c r="N11" s="7"/>
      <c r="O11" s="93">
        <f t="shared" si="3"/>
        <v>0</v>
      </c>
      <c r="P11" s="7"/>
      <c r="Q11" s="93">
        <f t="shared" si="4"/>
        <v>0</v>
      </c>
      <c r="R11" s="7"/>
      <c r="S11" s="93">
        <f t="shared" si="5"/>
        <v>0</v>
      </c>
      <c r="T11" s="7"/>
      <c r="U11" s="93">
        <f t="shared" si="6"/>
        <v>0</v>
      </c>
      <c r="V11" s="7"/>
      <c r="W11" s="93">
        <f t="shared" si="7"/>
        <v>0</v>
      </c>
      <c r="X11" s="7"/>
      <c r="Y11" s="93">
        <f t="shared" si="8"/>
        <v>0</v>
      </c>
      <c r="Z11" s="7"/>
      <c r="AA11" s="93">
        <f t="shared" si="9"/>
        <v>0</v>
      </c>
      <c r="AB11" s="7"/>
      <c r="AC11" s="93">
        <f t="shared" si="10"/>
        <v>0</v>
      </c>
      <c r="AD11" s="7"/>
      <c r="AE11" s="93">
        <f t="shared" si="11"/>
        <v>0</v>
      </c>
      <c r="AF11" s="94">
        <f t="shared" si="40"/>
        <v>0</v>
      </c>
      <c r="AG11" s="95">
        <f t="shared" si="41"/>
        <v>0</v>
      </c>
      <c r="AH11" s="7"/>
      <c r="AI11" s="93">
        <f t="shared" si="13"/>
        <v>0</v>
      </c>
      <c r="AJ11" s="7"/>
      <c r="AK11" s="93">
        <f t="shared" si="14"/>
        <v>0</v>
      </c>
      <c r="AL11" s="7"/>
      <c r="AM11" s="93">
        <f t="shared" si="15"/>
        <v>0</v>
      </c>
      <c r="AN11" s="7"/>
      <c r="AO11" s="93">
        <f t="shared" si="16"/>
        <v>0</v>
      </c>
      <c r="AP11" s="7"/>
      <c r="AQ11" s="93">
        <f t="shared" si="17"/>
        <v>0</v>
      </c>
      <c r="AR11" s="7"/>
      <c r="AS11" s="93">
        <f t="shared" si="18"/>
        <v>0</v>
      </c>
      <c r="AT11" s="7"/>
      <c r="AU11" s="93">
        <f t="shared" si="19"/>
        <v>0</v>
      </c>
      <c r="AV11" s="7"/>
      <c r="AW11" s="93">
        <f t="shared" si="20"/>
        <v>0</v>
      </c>
      <c r="AX11" s="7"/>
      <c r="AY11" s="93">
        <f t="shared" si="21"/>
        <v>0</v>
      </c>
      <c r="AZ11" s="7"/>
      <c r="BA11" s="93">
        <f t="shared" si="22"/>
        <v>0</v>
      </c>
      <c r="BB11" s="7"/>
      <c r="BC11" s="93">
        <f t="shared" si="23"/>
        <v>0</v>
      </c>
      <c r="BD11" s="7"/>
      <c r="BE11" s="93">
        <f t="shared" si="24"/>
        <v>0</v>
      </c>
      <c r="BF11" s="94">
        <f t="shared" si="42"/>
        <v>0</v>
      </c>
      <c r="BG11" s="95">
        <f t="shared" si="43"/>
        <v>0</v>
      </c>
      <c r="BH11" s="7"/>
      <c r="BI11" s="93">
        <f t="shared" si="26"/>
        <v>0</v>
      </c>
      <c r="BJ11" s="7"/>
      <c r="BK11" s="93">
        <f t="shared" si="27"/>
        <v>0</v>
      </c>
      <c r="BL11" s="7"/>
      <c r="BM11" s="93">
        <f t="shared" si="28"/>
        <v>0</v>
      </c>
      <c r="BN11" s="7"/>
      <c r="BO11" s="93">
        <f t="shared" si="28"/>
        <v>0</v>
      </c>
      <c r="BP11" s="7"/>
      <c r="BQ11" s="93">
        <f t="shared" si="28"/>
        <v>0</v>
      </c>
      <c r="BR11" s="7"/>
      <c r="BS11" s="93">
        <f t="shared" si="28"/>
        <v>0</v>
      </c>
      <c r="BT11" s="7"/>
      <c r="BU11" s="93">
        <f t="shared" si="32"/>
        <v>0</v>
      </c>
      <c r="BV11" s="7"/>
      <c r="BW11" s="93">
        <f t="shared" si="33"/>
        <v>0</v>
      </c>
      <c r="BX11" s="7"/>
      <c r="BY11" s="93">
        <f t="shared" si="34"/>
        <v>0</v>
      </c>
      <c r="BZ11" s="7"/>
      <c r="CA11" s="93">
        <f t="shared" si="35"/>
        <v>0</v>
      </c>
      <c r="CB11" s="7"/>
      <c r="CC11" s="93">
        <f t="shared" si="36"/>
        <v>0</v>
      </c>
      <c r="CD11" s="7"/>
      <c r="CE11" s="93">
        <f t="shared" si="37"/>
        <v>0</v>
      </c>
      <c r="CF11" s="94">
        <f t="shared" si="44"/>
        <v>0</v>
      </c>
      <c r="CG11" s="95">
        <f t="shared" si="45"/>
        <v>0</v>
      </c>
      <c r="CH11" s="7"/>
      <c r="CI11" s="93">
        <f t="shared" si="46"/>
        <v>0</v>
      </c>
      <c r="CJ11" s="7"/>
      <c r="CK11" s="93">
        <f t="shared" si="47"/>
        <v>0</v>
      </c>
      <c r="CL11" s="7"/>
      <c r="CM11" s="93">
        <f t="shared" si="48"/>
        <v>0</v>
      </c>
      <c r="CN11" s="7"/>
      <c r="CO11" s="93">
        <f t="shared" si="49"/>
        <v>0</v>
      </c>
      <c r="CP11" s="7"/>
      <c r="CQ11" s="93">
        <f t="shared" si="50"/>
        <v>0</v>
      </c>
      <c r="CR11" s="7"/>
      <c r="CS11" s="93">
        <f t="shared" si="51"/>
        <v>0</v>
      </c>
      <c r="CT11" s="7"/>
      <c r="CU11" s="93">
        <f t="shared" si="52"/>
        <v>0</v>
      </c>
      <c r="CV11" s="7"/>
      <c r="CW11" s="93">
        <f t="shared" si="53"/>
        <v>0</v>
      </c>
      <c r="CX11" s="7"/>
      <c r="CY11" s="93">
        <v>0</v>
      </c>
      <c r="CZ11" s="7"/>
      <c r="DA11" s="93">
        <v>0</v>
      </c>
      <c r="DB11" s="7"/>
      <c r="DC11" s="93">
        <v>0</v>
      </c>
      <c r="DD11" s="7"/>
      <c r="DE11" s="93">
        <v>0</v>
      </c>
      <c r="DF11" s="97">
        <f t="shared" si="39"/>
        <v>0</v>
      </c>
      <c r="DG11" s="98">
        <f t="shared" si="54"/>
        <v>0</v>
      </c>
      <c r="DH11" s="79"/>
      <c r="DI11" s="79">
        <v>0</v>
      </c>
      <c r="DJ11" s="154"/>
      <c r="DK11" s="212">
        <f t="shared" si="55"/>
        <v>0</v>
      </c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99">
        <f t="shared" si="56"/>
        <v>0</v>
      </c>
      <c r="EG11" s="99">
        <f t="shared" si="57"/>
        <v>0</v>
      </c>
    </row>
    <row r="12" spans="1:138" ht="20.100000000000001" customHeight="1">
      <c r="A12" s="63">
        <v>8</v>
      </c>
      <c r="B12" s="63" t="s">
        <v>23</v>
      </c>
      <c r="C12" s="63" t="s">
        <v>14</v>
      </c>
      <c r="D12" s="63">
        <f t="shared" si="58"/>
        <v>2</v>
      </c>
      <c r="E12" s="63">
        <v>0.64</v>
      </c>
      <c r="F12" s="63" t="s">
        <v>25</v>
      </c>
      <c r="G12" s="63">
        <v>1380</v>
      </c>
      <c r="H12" s="92">
        <v>143122</v>
      </c>
      <c r="I12" s="93">
        <f t="shared" si="0"/>
        <v>91598.080000000002</v>
      </c>
      <c r="J12" s="92">
        <v>132174</v>
      </c>
      <c r="K12" s="93">
        <f t="shared" si="0"/>
        <v>84591.360000000001</v>
      </c>
      <c r="L12" s="92">
        <v>157940</v>
      </c>
      <c r="M12" s="93">
        <f t="shared" si="2"/>
        <v>101081.60000000001</v>
      </c>
      <c r="N12" s="92">
        <v>137970</v>
      </c>
      <c r="O12" s="93">
        <f t="shared" si="3"/>
        <v>88300.800000000003</v>
      </c>
      <c r="P12" s="92">
        <v>133700</v>
      </c>
      <c r="Q12" s="93">
        <f t="shared" si="4"/>
        <v>85568</v>
      </c>
      <c r="R12" s="92">
        <v>144732</v>
      </c>
      <c r="S12" s="93">
        <f t="shared" si="5"/>
        <v>92628.479999999996</v>
      </c>
      <c r="T12" s="92">
        <v>133392</v>
      </c>
      <c r="U12" s="93">
        <f t="shared" si="6"/>
        <v>85370.880000000005</v>
      </c>
      <c r="V12" s="92">
        <v>124475</v>
      </c>
      <c r="W12" s="93">
        <f t="shared" si="7"/>
        <v>79664</v>
      </c>
      <c r="X12" s="92">
        <v>130676</v>
      </c>
      <c r="Y12" s="93">
        <f t="shared" si="8"/>
        <v>83632.639999999999</v>
      </c>
      <c r="Z12" s="92">
        <v>155238</v>
      </c>
      <c r="AA12" s="93">
        <f t="shared" si="9"/>
        <v>99352.320000000007</v>
      </c>
      <c r="AB12" s="92">
        <v>159313</v>
      </c>
      <c r="AC12" s="93">
        <f t="shared" si="10"/>
        <v>101960.32000000001</v>
      </c>
      <c r="AD12" s="92">
        <v>163240</v>
      </c>
      <c r="AE12" s="93">
        <f t="shared" si="11"/>
        <v>104473.60000000001</v>
      </c>
      <c r="AF12" s="94">
        <f t="shared" si="40"/>
        <v>1715972</v>
      </c>
      <c r="AG12" s="95">
        <f t="shared" si="41"/>
        <v>1098222.0800000001</v>
      </c>
      <c r="AH12" s="92">
        <v>171178</v>
      </c>
      <c r="AI12" s="93">
        <f t="shared" si="13"/>
        <v>109553.92</v>
      </c>
      <c r="AJ12" s="92">
        <v>119966</v>
      </c>
      <c r="AK12" s="93">
        <f t="shared" si="14"/>
        <v>76778.240000000005</v>
      </c>
      <c r="AL12" s="92">
        <v>137872</v>
      </c>
      <c r="AM12" s="93">
        <f t="shared" si="15"/>
        <v>88238.080000000002</v>
      </c>
      <c r="AN12" s="92">
        <v>122472</v>
      </c>
      <c r="AO12" s="93">
        <f t="shared" si="16"/>
        <v>78382.080000000002</v>
      </c>
      <c r="AP12" s="92">
        <v>120876</v>
      </c>
      <c r="AQ12" s="93">
        <f t="shared" si="17"/>
        <v>77360.639999999999</v>
      </c>
      <c r="AR12" s="92">
        <v>127344</v>
      </c>
      <c r="AS12" s="93">
        <f t="shared" si="18"/>
        <v>81500.160000000003</v>
      </c>
      <c r="AT12" s="92">
        <v>132384</v>
      </c>
      <c r="AU12" s="93">
        <f t="shared" si="19"/>
        <v>84725.759999999995</v>
      </c>
      <c r="AV12" s="92">
        <v>161325</v>
      </c>
      <c r="AW12" s="93">
        <f t="shared" si="20"/>
        <v>103248</v>
      </c>
      <c r="AX12" s="92">
        <v>133912</v>
      </c>
      <c r="AY12" s="93">
        <f t="shared" si="21"/>
        <v>85703.680000000008</v>
      </c>
      <c r="AZ12" s="92">
        <v>168854</v>
      </c>
      <c r="BA12" s="93">
        <f t="shared" si="22"/>
        <v>108066.56</v>
      </c>
      <c r="BB12" s="92">
        <v>150325</v>
      </c>
      <c r="BC12" s="93">
        <f t="shared" si="23"/>
        <v>96208</v>
      </c>
      <c r="BD12" s="92">
        <v>185822</v>
      </c>
      <c r="BE12" s="93">
        <f t="shared" si="24"/>
        <v>118926.08</v>
      </c>
      <c r="BF12" s="94">
        <f t="shared" si="42"/>
        <v>1732330</v>
      </c>
      <c r="BG12" s="95">
        <f t="shared" si="43"/>
        <v>1108691.2</v>
      </c>
      <c r="BH12" s="96">
        <v>175070</v>
      </c>
      <c r="BI12" s="93">
        <f t="shared" si="26"/>
        <v>112044.8</v>
      </c>
      <c r="BJ12" s="92">
        <v>155676</v>
      </c>
      <c r="BK12" s="93">
        <f t="shared" si="27"/>
        <v>99632.639999999999</v>
      </c>
      <c r="BL12" s="92">
        <v>162568</v>
      </c>
      <c r="BM12" s="93">
        <f t="shared" si="28"/>
        <v>104043.52</v>
      </c>
      <c r="BN12" s="92">
        <v>148862</v>
      </c>
      <c r="BO12" s="93">
        <f t="shared" si="28"/>
        <v>95271.680000000008</v>
      </c>
      <c r="BP12" s="92">
        <v>160404</v>
      </c>
      <c r="BQ12" s="93">
        <f t="shared" si="28"/>
        <v>102658.56</v>
      </c>
      <c r="BR12" s="92">
        <v>149233</v>
      </c>
      <c r="BS12" s="93">
        <f t="shared" si="28"/>
        <v>95509.119999999995</v>
      </c>
      <c r="BT12" s="92">
        <v>157353</v>
      </c>
      <c r="BU12" s="93">
        <f t="shared" si="32"/>
        <v>100705.92</v>
      </c>
      <c r="BV12" s="92">
        <v>179116</v>
      </c>
      <c r="BW12" s="93">
        <f t="shared" si="33"/>
        <v>114634.24000000001</v>
      </c>
      <c r="BX12" s="92">
        <v>170683</v>
      </c>
      <c r="BY12" s="93">
        <f t="shared" si="34"/>
        <v>109237.12</v>
      </c>
      <c r="BZ12" s="92">
        <v>185136</v>
      </c>
      <c r="CA12" s="93">
        <f t="shared" si="35"/>
        <v>118487.04000000001</v>
      </c>
      <c r="CB12" s="92">
        <v>155498</v>
      </c>
      <c r="CC12" s="93">
        <f t="shared" si="36"/>
        <v>99518.720000000001</v>
      </c>
      <c r="CD12" s="7">
        <v>193405</v>
      </c>
      <c r="CE12" s="93">
        <f t="shared" si="37"/>
        <v>123779.2</v>
      </c>
      <c r="CF12" s="94">
        <f t="shared" si="44"/>
        <v>1993004</v>
      </c>
      <c r="CG12" s="95">
        <f t="shared" si="45"/>
        <v>1275522.5600000001</v>
      </c>
      <c r="CH12" s="7">
        <v>179189</v>
      </c>
      <c r="CI12" s="93">
        <f t="shared" si="46"/>
        <v>114680.96000000001</v>
      </c>
      <c r="CJ12" s="7">
        <v>156743</v>
      </c>
      <c r="CK12" s="93">
        <f t="shared" si="47"/>
        <v>100315.52</v>
      </c>
      <c r="CL12" s="7">
        <v>209757</v>
      </c>
      <c r="CM12" s="93">
        <f t="shared" si="48"/>
        <v>134244.48000000001</v>
      </c>
      <c r="CN12" s="7">
        <v>163352</v>
      </c>
      <c r="CO12" s="93">
        <f t="shared" si="49"/>
        <v>104545.28</v>
      </c>
      <c r="CP12" s="7">
        <v>167668</v>
      </c>
      <c r="CQ12" s="93">
        <f t="shared" si="50"/>
        <v>107307.52</v>
      </c>
      <c r="CR12" s="7">
        <v>169518</v>
      </c>
      <c r="CS12" s="93">
        <f t="shared" si="51"/>
        <v>108491.52</v>
      </c>
      <c r="CT12" s="7">
        <v>154737</v>
      </c>
      <c r="CU12" s="93">
        <f t="shared" si="52"/>
        <v>99031.680000000008</v>
      </c>
      <c r="CV12" s="7">
        <v>177450</v>
      </c>
      <c r="CW12" s="93">
        <f t="shared" si="53"/>
        <v>113568</v>
      </c>
      <c r="CX12" s="7">
        <v>159414</v>
      </c>
      <c r="CY12" s="93">
        <v>102024.96000000001</v>
      </c>
      <c r="CZ12" s="7">
        <v>150772</v>
      </c>
      <c r="DA12" s="93">
        <v>96494.080000000002</v>
      </c>
      <c r="DB12" s="7">
        <v>171122</v>
      </c>
      <c r="DC12" s="93">
        <v>109518.08</v>
      </c>
      <c r="DD12" s="7">
        <v>181923</v>
      </c>
      <c r="DE12" s="93">
        <v>116430.72</v>
      </c>
      <c r="DF12" s="97">
        <f t="shared" si="39"/>
        <v>2041645</v>
      </c>
      <c r="DG12" s="98">
        <f t="shared" si="54"/>
        <v>1306652.8</v>
      </c>
      <c r="DH12" s="79">
        <v>128898</v>
      </c>
      <c r="DI12" s="79">
        <v>82494.720000000001</v>
      </c>
      <c r="DJ12" s="154">
        <v>121791</v>
      </c>
      <c r="DK12" s="212">
        <f t="shared" si="55"/>
        <v>77946.240000000005</v>
      </c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99">
        <f t="shared" si="56"/>
        <v>250689</v>
      </c>
      <c r="EG12" s="99">
        <f t="shared" si="57"/>
        <v>160440.96000000002</v>
      </c>
    </row>
    <row r="13" spans="1:138" ht="20.100000000000001" customHeight="1">
      <c r="A13" s="63">
        <v>9</v>
      </c>
      <c r="B13" s="63" t="s">
        <v>23</v>
      </c>
      <c r="C13" s="63" t="s">
        <v>14</v>
      </c>
      <c r="D13" s="63">
        <f t="shared" si="58"/>
        <v>35</v>
      </c>
      <c r="E13" s="63">
        <v>0.64</v>
      </c>
      <c r="F13" s="63" t="s">
        <v>15</v>
      </c>
      <c r="G13" s="63"/>
      <c r="H13" s="7"/>
      <c r="I13" s="93">
        <f t="shared" si="0"/>
        <v>0</v>
      </c>
      <c r="J13" s="7"/>
      <c r="K13" s="93">
        <f t="shared" si="0"/>
        <v>0</v>
      </c>
      <c r="L13" s="7"/>
      <c r="M13" s="93">
        <f t="shared" si="2"/>
        <v>0</v>
      </c>
      <c r="N13" s="7"/>
      <c r="O13" s="93">
        <f t="shared" si="3"/>
        <v>0</v>
      </c>
      <c r="P13" s="7"/>
      <c r="Q13" s="93">
        <f t="shared" si="4"/>
        <v>0</v>
      </c>
      <c r="R13" s="7"/>
      <c r="S13" s="93">
        <f t="shared" si="5"/>
        <v>0</v>
      </c>
      <c r="T13" s="7"/>
      <c r="U13" s="93">
        <f t="shared" si="6"/>
        <v>0</v>
      </c>
      <c r="V13" s="7"/>
      <c r="W13" s="93">
        <f t="shared" si="7"/>
        <v>0</v>
      </c>
      <c r="X13" s="7"/>
      <c r="Y13" s="93">
        <f t="shared" si="8"/>
        <v>0</v>
      </c>
      <c r="Z13" s="7"/>
      <c r="AA13" s="93">
        <f t="shared" si="9"/>
        <v>0</v>
      </c>
      <c r="AB13" s="7"/>
      <c r="AC13" s="93">
        <f t="shared" si="10"/>
        <v>0</v>
      </c>
      <c r="AD13" s="7"/>
      <c r="AE13" s="93">
        <f t="shared" si="11"/>
        <v>0</v>
      </c>
      <c r="AF13" s="94">
        <f t="shared" si="40"/>
        <v>0</v>
      </c>
      <c r="AG13" s="95">
        <f t="shared" si="41"/>
        <v>0</v>
      </c>
      <c r="AH13" s="7"/>
      <c r="AI13" s="93">
        <f t="shared" si="13"/>
        <v>0</v>
      </c>
      <c r="AJ13" s="7"/>
      <c r="AK13" s="93">
        <f t="shared" si="14"/>
        <v>0</v>
      </c>
      <c r="AL13" s="7"/>
      <c r="AM13" s="93">
        <f t="shared" si="15"/>
        <v>0</v>
      </c>
      <c r="AN13" s="7"/>
      <c r="AO13" s="93">
        <f t="shared" si="16"/>
        <v>0</v>
      </c>
      <c r="AP13" s="7"/>
      <c r="AQ13" s="93">
        <f t="shared" si="17"/>
        <v>0</v>
      </c>
      <c r="AR13" s="7"/>
      <c r="AS13" s="93">
        <f t="shared" si="18"/>
        <v>0</v>
      </c>
      <c r="AT13" s="7"/>
      <c r="AU13" s="93">
        <f t="shared" si="19"/>
        <v>0</v>
      </c>
      <c r="AV13" s="7"/>
      <c r="AW13" s="93">
        <f t="shared" si="20"/>
        <v>0</v>
      </c>
      <c r="AX13" s="7"/>
      <c r="AY13" s="93">
        <f t="shared" si="21"/>
        <v>0</v>
      </c>
      <c r="AZ13" s="7"/>
      <c r="BA13" s="93">
        <f t="shared" si="22"/>
        <v>0</v>
      </c>
      <c r="BB13" s="7"/>
      <c r="BC13" s="93">
        <f t="shared" si="23"/>
        <v>0</v>
      </c>
      <c r="BD13" s="7"/>
      <c r="BE13" s="93">
        <f t="shared" si="24"/>
        <v>0</v>
      </c>
      <c r="BF13" s="94">
        <f t="shared" si="42"/>
        <v>0</v>
      </c>
      <c r="BG13" s="95">
        <f t="shared" si="43"/>
        <v>0</v>
      </c>
      <c r="BH13" s="7"/>
      <c r="BI13" s="93">
        <f t="shared" si="26"/>
        <v>0</v>
      </c>
      <c r="BJ13" s="7"/>
      <c r="BK13" s="93">
        <f t="shared" si="27"/>
        <v>0</v>
      </c>
      <c r="BL13" s="7"/>
      <c r="BM13" s="93">
        <f t="shared" si="28"/>
        <v>0</v>
      </c>
      <c r="BN13" s="7"/>
      <c r="BO13" s="93">
        <f t="shared" si="28"/>
        <v>0</v>
      </c>
      <c r="BP13" s="7"/>
      <c r="BQ13" s="93">
        <f t="shared" si="28"/>
        <v>0</v>
      </c>
      <c r="BR13" s="7"/>
      <c r="BS13" s="93">
        <f t="shared" si="28"/>
        <v>0</v>
      </c>
      <c r="BT13" s="7"/>
      <c r="BU13" s="93">
        <f t="shared" si="32"/>
        <v>0</v>
      </c>
      <c r="BV13" s="7"/>
      <c r="BW13" s="93">
        <f t="shared" si="33"/>
        <v>0</v>
      </c>
      <c r="BX13" s="7"/>
      <c r="BY13" s="93">
        <f t="shared" si="34"/>
        <v>0</v>
      </c>
      <c r="BZ13" s="7"/>
      <c r="CA13" s="93">
        <f t="shared" si="35"/>
        <v>0</v>
      </c>
      <c r="CB13" s="7"/>
      <c r="CC13" s="93">
        <f t="shared" si="36"/>
        <v>0</v>
      </c>
      <c r="CD13" s="7"/>
      <c r="CE13" s="93">
        <f t="shared" si="37"/>
        <v>0</v>
      </c>
      <c r="CF13" s="94">
        <f t="shared" si="44"/>
        <v>0</v>
      </c>
      <c r="CG13" s="95">
        <f t="shared" si="45"/>
        <v>0</v>
      </c>
      <c r="CH13" s="7"/>
      <c r="CI13" s="93">
        <f t="shared" si="46"/>
        <v>0</v>
      </c>
      <c r="CJ13" s="7"/>
      <c r="CK13" s="93">
        <f t="shared" si="47"/>
        <v>0</v>
      </c>
      <c r="CL13" s="7"/>
      <c r="CM13" s="93">
        <f t="shared" si="48"/>
        <v>0</v>
      </c>
      <c r="CN13" s="7"/>
      <c r="CO13" s="93">
        <f t="shared" si="49"/>
        <v>0</v>
      </c>
      <c r="CP13" s="7"/>
      <c r="CQ13" s="93">
        <f t="shared" si="50"/>
        <v>0</v>
      </c>
      <c r="CR13" s="7"/>
      <c r="CS13" s="93">
        <f t="shared" si="51"/>
        <v>0</v>
      </c>
      <c r="CT13" s="7"/>
      <c r="CU13" s="93">
        <f t="shared" si="52"/>
        <v>0</v>
      </c>
      <c r="CV13" s="7"/>
      <c r="CW13" s="93">
        <f t="shared" si="53"/>
        <v>0</v>
      </c>
      <c r="CX13" s="7"/>
      <c r="CY13" s="93">
        <v>0</v>
      </c>
      <c r="CZ13" s="7"/>
      <c r="DA13" s="93">
        <v>0</v>
      </c>
      <c r="DB13" s="7"/>
      <c r="DC13" s="93">
        <v>0</v>
      </c>
      <c r="DD13" s="7"/>
      <c r="DE13" s="93">
        <v>0</v>
      </c>
      <c r="DF13" s="97">
        <f t="shared" si="39"/>
        <v>0</v>
      </c>
      <c r="DG13" s="98">
        <f t="shared" si="54"/>
        <v>0</v>
      </c>
      <c r="DH13" s="79"/>
      <c r="DI13" s="79">
        <v>0</v>
      </c>
      <c r="DJ13" s="154"/>
      <c r="DK13" s="212">
        <f t="shared" si="55"/>
        <v>0</v>
      </c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99">
        <f t="shared" si="56"/>
        <v>0</v>
      </c>
      <c r="EG13" s="99">
        <f t="shared" si="57"/>
        <v>0</v>
      </c>
    </row>
    <row r="14" spans="1:138" ht="20.100000000000001" customHeight="1">
      <c r="A14" s="63">
        <v>10</v>
      </c>
      <c r="B14" s="63" t="s">
        <v>26</v>
      </c>
      <c r="C14" s="63" t="s">
        <v>14</v>
      </c>
      <c r="D14" s="63">
        <f t="shared" si="58"/>
        <v>35</v>
      </c>
      <c r="E14" s="63">
        <v>0.64</v>
      </c>
      <c r="F14" s="63" t="s">
        <v>25</v>
      </c>
      <c r="G14" s="63"/>
      <c r="H14" s="7"/>
      <c r="I14" s="93">
        <f t="shared" si="0"/>
        <v>0</v>
      </c>
      <c r="J14" s="7"/>
      <c r="K14" s="93">
        <f t="shared" si="0"/>
        <v>0</v>
      </c>
      <c r="L14" s="7"/>
      <c r="M14" s="93">
        <f t="shared" si="2"/>
        <v>0</v>
      </c>
      <c r="N14" s="7"/>
      <c r="O14" s="93">
        <f t="shared" si="3"/>
        <v>0</v>
      </c>
      <c r="P14" s="7"/>
      <c r="Q14" s="93">
        <f t="shared" si="4"/>
        <v>0</v>
      </c>
      <c r="R14" s="7"/>
      <c r="S14" s="93">
        <f t="shared" si="5"/>
        <v>0</v>
      </c>
      <c r="T14" s="7"/>
      <c r="U14" s="93">
        <f t="shared" si="6"/>
        <v>0</v>
      </c>
      <c r="V14" s="7"/>
      <c r="W14" s="93">
        <f t="shared" si="7"/>
        <v>0</v>
      </c>
      <c r="X14" s="7"/>
      <c r="Y14" s="93">
        <f t="shared" si="8"/>
        <v>0</v>
      </c>
      <c r="Z14" s="7"/>
      <c r="AA14" s="93">
        <f t="shared" si="9"/>
        <v>0</v>
      </c>
      <c r="AB14" s="7"/>
      <c r="AC14" s="93">
        <f t="shared" si="10"/>
        <v>0</v>
      </c>
      <c r="AD14" s="7"/>
      <c r="AE14" s="93">
        <f t="shared" si="11"/>
        <v>0</v>
      </c>
      <c r="AF14" s="94">
        <f t="shared" si="40"/>
        <v>0</v>
      </c>
      <c r="AG14" s="95">
        <f t="shared" si="41"/>
        <v>0</v>
      </c>
      <c r="AH14" s="7"/>
      <c r="AI14" s="93">
        <f t="shared" si="13"/>
        <v>0</v>
      </c>
      <c r="AJ14" s="7"/>
      <c r="AK14" s="93">
        <f t="shared" si="14"/>
        <v>0</v>
      </c>
      <c r="AL14" s="7"/>
      <c r="AM14" s="93">
        <f t="shared" si="15"/>
        <v>0</v>
      </c>
      <c r="AN14" s="7"/>
      <c r="AO14" s="93">
        <f t="shared" si="16"/>
        <v>0</v>
      </c>
      <c r="AP14" s="7"/>
      <c r="AQ14" s="93">
        <f t="shared" si="17"/>
        <v>0</v>
      </c>
      <c r="AR14" s="7"/>
      <c r="AS14" s="93">
        <f t="shared" si="18"/>
        <v>0</v>
      </c>
      <c r="AT14" s="7"/>
      <c r="AU14" s="93">
        <f t="shared" si="19"/>
        <v>0</v>
      </c>
      <c r="AV14" s="7"/>
      <c r="AW14" s="93">
        <f t="shared" si="20"/>
        <v>0</v>
      </c>
      <c r="AX14" s="7"/>
      <c r="AY14" s="93">
        <f t="shared" si="21"/>
        <v>0</v>
      </c>
      <c r="AZ14" s="7"/>
      <c r="BA14" s="93">
        <f t="shared" si="22"/>
        <v>0</v>
      </c>
      <c r="BB14" s="7"/>
      <c r="BC14" s="93">
        <f t="shared" si="23"/>
        <v>0</v>
      </c>
      <c r="BD14" s="7"/>
      <c r="BE14" s="93">
        <f t="shared" si="24"/>
        <v>0</v>
      </c>
      <c r="BF14" s="94">
        <f t="shared" si="42"/>
        <v>0</v>
      </c>
      <c r="BG14" s="95">
        <f t="shared" si="43"/>
        <v>0</v>
      </c>
      <c r="BH14" s="7"/>
      <c r="BI14" s="93">
        <f t="shared" si="26"/>
        <v>0</v>
      </c>
      <c r="BJ14" s="7"/>
      <c r="BK14" s="93">
        <f t="shared" si="27"/>
        <v>0</v>
      </c>
      <c r="BL14" s="7"/>
      <c r="BM14" s="93">
        <f t="shared" si="28"/>
        <v>0</v>
      </c>
      <c r="BN14" s="7"/>
      <c r="BO14" s="93">
        <f t="shared" si="28"/>
        <v>0</v>
      </c>
      <c r="BP14" s="7"/>
      <c r="BQ14" s="93">
        <f t="shared" si="28"/>
        <v>0</v>
      </c>
      <c r="BR14" s="7"/>
      <c r="BS14" s="93">
        <f t="shared" si="28"/>
        <v>0</v>
      </c>
      <c r="BT14" s="7"/>
      <c r="BU14" s="93">
        <f t="shared" si="32"/>
        <v>0</v>
      </c>
      <c r="BV14" s="7"/>
      <c r="BW14" s="93">
        <f t="shared" si="33"/>
        <v>0</v>
      </c>
      <c r="BX14" s="7"/>
      <c r="BY14" s="93">
        <f t="shared" si="34"/>
        <v>0</v>
      </c>
      <c r="BZ14" s="7"/>
      <c r="CA14" s="93">
        <f t="shared" si="35"/>
        <v>0</v>
      </c>
      <c r="CB14" s="7"/>
      <c r="CC14" s="93">
        <f t="shared" si="36"/>
        <v>0</v>
      </c>
      <c r="CD14" s="7"/>
      <c r="CE14" s="93">
        <f t="shared" si="37"/>
        <v>0</v>
      </c>
      <c r="CF14" s="94">
        <f t="shared" si="44"/>
        <v>0</v>
      </c>
      <c r="CG14" s="95">
        <f t="shared" si="45"/>
        <v>0</v>
      </c>
      <c r="CH14" s="7"/>
      <c r="CI14" s="93">
        <f t="shared" si="46"/>
        <v>0</v>
      </c>
      <c r="CJ14" s="7"/>
      <c r="CK14" s="93">
        <f t="shared" si="47"/>
        <v>0</v>
      </c>
      <c r="CL14" s="7"/>
      <c r="CM14" s="93">
        <f t="shared" si="48"/>
        <v>0</v>
      </c>
      <c r="CN14" s="7"/>
      <c r="CO14" s="93">
        <f t="shared" si="49"/>
        <v>0</v>
      </c>
      <c r="CP14" s="7"/>
      <c r="CQ14" s="93">
        <f t="shared" si="50"/>
        <v>0</v>
      </c>
      <c r="CR14" s="7"/>
      <c r="CS14" s="93">
        <f t="shared" si="51"/>
        <v>0</v>
      </c>
      <c r="CT14" s="7"/>
      <c r="CU14" s="93">
        <f t="shared" si="52"/>
        <v>0</v>
      </c>
      <c r="CV14" s="7"/>
      <c r="CW14" s="93">
        <f t="shared" si="53"/>
        <v>0</v>
      </c>
      <c r="CX14" s="7"/>
      <c r="CY14" s="93">
        <v>0</v>
      </c>
      <c r="CZ14" s="7"/>
      <c r="DA14" s="93">
        <v>0</v>
      </c>
      <c r="DB14" s="7"/>
      <c r="DC14" s="93">
        <v>0</v>
      </c>
      <c r="DD14" s="7"/>
      <c r="DE14" s="93">
        <v>0</v>
      </c>
      <c r="DF14" s="97">
        <f t="shared" si="39"/>
        <v>0</v>
      </c>
      <c r="DG14" s="98">
        <f t="shared" si="54"/>
        <v>0</v>
      </c>
      <c r="DH14" s="79"/>
      <c r="DI14" s="79">
        <v>0</v>
      </c>
      <c r="DJ14" s="154"/>
      <c r="DK14" s="212">
        <f t="shared" si="55"/>
        <v>0</v>
      </c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99">
        <f t="shared" si="56"/>
        <v>0</v>
      </c>
      <c r="EG14" s="99">
        <f t="shared" si="57"/>
        <v>0</v>
      </c>
    </row>
    <row r="15" spans="1:138" ht="20.100000000000001" customHeight="1">
      <c r="A15" s="63"/>
      <c r="B15" s="63"/>
      <c r="C15" s="63"/>
      <c r="D15" s="63"/>
      <c r="E15" s="63"/>
      <c r="F15" s="63"/>
      <c r="G15" s="63"/>
      <c r="H15" s="7"/>
      <c r="I15" s="93">
        <f t="shared" si="0"/>
        <v>0</v>
      </c>
      <c r="J15" s="7"/>
      <c r="K15" s="93">
        <f t="shared" si="0"/>
        <v>0</v>
      </c>
      <c r="L15" s="7"/>
      <c r="M15" s="93">
        <f t="shared" si="2"/>
        <v>0</v>
      </c>
      <c r="N15" s="7"/>
      <c r="O15" s="93">
        <f t="shared" si="3"/>
        <v>0</v>
      </c>
      <c r="P15" s="7"/>
      <c r="Q15" s="93">
        <f t="shared" si="4"/>
        <v>0</v>
      </c>
      <c r="R15" s="7"/>
      <c r="S15" s="93">
        <f t="shared" si="5"/>
        <v>0</v>
      </c>
      <c r="T15" s="7"/>
      <c r="U15" s="93">
        <f t="shared" si="6"/>
        <v>0</v>
      </c>
      <c r="V15" s="7"/>
      <c r="W15" s="93">
        <f t="shared" si="7"/>
        <v>0</v>
      </c>
      <c r="X15" s="7"/>
      <c r="Y15" s="93">
        <f t="shared" si="8"/>
        <v>0</v>
      </c>
      <c r="Z15" s="7"/>
      <c r="AA15" s="93">
        <f t="shared" si="9"/>
        <v>0</v>
      </c>
      <c r="AB15" s="7"/>
      <c r="AC15" s="93">
        <f t="shared" si="10"/>
        <v>0</v>
      </c>
      <c r="AD15" s="7"/>
      <c r="AE15" s="93">
        <f t="shared" si="11"/>
        <v>0</v>
      </c>
      <c r="AF15" s="94">
        <f t="shared" si="40"/>
        <v>0</v>
      </c>
      <c r="AG15" s="95">
        <f t="shared" si="41"/>
        <v>0</v>
      </c>
      <c r="AH15" s="7"/>
      <c r="AI15" s="93">
        <f t="shared" si="13"/>
        <v>0</v>
      </c>
      <c r="AJ15" s="7"/>
      <c r="AK15" s="93">
        <f t="shared" si="14"/>
        <v>0</v>
      </c>
      <c r="AL15" s="7"/>
      <c r="AM15" s="93">
        <f t="shared" si="15"/>
        <v>0</v>
      </c>
      <c r="AN15" s="7"/>
      <c r="AO15" s="93">
        <f t="shared" si="16"/>
        <v>0</v>
      </c>
      <c r="AP15" s="7"/>
      <c r="AQ15" s="93">
        <f t="shared" si="17"/>
        <v>0</v>
      </c>
      <c r="AR15" s="7"/>
      <c r="AS15" s="93">
        <f t="shared" si="18"/>
        <v>0</v>
      </c>
      <c r="AT15" s="7"/>
      <c r="AU15" s="93">
        <f t="shared" si="19"/>
        <v>0</v>
      </c>
      <c r="AV15" s="7"/>
      <c r="AW15" s="93">
        <f t="shared" si="20"/>
        <v>0</v>
      </c>
      <c r="AX15" s="7"/>
      <c r="AY15" s="93">
        <f t="shared" si="21"/>
        <v>0</v>
      </c>
      <c r="AZ15" s="7"/>
      <c r="BA15" s="93">
        <f t="shared" si="22"/>
        <v>0</v>
      </c>
      <c r="BB15" s="7"/>
      <c r="BC15" s="93">
        <f t="shared" si="23"/>
        <v>0</v>
      </c>
      <c r="BD15" s="7"/>
      <c r="BE15" s="93">
        <f t="shared" si="24"/>
        <v>0</v>
      </c>
      <c r="BF15" s="94">
        <f t="shared" si="42"/>
        <v>0</v>
      </c>
      <c r="BG15" s="95">
        <f t="shared" si="43"/>
        <v>0</v>
      </c>
      <c r="BH15" s="7"/>
      <c r="BI15" s="93">
        <f t="shared" si="26"/>
        <v>0</v>
      </c>
      <c r="BJ15" s="7"/>
      <c r="BK15" s="93">
        <f t="shared" si="27"/>
        <v>0</v>
      </c>
      <c r="BL15" s="7"/>
      <c r="BM15" s="93">
        <f t="shared" si="28"/>
        <v>0</v>
      </c>
      <c r="BN15" s="7"/>
      <c r="BO15" s="93">
        <f t="shared" si="28"/>
        <v>0</v>
      </c>
      <c r="BP15" s="7"/>
      <c r="BQ15" s="93">
        <f t="shared" si="28"/>
        <v>0</v>
      </c>
      <c r="BR15" s="7"/>
      <c r="BS15" s="93">
        <f t="shared" si="28"/>
        <v>0</v>
      </c>
      <c r="BT15" s="7"/>
      <c r="BU15" s="93">
        <f t="shared" si="32"/>
        <v>0</v>
      </c>
      <c r="BV15" s="7"/>
      <c r="BW15" s="93">
        <f t="shared" si="33"/>
        <v>0</v>
      </c>
      <c r="BX15" s="7"/>
      <c r="BY15" s="93">
        <f t="shared" si="34"/>
        <v>0</v>
      </c>
      <c r="BZ15" s="7"/>
      <c r="CA15" s="93">
        <f t="shared" si="35"/>
        <v>0</v>
      </c>
      <c r="CB15" s="7"/>
      <c r="CC15" s="93">
        <f t="shared" si="36"/>
        <v>0</v>
      </c>
      <c r="CD15" s="7"/>
      <c r="CE15" s="93">
        <f t="shared" si="37"/>
        <v>0</v>
      </c>
      <c r="CF15" s="94">
        <f t="shared" si="44"/>
        <v>0</v>
      </c>
      <c r="CG15" s="95">
        <f t="shared" si="45"/>
        <v>0</v>
      </c>
      <c r="CH15" s="7"/>
      <c r="CI15" s="93">
        <f t="shared" si="46"/>
        <v>0</v>
      </c>
      <c r="CJ15" s="7"/>
      <c r="CK15" s="93">
        <f t="shared" si="47"/>
        <v>0</v>
      </c>
      <c r="CL15" s="7"/>
      <c r="CM15" s="93">
        <f t="shared" si="48"/>
        <v>0</v>
      </c>
      <c r="CN15" s="7"/>
      <c r="CO15" s="93">
        <f t="shared" si="49"/>
        <v>0</v>
      </c>
      <c r="CP15" s="7"/>
      <c r="CQ15" s="93">
        <f t="shared" si="50"/>
        <v>0</v>
      </c>
      <c r="CR15" s="7"/>
      <c r="CS15" s="93">
        <f t="shared" si="51"/>
        <v>0</v>
      </c>
      <c r="CT15" s="7"/>
      <c r="CU15" s="93">
        <f t="shared" si="52"/>
        <v>0</v>
      </c>
      <c r="CV15" s="7"/>
      <c r="CW15" s="93">
        <f t="shared" si="53"/>
        <v>0</v>
      </c>
      <c r="CX15" s="7"/>
      <c r="CY15" s="93">
        <v>0</v>
      </c>
      <c r="CZ15" s="7"/>
      <c r="DA15" s="93">
        <v>0</v>
      </c>
      <c r="DB15" s="7"/>
      <c r="DC15" s="93">
        <v>0</v>
      </c>
      <c r="DD15" s="7"/>
      <c r="DE15" s="93">
        <v>0</v>
      </c>
      <c r="DF15" s="97">
        <f t="shared" si="39"/>
        <v>0</v>
      </c>
      <c r="DG15" s="98">
        <f t="shared" si="54"/>
        <v>0</v>
      </c>
      <c r="DH15" s="79"/>
      <c r="DI15" s="79">
        <v>0</v>
      </c>
      <c r="DJ15" s="154"/>
      <c r="DK15" s="212">
        <f t="shared" si="55"/>
        <v>0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99">
        <f t="shared" si="56"/>
        <v>0</v>
      </c>
      <c r="EG15" s="99">
        <f t="shared" si="57"/>
        <v>0</v>
      </c>
    </row>
    <row r="16" spans="1:138" ht="20.100000000000001" customHeight="1">
      <c r="A16" s="63">
        <v>11</v>
      </c>
      <c r="B16" s="63" t="s">
        <v>27</v>
      </c>
      <c r="C16" s="63" t="s">
        <v>17</v>
      </c>
      <c r="D16" s="63">
        <f t="shared" ref="D16:D24" si="59">RANK(DF16,$DF$4:$DF$144)</f>
        <v>8</v>
      </c>
      <c r="E16" s="63">
        <v>1</v>
      </c>
      <c r="F16" s="63" t="s">
        <v>15</v>
      </c>
      <c r="G16" s="63">
        <v>1530</v>
      </c>
      <c r="H16" s="92">
        <v>8475</v>
      </c>
      <c r="I16" s="93">
        <f t="shared" si="0"/>
        <v>8475</v>
      </c>
      <c r="J16" s="92">
        <v>7344</v>
      </c>
      <c r="K16" s="93">
        <f t="shared" si="0"/>
        <v>7344</v>
      </c>
      <c r="L16" s="92">
        <v>14040</v>
      </c>
      <c r="M16" s="93">
        <f t="shared" si="2"/>
        <v>14040</v>
      </c>
      <c r="N16" s="92">
        <v>10788</v>
      </c>
      <c r="O16" s="93">
        <f t="shared" si="3"/>
        <v>10788</v>
      </c>
      <c r="P16" s="92">
        <v>5844</v>
      </c>
      <c r="Q16" s="93">
        <f t="shared" si="4"/>
        <v>5844</v>
      </c>
      <c r="R16" s="92">
        <v>7104</v>
      </c>
      <c r="S16" s="93">
        <f t="shared" si="5"/>
        <v>7104</v>
      </c>
      <c r="T16" s="92">
        <v>10047</v>
      </c>
      <c r="U16" s="93">
        <f t="shared" si="6"/>
        <v>10047</v>
      </c>
      <c r="V16" s="92">
        <v>12900</v>
      </c>
      <c r="W16" s="93">
        <f t="shared" si="7"/>
        <v>12900</v>
      </c>
      <c r="X16" s="92">
        <v>8244</v>
      </c>
      <c r="Y16" s="93">
        <f t="shared" si="8"/>
        <v>8244</v>
      </c>
      <c r="Z16" s="92">
        <v>9120</v>
      </c>
      <c r="AA16" s="93">
        <f t="shared" si="9"/>
        <v>9120</v>
      </c>
      <c r="AB16" s="92">
        <v>13236</v>
      </c>
      <c r="AC16" s="93">
        <f t="shared" si="10"/>
        <v>13236</v>
      </c>
      <c r="AD16" s="92">
        <v>10632</v>
      </c>
      <c r="AE16" s="93">
        <f t="shared" si="11"/>
        <v>10632</v>
      </c>
      <c r="AF16" s="94">
        <f t="shared" si="40"/>
        <v>117774</v>
      </c>
      <c r="AG16" s="95">
        <f t="shared" si="41"/>
        <v>117774</v>
      </c>
      <c r="AH16" s="92">
        <v>12312</v>
      </c>
      <c r="AI16" s="93">
        <f t="shared" si="13"/>
        <v>12312</v>
      </c>
      <c r="AJ16" s="92">
        <v>6684</v>
      </c>
      <c r="AK16" s="93">
        <f t="shared" si="14"/>
        <v>6684</v>
      </c>
      <c r="AL16" s="92">
        <v>12432</v>
      </c>
      <c r="AM16" s="93">
        <f t="shared" si="15"/>
        <v>12432</v>
      </c>
      <c r="AN16" s="92">
        <v>12108</v>
      </c>
      <c r="AO16" s="93">
        <f t="shared" si="16"/>
        <v>12108</v>
      </c>
      <c r="AP16" s="92">
        <v>12456</v>
      </c>
      <c r="AQ16" s="93">
        <f t="shared" si="17"/>
        <v>12456</v>
      </c>
      <c r="AR16" s="92">
        <v>13150</v>
      </c>
      <c r="AS16" s="93">
        <f t="shared" si="18"/>
        <v>13150</v>
      </c>
      <c r="AT16" s="92">
        <v>15358</v>
      </c>
      <c r="AU16" s="93">
        <f t="shared" si="19"/>
        <v>15358</v>
      </c>
      <c r="AV16" s="92">
        <v>10075</v>
      </c>
      <c r="AW16" s="93">
        <f t="shared" si="20"/>
        <v>10075</v>
      </c>
      <c r="AX16" s="92">
        <v>13018</v>
      </c>
      <c r="AY16" s="93">
        <f t="shared" si="21"/>
        <v>13018</v>
      </c>
      <c r="AZ16" s="92">
        <v>10356</v>
      </c>
      <c r="BA16" s="93">
        <f t="shared" si="22"/>
        <v>10356</v>
      </c>
      <c r="BB16" s="92">
        <v>16800</v>
      </c>
      <c r="BC16" s="93">
        <f t="shared" si="23"/>
        <v>16800</v>
      </c>
      <c r="BD16" s="92">
        <v>16884</v>
      </c>
      <c r="BE16" s="93">
        <f t="shared" si="24"/>
        <v>16884</v>
      </c>
      <c r="BF16" s="94">
        <f t="shared" si="42"/>
        <v>151633</v>
      </c>
      <c r="BG16" s="95">
        <f t="shared" si="43"/>
        <v>151633</v>
      </c>
      <c r="BH16" s="96">
        <v>15300</v>
      </c>
      <c r="BI16" s="93">
        <f t="shared" si="26"/>
        <v>15300</v>
      </c>
      <c r="BJ16" s="92">
        <v>13344</v>
      </c>
      <c r="BK16" s="93">
        <f t="shared" si="27"/>
        <v>13344</v>
      </c>
      <c r="BL16" s="92">
        <v>11724</v>
      </c>
      <c r="BM16" s="93">
        <f t="shared" si="28"/>
        <v>11724</v>
      </c>
      <c r="BN16" s="92">
        <v>18996</v>
      </c>
      <c r="BO16" s="93">
        <f t="shared" si="28"/>
        <v>18996</v>
      </c>
      <c r="BP16" s="92">
        <v>9228</v>
      </c>
      <c r="BQ16" s="93">
        <f t="shared" si="28"/>
        <v>9228</v>
      </c>
      <c r="BR16" s="92">
        <v>13296</v>
      </c>
      <c r="BS16" s="93">
        <f t="shared" si="28"/>
        <v>13296</v>
      </c>
      <c r="BT16" s="92">
        <v>18504</v>
      </c>
      <c r="BU16" s="93">
        <f t="shared" si="32"/>
        <v>18504</v>
      </c>
      <c r="BV16" s="92">
        <v>21840</v>
      </c>
      <c r="BW16" s="93">
        <f t="shared" si="33"/>
        <v>21840</v>
      </c>
      <c r="BX16" s="92">
        <v>19896</v>
      </c>
      <c r="BY16" s="93">
        <f t="shared" si="34"/>
        <v>19896</v>
      </c>
      <c r="BZ16" s="92">
        <v>28848</v>
      </c>
      <c r="CA16" s="93">
        <f t="shared" si="35"/>
        <v>28848</v>
      </c>
      <c r="CB16" s="92">
        <v>25560</v>
      </c>
      <c r="CC16" s="93">
        <f t="shared" si="36"/>
        <v>25560</v>
      </c>
      <c r="CD16" s="7">
        <v>36288</v>
      </c>
      <c r="CE16" s="93">
        <f t="shared" si="37"/>
        <v>36288</v>
      </c>
      <c r="CF16" s="94">
        <f t="shared" si="44"/>
        <v>232824</v>
      </c>
      <c r="CG16" s="95">
        <f t="shared" si="45"/>
        <v>232824</v>
      </c>
      <c r="CH16" s="7">
        <v>33792</v>
      </c>
      <c r="CI16" s="93">
        <f t="shared" si="46"/>
        <v>33792</v>
      </c>
      <c r="CJ16" s="7">
        <v>20238</v>
      </c>
      <c r="CK16" s="93">
        <f t="shared" si="47"/>
        <v>20238</v>
      </c>
      <c r="CL16" s="7">
        <v>48540</v>
      </c>
      <c r="CM16" s="93">
        <f t="shared" si="48"/>
        <v>48540</v>
      </c>
      <c r="CN16" s="7">
        <v>22764</v>
      </c>
      <c r="CO16" s="93">
        <f t="shared" si="49"/>
        <v>22764</v>
      </c>
      <c r="CP16" s="7">
        <v>26844</v>
      </c>
      <c r="CQ16" s="93">
        <f t="shared" si="50"/>
        <v>26844</v>
      </c>
      <c r="CR16" s="7">
        <v>33972</v>
      </c>
      <c r="CS16" s="93">
        <f t="shared" si="51"/>
        <v>33972</v>
      </c>
      <c r="CT16" s="7">
        <v>40620</v>
      </c>
      <c r="CU16" s="93">
        <f t="shared" si="52"/>
        <v>40620</v>
      </c>
      <c r="CV16" s="7">
        <v>36588</v>
      </c>
      <c r="CW16" s="93">
        <f t="shared" si="53"/>
        <v>36588</v>
      </c>
      <c r="CX16" s="7">
        <v>57684</v>
      </c>
      <c r="CY16" s="93">
        <v>57684</v>
      </c>
      <c r="CZ16" s="7">
        <v>67716</v>
      </c>
      <c r="DA16" s="93">
        <v>67716</v>
      </c>
      <c r="DB16" s="7">
        <v>32580</v>
      </c>
      <c r="DC16" s="93">
        <v>32580</v>
      </c>
      <c r="DD16" s="7">
        <v>53064</v>
      </c>
      <c r="DE16" s="93">
        <v>53064</v>
      </c>
      <c r="DF16" s="97">
        <f t="shared" si="39"/>
        <v>474402</v>
      </c>
      <c r="DG16" s="98">
        <f t="shared" si="54"/>
        <v>474402</v>
      </c>
      <c r="DH16" s="79">
        <v>51190</v>
      </c>
      <c r="DI16" s="79">
        <v>51190</v>
      </c>
      <c r="DJ16" s="154">
        <v>42868</v>
      </c>
      <c r="DK16" s="212">
        <f t="shared" si="55"/>
        <v>42868</v>
      </c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99">
        <f t="shared" si="56"/>
        <v>94058</v>
      </c>
      <c r="EG16" s="99">
        <f t="shared" si="57"/>
        <v>94058</v>
      </c>
    </row>
    <row r="17" spans="1:137" ht="20.100000000000001" customHeight="1">
      <c r="A17" s="63">
        <v>12</v>
      </c>
      <c r="B17" s="63" t="s">
        <v>28</v>
      </c>
      <c r="C17" s="63" t="s">
        <v>17</v>
      </c>
      <c r="D17" s="63">
        <f t="shared" si="59"/>
        <v>35</v>
      </c>
      <c r="E17" s="63">
        <v>1</v>
      </c>
      <c r="F17" s="63" t="s">
        <v>15</v>
      </c>
      <c r="G17" s="63"/>
      <c r="H17" s="7"/>
      <c r="I17" s="93">
        <f t="shared" si="0"/>
        <v>0</v>
      </c>
      <c r="J17" s="7"/>
      <c r="K17" s="93">
        <f t="shared" si="0"/>
        <v>0</v>
      </c>
      <c r="L17" s="7"/>
      <c r="M17" s="93">
        <f t="shared" si="2"/>
        <v>0</v>
      </c>
      <c r="N17" s="7"/>
      <c r="O17" s="93">
        <f t="shared" si="3"/>
        <v>0</v>
      </c>
      <c r="P17" s="7"/>
      <c r="Q17" s="93">
        <f t="shared" si="4"/>
        <v>0</v>
      </c>
      <c r="R17" s="7"/>
      <c r="S17" s="93">
        <f t="shared" si="5"/>
        <v>0</v>
      </c>
      <c r="T17" s="7"/>
      <c r="U17" s="93">
        <f t="shared" si="6"/>
        <v>0</v>
      </c>
      <c r="V17" s="7"/>
      <c r="W17" s="93">
        <f t="shared" si="7"/>
        <v>0</v>
      </c>
      <c r="X17" s="7"/>
      <c r="Y17" s="93">
        <f t="shared" si="8"/>
        <v>0</v>
      </c>
      <c r="Z17" s="7"/>
      <c r="AA17" s="93">
        <f t="shared" si="9"/>
        <v>0</v>
      </c>
      <c r="AB17" s="7"/>
      <c r="AC17" s="93">
        <f t="shared" si="10"/>
        <v>0</v>
      </c>
      <c r="AD17" s="7"/>
      <c r="AE17" s="93">
        <f t="shared" si="11"/>
        <v>0</v>
      </c>
      <c r="AF17" s="94">
        <f t="shared" si="40"/>
        <v>0</v>
      </c>
      <c r="AG17" s="95">
        <f t="shared" si="41"/>
        <v>0</v>
      </c>
      <c r="AH17" s="7"/>
      <c r="AI17" s="93">
        <f t="shared" si="13"/>
        <v>0</v>
      </c>
      <c r="AJ17" s="7"/>
      <c r="AK17" s="93">
        <f t="shared" si="14"/>
        <v>0</v>
      </c>
      <c r="AL17" s="7"/>
      <c r="AM17" s="93">
        <f t="shared" si="15"/>
        <v>0</v>
      </c>
      <c r="AN17" s="7"/>
      <c r="AO17" s="93">
        <f t="shared" si="16"/>
        <v>0</v>
      </c>
      <c r="AP17" s="7"/>
      <c r="AQ17" s="93">
        <f t="shared" si="17"/>
        <v>0</v>
      </c>
      <c r="AR17" s="7"/>
      <c r="AS17" s="93">
        <f t="shared" si="18"/>
        <v>0</v>
      </c>
      <c r="AT17" s="7"/>
      <c r="AU17" s="93">
        <f t="shared" si="19"/>
        <v>0</v>
      </c>
      <c r="AV17" s="7"/>
      <c r="AW17" s="93">
        <f t="shared" si="20"/>
        <v>0</v>
      </c>
      <c r="AX17" s="7"/>
      <c r="AY17" s="93">
        <f t="shared" si="21"/>
        <v>0</v>
      </c>
      <c r="AZ17" s="7"/>
      <c r="BA17" s="93">
        <f t="shared" si="22"/>
        <v>0</v>
      </c>
      <c r="BB17" s="7"/>
      <c r="BC17" s="93">
        <f t="shared" si="23"/>
        <v>0</v>
      </c>
      <c r="BD17" s="7"/>
      <c r="BE17" s="93">
        <f t="shared" si="24"/>
        <v>0</v>
      </c>
      <c r="BF17" s="94">
        <f t="shared" si="42"/>
        <v>0</v>
      </c>
      <c r="BG17" s="95">
        <f t="shared" si="43"/>
        <v>0</v>
      </c>
      <c r="BH17" s="7"/>
      <c r="BI17" s="93">
        <f t="shared" si="26"/>
        <v>0</v>
      </c>
      <c r="BJ17" s="7"/>
      <c r="BK17" s="93">
        <f t="shared" si="27"/>
        <v>0</v>
      </c>
      <c r="BL17" s="7"/>
      <c r="BM17" s="93">
        <f t="shared" si="28"/>
        <v>0</v>
      </c>
      <c r="BN17" s="7"/>
      <c r="BO17" s="93">
        <f t="shared" si="28"/>
        <v>0</v>
      </c>
      <c r="BP17" s="7"/>
      <c r="BQ17" s="93">
        <f t="shared" si="28"/>
        <v>0</v>
      </c>
      <c r="BR17" s="7"/>
      <c r="BS17" s="93">
        <f t="shared" si="28"/>
        <v>0</v>
      </c>
      <c r="BT17" s="7"/>
      <c r="BU17" s="93">
        <f t="shared" si="32"/>
        <v>0</v>
      </c>
      <c r="BV17" s="7"/>
      <c r="BW17" s="93">
        <f t="shared" si="33"/>
        <v>0</v>
      </c>
      <c r="BX17" s="7"/>
      <c r="BY17" s="93">
        <f t="shared" si="34"/>
        <v>0</v>
      </c>
      <c r="BZ17" s="7"/>
      <c r="CA17" s="93">
        <f t="shared" si="35"/>
        <v>0</v>
      </c>
      <c r="CB17" s="7"/>
      <c r="CC17" s="93">
        <f t="shared" si="36"/>
        <v>0</v>
      </c>
      <c r="CD17" s="7"/>
      <c r="CE17" s="93">
        <f t="shared" si="37"/>
        <v>0</v>
      </c>
      <c r="CF17" s="94">
        <f t="shared" si="44"/>
        <v>0</v>
      </c>
      <c r="CG17" s="95">
        <f t="shared" si="45"/>
        <v>0</v>
      </c>
      <c r="CH17" s="7"/>
      <c r="CI17" s="93">
        <f t="shared" si="46"/>
        <v>0</v>
      </c>
      <c r="CJ17" s="7"/>
      <c r="CK17" s="93">
        <f t="shared" si="47"/>
        <v>0</v>
      </c>
      <c r="CL17" s="7"/>
      <c r="CM17" s="93">
        <f t="shared" si="48"/>
        <v>0</v>
      </c>
      <c r="CN17" s="7"/>
      <c r="CO17" s="93">
        <f t="shared" si="49"/>
        <v>0</v>
      </c>
      <c r="CP17" s="7"/>
      <c r="CQ17" s="93">
        <f t="shared" si="50"/>
        <v>0</v>
      </c>
      <c r="CR17" s="7"/>
      <c r="CS17" s="93">
        <f t="shared" si="51"/>
        <v>0</v>
      </c>
      <c r="CT17" s="7"/>
      <c r="CU17" s="93">
        <f t="shared" si="52"/>
        <v>0</v>
      </c>
      <c r="CV17" s="7"/>
      <c r="CW17" s="93">
        <f t="shared" si="53"/>
        <v>0</v>
      </c>
      <c r="CX17" s="7"/>
      <c r="CY17" s="93">
        <v>0</v>
      </c>
      <c r="CZ17" s="7"/>
      <c r="DA17" s="93">
        <v>0</v>
      </c>
      <c r="DB17" s="7"/>
      <c r="DC17" s="93">
        <v>0</v>
      </c>
      <c r="DD17" s="7"/>
      <c r="DE17" s="93">
        <v>0</v>
      </c>
      <c r="DF17" s="97">
        <f t="shared" si="39"/>
        <v>0</v>
      </c>
      <c r="DG17" s="98">
        <f t="shared" si="54"/>
        <v>0</v>
      </c>
      <c r="DH17" s="79"/>
      <c r="DI17" s="79">
        <v>0</v>
      </c>
      <c r="DJ17" s="154"/>
      <c r="DK17" s="212">
        <f t="shared" si="55"/>
        <v>0</v>
      </c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99">
        <f t="shared" si="56"/>
        <v>0</v>
      </c>
      <c r="EG17" s="99">
        <f t="shared" si="57"/>
        <v>0</v>
      </c>
    </row>
    <row r="18" spans="1:137" ht="20.100000000000001" customHeight="1">
      <c r="A18" s="63">
        <v>13</v>
      </c>
      <c r="B18" s="63" t="s">
        <v>29</v>
      </c>
      <c r="C18" s="63" t="s">
        <v>17</v>
      </c>
      <c r="D18" s="63">
        <f t="shared" si="59"/>
        <v>25</v>
      </c>
      <c r="E18" s="63">
        <v>0.6</v>
      </c>
      <c r="F18" s="63" t="s">
        <v>15</v>
      </c>
      <c r="G18" s="63">
        <v>1090</v>
      </c>
      <c r="H18" s="92">
        <v>1824</v>
      </c>
      <c r="I18" s="93">
        <f t="shared" si="0"/>
        <v>1094.3999999999999</v>
      </c>
      <c r="J18" s="92">
        <v>1464</v>
      </c>
      <c r="K18" s="93">
        <f t="shared" si="0"/>
        <v>878.4</v>
      </c>
      <c r="L18" s="92">
        <v>3360</v>
      </c>
      <c r="M18" s="93">
        <f t="shared" si="2"/>
        <v>2016</v>
      </c>
      <c r="N18" s="92">
        <v>3240</v>
      </c>
      <c r="O18" s="93">
        <f t="shared" si="3"/>
        <v>1944</v>
      </c>
      <c r="P18" s="92">
        <v>660</v>
      </c>
      <c r="Q18" s="93">
        <f t="shared" si="4"/>
        <v>396</v>
      </c>
      <c r="R18" s="92">
        <v>720</v>
      </c>
      <c r="S18" s="93">
        <f t="shared" si="5"/>
        <v>432</v>
      </c>
      <c r="T18" s="92">
        <v>1056</v>
      </c>
      <c r="U18" s="93">
        <f t="shared" si="6"/>
        <v>633.6</v>
      </c>
      <c r="V18" s="92">
        <v>1224</v>
      </c>
      <c r="W18" s="93">
        <f t="shared" si="7"/>
        <v>734.4</v>
      </c>
      <c r="X18" s="92">
        <v>852</v>
      </c>
      <c r="Y18" s="93">
        <f t="shared" si="8"/>
        <v>511.2</v>
      </c>
      <c r="Z18" s="92">
        <v>480</v>
      </c>
      <c r="AA18" s="93">
        <f t="shared" si="9"/>
        <v>288</v>
      </c>
      <c r="AB18" s="92">
        <v>744</v>
      </c>
      <c r="AC18" s="93">
        <f t="shared" si="10"/>
        <v>446.4</v>
      </c>
      <c r="AD18" s="92">
        <v>1608</v>
      </c>
      <c r="AE18" s="93">
        <f t="shared" si="11"/>
        <v>964.8</v>
      </c>
      <c r="AF18" s="94">
        <f t="shared" si="40"/>
        <v>17232</v>
      </c>
      <c r="AG18" s="95">
        <f t="shared" si="41"/>
        <v>10339.199999999999</v>
      </c>
      <c r="AH18" s="92">
        <v>1488</v>
      </c>
      <c r="AI18" s="93">
        <f t="shared" si="13"/>
        <v>892.8</v>
      </c>
      <c r="AJ18" s="92">
        <v>492</v>
      </c>
      <c r="AK18" s="93">
        <f t="shared" si="14"/>
        <v>295.2</v>
      </c>
      <c r="AL18" s="92">
        <v>552</v>
      </c>
      <c r="AM18" s="93">
        <f t="shared" si="15"/>
        <v>331.2</v>
      </c>
      <c r="AN18" s="92">
        <v>600</v>
      </c>
      <c r="AO18" s="93">
        <f t="shared" si="16"/>
        <v>360</v>
      </c>
      <c r="AP18" s="92">
        <v>780</v>
      </c>
      <c r="AQ18" s="93">
        <f t="shared" si="17"/>
        <v>468</v>
      </c>
      <c r="AR18" s="92">
        <v>648</v>
      </c>
      <c r="AS18" s="93">
        <f t="shared" si="18"/>
        <v>388.8</v>
      </c>
      <c r="AT18" s="92">
        <v>564</v>
      </c>
      <c r="AU18" s="93">
        <f t="shared" si="19"/>
        <v>338.4</v>
      </c>
      <c r="AV18" s="92">
        <v>636</v>
      </c>
      <c r="AW18" s="93">
        <f t="shared" si="20"/>
        <v>381.59999999999997</v>
      </c>
      <c r="AX18" s="92">
        <v>600</v>
      </c>
      <c r="AY18" s="93">
        <f t="shared" si="21"/>
        <v>360</v>
      </c>
      <c r="AZ18" s="92">
        <v>876</v>
      </c>
      <c r="BA18" s="93">
        <f t="shared" si="22"/>
        <v>525.6</v>
      </c>
      <c r="BB18" s="92">
        <v>720</v>
      </c>
      <c r="BC18" s="93">
        <f t="shared" si="23"/>
        <v>432</v>
      </c>
      <c r="BD18" s="92">
        <v>576</v>
      </c>
      <c r="BE18" s="93">
        <f t="shared" si="24"/>
        <v>345.59999999999997</v>
      </c>
      <c r="BF18" s="94">
        <f t="shared" si="42"/>
        <v>8532</v>
      </c>
      <c r="BG18" s="95">
        <f t="shared" si="43"/>
        <v>5119.2</v>
      </c>
      <c r="BH18" s="96">
        <v>900</v>
      </c>
      <c r="BI18" s="93">
        <f t="shared" si="26"/>
        <v>540</v>
      </c>
      <c r="BJ18" s="92">
        <v>564</v>
      </c>
      <c r="BK18" s="93">
        <f t="shared" si="27"/>
        <v>338.4</v>
      </c>
      <c r="BL18" s="92">
        <v>744</v>
      </c>
      <c r="BM18" s="93">
        <f t="shared" si="28"/>
        <v>446.4</v>
      </c>
      <c r="BN18" s="92">
        <v>612</v>
      </c>
      <c r="BO18" s="93">
        <f t="shared" si="28"/>
        <v>367.2</v>
      </c>
      <c r="BP18" s="92">
        <v>12</v>
      </c>
      <c r="BQ18" s="93">
        <f t="shared" si="28"/>
        <v>7.1999999999999993</v>
      </c>
      <c r="BR18" s="92">
        <v>336</v>
      </c>
      <c r="BS18" s="93">
        <f t="shared" si="28"/>
        <v>201.6</v>
      </c>
      <c r="BT18" s="92">
        <v>408</v>
      </c>
      <c r="BU18" s="93">
        <f t="shared" si="32"/>
        <v>244.79999999999998</v>
      </c>
      <c r="BV18" s="92">
        <v>336</v>
      </c>
      <c r="BW18" s="93">
        <f t="shared" si="33"/>
        <v>201.6</v>
      </c>
      <c r="BX18" s="92">
        <v>840</v>
      </c>
      <c r="BY18" s="93">
        <f t="shared" si="34"/>
        <v>504</v>
      </c>
      <c r="BZ18" s="92">
        <v>1152</v>
      </c>
      <c r="CA18" s="93">
        <f t="shared" si="35"/>
        <v>691.19999999999993</v>
      </c>
      <c r="CB18" s="92">
        <v>1776</v>
      </c>
      <c r="CC18" s="93">
        <f t="shared" si="36"/>
        <v>1065.5999999999999</v>
      </c>
      <c r="CD18" s="7">
        <v>600</v>
      </c>
      <c r="CE18" s="93">
        <f t="shared" si="37"/>
        <v>360</v>
      </c>
      <c r="CF18" s="94">
        <f t="shared" si="44"/>
        <v>8280</v>
      </c>
      <c r="CG18" s="95">
        <f t="shared" si="45"/>
        <v>4968</v>
      </c>
      <c r="CH18" s="7">
        <v>672</v>
      </c>
      <c r="CI18" s="93">
        <f t="shared" si="46"/>
        <v>403.2</v>
      </c>
      <c r="CJ18" s="7">
        <v>756</v>
      </c>
      <c r="CK18" s="93">
        <f t="shared" si="47"/>
        <v>453.59999999999997</v>
      </c>
      <c r="CL18" s="7">
        <v>540</v>
      </c>
      <c r="CM18" s="93">
        <f t="shared" si="48"/>
        <v>324</v>
      </c>
      <c r="CN18" s="7">
        <v>756</v>
      </c>
      <c r="CO18" s="93">
        <f t="shared" si="49"/>
        <v>453.59999999999997</v>
      </c>
      <c r="CP18" s="7">
        <v>720</v>
      </c>
      <c r="CQ18" s="93">
        <f t="shared" si="50"/>
        <v>432</v>
      </c>
      <c r="CR18" s="7">
        <v>456</v>
      </c>
      <c r="CS18" s="93">
        <f t="shared" si="51"/>
        <v>273.59999999999997</v>
      </c>
      <c r="CT18" s="7">
        <v>648</v>
      </c>
      <c r="CU18" s="93">
        <f t="shared" si="52"/>
        <v>388.8</v>
      </c>
      <c r="CV18" s="7">
        <v>552</v>
      </c>
      <c r="CW18" s="93">
        <f t="shared" si="53"/>
        <v>331.2</v>
      </c>
      <c r="CX18" s="7">
        <v>660</v>
      </c>
      <c r="CY18" s="93">
        <v>396</v>
      </c>
      <c r="CZ18" s="7">
        <v>840</v>
      </c>
      <c r="DA18" s="93">
        <v>504</v>
      </c>
      <c r="DB18" s="7">
        <v>456</v>
      </c>
      <c r="DC18" s="93">
        <v>273.59999999999997</v>
      </c>
      <c r="DD18" s="7">
        <v>516</v>
      </c>
      <c r="DE18" s="93">
        <v>309.59999999999997</v>
      </c>
      <c r="DF18" s="97">
        <f t="shared" si="39"/>
        <v>7572</v>
      </c>
      <c r="DG18" s="98">
        <f t="shared" si="54"/>
        <v>4543.2</v>
      </c>
      <c r="DH18" s="79">
        <v>216</v>
      </c>
      <c r="DI18" s="79">
        <v>129.6</v>
      </c>
      <c r="DJ18" s="154"/>
      <c r="DK18" s="212">
        <f t="shared" si="55"/>
        <v>0</v>
      </c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99">
        <f t="shared" si="56"/>
        <v>216</v>
      </c>
      <c r="EG18" s="99">
        <f t="shared" si="57"/>
        <v>129.6</v>
      </c>
    </row>
    <row r="19" spans="1:137" ht="20.100000000000001" customHeight="1">
      <c r="A19" s="63">
        <v>14</v>
      </c>
      <c r="B19" s="63" t="s">
        <v>30</v>
      </c>
      <c r="C19" s="63" t="s">
        <v>17</v>
      </c>
      <c r="D19" s="63">
        <f t="shared" si="59"/>
        <v>35</v>
      </c>
      <c r="E19" s="63">
        <v>0.6</v>
      </c>
      <c r="F19" s="63" t="s">
        <v>15</v>
      </c>
      <c r="G19" s="63"/>
      <c r="H19" s="7"/>
      <c r="I19" s="93">
        <f t="shared" si="0"/>
        <v>0</v>
      </c>
      <c r="J19" s="7"/>
      <c r="K19" s="93">
        <f t="shared" si="0"/>
        <v>0</v>
      </c>
      <c r="L19" s="7"/>
      <c r="M19" s="93">
        <f t="shared" si="2"/>
        <v>0</v>
      </c>
      <c r="N19" s="7"/>
      <c r="O19" s="93">
        <f t="shared" si="3"/>
        <v>0</v>
      </c>
      <c r="P19" s="7"/>
      <c r="Q19" s="93">
        <f t="shared" si="4"/>
        <v>0</v>
      </c>
      <c r="R19" s="7"/>
      <c r="S19" s="93">
        <f t="shared" si="5"/>
        <v>0</v>
      </c>
      <c r="T19" s="7"/>
      <c r="U19" s="93">
        <f t="shared" si="6"/>
        <v>0</v>
      </c>
      <c r="V19" s="7"/>
      <c r="W19" s="93">
        <f t="shared" si="7"/>
        <v>0</v>
      </c>
      <c r="X19" s="7"/>
      <c r="Y19" s="93">
        <f t="shared" si="8"/>
        <v>0</v>
      </c>
      <c r="Z19" s="7"/>
      <c r="AA19" s="93">
        <f t="shared" si="9"/>
        <v>0</v>
      </c>
      <c r="AB19" s="7"/>
      <c r="AC19" s="93">
        <f t="shared" si="10"/>
        <v>0</v>
      </c>
      <c r="AD19" s="7"/>
      <c r="AE19" s="93">
        <f t="shared" si="11"/>
        <v>0</v>
      </c>
      <c r="AF19" s="94">
        <f t="shared" si="40"/>
        <v>0</v>
      </c>
      <c r="AG19" s="95">
        <f t="shared" si="41"/>
        <v>0</v>
      </c>
      <c r="AH19" s="7"/>
      <c r="AI19" s="93">
        <f t="shared" si="13"/>
        <v>0</v>
      </c>
      <c r="AJ19" s="7"/>
      <c r="AK19" s="93">
        <f t="shared" si="14"/>
        <v>0</v>
      </c>
      <c r="AL19" s="7"/>
      <c r="AM19" s="93">
        <f t="shared" si="15"/>
        <v>0</v>
      </c>
      <c r="AN19" s="7"/>
      <c r="AO19" s="93">
        <f t="shared" si="16"/>
        <v>0</v>
      </c>
      <c r="AP19" s="7"/>
      <c r="AQ19" s="93">
        <f t="shared" si="17"/>
        <v>0</v>
      </c>
      <c r="AR19" s="7"/>
      <c r="AS19" s="93">
        <f t="shared" si="18"/>
        <v>0</v>
      </c>
      <c r="AT19" s="7"/>
      <c r="AU19" s="93">
        <f t="shared" si="19"/>
        <v>0</v>
      </c>
      <c r="AV19" s="7"/>
      <c r="AW19" s="93">
        <f t="shared" si="20"/>
        <v>0</v>
      </c>
      <c r="AX19" s="7"/>
      <c r="AY19" s="93">
        <f t="shared" si="21"/>
        <v>0</v>
      </c>
      <c r="AZ19" s="7"/>
      <c r="BA19" s="93">
        <f t="shared" si="22"/>
        <v>0</v>
      </c>
      <c r="BB19" s="7"/>
      <c r="BC19" s="93">
        <f t="shared" si="23"/>
        <v>0</v>
      </c>
      <c r="BD19" s="7"/>
      <c r="BE19" s="93">
        <f t="shared" si="24"/>
        <v>0</v>
      </c>
      <c r="BF19" s="94">
        <f t="shared" si="42"/>
        <v>0</v>
      </c>
      <c r="BG19" s="95">
        <f t="shared" si="43"/>
        <v>0</v>
      </c>
      <c r="BH19" s="7"/>
      <c r="BI19" s="93">
        <f t="shared" si="26"/>
        <v>0</v>
      </c>
      <c r="BJ19" s="7"/>
      <c r="BK19" s="93">
        <f t="shared" si="27"/>
        <v>0</v>
      </c>
      <c r="BL19" s="7"/>
      <c r="BM19" s="93">
        <f t="shared" si="28"/>
        <v>0</v>
      </c>
      <c r="BN19" s="7"/>
      <c r="BO19" s="93">
        <f t="shared" si="28"/>
        <v>0</v>
      </c>
      <c r="BP19" s="7"/>
      <c r="BQ19" s="93">
        <f t="shared" si="28"/>
        <v>0</v>
      </c>
      <c r="BR19" s="7"/>
      <c r="BS19" s="93">
        <f t="shared" si="28"/>
        <v>0</v>
      </c>
      <c r="BT19" s="7"/>
      <c r="BU19" s="93">
        <f t="shared" si="32"/>
        <v>0</v>
      </c>
      <c r="BV19" s="7"/>
      <c r="BW19" s="93">
        <f t="shared" si="33"/>
        <v>0</v>
      </c>
      <c r="BX19" s="7"/>
      <c r="BY19" s="93">
        <f t="shared" si="34"/>
        <v>0</v>
      </c>
      <c r="BZ19" s="7"/>
      <c r="CA19" s="93">
        <f t="shared" si="35"/>
        <v>0</v>
      </c>
      <c r="CB19" s="7"/>
      <c r="CC19" s="93">
        <f t="shared" si="36"/>
        <v>0</v>
      </c>
      <c r="CD19" s="7"/>
      <c r="CE19" s="93">
        <f t="shared" si="37"/>
        <v>0</v>
      </c>
      <c r="CF19" s="94">
        <f t="shared" si="44"/>
        <v>0</v>
      </c>
      <c r="CG19" s="95">
        <f t="shared" si="45"/>
        <v>0</v>
      </c>
      <c r="CH19" s="7"/>
      <c r="CI19" s="93">
        <f t="shared" si="46"/>
        <v>0</v>
      </c>
      <c r="CJ19" s="7"/>
      <c r="CK19" s="93">
        <f t="shared" si="47"/>
        <v>0</v>
      </c>
      <c r="CL19" s="7"/>
      <c r="CM19" s="93">
        <f t="shared" si="48"/>
        <v>0</v>
      </c>
      <c r="CN19" s="7"/>
      <c r="CO19" s="93">
        <f t="shared" si="49"/>
        <v>0</v>
      </c>
      <c r="CP19" s="7"/>
      <c r="CQ19" s="93">
        <f t="shared" si="50"/>
        <v>0</v>
      </c>
      <c r="CR19" s="7"/>
      <c r="CS19" s="93">
        <f t="shared" si="51"/>
        <v>0</v>
      </c>
      <c r="CT19" s="7"/>
      <c r="CU19" s="93">
        <f t="shared" si="52"/>
        <v>0</v>
      </c>
      <c r="CV19" s="7"/>
      <c r="CW19" s="93">
        <f t="shared" si="53"/>
        <v>0</v>
      </c>
      <c r="CX19" s="7"/>
      <c r="CY19" s="93">
        <v>0</v>
      </c>
      <c r="CZ19" s="7"/>
      <c r="DA19" s="93">
        <v>0</v>
      </c>
      <c r="DB19" s="7"/>
      <c r="DC19" s="93">
        <v>0</v>
      </c>
      <c r="DD19" s="7"/>
      <c r="DE19" s="93">
        <v>0</v>
      </c>
      <c r="DF19" s="97">
        <f t="shared" si="39"/>
        <v>0</v>
      </c>
      <c r="DG19" s="98">
        <f t="shared" si="54"/>
        <v>0</v>
      </c>
      <c r="DH19" s="79"/>
      <c r="DI19" s="79">
        <v>0</v>
      </c>
      <c r="DJ19" s="154"/>
      <c r="DK19" s="212">
        <f t="shared" si="55"/>
        <v>0</v>
      </c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99">
        <f t="shared" si="56"/>
        <v>0</v>
      </c>
      <c r="EG19" s="99">
        <f t="shared" si="57"/>
        <v>0</v>
      </c>
    </row>
    <row r="20" spans="1:137" ht="20.100000000000001" customHeight="1">
      <c r="A20" s="63">
        <v>15</v>
      </c>
      <c r="B20" s="63" t="s">
        <v>31</v>
      </c>
      <c r="C20" s="63" t="s">
        <v>17</v>
      </c>
      <c r="D20" s="63">
        <f t="shared" si="59"/>
        <v>35</v>
      </c>
      <c r="E20" s="63">
        <v>0.35</v>
      </c>
      <c r="F20" s="63" t="s">
        <v>21</v>
      </c>
      <c r="G20" s="63"/>
      <c r="H20" s="7"/>
      <c r="I20" s="93">
        <f t="shared" ref="I20:K81" si="60">H20*$E20</f>
        <v>0</v>
      </c>
      <c r="J20" s="7"/>
      <c r="K20" s="93">
        <f t="shared" si="60"/>
        <v>0</v>
      </c>
      <c r="L20" s="7"/>
      <c r="M20" s="93">
        <f t="shared" si="2"/>
        <v>0</v>
      </c>
      <c r="N20" s="7"/>
      <c r="O20" s="93">
        <f t="shared" si="3"/>
        <v>0</v>
      </c>
      <c r="P20" s="7"/>
      <c r="Q20" s="93">
        <f t="shared" si="4"/>
        <v>0</v>
      </c>
      <c r="R20" s="7"/>
      <c r="S20" s="93">
        <f t="shared" si="5"/>
        <v>0</v>
      </c>
      <c r="T20" s="7"/>
      <c r="U20" s="93">
        <f t="shared" si="6"/>
        <v>0</v>
      </c>
      <c r="V20" s="7"/>
      <c r="W20" s="93">
        <f t="shared" si="7"/>
        <v>0</v>
      </c>
      <c r="X20" s="7"/>
      <c r="Y20" s="93">
        <f t="shared" si="8"/>
        <v>0</v>
      </c>
      <c r="Z20" s="7"/>
      <c r="AA20" s="93">
        <f t="shared" si="9"/>
        <v>0</v>
      </c>
      <c r="AB20" s="7"/>
      <c r="AC20" s="93">
        <f t="shared" si="10"/>
        <v>0</v>
      </c>
      <c r="AD20" s="7"/>
      <c r="AE20" s="93">
        <f t="shared" si="11"/>
        <v>0</v>
      </c>
      <c r="AF20" s="94">
        <f t="shared" si="40"/>
        <v>0</v>
      </c>
      <c r="AG20" s="95">
        <f t="shared" si="41"/>
        <v>0</v>
      </c>
      <c r="AH20" s="7"/>
      <c r="AI20" s="93">
        <f t="shared" si="13"/>
        <v>0</v>
      </c>
      <c r="AJ20" s="7"/>
      <c r="AK20" s="93">
        <f t="shared" si="14"/>
        <v>0</v>
      </c>
      <c r="AL20" s="7"/>
      <c r="AM20" s="93">
        <f t="shared" si="15"/>
        <v>0</v>
      </c>
      <c r="AN20" s="7"/>
      <c r="AO20" s="93">
        <f t="shared" si="16"/>
        <v>0</v>
      </c>
      <c r="AP20" s="7"/>
      <c r="AQ20" s="93">
        <f t="shared" si="17"/>
        <v>0</v>
      </c>
      <c r="AR20" s="7"/>
      <c r="AS20" s="93">
        <f t="shared" si="18"/>
        <v>0</v>
      </c>
      <c r="AT20" s="7"/>
      <c r="AU20" s="93">
        <f t="shared" si="19"/>
        <v>0</v>
      </c>
      <c r="AV20" s="7"/>
      <c r="AW20" s="93">
        <f t="shared" si="20"/>
        <v>0</v>
      </c>
      <c r="AX20" s="7"/>
      <c r="AY20" s="93">
        <f t="shared" si="21"/>
        <v>0</v>
      </c>
      <c r="AZ20" s="7"/>
      <c r="BA20" s="93">
        <f t="shared" si="22"/>
        <v>0</v>
      </c>
      <c r="BB20" s="7"/>
      <c r="BC20" s="93">
        <f t="shared" si="23"/>
        <v>0</v>
      </c>
      <c r="BD20" s="7"/>
      <c r="BE20" s="93">
        <f t="shared" si="24"/>
        <v>0</v>
      </c>
      <c r="BF20" s="94">
        <f t="shared" si="42"/>
        <v>0</v>
      </c>
      <c r="BG20" s="95">
        <f t="shared" si="43"/>
        <v>0</v>
      </c>
      <c r="BH20" s="7"/>
      <c r="BI20" s="93">
        <f t="shared" si="26"/>
        <v>0</v>
      </c>
      <c r="BJ20" s="7"/>
      <c r="BK20" s="93">
        <f t="shared" si="27"/>
        <v>0</v>
      </c>
      <c r="BL20" s="7"/>
      <c r="BM20" s="93">
        <f t="shared" ref="BM20:CA77" si="61">BL20*$E20</f>
        <v>0</v>
      </c>
      <c r="BN20" s="7"/>
      <c r="BO20" s="93">
        <f t="shared" si="61"/>
        <v>0</v>
      </c>
      <c r="BP20" s="7"/>
      <c r="BQ20" s="93">
        <f t="shared" si="61"/>
        <v>0</v>
      </c>
      <c r="BR20" s="7"/>
      <c r="BS20" s="93">
        <f t="shared" si="61"/>
        <v>0</v>
      </c>
      <c r="BT20" s="7"/>
      <c r="BU20" s="93">
        <f t="shared" si="32"/>
        <v>0</v>
      </c>
      <c r="BV20" s="7"/>
      <c r="BW20" s="93">
        <f t="shared" si="33"/>
        <v>0</v>
      </c>
      <c r="BX20" s="7"/>
      <c r="BY20" s="93">
        <f t="shared" si="34"/>
        <v>0</v>
      </c>
      <c r="BZ20" s="7"/>
      <c r="CA20" s="93">
        <f t="shared" si="35"/>
        <v>0</v>
      </c>
      <c r="CB20" s="7"/>
      <c r="CC20" s="93">
        <f t="shared" si="36"/>
        <v>0</v>
      </c>
      <c r="CD20" s="7"/>
      <c r="CE20" s="93">
        <f t="shared" si="37"/>
        <v>0</v>
      </c>
      <c r="CF20" s="94">
        <f t="shared" si="44"/>
        <v>0</v>
      </c>
      <c r="CG20" s="95">
        <f t="shared" si="45"/>
        <v>0</v>
      </c>
      <c r="CH20" s="7"/>
      <c r="CI20" s="93">
        <f t="shared" si="46"/>
        <v>0</v>
      </c>
      <c r="CJ20" s="7"/>
      <c r="CK20" s="93">
        <f t="shared" si="47"/>
        <v>0</v>
      </c>
      <c r="CL20" s="7"/>
      <c r="CM20" s="93">
        <f t="shared" si="48"/>
        <v>0</v>
      </c>
      <c r="CN20" s="7"/>
      <c r="CO20" s="93">
        <f t="shared" si="49"/>
        <v>0</v>
      </c>
      <c r="CP20" s="7"/>
      <c r="CQ20" s="93">
        <f t="shared" si="50"/>
        <v>0</v>
      </c>
      <c r="CR20" s="7"/>
      <c r="CS20" s="93">
        <f t="shared" si="51"/>
        <v>0</v>
      </c>
      <c r="CT20" s="7"/>
      <c r="CU20" s="93">
        <f t="shared" si="52"/>
        <v>0</v>
      </c>
      <c r="CV20" s="7"/>
      <c r="CW20" s="93">
        <f t="shared" si="53"/>
        <v>0</v>
      </c>
      <c r="CX20" s="7"/>
      <c r="CY20" s="93">
        <v>0</v>
      </c>
      <c r="CZ20" s="7"/>
      <c r="DA20" s="93">
        <v>0</v>
      </c>
      <c r="DB20" s="7"/>
      <c r="DC20" s="93">
        <v>0</v>
      </c>
      <c r="DD20" s="7"/>
      <c r="DE20" s="93">
        <v>0</v>
      </c>
      <c r="DF20" s="97">
        <f t="shared" si="39"/>
        <v>0</v>
      </c>
      <c r="DG20" s="98">
        <f t="shared" si="54"/>
        <v>0</v>
      </c>
      <c r="DH20" s="79"/>
      <c r="DI20" s="79">
        <v>0</v>
      </c>
      <c r="DJ20" s="154"/>
      <c r="DK20" s="212">
        <f t="shared" si="55"/>
        <v>0</v>
      </c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99">
        <f t="shared" si="56"/>
        <v>0</v>
      </c>
      <c r="EG20" s="99">
        <f t="shared" si="57"/>
        <v>0</v>
      </c>
    </row>
    <row r="21" spans="1:137" ht="20.100000000000001" customHeight="1">
      <c r="A21" s="63">
        <v>16</v>
      </c>
      <c r="B21" s="63" t="s">
        <v>32</v>
      </c>
      <c r="C21" s="63" t="s">
        <v>17</v>
      </c>
      <c r="D21" s="63">
        <f t="shared" si="59"/>
        <v>35</v>
      </c>
      <c r="E21" s="63">
        <v>0.35</v>
      </c>
      <c r="F21" s="63" t="s">
        <v>21</v>
      </c>
      <c r="G21" s="63"/>
      <c r="H21" s="7"/>
      <c r="I21" s="93">
        <f t="shared" si="60"/>
        <v>0</v>
      </c>
      <c r="J21" s="7"/>
      <c r="K21" s="93">
        <f t="shared" si="60"/>
        <v>0</v>
      </c>
      <c r="L21" s="7"/>
      <c r="M21" s="93">
        <f t="shared" si="2"/>
        <v>0</v>
      </c>
      <c r="N21" s="7"/>
      <c r="O21" s="93">
        <f t="shared" si="3"/>
        <v>0</v>
      </c>
      <c r="P21" s="7"/>
      <c r="Q21" s="93">
        <f t="shared" si="4"/>
        <v>0</v>
      </c>
      <c r="R21" s="7"/>
      <c r="S21" s="93">
        <f t="shared" si="5"/>
        <v>0</v>
      </c>
      <c r="T21" s="7"/>
      <c r="U21" s="93">
        <f t="shared" si="6"/>
        <v>0</v>
      </c>
      <c r="V21" s="7"/>
      <c r="W21" s="93">
        <f t="shared" si="7"/>
        <v>0</v>
      </c>
      <c r="X21" s="7"/>
      <c r="Y21" s="93">
        <f t="shared" si="8"/>
        <v>0</v>
      </c>
      <c r="Z21" s="7"/>
      <c r="AA21" s="93">
        <f t="shared" si="9"/>
        <v>0</v>
      </c>
      <c r="AB21" s="7"/>
      <c r="AC21" s="93">
        <f t="shared" si="10"/>
        <v>0</v>
      </c>
      <c r="AD21" s="7"/>
      <c r="AE21" s="93">
        <f t="shared" si="11"/>
        <v>0</v>
      </c>
      <c r="AF21" s="94">
        <f t="shared" si="40"/>
        <v>0</v>
      </c>
      <c r="AG21" s="95">
        <f t="shared" si="41"/>
        <v>0</v>
      </c>
      <c r="AH21" s="7"/>
      <c r="AI21" s="93">
        <f t="shared" si="13"/>
        <v>0</v>
      </c>
      <c r="AJ21" s="7"/>
      <c r="AK21" s="93">
        <f t="shared" si="14"/>
        <v>0</v>
      </c>
      <c r="AL21" s="7"/>
      <c r="AM21" s="93">
        <f t="shared" si="15"/>
        <v>0</v>
      </c>
      <c r="AN21" s="7"/>
      <c r="AO21" s="93">
        <f t="shared" si="16"/>
        <v>0</v>
      </c>
      <c r="AP21" s="7"/>
      <c r="AQ21" s="93">
        <f t="shared" si="17"/>
        <v>0</v>
      </c>
      <c r="AR21" s="7"/>
      <c r="AS21" s="93">
        <f t="shared" si="18"/>
        <v>0</v>
      </c>
      <c r="AT21" s="7"/>
      <c r="AU21" s="93">
        <f t="shared" si="19"/>
        <v>0</v>
      </c>
      <c r="AV21" s="7"/>
      <c r="AW21" s="93">
        <f t="shared" si="20"/>
        <v>0</v>
      </c>
      <c r="AX21" s="7"/>
      <c r="AY21" s="93">
        <f t="shared" si="21"/>
        <v>0</v>
      </c>
      <c r="AZ21" s="7"/>
      <c r="BA21" s="93">
        <f t="shared" si="22"/>
        <v>0</v>
      </c>
      <c r="BB21" s="7"/>
      <c r="BC21" s="93">
        <f t="shared" si="23"/>
        <v>0</v>
      </c>
      <c r="BD21" s="7"/>
      <c r="BE21" s="93">
        <f t="shared" si="24"/>
        <v>0</v>
      </c>
      <c r="BF21" s="94">
        <f t="shared" si="42"/>
        <v>0</v>
      </c>
      <c r="BG21" s="95">
        <f t="shared" si="43"/>
        <v>0</v>
      </c>
      <c r="BH21" s="7"/>
      <c r="BI21" s="93">
        <f t="shared" si="26"/>
        <v>0</v>
      </c>
      <c r="BJ21" s="7"/>
      <c r="BK21" s="93">
        <f t="shared" si="27"/>
        <v>0</v>
      </c>
      <c r="BL21" s="7"/>
      <c r="BM21" s="93">
        <f t="shared" si="61"/>
        <v>0</v>
      </c>
      <c r="BN21" s="7"/>
      <c r="BO21" s="93">
        <f t="shared" si="61"/>
        <v>0</v>
      </c>
      <c r="BP21" s="7"/>
      <c r="BQ21" s="93">
        <f t="shared" si="61"/>
        <v>0</v>
      </c>
      <c r="BR21" s="7"/>
      <c r="BS21" s="93">
        <f t="shared" si="61"/>
        <v>0</v>
      </c>
      <c r="BT21" s="7"/>
      <c r="BU21" s="93">
        <f t="shared" si="32"/>
        <v>0</v>
      </c>
      <c r="BV21" s="7"/>
      <c r="BW21" s="93">
        <f t="shared" si="33"/>
        <v>0</v>
      </c>
      <c r="BX21" s="7"/>
      <c r="BY21" s="93">
        <f t="shared" si="34"/>
        <v>0</v>
      </c>
      <c r="BZ21" s="7"/>
      <c r="CA21" s="93">
        <f t="shared" si="35"/>
        <v>0</v>
      </c>
      <c r="CB21" s="7"/>
      <c r="CC21" s="93">
        <f t="shared" si="36"/>
        <v>0</v>
      </c>
      <c r="CD21" s="7"/>
      <c r="CE21" s="93">
        <f t="shared" si="37"/>
        <v>0</v>
      </c>
      <c r="CF21" s="94">
        <f t="shared" si="44"/>
        <v>0</v>
      </c>
      <c r="CG21" s="95">
        <f t="shared" si="45"/>
        <v>0</v>
      </c>
      <c r="CH21" s="7"/>
      <c r="CI21" s="93">
        <f t="shared" si="46"/>
        <v>0</v>
      </c>
      <c r="CJ21" s="7"/>
      <c r="CK21" s="93">
        <f t="shared" si="47"/>
        <v>0</v>
      </c>
      <c r="CL21" s="7"/>
      <c r="CM21" s="93">
        <f t="shared" si="48"/>
        <v>0</v>
      </c>
      <c r="CN21" s="7"/>
      <c r="CO21" s="93">
        <f t="shared" si="49"/>
        <v>0</v>
      </c>
      <c r="CP21" s="7"/>
      <c r="CQ21" s="93">
        <f t="shared" si="50"/>
        <v>0</v>
      </c>
      <c r="CR21" s="7"/>
      <c r="CS21" s="93">
        <f t="shared" si="51"/>
        <v>0</v>
      </c>
      <c r="CT21" s="7"/>
      <c r="CU21" s="93">
        <f t="shared" si="52"/>
        <v>0</v>
      </c>
      <c r="CV21" s="7"/>
      <c r="CW21" s="93">
        <f t="shared" si="53"/>
        <v>0</v>
      </c>
      <c r="CX21" s="7"/>
      <c r="CY21" s="93">
        <v>0</v>
      </c>
      <c r="CZ21" s="7"/>
      <c r="DA21" s="93">
        <v>0</v>
      </c>
      <c r="DB21" s="7"/>
      <c r="DC21" s="93">
        <v>0</v>
      </c>
      <c r="DD21" s="7"/>
      <c r="DE21" s="93">
        <v>0</v>
      </c>
      <c r="DF21" s="97">
        <f t="shared" si="39"/>
        <v>0</v>
      </c>
      <c r="DG21" s="98">
        <f t="shared" si="54"/>
        <v>0</v>
      </c>
      <c r="DH21" s="79"/>
      <c r="DI21" s="79">
        <v>0</v>
      </c>
      <c r="DJ21" s="154"/>
      <c r="DK21" s="212">
        <f t="shared" si="55"/>
        <v>0</v>
      </c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99">
        <f t="shared" si="56"/>
        <v>0</v>
      </c>
      <c r="EG21" s="99">
        <f t="shared" si="57"/>
        <v>0</v>
      </c>
    </row>
    <row r="22" spans="1:137" ht="20.100000000000001" customHeight="1">
      <c r="A22" s="63">
        <v>17</v>
      </c>
      <c r="B22" s="63" t="s">
        <v>33</v>
      </c>
      <c r="C22" s="63" t="s">
        <v>14</v>
      </c>
      <c r="D22" s="63">
        <f t="shared" si="59"/>
        <v>4</v>
      </c>
      <c r="E22" s="63">
        <v>0.64</v>
      </c>
      <c r="F22" s="63" t="s">
        <v>25</v>
      </c>
      <c r="G22" s="63">
        <v>1330</v>
      </c>
      <c r="H22" s="92">
        <v>70658</v>
      </c>
      <c r="I22" s="93">
        <f t="shared" si="60"/>
        <v>45221.120000000003</v>
      </c>
      <c r="J22" s="92">
        <v>66416</v>
      </c>
      <c r="K22" s="93">
        <f t="shared" si="60"/>
        <v>42506.239999999998</v>
      </c>
      <c r="L22" s="92">
        <v>74508</v>
      </c>
      <c r="M22" s="93">
        <f t="shared" si="2"/>
        <v>47685.120000000003</v>
      </c>
      <c r="N22" s="92">
        <v>54532</v>
      </c>
      <c r="O22" s="93">
        <f t="shared" si="3"/>
        <v>34900.480000000003</v>
      </c>
      <c r="P22" s="92">
        <v>57792</v>
      </c>
      <c r="Q22" s="93">
        <f t="shared" si="4"/>
        <v>36986.879999999997</v>
      </c>
      <c r="R22" s="92">
        <v>64400</v>
      </c>
      <c r="S22" s="93">
        <f t="shared" si="5"/>
        <v>41216</v>
      </c>
      <c r="T22" s="92">
        <v>60830</v>
      </c>
      <c r="U22" s="93">
        <f t="shared" si="6"/>
        <v>38931.200000000004</v>
      </c>
      <c r="V22" s="92">
        <v>64428</v>
      </c>
      <c r="W22" s="93">
        <f t="shared" si="7"/>
        <v>41233.919999999998</v>
      </c>
      <c r="X22" s="92">
        <v>58705</v>
      </c>
      <c r="Y22" s="93">
        <f t="shared" si="8"/>
        <v>37571.200000000004</v>
      </c>
      <c r="Z22" s="92">
        <v>62384</v>
      </c>
      <c r="AA22" s="93">
        <f t="shared" si="9"/>
        <v>39925.760000000002</v>
      </c>
      <c r="AB22" s="92">
        <v>67326</v>
      </c>
      <c r="AC22" s="93">
        <f t="shared" si="10"/>
        <v>43088.639999999999</v>
      </c>
      <c r="AD22" s="92">
        <v>82770</v>
      </c>
      <c r="AE22" s="93">
        <f t="shared" si="11"/>
        <v>52972.800000000003</v>
      </c>
      <c r="AF22" s="94">
        <f t="shared" si="40"/>
        <v>784749</v>
      </c>
      <c r="AG22" s="95">
        <f t="shared" si="41"/>
        <v>502239.36</v>
      </c>
      <c r="AH22" s="92">
        <v>67662</v>
      </c>
      <c r="AI22" s="93">
        <f t="shared" si="13"/>
        <v>43303.68</v>
      </c>
      <c r="AJ22" s="92">
        <v>58922</v>
      </c>
      <c r="AK22" s="93">
        <f t="shared" si="14"/>
        <v>37710.080000000002</v>
      </c>
      <c r="AL22" s="92">
        <v>61334</v>
      </c>
      <c r="AM22" s="93">
        <f t="shared" si="15"/>
        <v>39253.760000000002</v>
      </c>
      <c r="AN22" s="92">
        <v>59794</v>
      </c>
      <c r="AO22" s="93">
        <f t="shared" si="16"/>
        <v>38268.160000000003</v>
      </c>
      <c r="AP22" s="92">
        <v>45528</v>
      </c>
      <c r="AQ22" s="93">
        <f t="shared" si="17"/>
        <v>29137.920000000002</v>
      </c>
      <c r="AR22" s="92">
        <v>58940</v>
      </c>
      <c r="AS22" s="93">
        <f t="shared" si="18"/>
        <v>37721.599999999999</v>
      </c>
      <c r="AT22" s="92">
        <v>68562</v>
      </c>
      <c r="AU22" s="93">
        <f t="shared" si="19"/>
        <v>43879.68</v>
      </c>
      <c r="AV22" s="92">
        <v>62636</v>
      </c>
      <c r="AW22" s="93">
        <f t="shared" si="20"/>
        <v>40087.040000000001</v>
      </c>
      <c r="AX22" s="92">
        <v>66628</v>
      </c>
      <c r="AY22" s="93">
        <f t="shared" si="21"/>
        <v>42641.919999999998</v>
      </c>
      <c r="AZ22" s="92">
        <v>67270</v>
      </c>
      <c r="BA22" s="93">
        <f t="shared" si="22"/>
        <v>43052.800000000003</v>
      </c>
      <c r="BB22" s="92">
        <v>65856</v>
      </c>
      <c r="BC22" s="93">
        <f t="shared" si="23"/>
        <v>42147.840000000004</v>
      </c>
      <c r="BD22" s="92">
        <v>87710</v>
      </c>
      <c r="BE22" s="93">
        <f t="shared" si="24"/>
        <v>56134.400000000001</v>
      </c>
      <c r="BF22" s="94">
        <f t="shared" si="42"/>
        <v>770842</v>
      </c>
      <c r="BG22" s="95">
        <f t="shared" si="43"/>
        <v>493338.88</v>
      </c>
      <c r="BH22" s="96">
        <v>75935</v>
      </c>
      <c r="BI22" s="93">
        <f t="shared" si="26"/>
        <v>48598.400000000001</v>
      </c>
      <c r="BJ22" s="92">
        <v>64518</v>
      </c>
      <c r="BK22" s="93">
        <f t="shared" si="27"/>
        <v>41291.520000000004</v>
      </c>
      <c r="BL22" s="92">
        <v>69272</v>
      </c>
      <c r="BM22" s="93">
        <f t="shared" si="61"/>
        <v>44334.080000000002</v>
      </c>
      <c r="BN22" s="92">
        <v>59570</v>
      </c>
      <c r="BO22" s="93">
        <f t="shared" si="61"/>
        <v>38124.800000000003</v>
      </c>
      <c r="BP22" s="92">
        <v>65708</v>
      </c>
      <c r="BQ22" s="93">
        <f t="shared" si="61"/>
        <v>42053.120000000003</v>
      </c>
      <c r="BR22" s="92">
        <v>66472</v>
      </c>
      <c r="BS22" s="93">
        <f t="shared" si="61"/>
        <v>42542.080000000002</v>
      </c>
      <c r="BT22" s="92">
        <v>71516</v>
      </c>
      <c r="BU22" s="93">
        <f t="shared" si="32"/>
        <v>45770.239999999998</v>
      </c>
      <c r="BV22" s="92">
        <v>59500</v>
      </c>
      <c r="BW22" s="93">
        <f t="shared" si="33"/>
        <v>38080</v>
      </c>
      <c r="BX22" s="92">
        <v>66640</v>
      </c>
      <c r="BY22" s="93">
        <f t="shared" si="34"/>
        <v>42649.599999999999</v>
      </c>
      <c r="BZ22" s="92">
        <v>76510</v>
      </c>
      <c r="CA22" s="93">
        <f t="shared" si="35"/>
        <v>48966.400000000001</v>
      </c>
      <c r="CB22" s="92">
        <v>66934</v>
      </c>
      <c r="CC22" s="93">
        <f t="shared" si="36"/>
        <v>42837.760000000002</v>
      </c>
      <c r="CD22" s="7">
        <v>79688</v>
      </c>
      <c r="CE22" s="93">
        <f t="shared" si="37"/>
        <v>51000.32</v>
      </c>
      <c r="CF22" s="94">
        <f t="shared" si="44"/>
        <v>822263</v>
      </c>
      <c r="CG22" s="95">
        <f t="shared" si="45"/>
        <v>526248.32000000007</v>
      </c>
      <c r="CH22" s="7">
        <v>78915</v>
      </c>
      <c r="CI22" s="93">
        <f t="shared" si="46"/>
        <v>50505.599999999999</v>
      </c>
      <c r="CJ22" s="7">
        <v>57960</v>
      </c>
      <c r="CK22" s="93">
        <f t="shared" si="47"/>
        <v>37094.400000000001</v>
      </c>
      <c r="CL22" s="7">
        <v>67424</v>
      </c>
      <c r="CM22" s="93">
        <f t="shared" si="48"/>
        <v>43151.360000000001</v>
      </c>
      <c r="CN22" s="7">
        <v>59108</v>
      </c>
      <c r="CO22" s="93">
        <f t="shared" si="49"/>
        <v>37829.120000000003</v>
      </c>
      <c r="CP22" s="7">
        <v>62751</v>
      </c>
      <c r="CQ22" s="93">
        <f t="shared" si="50"/>
        <v>40160.639999999999</v>
      </c>
      <c r="CR22" s="7">
        <v>60505</v>
      </c>
      <c r="CS22" s="93">
        <f t="shared" si="51"/>
        <v>38723.200000000004</v>
      </c>
      <c r="CT22" s="7">
        <v>62881</v>
      </c>
      <c r="CU22" s="93">
        <f t="shared" si="52"/>
        <v>40243.840000000004</v>
      </c>
      <c r="CV22" s="7">
        <v>62132</v>
      </c>
      <c r="CW22" s="93">
        <f t="shared" si="53"/>
        <v>39764.480000000003</v>
      </c>
      <c r="CX22" s="7">
        <v>62320</v>
      </c>
      <c r="CY22" s="93">
        <v>39884.800000000003</v>
      </c>
      <c r="CZ22" s="7">
        <v>61037</v>
      </c>
      <c r="DA22" s="93">
        <v>39063.68</v>
      </c>
      <c r="DB22" s="7">
        <v>68404</v>
      </c>
      <c r="DC22" s="93">
        <v>43778.559999999998</v>
      </c>
      <c r="DD22" s="7">
        <v>62636</v>
      </c>
      <c r="DE22" s="93">
        <v>40087.040000000001</v>
      </c>
      <c r="DF22" s="97">
        <f t="shared" si="39"/>
        <v>766073</v>
      </c>
      <c r="DG22" s="98">
        <f t="shared" si="54"/>
        <v>490286.72000000003</v>
      </c>
      <c r="DH22" s="79">
        <v>58716</v>
      </c>
      <c r="DI22" s="79">
        <v>37578.239999999998</v>
      </c>
      <c r="DJ22" s="154">
        <v>55034</v>
      </c>
      <c r="DK22" s="212">
        <f t="shared" si="55"/>
        <v>35221.760000000002</v>
      </c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99">
        <f t="shared" si="56"/>
        <v>113750</v>
      </c>
      <c r="EG22" s="99">
        <f t="shared" si="57"/>
        <v>72800</v>
      </c>
    </row>
    <row r="23" spans="1:137" ht="20.100000000000001" customHeight="1">
      <c r="A23" s="63">
        <v>18</v>
      </c>
      <c r="B23" s="63" t="s">
        <v>34</v>
      </c>
      <c r="C23" s="63" t="s">
        <v>14</v>
      </c>
      <c r="D23" s="63">
        <f t="shared" si="59"/>
        <v>35</v>
      </c>
      <c r="E23" s="63">
        <v>0.64</v>
      </c>
      <c r="F23" s="63" t="s">
        <v>25</v>
      </c>
      <c r="G23" s="63"/>
      <c r="H23" s="7"/>
      <c r="I23" s="93">
        <f t="shared" si="60"/>
        <v>0</v>
      </c>
      <c r="J23" s="7"/>
      <c r="K23" s="93">
        <f t="shared" si="60"/>
        <v>0</v>
      </c>
      <c r="L23" s="7"/>
      <c r="M23" s="93">
        <f t="shared" si="2"/>
        <v>0</v>
      </c>
      <c r="N23" s="7"/>
      <c r="O23" s="93">
        <f t="shared" si="3"/>
        <v>0</v>
      </c>
      <c r="P23" s="7"/>
      <c r="Q23" s="93">
        <f t="shared" si="4"/>
        <v>0</v>
      </c>
      <c r="R23" s="7"/>
      <c r="S23" s="93">
        <f t="shared" si="5"/>
        <v>0</v>
      </c>
      <c r="T23" s="7"/>
      <c r="U23" s="93">
        <f t="shared" si="6"/>
        <v>0</v>
      </c>
      <c r="V23" s="7"/>
      <c r="W23" s="93">
        <f t="shared" si="7"/>
        <v>0</v>
      </c>
      <c r="X23" s="7"/>
      <c r="Y23" s="93">
        <f t="shared" si="8"/>
        <v>0</v>
      </c>
      <c r="Z23" s="7"/>
      <c r="AA23" s="93">
        <f t="shared" si="9"/>
        <v>0</v>
      </c>
      <c r="AB23" s="7"/>
      <c r="AC23" s="93">
        <f t="shared" si="10"/>
        <v>0</v>
      </c>
      <c r="AD23" s="7"/>
      <c r="AE23" s="93">
        <f t="shared" si="11"/>
        <v>0</v>
      </c>
      <c r="AF23" s="94">
        <f t="shared" si="40"/>
        <v>0</v>
      </c>
      <c r="AG23" s="95">
        <f t="shared" si="41"/>
        <v>0</v>
      </c>
      <c r="AH23" s="7"/>
      <c r="AI23" s="93">
        <f t="shared" si="13"/>
        <v>0</v>
      </c>
      <c r="AJ23" s="7"/>
      <c r="AK23" s="93">
        <f t="shared" si="14"/>
        <v>0</v>
      </c>
      <c r="AL23" s="7"/>
      <c r="AM23" s="93">
        <f t="shared" si="15"/>
        <v>0</v>
      </c>
      <c r="AN23" s="7"/>
      <c r="AO23" s="93">
        <f t="shared" si="16"/>
        <v>0</v>
      </c>
      <c r="AP23" s="7"/>
      <c r="AQ23" s="93">
        <f t="shared" si="17"/>
        <v>0</v>
      </c>
      <c r="AR23" s="7"/>
      <c r="AS23" s="93">
        <f t="shared" si="18"/>
        <v>0</v>
      </c>
      <c r="AT23" s="7"/>
      <c r="AU23" s="93">
        <f t="shared" si="19"/>
        <v>0</v>
      </c>
      <c r="AV23" s="7"/>
      <c r="AW23" s="93">
        <f t="shared" si="20"/>
        <v>0</v>
      </c>
      <c r="AX23" s="7"/>
      <c r="AY23" s="93">
        <f t="shared" si="21"/>
        <v>0</v>
      </c>
      <c r="AZ23" s="7"/>
      <c r="BA23" s="93">
        <f t="shared" si="22"/>
        <v>0</v>
      </c>
      <c r="BB23" s="7"/>
      <c r="BC23" s="93">
        <f t="shared" si="23"/>
        <v>0</v>
      </c>
      <c r="BD23" s="7"/>
      <c r="BE23" s="93">
        <f t="shared" si="24"/>
        <v>0</v>
      </c>
      <c r="BF23" s="94">
        <f t="shared" si="42"/>
        <v>0</v>
      </c>
      <c r="BG23" s="95">
        <f t="shared" si="43"/>
        <v>0</v>
      </c>
      <c r="BH23" s="7"/>
      <c r="BI23" s="93">
        <f t="shared" si="26"/>
        <v>0</v>
      </c>
      <c r="BJ23" s="7"/>
      <c r="BK23" s="93">
        <f t="shared" si="27"/>
        <v>0</v>
      </c>
      <c r="BL23" s="7"/>
      <c r="BM23" s="93">
        <f t="shared" si="61"/>
        <v>0</v>
      </c>
      <c r="BN23" s="7"/>
      <c r="BO23" s="93">
        <f t="shared" si="61"/>
        <v>0</v>
      </c>
      <c r="BP23" s="7"/>
      <c r="BQ23" s="93">
        <f t="shared" si="61"/>
        <v>0</v>
      </c>
      <c r="BR23" s="7"/>
      <c r="BS23" s="93">
        <f t="shared" si="61"/>
        <v>0</v>
      </c>
      <c r="BT23" s="7"/>
      <c r="BU23" s="93">
        <f t="shared" si="32"/>
        <v>0</v>
      </c>
      <c r="BV23" s="7"/>
      <c r="BW23" s="93">
        <f t="shared" si="33"/>
        <v>0</v>
      </c>
      <c r="BX23" s="7"/>
      <c r="BY23" s="93">
        <f t="shared" si="34"/>
        <v>0</v>
      </c>
      <c r="BZ23" s="7"/>
      <c r="CA23" s="93">
        <f t="shared" si="35"/>
        <v>0</v>
      </c>
      <c r="CB23" s="7"/>
      <c r="CC23" s="93">
        <f t="shared" si="36"/>
        <v>0</v>
      </c>
      <c r="CD23" s="7"/>
      <c r="CE23" s="93">
        <f t="shared" si="37"/>
        <v>0</v>
      </c>
      <c r="CF23" s="94">
        <f t="shared" si="44"/>
        <v>0</v>
      </c>
      <c r="CG23" s="95">
        <f t="shared" si="45"/>
        <v>0</v>
      </c>
      <c r="CH23" s="7"/>
      <c r="CI23" s="93">
        <f t="shared" si="46"/>
        <v>0</v>
      </c>
      <c r="CJ23" s="7"/>
      <c r="CK23" s="93">
        <f t="shared" si="47"/>
        <v>0</v>
      </c>
      <c r="CL23" s="7"/>
      <c r="CM23" s="93">
        <f t="shared" si="48"/>
        <v>0</v>
      </c>
      <c r="CN23" s="7"/>
      <c r="CO23" s="93">
        <f t="shared" si="49"/>
        <v>0</v>
      </c>
      <c r="CP23" s="7"/>
      <c r="CQ23" s="93">
        <f t="shared" si="50"/>
        <v>0</v>
      </c>
      <c r="CR23" s="7"/>
      <c r="CS23" s="93">
        <f t="shared" si="51"/>
        <v>0</v>
      </c>
      <c r="CT23" s="7"/>
      <c r="CU23" s="93">
        <f t="shared" si="52"/>
        <v>0</v>
      </c>
      <c r="CV23" s="7"/>
      <c r="CW23" s="93">
        <f t="shared" si="53"/>
        <v>0</v>
      </c>
      <c r="CX23" s="7"/>
      <c r="CY23" s="93">
        <v>0</v>
      </c>
      <c r="CZ23" s="7"/>
      <c r="DA23" s="93">
        <v>0</v>
      </c>
      <c r="DB23" s="7"/>
      <c r="DC23" s="93">
        <v>0</v>
      </c>
      <c r="DD23" s="7"/>
      <c r="DE23" s="93">
        <v>0</v>
      </c>
      <c r="DF23" s="97">
        <f t="shared" si="39"/>
        <v>0</v>
      </c>
      <c r="DG23" s="98">
        <f t="shared" si="54"/>
        <v>0</v>
      </c>
      <c r="DH23" s="79"/>
      <c r="DI23" s="79">
        <v>0</v>
      </c>
      <c r="DJ23" s="154"/>
      <c r="DK23" s="212">
        <f t="shared" si="55"/>
        <v>0</v>
      </c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99">
        <f t="shared" si="56"/>
        <v>0</v>
      </c>
      <c r="EG23" s="99">
        <f t="shared" si="57"/>
        <v>0</v>
      </c>
    </row>
    <row r="24" spans="1:137" ht="20.100000000000001" customHeight="1">
      <c r="A24" s="63">
        <v>19</v>
      </c>
      <c r="B24" s="63" t="s">
        <v>35</v>
      </c>
      <c r="C24" s="63" t="s">
        <v>14</v>
      </c>
      <c r="D24" s="63">
        <f t="shared" si="59"/>
        <v>35</v>
      </c>
      <c r="E24" s="63">
        <v>0.64</v>
      </c>
      <c r="F24" s="63" t="s">
        <v>25</v>
      </c>
      <c r="G24" s="63"/>
      <c r="H24" s="7"/>
      <c r="I24" s="93">
        <f t="shared" si="60"/>
        <v>0</v>
      </c>
      <c r="J24" s="7"/>
      <c r="K24" s="93">
        <f t="shared" si="60"/>
        <v>0</v>
      </c>
      <c r="L24" s="7"/>
      <c r="M24" s="93">
        <f t="shared" si="2"/>
        <v>0</v>
      </c>
      <c r="N24" s="7"/>
      <c r="O24" s="93">
        <f t="shared" si="3"/>
        <v>0</v>
      </c>
      <c r="P24" s="7"/>
      <c r="Q24" s="93">
        <f t="shared" si="4"/>
        <v>0</v>
      </c>
      <c r="R24" s="7"/>
      <c r="S24" s="93">
        <f t="shared" si="5"/>
        <v>0</v>
      </c>
      <c r="T24" s="7"/>
      <c r="U24" s="93">
        <f t="shared" si="6"/>
        <v>0</v>
      </c>
      <c r="V24" s="7"/>
      <c r="W24" s="93">
        <f t="shared" si="7"/>
        <v>0</v>
      </c>
      <c r="X24" s="7"/>
      <c r="Y24" s="93">
        <f t="shared" si="8"/>
        <v>0</v>
      </c>
      <c r="Z24" s="7"/>
      <c r="AA24" s="93">
        <f t="shared" si="9"/>
        <v>0</v>
      </c>
      <c r="AB24" s="7"/>
      <c r="AC24" s="93">
        <f t="shared" si="10"/>
        <v>0</v>
      </c>
      <c r="AD24" s="7"/>
      <c r="AE24" s="93">
        <f t="shared" si="11"/>
        <v>0</v>
      </c>
      <c r="AF24" s="94">
        <f t="shared" si="40"/>
        <v>0</v>
      </c>
      <c r="AG24" s="95">
        <f t="shared" si="41"/>
        <v>0</v>
      </c>
      <c r="AH24" s="7"/>
      <c r="AI24" s="93">
        <f t="shared" si="13"/>
        <v>0</v>
      </c>
      <c r="AJ24" s="7"/>
      <c r="AK24" s="93">
        <f t="shared" si="14"/>
        <v>0</v>
      </c>
      <c r="AL24" s="7"/>
      <c r="AM24" s="93">
        <f t="shared" si="15"/>
        <v>0</v>
      </c>
      <c r="AN24" s="7"/>
      <c r="AO24" s="93">
        <f t="shared" si="16"/>
        <v>0</v>
      </c>
      <c r="AP24" s="7"/>
      <c r="AQ24" s="93">
        <f t="shared" si="17"/>
        <v>0</v>
      </c>
      <c r="AR24" s="7"/>
      <c r="AS24" s="93">
        <f t="shared" si="18"/>
        <v>0</v>
      </c>
      <c r="AT24" s="7"/>
      <c r="AU24" s="93">
        <f t="shared" si="19"/>
        <v>0</v>
      </c>
      <c r="AV24" s="7"/>
      <c r="AW24" s="93">
        <f t="shared" si="20"/>
        <v>0</v>
      </c>
      <c r="AX24" s="7"/>
      <c r="AY24" s="93">
        <f t="shared" si="21"/>
        <v>0</v>
      </c>
      <c r="AZ24" s="7"/>
      <c r="BA24" s="93">
        <f t="shared" si="22"/>
        <v>0</v>
      </c>
      <c r="BB24" s="7"/>
      <c r="BC24" s="93">
        <f t="shared" si="23"/>
        <v>0</v>
      </c>
      <c r="BD24" s="7"/>
      <c r="BE24" s="93">
        <f t="shared" si="24"/>
        <v>0</v>
      </c>
      <c r="BF24" s="94">
        <f t="shared" si="42"/>
        <v>0</v>
      </c>
      <c r="BG24" s="95">
        <f t="shared" si="43"/>
        <v>0</v>
      </c>
      <c r="BH24" s="7"/>
      <c r="BI24" s="93">
        <f t="shared" si="26"/>
        <v>0</v>
      </c>
      <c r="BJ24" s="7"/>
      <c r="BK24" s="93">
        <f t="shared" si="27"/>
        <v>0</v>
      </c>
      <c r="BL24" s="7"/>
      <c r="BM24" s="93">
        <f t="shared" si="61"/>
        <v>0</v>
      </c>
      <c r="BN24" s="7"/>
      <c r="BO24" s="93">
        <f t="shared" si="61"/>
        <v>0</v>
      </c>
      <c r="BP24" s="7"/>
      <c r="BQ24" s="93">
        <f t="shared" si="61"/>
        <v>0</v>
      </c>
      <c r="BR24" s="7"/>
      <c r="BS24" s="93">
        <f t="shared" si="61"/>
        <v>0</v>
      </c>
      <c r="BT24" s="7"/>
      <c r="BU24" s="93">
        <f t="shared" si="32"/>
        <v>0</v>
      </c>
      <c r="BV24" s="7"/>
      <c r="BW24" s="93">
        <f t="shared" si="33"/>
        <v>0</v>
      </c>
      <c r="BX24" s="7"/>
      <c r="BY24" s="93">
        <f t="shared" si="34"/>
        <v>0</v>
      </c>
      <c r="BZ24" s="7"/>
      <c r="CA24" s="93">
        <f t="shared" si="35"/>
        <v>0</v>
      </c>
      <c r="CB24" s="7"/>
      <c r="CC24" s="93">
        <f t="shared" si="36"/>
        <v>0</v>
      </c>
      <c r="CD24" s="7"/>
      <c r="CE24" s="93">
        <f t="shared" si="37"/>
        <v>0</v>
      </c>
      <c r="CF24" s="94">
        <f t="shared" si="44"/>
        <v>0</v>
      </c>
      <c r="CG24" s="95">
        <f t="shared" si="45"/>
        <v>0</v>
      </c>
      <c r="CH24" s="7"/>
      <c r="CI24" s="93">
        <f t="shared" si="46"/>
        <v>0</v>
      </c>
      <c r="CJ24" s="7"/>
      <c r="CK24" s="93">
        <f t="shared" si="47"/>
        <v>0</v>
      </c>
      <c r="CL24" s="7"/>
      <c r="CM24" s="93">
        <f t="shared" si="48"/>
        <v>0</v>
      </c>
      <c r="CN24" s="7"/>
      <c r="CO24" s="93">
        <f t="shared" si="49"/>
        <v>0</v>
      </c>
      <c r="CP24" s="7"/>
      <c r="CQ24" s="93">
        <f t="shared" si="50"/>
        <v>0</v>
      </c>
      <c r="CR24" s="7"/>
      <c r="CS24" s="93">
        <f t="shared" si="51"/>
        <v>0</v>
      </c>
      <c r="CT24" s="7"/>
      <c r="CU24" s="93">
        <f t="shared" si="52"/>
        <v>0</v>
      </c>
      <c r="CV24" s="7"/>
      <c r="CW24" s="93">
        <f t="shared" si="53"/>
        <v>0</v>
      </c>
      <c r="CX24" s="7"/>
      <c r="CY24" s="93">
        <v>0</v>
      </c>
      <c r="CZ24" s="7"/>
      <c r="DA24" s="93">
        <v>0</v>
      </c>
      <c r="DB24" s="7"/>
      <c r="DC24" s="93">
        <v>0</v>
      </c>
      <c r="DD24" s="7"/>
      <c r="DE24" s="93">
        <v>0</v>
      </c>
      <c r="DF24" s="97">
        <f t="shared" si="39"/>
        <v>0</v>
      </c>
      <c r="DG24" s="98">
        <f t="shared" si="54"/>
        <v>0</v>
      </c>
      <c r="DH24" s="79"/>
      <c r="DI24" s="79">
        <v>0</v>
      </c>
      <c r="DJ24" s="154"/>
      <c r="DK24" s="212">
        <f t="shared" si="55"/>
        <v>0</v>
      </c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99">
        <f t="shared" si="56"/>
        <v>0</v>
      </c>
      <c r="EG24" s="99">
        <f t="shared" si="57"/>
        <v>0</v>
      </c>
    </row>
    <row r="25" spans="1:137" ht="20.100000000000001" customHeight="1">
      <c r="A25" s="63"/>
      <c r="B25" s="63"/>
      <c r="C25" s="63"/>
      <c r="D25" s="63"/>
      <c r="E25" s="63"/>
      <c r="F25" s="63"/>
      <c r="G25" s="63"/>
      <c r="H25" s="7"/>
      <c r="I25" s="93">
        <f t="shared" si="60"/>
        <v>0</v>
      </c>
      <c r="J25" s="7"/>
      <c r="K25" s="93">
        <f t="shared" si="60"/>
        <v>0</v>
      </c>
      <c r="L25" s="7"/>
      <c r="M25" s="93">
        <f t="shared" si="2"/>
        <v>0</v>
      </c>
      <c r="N25" s="7"/>
      <c r="O25" s="93">
        <f t="shared" si="3"/>
        <v>0</v>
      </c>
      <c r="P25" s="7"/>
      <c r="Q25" s="93">
        <f t="shared" si="4"/>
        <v>0</v>
      </c>
      <c r="R25" s="7"/>
      <c r="S25" s="93">
        <f t="shared" si="5"/>
        <v>0</v>
      </c>
      <c r="T25" s="7"/>
      <c r="U25" s="93">
        <f t="shared" si="6"/>
        <v>0</v>
      </c>
      <c r="V25" s="7"/>
      <c r="W25" s="93">
        <f t="shared" si="7"/>
        <v>0</v>
      </c>
      <c r="X25" s="7"/>
      <c r="Y25" s="93">
        <f t="shared" si="8"/>
        <v>0</v>
      </c>
      <c r="Z25" s="7"/>
      <c r="AA25" s="93">
        <f t="shared" si="9"/>
        <v>0</v>
      </c>
      <c r="AB25" s="7"/>
      <c r="AC25" s="93">
        <f t="shared" si="10"/>
        <v>0</v>
      </c>
      <c r="AD25" s="7"/>
      <c r="AE25" s="93">
        <f t="shared" si="11"/>
        <v>0</v>
      </c>
      <c r="AF25" s="94">
        <f t="shared" si="40"/>
        <v>0</v>
      </c>
      <c r="AG25" s="95">
        <f t="shared" si="41"/>
        <v>0</v>
      </c>
      <c r="AH25" s="7"/>
      <c r="AI25" s="93">
        <f t="shared" si="13"/>
        <v>0</v>
      </c>
      <c r="AJ25" s="7"/>
      <c r="AK25" s="93">
        <f t="shared" si="14"/>
        <v>0</v>
      </c>
      <c r="AL25" s="7"/>
      <c r="AM25" s="93">
        <f t="shared" si="15"/>
        <v>0</v>
      </c>
      <c r="AN25" s="7"/>
      <c r="AO25" s="93">
        <f t="shared" si="16"/>
        <v>0</v>
      </c>
      <c r="AP25" s="7"/>
      <c r="AQ25" s="93">
        <f t="shared" si="17"/>
        <v>0</v>
      </c>
      <c r="AR25" s="7"/>
      <c r="AS25" s="93">
        <f t="shared" si="18"/>
        <v>0</v>
      </c>
      <c r="AT25" s="7"/>
      <c r="AU25" s="93">
        <f t="shared" si="19"/>
        <v>0</v>
      </c>
      <c r="AV25" s="7"/>
      <c r="AW25" s="93">
        <f t="shared" si="20"/>
        <v>0</v>
      </c>
      <c r="AX25" s="7"/>
      <c r="AY25" s="93">
        <f t="shared" si="21"/>
        <v>0</v>
      </c>
      <c r="AZ25" s="7"/>
      <c r="BA25" s="93">
        <f t="shared" si="22"/>
        <v>0</v>
      </c>
      <c r="BB25" s="7"/>
      <c r="BC25" s="93">
        <f t="shared" si="23"/>
        <v>0</v>
      </c>
      <c r="BD25" s="7"/>
      <c r="BE25" s="93">
        <f t="shared" si="24"/>
        <v>0</v>
      </c>
      <c r="BF25" s="94">
        <f t="shared" si="42"/>
        <v>0</v>
      </c>
      <c r="BG25" s="95">
        <f t="shared" si="43"/>
        <v>0</v>
      </c>
      <c r="BH25" s="7"/>
      <c r="BI25" s="93">
        <f t="shared" si="26"/>
        <v>0</v>
      </c>
      <c r="BJ25" s="7"/>
      <c r="BK25" s="93">
        <f t="shared" si="27"/>
        <v>0</v>
      </c>
      <c r="BL25" s="7"/>
      <c r="BM25" s="93">
        <f t="shared" si="61"/>
        <v>0</v>
      </c>
      <c r="BN25" s="7"/>
      <c r="BO25" s="93">
        <f t="shared" si="61"/>
        <v>0</v>
      </c>
      <c r="BP25" s="7"/>
      <c r="BQ25" s="93">
        <f t="shared" si="61"/>
        <v>0</v>
      </c>
      <c r="BR25" s="7"/>
      <c r="BS25" s="93">
        <f t="shared" si="61"/>
        <v>0</v>
      </c>
      <c r="BT25" s="7"/>
      <c r="BU25" s="93">
        <f t="shared" si="32"/>
        <v>0</v>
      </c>
      <c r="BV25" s="7"/>
      <c r="BW25" s="93">
        <f t="shared" si="33"/>
        <v>0</v>
      </c>
      <c r="BX25" s="7"/>
      <c r="BY25" s="93">
        <f t="shared" si="34"/>
        <v>0</v>
      </c>
      <c r="BZ25" s="7"/>
      <c r="CA25" s="93">
        <f t="shared" si="35"/>
        <v>0</v>
      </c>
      <c r="CB25" s="7"/>
      <c r="CC25" s="93">
        <f t="shared" si="36"/>
        <v>0</v>
      </c>
      <c r="CD25" s="7"/>
      <c r="CE25" s="93">
        <f t="shared" si="37"/>
        <v>0</v>
      </c>
      <c r="CF25" s="94">
        <f t="shared" si="44"/>
        <v>0</v>
      </c>
      <c r="CG25" s="95">
        <f t="shared" si="45"/>
        <v>0</v>
      </c>
      <c r="CH25" s="7"/>
      <c r="CI25" s="93">
        <f t="shared" si="46"/>
        <v>0</v>
      </c>
      <c r="CJ25" s="7"/>
      <c r="CK25" s="93">
        <f t="shared" si="47"/>
        <v>0</v>
      </c>
      <c r="CL25" s="7"/>
      <c r="CM25" s="93">
        <f t="shared" si="48"/>
        <v>0</v>
      </c>
      <c r="CN25" s="7"/>
      <c r="CO25" s="93">
        <f t="shared" si="49"/>
        <v>0</v>
      </c>
      <c r="CP25" s="7"/>
      <c r="CQ25" s="93">
        <f t="shared" si="50"/>
        <v>0</v>
      </c>
      <c r="CR25" s="7"/>
      <c r="CS25" s="93">
        <f t="shared" si="51"/>
        <v>0</v>
      </c>
      <c r="CT25" s="7"/>
      <c r="CU25" s="93">
        <f t="shared" si="52"/>
        <v>0</v>
      </c>
      <c r="CV25" s="7"/>
      <c r="CW25" s="93">
        <f t="shared" si="53"/>
        <v>0</v>
      </c>
      <c r="CX25" s="7"/>
      <c r="CY25" s="93">
        <v>0</v>
      </c>
      <c r="CZ25" s="7"/>
      <c r="DA25" s="93">
        <v>0</v>
      </c>
      <c r="DB25" s="7"/>
      <c r="DC25" s="93">
        <v>0</v>
      </c>
      <c r="DD25" s="7"/>
      <c r="DE25" s="93">
        <v>0</v>
      </c>
      <c r="DF25" s="97">
        <f t="shared" si="39"/>
        <v>0</v>
      </c>
      <c r="DG25" s="98">
        <f t="shared" si="54"/>
        <v>0</v>
      </c>
      <c r="DH25" s="79"/>
      <c r="DI25" s="79">
        <v>0</v>
      </c>
      <c r="DJ25" s="154"/>
      <c r="DK25" s="212">
        <f t="shared" si="55"/>
        <v>0</v>
      </c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99">
        <f t="shared" si="56"/>
        <v>0</v>
      </c>
      <c r="EG25" s="99">
        <f t="shared" si="57"/>
        <v>0</v>
      </c>
    </row>
    <row r="26" spans="1:137" ht="20.100000000000001" customHeight="1">
      <c r="A26" s="63">
        <v>20</v>
      </c>
      <c r="B26" s="63" t="s">
        <v>36</v>
      </c>
      <c r="C26" s="63" t="s">
        <v>17</v>
      </c>
      <c r="D26" s="63">
        <f>RANK(DF26,$DF$4:$DF$144)</f>
        <v>19</v>
      </c>
      <c r="E26" s="63">
        <v>1</v>
      </c>
      <c r="F26" s="63" t="s">
        <v>15</v>
      </c>
      <c r="G26" s="63">
        <v>2100</v>
      </c>
      <c r="H26" s="7"/>
      <c r="I26" s="93">
        <f t="shared" si="60"/>
        <v>0</v>
      </c>
      <c r="J26" s="7"/>
      <c r="K26" s="93">
        <f t="shared" si="60"/>
        <v>0</v>
      </c>
      <c r="L26" s="7"/>
      <c r="M26" s="93">
        <f t="shared" si="2"/>
        <v>0</v>
      </c>
      <c r="N26" s="7"/>
      <c r="O26" s="93">
        <f t="shared" si="3"/>
        <v>0</v>
      </c>
      <c r="P26" s="7"/>
      <c r="Q26" s="93">
        <f t="shared" si="4"/>
        <v>0</v>
      </c>
      <c r="R26" s="7"/>
      <c r="S26" s="93">
        <f t="shared" si="5"/>
        <v>0</v>
      </c>
      <c r="T26" s="7"/>
      <c r="U26" s="93">
        <f t="shared" si="6"/>
        <v>0</v>
      </c>
      <c r="V26" s="7"/>
      <c r="W26" s="93">
        <f t="shared" si="7"/>
        <v>0</v>
      </c>
      <c r="X26" s="7"/>
      <c r="Y26" s="93">
        <f t="shared" si="8"/>
        <v>0</v>
      </c>
      <c r="Z26" s="7"/>
      <c r="AA26" s="93">
        <f t="shared" si="9"/>
        <v>0</v>
      </c>
      <c r="AB26" s="7"/>
      <c r="AC26" s="93">
        <f t="shared" si="10"/>
        <v>0</v>
      </c>
      <c r="AD26" s="7"/>
      <c r="AE26" s="93">
        <f t="shared" si="11"/>
        <v>0</v>
      </c>
      <c r="AF26" s="94">
        <f t="shared" si="40"/>
        <v>0</v>
      </c>
      <c r="AG26" s="95">
        <f t="shared" si="41"/>
        <v>0</v>
      </c>
      <c r="AH26" s="7"/>
      <c r="AI26" s="93">
        <f t="shared" si="13"/>
        <v>0</v>
      </c>
      <c r="AJ26" s="7"/>
      <c r="AK26" s="93">
        <f t="shared" si="14"/>
        <v>0</v>
      </c>
      <c r="AL26" s="7"/>
      <c r="AM26" s="93">
        <f t="shared" si="15"/>
        <v>0</v>
      </c>
      <c r="AN26" s="7"/>
      <c r="AO26" s="93">
        <f t="shared" si="16"/>
        <v>0</v>
      </c>
      <c r="AP26" s="7"/>
      <c r="AQ26" s="93">
        <f t="shared" si="17"/>
        <v>0</v>
      </c>
      <c r="AR26" s="7"/>
      <c r="AS26" s="93">
        <f t="shared" si="18"/>
        <v>0</v>
      </c>
      <c r="AT26" s="7"/>
      <c r="AU26" s="93">
        <f t="shared" si="19"/>
        <v>0</v>
      </c>
      <c r="AV26" s="7"/>
      <c r="AW26" s="93">
        <f t="shared" si="20"/>
        <v>0</v>
      </c>
      <c r="AX26" s="7"/>
      <c r="AY26" s="93">
        <f t="shared" si="21"/>
        <v>0</v>
      </c>
      <c r="AZ26" s="7"/>
      <c r="BA26" s="93">
        <f t="shared" si="22"/>
        <v>0</v>
      </c>
      <c r="BB26" s="7"/>
      <c r="BC26" s="93">
        <f t="shared" si="23"/>
        <v>0</v>
      </c>
      <c r="BD26" s="7"/>
      <c r="BE26" s="93">
        <f t="shared" si="24"/>
        <v>0</v>
      </c>
      <c r="BF26" s="94">
        <f t="shared" si="42"/>
        <v>0</v>
      </c>
      <c r="BG26" s="95">
        <f t="shared" si="43"/>
        <v>0</v>
      </c>
      <c r="BH26" s="7"/>
      <c r="BI26" s="93">
        <f t="shared" si="26"/>
        <v>0</v>
      </c>
      <c r="BJ26" s="7"/>
      <c r="BK26" s="93">
        <f t="shared" si="27"/>
        <v>0</v>
      </c>
      <c r="BL26" s="7"/>
      <c r="BM26" s="93">
        <f t="shared" si="61"/>
        <v>0</v>
      </c>
      <c r="BN26" s="7"/>
      <c r="BO26" s="93">
        <f t="shared" si="61"/>
        <v>0</v>
      </c>
      <c r="BP26" s="7"/>
      <c r="BQ26" s="93">
        <f t="shared" si="61"/>
        <v>0</v>
      </c>
      <c r="BR26" s="7"/>
      <c r="BS26" s="93">
        <f t="shared" si="61"/>
        <v>0</v>
      </c>
      <c r="BT26" s="7"/>
      <c r="BU26" s="93">
        <f t="shared" si="32"/>
        <v>0</v>
      </c>
      <c r="BV26" s="7"/>
      <c r="BW26" s="93">
        <f t="shared" si="33"/>
        <v>0</v>
      </c>
      <c r="BX26" s="7"/>
      <c r="BY26" s="93">
        <f t="shared" si="34"/>
        <v>0</v>
      </c>
      <c r="BZ26" s="7"/>
      <c r="CA26" s="93">
        <f t="shared" si="35"/>
        <v>0</v>
      </c>
      <c r="CB26" s="7"/>
      <c r="CC26" s="93">
        <f t="shared" si="36"/>
        <v>0</v>
      </c>
      <c r="CD26" s="7"/>
      <c r="CE26" s="93">
        <f t="shared" si="37"/>
        <v>0</v>
      </c>
      <c r="CF26" s="94">
        <f t="shared" si="44"/>
        <v>0</v>
      </c>
      <c r="CG26" s="95">
        <f t="shared" si="45"/>
        <v>0</v>
      </c>
      <c r="CH26" s="7"/>
      <c r="CI26" s="93">
        <f t="shared" si="46"/>
        <v>0</v>
      </c>
      <c r="CJ26" s="7"/>
      <c r="CK26" s="93">
        <f t="shared" si="47"/>
        <v>0</v>
      </c>
      <c r="CL26" s="7">
        <v>16608</v>
      </c>
      <c r="CM26" s="93">
        <f t="shared" si="48"/>
        <v>16608</v>
      </c>
      <c r="CN26" s="7">
        <v>6468</v>
      </c>
      <c r="CO26" s="93">
        <f t="shared" si="49"/>
        <v>6468</v>
      </c>
      <c r="CP26" s="7">
        <v>8040</v>
      </c>
      <c r="CQ26" s="93">
        <f t="shared" si="50"/>
        <v>8040</v>
      </c>
      <c r="CR26" s="7">
        <v>1188</v>
      </c>
      <c r="CS26" s="93">
        <f t="shared" si="51"/>
        <v>1188</v>
      </c>
      <c r="CT26" s="7">
        <v>1740</v>
      </c>
      <c r="CU26" s="93">
        <f t="shared" si="52"/>
        <v>1740</v>
      </c>
      <c r="CV26" s="7">
        <v>1872</v>
      </c>
      <c r="CW26" s="93">
        <f t="shared" si="53"/>
        <v>1872</v>
      </c>
      <c r="CX26" s="7">
        <v>348</v>
      </c>
      <c r="CY26" s="93">
        <v>348</v>
      </c>
      <c r="CZ26" s="7">
        <v>1704</v>
      </c>
      <c r="DA26" s="93">
        <v>1704</v>
      </c>
      <c r="DB26" s="7">
        <v>3192</v>
      </c>
      <c r="DC26" s="93">
        <v>3192</v>
      </c>
      <c r="DD26" s="7">
        <v>420</v>
      </c>
      <c r="DE26" s="93">
        <v>420</v>
      </c>
      <c r="DF26" s="97">
        <f t="shared" si="39"/>
        <v>41580</v>
      </c>
      <c r="DG26" s="98">
        <f t="shared" si="54"/>
        <v>41580</v>
      </c>
      <c r="DH26" s="79">
        <v>1356</v>
      </c>
      <c r="DI26" s="79">
        <v>1356</v>
      </c>
      <c r="DJ26" s="154">
        <v>1032</v>
      </c>
      <c r="DK26" s="212">
        <f t="shared" si="55"/>
        <v>1032</v>
      </c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99">
        <f t="shared" si="56"/>
        <v>2388</v>
      </c>
      <c r="EG26" s="99">
        <f t="shared" si="57"/>
        <v>2388</v>
      </c>
    </row>
    <row r="27" spans="1:137" ht="20.100000000000001" customHeight="1">
      <c r="A27" s="63">
        <v>21</v>
      </c>
      <c r="B27" s="63" t="s">
        <v>37</v>
      </c>
      <c r="C27" s="63" t="s">
        <v>17</v>
      </c>
      <c r="D27" s="63">
        <f>RANK(DF27,$DF$4:$DF$144)</f>
        <v>35</v>
      </c>
      <c r="E27" s="63">
        <v>0.6</v>
      </c>
      <c r="F27" s="63" t="s">
        <v>38</v>
      </c>
      <c r="G27" s="63"/>
      <c r="H27" s="7"/>
      <c r="I27" s="93">
        <f t="shared" si="60"/>
        <v>0</v>
      </c>
      <c r="J27" s="7"/>
      <c r="K27" s="93">
        <f t="shared" si="60"/>
        <v>0</v>
      </c>
      <c r="L27" s="7"/>
      <c r="M27" s="93">
        <f t="shared" si="2"/>
        <v>0</v>
      </c>
      <c r="N27" s="7"/>
      <c r="O27" s="93">
        <f t="shared" si="3"/>
        <v>0</v>
      </c>
      <c r="P27" s="7"/>
      <c r="Q27" s="93">
        <f t="shared" si="4"/>
        <v>0</v>
      </c>
      <c r="R27" s="7"/>
      <c r="S27" s="93">
        <f t="shared" si="5"/>
        <v>0</v>
      </c>
      <c r="T27" s="7"/>
      <c r="U27" s="93">
        <f t="shared" si="6"/>
        <v>0</v>
      </c>
      <c r="V27" s="7"/>
      <c r="W27" s="93">
        <f t="shared" si="7"/>
        <v>0</v>
      </c>
      <c r="X27" s="7"/>
      <c r="Y27" s="93">
        <f t="shared" si="8"/>
        <v>0</v>
      </c>
      <c r="Z27" s="7"/>
      <c r="AA27" s="93">
        <f t="shared" si="9"/>
        <v>0</v>
      </c>
      <c r="AB27" s="7"/>
      <c r="AC27" s="93">
        <f t="shared" si="10"/>
        <v>0</v>
      </c>
      <c r="AD27" s="7"/>
      <c r="AE27" s="93">
        <f t="shared" si="11"/>
        <v>0</v>
      </c>
      <c r="AF27" s="94">
        <f t="shared" si="40"/>
        <v>0</v>
      </c>
      <c r="AG27" s="95">
        <f t="shared" si="41"/>
        <v>0</v>
      </c>
      <c r="AH27" s="7"/>
      <c r="AI27" s="93">
        <f t="shared" si="13"/>
        <v>0</v>
      </c>
      <c r="AJ27" s="7"/>
      <c r="AK27" s="93">
        <f t="shared" si="14"/>
        <v>0</v>
      </c>
      <c r="AL27" s="7"/>
      <c r="AM27" s="93">
        <f t="shared" si="15"/>
        <v>0</v>
      </c>
      <c r="AN27" s="7"/>
      <c r="AO27" s="93">
        <f t="shared" si="16"/>
        <v>0</v>
      </c>
      <c r="AP27" s="7"/>
      <c r="AQ27" s="93">
        <f t="shared" si="17"/>
        <v>0</v>
      </c>
      <c r="AR27" s="7"/>
      <c r="AS27" s="93">
        <f t="shared" si="18"/>
        <v>0</v>
      </c>
      <c r="AT27" s="7"/>
      <c r="AU27" s="93">
        <f t="shared" si="19"/>
        <v>0</v>
      </c>
      <c r="AV27" s="7"/>
      <c r="AW27" s="93">
        <f t="shared" si="20"/>
        <v>0</v>
      </c>
      <c r="AX27" s="7"/>
      <c r="AY27" s="93">
        <f t="shared" si="21"/>
        <v>0</v>
      </c>
      <c r="AZ27" s="7"/>
      <c r="BA27" s="93">
        <f t="shared" si="22"/>
        <v>0</v>
      </c>
      <c r="BB27" s="7"/>
      <c r="BC27" s="93">
        <f t="shared" si="23"/>
        <v>0</v>
      </c>
      <c r="BD27" s="7"/>
      <c r="BE27" s="93">
        <f t="shared" si="24"/>
        <v>0</v>
      </c>
      <c r="BF27" s="94">
        <f t="shared" si="42"/>
        <v>0</v>
      </c>
      <c r="BG27" s="95">
        <f t="shared" si="43"/>
        <v>0</v>
      </c>
      <c r="BH27" s="7"/>
      <c r="BI27" s="93">
        <f t="shared" si="26"/>
        <v>0</v>
      </c>
      <c r="BJ27" s="7"/>
      <c r="BK27" s="93">
        <f t="shared" si="27"/>
        <v>0</v>
      </c>
      <c r="BL27" s="7"/>
      <c r="BM27" s="93">
        <f t="shared" si="61"/>
        <v>0</v>
      </c>
      <c r="BN27" s="7"/>
      <c r="BO27" s="93">
        <f t="shared" si="61"/>
        <v>0</v>
      </c>
      <c r="BP27" s="7"/>
      <c r="BQ27" s="93">
        <f t="shared" si="61"/>
        <v>0</v>
      </c>
      <c r="BR27" s="7"/>
      <c r="BS27" s="93">
        <f t="shared" si="61"/>
        <v>0</v>
      </c>
      <c r="BT27" s="7"/>
      <c r="BU27" s="93">
        <f t="shared" si="32"/>
        <v>0</v>
      </c>
      <c r="BV27" s="7"/>
      <c r="BW27" s="93">
        <f t="shared" si="33"/>
        <v>0</v>
      </c>
      <c r="BX27" s="7"/>
      <c r="BY27" s="93">
        <f t="shared" si="34"/>
        <v>0</v>
      </c>
      <c r="BZ27" s="7"/>
      <c r="CA27" s="93">
        <f t="shared" si="35"/>
        <v>0</v>
      </c>
      <c r="CB27" s="7"/>
      <c r="CC27" s="93">
        <f t="shared" si="36"/>
        <v>0</v>
      </c>
      <c r="CD27" s="7"/>
      <c r="CE27" s="93">
        <f t="shared" si="37"/>
        <v>0</v>
      </c>
      <c r="CF27" s="94">
        <f t="shared" si="44"/>
        <v>0</v>
      </c>
      <c r="CG27" s="95">
        <f t="shared" si="45"/>
        <v>0</v>
      </c>
      <c r="CH27" s="7"/>
      <c r="CI27" s="93">
        <f t="shared" si="46"/>
        <v>0</v>
      </c>
      <c r="CJ27" s="7"/>
      <c r="CK27" s="93">
        <f t="shared" si="47"/>
        <v>0</v>
      </c>
      <c r="CL27" s="7"/>
      <c r="CM27" s="93">
        <f t="shared" si="48"/>
        <v>0</v>
      </c>
      <c r="CN27" s="7"/>
      <c r="CO27" s="93">
        <f t="shared" si="49"/>
        <v>0</v>
      </c>
      <c r="CP27" s="7"/>
      <c r="CQ27" s="93">
        <f t="shared" si="50"/>
        <v>0</v>
      </c>
      <c r="CR27" s="7"/>
      <c r="CS27" s="93">
        <f t="shared" si="51"/>
        <v>0</v>
      </c>
      <c r="CT27" s="7"/>
      <c r="CU27" s="93">
        <f t="shared" si="52"/>
        <v>0</v>
      </c>
      <c r="CV27" s="7"/>
      <c r="CW27" s="93">
        <f t="shared" si="53"/>
        <v>0</v>
      </c>
      <c r="CX27" s="7"/>
      <c r="CY27" s="93">
        <v>0</v>
      </c>
      <c r="CZ27" s="7"/>
      <c r="DA27" s="93">
        <v>0</v>
      </c>
      <c r="DB27" s="7"/>
      <c r="DC27" s="93">
        <v>0</v>
      </c>
      <c r="DD27" s="7"/>
      <c r="DE27" s="93">
        <v>0</v>
      </c>
      <c r="DF27" s="97">
        <f t="shared" si="39"/>
        <v>0</v>
      </c>
      <c r="DG27" s="98">
        <f t="shared" si="54"/>
        <v>0</v>
      </c>
      <c r="DH27" s="79"/>
      <c r="DI27" s="79">
        <v>0</v>
      </c>
      <c r="DJ27" s="154"/>
      <c r="DK27" s="212">
        <f t="shared" si="55"/>
        <v>0</v>
      </c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99">
        <f t="shared" si="56"/>
        <v>0</v>
      </c>
      <c r="EG27" s="99">
        <f t="shared" si="57"/>
        <v>0</v>
      </c>
    </row>
    <row r="28" spans="1:137" ht="20.100000000000001" customHeight="1">
      <c r="A28" s="63">
        <v>22</v>
      </c>
      <c r="B28" s="63" t="s">
        <v>39</v>
      </c>
      <c r="C28" s="63" t="s">
        <v>14</v>
      </c>
      <c r="D28" s="63">
        <f>RANK(DF28,$DF$4:$DF$144)</f>
        <v>6</v>
      </c>
      <c r="E28" s="63">
        <v>0.64</v>
      </c>
      <c r="F28" s="63" t="s">
        <v>25</v>
      </c>
      <c r="G28" s="63">
        <v>1700</v>
      </c>
      <c r="H28" s="92">
        <v>19838</v>
      </c>
      <c r="I28" s="93">
        <f t="shared" si="60"/>
        <v>12696.32</v>
      </c>
      <c r="J28" s="92">
        <v>21560</v>
      </c>
      <c r="K28" s="93">
        <f t="shared" si="60"/>
        <v>13798.4</v>
      </c>
      <c r="L28" s="92">
        <v>33040</v>
      </c>
      <c r="M28" s="93">
        <f t="shared" si="2"/>
        <v>21145.600000000002</v>
      </c>
      <c r="N28" s="92">
        <v>33390</v>
      </c>
      <c r="O28" s="93">
        <f t="shared" si="3"/>
        <v>21369.600000000002</v>
      </c>
      <c r="P28" s="92">
        <v>41692</v>
      </c>
      <c r="Q28" s="93">
        <f t="shared" si="4"/>
        <v>26682.880000000001</v>
      </c>
      <c r="R28" s="92">
        <v>61586</v>
      </c>
      <c r="S28" s="93">
        <f t="shared" si="5"/>
        <v>39415.040000000001</v>
      </c>
      <c r="T28" s="92">
        <v>77210</v>
      </c>
      <c r="U28" s="93">
        <f t="shared" si="6"/>
        <v>49414.400000000001</v>
      </c>
      <c r="V28" s="92">
        <v>85148</v>
      </c>
      <c r="W28" s="93">
        <f t="shared" si="7"/>
        <v>54494.720000000001</v>
      </c>
      <c r="X28" s="92">
        <v>78722</v>
      </c>
      <c r="Y28" s="93">
        <f t="shared" si="8"/>
        <v>50382.080000000002</v>
      </c>
      <c r="Z28" s="92">
        <v>46494</v>
      </c>
      <c r="AA28" s="93">
        <f t="shared" si="9"/>
        <v>29756.16</v>
      </c>
      <c r="AB28" s="92">
        <v>52136</v>
      </c>
      <c r="AC28" s="93">
        <f t="shared" si="10"/>
        <v>33367.040000000001</v>
      </c>
      <c r="AD28" s="92">
        <v>53018</v>
      </c>
      <c r="AE28" s="93">
        <f t="shared" si="11"/>
        <v>33931.520000000004</v>
      </c>
      <c r="AF28" s="94">
        <f t="shared" si="40"/>
        <v>603834</v>
      </c>
      <c r="AG28" s="95">
        <f t="shared" si="41"/>
        <v>386453.76000000001</v>
      </c>
      <c r="AH28" s="92">
        <v>44912</v>
      </c>
      <c r="AI28" s="93">
        <f t="shared" si="13"/>
        <v>28743.68</v>
      </c>
      <c r="AJ28" s="92">
        <v>31654</v>
      </c>
      <c r="AK28" s="93">
        <f t="shared" si="14"/>
        <v>20258.560000000001</v>
      </c>
      <c r="AL28" s="92">
        <v>34804</v>
      </c>
      <c r="AM28" s="93">
        <f t="shared" si="15"/>
        <v>22274.560000000001</v>
      </c>
      <c r="AN28" s="92">
        <v>36498</v>
      </c>
      <c r="AO28" s="93">
        <f t="shared" si="16"/>
        <v>23358.720000000001</v>
      </c>
      <c r="AP28" s="92">
        <v>35546</v>
      </c>
      <c r="AQ28" s="93">
        <f t="shared" si="17"/>
        <v>22749.439999999999</v>
      </c>
      <c r="AR28" s="92">
        <v>54246</v>
      </c>
      <c r="AS28" s="93">
        <f t="shared" si="18"/>
        <v>34717.440000000002</v>
      </c>
      <c r="AT28" s="92">
        <v>73412</v>
      </c>
      <c r="AU28" s="93">
        <f t="shared" si="19"/>
        <v>46983.68</v>
      </c>
      <c r="AV28" s="92">
        <v>66720</v>
      </c>
      <c r="AW28" s="93">
        <f t="shared" si="20"/>
        <v>42700.800000000003</v>
      </c>
      <c r="AX28" s="92">
        <v>68740</v>
      </c>
      <c r="AY28" s="93">
        <f t="shared" si="21"/>
        <v>43993.599999999999</v>
      </c>
      <c r="AZ28" s="92">
        <v>81158</v>
      </c>
      <c r="BA28" s="93">
        <f t="shared" si="22"/>
        <v>51941.120000000003</v>
      </c>
      <c r="BB28" s="92">
        <v>93086</v>
      </c>
      <c r="BC28" s="93">
        <f t="shared" si="23"/>
        <v>59575.040000000001</v>
      </c>
      <c r="BD28" s="92">
        <v>97244</v>
      </c>
      <c r="BE28" s="93">
        <f t="shared" si="24"/>
        <v>62236.160000000003</v>
      </c>
      <c r="BF28" s="94">
        <f t="shared" si="42"/>
        <v>718020</v>
      </c>
      <c r="BG28" s="95">
        <f t="shared" si="43"/>
        <v>459532.79999999999</v>
      </c>
      <c r="BH28" s="96">
        <v>91784</v>
      </c>
      <c r="BI28" s="93">
        <f t="shared" si="26"/>
        <v>58741.760000000002</v>
      </c>
      <c r="BJ28" s="92">
        <v>70816</v>
      </c>
      <c r="BK28" s="93">
        <f t="shared" si="27"/>
        <v>45322.239999999998</v>
      </c>
      <c r="BL28" s="92">
        <v>67550</v>
      </c>
      <c r="BM28" s="93">
        <f t="shared" si="61"/>
        <v>43232</v>
      </c>
      <c r="BN28" s="92">
        <v>56644</v>
      </c>
      <c r="BO28" s="93">
        <f t="shared" si="61"/>
        <v>36252.160000000003</v>
      </c>
      <c r="BP28" s="92">
        <v>80334</v>
      </c>
      <c r="BQ28" s="93">
        <f t="shared" si="61"/>
        <v>51413.760000000002</v>
      </c>
      <c r="BR28" s="92">
        <v>84071</v>
      </c>
      <c r="BS28" s="93">
        <f t="shared" si="61"/>
        <v>53805.440000000002</v>
      </c>
      <c r="BT28" s="92">
        <v>80080</v>
      </c>
      <c r="BU28" s="93">
        <f t="shared" si="32"/>
        <v>51251.200000000004</v>
      </c>
      <c r="BV28" s="92">
        <v>73961</v>
      </c>
      <c r="BW28" s="93">
        <f t="shared" si="33"/>
        <v>47335.040000000001</v>
      </c>
      <c r="BX28" s="92">
        <v>72380</v>
      </c>
      <c r="BY28" s="93">
        <f t="shared" si="34"/>
        <v>46323.200000000004</v>
      </c>
      <c r="BZ28" s="92">
        <v>74174</v>
      </c>
      <c r="CA28" s="93">
        <f t="shared" si="35"/>
        <v>47471.360000000001</v>
      </c>
      <c r="CB28" s="92">
        <v>68837</v>
      </c>
      <c r="CC28" s="93">
        <f t="shared" si="36"/>
        <v>44055.68</v>
      </c>
      <c r="CD28" s="7">
        <v>70386</v>
      </c>
      <c r="CE28" s="93">
        <f t="shared" si="37"/>
        <v>45047.040000000001</v>
      </c>
      <c r="CF28" s="94">
        <f t="shared" si="44"/>
        <v>891017</v>
      </c>
      <c r="CG28" s="95">
        <f t="shared" si="45"/>
        <v>570250.88</v>
      </c>
      <c r="CH28" s="7">
        <v>58032</v>
      </c>
      <c r="CI28" s="93">
        <f t="shared" si="46"/>
        <v>37140.480000000003</v>
      </c>
      <c r="CJ28" s="7">
        <v>56770</v>
      </c>
      <c r="CK28" s="93">
        <f t="shared" si="47"/>
        <v>36332.800000000003</v>
      </c>
      <c r="CL28" s="7">
        <v>36787</v>
      </c>
      <c r="CM28" s="93">
        <f t="shared" si="48"/>
        <v>23543.68</v>
      </c>
      <c r="CN28" s="7">
        <v>36194</v>
      </c>
      <c r="CO28" s="93">
        <f t="shared" si="49"/>
        <v>23164.16</v>
      </c>
      <c r="CP28" s="7">
        <v>70375</v>
      </c>
      <c r="CQ28" s="93">
        <f t="shared" si="50"/>
        <v>45040</v>
      </c>
      <c r="CR28" s="7">
        <v>54995</v>
      </c>
      <c r="CS28" s="93">
        <f t="shared" si="51"/>
        <v>35196.800000000003</v>
      </c>
      <c r="CT28" s="7">
        <v>53721</v>
      </c>
      <c r="CU28" s="93">
        <f t="shared" si="52"/>
        <v>34381.440000000002</v>
      </c>
      <c r="CV28" s="7">
        <v>56280</v>
      </c>
      <c r="CW28" s="93">
        <f t="shared" si="53"/>
        <v>36019.200000000004</v>
      </c>
      <c r="CX28" s="7">
        <v>40221</v>
      </c>
      <c r="CY28" s="93">
        <v>25741.440000000002</v>
      </c>
      <c r="CZ28" s="7">
        <v>65648</v>
      </c>
      <c r="DA28" s="93">
        <v>42014.720000000001</v>
      </c>
      <c r="DB28" s="7">
        <v>79478</v>
      </c>
      <c r="DC28" s="93">
        <v>50865.919999999998</v>
      </c>
      <c r="DD28" s="7">
        <v>51447</v>
      </c>
      <c r="DE28" s="93">
        <v>32926.080000000002</v>
      </c>
      <c r="DF28" s="97">
        <f t="shared" si="39"/>
        <v>659948</v>
      </c>
      <c r="DG28" s="98">
        <f t="shared" si="54"/>
        <v>422366.72000000003</v>
      </c>
      <c r="DH28" s="79">
        <v>50320</v>
      </c>
      <c r="DI28" s="79">
        <v>32204.799999999999</v>
      </c>
      <c r="DJ28" s="154">
        <v>27412</v>
      </c>
      <c r="DK28" s="212">
        <f t="shared" si="55"/>
        <v>17543.68</v>
      </c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99">
        <f t="shared" si="56"/>
        <v>77732</v>
      </c>
      <c r="EG28" s="99">
        <f t="shared" si="57"/>
        <v>49748.479999999996</v>
      </c>
    </row>
    <row r="29" spans="1:137" ht="20.100000000000001" customHeight="1">
      <c r="A29" s="63">
        <v>23</v>
      </c>
      <c r="B29" s="63" t="s">
        <v>40</v>
      </c>
      <c r="C29" s="63" t="s">
        <v>14</v>
      </c>
      <c r="D29" s="63">
        <f>RANK(DF29,$DF$4:$DF$144)</f>
        <v>35</v>
      </c>
      <c r="E29" s="63">
        <v>0.64</v>
      </c>
      <c r="F29" s="63" t="s">
        <v>25</v>
      </c>
      <c r="G29" s="63"/>
      <c r="H29" s="7"/>
      <c r="I29" s="93">
        <f t="shared" si="60"/>
        <v>0</v>
      </c>
      <c r="J29" s="7"/>
      <c r="K29" s="93">
        <f t="shared" si="60"/>
        <v>0</v>
      </c>
      <c r="L29" s="7"/>
      <c r="M29" s="93">
        <f t="shared" si="2"/>
        <v>0</v>
      </c>
      <c r="N29" s="7"/>
      <c r="O29" s="93">
        <f t="shared" si="3"/>
        <v>0</v>
      </c>
      <c r="P29" s="7"/>
      <c r="Q29" s="93">
        <f t="shared" si="4"/>
        <v>0</v>
      </c>
      <c r="R29" s="7"/>
      <c r="S29" s="93">
        <f t="shared" si="5"/>
        <v>0</v>
      </c>
      <c r="T29" s="7"/>
      <c r="U29" s="93">
        <f t="shared" si="6"/>
        <v>0</v>
      </c>
      <c r="V29" s="7"/>
      <c r="W29" s="93">
        <f t="shared" si="7"/>
        <v>0</v>
      </c>
      <c r="X29" s="7"/>
      <c r="Y29" s="93">
        <f t="shared" si="8"/>
        <v>0</v>
      </c>
      <c r="Z29" s="7"/>
      <c r="AA29" s="93">
        <f t="shared" si="9"/>
        <v>0</v>
      </c>
      <c r="AB29" s="7"/>
      <c r="AC29" s="93">
        <f t="shared" si="10"/>
        <v>0</v>
      </c>
      <c r="AD29" s="7"/>
      <c r="AE29" s="93">
        <f t="shared" si="11"/>
        <v>0</v>
      </c>
      <c r="AF29" s="94">
        <f t="shared" si="40"/>
        <v>0</v>
      </c>
      <c r="AG29" s="95">
        <f t="shared" si="41"/>
        <v>0</v>
      </c>
      <c r="AH29" s="7"/>
      <c r="AI29" s="93">
        <f t="shared" si="13"/>
        <v>0</v>
      </c>
      <c r="AJ29" s="7"/>
      <c r="AK29" s="93">
        <f t="shared" si="14"/>
        <v>0</v>
      </c>
      <c r="AL29" s="7"/>
      <c r="AM29" s="93">
        <f t="shared" si="15"/>
        <v>0</v>
      </c>
      <c r="AN29" s="7"/>
      <c r="AO29" s="93">
        <f t="shared" si="16"/>
        <v>0</v>
      </c>
      <c r="AP29" s="7"/>
      <c r="AQ29" s="93">
        <f t="shared" si="17"/>
        <v>0</v>
      </c>
      <c r="AR29" s="7"/>
      <c r="AS29" s="93">
        <f t="shared" si="18"/>
        <v>0</v>
      </c>
      <c r="AT29" s="7"/>
      <c r="AU29" s="93">
        <f t="shared" si="19"/>
        <v>0</v>
      </c>
      <c r="AV29" s="7"/>
      <c r="AW29" s="93">
        <f t="shared" si="20"/>
        <v>0</v>
      </c>
      <c r="AX29" s="7"/>
      <c r="AY29" s="93">
        <f t="shared" si="21"/>
        <v>0</v>
      </c>
      <c r="AZ29" s="7"/>
      <c r="BA29" s="93">
        <f t="shared" si="22"/>
        <v>0</v>
      </c>
      <c r="BB29" s="7"/>
      <c r="BC29" s="93">
        <f t="shared" si="23"/>
        <v>0</v>
      </c>
      <c r="BD29" s="7"/>
      <c r="BE29" s="93">
        <f t="shared" si="24"/>
        <v>0</v>
      </c>
      <c r="BF29" s="94">
        <f t="shared" si="42"/>
        <v>0</v>
      </c>
      <c r="BG29" s="95">
        <f t="shared" si="43"/>
        <v>0</v>
      </c>
      <c r="BH29" s="7"/>
      <c r="BI29" s="93">
        <f t="shared" si="26"/>
        <v>0</v>
      </c>
      <c r="BJ29" s="7"/>
      <c r="BK29" s="93">
        <f t="shared" si="27"/>
        <v>0</v>
      </c>
      <c r="BL29" s="7"/>
      <c r="BM29" s="93">
        <f t="shared" si="61"/>
        <v>0</v>
      </c>
      <c r="BN29" s="7"/>
      <c r="BO29" s="93">
        <f t="shared" si="61"/>
        <v>0</v>
      </c>
      <c r="BP29" s="7"/>
      <c r="BQ29" s="93">
        <f t="shared" si="61"/>
        <v>0</v>
      </c>
      <c r="BR29" s="7"/>
      <c r="BS29" s="93">
        <f t="shared" si="61"/>
        <v>0</v>
      </c>
      <c r="BT29" s="7"/>
      <c r="BU29" s="93">
        <f t="shared" si="32"/>
        <v>0</v>
      </c>
      <c r="BV29" s="7"/>
      <c r="BW29" s="93">
        <f t="shared" si="33"/>
        <v>0</v>
      </c>
      <c r="BX29" s="7"/>
      <c r="BY29" s="93">
        <f t="shared" si="34"/>
        <v>0</v>
      </c>
      <c r="BZ29" s="7"/>
      <c r="CA29" s="93">
        <f t="shared" si="35"/>
        <v>0</v>
      </c>
      <c r="CB29" s="7"/>
      <c r="CC29" s="93">
        <f t="shared" si="36"/>
        <v>0</v>
      </c>
      <c r="CD29" s="7"/>
      <c r="CE29" s="93">
        <f t="shared" si="37"/>
        <v>0</v>
      </c>
      <c r="CF29" s="94">
        <f t="shared" si="44"/>
        <v>0</v>
      </c>
      <c r="CG29" s="95">
        <f t="shared" si="45"/>
        <v>0</v>
      </c>
      <c r="CH29" s="7"/>
      <c r="CI29" s="93">
        <f t="shared" si="46"/>
        <v>0</v>
      </c>
      <c r="CJ29" s="7"/>
      <c r="CK29" s="93">
        <f t="shared" si="47"/>
        <v>0</v>
      </c>
      <c r="CL29" s="7"/>
      <c r="CM29" s="93">
        <f t="shared" si="48"/>
        <v>0</v>
      </c>
      <c r="CN29" s="7"/>
      <c r="CO29" s="93">
        <f t="shared" si="49"/>
        <v>0</v>
      </c>
      <c r="CP29" s="7"/>
      <c r="CQ29" s="93">
        <f t="shared" si="50"/>
        <v>0</v>
      </c>
      <c r="CR29" s="7"/>
      <c r="CS29" s="93">
        <f t="shared" si="51"/>
        <v>0</v>
      </c>
      <c r="CT29" s="7"/>
      <c r="CU29" s="93">
        <f t="shared" si="52"/>
        <v>0</v>
      </c>
      <c r="CV29" s="7"/>
      <c r="CW29" s="93">
        <f t="shared" si="53"/>
        <v>0</v>
      </c>
      <c r="CX29" s="7"/>
      <c r="CY29" s="93">
        <v>0</v>
      </c>
      <c r="CZ29" s="7"/>
      <c r="DA29" s="93">
        <v>0</v>
      </c>
      <c r="DB29" s="7"/>
      <c r="DC29" s="93">
        <v>0</v>
      </c>
      <c r="DD29" s="7"/>
      <c r="DE29" s="93">
        <v>0</v>
      </c>
      <c r="DF29" s="97">
        <f t="shared" si="39"/>
        <v>0</v>
      </c>
      <c r="DG29" s="98">
        <f t="shared" si="54"/>
        <v>0</v>
      </c>
      <c r="DH29" s="79"/>
      <c r="DI29" s="79">
        <v>0</v>
      </c>
      <c r="DJ29" s="154"/>
      <c r="DK29" s="212">
        <f t="shared" si="55"/>
        <v>0</v>
      </c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99">
        <f t="shared" si="56"/>
        <v>0</v>
      </c>
      <c r="EG29" s="99">
        <f t="shared" si="57"/>
        <v>0</v>
      </c>
    </row>
    <row r="30" spans="1:137" ht="20.100000000000001" customHeight="1">
      <c r="A30" s="63"/>
      <c r="B30" s="63"/>
      <c r="C30" s="63"/>
      <c r="D30" s="63"/>
      <c r="E30" s="63"/>
      <c r="F30" s="63"/>
      <c r="G30" s="63"/>
      <c r="H30" s="7"/>
      <c r="I30" s="93">
        <f t="shared" si="60"/>
        <v>0</v>
      </c>
      <c r="J30" s="7"/>
      <c r="K30" s="93">
        <f t="shared" si="60"/>
        <v>0</v>
      </c>
      <c r="L30" s="7"/>
      <c r="M30" s="93">
        <f t="shared" si="2"/>
        <v>0</v>
      </c>
      <c r="N30" s="7"/>
      <c r="O30" s="93">
        <f t="shared" si="3"/>
        <v>0</v>
      </c>
      <c r="P30" s="7"/>
      <c r="Q30" s="93">
        <f t="shared" si="4"/>
        <v>0</v>
      </c>
      <c r="R30" s="7"/>
      <c r="S30" s="93">
        <f t="shared" si="5"/>
        <v>0</v>
      </c>
      <c r="T30" s="7"/>
      <c r="U30" s="93">
        <f t="shared" si="6"/>
        <v>0</v>
      </c>
      <c r="V30" s="7"/>
      <c r="W30" s="93">
        <f t="shared" si="7"/>
        <v>0</v>
      </c>
      <c r="X30" s="7"/>
      <c r="Y30" s="93">
        <f t="shared" si="8"/>
        <v>0</v>
      </c>
      <c r="Z30" s="7"/>
      <c r="AA30" s="93">
        <f t="shared" si="9"/>
        <v>0</v>
      </c>
      <c r="AB30" s="7"/>
      <c r="AC30" s="93">
        <f t="shared" si="10"/>
        <v>0</v>
      </c>
      <c r="AD30" s="7"/>
      <c r="AE30" s="93">
        <f t="shared" si="11"/>
        <v>0</v>
      </c>
      <c r="AF30" s="94">
        <f t="shared" si="40"/>
        <v>0</v>
      </c>
      <c r="AG30" s="95">
        <f t="shared" si="41"/>
        <v>0</v>
      </c>
      <c r="AH30" s="7"/>
      <c r="AI30" s="93">
        <f t="shared" si="13"/>
        <v>0</v>
      </c>
      <c r="AJ30" s="7"/>
      <c r="AK30" s="93">
        <f t="shared" si="14"/>
        <v>0</v>
      </c>
      <c r="AL30" s="7"/>
      <c r="AM30" s="93">
        <f t="shared" si="15"/>
        <v>0</v>
      </c>
      <c r="AN30" s="7"/>
      <c r="AO30" s="93">
        <f t="shared" si="16"/>
        <v>0</v>
      </c>
      <c r="AP30" s="7"/>
      <c r="AQ30" s="93">
        <f t="shared" si="17"/>
        <v>0</v>
      </c>
      <c r="AR30" s="7"/>
      <c r="AS30" s="93">
        <f t="shared" si="18"/>
        <v>0</v>
      </c>
      <c r="AT30" s="7"/>
      <c r="AU30" s="93">
        <f t="shared" si="19"/>
        <v>0</v>
      </c>
      <c r="AV30" s="7"/>
      <c r="AW30" s="93">
        <f t="shared" si="20"/>
        <v>0</v>
      </c>
      <c r="AX30" s="7"/>
      <c r="AY30" s="93">
        <f t="shared" si="21"/>
        <v>0</v>
      </c>
      <c r="AZ30" s="7"/>
      <c r="BA30" s="93">
        <f t="shared" si="22"/>
        <v>0</v>
      </c>
      <c r="BB30" s="7"/>
      <c r="BC30" s="93">
        <f t="shared" si="23"/>
        <v>0</v>
      </c>
      <c r="BD30" s="7"/>
      <c r="BE30" s="93">
        <f t="shared" si="24"/>
        <v>0</v>
      </c>
      <c r="BF30" s="94">
        <f t="shared" si="42"/>
        <v>0</v>
      </c>
      <c r="BG30" s="95">
        <f t="shared" si="43"/>
        <v>0</v>
      </c>
      <c r="BH30" s="7"/>
      <c r="BI30" s="93">
        <f t="shared" si="26"/>
        <v>0</v>
      </c>
      <c r="BJ30" s="7"/>
      <c r="BK30" s="93">
        <f t="shared" si="27"/>
        <v>0</v>
      </c>
      <c r="BL30" s="7"/>
      <c r="BM30" s="93">
        <f t="shared" si="61"/>
        <v>0</v>
      </c>
      <c r="BN30" s="7"/>
      <c r="BO30" s="93">
        <f t="shared" si="61"/>
        <v>0</v>
      </c>
      <c r="BP30" s="7"/>
      <c r="BQ30" s="93">
        <f t="shared" si="61"/>
        <v>0</v>
      </c>
      <c r="BR30" s="7"/>
      <c r="BS30" s="93">
        <f t="shared" si="61"/>
        <v>0</v>
      </c>
      <c r="BT30" s="7"/>
      <c r="BU30" s="93">
        <f t="shared" si="32"/>
        <v>0</v>
      </c>
      <c r="BV30" s="7"/>
      <c r="BW30" s="93">
        <f t="shared" si="33"/>
        <v>0</v>
      </c>
      <c r="BX30" s="7"/>
      <c r="BY30" s="93">
        <f t="shared" si="34"/>
        <v>0</v>
      </c>
      <c r="BZ30" s="7"/>
      <c r="CA30" s="93">
        <f t="shared" si="35"/>
        <v>0</v>
      </c>
      <c r="CB30" s="7"/>
      <c r="CC30" s="93">
        <f t="shared" si="36"/>
        <v>0</v>
      </c>
      <c r="CD30" s="7"/>
      <c r="CE30" s="93">
        <f t="shared" si="37"/>
        <v>0</v>
      </c>
      <c r="CF30" s="94">
        <f t="shared" si="44"/>
        <v>0</v>
      </c>
      <c r="CG30" s="95">
        <f t="shared" si="45"/>
        <v>0</v>
      </c>
      <c r="CH30" s="7"/>
      <c r="CI30" s="93">
        <f t="shared" si="46"/>
        <v>0</v>
      </c>
      <c r="CJ30" s="7"/>
      <c r="CK30" s="93">
        <f t="shared" si="47"/>
        <v>0</v>
      </c>
      <c r="CL30" s="7"/>
      <c r="CM30" s="93">
        <f t="shared" si="48"/>
        <v>0</v>
      </c>
      <c r="CN30" s="7"/>
      <c r="CO30" s="93">
        <f t="shared" si="49"/>
        <v>0</v>
      </c>
      <c r="CP30" s="7"/>
      <c r="CQ30" s="93">
        <f t="shared" si="50"/>
        <v>0</v>
      </c>
      <c r="CR30" s="7"/>
      <c r="CS30" s="93">
        <f t="shared" si="51"/>
        <v>0</v>
      </c>
      <c r="CT30" s="7"/>
      <c r="CU30" s="93">
        <f t="shared" si="52"/>
        <v>0</v>
      </c>
      <c r="CV30" s="7"/>
      <c r="CW30" s="93">
        <f t="shared" si="53"/>
        <v>0</v>
      </c>
      <c r="CX30" s="7"/>
      <c r="CY30" s="93">
        <v>0</v>
      </c>
      <c r="CZ30" s="7"/>
      <c r="DA30" s="93">
        <v>0</v>
      </c>
      <c r="DB30" s="7"/>
      <c r="DC30" s="93">
        <v>0</v>
      </c>
      <c r="DD30" s="7"/>
      <c r="DE30" s="93">
        <v>0</v>
      </c>
      <c r="DF30" s="97">
        <f t="shared" si="39"/>
        <v>0</v>
      </c>
      <c r="DG30" s="98">
        <f t="shared" si="54"/>
        <v>0</v>
      </c>
      <c r="DH30" s="79"/>
      <c r="DI30" s="79">
        <v>0</v>
      </c>
      <c r="DJ30" s="154"/>
      <c r="DK30" s="212">
        <f t="shared" si="55"/>
        <v>0</v>
      </c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99">
        <f t="shared" si="56"/>
        <v>0</v>
      </c>
      <c r="EG30" s="99">
        <f t="shared" si="57"/>
        <v>0</v>
      </c>
    </row>
    <row r="31" spans="1:137" ht="20.100000000000001" customHeight="1">
      <c r="A31" s="63">
        <v>24</v>
      </c>
      <c r="B31" s="63" t="s">
        <v>41</v>
      </c>
      <c r="C31" s="63" t="s">
        <v>17</v>
      </c>
      <c r="D31" s="63">
        <f t="shared" ref="D31:D47" si="62">RANK(DF31,$DF$4:$DF$144)</f>
        <v>32</v>
      </c>
      <c r="E31" s="63">
        <v>1</v>
      </c>
      <c r="F31" s="63" t="s">
        <v>15</v>
      </c>
      <c r="G31" s="63">
        <v>1680</v>
      </c>
      <c r="H31" s="92">
        <v>840</v>
      </c>
      <c r="I31" s="93">
        <f t="shared" si="60"/>
        <v>840</v>
      </c>
      <c r="J31" s="92"/>
      <c r="K31" s="93">
        <f t="shared" si="60"/>
        <v>0</v>
      </c>
      <c r="L31" s="92">
        <v>1812</v>
      </c>
      <c r="M31" s="93">
        <f t="shared" si="2"/>
        <v>1812</v>
      </c>
      <c r="N31" s="92"/>
      <c r="O31" s="93">
        <f t="shared" si="3"/>
        <v>0</v>
      </c>
      <c r="P31" s="92"/>
      <c r="Q31" s="93">
        <f t="shared" si="4"/>
        <v>0</v>
      </c>
      <c r="R31" s="92"/>
      <c r="S31" s="93">
        <f t="shared" si="5"/>
        <v>0</v>
      </c>
      <c r="T31" s="92"/>
      <c r="U31" s="93">
        <f t="shared" si="6"/>
        <v>0</v>
      </c>
      <c r="V31" s="92"/>
      <c r="W31" s="93">
        <f t="shared" si="7"/>
        <v>0</v>
      </c>
      <c r="X31" s="92"/>
      <c r="Y31" s="93">
        <f t="shared" si="8"/>
        <v>0</v>
      </c>
      <c r="Z31" s="92"/>
      <c r="AA31" s="93">
        <f t="shared" si="9"/>
        <v>0</v>
      </c>
      <c r="AB31" s="92"/>
      <c r="AC31" s="93">
        <f t="shared" si="10"/>
        <v>0</v>
      </c>
      <c r="AD31" s="92">
        <v>120</v>
      </c>
      <c r="AE31" s="93">
        <f t="shared" si="11"/>
        <v>120</v>
      </c>
      <c r="AF31" s="94">
        <f t="shared" si="40"/>
        <v>2772</v>
      </c>
      <c r="AG31" s="95">
        <f t="shared" si="41"/>
        <v>2772</v>
      </c>
      <c r="AH31" s="7"/>
      <c r="AI31" s="93">
        <f t="shared" si="13"/>
        <v>0</v>
      </c>
      <c r="AJ31" s="7"/>
      <c r="AK31" s="93">
        <f t="shared" si="14"/>
        <v>0</v>
      </c>
      <c r="AL31" s="7"/>
      <c r="AM31" s="93">
        <f t="shared" si="15"/>
        <v>0</v>
      </c>
      <c r="AN31" s="7"/>
      <c r="AO31" s="93">
        <f t="shared" si="16"/>
        <v>0</v>
      </c>
      <c r="AP31" s="7"/>
      <c r="AQ31" s="93">
        <f t="shared" si="17"/>
        <v>0</v>
      </c>
      <c r="AR31" s="7"/>
      <c r="AS31" s="93">
        <f t="shared" si="18"/>
        <v>0</v>
      </c>
      <c r="AT31" s="7"/>
      <c r="AU31" s="93">
        <f t="shared" si="19"/>
        <v>0</v>
      </c>
      <c r="AV31" s="7"/>
      <c r="AW31" s="93">
        <f t="shared" si="20"/>
        <v>0</v>
      </c>
      <c r="AX31" s="7"/>
      <c r="AY31" s="93">
        <f t="shared" si="21"/>
        <v>0</v>
      </c>
      <c r="AZ31" s="7"/>
      <c r="BA31" s="93">
        <f t="shared" si="22"/>
        <v>0</v>
      </c>
      <c r="BB31" s="7"/>
      <c r="BC31" s="93">
        <f t="shared" si="23"/>
        <v>0</v>
      </c>
      <c r="BD31" s="7"/>
      <c r="BE31" s="93">
        <f t="shared" si="24"/>
        <v>0</v>
      </c>
      <c r="BF31" s="94">
        <f t="shared" si="42"/>
        <v>0</v>
      </c>
      <c r="BG31" s="95">
        <f t="shared" si="43"/>
        <v>0</v>
      </c>
      <c r="BH31" s="7"/>
      <c r="BI31" s="93">
        <f t="shared" si="26"/>
        <v>0</v>
      </c>
      <c r="BJ31" s="7"/>
      <c r="BK31" s="93">
        <f t="shared" si="27"/>
        <v>0</v>
      </c>
      <c r="BL31" s="7"/>
      <c r="BM31" s="93">
        <f t="shared" si="61"/>
        <v>0</v>
      </c>
      <c r="BN31" s="7"/>
      <c r="BO31" s="93">
        <f t="shared" si="61"/>
        <v>0</v>
      </c>
      <c r="BP31" s="7"/>
      <c r="BQ31" s="93">
        <f t="shared" si="61"/>
        <v>0</v>
      </c>
      <c r="BR31" s="7"/>
      <c r="BS31" s="93">
        <f t="shared" si="61"/>
        <v>0</v>
      </c>
      <c r="BT31" s="7"/>
      <c r="BU31" s="93">
        <f t="shared" si="32"/>
        <v>0</v>
      </c>
      <c r="BV31" s="7"/>
      <c r="BW31" s="93">
        <f t="shared" si="33"/>
        <v>0</v>
      </c>
      <c r="BX31" s="7"/>
      <c r="BY31" s="93">
        <f t="shared" si="34"/>
        <v>0</v>
      </c>
      <c r="BZ31" s="7"/>
      <c r="CA31" s="93">
        <f t="shared" si="35"/>
        <v>0</v>
      </c>
      <c r="CB31" s="7"/>
      <c r="CC31" s="93">
        <f t="shared" si="36"/>
        <v>0</v>
      </c>
      <c r="CD31" s="7"/>
      <c r="CE31" s="93">
        <f t="shared" si="37"/>
        <v>0</v>
      </c>
      <c r="CF31" s="94">
        <f t="shared" si="44"/>
        <v>0</v>
      </c>
      <c r="CG31" s="95">
        <f t="shared" si="45"/>
        <v>0</v>
      </c>
      <c r="CH31" s="7"/>
      <c r="CI31" s="93">
        <f t="shared" si="46"/>
        <v>0</v>
      </c>
      <c r="CJ31" s="7"/>
      <c r="CK31" s="93">
        <f t="shared" si="47"/>
        <v>0</v>
      </c>
      <c r="CL31" s="7"/>
      <c r="CM31" s="93">
        <f t="shared" si="48"/>
        <v>0</v>
      </c>
      <c r="CN31" s="7"/>
      <c r="CO31" s="93">
        <f t="shared" si="49"/>
        <v>0</v>
      </c>
      <c r="CP31" s="7">
        <v>840</v>
      </c>
      <c r="CQ31" s="93">
        <f t="shared" si="50"/>
        <v>840</v>
      </c>
      <c r="CR31" s="7">
        <v>1140</v>
      </c>
      <c r="CS31" s="93">
        <f t="shared" si="51"/>
        <v>1140</v>
      </c>
      <c r="CT31" s="7"/>
      <c r="CU31" s="93">
        <f t="shared" si="52"/>
        <v>0</v>
      </c>
      <c r="CV31" s="7"/>
      <c r="CW31" s="93">
        <f t="shared" si="53"/>
        <v>0</v>
      </c>
      <c r="CX31" s="7"/>
      <c r="CY31" s="93">
        <v>0</v>
      </c>
      <c r="CZ31" s="7"/>
      <c r="DA31" s="93">
        <v>0</v>
      </c>
      <c r="DB31" s="7"/>
      <c r="DC31" s="93">
        <v>0</v>
      </c>
      <c r="DD31" s="7"/>
      <c r="DE31" s="93">
        <v>0</v>
      </c>
      <c r="DF31" s="97">
        <f t="shared" si="39"/>
        <v>1980</v>
      </c>
      <c r="DG31" s="98">
        <f t="shared" si="54"/>
        <v>1980</v>
      </c>
      <c r="DH31" s="79"/>
      <c r="DI31" s="79">
        <v>0</v>
      </c>
      <c r="DJ31" s="154"/>
      <c r="DK31" s="212">
        <f t="shared" si="55"/>
        <v>0</v>
      </c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99">
        <f t="shared" si="56"/>
        <v>0</v>
      </c>
      <c r="EG31" s="99">
        <f t="shared" si="57"/>
        <v>0</v>
      </c>
    </row>
    <row r="32" spans="1:137" ht="20.100000000000001" customHeight="1">
      <c r="A32" s="63">
        <v>25</v>
      </c>
      <c r="B32" s="63" t="s">
        <v>42</v>
      </c>
      <c r="C32" s="63" t="s">
        <v>17</v>
      </c>
      <c r="D32" s="63">
        <f t="shared" si="62"/>
        <v>35</v>
      </c>
      <c r="E32" s="63">
        <v>1</v>
      </c>
      <c r="F32" s="63" t="s">
        <v>15</v>
      </c>
      <c r="G32" s="63"/>
      <c r="H32" s="7"/>
      <c r="I32" s="93">
        <f t="shared" si="60"/>
        <v>0</v>
      </c>
      <c r="J32" s="7"/>
      <c r="K32" s="93">
        <f t="shared" si="60"/>
        <v>0</v>
      </c>
      <c r="L32" s="7"/>
      <c r="M32" s="93">
        <f t="shared" si="2"/>
        <v>0</v>
      </c>
      <c r="N32" s="7"/>
      <c r="O32" s="93">
        <f t="shared" si="3"/>
        <v>0</v>
      </c>
      <c r="P32" s="7"/>
      <c r="Q32" s="93">
        <f t="shared" si="4"/>
        <v>0</v>
      </c>
      <c r="R32" s="7"/>
      <c r="S32" s="93">
        <f t="shared" si="5"/>
        <v>0</v>
      </c>
      <c r="T32" s="7"/>
      <c r="U32" s="93">
        <f t="shared" si="6"/>
        <v>0</v>
      </c>
      <c r="V32" s="7"/>
      <c r="W32" s="93">
        <f t="shared" si="7"/>
        <v>0</v>
      </c>
      <c r="X32" s="7"/>
      <c r="Y32" s="93">
        <f t="shared" si="8"/>
        <v>0</v>
      </c>
      <c r="Z32" s="7"/>
      <c r="AA32" s="93">
        <f t="shared" si="9"/>
        <v>0</v>
      </c>
      <c r="AB32" s="7"/>
      <c r="AC32" s="93">
        <f t="shared" si="10"/>
        <v>0</v>
      </c>
      <c r="AD32" s="7"/>
      <c r="AE32" s="93">
        <f t="shared" si="11"/>
        <v>0</v>
      </c>
      <c r="AF32" s="94">
        <f t="shared" si="40"/>
        <v>0</v>
      </c>
      <c r="AG32" s="95">
        <f t="shared" si="41"/>
        <v>0</v>
      </c>
      <c r="AH32" s="7"/>
      <c r="AI32" s="93">
        <f t="shared" si="13"/>
        <v>0</v>
      </c>
      <c r="AJ32" s="7"/>
      <c r="AK32" s="93">
        <f t="shared" si="14"/>
        <v>0</v>
      </c>
      <c r="AL32" s="7"/>
      <c r="AM32" s="93">
        <f t="shared" si="15"/>
        <v>0</v>
      </c>
      <c r="AN32" s="7"/>
      <c r="AO32" s="93">
        <f t="shared" si="16"/>
        <v>0</v>
      </c>
      <c r="AP32" s="7"/>
      <c r="AQ32" s="93">
        <f t="shared" si="17"/>
        <v>0</v>
      </c>
      <c r="AR32" s="7"/>
      <c r="AS32" s="93">
        <f t="shared" si="18"/>
        <v>0</v>
      </c>
      <c r="AT32" s="7"/>
      <c r="AU32" s="93">
        <f t="shared" si="19"/>
        <v>0</v>
      </c>
      <c r="AV32" s="7"/>
      <c r="AW32" s="93">
        <f t="shared" si="20"/>
        <v>0</v>
      </c>
      <c r="AX32" s="7"/>
      <c r="AY32" s="93">
        <f t="shared" si="21"/>
        <v>0</v>
      </c>
      <c r="AZ32" s="7"/>
      <c r="BA32" s="93">
        <f t="shared" si="22"/>
        <v>0</v>
      </c>
      <c r="BB32" s="7"/>
      <c r="BC32" s="93">
        <f t="shared" si="23"/>
        <v>0</v>
      </c>
      <c r="BD32" s="7"/>
      <c r="BE32" s="93">
        <f t="shared" si="24"/>
        <v>0</v>
      </c>
      <c r="BF32" s="94">
        <f t="shared" si="42"/>
        <v>0</v>
      </c>
      <c r="BG32" s="95">
        <f t="shared" si="43"/>
        <v>0</v>
      </c>
      <c r="BH32" s="7"/>
      <c r="BI32" s="93">
        <f t="shared" si="26"/>
        <v>0</v>
      </c>
      <c r="BJ32" s="7"/>
      <c r="BK32" s="93">
        <f t="shared" si="27"/>
        <v>0</v>
      </c>
      <c r="BL32" s="7"/>
      <c r="BM32" s="93">
        <f t="shared" si="61"/>
        <v>0</v>
      </c>
      <c r="BN32" s="7"/>
      <c r="BO32" s="93">
        <f t="shared" si="61"/>
        <v>0</v>
      </c>
      <c r="BP32" s="7"/>
      <c r="BQ32" s="93">
        <f t="shared" si="61"/>
        <v>0</v>
      </c>
      <c r="BR32" s="7"/>
      <c r="BS32" s="93">
        <f t="shared" si="61"/>
        <v>0</v>
      </c>
      <c r="BT32" s="7"/>
      <c r="BU32" s="93">
        <f t="shared" si="32"/>
        <v>0</v>
      </c>
      <c r="BV32" s="7"/>
      <c r="BW32" s="93">
        <f t="shared" si="33"/>
        <v>0</v>
      </c>
      <c r="BX32" s="7"/>
      <c r="BY32" s="93">
        <f t="shared" si="34"/>
        <v>0</v>
      </c>
      <c r="BZ32" s="7"/>
      <c r="CA32" s="93">
        <f t="shared" si="35"/>
        <v>0</v>
      </c>
      <c r="CB32" s="7"/>
      <c r="CC32" s="93">
        <f t="shared" si="36"/>
        <v>0</v>
      </c>
      <c r="CD32" s="7"/>
      <c r="CE32" s="93">
        <f t="shared" si="37"/>
        <v>0</v>
      </c>
      <c r="CF32" s="94">
        <f t="shared" si="44"/>
        <v>0</v>
      </c>
      <c r="CG32" s="95">
        <f t="shared" si="45"/>
        <v>0</v>
      </c>
      <c r="CH32" s="7"/>
      <c r="CI32" s="93">
        <f t="shared" si="46"/>
        <v>0</v>
      </c>
      <c r="CJ32" s="7"/>
      <c r="CK32" s="93">
        <f t="shared" si="47"/>
        <v>0</v>
      </c>
      <c r="CL32" s="7"/>
      <c r="CM32" s="93">
        <f t="shared" si="48"/>
        <v>0</v>
      </c>
      <c r="CN32" s="7"/>
      <c r="CO32" s="93">
        <f t="shared" si="49"/>
        <v>0</v>
      </c>
      <c r="CP32" s="7"/>
      <c r="CQ32" s="93">
        <f t="shared" si="50"/>
        <v>0</v>
      </c>
      <c r="CR32" s="7"/>
      <c r="CS32" s="93">
        <f t="shared" si="51"/>
        <v>0</v>
      </c>
      <c r="CT32" s="7"/>
      <c r="CU32" s="93">
        <f t="shared" si="52"/>
        <v>0</v>
      </c>
      <c r="CV32" s="7"/>
      <c r="CW32" s="93">
        <f t="shared" si="53"/>
        <v>0</v>
      </c>
      <c r="CX32" s="7"/>
      <c r="CY32" s="93">
        <v>0</v>
      </c>
      <c r="CZ32" s="7"/>
      <c r="DA32" s="93">
        <v>0</v>
      </c>
      <c r="DB32" s="7"/>
      <c r="DC32" s="93">
        <v>0</v>
      </c>
      <c r="DD32" s="7"/>
      <c r="DE32" s="93">
        <v>0</v>
      </c>
      <c r="DF32" s="97">
        <f t="shared" si="39"/>
        <v>0</v>
      </c>
      <c r="DG32" s="98">
        <f t="shared" si="54"/>
        <v>0</v>
      </c>
      <c r="DH32" s="79"/>
      <c r="DI32" s="79">
        <v>0</v>
      </c>
      <c r="DJ32" s="154"/>
      <c r="DK32" s="212">
        <f t="shared" si="55"/>
        <v>0</v>
      </c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99">
        <f t="shared" si="56"/>
        <v>0</v>
      </c>
      <c r="EG32" s="99">
        <f t="shared" si="57"/>
        <v>0</v>
      </c>
    </row>
    <row r="33" spans="1:137" ht="20.100000000000001" customHeight="1">
      <c r="A33" s="63">
        <v>26</v>
      </c>
      <c r="B33" s="63" t="s">
        <v>43</v>
      </c>
      <c r="C33" s="63" t="s">
        <v>17</v>
      </c>
      <c r="D33" s="63">
        <f t="shared" si="62"/>
        <v>35</v>
      </c>
      <c r="E33" s="63">
        <v>0.6</v>
      </c>
      <c r="F33" s="63" t="s">
        <v>15</v>
      </c>
      <c r="G33" s="63"/>
      <c r="H33" s="7"/>
      <c r="I33" s="93">
        <f t="shared" si="60"/>
        <v>0</v>
      </c>
      <c r="J33" s="7"/>
      <c r="K33" s="93">
        <f t="shared" si="60"/>
        <v>0</v>
      </c>
      <c r="L33" s="7"/>
      <c r="M33" s="93">
        <f t="shared" si="2"/>
        <v>0</v>
      </c>
      <c r="N33" s="7"/>
      <c r="O33" s="93">
        <f t="shared" si="3"/>
        <v>0</v>
      </c>
      <c r="P33" s="7"/>
      <c r="Q33" s="93">
        <f t="shared" si="4"/>
        <v>0</v>
      </c>
      <c r="R33" s="7"/>
      <c r="S33" s="93">
        <f t="shared" si="5"/>
        <v>0</v>
      </c>
      <c r="T33" s="7"/>
      <c r="U33" s="93">
        <f t="shared" si="6"/>
        <v>0</v>
      </c>
      <c r="V33" s="7"/>
      <c r="W33" s="93">
        <f t="shared" si="7"/>
        <v>0</v>
      </c>
      <c r="X33" s="7"/>
      <c r="Y33" s="93">
        <f t="shared" si="8"/>
        <v>0</v>
      </c>
      <c r="Z33" s="7"/>
      <c r="AA33" s="93">
        <f t="shared" si="9"/>
        <v>0</v>
      </c>
      <c r="AB33" s="7"/>
      <c r="AC33" s="93">
        <f t="shared" si="10"/>
        <v>0</v>
      </c>
      <c r="AD33" s="7"/>
      <c r="AE33" s="93">
        <f t="shared" si="11"/>
        <v>0</v>
      </c>
      <c r="AF33" s="94">
        <f t="shared" si="40"/>
        <v>0</v>
      </c>
      <c r="AG33" s="95">
        <f t="shared" si="41"/>
        <v>0</v>
      </c>
      <c r="AH33" s="7"/>
      <c r="AI33" s="93">
        <f t="shared" si="13"/>
        <v>0</v>
      </c>
      <c r="AJ33" s="7"/>
      <c r="AK33" s="93">
        <f t="shared" si="14"/>
        <v>0</v>
      </c>
      <c r="AL33" s="7"/>
      <c r="AM33" s="93">
        <f t="shared" si="15"/>
        <v>0</v>
      </c>
      <c r="AN33" s="7"/>
      <c r="AO33" s="93">
        <f t="shared" si="16"/>
        <v>0</v>
      </c>
      <c r="AP33" s="7"/>
      <c r="AQ33" s="93">
        <f t="shared" si="17"/>
        <v>0</v>
      </c>
      <c r="AR33" s="7"/>
      <c r="AS33" s="93">
        <f t="shared" si="18"/>
        <v>0</v>
      </c>
      <c r="AT33" s="7"/>
      <c r="AU33" s="93">
        <f t="shared" si="19"/>
        <v>0</v>
      </c>
      <c r="AV33" s="7"/>
      <c r="AW33" s="93">
        <f t="shared" si="20"/>
        <v>0</v>
      </c>
      <c r="AX33" s="7"/>
      <c r="AY33" s="93">
        <f t="shared" si="21"/>
        <v>0</v>
      </c>
      <c r="AZ33" s="7"/>
      <c r="BA33" s="93">
        <f t="shared" si="22"/>
        <v>0</v>
      </c>
      <c r="BB33" s="7"/>
      <c r="BC33" s="93">
        <f t="shared" si="23"/>
        <v>0</v>
      </c>
      <c r="BD33" s="7"/>
      <c r="BE33" s="93">
        <f t="shared" si="24"/>
        <v>0</v>
      </c>
      <c r="BF33" s="94">
        <f t="shared" si="42"/>
        <v>0</v>
      </c>
      <c r="BG33" s="95">
        <f t="shared" si="43"/>
        <v>0</v>
      </c>
      <c r="BH33" s="7"/>
      <c r="BI33" s="93">
        <f t="shared" si="26"/>
        <v>0</v>
      </c>
      <c r="BJ33" s="7"/>
      <c r="BK33" s="93">
        <f t="shared" si="27"/>
        <v>0</v>
      </c>
      <c r="BL33" s="7"/>
      <c r="BM33" s="93">
        <f t="shared" si="61"/>
        <v>0</v>
      </c>
      <c r="BN33" s="7"/>
      <c r="BO33" s="93">
        <f t="shared" si="61"/>
        <v>0</v>
      </c>
      <c r="BP33" s="7"/>
      <c r="BQ33" s="93">
        <f t="shared" si="61"/>
        <v>0</v>
      </c>
      <c r="BR33" s="7"/>
      <c r="BS33" s="93">
        <f t="shared" si="61"/>
        <v>0</v>
      </c>
      <c r="BT33" s="7"/>
      <c r="BU33" s="93">
        <f t="shared" si="32"/>
        <v>0</v>
      </c>
      <c r="BV33" s="7"/>
      <c r="BW33" s="93">
        <f t="shared" si="33"/>
        <v>0</v>
      </c>
      <c r="BX33" s="7"/>
      <c r="BY33" s="93">
        <f t="shared" si="34"/>
        <v>0</v>
      </c>
      <c r="BZ33" s="7"/>
      <c r="CA33" s="93">
        <f t="shared" si="35"/>
        <v>0</v>
      </c>
      <c r="CB33" s="7"/>
      <c r="CC33" s="93">
        <f t="shared" si="36"/>
        <v>0</v>
      </c>
      <c r="CD33" s="7"/>
      <c r="CE33" s="93">
        <f t="shared" si="37"/>
        <v>0</v>
      </c>
      <c r="CF33" s="94">
        <f t="shared" si="44"/>
        <v>0</v>
      </c>
      <c r="CG33" s="95">
        <f t="shared" si="45"/>
        <v>0</v>
      </c>
      <c r="CH33" s="7"/>
      <c r="CI33" s="93">
        <f t="shared" si="46"/>
        <v>0</v>
      </c>
      <c r="CJ33" s="7"/>
      <c r="CK33" s="93">
        <f t="shared" si="47"/>
        <v>0</v>
      </c>
      <c r="CL33" s="7"/>
      <c r="CM33" s="93">
        <f t="shared" si="48"/>
        <v>0</v>
      </c>
      <c r="CN33" s="7"/>
      <c r="CO33" s="93">
        <f t="shared" si="49"/>
        <v>0</v>
      </c>
      <c r="CP33" s="7"/>
      <c r="CQ33" s="93">
        <f t="shared" si="50"/>
        <v>0</v>
      </c>
      <c r="CR33" s="7"/>
      <c r="CS33" s="93">
        <f t="shared" si="51"/>
        <v>0</v>
      </c>
      <c r="CT33" s="7"/>
      <c r="CU33" s="93">
        <f t="shared" si="52"/>
        <v>0</v>
      </c>
      <c r="CV33" s="7"/>
      <c r="CW33" s="93">
        <f t="shared" si="53"/>
        <v>0</v>
      </c>
      <c r="CX33" s="7"/>
      <c r="CY33" s="93">
        <v>0</v>
      </c>
      <c r="CZ33" s="7"/>
      <c r="DA33" s="93">
        <v>0</v>
      </c>
      <c r="DB33" s="7"/>
      <c r="DC33" s="93">
        <v>0</v>
      </c>
      <c r="DD33" s="7"/>
      <c r="DE33" s="93">
        <v>0</v>
      </c>
      <c r="DF33" s="97">
        <f t="shared" si="39"/>
        <v>0</v>
      </c>
      <c r="DG33" s="98">
        <f t="shared" si="54"/>
        <v>0</v>
      </c>
      <c r="DH33" s="79"/>
      <c r="DI33" s="79">
        <v>0</v>
      </c>
      <c r="DJ33" s="154"/>
      <c r="DK33" s="212">
        <f t="shared" si="55"/>
        <v>0</v>
      </c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99">
        <f t="shared" si="56"/>
        <v>0</v>
      </c>
      <c r="EG33" s="99">
        <f t="shared" si="57"/>
        <v>0</v>
      </c>
    </row>
    <row r="34" spans="1:137" ht="20.100000000000001" customHeight="1">
      <c r="A34" s="63">
        <v>27</v>
      </c>
      <c r="B34" s="63" t="s">
        <v>44</v>
      </c>
      <c r="C34" s="63" t="s">
        <v>17</v>
      </c>
      <c r="D34" s="63">
        <f t="shared" si="62"/>
        <v>35</v>
      </c>
      <c r="E34" s="63">
        <v>0.6</v>
      </c>
      <c r="F34" s="63" t="s">
        <v>15</v>
      </c>
      <c r="G34" s="63"/>
      <c r="H34" s="7"/>
      <c r="I34" s="93">
        <f t="shared" si="60"/>
        <v>0</v>
      </c>
      <c r="J34" s="7"/>
      <c r="K34" s="93">
        <f t="shared" si="60"/>
        <v>0</v>
      </c>
      <c r="L34" s="7"/>
      <c r="M34" s="93">
        <f t="shared" si="2"/>
        <v>0</v>
      </c>
      <c r="N34" s="7"/>
      <c r="O34" s="93">
        <f t="shared" si="3"/>
        <v>0</v>
      </c>
      <c r="P34" s="7"/>
      <c r="Q34" s="93">
        <f t="shared" si="4"/>
        <v>0</v>
      </c>
      <c r="R34" s="7"/>
      <c r="S34" s="93">
        <f t="shared" si="5"/>
        <v>0</v>
      </c>
      <c r="T34" s="7"/>
      <c r="U34" s="93">
        <f t="shared" si="6"/>
        <v>0</v>
      </c>
      <c r="V34" s="7"/>
      <c r="W34" s="93">
        <f t="shared" si="7"/>
        <v>0</v>
      </c>
      <c r="X34" s="7"/>
      <c r="Y34" s="93">
        <f t="shared" si="8"/>
        <v>0</v>
      </c>
      <c r="Z34" s="7"/>
      <c r="AA34" s="93">
        <f t="shared" si="9"/>
        <v>0</v>
      </c>
      <c r="AB34" s="7"/>
      <c r="AC34" s="93">
        <f t="shared" si="10"/>
        <v>0</v>
      </c>
      <c r="AD34" s="7"/>
      <c r="AE34" s="93">
        <f t="shared" si="11"/>
        <v>0</v>
      </c>
      <c r="AF34" s="94">
        <f t="shared" si="40"/>
        <v>0</v>
      </c>
      <c r="AG34" s="95">
        <f t="shared" si="41"/>
        <v>0</v>
      </c>
      <c r="AH34" s="7"/>
      <c r="AI34" s="93">
        <f t="shared" si="13"/>
        <v>0</v>
      </c>
      <c r="AJ34" s="7"/>
      <c r="AK34" s="93">
        <f t="shared" si="14"/>
        <v>0</v>
      </c>
      <c r="AL34" s="7"/>
      <c r="AM34" s="93">
        <f t="shared" si="15"/>
        <v>0</v>
      </c>
      <c r="AN34" s="7"/>
      <c r="AO34" s="93">
        <f t="shared" si="16"/>
        <v>0</v>
      </c>
      <c r="AP34" s="7"/>
      <c r="AQ34" s="93">
        <f t="shared" si="17"/>
        <v>0</v>
      </c>
      <c r="AR34" s="7"/>
      <c r="AS34" s="93">
        <f t="shared" si="18"/>
        <v>0</v>
      </c>
      <c r="AT34" s="7"/>
      <c r="AU34" s="93">
        <f t="shared" si="19"/>
        <v>0</v>
      </c>
      <c r="AV34" s="7"/>
      <c r="AW34" s="93">
        <f t="shared" si="20"/>
        <v>0</v>
      </c>
      <c r="AX34" s="7"/>
      <c r="AY34" s="93">
        <f t="shared" si="21"/>
        <v>0</v>
      </c>
      <c r="AZ34" s="7"/>
      <c r="BA34" s="93">
        <f t="shared" si="22"/>
        <v>0</v>
      </c>
      <c r="BB34" s="7"/>
      <c r="BC34" s="93">
        <f t="shared" si="23"/>
        <v>0</v>
      </c>
      <c r="BD34" s="7"/>
      <c r="BE34" s="93">
        <f t="shared" si="24"/>
        <v>0</v>
      </c>
      <c r="BF34" s="94">
        <f t="shared" si="42"/>
        <v>0</v>
      </c>
      <c r="BG34" s="95">
        <f t="shared" si="43"/>
        <v>0</v>
      </c>
      <c r="BH34" s="7"/>
      <c r="BI34" s="93">
        <f t="shared" si="26"/>
        <v>0</v>
      </c>
      <c r="BJ34" s="7"/>
      <c r="BK34" s="93">
        <f t="shared" si="27"/>
        <v>0</v>
      </c>
      <c r="BL34" s="7"/>
      <c r="BM34" s="93">
        <f t="shared" si="61"/>
        <v>0</v>
      </c>
      <c r="BN34" s="7"/>
      <c r="BO34" s="93">
        <f t="shared" si="61"/>
        <v>0</v>
      </c>
      <c r="BP34" s="7"/>
      <c r="BQ34" s="93">
        <f t="shared" si="61"/>
        <v>0</v>
      </c>
      <c r="BR34" s="7"/>
      <c r="BS34" s="93">
        <f t="shared" si="61"/>
        <v>0</v>
      </c>
      <c r="BT34" s="7"/>
      <c r="BU34" s="93">
        <f t="shared" si="32"/>
        <v>0</v>
      </c>
      <c r="BV34" s="7"/>
      <c r="BW34" s="93">
        <f t="shared" si="33"/>
        <v>0</v>
      </c>
      <c r="BX34" s="7"/>
      <c r="BY34" s="93">
        <f t="shared" si="34"/>
        <v>0</v>
      </c>
      <c r="BZ34" s="7"/>
      <c r="CA34" s="93">
        <f t="shared" si="35"/>
        <v>0</v>
      </c>
      <c r="CB34" s="7"/>
      <c r="CC34" s="93">
        <f t="shared" si="36"/>
        <v>0</v>
      </c>
      <c r="CD34" s="7"/>
      <c r="CE34" s="93">
        <f t="shared" si="37"/>
        <v>0</v>
      </c>
      <c r="CF34" s="94">
        <f t="shared" si="44"/>
        <v>0</v>
      </c>
      <c r="CG34" s="95">
        <f t="shared" si="45"/>
        <v>0</v>
      </c>
      <c r="CH34" s="7"/>
      <c r="CI34" s="93">
        <f t="shared" si="46"/>
        <v>0</v>
      </c>
      <c r="CJ34" s="7"/>
      <c r="CK34" s="93">
        <f t="shared" si="47"/>
        <v>0</v>
      </c>
      <c r="CL34" s="7"/>
      <c r="CM34" s="93">
        <f t="shared" si="48"/>
        <v>0</v>
      </c>
      <c r="CN34" s="7"/>
      <c r="CO34" s="93">
        <f t="shared" si="49"/>
        <v>0</v>
      </c>
      <c r="CP34" s="7"/>
      <c r="CQ34" s="93">
        <f t="shared" si="50"/>
        <v>0</v>
      </c>
      <c r="CR34" s="7"/>
      <c r="CS34" s="93">
        <f t="shared" si="51"/>
        <v>0</v>
      </c>
      <c r="CT34" s="7"/>
      <c r="CU34" s="93">
        <f t="shared" si="52"/>
        <v>0</v>
      </c>
      <c r="CV34" s="7"/>
      <c r="CW34" s="93">
        <f t="shared" si="53"/>
        <v>0</v>
      </c>
      <c r="CX34" s="7"/>
      <c r="CY34" s="93">
        <v>0</v>
      </c>
      <c r="CZ34" s="7"/>
      <c r="DA34" s="93">
        <v>0</v>
      </c>
      <c r="DB34" s="7"/>
      <c r="DC34" s="93">
        <v>0</v>
      </c>
      <c r="DD34" s="7"/>
      <c r="DE34" s="93">
        <v>0</v>
      </c>
      <c r="DF34" s="97">
        <f t="shared" si="39"/>
        <v>0</v>
      </c>
      <c r="DG34" s="98">
        <f t="shared" si="54"/>
        <v>0</v>
      </c>
      <c r="DH34" s="79"/>
      <c r="DI34" s="79">
        <v>0</v>
      </c>
      <c r="DJ34" s="154"/>
      <c r="DK34" s="212">
        <f t="shared" si="55"/>
        <v>0</v>
      </c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99">
        <f t="shared" si="56"/>
        <v>0</v>
      </c>
      <c r="EG34" s="99">
        <f t="shared" si="57"/>
        <v>0</v>
      </c>
    </row>
    <row r="35" spans="1:137" ht="20.100000000000001" customHeight="1">
      <c r="A35" s="63">
        <v>28</v>
      </c>
      <c r="B35" s="63" t="s">
        <v>45</v>
      </c>
      <c r="C35" s="63" t="s">
        <v>17</v>
      </c>
      <c r="D35" s="63">
        <f t="shared" si="62"/>
        <v>35</v>
      </c>
      <c r="E35" s="63">
        <v>0.35</v>
      </c>
      <c r="F35" s="63" t="s">
        <v>21</v>
      </c>
      <c r="G35" s="63"/>
      <c r="H35" s="7"/>
      <c r="I35" s="93">
        <f t="shared" si="60"/>
        <v>0</v>
      </c>
      <c r="J35" s="7"/>
      <c r="K35" s="93">
        <f t="shared" si="60"/>
        <v>0</v>
      </c>
      <c r="L35" s="7"/>
      <c r="M35" s="93">
        <f t="shared" si="2"/>
        <v>0</v>
      </c>
      <c r="N35" s="7"/>
      <c r="O35" s="93">
        <f t="shared" si="3"/>
        <v>0</v>
      </c>
      <c r="P35" s="7"/>
      <c r="Q35" s="93">
        <f t="shared" si="4"/>
        <v>0</v>
      </c>
      <c r="R35" s="7"/>
      <c r="S35" s="93">
        <f t="shared" si="5"/>
        <v>0</v>
      </c>
      <c r="T35" s="7"/>
      <c r="U35" s="93">
        <f t="shared" si="6"/>
        <v>0</v>
      </c>
      <c r="V35" s="7"/>
      <c r="W35" s="93">
        <f t="shared" si="7"/>
        <v>0</v>
      </c>
      <c r="X35" s="7"/>
      <c r="Y35" s="93">
        <f t="shared" si="8"/>
        <v>0</v>
      </c>
      <c r="Z35" s="7"/>
      <c r="AA35" s="93">
        <f t="shared" si="9"/>
        <v>0</v>
      </c>
      <c r="AB35" s="7"/>
      <c r="AC35" s="93">
        <f t="shared" si="10"/>
        <v>0</v>
      </c>
      <c r="AD35" s="7"/>
      <c r="AE35" s="93">
        <f t="shared" si="11"/>
        <v>0</v>
      </c>
      <c r="AF35" s="94">
        <f t="shared" si="40"/>
        <v>0</v>
      </c>
      <c r="AG35" s="95">
        <f t="shared" si="41"/>
        <v>0</v>
      </c>
      <c r="AH35" s="7"/>
      <c r="AI35" s="93">
        <f t="shared" si="13"/>
        <v>0</v>
      </c>
      <c r="AJ35" s="7"/>
      <c r="AK35" s="93">
        <f t="shared" si="14"/>
        <v>0</v>
      </c>
      <c r="AL35" s="7"/>
      <c r="AM35" s="93">
        <f t="shared" si="15"/>
        <v>0</v>
      </c>
      <c r="AN35" s="7"/>
      <c r="AO35" s="93">
        <f t="shared" si="16"/>
        <v>0</v>
      </c>
      <c r="AP35" s="7"/>
      <c r="AQ35" s="93">
        <f t="shared" si="17"/>
        <v>0</v>
      </c>
      <c r="AR35" s="7"/>
      <c r="AS35" s="93">
        <f t="shared" si="18"/>
        <v>0</v>
      </c>
      <c r="AT35" s="7"/>
      <c r="AU35" s="93">
        <f t="shared" si="19"/>
        <v>0</v>
      </c>
      <c r="AV35" s="7"/>
      <c r="AW35" s="93">
        <f t="shared" si="20"/>
        <v>0</v>
      </c>
      <c r="AX35" s="7"/>
      <c r="AY35" s="93">
        <f t="shared" si="21"/>
        <v>0</v>
      </c>
      <c r="AZ35" s="7"/>
      <c r="BA35" s="93">
        <f t="shared" si="22"/>
        <v>0</v>
      </c>
      <c r="BB35" s="7"/>
      <c r="BC35" s="93">
        <f t="shared" si="23"/>
        <v>0</v>
      </c>
      <c r="BD35" s="7"/>
      <c r="BE35" s="93">
        <f t="shared" si="24"/>
        <v>0</v>
      </c>
      <c r="BF35" s="94">
        <f t="shared" si="42"/>
        <v>0</v>
      </c>
      <c r="BG35" s="95">
        <f t="shared" si="43"/>
        <v>0</v>
      </c>
      <c r="BH35" s="7"/>
      <c r="BI35" s="93">
        <f t="shared" si="26"/>
        <v>0</v>
      </c>
      <c r="BJ35" s="7"/>
      <c r="BK35" s="93">
        <f t="shared" si="27"/>
        <v>0</v>
      </c>
      <c r="BL35" s="7"/>
      <c r="BM35" s="93">
        <f t="shared" si="61"/>
        <v>0</v>
      </c>
      <c r="BN35" s="7"/>
      <c r="BO35" s="93">
        <f t="shared" si="61"/>
        <v>0</v>
      </c>
      <c r="BP35" s="7"/>
      <c r="BQ35" s="93">
        <f t="shared" si="61"/>
        <v>0</v>
      </c>
      <c r="BR35" s="7"/>
      <c r="BS35" s="93">
        <f t="shared" si="61"/>
        <v>0</v>
      </c>
      <c r="BT35" s="7"/>
      <c r="BU35" s="93">
        <f t="shared" si="32"/>
        <v>0</v>
      </c>
      <c r="BV35" s="7"/>
      <c r="BW35" s="93">
        <f t="shared" si="33"/>
        <v>0</v>
      </c>
      <c r="BX35" s="7"/>
      <c r="BY35" s="93">
        <f t="shared" si="34"/>
        <v>0</v>
      </c>
      <c r="BZ35" s="7"/>
      <c r="CA35" s="93">
        <f t="shared" si="35"/>
        <v>0</v>
      </c>
      <c r="CB35" s="7"/>
      <c r="CC35" s="93">
        <f t="shared" si="36"/>
        <v>0</v>
      </c>
      <c r="CD35" s="7"/>
      <c r="CE35" s="93">
        <f t="shared" si="37"/>
        <v>0</v>
      </c>
      <c r="CF35" s="94">
        <f t="shared" si="44"/>
        <v>0</v>
      </c>
      <c r="CG35" s="95">
        <f t="shared" si="45"/>
        <v>0</v>
      </c>
      <c r="CH35" s="7"/>
      <c r="CI35" s="93">
        <f t="shared" si="46"/>
        <v>0</v>
      </c>
      <c r="CJ35" s="7"/>
      <c r="CK35" s="93">
        <f t="shared" si="47"/>
        <v>0</v>
      </c>
      <c r="CL35" s="7"/>
      <c r="CM35" s="93">
        <f t="shared" si="48"/>
        <v>0</v>
      </c>
      <c r="CN35" s="7"/>
      <c r="CO35" s="93">
        <f t="shared" si="49"/>
        <v>0</v>
      </c>
      <c r="CP35" s="7"/>
      <c r="CQ35" s="93">
        <f t="shared" si="50"/>
        <v>0</v>
      </c>
      <c r="CR35" s="7"/>
      <c r="CS35" s="93">
        <f t="shared" si="51"/>
        <v>0</v>
      </c>
      <c r="CT35" s="7"/>
      <c r="CU35" s="93">
        <f t="shared" si="52"/>
        <v>0</v>
      </c>
      <c r="CV35" s="7"/>
      <c r="CW35" s="93">
        <f t="shared" si="53"/>
        <v>0</v>
      </c>
      <c r="CX35" s="7"/>
      <c r="CY35" s="93">
        <v>0</v>
      </c>
      <c r="CZ35" s="7"/>
      <c r="DA35" s="93">
        <v>0</v>
      </c>
      <c r="DB35" s="7"/>
      <c r="DC35" s="93">
        <v>0</v>
      </c>
      <c r="DD35" s="7"/>
      <c r="DE35" s="93">
        <v>0</v>
      </c>
      <c r="DF35" s="97">
        <f t="shared" si="39"/>
        <v>0</v>
      </c>
      <c r="DG35" s="98">
        <f t="shared" si="54"/>
        <v>0</v>
      </c>
      <c r="DH35" s="79"/>
      <c r="DI35" s="79">
        <v>0</v>
      </c>
      <c r="DJ35" s="154"/>
      <c r="DK35" s="212">
        <f t="shared" si="55"/>
        <v>0</v>
      </c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99">
        <f t="shared" si="56"/>
        <v>0</v>
      </c>
      <c r="EG35" s="99">
        <f t="shared" si="57"/>
        <v>0</v>
      </c>
    </row>
    <row r="36" spans="1:137" ht="20.100000000000001" customHeight="1">
      <c r="A36" s="63">
        <v>29</v>
      </c>
      <c r="B36" s="63" t="s">
        <v>46</v>
      </c>
      <c r="C36" s="63" t="s">
        <v>14</v>
      </c>
      <c r="D36" s="63">
        <f t="shared" si="62"/>
        <v>35</v>
      </c>
      <c r="E36" s="63">
        <v>0.7</v>
      </c>
      <c r="F36" s="63" t="s">
        <v>15</v>
      </c>
      <c r="G36" s="63">
        <v>1700</v>
      </c>
      <c r="H36" s="92">
        <v>25776</v>
      </c>
      <c r="I36" s="93">
        <f t="shared" si="60"/>
        <v>18043.199999999997</v>
      </c>
      <c r="J36" s="92">
        <v>20160</v>
      </c>
      <c r="K36" s="93">
        <f t="shared" si="60"/>
        <v>14112</v>
      </c>
      <c r="L36" s="92">
        <v>22660</v>
      </c>
      <c r="M36" s="93">
        <f t="shared" si="2"/>
        <v>15861.999999999998</v>
      </c>
      <c r="N36" s="92">
        <v>16679</v>
      </c>
      <c r="O36" s="93">
        <f t="shared" si="3"/>
        <v>11675.3</v>
      </c>
      <c r="P36" s="92">
        <v>12936</v>
      </c>
      <c r="Q36" s="93">
        <f t="shared" si="4"/>
        <v>9055.1999999999989</v>
      </c>
      <c r="R36" s="92">
        <v>12696</v>
      </c>
      <c r="S36" s="93">
        <f t="shared" si="5"/>
        <v>8887.1999999999989</v>
      </c>
      <c r="T36" s="92">
        <v>14820</v>
      </c>
      <c r="U36" s="93">
        <f t="shared" si="6"/>
        <v>10374</v>
      </c>
      <c r="V36" s="92">
        <v>24228</v>
      </c>
      <c r="W36" s="93">
        <f t="shared" si="7"/>
        <v>16959.599999999999</v>
      </c>
      <c r="X36" s="92">
        <v>9156</v>
      </c>
      <c r="Y36" s="93">
        <f t="shared" si="8"/>
        <v>6409.2</v>
      </c>
      <c r="Z36" s="92">
        <v>8520</v>
      </c>
      <c r="AA36" s="93">
        <f t="shared" si="9"/>
        <v>5964</v>
      </c>
      <c r="AB36" s="92">
        <v>10776</v>
      </c>
      <c r="AC36" s="93">
        <f t="shared" si="10"/>
        <v>7543.2</v>
      </c>
      <c r="AD36" s="92">
        <v>8832</v>
      </c>
      <c r="AE36" s="93">
        <f t="shared" si="11"/>
        <v>6182.4</v>
      </c>
      <c r="AF36" s="94">
        <f t="shared" si="40"/>
        <v>187239</v>
      </c>
      <c r="AG36" s="95">
        <f t="shared" si="41"/>
        <v>131067.29999999999</v>
      </c>
      <c r="AH36" s="92">
        <v>10740</v>
      </c>
      <c r="AI36" s="93">
        <f t="shared" si="13"/>
        <v>7517.9999999999991</v>
      </c>
      <c r="AJ36" s="92">
        <v>5988</v>
      </c>
      <c r="AK36" s="93">
        <f t="shared" si="14"/>
        <v>4191.5999999999995</v>
      </c>
      <c r="AL36" s="92">
        <v>9600</v>
      </c>
      <c r="AM36" s="93">
        <f t="shared" si="15"/>
        <v>6720</v>
      </c>
      <c r="AN36" s="92">
        <v>6972</v>
      </c>
      <c r="AO36" s="93">
        <f t="shared" si="16"/>
        <v>4880.3999999999996</v>
      </c>
      <c r="AP36" s="92">
        <v>6840</v>
      </c>
      <c r="AQ36" s="93">
        <f t="shared" si="17"/>
        <v>4788</v>
      </c>
      <c r="AR36" s="92">
        <v>7380</v>
      </c>
      <c r="AS36" s="93">
        <f t="shared" si="18"/>
        <v>5166</v>
      </c>
      <c r="AT36" s="92">
        <v>4404</v>
      </c>
      <c r="AU36" s="93">
        <f t="shared" si="19"/>
        <v>3082.7999999999997</v>
      </c>
      <c r="AV36" s="92">
        <v>6624</v>
      </c>
      <c r="AW36" s="93">
        <f t="shared" si="20"/>
        <v>4636.7999999999993</v>
      </c>
      <c r="AX36" s="92">
        <v>4282</v>
      </c>
      <c r="AY36" s="93">
        <f t="shared" si="21"/>
        <v>2997.3999999999996</v>
      </c>
      <c r="AZ36" s="92">
        <v>6540</v>
      </c>
      <c r="BA36" s="93">
        <f t="shared" si="22"/>
        <v>4578</v>
      </c>
      <c r="BB36" s="92">
        <v>5640</v>
      </c>
      <c r="BC36" s="93">
        <f t="shared" si="23"/>
        <v>3947.9999999999995</v>
      </c>
      <c r="BD36" s="92">
        <v>5580</v>
      </c>
      <c r="BE36" s="93">
        <f t="shared" si="24"/>
        <v>3905.9999999999995</v>
      </c>
      <c r="BF36" s="94">
        <f t="shared" si="42"/>
        <v>80590</v>
      </c>
      <c r="BG36" s="95">
        <f t="shared" si="43"/>
        <v>56413</v>
      </c>
      <c r="BH36" s="96">
        <v>6204</v>
      </c>
      <c r="BI36" s="93">
        <f t="shared" si="26"/>
        <v>4342.7999999999993</v>
      </c>
      <c r="BJ36" s="92">
        <v>5268</v>
      </c>
      <c r="BK36" s="93">
        <f t="shared" si="27"/>
        <v>3687.6</v>
      </c>
      <c r="BL36" s="92">
        <v>4440</v>
      </c>
      <c r="BM36" s="93">
        <f t="shared" si="61"/>
        <v>3108</v>
      </c>
      <c r="BN36" s="92">
        <v>3996</v>
      </c>
      <c r="BO36" s="93">
        <f t="shared" si="61"/>
        <v>2797.2</v>
      </c>
      <c r="BP36" s="92">
        <v>2436</v>
      </c>
      <c r="BQ36" s="93">
        <f t="shared" si="61"/>
        <v>1705.1999999999998</v>
      </c>
      <c r="BR36" s="92">
        <v>4006</v>
      </c>
      <c r="BS36" s="93">
        <f t="shared" si="61"/>
        <v>2804.2</v>
      </c>
      <c r="BT36" s="92">
        <v>4020</v>
      </c>
      <c r="BU36" s="93">
        <f t="shared" si="32"/>
        <v>2814</v>
      </c>
      <c r="BV36" s="92">
        <v>3900</v>
      </c>
      <c r="BW36" s="93">
        <f t="shared" si="33"/>
        <v>2730</v>
      </c>
      <c r="BX36" s="92">
        <v>4788</v>
      </c>
      <c r="BY36" s="93">
        <f t="shared" si="34"/>
        <v>3351.6</v>
      </c>
      <c r="BZ36" s="92">
        <v>4680</v>
      </c>
      <c r="CA36" s="93">
        <f t="shared" si="35"/>
        <v>3276</v>
      </c>
      <c r="CB36" s="92">
        <v>4452</v>
      </c>
      <c r="CC36" s="93">
        <f t="shared" si="36"/>
        <v>3116.3999999999996</v>
      </c>
      <c r="CD36" s="7">
        <v>5232</v>
      </c>
      <c r="CE36" s="93">
        <f t="shared" si="37"/>
        <v>3662.3999999999996</v>
      </c>
      <c r="CF36" s="94">
        <f t="shared" si="44"/>
        <v>53422</v>
      </c>
      <c r="CG36" s="95">
        <f t="shared" si="45"/>
        <v>37395.399999999994</v>
      </c>
      <c r="CH36" s="7"/>
      <c r="CI36" s="93">
        <f t="shared" si="46"/>
        <v>0</v>
      </c>
      <c r="CJ36" s="7"/>
      <c r="CK36" s="93">
        <f t="shared" si="47"/>
        <v>0</v>
      </c>
      <c r="CL36" s="7"/>
      <c r="CM36" s="93">
        <f t="shared" si="48"/>
        <v>0</v>
      </c>
      <c r="CN36" s="7"/>
      <c r="CO36" s="93">
        <f t="shared" si="49"/>
        <v>0</v>
      </c>
      <c r="CP36" s="7"/>
      <c r="CQ36" s="93">
        <f t="shared" si="50"/>
        <v>0</v>
      </c>
      <c r="CR36" s="7"/>
      <c r="CS36" s="93">
        <f t="shared" si="51"/>
        <v>0</v>
      </c>
      <c r="CT36" s="7"/>
      <c r="CU36" s="93">
        <f t="shared" si="52"/>
        <v>0</v>
      </c>
      <c r="CV36" s="7"/>
      <c r="CW36" s="93">
        <f t="shared" si="53"/>
        <v>0</v>
      </c>
      <c r="CX36" s="7"/>
      <c r="CY36" s="93">
        <v>0</v>
      </c>
      <c r="CZ36" s="7"/>
      <c r="DA36" s="93">
        <v>0</v>
      </c>
      <c r="DB36" s="7"/>
      <c r="DC36" s="93">
        <v>0</v>
      </c>
      <c r="DD36" s="7"/>
      <c r="DE36" s="93">
        <v>0</v>
      </c>
      <c r="DF36" s="97">
        <f t="shared" si="39"/>
        <v>0</v>
      </c>
      <c r="DG36" s="98">
        <f t="shared" si="54"/>
        <v>0</v>
      </c>
      <c r="DH36" s="79"/>
      <c r="DI36" s="79">
        <v>0</v>
      </c>
      <c r="DJ36" s="154"/>
      <c r="DK36" s="212">
        <f t="shared" si="55"/>
        <v>0</v>
      </c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99">
        <f t="shared" si="56"/>
        <v>0</v>
      </c>
      <c r="EG36" s="99">
        <f t="shared" si="57"/>
        <v>0</v>
      </c>
    </row>
    <row r="37" spans="1:137" ht="20.100000000000001" customHeight="1">
      <c r="A37" s="63">
        <v>30</v>
      </c>
      <c r="B37" s="63" t="s">
        <v>47</v>
      </c>
      <c r="C37" s="63" t="s">
        <v>14</v>
      </c>
      <c r="D37" s="63">
        <f t="shared" si="62"/>
        <v>17</v>
      </c>
      <c r="E37" s="63">
        <v>0.7</v>
      </c>
      <c r="F37" s="63" t="s">
        <v>15</v>
      </c>
      <c r="G37" s="63">
        <v>1800</v>
      </c>
      <c r="H37" s="7"/>
      <c r="I37" s="93">
        <f t="shared" si="60"/>
        <v>0</v>
      </c>
      <c r="J37" s="7"/>
      <c r="K37" s="93">
        <f t="shared" si="60"/>
        <v>0</v>
      </c>
      <c r="L37" s="7"/>
      <c r="M37" s="93">
        <f t="shared" si="2"/>
        <v>0</v>
      </c>
      <c r="N37" s="7"/>
      <c r="O37" s="93">
        <f t="shared" si="3"/>
        <v>0</v>
      </c>
      <c r="P37" s="7"/>
      <c r="Q37" s="93">
        <f t="shared" si="4"/>
        <v>0</v>
      </c>
      <c r="R37" s="7"/>
      <c r="S37" s="93">
        <f t="shared" si="5"/>
        <v>0</v>
      </c>
      <c r="T37" s="7"/>
      <c r="U37" s="93">
        <f t="shared" si="6"/>
        <v>0</v>
      </c>
      <c r="V37" s="7"/>
      <c r="W37" s="93">
        <f t="shared" si="7"/>
        <v>0</v>
      </c>
      <c r="X37" s="7"/>
      <c r="Y37" s="93">
        <f t="shared" si="8"/>
        <v>0</v>
      </c>
      <c r="Z37" s="7"/>
      <c r="AA37" s="93">
        <f t="shared" si="9"/>
        <v>0</v>
      </c>
      <c r="AB37" s="7"/>
      <c r="AC37" s="93">
        <f t="shared" si="10"/>
        <v>0</v>
      </c>
      <c r="AD37" s="7"/>
      <c r="AE37" s="93">
        <f t="shared" si="11"/>
        <v>0</v>
      </c>
      <c r="AF37" s="94">
        <f t="shared" si="40"/>
        <v>0</v>
      </c>
      <c r="AG37" s="95">
        <f t="shared" si="41"/>
        <v>0</v>
      </c>
      <c r="AH37" s="7"/>
      <c r="AI37" s="93">
        <f t="shared" si="13"/>
        <v>0</v>
      </c>
      <c r="AJ37" s="7"/>
      <c r="AK37" s="93">
        <f t="shared" si="14"/>
        <v>0</v>
      </c>
      <c r="AL37" s="7"/>
      <c r="AM37" s="93">
        <f t="shared" si="15"/>
        <v>0</v>
      </c>
      <c r="AN37" s="7"/>
      <c r="AO37" s="93">
        <f t="shared" si="16"/>
        <v>0</v>
      </c>
      <c r="AP37" s="7"/>
      <c r="AQ37" s="93">
        <f t="shared" si="17"/>
        <v>0</v>
      </c>
      <c r="AR37" s="7"/>
      <c r="AS37" s="93">
        <f t="shared" si="18"/>
        <v>0</v>
      </c>
      <c r="AT37" s="7"/>
      <c r="AU37" s="93">
        <f t="shared" si="19"/>
        <v>0</v>
      </c>
      <c r="AV37" s="7"/>
      <c r="AW37" s="93">
        <f t="shared" si="20"/>
        <v>0</v>
      </c>
      <c r="AX37" s="7"/>
      <c r="AY37" s="93">
        <f t="shared" si="21"/>
        <v>0</v>
      </c>
      <c r="AZ37" s="7"/>
      <c r="BA37" s="93">
        <f t="shared" si="22"/>
        <v>0</v>
      </c>
      <c r="BB37" s="7"/>
      <c r="BC37" s="93">
        <f t="shared" si="23"/>
        <v>0</v>
      </c>
      <c r="BD37" s="7"/>
      <c r="BE37" s="93">
        <f t="shared" si="24"/>
        <v>0</v>
      </c>
      <c r="BF37" s="94">
        <f t="shared" si="42"/>
        <v>0</v>
      </c>
      <c r="BG37" s="95">
        <f t="shared" si="43"/>
        <v>0</v>
      </c>
      <c r="BH37" s="7"/>
      <c r="BI37" s="93">
        <f t="shared" si="26"/>
        <v>0</v>
      </c>
      <c r="BJ37" s="92"/>
      <c r="BK37" s="93">
        <f t="shared" si="27"/>
        <v>0</v>
      </c>
      <c r="BL37" s="92"/>
      <c r="BM37" s="93">
        <f t="shared" si="61"/>
        <v>0</v>
      </c>
      <c r="BN37" s="92"/>
      <c r="BO37" s="93">
        <f t="shared" si="61"/>
        <v>0</v>
      </c>
      <c r="BP37" s="92"/>
      <c r="BQ37" s="93">
        <f t="shared" si="61"/>
        <v>0</v>
      </c>
      <c r="BR37" s="92"/>
      <c r="BS37" s="93">
        <f t="shared" si="61"/>
        <v>0</v>
      </c>
      <c r="BT37" s="92"/>
      <c r="BU37" s="93">
        <f t="shared" si="32"/>
        <v>0</v>
      </c>
      <c r="BV37" s="92"/>
      <c r="BW37" s="93">
        <f t="shared" si="33"/>
        <v>0</v>
      </c>
      <c r="BX37" s="92"/>
      <c r="BY37" s="93">
        <f t="shared" si="34"/>
        <v>0</v>
      </c>
      <c r="BZ37" s="92"/>
      <c r="CA37" s="93">
        <f t="shared" si="35"/>
        <v>0</v>
      </c>
      <c r="CB37" s="92"/>
      <c r="CC37" s="93">
        <f t="shared" si="36"/>
        <v>0</v>
      </c>
      <c r="CD37" s="7"/>
      <c r="CE37" s="93">
        <f t="shared" si="37"/>
        <v>0</v>
      </c>
      <c r="CF37" s="94">
        <f t="shared" si="44"/>
        <v>0</v>
      </c>
      <c r="CG37" s="95">
        <f t="shared" si="45"/>
        <v>0</v>
      </c>
      <c r="CH37" s="7">
        <v>4836</v>
      </c>
      <c r="CI37" s="93">
        <f t="shared" si="46"/>
        <v>3385.2</v>
      </c>
      <c r="CJ37" s="7">
        <v>3924</v>
      </c>
      <c r="CK37" s="93">
        <f t="shared" si="47"/>
        <v>2746.7999999999997</v>
      </c>
      <c r="CL37" s="7">
        <v>6216</v>
      </c>
      <c r="CM37" s="93">
        <f t="shared" si="48"/>
        <v>4351.2</v>
      </c>
      <c r="CN37" s="7">
        <v>1416</v>
      </c>
      <c r="CO37" s="93">
        <f t="shared" si="49"/>
        <v>991.19999999999993</v>
      </c>
      <c r="CP37" s="7">
        <v>2400</v>
      </c>
      <c r="CQ37" s="93">
        <f t="shared" si="50"/>
        <v>1680</v>
      </c>
      <c r="CR37" s="7">
        <v>4740</v>
      </c>
      <c r="CS37" s="93">
        <f t="shared" si="51"/>
        <v>3318</v>
      </c>
      <c r="CT37" s="7">
        <v>4320</v>
      </c>
      <c r="CU37" s="93">
        <f t="shared" si="52"/>
        <v>3024</v>
      </c>
      <c r="CV37" s="7">
        <v>3120</v>
      </c>
      <c r="CW37" s="93">
        <f t="shared" si="53"/>
        <v>2184</v>
      </c>
      <c r="CX37" s="7">
        <v>1824</v>
      </c>
      <c r="CY37" s="93">
        <v>1276.8</v>
      </c>
      <c r="CZ37" s="7">
        <v>4923</v>
      </c>
      <c r="DA37" s="93">
        <v>3446.1</v>
      </c>
      <c r="DB37" s="7">
        <v>2664</v>
      </c>
      <c r="DC37" s="93">
        <v>1864.8</v>
      </c>
      <c r="DD37" s="7">
        <v>4852</v>
      </c>
      <c r="DE37" s="93">
        <v>3396.3999999999996</v>
      </c>
      <c r="DF37" s="97">
        <f t="shared" si="39"/>
        <v>45235</v>
      </c>
      <c r="DG37" s="98">
        <f t="shared" si="54"/>
        <v>31664.499999999996</v>
      </c>
      <c r="DH37" s="79">
        <v>3300</v>
      </c>
      <c r="DI37" s="79">
        <v>2310</v>
      </c>
      <c r="DJ37" s="154">
        <v>2844</v>
      </c>
      <c r="DK37" s="212">
        <f t="shared" si="55"/>
        <v>1990.8</v>
      </c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99">
        <f t="shared" si="56"/>
        <v>6144</v>
      </c>
      <c r="EG37" s="99">
        <f t="shared" si="57"/>
        <v>4300.8</v>
      </c>
    </row>
    <row r="38" spans="1:137" ht="20.100000000000001" customHeight="1">
      <c r="A38" s="63">
        <v>31</v>
      </c>
      <c r="B38" s="63" t="s">
        <v>48</v>
      </c>
      <c r="C38" s="63" t="s">
        <v>14</v>
      </c>
      <c r="D38" s="63">
        <f t="shared" si="62"/>
        <v>27</v>
      </c>
      <c r="E38" s="63">
        <v>0.68</v>
      </c>
      <c r="F38" s="63" t="s">
        <v>15</v>
      </c>
      <c r="G38" s="63">
        <v>1550</v>
      </c>
      <c r="H38" s="7"/>
      <c r="I38" s="93">
        <f t="shared" si="60"/>
        <v>0</v>
      </c>
      <c r="J38" s="7"/>
      <c r="K38" s="93">
        <f t="shared" si="60"/>
        <v>0</v>
      </c>
      <c r="L38" s="7"/>
      <c r="M38" s="93">
        <f t="shared" si="2"/>
        <v>0</v>
      </c>
      <c r="N38" s="7"/>
      <c r="O38" s="93">
        <f t="shared" si="3"/>
        <v>0</v>
      </c>
      <c r="P38" s="7"/>
      <c r="Q38" s="93">
        <f t="shared" si="4"/>
        <v>0</v>
      </c>
      <c r="R38" s="7"/>
      <c r="S38" s="93">
        <f t="shared" si="5"/>
        <v>0</v>
      </c>
      <c r="T38" s="7"/>
      <c r="U38" s="93">
        <f t="shared" si="6"/>
        <v>0</v>
      </c>
      <c r="V38" s="7"/>
      <c r="W38" s="93">
        <f t="shared" si="7"/>
        <v>0</v>
      </c>
      <c r="X38" s="7"/>
      <c r="Y38" s="93">
        <f t="shared" si="8"/>
        <v>0</v>
      </c>
      <c r="Z38" s="7"/>
      <c r="AA38" s="93">
        <f t="shared" si="9"/>
        <v>0</v>
      </c>
      <c r="AB38" s="7"/>
      <c r="AC38" s="93">
        <f t="shared" si="10"/>
        <v>0</v>
      </c>
      <c r="AD38" s="7"/>
      <c r="AE38" s="93">
        <f t="shared" si="11"/>
        <v>0</v>
      </c>
      <c r="AF38" s="94">
        <f t="shared" si="40"/>
        <v>0</v>
      </c>
      <c r="AG38" s="95">
        <f t="shared" si="41"/>
        <v>0</v>
      </c>
      <c r="AH38" s="92"/>
      <c r="AI38" s="93">
        <f t="shared" si="13"/>
        <v>0</v>
      </c>
      <c r="AJ38" s="92"/>
      <c r="AK38" s="93">
        <f t="shared" si="14"/>
        <v>0</v>
      </c>
      <c r="AL38" s="92"/>
      <c r="AM38" s="93">
        <f t="shared" si="15"/>
        <v>0</v>
      </c>
      <c r="AN38" s="92"/>
      <c r="AO38" s="93">
        <f t="shared" si="16"/>
        <v>0</v>
      </c>
      <c r="AP38" s="92"/>
      <c r="AQ38" s="93">
        <f t="shared" si="17"/>
        <v>0</v>
      </c>
      <c r="AR38" s="92"/>
      <c r="AS38" s="93">
        <f t="shared" si="18"/>
        <v>0</v>
      </c>
      <c r="AT38" s="92"/>
      <c r="AU38" s="93">
        <f t="shared" si="19"/>
        <v>0</v>
      </c>
      <c r="AV38" s="92">
        <v>264</v>
      </c>
      <c r="AW38" s="93">
        <f t="shared" si="20"/>
        <v>179.52</v>
      </c>
      <c r="AX38" s="92">
        <v>1668</v>
      </c>
      <c r="AY38" s="93">
        <f t="shared" si="21"/>
        <v>1134.24</v>
      </c>
      <c r="AZ38" s="92">
        <v>4235</v>
      </c>
      <c r="BA38" s="93">
        <f t="shared" si="22"/>
        <v>2879.8</v>
      </c>
      <c r="BB38" s="92">
        <v>576</v>
      </c>
      <c r="BC38" s="93">
        <f t="shared" si="23"/>
        <v>391.68</v>
      </c>
      <c r="BD38" s="92">
        <v>324</v>
      </c>
      <c r="BE38" s="93">
        <f t="shared" si="24"/>
        <v>220.32000000000002</v>
      </c>
      <c r="BF38" s="94">
        <f t="shared" si="42"/>
        <v>7067</v>
      </c>
      <c r="BG38" s="95">
        <f t="shared" si="43"/>
        <v>4805.5600000000004</v>
      </c>
      <c r="BH38" s="96">
        <v>1200</v>
      </c>
      <c r="BI38" s="93">
        <f t="shared" si="26"/>
        <v>816.00000000000011</v>
      </c>
      <c r="BJ38" s="92">
        <v>611</v>
      </c>
      <c r="BK38" s="93">
        <f t="shared" si="27"/>
        <v>415.48</v>
      </c>
      <c r="BL38" s="92">
        <v>1647</v>
      </c>
      <c r="BM38" s="93">
        <f t="shared" si="61"/>
        <v>1119.96</v>
      </c>
      <c r="BN38" s="92">
        <v>1038</v>
      </c>
      <c r="BO38" s="93">
        <f t="shared" si="61"/>
        <v>705.84</v>
      </c>
      <c r="BP38" s="92">
        <v>283</v>
      </c>
      <c r="BQ38" s="93">
        <f t="shared" si="61"/>
        <v>192.44000000000003</v>
      </c>
      <c r="BR38" s="92">
        <v>674</v>
      </c>
      <c r="BS38" s="93">
        <f t="shared" si="61"/>
        <v>458.32000000000005</v>
      </c>
      <c r="BT38" s="92">
        <v>670</v>
      </c>
      <c r="BU38" s="93">
        <f t="shared" si="32"/>
        <v>455.6</v>
      </c>
      <c r="BV38" s="92">
        <v>624</v>
      </c>
      <c r="BW38" s="93">
        <f t="shared" si="33"/>
        <v>424.32000000000005</v>
      </c>
      <c r="BX38" s="92">
        <v>984</v>
      </c>
      <c r="BY38" s="93">
        <f t="shared" si="34"/>
        <v>669.12</v>
      </c>
      <c r="BZ38" s="92">
        <v>712</v>
      </c>
      <c r="CA38" s="93">
        <f t="shared" si="35"/>
        <v>484.16</v>
      </c>
      <c r="CB38" s="92">
        <v>528</v>
      </c>
      <c r="CC38" s="93">
        <f t="shared" si="36"/>
        <v>359.04</v>
      </c>
      <c r="CD38" s="7">
        <v>492</v>
      </c>
      <c r="CE38" s="93">
        <f t="shared" si="37"/>
        <v>334.56</v>
      </c>
      <c r="CF38" s="94">
        <f t="shared" si="44"/>
        <v>9463</v>
      </c>
      <c r="CG38" s="95">
        <f t="shared" si="45"/>
        <v>6434.84</v>
      </c>
      <c r="CH38" s="7">
        <v>360</v>
      </c>
      <c r="CI38" s="93">
        <f t="shared" si="46"/>
        <v>244.8</v>
      </c>
      <c r="CJ38" s="7">
        <v>360</v>
      </c>
      <c r="CK38" s="93">
        <f t="shared" si="47"/>
        <v>244.8</v>
      </c>
      <c r="CL38" s="7">
        <v>240</v>
      </c>
      <c r="CM38" s="93">
        <f t="shared" si="48"/>
        <v>163.20000000000002</v>
      </c>
      <c r="CN38" s="7">
        <v>1116</v>
      </c>
      <c r="CO38" s="93">
        <f t="shared" si="49"/>
        <v>758.88000000000011</v>
      </c>
      <c r="CP38" s="7">
        <v>480</v>
      </c>
      <c r="CQ38" s="93">
        <f t="shared" si="50"/>
        <v>326.40000000000003</v>
      </c>
      <c r="CR38" s="7">
        <v>420</v>
      </c>
      <c r="CS38" s="93">
        <f t="shared" si="51"/>
        <v>285.60000000000002</v>
      </c>
      <c r="CT38" s="7">
        <v>300</v>
      </c>
      <c r="CU38" s="93">
        <f t="shared" si="52"/>
        <v>204.00000000000003</v>
      </c>
      <c r="CV38" s="7">
        <v>180</v>
      </c>
      <c r="CW38" s="93">
        <f t="shared" si="53"/>
        <v>122.4</v>
      </c>
      <c r="CX38" s="7">
        <v>540</v>
      </c>
      <c r="CY38" s="93">
        <v>367.20000000000005</v>
      </c>
      <c r="CZ38" s="7">
        <v>96</v>
      </c>
      <c r="DA38" s="93">
        <v>65.28</v>
      </c>
      <c r="DB38" s="7">
        <v>96</v>
      </c>
      <c r="DC38" s="93">
        <v>65.28</v>
      </c>
      <c r="DD38" s="7">
        <v>72</v>
      </c>
      <c r="DE38" s="93">
        <v>48.96</v>
      </c>
      <c r="DF38" s="97">
        <f t="shared" si="39"/>
        <v>4260</v>
      </c>
      <c r="DG38" s="98">
        <f t="shared" si="54"/>
        <v>2896.8</v>
      </c>
      <c r="DH38" s="79">
        <v>96</v>
      </c>
      <c r="DI38" s="79">
        <v>65.28</v>
      </c>
      <c r="DJ38" s="154">
        <v>60</v>
      </c>
      <c r="DK38" s="212">
        <f t="shared" si="55"/>
        <v>40.800000000000004</v>
      </c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99">
        <f t="shared" si="56"/>
        <v>156</v>
      </c>
      <c r="EG38" s="99">
        <f t="shared" si="57"/>
        <v>106.08000000000001</v>
      </c>
    </row>
    <row r="39" spans="1:137" ht="20.100000000000001" customHeight="1">
      <c r="A39" s="63">
        <v>32</v>
      </c>
      <c r="B39" s="63" t="s">
        <v>48</v>
      </c>
      <c r="C39" s="63" t="s">
        <v>14</v>
      </c>
      <c r="D39" s="63">
        <f t="shared" si="62"/>
        <v>35</v>
      </c>
      <c r="E39" s="63">
        <v>0.64</v>
      </c>
      <c r="F39" s="63" t="s">
        <v>15</v>
      </c>
      <c r="G39" s="63"/>
      <c r="H39" s="7"/>
      <c r="I39" s="93">
        <f t="shared" si="60"/>
        <v>0</v>
      </c>
      <c r="J39" s="7"/>
      <c r="K39" s="93">
        <f t="shared" si="60"/>
        <v>0</v>
      </c>
      <c r="L39" s="7"/>
      <c r="M39" s="93">
        <f t="shared" si="2"/>
        <v>0</v>
      </c>
      <c r="N39" s="7"/>
      <c r="O39" s="93">
        <f t="shared" si="3"/>
        <v>0</v>
      </c>
      <c r="P39" s="7"/>
      <c r="Q39" s="93">
        <f t="shared" si="4"/>
        <v>0</v>
      </c>
      <c r="R39" s="7"/>
      <c r="S39" s="93">
        <f t="shared" si="5"/>
        <v>0</v>
      </c>
      <c r="T39" s="7"/>
      <c r="U39" s="93">
        <f t="shared" si="6"/>
        <v>0</v>
      </c>
      <c r="V39" s="7"/>
      <c r="W39" s="93">
        <f t="shared" si="7"/>
        <v>0</v>
      </c>
      <c r="X39" s="7"/>
      <c r="Y39" s="93">
        <f t="shared" si="8"/>
        <v>0</v>
      </c>
      <c r="Z39" s="7"/>
      <c r="AA39" s="93">
        <f t="shared" si="9"/>
        <v>0</v>
      </c>
      <c r="AB39" s="7"/>
      <c r="AC39" s="93">
        <f t="shared" si="10"/>
        <v>0</v>
      </c>
      <c r="AD39" s="7"/>
      <c r="AE39" s="93">
        <f t="shared" si="11"/>
        <v>0</v>
      </c>
      <c r="AF39" s="94">
        <f t="shared" si="40"/>
        <v>0</v>
      </c>
      <c r="AG39" s="95">
        <f t="shared" si="41"/>
        <v>0</v>
      </c>
      <c r="AH39" s="7"/>
      <c r="AI39" s="93">
        <f t="shared" si="13"/>
        <v>0</v>
      </c>
      <c r="AJ39" s="7"/>
      <c r="AK39" s="93">
        <f t="shared" si="14"/>
        <v>0</v>
      </c>
      <c r="AL39" s="7"/>
      <c r="AM39" s="93">
        <f t="shared" si="15"/>
        <v>0</v>
      </c>
      <c r="AN39" s="7"/>
      <c r="AO39" s="93">
        <f t="shared" si="16"/>
        <v>0</v>
      </c>
      <c r="AP39" s="7"/>
      <c r="AQ39" s="93">
        <f t="shared" si="17"/>
        <v>0</v>
      </c>
      <c r="AR39" s="7"/>
      <c r="AS39" s="93">
        <f t="shared" si="18"/>
        <v>0</v>
      </c>
      <c r="AT39" s="7"/>
      <c r="AU39" s="93">
        <f t="shared" si="19"/>
        <v>0</v>
      </c>
      <c r="AV39" s="7"/>
      <c r="AW39" s="93">
        <f t="shared" si="20"/>
        <v>0</v>
      </c>
      <c r="AX39" s="7"/>
      <c r="AY39" s="93">
        <f t="shared" si="21"/>
        <v>0</v>
      </c>
      <c r="AZ39" s="7"/>
      <c r="BA39" s="93">
        <f t="shared" si="22"/>
        <v>0</v>
      </c>
      <c r="BB39" s="7"/>
      <c r="BC39" s="93">
        <f t="shared" si="23"/>
        <v>0</v>
      </c>
      <c r="BD39" s="7"/>
      <c r="BE39" s="93">
        <f t="shared" si="24"/>
        <v>0</v>
      </c>
      <c r="BF39" s="94">
        <f t="shared" si="42"/>
        <v>0</v>
      </c>
      <c r="BG39" s="95">
        <f t="shared" si="43"/>
        <v>0</v>
      </c>
      <c r="BH39" s="7"/>
      <c r="BI39" s="93">
        <f t="shared" si="26"/>
        <v>0</v>
      </c>
      <c r="BJ39" s="7"/>
      <c r="BK39" s="93">
        <f t="shared" si="27"/>
        <v>0</v>
      </c>
      <c r="BL39" s="7"/>
      <c r="BM39" s="93">
        <f t="shared" si="61"/>
        <v>0</v>
      </c>
      <c r="BN39" s="7"/>
      <c r="BO39" s="93">
        <f t="shared" si="61"/>
        <v>0</v>
      </c>
      <c r="BP39" s="7"/>
      <c r="BQ39" s="93">
        <f t="shared" si="61"/>
        <v>0</v>
      </c>
      <c r="BR39" s="7"/>
      <c r="BS39" s="93">
        <f t="shared" si="61"/>
        <v>0</v>
      </c>
      <c r="BT39" s="7"/>
      <c r="BU39" s="93">
        <f t="shared" si="32"/>
        <v>0</v>
      </c>
      <c r="BV39" s="7"/>
      <c r="BW39" s="93">
        <f t="shared" si="33"/>
        <v>0</v>
      </c>
      <c r="BX39" s="7"/>
      <c r="BY39" s="93">
        <f t="shared" si="34"/>
        <v>0</v>
      </c>
      <c r="BZ39" s="7"/>
      <c r="CA39" s="93">
        <f t="shared" si="35"/>
        <v>0</v>
      </c>
      <c r="CB39" s="7"/>
      <c r="CC39" s="93">
        <f t="shared" si="36"/>
        <v>0</v>
      </c>
      <c r="CD39" s="7"/>
      <c r="CE39" s="93">
        <f t="shared" si="37"/>
        <v>0</v>
      </c>
      <c r="CF39" s="94">
        <f t="shared" si="44"/>
        <v>0</v>
      </c>
      <c r="CG39" s="95">
        <f t="shared" si="45"/>
        <v>0</v>
      </c>
      <c r="CH39" s="7"/>
      <c r="CI39" s="93">
        <f t="shared" si="46"/>
        <v>0</v>
      </c>
      <c r="CJ39" s="7"/>
      <c r="CK39" s="93">
        <f t="shared" si="47"/>
        <v>0</v>
      </c>
      <c r="CL39" s="7"/>
      <c r="CM39" s="93">
        <f t="shared" si="48"/>
        <v>0</v>
      </c>
      <c r="CN39" s="7"/>
      <c r="CO39" s="93">
        <f t="shared" si="49"/>
        <v>0</v>
      </c>
      <c r="CP39" s="7"/>
      <c r="CQ39" s="93">
        <f t="shared" si="50"/>
        <v>0</v>
      </c>
      <c r="CR39" s="7"/>
      <c r="CS39" s="93">
        <f t="shared" si="51"/>
        <v>0</v>
      </c>
      <c r="CT39" s="7"/>
      <c r="CU39" s="93">
        <f t="shared" si="52"/>
        <v>0</v>
      </c>
      <c r="CV39" s="7"/>
      <c r="CW39" s="93">
        <f t="shared" si="53"/>
        <v>0</v>
      </c>
      <c r="CX39" s="7"/>
      <c r="CY39" s="93">
        <v>0</v>
      </c>
      <c r="CZ39" s="7"/>
      <c r="DA39" s="93">
        <v>0</v>
      </c>
      <c r="DB39" s="7"/>
      <c r="DC39" s="93">
        <v>0</v>
      </c>
      <c r="DD39" s="7"/>
      <c r="DE39" s="93">
        <v>0</v>
      </c>
      <c r="DF39" s="97">
        <f t="shared" si="39"/>
        <v>0</v>
      </c>
      <c r="DG39" s="98">
        <f t="shared" si="54"/>
        <v>0</v>
      </c>
      <c r="DH39" s="79"/>
      <c r="DI39" s="79">
        <v>0</v>
      </c>
      <c r="DJ39" s="154"/>
      <c r="DK39" s="212">
        <f t="shared" si="55"/>
        <v>0</v>
      </c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99">
        <f t="shared" si="56"/>
        <v>0</v>
      </c>
      <c r="EG39" s="99">
        <f t="shared" si="57"/>
        <v>0</v>
      </c>
    </row>
    <row r="40" spans="1:137" ht="20.100000000000001" customHeight="1">
      <c r="A40" s="63">
        <v>33</v>
      </c>
      <c r="B40" s="63" t="s">
        <v>49</v>
      </c>
      <c r="C40" s="63" t="s">
        <v>14</v>
      </c>
      <c r="D40" s="63">
        <f t="shared" si="62"/>
        <v>35</v>
      </c>
      <c r="E40" s="63">
        <v>0.64</v>
      </c>
      <c r="F40" s="63" t="s">
        <v>25</v>
      </c>
      <c r="G40" s="63"/>
      <c r="H40" s="7"/>
      <c r="I40" s="93">
        <f t="shared" si="60"/>
        <v>0</v>
      </c>
      <c r="J40" s="7"/>
      <c r="K40" s="93">
        <f t="shared" si="60"/>
        <v>0</v>
      </c>
      <c r="L40" s="7"/>
      <c r="M40" s="93">
        <f t="shared" si="2"/>
        <v>0</v>
      </c>
      <c r="N40" s="7"/>
      <c r="O40" s="93">
        <f t="shared" si="3"/>
        <v>0</v>
      </c>
      <c r="P40" s="7"/>
      <c r="Q40" s="93">
        <f t="shared" si="4"/>
        <v>0</v>
      </c>
      <c r="R40" s="7"/>
      <c r="S40" s="93">
        <f t="shared" si="5"/>
        <v>0</v>
      </c>
      <c r="T40" s="7"/>
      <c r="U40" s="93">
        <f t="shared" si="6"/>
        <v>0</v>
      </c>
      <c r="V40" s="7"/>
      <c r="W40" s="93">
        <f t="shared" si="7"/>
        <v>0</v>
      </c>
      <c r="X40" s="7"/>
      <c r="Y40" s="93">
        <f t="shared" si="8"/>
        <v>0</v>
      </c>
      <c r="Z40" s="7"/>
      <c r="AA40" s="93">
        <f t="shared" si="9"/>
        <v>0</v>
      </c>
      <c r="AB40" s="7"/>
      <c r="AC40" s="93">
        <f t="shared" si="10"/>
        <v>0</v>
      </c>
      <c r="AD40" s="7"/>
      <c r="AE40" s="93">
        <f t="shared" si="11"/>
        <v>0</v>
      </c>
      <c r="AF40" s="94">
        <f t="shared" si="40"/>
        <v>0</v>
      </c>
      <c r="AG40" s="95">
        <f t="shared" si="41"/>
        <v>0</v>
      </c>
      <c r="AH40" s="7"/>
      <c r="AI40" s="93">
        <f t="shared" si="13"/>
        <v>0</v>
      </c>
      <c r="AJ40" s="7"/>
      <c r="AK40" s="93">
        <f t="shared" si="14"/>
        <v>0</v>
      </c>
      <c r="AL40" s="7"/>
      <c r="AM40" s="93">
        <f t="shared" si="15"/>
        <v>0</v>
      </c>
      <c r="AN40" s="7"/>
      <c r="AO40" s="93">
        <f t="shared" si="16"/>
        <v>0</v>
      </c>
      <c r="AP40" s="7"/>
      <c r="AQ40" s="93">
        <f t="shared" si="17"/>
        <v>0</v>
      </c>
      <c r="AR40" s="7"/>
      <c r="AS40" s="93">
        <f t="shared" si="18"/>
        <v>0</v>
      </c>
      <c r="AT40" s="7"/>
      <c r="AU40" s="93">
        <f t="shared" si="19"/>
        <v>0</v>
      </c>
      <c r="AV40" s="7"/>
      <c r="AW40" s="93">
        <f t="shared" si="20"/>
        <v>0</v>
      </c>
      <c r="AX40" s="7"/>
      <c r="AY40" s="93">
        <f t="shared" si="21"/>
        <v>0</v>
      </c>
      <c r="AZ40" s="7"/>
      <c r="BA40" s="93">
        <f t="shared" si="22"/>
        <v>0</v>
      </c>
      <c r="BB40" s="7"/>
      <c r="BC40" s="93">
        <f t="shared" si="23"/>
        <v>0</v>
      </c>
      <c r="BD40" s="7"/>
      <c r="BE40" s="93">
        <f t="shared" si="24"/>
        <v>0</v>
      </c>
      <c r="BF40" s="94">
        <f t="shared" si="42"/>
        <v>0</v>
      </c>
      <c r="BG40" s="95">
        <f t="shared" si="43"/>
        <v>0</v>
      </c>
      <c r="BH40" s="7"/>
      <c r="BI40" s="93">
        <f t="shared" si="26"/>
        <v>0</v>
      </c>
      <c r="BJ40" s="7"/>
      <c r="BK40" s="93">
        <f t="shared" si="27"/>
        <v>0</v>
      </c>
      <c r="BL40" s="7"/>
      <c r="BM40" s="93">
        <f t="shared" si="61"/>
        <v>0</v>
      </c>
      <c r="BN40" s="7"/>
      <c r="BO40" s="93">
        <f t="shared" si="61"/>
        <v>0</v>
      </c>
      <c r="BP40" s="7"/>
      <c r="BQ40" s="93">
        <f t="shared" si="61"/>
        <v>0</v>
      </c>
      <c r="BR40" s="7"/>
      <c r="BS40" s="93">
        <f t="shared" si="61"/>
        <v>0</v>
      </c>
      <c r="BT40" s="7"/>
      <c r="BU40" s="93">
        <f t="shared" si="32"/>
        <v>0</v>
      </c>
      <c r="BV40" s="7"/>
      <c r="BW40" s="93">
        <f t="shared" si="33"/>
        <v>0</v>
      </c>
      <c r="BX40" s="7"/>
      <c r="BY40" s="93">
        <f t="shared" si="34"/>
        <v>0</v>
      </c>
      <c r="BZ40" s="7"/>
      <c r="CA40" s="93">
        <f t="shared" si="35"/>
        <v>0</v>
      </c>
      <c r="CB40" s="7"/>
      <c r="CC40" s="93">
        <f t="shared" si="36"/>
        <v>0</v>
      </c>
      <c r="CD40" s="7"/>
      <c r="CE40" s="93">
        <f t="shared" si="37"/>
        <v>0</v>
      </c>
      <c r="CF40" s="94">
        <f t="shared" si="44"/>
        <v>0</v>
      </c>
      <c r="CG40" s="95">
        <f t="shared" si="45"/>
        <v>0</v>
      </c>
      <c r="CH40" s="7"/>
      <c r="CI40" s="93">
        <f t="shared" si="46"/>
        <v>0</v>
      </c>
      <c r="CJ40" s="7"/>
      <c r="CK40" s="93">
        <f t="shared" si="47"/>
        <v>0</v>
      </c>
      <c r="CL40" s="7"/>
      <c r="CM40" s="93">
        <f t="shared" si="48"/>
        <v>0</v>
      </c>
      <c r="CN40" s="7"/>
      <c r="CO40" s="93">
        <f t="shared" si="49"/>
        <v>0</v>
      </c>
      <c r="CP40" s="7"/>
      <c r="CQ40" s="93">
        <f t="shared" si="50"/>
        <v>0</v>
      </c>
      <c r="CR40" s="7"/>
      <c r="CS40" s="93">
        <f t="shared" si="51"/>
        <v>0</v>
      </c>
      <c r="CT40" s="7"/>
      <c r="CU40" s="93">
        <f t="shared" si="52"/>
        <v>0</v>
      </c>
      <c r="CV40" s="7"/>
      <c r="CW40" s="93">
        <f t="shared" si="53"/>
        <v>0</v>
      </c>
      <c r="CX40" s="7"/>
      <c r="CY40" s="93">
        <v>0</v>
      </c>
      <c r="CZ40" s="7"/>
      <c r="DA40" s="93">
        <v>0</v>
      </c>
      <c r="DB40" s="7"/>
      <c r="DC40" s="93">
        <v>0</v>
      </c>
      <c r="DD40" s="7"/>
      <c r="DE40" s="93">
        <v>0</v>
      </c>
      <c r="DF40" s="97">
        <f t="shared" si="39"/>
        <v>0</v>
      </c>
      <c r="DG40" s="98">
        <f t="shared" si="54"/>
        <v>0</v>
      </c>
      <c r="DH40" s="79"/>
      <c r="DI40" s="79">
        <v>0</v>
      </c>
      <c r="DJ40" s="154"/>
      <c r="DK40" s="212">
        <f t="shared" si="55"/>
        <v>0</v>
      </c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99">
        <f t="shared" si="56"/>
        <v>0</v>
      </c>
      <c r="EG40" s="99">
        <f t="shared" si="57"/>
        <v>0</v>
      </c>
    </row>
    <row r="41" spans="1:137" ht="20.100000000000001" customHeight="1">
      <c r="A41" s="63">
        <v>34</v>
      </c>
      <c r="B41" s="63" t="s">
        <v>47</v>
      </c>
      <c r="C41" s="63" t="s">
        <v>14</v>
      </c>
      <c r="D41" s="63">
        <f t="shared" si="62"/>
        <v>7</v>
      </c>
      <c r="E41" s="63">
        <v>0.64</v>
      </c>
      <c r="F41" s="63" t="s">
        <v>25</v>
      </c>
      <c r="G41" s="63">
        <v>1330</v>
      </c>
      <c r="H41" s="92">
        <v>39676</v>
      </c>
      <c r="I41" s="93">
        <f t="shared" si="60"/>
        <v>25392.639999999999</v>
      </c>
      <c r="J41" s="92">
        <v>47110</v>
      </c>
      <c r="K41" s="93">
        <f t="shared" si="60"/>
        <v>30150.400000000001</v>
      </c>
      <c r="L41" s="92">
        <v>48888</v>
      </c>
      <c r="M41" s="93">
        <f t="shared" si="2"/>
        <v>31288.32</v>
      </c>
      <c r="N41" s="92">
        <v>33124</v>
      </c>
      <c r="O41" s="93">
        <f t="shared" si="3"/>
        <v>21199.360000000001</v>
      </c>
      <c r="P41" s="92">
        <v>38360</v>
      </c>
      <c r="Q41" s="93">
        <f t="shared" si="4"/>
        <v>24550.400000000001</v>
      </c>
      <c r="R41" s="92">
        <v>36918</v>
      </c>
      <c r="S41" s="93">
        <f t="shared" si="5"/>
        <v>23627.52</v>
      </c>
      <c r="T41" s="92">
        <v>42098</v>
      </c>
      <c r="U41" s="93">
        <f t="shared" si="6"/>
        <v>26942.720000000001</v>
      </c>
      <c r="V41" s="92">
        <v>45248</v>
      </c>
      <c r="W41" s="93">
        <f t="shared" si="7"/>
        <v>28958.720000000001</v>
      </c>
      <c r="X41" s="92">
        <v>37324</v>
      </c>
      <c r="Y41" s="93">
        <f t="shared" si="8"/>
        <v>23887.360000000001</v>
      </c>
      <c r="Z41" s="92">
        <v>43708</v>
      </c>
      <c r="AA41" s="93">
        <f t="shared" si="9"/>
        <v>27973.119999999999</v>
      </c>
      <c r="AB41" s="92">
        <v>44828</v>
      </c>
      <c r="AC41" s="93">
        <f t="shared" si="10"/>
        <v>28689.920000000002</v>
      </c>
      <c r="AD41" s="92">
        <v>54670</v>
      </c>
      <c r="AE41" s="93">
        <f t="shared" si="11"/>
        <v>34988.800000000003</v>
      </c>
      <c r="AF41" s="94">
        <f t="shared" si="40"/>
        <v>511952</v>
      </c>
      <c r="AG41" s="95">
        <f t="shared" si="41"/>
        <v>327649.28000000003</v>
      </c>
      <c r="AH41" s="92">
        <v>53162</v>
      </c>
      <c r="AI41" s="93">
        <f t="shared" si="13"/>
        <v>34023.68</v>
      </c>
      <c r="AJ41" s="92">
        <v>47572</v>
      </c>
      <c r="AK41" s="93">
        <f t="shared" si="14"/>
        <v>30446.080000000002</v>
      </c>
      <c r="AL41" s="92">
        <v>52598</v>
      </c>
      <c r="AM41" s="93">
        <f t="shared" si="15"/>
        <v>33662.720000000001</v>
      </c>
      <c r="AN41" s="92">
        <v>43540</v>
      </c>
      <c r="AO41" s="93">
        <f t="shared" si="16"/>
        <v>27865.600000000002</v>
      </c>
      <c r="AP41" s="92">
        <v>34048</v>
      </c>
      <c r="AQ41" s="93">
        <f t="shared" si="17"/>
        <v>21790.720000000001</v>
      </c>
      <c r="AR41" s="92">
        <v>44774</v>
      </c>
      <c r="AS41" s="93">
        <f t="shared" si="18"/>
        <v>28655.360000000001</v>
      </c>
      <c r="AT41" s="92">
        <v>48580</v>
      </c>
      <c r="AU41" s="93">
        <f t="shared" si="19"/>
        <v>31091.200000000001</v>
      </c>
      <c r="AV41" s="92">
        <v>50008</v>
      </c>
      <c r="AW41" s="93">
        <f t="shared" si="20"/>
        <v>32005.119999999999</v>
      </c>
      <c r="AX41" s="92">
        <v>46382</v>
      </c>
      <c r="AY41" s="93">
        <f t="shared" si="21"/>
        <v>29684.48</v>
      </c>
      <c r="AZ41" s="92">
        <v>41111</v>
      </c>
      <c r="BA41" s="93">
        <f t="shared" si="22"/>
        <v>26311.040000000001</v>
      </c>
      <c r="BB41" s="92">
        <v>53928</v>
      </c>
      <c r="BC41" s="93">
        <f t="shared" si="23"/>
        <v>34513.919999999998</v>
      </c>
      <c r="BD41" s="92">
        <v>67326</v>
      </c>
      <c r="BE41" s="93">
        <f t="shared" si="24"/>
        <v>43088.639999999999</v>
      </c>
      <c r="BF41" s="94">
        <f t="shared" si="42"/>
        <v>583029</v>
      </c>
      <c r="BG41" s="95">
        <f t="shared" si="43"/>
        <v>373138.56</v>
      </c>
      <c r="BH41" s="96">
        <v>58324</v>
      </c>
      <c r="BI41" s="93">
        <f t="shared" si="26"/>
        <v>37327.360000000001</v>
      </c>
      <c r="BJ41" s="92">
        <v>52393</v>
      </c>
      <c r="BK41" s="93">
        <f t="shared" si="27"/>
        <v>33531.520000000004</v>
      </c>
      <c r="BL41" s="92">
        <v>52290</v>
      </c>
      <c r="BM41" s="93">
        <f t="shared" si="61"/>
        <v>33465.599999999999</v>
      </c>
      <c r="BN41" s="92">
        <v>51660</v>
      </c>
      <c r="BO41" s="93">
        <f t="shared" si="61"/>
        <v>33062.400000000001</v>
      </c>
      <c r="BP41" s="92">
        <v>50582</v>
      </c>
      <c r="BQ41" s="93">
        <f t="shared" si="61"/>
        <v>32372.48</v>
      </c>
      <c r="BR41" s="92">
        <v>50162</v>
      </c>
      <c r="BS41" s="93">
        <f t="shared" si="61"/>
        <v>32103.68</v>
      </c>
      <c r="BT41" s="92">
        <v>47579</v>
      </c>
      <c r="BU41" s="93">
        <f t="shared" si="32"/>
        <v>30450.560000000001</v>
      </c>
      <c r="BV41" s="92">
        <v>54922</v>
      </c>
      <c r="BW41" s="93">
        <f t="shared" si="33"/>
        <v>35150.080000000002</v>
      </c>
      <c r="BX41" s="92">
        <v>54362</v>
      </c>
      <c r="BY41" s="93">
        <f t="shared" si="34"/>
        <v>34791.68</v>
      </c>
      <c r="BZ41" s="92">
        <v>53634</v>
      </c>
      <c r="CA41" s="93">
        <f t="shared" si="35"/>
        <v>34325.760000000002</v>
      </c>
      <c r="CB41" s="92">
        <v>53928</v>
      </c>
      <c r="CC41" s="93">
        <f t="shared" si="36"/>
        <v>34513.919999999998</v>
      </c>
      <c r="CD41" s="7">
        <v>54544</v>
      </c>
      <c r="CE41" s="93">
        <f t="shared" si="37"/>
        <v>34908.160000000003</v>
      </c>
      <c r="CF41" s="94">
        <f t="shared" si="44"/>
        <v>634380</v>
      </c>
      <c r="CG41" s="95">
        <f t="shared" si="45"/>
        <v>406003.20000000001</v>
      </c>
      <c r="CH41" s="7">
        <v>57739</v>
      </c>
      <c r="CI41" s="93">
        <f t="shared" si="46"/>
        <v>36952.959999999999</v>
      </c>
      <c r="CJ41" s="7">
        <v>45556</v>
      </c>
      <c r="CK41" s="93">
        <f t="shared" si="47"/>
        <v>29155.84</v>
      </c>
      <c r="CL41" s="7">
        <v>63224</v>
      </c>
      <c r="CM41" s="93">
        <f t="shared" si="48"/>
        <v>40463.360000000001</v>
      </c>
      <c r="CN41" s="7">
        <v>50397</v>
      </c>
      <c r="CO41" s="93">
        <f t="shared" si="49"/>
        <v>32254.080000000002</v>
      </c>
      <c r="CP41" s="7">
        <v>50260</v>
      </c>
      <c r="CQ41" s="93">
        <f t="shared" si="50"/>
        <v>32166.400000000001</v>
      </c>
      <c r="CR41" s="7">
        <v>51932</v>
      </c>
      <c r="CS41" s="93">
        <f t="shared" si="51"/>
        <v>33236.480000000003</v>
      </c>
      <c r="CT41" s="7">
        <v>43064</v>
      </c>
      <c r="CU41" s="93">
        <f t="shared" si="52"/>
        <v>27560.959999999999</v>
      </c>
      <c r="CV41" s="7">
        <v>45798</v>
      </c>
      <c r="CW41" s="93">
        <f t="shared" si="53"/>
        <v>29310.720000000001</v>
      </c>
      <c r="CX41" s="7">
        <v>44562</v>
      </c>
      <c r="CY41" s="93">
        <v>28519.68</v>
      </c>
      <c r="CZ41" s="7">
        <v>51382</v>
      </c>
      <c r="DA41" s="93">
        <v>32884.480000000003</v>
      </c>
      <c r="DB41" s="7">
        <v>49140</v>
      </c>
      <c r="DC41" s="93">
        <v>31449.600000000002</v>
      </c>
      <c r="DD41" s="7">
        <v>69160</v>
      </c>
      <c r="DE41" s="93">
        <v>44262.400000000001</v>
      </c>
      <c r="DF41" s="97">
        <f t="shared" si="39"/>
        <v>622214</v>
      </c>
      <c r="DG41" s="98">
        <f t="shared" si="54"/>
        <v>398216.96000000002</v>
      </c>
      <c r="DH41" s="79">
        <v>47432</v>
      </c>
      <c r="DI41" s="79">
        <v>30356.48</v>
      </c>
      <c r="DJ41" s="154">
        <v>37828</v>
      </c>
      <c r="DK41" s="212">
        <f t="shared" si="55"/>
        <v>24209.920000000002</v>
      </c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99">
        <f t="shared" si="56"/>
        <v>85260</v>
      </c>
      <c r="EG41" s="99">
        <f t="shared" si="57"/>
        <v>54566.400000000001</v>
      </c>
    </row>
    <row r="42" spans="1:137" ht="20.100000000000001" customHeight="1">
      <c r="A42" s="63">
        <v>35</v>
      </c>
      <c r="B42" s="63" t="s">
        <v>47</v>
      </c>
      <c r="C42" s="63" t="s">
        <v>14</v>
      </c>
      <c r="D42" s="63">
        <f t="shared" si="62"/>
        <v>35</v>
      </c>
      <c r="E42" s="63">
        <v>0.64</v>
      </c>
      <c r="F42" s="63" t="s">
        <v>24</v>
      </c>
      <c r="G42" s="63"/>
      <c r="H42" s="7"/>
      <c r="I42" s="93">
        <f t="shared" si="60"/>
        <v>0</v>
      </c>
      <c r="J42" s="7"/>
      <c r="K42" s="93">
        <f t="shared" si="60"/>
        <v>0</v>
      </c>
      <c r="L42" s="7"/>
      <c r="M42" s="93">
        <f t="shared" si="2"/>
        <v>0</v>
      </c>
      <c r="N42" s="7"/>
      <c r="O42" s="93">
        <f t="shared" si="3"/>
        <v>0</v>
      </c>
      <c r="P42" s="7"/>
      <c r="Q42" s="93">
        <f t="shared" si="4"/>
        <v>0</v>
      </c>
      <c r="R42" s="7"/>
      <c r="S42" s="93">
        <f t="shared" si="5"/>
        <v>0</v>
      </c>
      <c r="T42" s="7"/>
      <c r="U42" s="93">
        <f t="shared" si="6"/>
        <v>0</v>
      </c>
      <c r="V42" s="7"/>
      <c r="W42" s="93">
        <f t="shared" si="7"/>
        <v>0</v>
      </c>
      <c r="X42" s="7"/>
      <c r="Y42" s="93">
        <f t="shared" si="8"/>
        <v>0</v>
      </c>
      <c r="Z42" s="7"/>
      <c r="AA42" s="93">
        <f t="shared" si="9"/>
        <v>0</v>
      </c>
      <c r="AB42" s="7"/>
      <c r="AC42" s="93">
        <f t="shared" si="10"/>
        <v>0</v>
      </c>
      <c r="AD42" s="7"/>
      <c r="AE42" s="93">
        <f t="shared" si="11"/>
        <v>0</v>
      </c>
      <c r="AF42" s="94">
        <f t="shared" si="40"/>
        <v>0</v>
      </c>
      <c r="AG42" s="95">
        <f t="shared" si="41"/>
        <v>0</v>
      </c>
      <c r="AH42" s="7"/>
      <c r="AI42" s="93">
        <f t="shared" si="13"/>
        <v>0</v>
      </c>
      <c r="AJ42" s="7"/>
      <c r="AK42" s="93">
        <f t="shared" si="14"/>
        <v>0</v>
      </c>
      <c r="AL42" s="7"/>
      <c r="AM42" s="93">
        <f t="shared" si="15"/>
        <v>0</v>
      </c>
      <c r="AN42" s="7"/>
      <c r="AO42" s="93">
        <f t="shared" si="16"/>
        <v>0</v>
      </c>
      <c r="AP42" s="7"/>
      <c r="AQ42" s="93">
        <f t="shared" si="17"/>
        <v>0</v>
      </c>
      <c r="AR42" s="7"/>
      <c r="AS42" s="93">
        <f t="shared" si="18"/>
        <v>0</v>
      </c>
      <c r="AT42" s="7"/>
      <c r="AU42" s="93">
        <f t="shared" si="19"/>
        <v>0</v>
      </c>
      <c r="AV42" s="7"/>
      <c r="AW42" s="93">
        <f t="shared" si="20"/>
        <v>0</v>
      </c>
      <c r="AX42" s="7"/>
      <c r="AY42" s="93">
        <f t="shared" si="21"/>
        <v>0</v>
      </c>
      <c r="AZ42" s="7"/>
      <c r="BA42" s="93">
        <f t="shared" si="22"/>
        <v>0</v>
      </c>
      <c r="BB42" s="7"/>
      <c r="BC42" s="93">
        <f t="shared" si="23"/>
        <v>0</v>
      </c>
      <c r="BD42" s="7"/>
      <c r="BE42" s="93">
        <f t="shared" si="24"/>
        <v>0</v>
      </c>
      <c r="BF42" s="94">
        <f t="shared" si="42"/>
        <v>0</v>
      </c>
      <c r="BG42" s="95">
        <f t="shared" si="43"/>
        <v>0</v>
      </c>
      <c r="BH42" s="7"/>
      <c r="BI42" s="93">
        <f t="shared" si="26"/>
        <v>0</v>
      </c>
      <c r="BJ42" s="7"/>
      <c r="BK42" s="93">
        <f t="shared" si="27"/>
        <v>0</v>
      </c>
      <c r="BL42" s="7"/>
      <c r="BM42" s="93">
        <f t="shared" si="61"/>
        <v>0</v>
      </c>
      <c r="BN42" s="7"/>
      <c r="BO42" s="93">
        <f t="shared" si="61"/>
        <v>0</v>
      </c>
      <c r="BP42" s="7"/>
      <c r="BQ42" s="93">
        <f t="shared" si="61"/>
        <v>0</v>
      </c>
      <c r="BR42" s="7"/>
      <c r="BS42" s="93">
        <f t="shared" si="61"/>
        <v>0</v>
      </c>
      <c r="BT42" s="7"/>
      <c r="BU42" s="93">
        <f t="shared" si="32"/>
        <v>0</v>
      </c>
      <c r="BV42" s="7"/>
      <c r="BW42" s="93">
        <f t="shared" si="33"/>
        <v>0</v>
      </c>
      <c r="BX42" s="7"/>
      <c r="BY42" s="93">
        <f t="shared" si="34"/>
        <v>0</v>
      </c>
      <c r="BZ42" s="7"/>
      <c r="CA42" s="93">
        <f t="shared" si="35"/>
        <v>0</v>
      </c>
      <c r="CB42" s="7"/>
      <c r="CC42" s="93">
        <f t="shared" si="36"/>
        <v>0</v>
      </c>
      <c r="CD42" s="7"/>
      <c r="CE42" s="93">
        <f t="shared" si="37"/>
        <v>0</v>
      </c>
      <c r="CF42" s="94">
        <f t="shared" si="44"/>
        <v>0</v>
      </c>
      <c r="CG42" s="95">
        <f t="shared" si="45"/>
        <v>0</v>
      </c>
      <c r="CH42" s="7"/>
      <c r="CI42" s="93">
        <f t="shared" si="46"/>
        <v>0</v>
      </c>
      <c r="CJ42" s="7"/>
      <c r="CK42" s="93">
        <f t="shared" si="47"/>
        <v>0</v>
      </c>
      <c r="CL42" s="7"/>
      <c r="CM42" s="93">
        <f t="shared" si="48"/>
        <v>0</v>
      </c>
      <c r="CN42" s="7"/>
      <c r="CO42" s="93">
        <f t="shared" si="49"/>
        <v>0</v>
      </c>
      <c r="CP42" s="7"/>
      <c r="CQ42" s="93">
        <f t="shared" si="50"/>
        <v>0</v>
      </c>
      <c r="CR42" s="7"/>
      <c r="CS42" s="93">
        <f t="shared" si="51"/>
        <v>0</v>
      </c>
      <c r="CT42" s="7"/>
      <c r="CU42" s="93">
        <f t="shared" si="52"/>
        <v>0</v>
      </c>
      <c r="CV42" s="7"/>
      <c r="CW42" s="93">
        <f t="shared" si="53"/>
        <v>0</v>
      </c>
      <c r="CX42" s="7"/>
      <c r="CY42" s="93">
        <v>0</v>
      </c>
      <c r="CZ42" s="7"/>
      <c r="DA42" s="93">
        <v>0</v>
      </c>
      <c r="DB42" s="7"/>
      <c r="DC42" s="93">
        <v>0</v>
      </c>
      <c r="DD42" s="7"/>
      <c r="DE42" s="93">
        <v>0</v>
      </c>
      <c r="DF42" s="97">
        <f t="shared" si="39"/>
        <v>0</v>
      </c>
      <c r="DG42" s="98">
        <f t="shared" si="54"/>
        <v>0</v>
      </c>
      <c r="DH42" s="79"/>
      <c r="DI42" s="79">
        <v>0</v>
      </c>
      <c r="DJ42" s="154"/>
      <c r="DK42" s="212">
        <f t="shared" si="55"/>
        <v>0</v>
      </c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99">
        <f t="shared" si="56"/>
        <v>0</v>
      </c>
      <c r="EG42" s="99">
        <f t="shared" si="57"/>
        <v>0</v>
      </c>
    </row>
    <row r="43" spans="1:137" ht="20.100000000000001" customHeight="1">
      <c r="A43" s="63">
        <v>36</v>
      </c>
      <c r="B43" s="63" t="s">
        <v>50</v>
      </c>
      <c r="C43" s="63" t="s">
        <v>14</v>
      </c>
      <c r="D43" s="63">
        <f t="shared" si="62"/>
        <v>35</v>
      </c>
      <c r="E43" s="63">
        <v>0.68</v>
      </c>
      <c r="F43" s="63" t="s">
        <v>25</v>
      </c>
      <c r="G43" s="63"/>
      <c r="H43" s="7"/>
      <c r="I43" s="93">
        <f t="shared" si="60"/>
        <v>0</v>
      </c>
      <c r="J43" s="7"/>
      <c r="K43" s="93">
        <f t="shared" si="60"/>
        <v>0</v>
      </c>
      <c r="L43" s="7"/>
      <c r="M43" s="93">
        <f t="shared" si="2"/>
        <v>0</v>
      </c>
      <c r="N43" s="7"/>
      <c r="O43" s="93">
        <f t="shared" si="3"/>
        <v>0</v>
      </c>
      <c r="P43" s="7"/>
      <c r="Q43" s="93">
        <f t="shared" si="4"/>
        <v>0</v>
      </c>
      <c r="R43" s="7"/>
      <c r="S43" s="93">
        <f t="shared" si="5"/>
        <v>0</v>
      </c>
      <c r="T43" s="7"/>
      <c r="U43" s="93">
        <f t="shared" si="6"/>
        <v>0</v>
      </c>
      <c r="V43" s="7"/>
      <c r="W43" s="93">
        <f t="shared" si="7"/>
        <v>0</v>
      </c>
      <c r="X43" s="7"/>
      <c r="Y43" s="93">
        <f t="shared" si="8"/>
        <v>0</v>
      </c>
      <c r="Z43" s="7"/>
      <c r="AA43" s="93">
        <f t="shared" si="9"/>
        <v>0</v>
      </c>
      <c r="AB43" s="7"/>
      <c r="AC43" s="93">
        <f t="shared" si="10"/>
        <v>0</v>
      </c>
      <c r="AD43" s="7"/>
      <c r="AE43" s="93">
        <f t="shared" si="11"/>
        <v>0</v>
      </c>
      <c r="AF43" s="94">
        <f t="shared" si="40"/>
        <v>0</v>
      </c>
      <c r="AG43" s="95">
        <f t="shared" si="41"/>
        <v>0</v>
      </c>
      <c r="AH43" s="7"/>
      <c r="AI43" s="93">
        <f t="shared" si="13"/>
        <v>0</v>
      </c>
      <c r="AJ43" s="7"/>
      <c r="AK43" s="93">
        <f t="shared" si="14"/>
        <v>0</v>
      </c>
      <c r="AL43" s="7"/>
      <c r="AM43" s="93">
        <f t="shared" si="15"/>
        <v>0</v>
      </c>
      <c r="AN43" s="7"/>
      <c r="AO43" s="93">
        <f t="shared" si="16"/>
        <v>0</v>
      </c>
      <c r="AP43" s="7"/>
      <c r="AQ43" s="93">
        <f t="shared" si="17"/>
        <v>0</v>
      </c>
      <c r="AR43" s="7"/>
      <c r="AS43" s="93">
        <f t="shared" si="18"/>
        <v>0</v>
      </c>
      <c r="AT43" s="7"/>
      <c r="AU43" s="93">
        <f t="shared" si="19"/>
        <v>0</v>
      </c>
      <c r="AV43" s="7"/>
      <c r="AW43" s="93">
        <f t="shared" si="20"/>
        <v>0</v>
      </c>
      <c r="AX43" s="7"/>
      <c r="AY43" s="93">
        <f t="shared" si="21"/>
        <v>0</v>
      </c>
      <c r="AZ43" s="7"/>
      <c r="BA43" s="93">
        <f t="shared" si="22"/>
        <v>0</v>
      </c>
      <c r="BB43" s="7"/>
      <c r="BC43" s="93">
        <f t="shared" si="23"/>
        <v>0</v>
      </c>
      <c r="BD43" s="7"/>
      <c r="BE43" s="93">
        <f t="shared" si="24"/>
        <v>0</v>
      </c>
      <c r="BF43" s="94">
        <f t="shared" si="42"/>
        <v>0</v>
      </c>
      <c r="BG43" s="95">
        <f t="shared" si="43"/>
        <v>0</v>
      </c>
      <c r="BH43" s="7"/>
      <c r="BI43" s="93">
        <f t="shared" si="26"/>
        <v>0</v>
      </c>
      <c r="BJ43" s="7"/>
      <c r="BK43" s="93">
        <f t="shared" si="27"/>
        <v>0</v>
      </c>
      <c r="BL43" s="7"/>
      <c r="BM43" s="93">
        <f t="shared" si="61"/>
        <v>0</v>
      </c>
      <c r="BN43" s="7"/>
      <c r="BO43" s="93">
        <f t="shared" si="61"/>
        <v>0</v>
      </c>
      <c r="BP43" s="7"/>
      <c r="BQ43" s="93">
        <f t="shared" si="61"/>
        <v>0</v>
      </c>
      <c r="BR43" s="7"/>
      <c r="BS43" s="93">
        <f t="shared" si="61"/>
        <v>0</v>
      </c>
      <c r="BT43" s="7"/>
      <c r="BU43" s="93">
        <f t="shared" si="32"/>
        <v>0</v>
      </c>
      <c r="BV43" s="7"/>
      <c r="BW43" s="93">
        <f t="shared" si="33"/>
        <v>0</v>
      </c>
      <c r="BX43" s="7"/>
      <c r="BY43" s="93">
        <f t="shared" si="34"/>
        <v>0</v>
      </c>
      <c r="BZ43" s="7"/>
      <c r="CA43" s="93">
        <f t="shared" si="35"/>
        <v>0</v>
      </c>
      <c r="CB43" s="7"/>
      <c r="CC43" s="93">
        <f t="shared" si="36"/>
        <v>0</v>
      </c>
      <c r="CD43" s="7"/>
      <c r="CE43" s="93">
        <f t="shared" si="37"/>
        <v>0</v>
      </c>
      <c r="CF43" s="94">
        <f t="shared" si="44"/>
        <v>0</v>
      </c>
      <c r="CG43" s="95">
        <f t="shared" si="45"/>
        <v>0</v>
      </c>
      <c r="CH43" s="7"/>
      <c r="CI43" s="93">
        <f t="shared" si="46"/>
        <v>0</v>
      </c>
      <c r="CJ43" s="7"/>
      <c r="CK43" s="93">
        <f t="shared" si="47"/>
        <v>0</v>
      </c>
      <c r="CL43" s="7"/>
      <c r="CM43" s="93">
        <f t="shared" si="48"/>
        <v>0</v>
      </c>
      <c r="CN43" s="7"/>
      <c r="CO43" s="93">
        <f t="shared" si="49"/>
        <v>0</v>
      </c>
      <c r="CP43" s="7"/>
      <c r="CQ43" s="93">
        <f t="shared" si="50"/>
        <v>0</v>
      </c>
      <c r="CR43" s="7"/>
      <c r="CS43" s="93">
        <f t="shared" si="51"/>
        <v>0</v>
      </c>
      <c r="CT43" s="7"/>
      <c r="CU43" s="93">
        <f t="shared" si="52"/>
        <v>0</v>
      </c>
      <c r="CV43" s="7"/>
      <c r="CW43" s="93">
        <f t="shared" si="53"/>
        <v>0</v>
      </c>
      <c r="CX43" s="7"/>
      <c r="CY43" s="93">
        <v>0</v>
      </c>
      <c r="CZ43" s="7"/>
      <c r="DA43" s="93">
        <v>0</v>
      </c>
      <c r="DB43" s="7"/>
      <c r="DC43" s="93">
        <v>0</v>
      </c>
      <c r="DD43" s="7"/>
      <c r="DE43" s="93">
        <v>0</v>
      </c>
      <c r="DF43" s="97">
        <f t="shared" si="39"/>
        <v>0</v>
      </c>
      <c r="DG43" s="98">
        <f t="shared" si="54"/>
        <v>0</v>
      </c>
      <c r="DH43" s="79"/>
      <c r="DI43" s="79">
        <v>0</v>
      </c>
      <c r="DJ43" s="154"/>
      <c r="DK43" s="212">
        <f t="shared" si="55"/>
        <v>0</v>
      </c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99">
        <f t="shared" si="56"/>
        <v>0</v>
      </c>
      <c r="EG43" s="99">
        <f t="shared" si="57"/>
        <v>0</v>
      </c>
    </row>
    <row r="44" spans="1:137" ht="20.100000000000001" customHeight="1">
      <c r="A44" s="63">
        <v>37</v>
      </c>
      <c r="B44" s="63" t="s">
        <v>50</v>
      </c>
      <c r="C44" s="63" t="s">
        <v>14</v>
      </c>
      <c r="D44" s="63">
        <f t="shared" si="62"/>
        <v>20</v>
      </c>
      <c r="E44" s="63">
        <v>0.64</v>
      </c>
      <c r="F44" s="63" t="s">
        <v>25</v>
      </c>
      <c r="G44" s="63">
        <v>1600</v>
      </c>
      <c r="H44" s="7"/>
      <c r="I44" s="93">
        <f t="shared" si="60"/>
        <v>0</v>
      </c>
      <c r="J44" s="7"/>
      <c r="K44" s="93">
        <f t="shared" si="60"/>
        <v>0</v>
      </c>
      <c r="L44" s="7"/>
      <c r="M44" s="93">
        <f t="shared" si="2"/>
        <v>0</v>
      </c>
      <c r="N44" s="7"/>
      <c r="O44" s="93">
        <f t="shared" si="3"/>
        <v>0</v>
      </c>
      <c r="P44" s="7"/>
      <c r="Q44" s="93">
        <f t="shared" si="4"/>
        <v>0</v>
      </c>
      <c r="R44" s="7"/>
      <c r="S44" s="93">
        <f t="shared" si="5"/>
        <v>0</v>
      </c>
      <c r="T44" s="7"/>
      <c r="U44" s="93">
        <f t="shared" si="6"/>
        <v>0</v>
      </c>
      <c r="V44" s="7"/>
      <c r="W44" s="93">
        <f t="shared" si="7"/>
        <v>0</v>
      </c>
      <c r="X44" s="7"/>
      <c r="Y44" s="93">
        <f t="shared" si="8"/>
        <v>0</v>
      </c>
      <c r="Z44" s="7"/>
      <c r="AA44" s="93">
        <f t="shared" si="9"/>
        <v>0</v>
      </c>
      <c r="AB44" s="7"/>
      <c r="AC44" s="93">
        <f t="shared" si="10"/>
        <v>0</v>
      </c>
      <c r="AD44" s="7"/>
      <c r="AE44" s="93">
        <f t="shared" si="11"/>
        <v>0</v>
      </c>
      <c r="AF44" s="94">
        <f t="shared" si="40"/>
        <v>0</v>
      </c>
      <c r="AG44" s="95">
        <f t="shared" si="41"/>
        <v>0</v>
      </c>
      <c r="AH44" s="7"/>
      <c r="AI44" s="93">
        <f t="shared" si="13"/>
        <v>0</v>
      </c>
      <c r="AJ44" s="7"/>
      <c r="AK44" s="93">
        <f t="shared" si="14"/>
        <v>0</v>
      </c>
      <c r="AL44" s="7"/>
      <c r="AM44" s="93">
        <f t="shared" si="15"/>
        <v>0</v>
      </c>
      <c r="AN44" s="7"/>
      <c r="AO44" s="93">
        <f t="shared" si="16"/>
        <v>0</v>
      </c>
      <c r="AP44" s="7"/>
      <c r="AQ44" s="93">
        <f t="shared" si="17"/>
        <v>0</v>
      </c>
      <c r="AR44" s="7"/>
      <c r="AS44" s="93">
        <f t="shared" si="18"/>
        <v>0</v>
      </c>
      <c r="AT44" s="7"/>
      <c r="AU44" s="93">
        <f t="shared" si="19"/>
        <v>0</v>
      </c>
      <c r="AV44" s="7"/>
      <c r="AW44" s="93">
        <f t="shared" si="20"/>
        <v>0</v>
      </c>
      <c r="AX44" s="7"/>
      <c r="AY44" s="93">
        <f t="shared" si="21"/>
        <v>0</v>
      </c>
      <c r="AZ44" s="7"/>
      <c r="BA44" s="93">
        <f t="shared" si="22"/>
        <v>0</v>
      </c>
      <c r="BB44" s="7"/>
      <c r="BC44" s="93">
        <f t="shared" si="23"/>
        <v>0</v>
      </c>
      <c r="BD44" s="7"/>
      <c r="BE44" s="93">
        <f t="shared" si="24"/>
        <v>0</v>
      </c>
      <c r="BF44" s="94">
        <f t="shared" si="42"/>
        <v>0</v>
      </c>
      <c r="BG44" s="95">
        <f t="shared" si="43"/>
        <v>0</v>
      </c>
      <c r="BH44" s="92"/>
      <c r="BI44" s="93">
        <f t="shared" si="26"/>
        <v>0</v>
      </c>
      <c r="BJ44" s="92"/>
      <c r="BK44" s="93">
        <f t="shared" si="27"/>
        <v>0</v>
      </c>
      <c r="BL44" s="92">
        <v>1470</v>
      </c>
      <c r="BM44" s="93">
        <f t="shared" si="61"/>
        <v>940.80000000000007</v>
      </c>
      <c r="BN44" s="92">
        <v>7000</v>
      </c>
      <c r="BO44" s="93">
        <f t="shared" si="61"/>
        <v>4480</v>
      </c>
      <c r="BP44" s="92">
        <v>1826</v>
      </c>
      <c r="BQ44" s="93">
        <f t="shared" si="61"/>
        <v>1168.6400000000001</v>
      </c>
      <c r="BR44" s="92">
        <v>2906</v>
      </c>
      <c r="BS44" s="93">
        <f t="shared" si="61"/>
        <v>1859.8400000000001</v>
      </c>
      <c r="BT44" s="92">
        <v>3304</v>
      </c>
      <c r="BU44" s="93">
        <f t="shared" si="32"/>
        <v>2114.56</v>
      </c>
      <c r="BV44" s="92">
        <v>3584</v>
      </c>
      <c r="BW44" s="93">
        <f t="shared" si="33"/>
        <v>2293.7600000000002</v>
      </c>
      <c r="BX44" s="92">
        <v>1974</v>
      </c>
      <c r="BY44" s="93">
        <f t="shared" si="34"/>
        <v>1263.3600000000001</v>
      </c>
      <c r="BZ44" s="92">
        <v>3724</v>
      </c>
      <c r="CA44" s="93">
        <f t="shared" si="35"/>
        <v>2383.36</v>
      </c>
      <c r="CB44" s="92">
        <v>2646</v>
      </c>
      <c r="CC44" s="93">
        <f t="shared" si="36"/>
        <v>1693.44</v>
      </c>
      <c r="CD44" s="7">
        <v>3262</v>
      </c>
      <c r="CE44" s="93">
        <f t="shared" si="37"/>
        <v>2087.6799999999998</v>
      </c>
      <c r="CF44" s="94">
        <f t="shared" si="44"/>
        <v>31696</v>
      </c>
      <c r="CG44" s="95">
        <f t="shared" si="45"/>
        <v>20285.439999999999</v>
      </c>
      <c r="CH44" s="7">
        <v>3080</v>
      </c>
      <c r="CI44" s="93">
        <f t="shared" si="46"/>
        <v>1971.2</v>
      </c>
      <c r="CJ44" s="7">
        <v>2198</v>
      </c>
      <c r="CK44" s="93">
        <f t="shared" si="47"/>
        <v>1406.72</v>
      </c>
      <c r="CL44" s="7">
        <v>1960</v>
      </c>
      <c r="CM44" s="93">
        <f t="shared" si="48"/>
        <v>1254.4000000000001</v>
      </c>
      <c r="CN44" s="7">
        <v>504</v>
      </c>
      <c r="CO44" s="93">
        <f t="shared" si="49"/>
        <v>322.56</v>
      </c>
      <c r="CP44" s="7">
        <v>3220</v>
      </c>
      <c r="CQ44" s="93">
        <f t="shared" si="50"/>
        <v>2060.8000000000002</v>
      </c>
      <c r="CR44" s="7">
        <v>1764</v>
      </c>
      <c r="CS44" s="93">
        <f t="shared" si="51"/>
        <v>1128.96</v>
      </c>
      <c r="CT44" s="7">
        <v>2086</v>
      </c>
      <c r="CU44" s="93">
        <f t="shared" si="52"/>
        <v>1335.04</v>
      </c>
      <c r="CV44" s="7">
        <v>2310</v>
      </c>
      <c r="CW44" s="93">
        <f t="shared" si="53"/>
        <v>1478.4</v>
      </c>
      <c r="CX44" s="7">
        <v>3290</v>
      </c>
      <c r="CY44" s="93">
        <v>2105.6</v>
      </c>
      <c r="CZ44" s="7">
        <v>2100</v>
      </c>
      <c r="DA44" s="93">
        <v>1344</v>
      </c>
      <c r="DB44" s="7">
        <v>3528</v>
      </c>
      <c r="DC44" s="93">
        <v>2257.92</v>
      </c>
      <c r="DD44" s="7">
        <v>3892</v>
      </c>
      <c r="DE44" s="93">
        <v>2490.88</v>
      </c>
      <c r="DF44" s="97">
        <f t="shared" si="39"/>
        <v>29932</v>
      </c>
      <c r="DG44" s="98">
        <f t="shared" si="54"/>
        <v>19156.48</v>
      </c>
      <c r="DH44" s="79">
        <v>1820</v>
      </c>
      <c r="DI44" s="79">
        <v>1164.8</v>
      </c>
      <c r="DJ44" s="154">
        <v>2982</v>
      </c>
      <c r="DK44" s="212">
        <f t="shared" si="55"/>
        <v>1908.48</v>
      </c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99">
        <f t="shared" si="56"/>
        <v>4802</v>
      </c>
      <c r="EG44" s="99">
        <f t="shared" si="57"/>
        <v>3073.2799999999997</v>
      </c>
    </row>
    <row r="45" spans="1:137" ht="20.100000000000001" customHeight="1">
      <c r="A45" s="63">
        <v>38</v>
      </c>
      <c r="B45" s="63" t="s">
        <v>51</v>
      </c>
      <c r="C45" s="63" t="s">
        <v>14</v>
      </c>
      <c r="D45" s="63">
        <f t="shared" si="62"/>
        <v>35</v>
      </c>
      <c r="E45" s="63">
        <v>0.64</v>
      </c>
      <c r="F45" s="63" t="s">
        <v>25</v>
      </c>
      <c r="G45" s="63"/>
      <c r="H45" s="7"/>
      <c r="I45" s="93">
        <f t="shared" si="60"/>
        <v>0</v>
      </c>
      <c r="J45" s="7"/>
      <c r="K45" s="93">
        <f t="shared" si="60"/>
        <v>0</v>
      </c>
      <c r="L45" s="7"/>
      <c r="M45" s="93">
        <f t="shared" si="2"/>
        <v>0</v>
      </c>
      <c r="N45" s="7"/>
      <c r="O45" s="93">
        <f t="shared" si="3"/>
        <v>0</v>
      </c>
      <c r="P45" s="7"/>
      <c r="Q45" s="93">
        <f t="shared" si="4"/>
        <v>0</v>
      </c>
      <c r="R45" s="7"/>
      <c r="S45" s="93">
        <f t="shared" si="5"/>
        <v>0</v>
      </c>
      <c r="T45" s="7"/>
      <c r="U45" s="93">
        <f t="shared" si="6"/>
        <v>0</v>
      </c>
      <c r="V45" s="7"/>
      <c r="W45" s="93">
        <f t="shared" si="7"/>
        <v>0</v>
      </c>
      <c r="X45" s="7"/>
      <c r="Y45" s="93">
        <f t="shared" si="8"/>
        <v>0</v>
      </c>
      <c r="Z45" s="7"/>
      <c r="AA45" s="93">
        <f t="shared" si="9"/>
        <v>0</v>
      </c>
      <c r="AB45" s="7"/>
      <c r="AC45" s="93">
        <f t="shared" si="10"/>
        <v>0</v>
      </c>
      <c r="AD45" s="7"/>
      <c r="AE45" s="93">
        <f t="shared" si="11"/>
        <v>0</v>
      </c>
      <c r="AF45" s="94">
        <f t="shared" si="40"/>
        <v>0</v>
      </c>
      <c r="AG45" s="95">
        <f t="shared" si="41"/>
        <v>0</v>
      </c>
      <c r="AH45" s="7"/>
      <c r="AI45" s="93">
        <f t="shared" si="13"/>
        <v>0</v>
      </c>
      <c r="AJ45" s="7"/>
      <c r="AK45" s="93">
        <f t="shared" si="14"/>
        <v>0</v>
      </c>
      <c r="AL45" s="7"/>
      <c r="AM45" s="93">
        <f t="shared" si="15"/>
        <v>0</v>
      </c>
      <c r="AN45" s="7"/>
      <c r="AO45" s="93">
        <f t="shared" si="16"/>
        <v>0</v>
      </c>
      <c r="AP45" s="7"/>
      <c r="AQ45" s="93">
        <f t="shared" si="17"/>
        <v>0</v>
      </c>
      <c r="AR45" s="7"/>
      <c r="AS45" s="93">
        <f t="shared" si="18"/>
        <v>0</v>
      </c>
      <c r="AT45" s="7"/>
      <c r="AU45" s="93">
        <f t="shared" si="19"/>
        <v>0</v>
      </c>
      <c r="AV45" s="7"/>
      <c r="AW45" s="93">
        <f t="shared" si="20"/>
        <v>0</v>
      </c>
      <c r="AX45" s="7"/>
      <c r="AY45" s="93">
        <f t="shared" si="21"/>
        <v>0</v>
      </c>
      <c r="AZ45" s="7"/>
      <c r="BA45" s="93">
        <f t="shared" si="22"/>
        <v>0</v>
      </c>
      <c r="BB45" s="7"/>
      <c r="BC45" s="93">
        <f t="shared" si="23"/>
        <v>0</v>
      </c>
      <c r="BD45" s="7"/>
      <c r="BE45" s="93">
        <f t="shared" si="24"/>
        <v>0</v>
      </c>
      <c r="BF45" s="94">
        <f t="shared" si="42"/>
        <v>0</v>
      </c>
      <c r="BG45" s="95">
        <f t="shared" si="43"/>
        <v>0</v>
      </c>
      <c r="BH45" s="7"/>
      <c r="BI45" s="93">
        <f t="shared" si="26"/>
        <v>0</v>
      </c>
      <c r="BJ45" s="7"/>
      <c r="BK45" s="93">
        <f t="shared" si="27"/>
        <v>0</v>
      </c>
      <c r="BL45" s="7"/>
      <c r="BM45" s="93">
        <f t="shared" si="61"/>
        <v>0</v>
      </c>
      <c r="BN45" s="7"/>
      <c r="BO45" s="93">
        <f t="shared" si="61"/>
        <v>0</v>
      </c>
      <c r="BP45" s="7"/>
      <c r="BQ45" s="93">
        <f t="shared" si="61"/>
        <v>0</v>
      </c>
      <c r="BR45" s="7"/>
      <c r="BS45" s="93">
        <f t="shared" si="61"/>
        <v>0</v>
      </c>
      <c r="BT45" s="7"/>
      <c r="BU45" s="93">
        <f t="shared" si="32"/>
        <v>0</v>
      </c>
      <c r="BV45" s="7"/>
      <c r="BW45" s="93">
        <f t="shared" si="33"/>
        <v>0</v>
      </c>
      <c r="BX45" s="7"/>
      <c r="BY45" s="93">
        <f t="shared" si="34"/>
        <v>0</v>
      </c>
      <c r="BZ45" s="7"/>
      <c r="CA45" s="93">
        <f t="shared" si="35"/>
        <v>0</v>
      </c>
      <c r="CB45" s="7"/>
      <c r="CC45" s="93">
        <f t="shared" si="36"/>
        <v>0</v>
      </c>
      <c r="CD45" s="7"/>
      <c r="CE45" s="93">
        <f t="shared" si="37"/>
        <v>0</v>
      </c>
      <c r="CF45" s="94">
        <f t="shared" si="44"/>
        <v>0</v>
      </c>
      <c r="CG45" s="95">
        <f t="shared" si="45"/>
        <v>0</v>
      </c>
      <c r="CH45" s="7"/>
      <c r="CI45" s="93">
        <f t="shared" si="46"/>
        <v>0</v>
      </c>
      <c r="CJ45" s="7"/>
      <c r="CK45" s="93">
        <f t="shared" si="47"/>
        <v>0</v>
      </c>
      <c r="CL45" s="7"/>
      <c r="CM45" s="93">
        <f t="shared" si="48"/>
        <v>0</v>
      </c>
      <c r="CN45" s="7"/>
      <c r="CO45" s="93">
        <f t="shared" si="49"/>
        <v>0</v>
      </c>
      <c r="CP45" s="7"/>
      <c r="CQ45" s="93">
        <f t="shared" si="50"/>
        <v>0</v>
      </c>
      <c r="CR45" s="7"/>
      <c r="CS45" s="93">
        <f t="shared" si="51"/>
        <v>0</v>
      </c>
      <c r="CT45" s="7"/>
      <c r="CU45" s="93">
        <f t="shared" si="52"/>
        <v>0</v>
      </c>
      <c r="CV45" s="7"/>
      <c r="CW45" s="93">
        <f t="shared" si="53"/>
        <v>0</v>
      </c>
      <c r="CX45" s="7"/>
      <c r="CY45" s="93">
        <v>0</v>
      </c>
      <c r="CZ45" s="7"/>
      <c r="DA45" s="93">
        <v>0</v>
      </c>
      <c r="DB45" s="7"/>
      <c r="DC45" s="93">
        <v>0</v>
      </c>
      <c r="DD45" s="7"/>
      <c r="DE45" s="93">
        <v>0</v>
      </c>
      <c r="DF45" s="97">
        <f t="shared" si="39"/>
        <v>0</v>
      </c>
      <c r="DG45" s="98">
        <f t="shared" si="54"/>
        <v>0</v>
      </c>
      <c r="DH45" s="79"/>
      <c r="DI45" s="79">
        <v>0</v>
      </c>
      <c r="DJ45" s="154"/>
      <c r="DK45" s="212">
        <f t="shared" si="55"/>
        <v>0</v>
      </c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99">
        <f t="shared" si="56"/>
        <v>0</v>
      </c>
      <c r="EG45" s="99">
        <f t="shared" si="57"/>
        <v>0</v>
      </c>
    </row>
    <row r="46" spans="1:137" ht="20.100000000000001" customHeight="1">
      <c r="A46" s="63">
        <v>39</v>
      </c>
      <c r="B46" s="63" t="s">
        <v>51</v>
      </c>
      <c r="C46" s="63" t="s">
        <v>14</v>
      </c>
      <c r="D46" s="63">
        <f t="shared" si="62"/>
        <v>35</v>
      </c>
      <c r="E46" s="63">
        <v>0.64</v>
      </c>
      <c r="F46" s="63" t="s">
        <v>25</v>
      </c>
      <c r="G46" s="63"/>
      <c r="H46" s="7"/>
      <c r="I46" s="93">
        <f t="shared" si="60"/>
        <v>0</v>
      </c>
      <c r="J46" s="7"/>
      <c r="K46" s="93">
        <f t="shared" si="60"/>
        <v>0</v>
      </c>
      <c r="L46" s="7"/>
      <c r="M46" s="93">
        <f t="shared" si="2"/>
        <v>0</v>
      </c>
      <c r="N46" s="7"/>
      <c r="O46" s="93">
        <f t="shared" si="3"/>
        <v>0</v>
      </c>
      <c r="P46" s="7"/>
      <c r="Q46" s="93">
        <f t="shared" si="4"/>
        <v>0</v>
      </c>
      <c r="R46" s="7"/>
      <c r="S46" s="93">
        <f t="shared" si="5"/>
        <v>0</v>
      </c>
      <c r="T46" s="7"/>
      <c r="U46" s="93">
        <f t="shared" si="6"/>
        <v>0</v>
      </c>
      <c r="V46" s="7"/>
      <c r="W46" s="93">
        <f t="shared" si="7"/>
        <v>0</v>
      </c>
      <c r="X46" s="7"/>
      <c r="Y46" s="93">
        <f t="shared" si="8"/>
        <v>0</v>
      </c>
      <c r="Z46" s="7"/>
      <c r="AA46" s="93">
        <f t="shared" si="9"/>
        <v>0</v>
      </c>
      <c r="AB46" s="7"/>
      <c r="AC46" s="93">
        <f t="shared" si="10"/>
        <v>0</v>
      </c>
      <c r="AD46" s="7"/>
      <c r="AE46" s="93">
        <f t="shared" si="11"/>
        <v>0</v>
      </c>
      <c r="AF46" s="94">
        <f t="shared" si="40"/>
        <v>0</v>
      </c>
      <c r="AG46" s="95">
        <f t="shared" si="41"/>
        <v>0</v>
      </c>
      <c r="AH46" s="7"/>
      <c r="AI46" s="93">
        <f t="shared" si="13"/>
        <v>0</v>
      </c>
      <c r="AJ46" s="7"/>
      <c r="AK46" s="93">
        <f t="shared" si="14"/>
        <v>0</v>
      </c>
      <c r="AL46" s="7"/>
      <c r="AM46" s="93">
        <f t="shared" si="15"/>
        <v>0</v>
      </c>
      <c r="AN46" s="7"/>
      <c r="AO46" s="93">
        <f t="shared" si="16"/>
        <v>0</v>
      </c>
      <c r="AP46" s="7"/>
      <c r="AQ46" s="93">
        <f t="shared" si="17"/>
        <v>0</v>
      </c>
      <c r="AR46" s="7"/>
      <c r="AS46" s="93">
        <f t="shared" si="18"/>
        <v>0</v>
      </c>
      <c r="AT46" s="7"/>
      <c r="AU46" s="93">
        <f t="shared" si="19"/>
        <v>0</v>
      </c>
      <c r="AV46" s="7"/>
      <c r="AW46" s="93">
        <f t="shared" si="20"/>
        <v>0</v>
      </c>
      <c r="AX46" s="7"/>
      <c r="AY46" s="93">
        <f t="shared" si="21"/>
        <v>0</v>
      </c>
      <c r="AZ46" s="7"/>
      <c r="BA46" s="93">
        <f t="shared" si="22"/>
        <v>0</v>
      </c>
      <c r="BB46" s="7"/>
      <c r="BC46" s="93">
        <f t="shared" si="23"/>
        <v>0</v>
      </c>
      <c r="BD46" s="7"/>
      <c r="BE46" s="93">
        <f t="shared" si="24"/>
        <v>0</v>
      </c>
      <c r="BF46" s="94">
        <f t="shared" si="42"/>
        <v>0</v>
      </c>
      <c r="BG46" s="95">
        <f t="shared" si="43"/>
        <v>0</v>
      </c>
      <c r="BH46" s="7"/>
      <c r="BI46" s="93">
        <f t="shared" si="26"/>
        <v>0</v>
      </c>
      <c r="BJ46" s="7"/>
      <c r="BK46" s="93">
        <f t="shared" si="27"/>
        <v>0</v>
      </c>
      <c r="BL46" s="7"/>
      <c r="BM46" s="93">
        <f t="shared" si="61"/>
        <v>0</v>
      </c>
      <c r="BN46" s="7"/>
      <c r="BO46" s="93">
        <f t="shared" si="61"/>
        <v>0</v>
      </c>
      <c r="BP46" s="7"/>
      <c r="BQ46" s="93">
        <f t="shared" si="61"/>
        <v>0</v>
      </c>
      <c r="BR46" s="7"/>
      <c r="BS46" s="93">
        <f t="shared" si="61"/>
        <v>0</v>
      </c>
      <c r="BT46" s="7"/>
      <c r="BU46" s="93">
        <f t="shared" si="32"/>
        <v>0</v>
      </c>
      <c r="BV46" s="7"/>
      <c r="BW46" s="93">
        <f t="shared" si="33"/>
        <v>0</v>
      </c>
      <c r="BX46" s="7"/>
      <c r="BY46" s="93">
        <f t="shared" si="34"/>
        <v>0</v>
      </c>
      <c r="BZ46" s="7"/>
      <c r="CA46" s="93">
        <f t="shared" si="35"/>
        <v>0</v>
      </c>
      <c r="CB46" s="7"/>
      <c r="CC46" s="93">
        <f t="shared" si="36"/>
        <v>0</v>
      </c>
      <c r="CD46" s="7"/>
      <c r="CE46" s="93">
        <f t="shared" si="37"/>
        <v>0</v>
      </c>
      <c r="CF46" s="94">
        <f t="shared" si="44"/>
        <v>0</v>
      </c>
      <c r="CG46" s="95">
        <f t="shared" si="45"/>
        <v>0</v>
      </c>
      <c r="CH46" s="7"/>
      <c r="CI46" s="93">
        <f t="shared" si="46"/>
        <v>0</v>
      </c>
      <c r="CJ46" s="7"/>
      <c r="CK46" s="93">
        <f t="shared" si="47"/>
        <v>0</v>
      </c>
      <c r="CL46" s="7"/>
      <c r="CM46" s="93">
        <f t="shared" si="48"/>
        <v>0</v>
      </c>
      <c r="CN46" s="7"/>
      <c r="CO46" s="93">
        <f t="shared" si="49"/>
        <v>0</v>
      </c>
      <c r="CP46" s="7"/>
      <c r="CQ46" s="93">
        <f t="shared" si="50"/>
        <v>0</v>
      </c>
      <c r="CR46" s="7"/>
      <c r="CS46" s="93">
        <f t="shared" si="51"/>
        <v>0</v>
      </c>
      <c r="CT46" s="7"/>
      <c r="CU46" s="93">
        <f t="shared" si="52"/>
        <v>0</v>
      </c>
      <c r="CV46" s="7"/>
      <c r="CW46" s="93">
        <f t="shared" si="53"/>
        <v>0</v>
      </c>
      <c r="CX46" s="7"/>
      <c r="CY46" s="93">
        <v>0</v>
      </c>
      <c r="CZ46" s="7"/>
      <c r="DA46" s="93">
        <v>0</v>
      </c>
      <c r="DB46" s="7"/>
      <c r="DC46" s="93">
        <v>0</v>
      </c>
      <c r="DD46" s="7"/>
      <c r="DE46" s="93">
        <v>0</v>
      </c>
      <c r="DF46" s="97">
        <f t="shared" si="39"/>
        <v>0</v>
      </c>
      <c r="DG46" s="98">
        <f t="shared" si="54"/>
        <v>0</v>
      </c>
      <c r="DH46" s="79"/>
      <c r="DI46" s="79">
        <v>0</v>
      </c>
      <c r="DJ46" s="154"/>
      <c r="DK46" s="212">
        <f t="shared" si="55"/>
        <v>0</v>
      </c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99">
        <f t="shared" si="56"/>
        <v>0</v>
      </c>
      <c r="EG46" s="99">
        <f t="shared" si="57"/>
        <v>0</v>
      </c>
    </row>
    <row r="47" spans="1:137" ht="20.100000000000001" customHeight="1">
      <c r="A47" s="63">
        <v>40</v>
      </c>
      <c r="B47" s="63" t="s">
        <v>51</v>
      </c>
      <c r="C47" s="63" t="s">
        <v>14</v>
      </c>
      <c r="D47" s="63">
        <f t="shared" si="62"/>
        <v>35</v>
      </c>
      <c r="E47" s="63">
        <v>0.64</v>
      </c>
      <c r="F47" s="63" t="s">
        <v>25</v>
      </c>
      <c r="G47" s="63"/>
      <c r="H47" s="7"/>
      <c r="I47" s="93">
        <f t="shared" si="60"/>
        <v>0</v>
      </c>
      <c r="J47" s="7"/>
      <c r="K47" s="93">
        <f t="shared" si="60"/>
        <v>0</v>
      </c>
      <c r="L47" s="7"/>
      <c r="M47" s="93">
        <f t="shared" si="2"/>
        <v>0</v>
      </c>
      <c r="N47" s="7"/>
      <c r="O47" s="93">
        <f t="shared" si="3"/>
        <v>0</v>
      </c>
      <c r="P47" s="7"/>
      <c r="Q47" s="93">
        <f t="shared" si="4"/>
        <v>0</v>
      </c>
      <c r="R47" s="7"/>
      <c r="S47" s="93">
        <f t="shared" si="5"/>
        <v>0</v>
      </c>
      <c r="T47" s="7"/>
      <c r="U47" s="93">
        <f t="shared" si="6"/>
        <v>0</v>
      </c>
      <c r="V47" s="7"/>
      <c r="W47" s="93">
        <f t="shared" si="7"/>
        <v>0</v>
      </c>
      <c r="X47" s="7"/>
      <c r="Y47" s="93">
        <f t="shared" si="8"/>
        <v>0</v>
      </c>
      <c r="Z47" s="7"/>
      <c r="AA47" s="93">
        <f t="shared" si="9"/>
        <v>0</v>
      </c>
      <c r="AB47" s="7"/>
      <c r="AC47" s="93">
        <f t="shared" si="10"/>
        <v>0</v>
      </c>
      <c r="AD47" s="7"/>
      <c r="AE47" s="93">
        <f t="shared" si="11"/>
        <v>0</v>
      </c>
      <c r="AF47" s="94">
        <f t="shared" si="40"/>
        <v>0</v>
      </c>
      <c r="AG47" s="95">
        <f t="shared" si="41"/>
        <v>0</v>
      </c>
      <c r="AH47" s="7"/>
      <c r="AI47" s="93">
        <f t="shared" si="13"/>
        <v>0</v>
      </c>
      <c r="AJ47" s="7"/>
      <c r="AK47" s="93">
        <f t="shared" si="14"/>
        <v>0</v>
      </c>
      <c r="AL47" s="7"/>
      <c r="AM47" s="93">
        <f t="shared" si="15"/>
        <v>0</v>
      </c>
      <c r="AN47" s="7"/>
      <c r="AO47" s="93">
        <f t="shared" si="16"/>
        <v>0</v>
      </c>
      <c r="AP47" s="7"/>
      <c r="AQ47" s="93">
        <f t="shared" si="17"/>
        <v>0</v>
      </c>
      <c r="AR47" s="7"/>
      <c r="AS47" s="93">
        <f t="shared" si="18"/>
        <v>0</v>
      </c>
      <c r="AT47" s="7"/>
      <c r="AU47" s="93">
        <f t="shared" si="19"/>
        <v>0</v>
      </c>
      <c r="AV47" s="7"/>
      <c r="AW47" s="93">
        <f t="shared" si="20"/>
        <v>0</v>
      </c>
      <c r="AX47" s="7"/>
      <c r="AY47" s="93">
        <f t="shared" si="21"/>
        <v>0</v>
      </c>
      <c r="AZ47" s="7"/>
      <c r="BA47" s="93">
        <f t="shared" si="22"/>
        <v>0</v>
      </c>
      <c r="BB47" s="7"/>
      <c r="BC47" s="93">
        <f t="shared" si="23"/>
        <v>0</v>
      </c>
      <c r="BD47" s="7"/>
      <c r="BE47" s="93">
        <f t="shared" si="24"/>
        <v>0</v>
      </c>
      <c r="BF47" s="94">
        <f t="shared" si="42"/>
        <v>0</v>
      </c>
      <c r="BG47" s="95">
        <f t="shared" si="43"/>
        <v>0</v>
      </c>
      <c r="BH47" s="7"/>
      <c r="BI47" s="93">
        <f t="shared" si="26"/>
        <v>0</v>
      </c>
      <c r="BJ47" s="7"/>
      <c r="BK47" s="93">
        <f t="shared" si="27"/>
        <v>0</v>
      </c>
      <c r="BL47" s="7"/>
      <c r="BM47" s="93">
        <f t="shared" si="61"/>
        <v>0</v>
      </c>
      <c r="BN47" s="7"/>
      <c r="BO47" s="93">
        <f t="shared" si="61"/>
        <v>0</v>
      </c>
      <c r="BP47" s="7"/>
      <c r="BQ47" s="93">
        <f t="shared" si="61"/>
        <v>0</v>
      </c>
      <c r="BR47" s="7"/>
      <c r="BS47" s="93">
        <f t="shared" si="61"/>
        <v>0</v>
      </c>
      <c r="BT47" s="7"/>
      <c r="BU47" s="93">
        <f t="shared" si="32"/>
        <v>0</v>
      </c>
      <c r="BV47" s="7"/>
      <c r="BW47" s="93">
        <f t="shared" si="33"/>
        <v>0</v>
      </c>
      <c r="BX47" s="7"/>
      <c r="BY47" s="93">
        <f t="shared" si="34"/>
        <v>0</v>
      </c>
      <c r="BZ47" s="7"/>
      <c r="CA47" s="93">
        <f t="shared" si="35"/>
        <v>0</v>
      </c>
      <c r="CB47" s="7"/>
      <c r="CC47" s="93">
        <f t="shared" si="36"/>
        <v>0</v>
      </c>
      <c r="CD47" s="7"/>
      <c r="CE47" s="93">
        <f t="shared" si="37"/>
        <v>0</v>
      </c>
      <c r="CF47" s="94">
        <f t="shared" si="44"/>
        <v>0</v>
      </c>
      <c r="CG47" s="95">
        <f t="shared" si="45"/>
        <v>0</v>
      </c>
      <c r="CH47" s="7"/>
      <c r="CI47" s="93">
        <f t="shared" si="46"/>
        <v>0</v>
      </c>
      <c r="CJ47" s="7"/>
      <c r="CK47" s="93">
        <f t="shared" si="47"/>
        <v>0</v>
      </c>
      <c r="CL47" s="7"/>
      <c r="CM47" s="93">
        <f t="shared" si="48"/>
        <v>0</v>
      </c>
      <c r="CN47" s="7"/>
      <c r="CO47" s="93">
        <f t="shared" si="49"/>
        <v>0</v>
      </c>
      <c r="CP47" s="7"/>
      <c r="CQ47" s="93">
        <f t="shared" si="50"/>
        <v>0</v>
      </c>
      <c r="CR47" s="7"/>
      <c r="CS47" s="93">
        <f t="shared" si="51"/>
        <v>0</v>
      </c>
      <c r="CT47" s="7"/>
      <c r="CU47" s="93">
        <f t="shared" si="52"/>
        <v>0</v>
      </c>
      <c r="CV47" s="7"/>
      <c r="CW47" s="93">
        <f t="shared" si="53"/>
        <v>0</v>
      </c>
      <c r="CX47" s="7"/>
      <c r="CY47" s="93">
        <v>0</v>
      </c>
      <c r="CZ47" s="7"/>
      <c r="DA47" s="93">
        <v>0</v>
      </c>
      <c r="DB47" s="7"/>
      <c r="DC47" s="93">
        <v>0</v>
      </c>
      <c r="DD47" s="7"/>
      <c r="DE47" s="93">
        <v>0</v>
      </c>
      <c r="DF47" s="97">
        <f t="shared" si="39"/>
        <v>0</v>
      </c>
      <c r="DG47" s="98">
        <f t="shared" si="54"/>
        <v>0</v>
      </c>
      <c r="DH47" s="79"/>
      <c r="DI47" s="79">
        <v>0</v>
      </c>
      <c r="DJ47" s="154"/>
      <c r="DK47" s="212">
        <f t="shared" si="55"/>
        <v>0</v>
      </c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99">
        <f t="shared" si="56"/>
        <v>0</v>
      </c>
      <c r="EG47" s="99">
        <f t="shared" si="57"/>
        <v>0</v>
      </c>
    </row>
    <row r="48" spans="1:137" ht="20.100000000000001" customHeight="1">
      <c r="A48" s="63"/>
      <c r="B48" s="63"/>
      <c r="C48" s="63"/>
      <c r="D48" s="63"/>
      <c r="E48" s="63"/>
      <c r="F48" s="63"/>
      <c r="G48" s="63"/>
      <c r="H48" s="7"/>
      <c r="I48" s="93">
        <f t="shared" si="60"/>
        <v>0</v>
      </c>
      <c r="J48" s="7"/>
      <c r="K48" s="93">
        <f t="shared" si="60"/>
        <v>0</v>
      </c>
      <c r="L48" s="7"/>
      <c r="M48" s="93">
        <f t="shared" si="2"/>
        <v>0</v>
      </c>
      <c r="N48" s="7"/>
      <c r="O48" s="93">
        <f t="shared" si="3"/>
        <v>0</v>
      </c>
      <c r="P48" s="7"/>
      <c r="Q48" s="93">
        <f t="shared" si="4"/>
        <v>0</v>
      </c>
      <c r="R48" s="7"/>
      <c r="S48" s="93">
        <f t="shared" si="5"/>
        <v>0</v>
      </c>
      <c r="T48" s="7"/>
      <c r="U48" s="93">
        <f t="shared" si="6"/>
        <v>0</v>
      </c>
      <c r="V48" s="7"/>
      <c r="W48" s="93">
        <f t="shared" si="7"/>
        <v>0</v>
      </c>
      <c r="X48" s="7"/>
      <c r="Y48" s="93">
        <f t="shared" si="8"/>
        <v>0</v>
      </c>
      <c r="Z48" s="7"/>
      <c r="AA48" s="93">
        <f t="shared" si="9"/>
        <v>0</v>
      </c>
      <c r="AB48" s="7"/>
      <c r="AC48" s="93">
        <f t="shared" si="10"/>
        <v>0</v>
      </c>
      <c r="AD48" s="7"/>
      <c r="AE48" s="93">
        <f t="shared" si="11"/>
        <v>0</v>
      </c>
      <c r="AF48" s="94">
        <f t="shared" si="40"/>
        <v>0</v>
      </c>
      <c r="AG48" s="95">
        <f t="shared" si="41"/>
        <v>0</v>
      </c>
      <c r="AH48" s="7"/>
      <c r="AI48" s="93">
        <f t="shared" si="13"/>
        <v>0</v>
      </c>
      <c r="AJ48" s="7"/>
      <c r="AK48" s="93">
        <f t="shared" si="14"/>
        <v>0</v>
      </c>
      <c r="AL48" s="7"/>
      <c r="AM48" s="93">
        <f t="shared" si="15"/>
        <v>0</v>
      </c>
      <c r="AN48" s="7"/>
      <c r="AO48" s="93">
        <f t="shared" si="16"/>
        <v>0</v>
      </c>
      <c r="AP48" s="7"/>
      <c r="AQ48" s="93">
        <f t="shared" si="17"/>
        <v>0</v>
      </c>
      <c r="AR48" s="7"/>
      <c r="AS48" s="93">
        <f t="shared" si="18"/>
        <v>0</v>
      </c>
      <c r="AT48" s="7"/>
      <c r="AU48" s="93">
        <f t="shared" si="19"/>
        <v>0</v>
      </c>
      <c r="AV48" s="7"/>
      <c r="AW48" s="93">
        <f t="shared" si="20"/>
        <v>0</v>
      </c>
      <c r="AX48" s="7"/>
      <c r="AY48" s="93">
        <f t="shared" si="21"/>
        <v>0</v>
      </c>
      <c r="AZ48" s="7"/>
      <c r="BA48" s="93">
        <f t="shared" si="22"/>
        <v>0</v>
      </c>
      <c r="BB48" s="7"/>
      <c r="BC48" s="93">
        <f t="shared" si="23"/>
        <v>0</v>
      </c>
      <c r="BD48" s="7"/>
      <c r="BE48" s="93">
        <f t="shared" si="24"/>
        <v>0</v>
      </c>
      <c r="BF48" s="94">
        <f t="shared" si="42"/>
        <v>0</v>
      </c>
      <c r="BG48" s="95">
        <f t="shared" si="43"/>
        <v>0</v>
      </c>
      <c r="BH48" s="7"/>
      <c r="BI48" s="93">
        <f t="shared" si="26"/>
        <v>0</v>
      </c>
      <c r="BJ48" s="7"/>
      <c r="BK48" s="93">
        <f t="shared" si="27"/>
        <v>0</v>
      </c>
      <c r="BL48" s="7"/>
      <c r="BM48" s="93">
        <f t="shared" si="61"/>
        <v>0</v>
      </c>
      <c r="BN48" s="7"/>
      <c r="BO48" s="93">
        <f t="shared" si="61"/>
        <v>0</v>
      </c>
      <c r="BP48" s="7"/>
      <c r="BQ48" s="93">
        <f t="shared" si="61"/>
        <v>0</v>
      </c>
      <c r="BR48" s="7"/>
      <c r="BS48" s="93">
        <f t="shared" si="61"/>
        <v>0</v>
      </c>
      <c r="BT48" s="7"/>
      <c r="BU48" s="93">
        <f t="shared" si="32"/>
        <v>0</v>
      </c>
      <c r="BV48" s="7"/>
      <c r="BW48" s="93">
        <f t="shared" si="33"/>
        <v>0</v>
      </c>
      <c r="BX48" s="7"/>
      <c r="BY48" s="93">
        <f t="shared" si="34"/>
        <v>0</v>
      </c>
      <c r="BZ48" s="7"/>
      <c r="CA48" s="93">
        <f t="shared" si="35"/>
        <v>0</v>
      </c>
      <c r="CB48" s="7"/>
      <c r="CC48" s="93">
        <f t="shared" si="36"/>
        <v>0</v>
      </c>
      <c r="CD48" s="7"/>
      <c r="CE48" s="93">
        <f t="shared" si="37"/>
        <v>0</v>
      </c>
      <c r="CF48" s="94">
        <f t="shared" si="44"/>
        <v>0</v>
      </c>
      <c r="CG48" s="95">
        <f t="shared" si="45"/>
        <v>0</v>
      </c>
      <c r="CH48" s="7"/>
      <c r="CI48" s="93">
        <f t="shared" si="46"/>
        <v>0</v>
      </c>
      <c r="CJ48" s="7"/>
      <c r="CK48" s="93">
        <f t="shared" si="47"/>
        <v>0</v>
      </c>
      <c r="CL48" s="7"/>
      <c r="CM48" s="93">
        <f t="shared" si="48"/>
        <v>0</v>
      </c>
      <c r="CN48" s="7"/>
      <c r="CO48" s="93">
        <f t="shared" si="49"/>
        <v>0</v>
      </c>
      <c r="CP48" s="7"/>
      <c r="CQ48" s="93">
        <f t="shared" si="50"/>
        <v>0</v>
      </c>
      <c r="CR48" s="7"/>
      <c r="CS48" s="93">
        <f t="shared" si="51"/>
        <v>0</v>
      </c>
      <c r="CT48" s="7"/>
      <c r="CU48" s="93">
        <f t="shared" si="52"/>
        <v>0</v>
      </c>
      <c r="CV48" s="7"/>
      <c r="CW48" s="93">
        <f t="shared" si="53"/>
        <v>0</v>
      </c>
      <c r="CX48" s="7"/>
      <c r="CY48" s="93">
        <v>0</v>
      </c>
      <c r="CZ48" s="7"/>
      <c r="DA48" s="93">
        <v>0</v>
      </c>
      <c r="DB48" s="7"/>
      <c r="DC48" s="93">
        <v>0</v>
      </c>
      <c r="DD48" s="7"/>
      <c r="DE48" s="93">
        <v>0</v>
      </c>
      <c r="DF48" s="97">
        <f t="shared" si="39"/>
        <v>0</v>
      </c>
      <c r="DG48" s="98">
        <f t="shared" si="54"/>
        <v>0</v>
      </c>
      <c r="DH48" s="79"/>
      <c r="DI48" s="79">
        <v>0</v>
      </c>
      <c r="DJ48" s="154"/>
      <c r="DK48" s="212">
        <f t="shared" si="55"/>
        <v>0</v>
      </c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99">
        <f t="shared" si="56"/>
        <v>0</v>
      </c>
      <c r="EG48" s="99">
        <f t="shared" si="57"/>
        <v>0</v>
      </c>
    </row>
    <row r="49" spans="1:137" ht="20.100000000000001" customHeight="1">
      <c r="A49" s="63">
        <v>41</v>
      </c>
      <c r="B49" s="63" t="s">
        <v>52</v>
      </c>
      <c r="C49" s="63" t="s">
        <v>17</v>
      </c>
      <c r="D49" s="63">
        <f>RANK(DF49,$DF$4:$DF$144)</f>
        <v>35</v>
      </c>
      <c r="E49" s="63">
        <v>1</v>
      </c>
      <c r="F49" s="63" t="s">
        <v>15</v>
      </c>
      <c r="G49" s="63"/>
      <c r="H49" s="7"/>
      <c r="I49" s="93">
        <f t="shared" si="60"/>
        <v>0</v>
      </c>
      <c r="J49" s="7"/>
      <c r="K49" s="93">
        <f t="shared" si="60"/>
        <v>0</v>
      </c>
      <c r="L49" s="7"/>
      <c r="M49" s="93">
        <f t="shared" si="2"/>
        <v>0</v>
      </c>
      <c r="N49" s="7"/>
      <c r="O49" s="93">
        <f t="shared" si="3"/>
        <v>0</v>
      </c>
      <c r="P49" s="7"/>
      <c r="Q49" s="93">
        <f t="shared" si="4"/>
        <v>0</v>
      </c>
      <c r="R49" s="7"/>
      <c r="S49" s="93">
        <f t="shared" si="5"/>
        <v>0</v>
      </c>
      <c r="T49" s="7"/>
      <c r="U49" s="93">
        <f t="shared" si="6"/>
        <v>0</v>
      </c>
      <c r="V49" s="7"/>
      <c r="W49" s="93">
        <f t="shared" si="7"/>
        <v>0</v>
      </c>
      <c r="X49" s="7"/>
      <c r="Y49" s="93">
        <f t="shared" si="8"/>
        <v>0</v>
      </c>
      <c r="Z49" s="7"/>
      <c r="AA49" s="93">
        <f t="shared" si="9"/>
        <v>0</v>
      </c>
      <c r="AB49" s="7"/>
      <c r="AC49" s="93">
        <f t="shared" si="10"/>
        <v>0</v>
      </c>
      <c r="AD49" s="7"/>
      <c r="AE49" s="93">
        <f t="shared" si="11"/>
        <v>0</v>
      </c>
      <c r="AF49" s="94">
        <f t="shared" si="40"/>
        <v>0</v>
      </c>
      <c r="AG49" s="95">
        <f t="shared" si="41"/>
        <v>0</v>
      </c>
      <c r="AH49" s="7"/>
      <c r="AI49" s="93">
        <f t="shared" si="13"/>
        <v>0</v>
      </c>
      <c r="AJ49" s="7"/>
      <c r="AK49" s="93">
        <f t="shared" si="14"/>
        <v>0</v>
      </c>
      <c r="AL49" s="7"/>
      <c r="AM49" s="93">
        <f t="shared" si="15"/>
        <v>0</v>
      </c>
      <c r="AN49" s="7"/>
      <c r="AO49" s="93">
        <f t="shared" si="16"/>
        <v>0</v>
      </c>
      <c r="AP49" s="7"/>
      <c r="AQ49" s="93">
        <f t="shared" si="17"/>
        <v>0</v>
      </c>
      <c r="AR49" s="7"/>
      <c r="AS49" s="93">
        <f t="shared" si="18"/>
        <v>0</v>
      </c>
      <c r="AT49" s="7"/>
      <c r="AU49" s="93">
        <f t="shared" si="19"/>
        <v>0</v>
      </c>
      <c r="AV49" s="7"/>
      <c r="AW49" s="93">
        <f t="shared" si="20"/>
        <v>0</v>
      </c>
      <c r="AX49" s="7"/>
      <c r="AY49" s="93">
        <f t="shared" si="21"/>
        <v>0</v>
      </c>
      <c r="AZ49" s="7"/>
      <c r="BA49" s="93">
        <f t="shared" si="22"/>
        <v>0</v>
      </c>
      <c r="BB49" s="7"/>
      <c r="BC49" s="93">
        <f t="shared" si="23"/>
        <v>0</v>
      </c>
      <c r="BD49" s="7"/>
      <c r="BE49" s="93">
        <f t="shared" si="24"/>
        <v>0</v>
      </c>
      <c r="BF49" s="94">
        <f t="shared" si="42"/>
        <v>0</v>
      </c>
      <c r="BG49" s="95">
        <f t="shared" si="43"/>
        <v>0</v>
      </c>
      <c r="BH49" s="7"/>
      <c r="BI49" s="93">
        <f t="shared" si="26"/>
        <v>0</v>
      </c>
      <c r="BJ49" s="7"/>
      <c r="BK49" s="93">
        <f t="shared" si="27"/>
        <v>0</v>
      </c>
      <c r="BL49" s="7"/>
      <c r="BM49" s="93">
        <f t="shared" si="61"/>
        <v>0</v>
      </c>
      <c r="BN49" s="7"/>
      <c r="BO49" s="93">
        <f t="shared" si="61"/>
        <v>0</v>
      </c>
      <c r="BP49" s="7"/>
      <c r="BQ49" s="93">
        <f t="shared" si="61"/>
        <v>0</v>
      </c>
      <c r="BR49" s="7"/>
      <c r="BS49" s="93">
        <f t="shared" si="61"/>
        <v>0</v>
      </c>
      <c r="BT49" s="7"/>
      <c r="BU49" s="93">
        <f t="shared" si="32"/>
        <v>0</v>
      </c>
      <c r="BV49" s="7"/>
      <c r="BW49" s="93">
        <f t="shared" si="33"/>
        <v>0</v>
      </c>
      <c r="BX49" s="7"/>
      <c r="BY49" s="93">
        <f t="shared" si="34"/>
        <v>0</v>
      </c>
      <c r="BZ49" s="7"/>
      <c r="CA49" s="93">
        <f t="shared" si="35"/>
        <v>0</v>
      </c>
      <c r="CB49" s="7"/>
      <c r="CC49" s="93">
        <f t="shared" si="36"/>
        <v>0</v>
      </c>
      <c r="CD49" s="7"/>
      <c r="CE49" s="93">
        <f t="shared" si="37"/>
        <v>0</v>
      </c>
      <c r="CF49" s="94">
        <f t="shared" si="44"/>
        <v>0</v>
      </c>
      <c r="CG49" s="95">
        <f t="shared" si="45"/>
        <v>0</v>
      </c>
      <c r="CH49" s="7"/>
      <c r="CI49" s="93">
        <f t="shared" si="46"/>
        <v>0</v>
      </c>
      <c r="CJ49" s="7"/>
      <c r="CK49" s="93">
        <f t="shared" si="47"/>
        <v>0</v>
      </c>
      <c r="CL49" s="7"/>
      <c r="CM49" s="93">
        <f t="shared" si="48"/>
        <v>0</v>
      </c>
      <c r="CN49" s="7"/>
      <c r="CO49" s="93">
        <f t="shared" si="49"/>
        <v>0</v>
      </c>
      <c r="CP49" s="7"/>
      <c r="CQ49" s="93">
        <f t="shared" si="50"/>
        <v>0</v>
      </c>
      <c r="CR49" s="7"/>
      <c r="CS49" s="93">
        <f t="shared" si="51"/>
        <v>0</v>
      </c>
      <c r="CT49" s="7"/>
      <c r="CU49" s="93">
        <f t="shared" si="52"/>
        <v>0</v>
      </c>
      <c r="CV49" s="7"/>
      <c r="CW49" s="93">
        <f t="shared" si="53"/>
        <v>0</v>
      </c>
      <c r="CX49" s="7"/>
      <c r="CY49" s="93">
        <v>0</v>
      </c>
      <c r="CZ49" s="7"/>
      <c r="DA49" s="93">
        <v>0</v>
      </c>
      <c r="DB49" s="7"/>
      <c r="DC49" s="93">
        <v>0</v>
      </c>
      <c r="DD49" s="7"/>
      <c r="DE49" s="93">
        <v>0</v>
      </c>
      <c r="DF49" s="97">
        <f t="shared" si="39"/>
        <v>0</v>
      </c>
      <c r="DG49" s="98">
        <f t="shared" si="54"/>
        <v>0</v>
      </c>
      <c r="DH49" s="79"/>
      <c r="DI49" s="79">
        <v>0</v>
      </c>
      <c r="DJ49" s="154">
        <v>486</v>
      </c>
      <c r="DK49" s="212">
        <f t="shared" si="55"/>
        <v>486</v>
      </c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99">
        <f t="shared" si="56"/>
        <v>486</v>
      </c>
      <c r="EG49" s="99">
        <f t="shared" si="57"/>
        <v>486</v>
      </c>
    </row>
    <row r="50" spans="1:137" ht="20.100000000000001" customHeight="1">
      <c r="A50" s="63">
        <v>42</v>
      </c>
      <c r="B50" s="63" t="s">
        <v>52</v>
      </c>
      <c r="C50" s="63" t="s">
        <v>17</v>
      </c>
      <c r="D50" s="63">
        <f>RANK(DF50,$DF$4:$DF$144)</f>
        <v>35</v>
      </c>
      <c r="E50" s="63">
        <v>1</v>
      </c>
      <c r="F50" s="63" t="s">
        <v>24</v>
      </c>
      <c r="G50" s="63"/>
      <c r="H50" s="7"/>
      <c r="I50" s="93">
        <f t="shared" si="60"/>
        <v>0</v>
      </c>
      <c r="J50" s="7"/>
      <c r="K50" s="93">
        <f t="shared" si="60"/>
        <v>0</v>
      </c>
      <c r="L50" s="7"/>
      <c r="M50" s="93">
        <f t="shared" si="2"/>
        <v>0</v>
      </c>
      <c r="N50" s="7"/>
      <c r="O50" s="93">
        <f t="shared" si="3"/>
        <v>0</v>
      </c>
      <c r="P50" s="7"/>
      <c r="Q50" s="93">
        <f t="shared" si="4"/>
        <v>0</v>
      </c>
      <c r="R50" s="7"/>
      <c r="S50" s="93">
        <f t="shared" si="5"/>
        <v>0</v>
      </c>
      <c r="T50" s="7"/>
      <c r="U50" s="93">
        <f t="shared" si="6"/>
        <v>0</v>
      </c>
      <c r="V50" s="7"/>
      <c r="W50" s="93">
        <f t="shared" si="7"/>
        <v>0</v>
      </c>
      <c r="X50" s="7"/>
      <c r="Y50" s="93">
        <f t="shared" si="8"/>
        <v>0</v>
      </c>
      <c r="Z50" s="7"/>
      <c r="AA50" s="93">
        <f t="shared" si="9"/>
        <v>0</v>
      </c>
      <c r="AB50" s="7"/>
      <c r="AC50" s="93">
        <f t="shared" si="10"/>
        <v>0</v>
      </c>
      <c r="AD50" s="7"/>
      <c r="AE50" s="93">
        <f t="shared" si="11"/>
        <v>0</v>
      </c>
      <c r="AF50" s="94">
        <f t="shared" si="40"/>
        <v>0</v>
      </c>
      <c r="AG50" s="95">
        <f t="shared" si="41"/>
        <v>0</v>
      </c>
      <c r="AH50" s="7"/>
      <c r="AI50" s="93">
        <f t="shared" si="13"/>
        <v>0</v>
      </c>
      <c r="AJ50" s="7"/>
      <c r="AK50" s="93">
        <f t="shared" si="14"/>
        <v>0</v>
      </c>
      <c r="AL50" s="7"/>
      <c r="AM50" s="93">
        <f t="shared" si="15"/>
        <v>0</v>
      </c>
      <c r="AN50" s="7"/>
      <c r="AO50" s="93">
        <f t="shared" si="16"/>
        <v>0</v>
      </c>
      <c r="AP50" s="7"/>
      <c r="AQ50" s="93">
        <f t="shared" si="17"/>
        <v>0</v>
      </c>
      <c r="AR50" s="7"/>
      <c r="AS50" s="93">
        <f t="shared" si="18"/>
        <v>0</v>
      </c>
      <c r="AT50" s="7"/>
      <c r="AU50" s="93">
        <f t="shared" si="19"/>
        <v>0</v>
      </c>
      <c r="AV50" s="7"/>
      <c r="AW50" s="93">
        <f t="shared" si="20"/>
        <v>0</v>
      </c>
      <c r="AX50" s="7"/>
      <c r="AY50" s="93">
        <f t="shared" si="21"/>
        <v>0</v>
      </c>
      <c r="AZ50" s="7"/>
      <c r="BA50" s="93">
        <f t="shared" si="22"/>
        <v>0</v>
      </c>
      <c r="BB50" s="7"/>
      <c r="BC50" s="93">
        <f t="shared" si="23"/>
        <v>0</v>
      </c>
      <c r="BD50" s="7"/>
      <c r="BE50" s="93">
        <f t="shared" si="24"/>
        <v>0</v>
      </c>
      <c r="BF50" s="94">
        <f t="shared" si="42"/>
        <v>0</v>
      </c>
      <c r="BG50" s="95">
        <f t="shared" si="43"/>
        <v>0</v>
      </c>
      <c r="BH50" s="7"/>
      <c r="BI50" s="93">
        <f t="shared" si="26"/>
        <v>0</v>
      </c>
      <c r="BJ50" s="7"/>
      <c r="BK50" s="93">
        <f t="shared" si="27"/>
        <v>0</v>
      </c>
      <c r="BL50" s="7"/>
      <c r="BM50" s="93">
        <f t="shared" si="61"/>
        <v>0</v>
      </c>
      <c r="BN50" s="7"/>
      <c r="BO50" s="93">
        <f t="shared" si="61"/>
        <v>0</v>
      </c>
      <c r="BP50" s="7"/>
      <c r="BQ50" s="93">
        <f t="shared" si="61"/>
        <v>0</v>
      </c>
      <c r="BR50" s="7"/>
      <c r="BS50" s="93">
        <f t="shared" si="61"/>
        <v>0</v>
      </c>
      <c r="BT50" s="7"/>
      <c r="BU50" s="93">
        <f t="shared" si="32"/>
        <v>0</v>
      </c>
      <c r="BV50" s="7"/>
      <c r="BW50" s="93">
        <f t="shared" si="33"/>
        <v>0</v>
      </c>
      <c r="BX50" s="7"/>
      <c r="BY50" s="93">
        <f t="shared" si="34"/>
        <v>0</v>
      </c>
      <c r="BZ50" s="7"/>
      <c r="CA50" s="93">
        <f t="shared" si="35"/>
        <v>0</v>
      </c>
      <c r="CB50" s="7"/>
      <c r="CC50" s="93">
        <f t="shared" si="36"/>
        <v>0</v>
      </c>
      <c r="CD50" s="7"/>
      <c r="CE50" s="93">
        <f t="shared" si="37"/>
        <v>0</v>
      </c>
      <c r="CF50" s="94">
        <f t="shared" si="44"/>
        <v>0</v>
      </c>
      <c r="CG50" s="95">
        <f t="shared" si="45"/>
        <v>0</v>
      </c>
      <c r="CH50" s="7"/>
      <c r="CI50" s="93">
        <f t="shared" si="46"/>
        <v>0</v>
      </c>
      <c r="CJ50" s="7"/>
      <c r="CK50" s="93">
        <f t="shared" si="47"/>
        <v>0</v>
      </c>
      <c r="CL50" s="7"/>
      <c r="CM50" s="93">
        <f t="shared" si="48"/>
        <v>0</v>
      </c>
      <c r="CN50" s="7"/>
      <c r="CO50" s="93">
        <f t="shared" si="49"/>
        <v>0</v>
      </c>
      <c r="CP50" s="7"/>
      <c r="CQ50" s="93">
        <f t="shared" si="50"/>
        <v>0</v>
      </c>
      <c r="CR50" s="7"/>
      <c r="CS50" s="93">
        <f t="shared" si="51"/>
        <v>0</v>
      </c>
      <c r="CT50" s="7"/>
      <c r="CU50" s="93">
        <f t="shared" si="52"/>
        <v>0</v>
      </c>
      <c r="CV50" s="7"/>
      <c r="CW50" s="93">
        <f t="shared" si="53"/>
        <v>0</v>
      </c>
      <c r="CX50" s="7"/>
      <c r="CY50" s="93">
        <v>0</v>
      </c>
      <c r="CZ50" s="7"/>
      <c r="DA50" s="93">
        <v>0</v>
      </c>
      <c r="DB50" s="7"/>
      <c r="DC50" s="93">
        <v>0</v>
      </c>
      <c r="DD50" s="7"/>
      <c r="DE50" s="93">
        <v>0</v>
      </c>
      <c r="DF50" s="97">
        <f t="shared" si="39"/>
        <v>0</v>
      </c>
      <c r="DG50" s="98">
        <f t="shared" si="54"/>
        <v>0</v>
      </c>
      <c r="DH50" s="79"/>
      <c r="DI50" s="79">
        <v>0</v>
      </c>
      <c r="DJ50" s="154"/>
      <c r="DK50" s="212">
        <f t="shared" si="55"/>
        <v>0</v>
      </c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99">
        <f t="shared" si="56"/>
        <v>0</v>
      </c>
      <c r="EG50" s="99">
        <f t="shared" si="57"/>
        <v>0</v>
      </c>
    </row>
    <row r="51" spans="1:137" ht="20.100000000000001" customHeight="1">
      <c r="A51" s="63">
        <v>43</v>
      </c>
      <c r="B51" s="63" t="s">
        <v>53</v>
      </c>
      <c r="C51" s="63" t="s">
        <v>14</v>
      </c>
      <c r="D51" s="63">
        <f>RANK(DF51,$DF$4:$DF$144)</f>
        <v>3</v>
      </c>
      <c r="E51" s="63">
        <v>0.64</v>
      </c>
      <c r="F51" s="63" t="s">
        <v>25</v>
      </c>
      <c r="G51" s="63">
        <v>1370</v>
      </c>
      <c r="H51" s="92">
        <v>131800</v>
      </c>
      <c r="I51" s="93">
        <f t="shared" si="60"/>
        <v>84352</v>
      </c>
      <c r="J51" s="92">
        <v>163296</v>
      </c>
      <c r="K51" s="93">
        <f t="shared" si="60"/>
        <v>104509.44</v>
      </c>
      <c r="L51" s="92">
        <v>161518</v>
      </c>
      <c r="M51" s="93">
        <f t="shared" si="2"/>
        <v>103371.52</v>
      </c>
      <c r="N51" s="92">
        <v>105252</v>
      </c>
      <c r="O51" s="93">
        <f t="shared" si="3"/>
        <v>67361.279999999999</v>
      </c>
      <c r="P51" s="92">
        <v>100870</v>
      </c>
      <c r="Q51" s="93">
        <f t="shared" si="4"/>
        <v>64556.800000000003</v>
      </c>
      <c r="R51" s="92">
        <v>159208</v>
      </c>
      <c r="S51" s="93">
        <f t="shared" si="5"/>
        <v>101893.12</v>
      </c>
      <c r="T51" s="92">
        <v>146160</v>
      </c>
      <c r="U51" s="93">
        <f t="shared" si="6"/>
        <v>93542.400000000009</v>
      </c>
      <c r="V51" s="92">
        <v>158214</v>
      </c>
      <c r="W51" s="93">
        <f t="shared" si="7"/>
        <v>101256.96000000001</v>
      </c>
      <c r="X51" s="92">
        <v>140784</v>
      </c>
      <c r="Y51" s="93">
        <f t="shared" si="8"/>
        <v>90101.759999999995</v>
      </c>
      <c r="Z51" s="92">
        <v>106176</v>
      </c>
      <c r="AA51" s="93">
        <f t="shared" si="9"/>
        <v>67952.639999999999</v>
      </c>
      <c r="AB51" s="92">
        <v>152852</v>
      </c>
      <c r="AC51" s="93">
        <f t="shared" si="10"/>
        <v>97825.279999999999</v>
      </c>
      <c r="AD51" s="92">
        <v>156408</v>
      </c>
      <c r="AE51" s="93">
        <f t="shared" si="11"/>
        <v>100101.12</v>
      </c>
      <c r="AF51" s="94">
        <f t="shared" si="40"/>
        <v>1682538</v>
      </c>
      <c r="AG51" s="95">
        <f t="shared" si="41"/>
        <v>1076824.32</v>
      </c>
      <c r="AH51" s="92">
        <v>167569</v>
      </c>
      <c r="AI51" s="93">
        <f t="shared" si="13"/>
        <v>107244.16</v>
      </c>
      <c r="AJ51" s="92">
        <v>156820</v>
      </c>
      <c r="AK51" s="93">
        <f t="shared" si="14"/>
        <v>100364.8</v>
      </c>
      <c r="AL51" s="92">
        <v>114324</v>
      </c>
      <c r="AM51" s="93">
        <f t="shared" si="15"/>
        <v>73167.360000000001</v>
      </c>
      <c r="AN51" s="92">
        <v>130060</v>
      </c>
      <c r="AO51" s="93">
        <f t="shared" si="16"/>
        <v>83238.400000000009</v>
      </c>
      <c r="AP51" s="92">
        <v>115192</v>
      </c>
      <c r="AQ51" s="93">
        <f t="shared" si="17"/>
        <v>73722.880000000005</v>
      </c>
      <c r="AR51" s="92">
        <v>135985</v>
      </c>
      <c r="AS51" s="93">
        <f t="shared" si="18"/>
        <v>87030.400000000009</v>
      </c>
      <c r="AT51" s="92">
        <v>151284</v>
      </c>
      <c r="AU51" s="93">
        <f t="shared" si="19"/>
        <v>96821.759999999995</v>
      </c>
      <c r="AV51" s="92">
        <v>131558</v>
      </c>
      <c r="AW51" s="93">
        <f t="shared" si="20"/>
        <v>84197.119999999995</v>
      </c>
      <c r="AX51" s="92">
        <v>123746</v>
      </c>
      <c r="AY51" s="93">
        <f t="shared" si="21"/>
        <v>79197.440000000002</v>
      </c>
      <c r="AZ51" s="92">
        <v>134428</v>
      </c>
      <c r="BA51" s="93">
        <f t="shared" si="22"/>
        <v>86033.919999999998</v>
      </c>
      <c r="BB51" s="92">
        <v>144902</v>
      </c>
      <c r="BC51" s="93">
        <f t="shared" si="23"/>
        <v>92737.279999999999</v>
      </c>
      <c r="BD51" s="92">
        <v>207298</v>
      </c>
      <c r="BE51" s="93">
        <f t="shared" si="24"/>
        <v>132670.72</v>
      </c>
      <c r="BF51" s="94">
        <f t="shared" si="42"/>
        <v>1713166</v>
      </c>
      <c r="BG51" s="95">
        <f t="shared" si="43"/>
        <v>1096426.24</v>
      </c>
      <c r="BH51" s="92">
        <v>204793</v>
      </c>
      <c r="BI51" s="93">
        <f t="shared" si="26"/>
        <v>131067.52</v>
      </c>
      <c r="BJ51" s="92">
        <v>124476</v>
      </c>
      <c r="BK51" s="93">
        <f t="shared" si="27"/>
        <v>79664.639999999999</v>
      </c>
      <c r="BL51" s="92">
        <v>119466</v>
      </c>
      <c r="BM51" s="93">
        <f t="shared" si="61"/>
        <v>76458.240000000005</v>
      </c>
      <c r="BN51" s="92">
        <v>121002</v>
      </c>
      <c r="BO51" s="93">
        <f t="shared" si="61"/>
        <v>77441.279999999999</v>
      </c>
      <c r="BP51" s="92">
        <v>136738</v>
      </c>
      <c r="BQ51" s="93">
        <f t="shared" si="61"/>
        <v>87512.320000000007</v>
      </c>
      <c r="BR51" s="92">
        <v>143416</v>
      </c>
      <c r="BS51" s="93">
        <f t="shared" si="61"/>
        <v>91786.240000000005</v>
      </c>
      <c r="BT51" s="92">
        <v>140525</v>
      </c>
      <c r="BU51" s="93">
        <f t="shared" si="32"/>
        <v>89936</v>
      </c>
      <c r="BV51" s="92">
        <v>137417</v>
      </c>
      <c r="BW51" s="93">
        <f t="shared" si="33"/>
        <v>87946.880000000005</v>
      </c>
      <c r="BX51" s="92">
        <v>149520</v>
      </c>
      <c r="BY51" s="93">
        <f t="shared" si="34"/>
        <v>95692.800000000003</v>
      </c>
      <c r="BZ51" s="92">
        <v>136758</v>
      </c>
      <c r="CA51" s="93">
        <f t="shared" si="35"/>
        <v>87525.119999999995</v>
      </c>
      <c r="CB51" s="92">
        <v>148316</v>
      </c>
      <c r="CC51" s="93">
        <f t="shared" si="36"/>
        <v>94922.240000000005</v>
      </c>
      <c r="CD51" s="7">
        <v>159250</v>
      </c>
      <c r="CE51" s="93">
        <f t="shared" si="37"/>
        <v>101920</v>
      </c>
      <c r="CF51" s="94">
        <f t="shared" si="44"/>
        <v>1721677</v>
      </c>
      <c r="CG51" s="95">
        <f t="shared" si="45"/>
        <v>1101873.28</v>
      </c>
      <c r="CH51" s="7">
        <v>154924</v>
      </c>
      <c r="CI51" s="93">
        <f t="shared" si="46"/>
        <v>99151.360000000001</v>
      </c>
      <c r="CJ51" s="7">
        <v>128100</v>
      </c>
      <c r="CK51" s="93">
        <f t="shared" si="47"/>
        <v>81984</v>
      </c>
      <c r="CL51" s="7">
        <v>168241</v>
      </c>
      <c r="CM51" s="93">
        <f t="shared" si="48"/>
        <v>107674.24000000001</v>
      </c>
      <c r="CN51" s="7">
        <v>113416</v>
      </c>
      <c r="CO51" s="93">
        <f t="shared" si="49"/>
        <v>72586.240000000005</v>
      </c>
      <c r="CP51" s="7">
        <v>125095</v>
      </c>
      <c r="CQ51" s="93">
        <f t="shared" si="50"/>
        <v>80060.800000000003</v>
      </c>
      <c r="CR51" s="7">
        <v>129262</v>
      </c>
      <c r="CS51" s="93">
        <f t="shared" si="51"/>
        <v>82727.680000000008</v>
      </c>
      <c r="CT51" s="7">
        <v>129416</v>
      </c>
      <c r="CU51" s="93">
        <f t="shared" si="52"/>
        <v>82826.240000000005</v>
      </c>
      <c r="CV51" s="7">
        <v>113666</v>
      </c>
      <c r="CW51" s="93">
        <f t="shared" si="53"/>
        <v>72746.240000000005</v>
      </c>
      <c r="CX51" s="7">
        <v>130958</v>
      </c>
      <c r="CY51" s="93">
        <v>83813.119999999995</v>
      </c>
      <c r="CZ51" s="7">
        <v>123398</v>
      </c>
      <c r="DA51" s="93">
        <v>78974.720000000001</v>
      </c>
      <c r="DB51" s="7">
        <v>132608</v>
      </c>
      <c r="DC51" s="93">
        <v>84869.119999999995</v>
      </c>
      <c r="DD51" s="7">
        <v>129794</v>
      </c>
      <c r="DE51" s="93">
        <v>83068.160000000003</v>
      </c>
      <c r="DF51" s="97">
        <f t="shared" si="39"/>
        <v>1578878</v>
      </c>
      <c r="DG51" s="98">
        <f t="shared" si="54"/>
        <v>1010481.92</v>
      </c>
      <c r="DH51" s="79">
        <v>129486</v>
      </c>
      <c r="DI51" s="79">
        <v>82871.040000000008</v>
      </c>
      <c r="DJ51" s="154">
        <v>110882</v>
      </c>
      <c r="DK51" s="212">
        <f t="shared" si="55"/>
        <v>70964.479999999996</v>
      </c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99">
        <f t="shared" si="56"/>
        <v>240368</v>
      </c>
      <c r="EG51" s="99">
        <f t="shared" si="57"/>
        <v>153835.52000000002</v>
      </c>
    </row>
    <row r="52" spans="1:137" ht="20.100000000000001" customHeight="1">
      <c r="A52" s="63">
        <v>44</v>
      </c>
      <c r="B52" s="63" t="s">
        <v>53</v>
      </c>
      <c r="C52" s="63" t="s">
        <v>14</v>
      </c>
      <c r="D52" s="63">
        <f>RANK(DF52,$DF$4:$DF$144)</f>
        <v>35</v>
      </c>
      <c r="E52" s="63">
        <v>0.64</v>
      </c>
      <c r="F52" s="63" t="s">
        <v>24</v>
      </c>
      <c r="G52" s="63"/>
      <c r="H52" s="7"/>
      <c r="I52" s="93">
        <f t="shared" si="60"/>
        <v>0</v>
      </c>
      <c r="J52" s="7"/>
      <c r="K52" s="93">
        <f t="shared" si="60"/>
        <v>0</v>
      </c>
      <c r="L52" s="7"/>
      <c r="M52" s="93">
        <f t="shared" si="2"/>
        <v>0</v>
      </c>
      <c r="N52" s="7"/>
      <c r="O52" s="93">
        <f t="shared" si="3"/>
        <v>0</v>
      </c>
      <c r="P52" s="7"/>
      <c r="Q52" s="93">
        <f t="shared" si="4"/>
        <v>0</v>
      </c>
      <c r="R52" s="7"/>
      <c r="S52" s="93">
        <f t="shared" si="5"/>
        <v>0</v>
      </c>
      <c r="T52" s="7"/>
      <c r="U52" s="93">
        <f t="shared" si="6"/>
        <v>0</v>
      </c>
      <c r="V52" s="7"/>
      <c r="W52" s="93">
        <f t="shared" si="7"/>
        <v>0</v>
      </c>
      <c r="X52" s="7"/>
      <c r="Y52" s="93">
        <f t="shared" si="8"/>
        <v>0</v>
      </c>
      <c r="Z52" s="7"/>
      <c r="AA52" s="93">
        <f t="shared" si="9"/>
        <v>0</v>
      </c>
      <c r="AB52" s="7"/>
      <c r="AC52" s="93">
        <f t="shared" si="10"/>
        <v>0</v>
      </c>
      <c r="AD52" s="7"/>
      <c r="AE52" s="93">
        <f t="shared" si="11"/>
        <v>0</v>
      </c>
      <c r="AF52" s="94">
        <f t="shared" si="40"/>
        <v>0</v>
      </c>
      <c r="AG52" s="95">
        <f t="shared" si="41"/>
        <v>0</v>
      </c>
      <c r="AH52" s="7"/>
      <c r="AI52" s="93">
        <f t="shared" si="13"/>
        <v>0</v>
      </c>
      <c r="AJ52" s="7"/>
      <c r="AK52" s="93">
        <f t="shared" si="14"/>
        <v>0</v>
      </c>
      <c r="AL52" s="7"/>
      <c r="AM52" s="93">
        <f t="shared" si="15"/>
        <v>0</v>
      </c>
      <c r="AN52" s="7"/>
      <c r="AO52" s="93">
        <f t="shared" si="16"/>
        <v>0</v>
      </c>
      <c r="AP52" s="7"/>
      <c r="AQ52" s="93">
        <f t="shared" si="17"/>
        <v>0</v>
      </c>
      <c r="AR52" s="7"/>
      <c r="AS52" s="93">
        <f t="shared" si="18"/>
        <v>0</v>
      </c>
      <c r="AT52" s="7"/>
      <c r="AU52" s="93">
        <f t="shared" si="19"/>
        <v>0</v>
      </c>
      <c r="AV52" s="7"/>
      <c r="AW52" s="93">
        <f t="shared" si="20"/>
        <v>0</v>
      </c>
      <c r="AX52" s="7"/>
      <c r="AY52" s="93">
        <f t="shared" si="21"/>
        <v>0</v>
      </c>
      <c r="AZ52" s="7"/>
      <c r="BA52" s="93">
        <f t="shared" si="22"/>
        <v>0</v>
      </c>
      <c r="BB52" s="7"/>
      <c r="BC52" s="93">
        <f t="shared" si="23"/>
        <v>0</v>
      </c>
      <c r="BD52" s="7"/>
      <c r="BE52" s="93">
        <f t="shared" si="24"/>
        <v>0</v>
      </c>
      <c r="BF52" s="94">
        <f t="shared" si="42"/>
        <v>0</v>
      </c>
      <c r="BG52" s="95">
        <f t="shared" si="43"/>
        <v>0</v>
      </c>
      <c r="BH52" s="7"/>
      <c r="BI52" s="93">
        <f t="shared" si="26"/>
        <v>0</v>
      </c>
      <c r="BJ52" s="7"/>
      <c r="BK52" s="93">
        <f t="shared" si="27"/>
        <v>0</v>
      </c>
      <c r="BL52" s="7"/>
      <c r="BM52" s="93">
        <f t="shared" si="61"/>
        <v>0</v>
      </c>
      <c r="BN52" s="7"/>
      <c r="BO52" s="93">
        <f t="shared" si="61"/>
        <v>0</v>
      </c>
      <c r="BP52" s="7"/>
      <c r="BQ52" s="93">
        <f t="shared" si="61"/>
        <v>0</v>
      </c>
      <c r="BR52" s="7"/>
      <c r="BS52" s="93">
        <f t="shared" si="61"/>
        <v>0</v>
      </c>
      <c r="BT52" s="7"/>
      <c r="BU52" s="93">
        <f t="shared" si="32"/>
        <v>0</v>
      </c>
      <c r="BV52" s="7"/>
      <c r="BW52" s="93">
        <f t="shared" si="33"/>
        <v>0</v>
      </c>
      <c r="BX52" s="7"/>
      <c r="BY52" s="93">
        <f t="shared" si="34"/>
        <v>0</v>
      </c>
      <c r="BZ52" s="7"/>
      <c r="CA52" s="93">
        <f t="shared" si="35"/>
        <v>0</v>
      </c>
      <c r="CB52" s="7"/>
      <c r="CC52" s="93">
        <f t="shared" si="36"/>
        <v>0</v>
      </c>
      <c r="CD52" s="7"/>
      <c r="CE52" s="93">
        <f t="shared" si="37"/>
        <v>0</v>
      </c>
      <c r="CF52" s="94">
        <f t="shared" si="44"/>
        <v>0</v>
      </c>
      <c r="CG52" s="95">
        <f t="shared" si="45"/>
        <v>0</v>
      </c>
      <c r="CH52" s="7"/>
      <c r="CI52" s="93">
        <f t="shared" si="46"/>
        <v>0</v>
      </c>
      <c r="CJ52" s="7"/>
      <c r="CK52" s="93">
        <f t="shared" si="47"/>
        <v>0</v>
      </c>
      <c r="CL52" s="7"/>
      <c r="CM52" s="93">
        <f t="shared" si="48"/>
        <v>0</v>
      </c>
      <c r="CN52" s="7"/>
      <c r="CO52" s="93">
        <f t="shared" si="49"/>
        <v>0</v>
      </c>
      <c r="CP52" s="7"/>
      <c r="CQ52" s="93">
        <f t="shared" si="50"/>
        <v>0</v>
      </c>
      <c r="CR52" s="7"/>
      <c r="CS52" s="93">
        <f t="shared" si="51"/>
        <v>0</v>
      </c>
      <c r="CT52" s="7"/>
      <c r="CU52" s="93">
        <f t="shared" si="52"/>
        <v>0</v>
      </c>
      <c r="CV52" s="7"/>
      <c r="CW52" s="93">
        <f t="shared" si="53"/>
        <v>0</v>
      </c>
      <c r="CX52" s="7"/>
      <c r="CY52" s="93">
        <v>0</v>
      </c>
      <c r="CZ52" s="7"/>
      <c r="DA52" s="93">
        <v>0</v>
      </c>
      <c r="DB52" s="7"/>
      <c r="DC52" s="93">
        <v>0</v>
      </c>
      <c r="DD52" s="7"/>
      <c r="DE52" s="93">
        <v>0</v>
      </c>
      <c r="DF52" s="97">
        <f t="shared" si="39"/>
        <v>0</v>
      </c>
      <c r="DG52" s="98">
        <f t="shared" si="54"/>
        <v>0</v>
      </c>
      <c r="DH52" s="79"/>
      <c r="DI52" s="79">
        <v>0</v>
      </c>
      <c r="DJ52" s="154"/>
      <c r="DK52" s="212">
        <f t="shared" si="55"/>
        <v>0</v>
      </c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99">
        <f t="shared" si="56"/>
        <v>0</v>
      </c>
      <c r="EG52" s="99">
        <f t="shared" si="57"/>
        <v>0</v>
      </c>
    </row>
    <row r="53" spans="1:137" ht="20.100000000000001" customHeight="1">
      <c r="A53" s="63"/>
      <c r="B53" s="63"/>
      <c r="C53" s="63"/>
      <c r="D53" s="63"/>
      <c r="E53" s="63"/>
      <c r="F53" s="63"/>
      <c r="G53" s="63"/>
      <c r="H53" s="7"/>
      <c r="I53" s="93">
        <f t="shared" si="60"/>
        <v>0</v>
      </c>
      <c r="J53" s="7"/>
      <c r="K53" s="93">
        <f t="shared" si="60"/>
        <v>0</v>
      </c>
      <c r="L53" s="7"/>
      <c r="M53" s="93">
        <f t="shared" si="2"/>
        <v>0</v>
      </c>
      <c r="N53" s="7"/>
      <c r="O53" s="93">
        <f t="shared" si="3"/>
        <v>0</v>
      </c>
      <c r="P53" s="7"/>
      <c r="Q53" s="93">
        <f t="shared" si="4"/>
        <v>0</v>
      </c>
      <c r="R53" s="7"/>
      <c r="S53" s="93">
        <f t="shared" si="5"/>
        <v>0</v>
      </c>
      <c r="T53" s="7"/>
      <c r="U53" s="93">
        <f t="shared" si="6"/>
        <v>0</v>
      </c>
      <c r="V53" s="7"/>
      <c r="W53" s="93">
        <f t="shared" si="7"/>
        <v>0</v>
      </c>
      <c r="X53" s="7"/>
      <c r="Y53" s="93">
        <f t="shared" si="8"/>
        <v>0</v>
      </c>
      <c r="Z53" s="7"/>
      <c r="AA53" s="93">
        <f t="shared" si="9"/>
        <v>0</v>
      </c>
      <c r="AB53" s="7"/>
      <c r="AC53" s="93">
        <f t="shared" si="10"/>
        <v>0</v>
      </c>
      <c r="AD53" s="7"/>
      <c r="AE53" s="93">
        <f t="shared" si="11"/>
        <v>0</v>
      </c>
      <c r="AF53" s="94">
        <f t="shared" si="40"/>
        <v>0</v>
      </c>
      <c r="AG53" s="95">
        <f t="shared" si="41"/>
        <v>0</v>
      </c>
      <c r="AH53" s="7"/>
      <c r="AI53" s="93">
        <f t="shared" si="13"/>
        <v>0</v>
      </c>
      <c r="AJ53" s="7"/>
      <c r="AK53" s="93">
        <f t="shared" si="14"/>
        <v>0</v>
      </c>
      <c r="AL53" s="7"/>
      <c r="AM53" s="93">
        <f t="shared" si="15"/>
        <v>0</v>
      </c>
      <c r="AN53" s="7"/>
      <c r="AO53" s="93">
        <f t="shared" si="16"/>
        <v>0</v>
      </c>
      <c r="AP53" s="7"/>
      <c r="AQ53" s="93">
        <f t="shared" si="17"/>
        <v>0</v>
      </c>
      <c r="AR53" s="7"/>
      <c r="AS53" s="93">
        <f t="shared" si="18"/>
        <v>0</v>
      </c>
      <c r="AT53" s="7"/>
      <c r="AU53" s="93">
        <f t="shared" si="19"/>
        <v>0</v>
      </c>
      <c r="AV53" s="7"/>
      <c r="AW53" s="93">
        <f t="shared" si="20"/>
        <v>0</v>
      </c>
      <c r="AX53" s="7"/>
      <c r="AY53" s="93">
        <f t="shared" si="21"/>
        <v>0</v>
      </c>
      <c r="AZ53" s="7"/>
      <c r="BA53" s="93">
        <f t="shared" si="22"/>
        <v>0</v>
      </c>
      <c r="BB53" s="7"/>
      <c r="BC53" s="93">
        <f t="shared" si="23"/>
        <v>0</v>
      </c>
      <c r="BD53" s="7"/>
      <c r="BE53" s="93">
        <f t="shared" si="24"/>
        <v>0</v>
      </c>
      <c r="BF53" s="94">
        <f t="shared" si="42"/>
        <v>0</v>
      </c>
      <c r="BG53" s="95">
        <f t="shared" si="43"/>
        <v>0</v>
      </c>
      <c r="BH53" s="7"/>
      <c r="BI53" s="93">
        <f t="shared" si="26"/>
        <v>0</v>
      </c>
      <c r="BJ53" s="7"/>
      <c r="BK53" s="93">
        <f t="shared" si="27"/>
        <v>0</v>
      </c>
      <c r="BL53" s="7"/>
      <c r="BM53" s="93">
        <f t="shared" si="61"/>
        <v>0</v>
      </c>
      <c r="BN53" s="7"/>
      <c r="BO53" s="93">
        <f t="shared" si="61"/>
        <v>0</v>
      </c>
      <c r="BP53" s="7"/>
      <c r="BQ53" s="93">
        <f t="shared" si="61"/>
        <v>0</v>
      </c>
      <c r="BR53" s="7"/>
      <c r="BS53" s="93">
        <f t="shared" si="61"/>
        <v>0</v>
      </c>
      <c r="BT53" s="7"/>
      <c r="BU53" s="93">
        <f t="shared" si="32"/>
        <v>0</v>
      </c>
      <c r="BV53" s="7"/>
      <c r="BW53" s="93">
        <f t="shared" si="33"/>
        <v>0</v>
      </c>
      <c r="BX53" s="7"/>
      <c r="BY53" s="93">
        <f t="shared" si="34"/>
        <v>0</v>
      </c>
      <c r="BZ53" s="7"/>
      <c r="CA53" s="93">
        <f t="shared" si="35"/>
        <v>0</v>
      </c>
      <c r="CB53" s="7"/>
      <c r="CC53" s="93">
        <f t="shared" si="36"/>
        <v>0</v>
      </c>
      <c r="CD53" s="7"/>
      <c r="CE53" s="93">
        <f t="shared" si="37"/>
        <v>0</v>
      </c>
      <c r="CF53" s="94">
        <f t="shared" si="44"/>
        <v>0</v>
      </c>
      <c r="CG53" s="95">
        <f t="shared" si="45"/>
        <v>0</v>
      </c>
      <c r="CH53" s="7"/>
      <c r="CI53" s="93">
        <f t="shared" si="46"/>
        <v>0</v>
      </c>
      <c r="CJ53" s="7"/>
      <c r="CK53" s="93">
        <f t="shared" si="47"/>
        <v>0</v>
      </c>
      <c r="CL53" s="7"/>
      <c r="CM53" s="93">
        <f t="shared" si="48"/>
        <v>0</v>
      </c>
      <c r="CN53" s="7"/>
      <c r="CO53" s="93">
        <f t="shared" si="49"/>
        <v>0</v>
      </c>
      <c r="CP53" s="7"/>
      <c r="CQ53" s="93">
        <f t="shared" si="50"/>
        <v>0</v>
      </c>
      <c r="CR53" s="7"/>
      <c r="CS53" s="93">
        <f t="shared" si="51"/>
        <v>0</v>
      </c>
      <c r="CT53" s="7"/>
      <c r="CU53" s="93">
        <f t="shared" si="52"/>
        <v>0</v>
      </c>
      <c r="CV53" s="7"/>
      <c r="CW53" s="93">
        <f t="shared" si="53"/>
        <v>0</v>
      </c>
      <c r="CX53" s="7"/>
      <c r="CY53" s="93">
        <v>0</v>
      </c>
      <c r="CZ53" s="7"/>
      <c r="DA53" s="93">
        <v>0</v>
      </c>
      <c r="DB53" s="7"/>
      <c r="DC53" s="93">
        <v>0</v>
      </c>
      <c r="DD53" s="7"/>
      <c r="DE53" s="93">
        <v>0</v>
      </c>
      <c r="DF53" s="97">
        <f t="shared" si="39"/>
        <v>0</v>
      </c>
      <c r="DG53" s="98">
        <f t="shared" si="54"/>
        <v>0</v>
      </c>
      <c r="DH53" s="79"/>
      <c r="DI53" s="79">
        <v>0</v>
      </c>
      <c r="DJ53" s="154"/>
      <c r="DK53" s="212">
        <f t="shared" si="55"/>
        <v>0</v>
      </c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99">
        <f t="shared" si="56"/>
        <v>0</v>
      </c>
      <c r="EG53" s="99">
        <f t="shared" si="57"/>
        <v>0</v>
      </c>
    </row>
    <row r="54" spans="1:137" ht="20.100000000000001" customHeight="1">
      <c r="A54" s="63"/>
      <c r="B54" s="63"/>
      <c r="C54" s="63"/>
      <c r="D54" s="63"/>
      <c r="E54" s="63"/>
      <c r="F54" s="63"/>
      <c r="G54" s="63"/>
      <c r="H54" s="7"/>
      <c r="I54" s="93">
        <f t="shared" si="60"/>
        <v>0</v>
      </c>
      <c r="J54" s="7"/>
      <c r="K54" s="93">
        <f t="shared" si="60"/>
        <v>0</v>
      </c>
      <c r="L54" s="7"/>
      <c r="M54" s="93">
        <f t="shared" si="2"/>
        <v>0</v>
      </c>
      <c r="N54" s="7"/>
      <c r="O54" s="93">
        <f t="shared" si="3"/>
        <v>0</v>
      </c>
      <c r="P54" s="7"/>
      <c r="Q54" s="93">
        <f t="shared" si="4"/>
        <v>0</v>
      </c>
      <c r="R54" s="7"/>
      <c r="S54" s="93">
        <f t="shared" si="5"/>
        <v>0</v>
      </c>
      <c r="T54" s="7"/>
      <c r="U54" s="93">
        <f t="shared" si="6"/>
        <v>0</v>
      </c>
      <c r="V54" s="7"/>
      <c r="W54" s="93">
        <f t="shared" si="7"/>
        <v>0</v>
      </c>
      <c r="X54" s="7"/>
      <c r="Y54" s="93">
        <f t="shared" si="8"/>
        <v>0</v>
      </c>
      <c r="Z54" s="7"/>
      <c r="AA54" s="93">
        <f t="shared" si="9"/>
        <v>0</v>
      </c>
      <c r="AB54" s="7"/>
      <c r="AC54" s="93">
        <f t="shared" si="10"/>
        <v>0</v>
      </c>
      <c r="AD54" s="7"/>
      <c r="AE54" s="93">
        <f t="shared" si="11"/>
        <v>0</v>
      </c>
      <c r="AF54" s="94">
        <f t="shared" si="40"/>
        <v>0</v>
      </c>
      <c r="AG54" s="95">
        <f t="shared" si="41"/>
        <v>0</v>
      </c>
      <c r="AH54" s="7"/>
      <c r="AI54" s="93">
        <f t="shared" si="13"/>
        <v>0</v>
      </c>
      <c r="AJ54" s="7"/>
      <c r="AK54" s="93">
        <f t="shared" si="14"/>
        <v>0</v>
      </c>
      <c r="AL54" s="7"/>
      <c r="AM54" s="93">
        <f t="shared" si="15"/>
        <v>0</v>
      </c>
      <c r="AN54" s="7"/>
      <c r="AO54" s="93">
        <f t="shared" si="16"/>
        <v>0</v>
      </c>
      <c r="AP54" s="7"/>
      <c r="AQ54" s="93">
        <f t="shared" si="17"/>
        <v>0</v>
      </c>
      <c r="AR54" s="7"/>
      <c r="AS54" s="93">
        <f t="shared" si="18"/>
        <v>0</v>
      </c>
      <c r="AT54" s="7"/>
      <c r="AU54" s="93">
        <f t="shared" si="19"/>
        <v>0</v>
      </c>
      <c r="AV54" s="7"/>
      <c r="AW54" s="93">
        <f t="shared" si="20"/>
        <v>0</v>
      </c>
      <c r="AX54" s="7"/>
      <c r="AY54" s="93">
        <f t="shared" si="21"/>
        <v>0</v>
      </c>
      <c r="AZ54" s="7"/>
      <c r="BA54" s="93">
        <f t="shared" si="22"/>
        <v>0</v>
      </c>
      <c r="BB54" s="7"/>
      <c r="BC54" s="93">
        <f t="shared" si="23"/>
        <v>0</v>
      </c>
      <c r="BD54" s="7"/>
      <c r="BE54" s="93">
        <f t="shared" si="24"/>
        <v>0</v>
      </c>
      <c r="BF54" s="94">
        <f t="shared" si="42"/>
        <v>0</v>
      </c>
      <c r="BG54" s="95">
        <f t="shared" si="43"/>
        <v>0</v>
      </c>
      <c r="BH54" s="7"/>
      <c r="BI54" s="93">
        <f t="shared" si="26"/>
        <v>0</v>
      </c>
      <c r="BJ54" s="7"/>
      <c r="BK54" s="93">
        <f t="shared" si="27"/>
        <v>0</v>
      </c>
      <c r="BL54" s="7"/>
      <c r="BM54" s="93">
        <f t="shared" si="61"/>
        <v>0</v>
      </c>
      <c r="BN54" s="7"/>
      <c r="BO54" s="93">
        <f t="shared" si="61"/>
        <v>0</v>
      </c>
      <c r="BP54" s="7"/>
      <c r="BQ54" s="93">
        <f t="shared" si="61"/>
        <v>0</v>
      </c>
      <c r="BR54" s="7"/>
      <c r="BS54" s="93">
        <f t="shared" si="61"/>
        <v>0</v>
      </c>
      <c r="BT54" s="7"/>
      <c r="BU54" s="93">
        <f t="shared" si="32"/>
        <v>0</v>
      </c>
      <c r="BV54" s="7"/>
      <c r="BW54" s="93">
        <f t="shared" si="33"/>
        <v>0</v>
      </c>
      <c r="BX54" s="7"/>
      <c r="BY54" s="93">
        <f t="shared" si="34"/>
        <v>0</v>
      </c>
      <c r="BZ54" s="7"/>
      <c r="CA54" s="93">
        <f t="shared" si="35"/>
        <v>0</v>
      </c>
      <c r="CB54" s="7"/>
      <c r="CC54" s="93">
        <f t="shared" si="36"/>
        <v>0</v>
      </c>
      <c r="CD54" s="7"/>
      <c r="CE54" s="93">
        <f t="shared" si="37"/>
        <v>0</v>
      </c>
      <c r="CF54" s="94">
        <f t="shared" si="44"/>
        <v>0</v>
      </c>
      <c r="CG54" s="95">
        <f t="shared" si="45"/>
        <v>0</v>
      </c>
      <c r="CH54" s="7"/>
      <c r="CI54" s="93">
        <f t="shared" si="46"/>
        <v>0</v>
      </c>
      <c r="CJ54" s="7"/>
      <c r="CK54" s="93">
        <f t="shared" si="47"/>
        <v>0</v>
      </c>
      <c r="CL54" s="7"/>
      <c r="CM54" s="93">
        <f t="shared" si="48"/>
        <v>0</v>
      </c>
      <c r="CN54" s="7"/>
      <c r="CO54" s="93">
        <f t="shared" si="49"/>
        <v>0</v>
      </c>
      <c r="CP54" s="7"/>
      <c r="CQ54" s="93">
        <f t="shared" si="50"/>
        <v>0</v>
      </c>
      <c r="CR54" s="7"/>
      <c r="CS54" s="93">
        <f t="shared" si="51"/>
        <v>0</v>
      </c>
      <c r="CT54" s="7"/>
      <c r="CU54" s="93">
        <f t="shared" si="52"/>
        <v>0</v>
      </c>
      <c r="CV54" s="7"/>
      <c r="CW54" s="93">
        <f t="shared" si="53"/>
        <v>0</v>
      </c>
      <c r="CX54" s="7"/>
      <c r="CY54" s="93">
        <v>0</v>
      </c>
      <c r="CZ54" s="7"/>
      <c r="DA54" s="93">
        <v>0</v>
      </c>
      <c r="DB54" s="7"/>
      <c r="DC54" s="93">
        <v>0</v>
      </c>
      <c r="DD54" s="7"/>
      <c r="DE54" s="93">
        <v>0</v>
      </c>
      <c r="DF54" s="97">
        <f t="shared" si="39"/>
        <v>0</v>
      </c>
      <c r="DG54" s="98">
        <f t="shared" si="54"/>
        <v>0</v>
      </c>
      <c r="DH54" s="79"/>
      <c r="DI54" s="79">
        <v>0</v>
      </c>
      <c r="DJ54" s="154"/>
      <c r="DK54" s="212">
        <f t="shared" si="55"/>
        <v>0</v>
      </c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99">
        <f t="shared" si="56"/>
        <v>0</v>
      </c>
      <c r="EG54" s="99">
        <f t="shared" si="57"/>
        <v>0</v>
      </c>
    </row>
    <row r="55" spans="1:137" ht="20.100000000000001" customHeight="1">
      <c r="A55" s="63">
        <v>45</v>
      </c>
      <c r="B55" s="63" t="s">
        <v>54</v>
      </c>
      <c r="C55" s="63" t="s">
        <v>17</v>
      </c>
      <c r="D55" s="63">
        <f>RANK(DF55,$DF$4:$DF$144)</f>
        <v>35</v>
      </c>
      <c r="E55" s="63">
        <v>1</v>
      </c>
      <c r="F55" s="63" t="s">
        <v>15</v>
      </c>
      <c r="G55" s="63"/>
      <c r="H55" s="7"/>
      <c r="I55" s="93">
        <f t="shared" si="60"/>
        <v>0</v>
      </c>
      <c r="J55" s="7"/>
      <c r="K55" s="93">
        <f t="shared" si="60"/>
        <v>0</v>
      </c>
      <c r="L55" s="7"/>
      <c r="M55" s="93">
        <f t="shared" si="2"/>
        <v>0</v>
      </c>
      <c r="N55" s="7"/>
      <c r="O55" s="93">
        <f t="shared" si="3"/>
        <v>0</v>
      </c>
      <c r="P55" s="7"/>
      <c r="Q55" s="93">
        <f t="shared" si="4"/>
        <v>0</v>
      </c>
      <c r="R55" s="7"/>
      <c r="S55" s="93">
        <f t="shared" si="5"/>
        <v>0</v>
      </c>
      <c r="T55" s="7"/>
      <c r="U55" s="93">
        <f t="shared" si="6"/>
        <v>0</v>
      </c>
      <c r="V55" s="7"/>
      <c r="W55" s="93">
        <f t="shared" si="7"/>
        <v>0</v>
      </c>
      <c r="X55" s="7"/>
      <c r="Y55" s="93">
        <f t="shared" si="8"/>
        <v>0</v>
      </c>
      <c r="Z55" s="7"/>
      <c r="AA55" s="93">
        <f t="shared" si="9"/>
        <v>0</v>
      </c>
      <c r="AB55" s="7"/>
      <c r="AC55" s="93">
        <f t="shared" si="10"/>
        <v>0</v>
      </c>
      <c r="AD55" s="7"/>
      <c r="AE55" s="93">
        <f t="shared" si="11"/>
        <v>0</v>
      </c>
      <c r="AF55" s="94">
        <f t="shared" si="40"/>
        <v>0</v>
      </c>
      <c r="AG55" s="95">
        <f t="shared" si="41"/>
        <v>0</v>
      </c>
      <c r="AH55" s="7"/>
      <c r="AI55" s="93">
        <f t="shared" si="13"/>
        <v>0</v>
      </c>
      <c r="AJ55" s="7"/>
      <c r="AK55" s="93">
        <f t="shared" si="14"/>
        <v>0</v>
      </c>
      <c r="AL55" s="7"/>
      <c r="AM55" s="93">
        <f t="shared" si="15"/>
        <v>0</v>
      </c>
      <c r="AN55" s="7"/>
      <c r="AO55" s="93">
        <f t="shared" si="16"/>
        <v>0</v>
      </c>
      <c r="AP55" s="7"/>
      <c r="AQ55" s="93">
        <f t="shared" si="17"/>
        <v>0</v>
      </c>
      <c r="AR55" s="7"/>
      <c r="AS55" s="93">
        <f t="shared" si="18"/>
        <v>0</v>
      </c>
      <c r="AT55" s="7"/>
      <c r="AU55" s="93">
        <f t="shared" si="19"/>
        <v>0</v>
      </c>
      <c r="AV55" s="7"/>
      <c r="AW55" s="93">
        <f t="shared" si="20"/>
        <v>0</v>
      </c>
      <c r="AX55" s="7"/>
      <c r="AY55" s="93">
        <f t="shared" si="21"/>
        <v>0</v>
      </c>
      <c r="AZ55" s="7"/>
      <c r="BA55" s="93">
        <f t="shared" si="22"/>
        <v>0</v>
      </c>
      <c r="BB55" s="7"/>
      <c r="BC55" s="93">
        <f t="shared" si="23"/>
        <v>0</v>
      </c>
      <c r="BD55" s="7"/>
      <c r="BE55" s="93">
        <f t="shared" si="24"/>
        <v>0</v>
      </c>
      <c r="BF55" s="94">
        <f t="shared" si="42"/>
        <v>0</v>
      </c>
      <c r="BG55" s="95">
        <f t="shared" si="43"/>
        <v>0</v>
      </c>
      <c r="BH55" s="7"/>
      <c r="BI55" s="93">
        <f t="shared" si="26"/>
        <v>0</v>
      </c>
      <c r="BJ55" s="7"/>
      <c r="BK55" s="93">
        <f t="shared" si="27"/>
        <v>0</v>
      </c>
      <c r="BL55" s="7"/>
      <c r="BM55" s="93">
        <f t="shared" si="61"/>
        <v>0</v>
      </c>
      <c r="BN55" s="7"/>
      <c r="BO55" s="93">
        <f t="shared" si="61"/>
        <v>0</v>
      </c>
      <c r="BP55" s="7"/>
      <c r="BQ55" s="93">
        <f t="shared" si="61"/>
        <v>0</v>
      </c>
      <c r="BR55" s="7"/>
      <c r="BS55" s="93">
        <f t="shared" si="61"/>
        <v>0</v>
      </c>
      <c r="BT55" s="7"/>
      <c r="BU55" s="93">
        <f t="shared" si="32"/>
        <v>0</v>
      </c>
      <c r="BV55" s="7"/>
      <c r="BW55" s="93">
        <f t="shared" si="33"/>
        <v>0</v>
      </c>
      <c r="BX55" s="7"/>
      <c r="BY55" s="93">
        <f t="shared" si="34"/>
        <v>0</v>
      </c>
      <c r="BZ55" s="7"/>
      <c r="CA55" s="93">
        <f t="shared" si="35"/>
        <v>0</v>
      </c>
      <c r="CB55" s="7"/>
      <c r="CC55" s="93">
        <f t="shared" si="36"/>
        <v>0</v>
      </c>
      <c r="CD55" s="7"/>
      <c r="CE55" s="93">
        <f t="shared" si="37"/>
        <v>0</v>
      </c>
      <c r="CF55" s="94">
        <f t="shared" si="44"/>
        <v>0</v>
      </c>
      <c r="CG55" s="95">
        <f t="shared" si="45"/>
        <v>0</v>
      </c>
      <c r="CH55" s="7"/>
      <c r="CI55" s="93">
        <f t="shared" si="46"/>
        <v>0</v>
      </c>
      <c r="CJ55" s="7"/>
      <c r="CK55" s="93">
        <f t="shared" si="47"/>
        <v>0</v>
      </c>
      <c r="CL55" s="7"/>
      <c r="CM55" s="93">
        <f t="shared" si="48"/>
        <v>0</v>
      </c>
      <c r="CN55" s="7"/>
      <c r="CO55" s="93">
        <f t="shared" si="49"/>
        <v>0</v>
      </c>
      <c r="CP55" s="7"/>
      <c r="CQ55" s="93">
        <f t="shared" si="50"/>
        <v>0</v>
      </c>
      <c r="CR55" s="7"/>
      <c r="CS55" s="93">
        <f t="shared" si="51"/>
        <v>0</v>
      </c>
      <c r="CT55" s="7"/>
      <c r="CU55" s="93">
        <f t="shared" si="52"/>
        <v>0</v>
      </c>
      <c r="CV55" s="7"/>
      <c r="CW55" s="93">
        <f t="shared" si="53"/>
        <v>0</v>
      </c>
      <c r="CX55" s="7"/>
      <c r="CY55" s="93">
        <v>0</v>
      </c>
      <c r="CZ55" s="7"/>
      <c r="DA55" s="93">
        <v>0</v>
      </c>
      <c r="DB55" s="7"/>
      <c r="DC55" s="93">
        <v>0</v>
      </c>
      <c r="DD55" s="7"/>
      <c r="DE55" s="93">
        <v>0</v>
      </c>
      <c r="DF55" s="97">
        <f t="shared" si="39"/>
        <v>0</v>
      </c>
      <c r="DG55" s="98">
        <f t="shared" si="54"/>
        <v>0</v>
      </c>
      <c r="DH55" s="79"/>
      <c r="DI55" s="79">
        <v>0</v>
      </c>
      <c r="DJ55" s="154"/>
      <c r="DK55" s="212">
        <f t="shared" si="55"/>
        <v>0</v>
      </c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99">
        <f t="shared" si="56"/>
        <v>0</v>
      </c>
      <c r="EG55" s="99">
        <f t="shared" si="57"/>
        <v>0</v>
      </c>
    </row>
    <row r="56" spans="1:137" ht="20.100000000000001" customHeight="1">
      <c r="A56" s="63">
        <v>46</v>
      </c>
      <c r="B56" s="63" t="s">
        <v>55</v>
      </c>
      <c r="C56" s="63" t="s">
        <v>17</v>
      </c>
      <c r="D56" s="63">
        <f>RANK(DF56,$DF$4:$DF$144)</f>
        <v>35</v>
      </c>
      <c r="E56" s="63">
        <v>0.6</v>
      </c>
      <c r="F56" s="63" t="s">
        <v>15</v>
      </c>
      <c r="G56" s="63"/>
      <c r="H56" s="7"/>
      <c r="I56" s="93">
        <f t="shared" si="60"/>
        <v>0</v>
      </c>
      <c r="J56" s="7"/>
      <c r="K56" s="93">
        <f t="shared" si="60"/>
        <v>0</v>
      </c>
      <c r="L56" s="7"/>
      <c r="M56" s="93">
        <f t="shared" si="2"/>
        <v>0</v>
      </c>
      <c r="N56" s="7"/>
      <c r="O56" s="93">
        <f t="shared" si="3"/>
        <v>0</v>
      </c>
      <c r="P56" s="7"/>
      <c r="Q56" s="93">
        <f t="shared" si="4"/>
        <v>0</v>
      </c>
      <c r="R56" s="7"/>
      <c r="S56" s="93">
        <f t="shared" si="5"/>
        <v>0</v>
      </c>
      <c r="T56" s="7"/>
      <c r="U56" s="93">
        <f t="shared" si="6"/>
        <v>0</v>
      </c>
      <c r="V56" s="7"/>
      <c r="W56" s="93">
        <f t="shared" si="7"/>
        <v>0</v>
      </c>
      <c r="X56" s="7"/>
      <c r="Y56" s="93">
        <f t="shared" si="8"/>
        <v>0</v>
      </c>
      <c r="Z56" s="7"/>
      <c r="AA56" s="93">
        <f t="shared" si="9"/>
        <v>0</v>
      </c>
      <c r="AB56" s="7"/>
      <c r="AC56" s="93">
        <f t="shared" si="10"/>
        <v>0</v>
      </c>
      <c r="AD56" s="7"/>
      <c r="AE56" s="93">
        <f t="shared" si="11"/>
        <v>0</v>
      </c>
      <c r="AF56" s="94">
        <f t="shared" si="40"/>
        <v>0</v>
      </c>
      <c r="AG56" s="95">
        <f t="shared" si="41"/>
        <v>0</v>
      </c>
      <c r="AH56" s="7"/>
      <c r="AI56" s="93">
        <f t="shared" si="13"/>
        <v>0</v>
      </c>
      <c r="AJ56" s="7"/>
      <c r="AK56" s="93">
        <f t="shared" si="14"/>
        <v>0</v>
      </c>
      <c r="AL56" s="7"/>
      <c r="AM56" s="93">
        <f t="shared" si="15"/>
        <v>0</v>
      </c>
      <c r="AN56" s="7"/>
      <c r="AO56" s="93">
        <f t="shared" si="16"/>
        <v>0</v>
      </c>
      <c r="AP56" s="7"/>
      <c r="AQ56" s="93">
        <f t="shared" si="17"/>
        <v>0</v>
      </c>
      <c r="AR56" s="7"/>
      <c r="AS56" s="93">
        <f t="shared" si="18"/>
        <v>0</v>
      </c>
      <c r="AT56" s="7"/>
      <c r="AU56" s="93">
        <f t="shared" si="19"/>
        <v>0</v>
      </c>
      <c r="AV56" s="7"/>
      <c r="AW56" s="93">
        <f t="shared" si="20"/>
        <v>0</v>
      </c>
      <c r="AX56" s="7"/>
      <c r="AY56" s="93">
        <f t="shared" si="21"/>
        <v>0</v>
      </c>
      <c r="AZ56" s="7"/>
      <c r="BA56" s="93">
        <f t="shared" si="22"/>
        <v>0</v>
      </c>
      <c r="BB56" s="7"/>
      <c r="BC56" s="93">
        <f t="shared" si="23"/>
        <v>0</v>
      </c>
      <c r="BD56" s="7"/>
      <c r="BE56" s="93">
        <f t="shared" si="24"/>
        <v>0</v>
      </c>
      <c r="BF56" s="94">
        <f t="shared" si="42"/>
        <v>0</v>
      </c>
      <c r="BG56" s="95">
        <f t="shared" si="43"/>
        <v>0</v>
      </c>
      <c r="BH56" s="7"/>
      <c r="BI56" s="93">
        <f t="shared" si="26"/>
        <v>0</v>
      </c>
      <c r="BJ56" s="7"/>
      <c r="BK56" s="93">
        <f t="shared" si="27"/>
        <v>0</v>
      </c>
      <c r="BL56" s="7"/>
      <c r="BM56" s="93">
        <f t="shared" si="61"/>
        <v>0</v>
      </c>
      <c r="BN56" s="7"/>
      <c r="BO56" s="93">
        <f t="shared" si="61"/>
        <v>0</v>
      </c>
      <c r="BP56" s="7"/>
      <c r="BQ56" s="93">
        <f t="shared" si="61"/>
        <v>0</v>
      </c>
      <c r="BR56" s="7"/>
      <c r="BS56" s="93">
        <f t="shared" si="61"/>
        <v>0</v>
      </c>
      <c r="BT56" s="7"/>
      <c r="BU56" s="93">
        <f t="shared" si="32"/>
        <v>0</v>
      </c>
      <c r="BV56" s="7"/>
      <c r="BW56" s="93">
        <f t="shared" si="33"/>
        <v>0</v>
      </c>
      <c r="BX56" s="7"/>
      <c r="BY56" s="93">
        <f t="shared" si="34"/>
        <v>0</v>
      </c>
      <c r="BZ56" s="7"/>
      <c r="CA56" s="93">
        <f t="shared" si="35"/>
        <v>0</v>
      </c>
      <c r="CB56" s="7"/>
      <c r="CC56" s="93">
        <f t="shared" si="36"/>
        <v>0</v>
      </c>
      <c r="CD56" s="7"/>
      <c r="CE56" s="93">
        <f t="shared" si="37"/>
        <v>0</v>
      </c>
      <c r="CF56" s="94">
        <f t="shared" si="44"/>
        <v>0</v>
      </c>
      <c r="CG56" s="95">
        <f t="shared" si="45"/>
        <v>0</v>
      </c>
      <c r="CH56" s="7"/>
      <c r="CI56" s="93">
        <f t="shared" si="46"/>
        <v>0</v>
      </c>
      <c r="CJ56" s="7"/>
      <c r="CK56" s="93">
        <f t="shared" si="47"/>
        <v>0</v>
      </c>
      <c r="CL56" s="7"/>
      <c r="CM56" s="93">
        <f t="shared" si="48"/>
        <v>0</v>
      </c>
      <c r="CN56" s="7"/>
      <c r="CO56" s="93">
        <f t="shared" si="49"/>
        <v>0</v>
      </c>
      <c r="CP56" s="7"/>
      <c r="CQ56" s="93">
        <f t="shared" si="50"/>
        <v>0</v>
      </c>
      <c r="CR56" s="7"/>
      <c r="CS56" s="93">
        <f t="shared" si="51"/>
        <v>0</v>
      </c>
      <c r="CT56" s="7"/>
      <c r="CU56" s="93">
        <f t="shared" si="52"/>
        <v>0</v>
      </c>
      <c r="CV56" s="7"/>
      <c r="CW56" s="93">
        <f t="shared" si="53"/>
        <v>0</v>
      </c>
      <c r="CX56" s="7"/>
      <c r="CY56" s="93">
        <v>0</v>
      </c>
      <c r="CZ56" s="7"/>
      <c r="DA56" s="93">
        <v>0</v>
      </c>
      <c r="DB56" s="7"/>
      <c r="DC56" s="93">
        <v>0</v>
      </c>
      <c r="DD56" s="7"/>
      <c r="DE56" s="93">
        <v>0</v>
      </c>
      <c r="DF56" s="97">
        <f t="shared" si="39"/>
        <v>0</v>
      </c>
      <c r="DG56" s="98">
        <f t="shared" si="54"/>
        <v>0</v>
      </c>
      <c r="DH56" s="79"/>
      <c r="DI56" s="79">
        <v>0</v>
      </c>
      <c r="DJ56" s="154"/>
      <c r="DK56" s="212">
        <f t="shared" si="55"/>
        <v>0</v>
      </c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99">
        <f t="shared" si="56"/>
        <v>0</v>
      </c>
      <c r="EG56" s="99">
        <f t="shared" si="57"/>
        <v>0</v>
      </c>
    </row>
    <row r="57" spans="1:137" ht="20.100000000000001" customHeight="1">
      <c r="A57" s="63">
        <v>47</v>
      </c>
      <c r="B57" s="63" t="s">
        <v>170</v>
      </c>
      <c r="C57" s="63" t="s">
        <v>14</v>
      </c>
      <c r="D57" s="63">
        <f>RANK(DF57,$DF$4:$DF$144)</f>
        <v>5</v>
      </c>
      <c r="E57" s="63">
        <v>0.64</v>
      </c>
      <c r="F57" s="63" t="s">
        <v>25</v>
      </c>
      <c r="G57" s="63">
        <v>1330</v>
      </c>
      <c r="H57" s="92">
        <v>74970</v>
      </c>
      <c r="I57" s="93">
        <f t="shared" si="60"/>
        <v>47980.800000000003</v>
      </c>
      <c r="J57" s="92">
        <v>68278</v>
      </c>
      <c r="K57" s="93">
        <f t="shared" si="60"/>
        <v>43697.919999999998</v>
      </c>
      <c r="L57" s="92">
        <v>73962</v>
      </c>
      <c r="M57" s="93">
        <f t="shared" si="2"/>
        <v>47335.68</v>
      </c>
      <c r="N57" s="92">
        <v>48118</v>
      </c>
      <c r="O57" s="93">
        <f t="shared" si="3"/>
        <v>30795.52</v>
      </c>
      <c r="P57" s="92">
        <v>58968</v>
      </c>
      <c r="Q57" s="93">
        <f t="shared" si="4"/>
        <v>37739.520000000004</v>
      </c>
      <c r="R57" s="92">
        <v>63574</v>
      </c>
      <c r="S57" s="93">
        <f t="shared" si="5"/>
        <v>40687.360000000001</v>
      </c>
      <c r="T57" s="92">
        <v>57927</v>
      </c>
      <c r="U57" s="93">
        <f t="shared" si="6"/>
        <v>37073.279999999999</v>
      </c>
      <c r="V57" s="92">
        <v>66318</v>
      </c>
      <c r="W57" s="93">
        <f t="shared" si="7"/>
        <v>42443.520000000004</v>
      </c>
      <c r="X57" s="92">
        <v>60858</v>
      </c>
      <c r="Y57" s="93">
        <f t="shared" si="8"/>
        <v>38949.120000000003</v>
      </c>
      <c r="Z57" s="92">
        <v>64358</v>
      </c>
      <c r="AA57" s="93">
        <f t="shared" si="9"/>
        <v>41189.120000000003</v>
      </c>
      <c r="AB57" s="92">
        <v>66906</v>
      </c>
      <c r="AC57" s="93">
        <f t="shared" si="10"/>
        <v>42819.840000000004</v>
      </c>
      <c r="AD57" s="92">
        <v>73374</v>
      </c>
      <c r="AE57" s="93">
        <f t="shared" si="11"/>
        <v>46959.360000000001</v>
      </c>
      <c r="AF57" s="94">
        <f t="shared" si="40"/>
        <v>777611</v>
      </c>
      <c r="AG57" s="95">
        <f t="shared" si="41"/>
        <v>497671.04000000004</v>
      </c>
      <c r="AH57" s="92">
        <v>80892</v>
      </c>
      <c r="AI57" s="93">
        <f t="shared" si="13"/>
        <v>51770.880000000005</v>
      </c>
      <c r="AJ57" s="92">
        <v>53830</v>
      </c>
      <c r="AK57" s="93">
        <f t="shared" si="14"/>
        <v>34451.199999999997</v>
      </c>
      <c r="AL57" s="92">
        <v>55370</v>
      </c>
      <c r="AM57" s="93">
        <f t="shared" si="15"/>
        <v>35436.800000000003</v>
      </c>
      <c r="AN57" s="92">
        <v>52542</v>
      </c>
      <c r="AO57" s="93">
        <f t="shared" si="16"/>
        <v>33626.879999999997</v>
      </c>
      <c r="AP57" s="92">
        <v>50932</v>
      </c>
      <c r="AQ57" s="93">
        <f t="shared" si="17"/>
        <v>32596.48</v>
      </c>
      <c r="AR57" s="92">
        <v>57764</v>
      </c>
      <c r="AS57" s="93">
        <f t="shared" si="18"/>
        <v>36968.959999999999</v>
      </c>
      <c r="AT57" s="92">
        <v>57736</v>
      </c>
      <c r="AU57" s="93">
        <f t="shared" si="19"/>
        <v>36951.040000000001</v>
      </c>
      <c r="AV57" s="92">
        <v>56924</v>
      </c>
      <c r="AW57" s="93">
        <f t="shared" si="20"/>
        <v>36431.360000000001</v>
      </c>
      <c r="AX57" s="92">
        <v>57470</v>
      </c>
      <c r="AY57" s="93">
        <f t="shared" si="21"/>
        <v>36780.800000000003</v>
      </c>
      <c r="AZ57" s="92">
        <v>61329</v>
      </c>
      <c r="BA57" s="93">
        <f t="shared" si="22"/>
        <v>39250.559999999998</v>
      </c>
      <c r="BB57" s="92">
        <v>62412</v>
      </c>
      <c r="BC57" s="93">
        <f t="shared" si="23"/>
        <v>39943.68</v>
      </c>
      <c r="BD57" s="92">
        <v>74214</v>
      </c>
      <c r="BE57" s="93">
        <f t="shared" si="24"/>
        <v>47496.959999999999</v>
      </c>
      <c r="BF57" s="94">
        <f t="shared" si="42"/>
        <v>721415</v>
      </c>
      <c r="BG57" s="95">
        <f t="shared" si="43"/>
        <v>461705.60000000003</v>
      </c>
      <c r="BH57" s="96">
        <v>67704</v>
      </c>
      <c r="BI57" s="93">
        <f t="shared" si="26"/>
        <v>43330.559999999998</v>
      </c>
      <c r="BJ57" s="92">
        <v>60746</v>
      </c>
      <c r="BK57" s="93">
        <f t="shared" si="27"/>
        <v>38877.440000000002</v>
      </c>
      <c r="BL57" s="92">
        <v>59836</v>
      </c>
      <c r="BM57" s="93">
        <f t="shared" si="61"/>
        <v>38295.040000000001</v>
      </c>
      <c r="BN57" s="92">
        <v>50484</v>
      </c>
      <c r="BO57" s="93">
        <f t="shared" si="61"/>
        <v>32309.760000000002</v>
      </c>
      <c r="BP57" s="92">
        <v>59738</v>
      </c>
      <c r="BQ57" s="93">
        <f t="shared" si="61"/>
        <v>38232.32</v>
      </c>
      <c r="BR57" s="92">
        <v>58751</v>
      </c>
      <c r="BS57" s="93">
        <f t="shared" si="61"/>
        <v>37600.639999999999</v>
      </c>
      <c r="BT57" s="92">
        <v>60256</v>
      </c>
      <c r="BU57" s="93">
        <f t="shared" si="32"/>
        <v>38563.840000000004</v>
      </c>
      <c r="BV57" s="92">
        <v>54824</v>
      </c>
      <c r="BW57" s="93">
        <f t="shared" si="33"/>
        <v>35087.360000000001</v>
      </c>
      <c r="BX57" s="92">
        <v>60466</v>
      </c>
      <c r="BY57" s="93">
        <f t="shared" si="34"/>
        <v>38698.239999999998</v>
      </c>
      <c r="BZ57" s="92">
        <v>67844</v>
      </c>
      <c r="CA57" s="93">
        <f t="shared" si="35"/>
        <v>43420.160000000003</v>
      </c>
      <c r="CB57" s="92">
        <v>63854</v>
      </c>
      <c r="CC57" s="93">
        <f t="shared" si="36"/>
        <v>40866.559999999998</v>
      </c>
      <c r="CD57" s="7">
        <v>77781</v>
      </c>
      <c r="CE57" s="93">
        <f t="shared" si="37"/>
        <v>49779.840000000004</v>
      </c>
      <c r="CF57" s="94">
        <f t="shared" si="44"/>
        <v>742284</v>
      </c>
      <c r="CG57" s="95">
        <f t="shared" si="45"/>
        <v>475061.76000000001</v>
      </c>
      <c r="CH57" s="7">
        <v>68715</v>
      </c>
      <c r="CI57" s="93">
        <f t="shared" si="46"/>
        <v>43977.599999999999</v>
      </c>
      <c r="CJ57" s="7">
        <v>60634</v>
      </c>
      <c r="CK57" s="93">
        <f t="shared" si="47"/>
        <v>38805.760000000002</v>
      </c>
      <c r="CL57" s="7">
        <v>70656</v>
      </c>
      <c r="CM57" s="93">
        <f t="shared" si="48"/>
        <v>45219.840000000004</v>
      </c>
      <c r="CN57" s="7">
        <v>50554</v>
      </c>
      <c r="CO57" s="93">
        <f t="shared" si="49"/>
        <v>32354.560000000001</v>
      </c>
      <c r="CP57" s="7">
        <v>59329</v>
      </c>
      <c r="CQ57" s="93">
        <f t="shared" si="50"/>
        <v>37970.559999999998</v>
      </c>
      <c r="CR57" s="7">
        <v>56182</v>
      </c>
      <c r="CS57" s="93">
        <f t="shared" si="51"/>
        <v>35956.480000000003</v>
      </c>
      <c r="CT57" s="7">
        <v>51492</v>
      </c>
      <c r="CU57" s="93">
        <f t="shared" si="52"/>
        <v>32954.879999999997</v>
      </c>
      <c r="CV57" s="7">
        <v>53284</v>
      </c>
      <c r="CW57" s="93">
        <f t="shared" si="53"/>
        <v>34101.760000000002</v>
      </c>
      <c r="CX57" s="7">
        <v>53508</v>
      </c>
      <c r="CY57" s="93">
        <v>34245.120000000003</v>
      </c>
      <c r="CZ57" s="7">
        <v>58674</v>
      </c>
      <c r="DA57" s="93">
        <v>37551.360000000001</v>
      </c>
      <c r="DB57" s="7">
        <v>56952</v>
      </c>
      <c r="DC57" s="93">
        <v>36449.279999999999</v>
      </c>
      <c r="DD57" s="7">
        <v>58660</v>
      </c>
      <c r="DE57" s="93">
        <v>37542.400000000001</v>
      </c>
      <c r="DF57" s="97">
        <f t="shared" si="39"/>
        <v>698640</v>
      </c>
      <c r="DG57" s="98">
        <f t="shared" si="54"/>
        <v>447129.60000000003</v>
      </c>
      <c r="DH57" s="79">
        <v>58674</v>
      </c>
      <c r="DI57" s="79">
        <v>37551.360000000001</v>
      </c>
      <c r="DJ57" s="154">
        <v>52385</v>
      </c>
      <c r="DK57" s="212">
        <f t="shared" si="55"/>
        <v>33526.400000000001</v>
      </c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99">
        <f t="shared" si="56"/>
        <v>111059</v>
      </c>
      <c r="EG57" s="99">
        <f t="shared" si="57"/>
        <v>71077.760000000009</v>
      </c>
    </row>
    <row r="58" spans="1:137" ht="20.100000000000001" customHeight="1">
      <c r="A58" s="63">
        <v>48</v>
      </c>
      <c r="B58" s="63" t="s">
        <v>170</v>
      </c>
      <c r="C58" s="63" t="s">
        <v>14</v>
      </c>
      <c r="D58" s="63">
        <f>RANK(DF58,$DF$4:$DF$144)</f>
        <v>35</v>
      </c>
      <c r="E58" s="63">
        <v>0.64</v>
      </c>
      <c r="F58" s="63" t="s">
        <v>24</v>
      </c>
      <c r="G58" s="63"/>
      <c r="H58" s="7"/>
      <c r="I58" s="93">
        <f t="shared" si="60"/>
        <v>0</v>
      </c>
      <c r="J58" s="7"/>
      <c r="K58" s="93">
        <f t="shared" si="60"/>
        <v>0</v>
      </c>
      <c r="L58" s="7"/>
      <c r="M58" s="93">
        <f t="shared" si="2"/>
        <v>0</v>
      </c>
      <c r="N58" s="7"/>
      <c r="O58" s="93">
        <f t="shared" si="3"/>
        <v>0</v>
      </c>
      <c r="P58" s="7"/>
      <c r="Q58" s="93">
        <f t="shared" si="4"/>
        <v>0</v>
      </c>
      <c r="R58" s="7"/>
      <c r="S58" s="93">
        <f t="shared" si="5"/>
        <v>0</v>
      </c>
      <c r="T58" s="7"/>
      <c r="U58" s="93">
        <f t="shared" si="6"/>
        <v>0</v>
      </c>
      <c r="V58" s="7"/>
      <c r="W58" s="93">
        <f t="shared" si="7"/>
        <v>0</v>
      </c>
      <c r="X58" s="7"/>
      <c r="Y58" s="93">
        <f t="shared" si="8"/>
        <v>0</v>
      </c>
      <c r="Z58" s="7"/>
      <c r="AA58" s="93">
        <f t="shared" si="9"/>
        <v>0</v>
      </c>
      <c r="AB58" s="7"/>
      <c r="AC58" s="93">
        <f t="shared" si="10"/>
        <v>0</v>
      </c>
      <c r="AD58" s="7"/>
      <c r="AE58" s="93">
        <f t="shared" si="11"/>
        <v>0</v>
      </c>
      <c r="AF58" s="94">
        <f t="shared" si="40"/>
        <v>0</v>
      </c>
      <c r="AG58" s="95">
        <f t="shared" si="41"/>
        <v>0</v>
      </c>
      <c r="AH58" s="7"/>
      <c r="AI58" s="93">
        <f t="shared" si="13"/>
        <v>0</v>
      </c>
      <c r="AJ58" s="7"/>
      <c r="AK58" s="93">
        <f t="shared" si="14"/>
        <v>0</v>
      </c>
      <c r="AL58" s="7"/>
      <c r="AM58" s="93">
        <f t="shared" si="15"/>
        <v>0</v>
      </c>
      <c r="AN58" s="7"/>
      <c r="AO58" s="93">
        <f t="shared" si="16"/>
        <v>0</v>
      </c>
      <c r="AP58" s="7"/>
      <c r="AQ58" s="93">
        <f t="shared" si="17"/>
        <v>0</v>
      </c>
      <c r="AR58" s="7"/>
      <c r="AS58" s="93">
        <f t="shared" si="18"/>
        <v>0</v>
      </c>
      <c r="AT58" s="7"/>
      <c r="AU58" s="93">
        <f t="shared" si="19"/>
        <v>0</v>
      </c>
      <c r="AV58" s="7"/>
      <c r="AW58" s="93">
        <f t="shared" si="20"/>
        <v>0</v>
      </c>
      <c r="AX58" s="7"/>
      <c r="AY58" s="93">
        <f t="shared" si="21"/>
        <v>0</v>
      </c>
      <c r="AZ58" s="7"/>
      <c r="BA58" s="93">
        <f t="shared" si="22"/>
        <v>0</v>
      </c>
      <c r="BB58" s="7"/>
      <c r="BC58" s="93">
        <f t="shared" si="23"/>
        <v>0</v>
      </c>
      <c r="BD58" s="7"/>
      <c r="BE58" s="93">
        <f t="shared" si="24"/>
        <v>0</v>
      </c>
      <c r="BF58" s="94">
        <f t="shared" si="42"/>
        <v>0</v>
      </c>
      <c r="BG58" s="95">
        <f t="shared" si="43"/>
        <v>0</v>
      </c>
      <c r="BH58" s="7"/>
      <c r="BI58" s="93">
        <f t="shared" si="26"/>
        <v>0</v>
      </c>
      <c r="BJ58" s="7"/>
      <c r="BK58" s="93">
        <f t="shared" si="27"/>
        <v>0</v>
      </c>
      <c r="BL58" s="7"/>
      <c r="BM58" s="93">
        <f t="shared" si="61"/>
        <v>0</v>
      </c>
      <c r="BN58" s="7"/>
      <c r="BO58" s="93">
        <f t="shared" si="61"/>
        <v>0</v>
      </c>
      <c r="BP58" s="7"/>
      <c r="BQ58" s="93">
        <f t="shared" si="61"/>
        <v>0</v>
      </c>
      <c r="BR58" s="7"/>
      <c r="BS58" s="93">
        <f t="shared" si="61"/>
        <v>0</v>
      </c>
      <c r="BT58" s="7"/>
      <c r="BU58" s="93">
        <f t="shared" si="32"/>
        <v>0</v>
      </c>
      <c r="BV58" s="7"/>
      <c r="BW58" s="93">
        <f t="shared" si="33"/>
        <v>0</v>
      </c>
      <c r="BX58" s="7"/>
      <c r="BY58" s="93">
        <f t="shared" si="34"/>
        <v>0</v>
      </c>
      <c r="BZ58" s="7"/>
      <c r="CA58" s="93">
        <f t="shared" si="35"/>
        <v>0</v>
      </c>
      <c r="CB58" s="7"/>
      <c r="CC58" s="93">
        <f t="shared" si="36"/>
        <v>0</v>
      </c>
      <c r="CD58" s="7"/>
      <c r="CE58" s="93">
        <f t="shared" si="37"/>
        <v>0</v>
      </c>
      <c r="CF58" s="94">
        <f t="shared" si="44"/>
        <v>0</v>
      </c>
      <c r="CG58" s="95">
        <f t="shared" si="45"/>
        <v>0</v>
      </c>
      <c r="CH58" s="7"/>
      <c r="CI58" s="93">
        <f t="shared" si="46"/>
        <v>0</v>
      </c>
      <c r="CJ58" s="7"/>
      <c r="CK58" s="93">
        <f t="shared" si="47"/>
        <v>0</v>
      </c>
      <c r="CL58" s="7"/>
      <c r="CM58" s="93">
        <f t="shared" si="48"/>
        <v>0</v>
      </c>
      <c r="CN58" s="7"/>
      <c r="CO58" s="93">
        <f t="shared" si="49"/>
        <v>0</v>
      </c>
      <c r="CP58" s="7"/>
      <c r="CQ58" s="93">
        <f t="shared" si="50"/>
        <v>0</v>
      </c>
      <c r="CR58" s="7"/>
      <c r="CS58" s="93">
        <f t="shared" si="51"/>
        <v>0</v>
      </c>
      <c r="CT58" s="7"/>
      <c r="CU58" s="93">
        <f t="shared" si="52"/>
        <v>0</v>
      </c>
      <c r="CV58" s="7"/>
      <c r="CW58" s="93">
        <f t="shared" si="53"/>
        <v>0</v>
      </c>
      <c r="CX58" s="7"/>
      <c r="CY58" s="93">
        <v>0</v>
      </c>
      <c r="CZ58" s="7"/>
      <c r="DA58" s="93">
        <v>0</v>
      </c>
      <c r="DB58" s="7"/>
      <c r="DC58" s="93">
        <v>0</v>
      </c>
      <c r="DD58" s="7"/>
      <c r="DE58" s="93">
        <v>0</v>
      </c>
      <c r="DF58" s="97">
        <f t="shared" si="39"/>
        <v>0</v>
      </c>
      <c r="DG58" s="98">
        <f t="shared" si="54"/>
        <v>0</v>
      </c>
      <c r="DH58" s="79"/>
      <c r="DI58" s="79">
        <v>0</v>
      </c>
      <c r="DJ58" s="154"/>
      <c r="DK58" s="212">
        <f t="shared" si="55"/>
        <v>0</v>
      </c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99">
        <f t="shared" si="56"/>
        <v>0</v>
      </c>
      <c r="EG58" s="99">
        <f t="shared" si="57"/>
        <v>0</v>
      </c>
    </row>
    <row r="59" spans="1:137" ht="20.100000000000001" customHeight="1">
      <c r="A59" s="63"/>
      <c r="B59" s="63"/>
      <c r="C59" s="63"/>
      <c r="D59" s="63"/>
      <c r="E59" s="63"/>
      <c r="F59" s="63"/>
      <c r="G59" s="63"/>
      <c r="H59" s="7"/>
      <c r="I59" s="93">
        <f t="shared" si="60"/>
        <v>0</v>
      </c>
      <c r="J59" s="7"/>
      <c r="K59" s="93">
        <f t="shared" si="60"/>
        <v>0</v>
      </c>
      <c r="L59" s="7"/>
      <c r="M59" s="93">
        <f t="shared" si="2"/>
        <v>0</v>
      </c>
      <c r="N59" s="7"/>
      <c r="O59" s="93">
        <f t="shared" si="3"/>
        <v>0</v>
      </c>
      <c r="P59" s="7"/>
      <c r="Q59" s="93">
        <f t="shared" si="4"/>
        <v>0</v>
      </c>
      <c r="R59" s="7"/>
      <c r="S59" s="93">
        <f t="shared" si="5"/>
        <v>0</v>
      </c>
      <c r="T59" s="7"/>
      <c r="U59" s="93">
        <f t="shared" si="6"/>
        <v>0</v>
      </c>
      <c r="V59" s="7"/>
      <c r="W59" s="93">
        <f t="shared" si="7"/>
        <v>0</v>
      </c>
      <c r="X59" s="7"/>
      <c r="Y59" s="93">
        <f t="shared" si="8"/>
        <v>0</v>
      </c>
      <c r="Z59" s="7"/>
      <c r="AA59" s="93">
        <f t="shared" si="9"/>
        <v>0</v>
      </c>
      <c r="AB59" s="7"/>
      <c r="AC59" s="93">
        <f t="shared" si="10"/>
        <v>0</v>
      </c>
      <c r="AD59" s="7"/>
      <c r="AE59" s="93">
        <f t="shared" si="11"/>
        <v>0</v>
      </c>
      <c r="AF59" s="94">
        <f t="shared" si="40"/>
        <v>0</v>
      </c>
      <c r="AG59" s="95">
        <f t="shared" si="41"/>
        <v>0</v>
      </c>
      <c r="AH59" s="7"/>
      <c r="AI59" s="93">
        <f t="shared" si="13"/>
        <v>0</v>
      </c>
      <c r="AJ59" s="7"/>
      <c r="AK59" s="93">
        <f t="shared" si="14"/>
        <v>0</v>
      </c>
      <c r="AL59" s="7"/>
      <c r="AM59" s="93">
        <f t="shared" si="15"/>
        <v>0</v>
      </c>
      <c r="AN59" s="7"/>
      <c r="AO59" s="93">
        <f t="shared" si="16"/>
        <v>0</v>
      </c>
      <c r="AP59" s="7"/>
      <c r="AQ59" s="93">
        <f t="shared" si="17"/>
        <v>0</v>
      </c>
      <c r="AR59" s="7"/>
      <c r="AS59" s="93">
        <f t="shared" si="18"/>
        <v>0</v>
      </c>
      <c r="AT59" s="7"/>
      <c r="AU59" s="93">
        <f t="shared" si="19"/>
        <v>0</v>
      </c>
      <c r="AV59" s="7"/>
      <c r="AW59" s="93">
        <f t="shared" si="20"/>
        <v>0</v>
      </c>
      <c r="AX59" s="7"/>
      <c r="AY59" s="93">
        <f t="shared" si="21"/>
        <v>0</v>
      </c>
      <c r="AZ59" s="7"/>
      <c r="BA59" s="93">
        <f t="shared" si="22"/>
        <v>0</v>
      </c>
      <c r="BB59" s="7"/>
      <c r="BC59" s="93">
        <f t="shared" si="23"/>
        <v>0</v>
      </c>
      <c r="BD59" s="7"/>
      <c r="BE59" s="93">
        <f t="shared" si="24"/>
        <v>0</v>
      </c>
      <c r="BF59" s="94">
        <f t="shared" si="42"/>
        <v>0</v>
      </c>
      <c r="BG59" s="95">
        <f t="shared" si="43"/>
        <v>0</v>
      </c>
      <c r="BH59" s="7"/>
      <c r="BI59" s="93">
        <f t="shared" si="26"/>
        <v>0</v>
      </c>
      <c r="BJ59" s="7"/>
      <c r="BK59" s="93">
        <f t="shared" si="27"/>
        <v>0</v>
      </c>
      <c r="BL59" s="7"/>
      <c r="BM59" s="93">
        <f t="shared" si="61"/>
        <v>0</v>
      </c>
      <c r="BN59" s="7"/>
      <c r="BO59" s="93">
        <f t="shared" si="61"/>
        <v>0</v>
      </c>
      <c r="BP59" s="7"/>
      <c r="BQ59" s="93">
        <f t="shared" si="61"/>
        <v>0</v>
      </c>
      <c r="BR59" s="7"/>
      <c r="BS59" s="93">
        <f t="shared" si="61"/>
        <v>0</v>
      </c>
      <c r="BT59" s="7"/>
      <c r="BU59" s="93">
        <f t="shared" si="32"/>
        <v>0</v>
      </c>
      <c r="BV59" s="7"/>
      <c r="BW59" s="93">
        <f t="shared" si="33"/>
        <v>0</v>
      </c>
      <c r="BX59" s="7"/>
      <c r="BY59" s="93">
        <f t="shared" si="34"/>
        <v>0</v>
      </c>
      <c r="BZ59" s="7"/>
      <c r="CA59" s="93">
        <f t="shared" si="35"/>
        <v>0</v>
      </c>
      <c r="CB59" s="7"/>
      <c r="CC59" s="93">
        <f t="shared" si="36"/>
        <v>0</v>
      </c>
      <c r="CD59" s="7"/>
      <c r="CE59" s="93">
        <f t="shared" si="37"/>
        <v>0</v>
      </c>
      <c r="CF59" s="94">
        <f t="shared" si="44"/>
        <v>0</v>
      </c>
      <c r="CG59" s="95">
        <f t="shared" si="45"/>
        <v>0</v>
      </c>
      <c r="CH59" s="7"/>
      <c r="CI59" s="93">
        <f t="shared" si="46"/>
        <v>0</v>
      </c>
      <c r="CJ59" s="7"/>
      <c r="CK59" s="93">
        <f t="shared" si="47"/>
        <v>0</v>
      </c>
      <c r="CL59" s="7"/>
      <c r="CM59" s="93">
        <f t="shared" si="48"/>
        <v>0</v>
      </c>
      <c r="CN59" s="7"/>
      <c r="CO59" s="93">
        <f t="shared" si="49"/>
        <v>0</v>
      </c>
      <c r="CP59" s="7"/>
      <c r="CQ59" s="93">
        <f t="shared" si="50"/>
        <v>0</v>
      </c>
      <c r="CR59" s="7"/>
      <c r="CS59" s="93">
        <f t="shared" si="51"/>
        <v>0</v>
      </c>
      <c r="CT59" s="7"/>
      <c r="CU59" s="93">
        <f t="shared" si="52"/>
        <v>0</v>
      </c>
      <c r="CV59" s="7"/>
      <c r="CW59" s="93">
        <f t="shared" si="53"/>
        <v>0</v>
      </c>
      <c r="CX59" s="7"/>
      <c r="CY59" s="93">
        <v>0</v>
      </c>
      <c r="CZ59" s="7"/>
      <c r="DA59" s="93">
        <v>0</v>
      </c>
      <c r="DB59" s="7"/>
      <c r="DC59" s="93">
        <v>0</v>
      </c>
      <c r="DD59" s="7"/>
      <c r="DE59" s="93">
        <v>0</v>
      </c>
      <c r="DF59" s="97">
        <f t="shared" si="39"/>
        <v>0</v>
      </c>
      <c r="DG59" s="98">
        <f t="shared" si="54"/>
        <v>0</v>
      </c>
      <c r="DH59" s="79"/>
      <c r="DI59" s="79">
        <v>0</v>
      </c>
      <c r="DJ59" s="154"/>
      <c r="DK59" s="212">
        <f t="shared" si="55"/>
        <v>0</v>
      </c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99">
        <f t="shared" si="56"/>
        <v>0</v>
      </c>
      <c r="EG59" s="99">
        <f t="shared" si="57"/>
        <v>0</v>
      </c>
    </row>
    <row r="60" spans="1:137" ht="20.100000000000001" customHeight="1">
      <c r="A60" s="63">
        <v>49</v>
      </c>
      <c r="B60" s="63" t="s">
        <v>57</v>
      </c>
      <c r="C60" s="63" t="s">
        <v>17</v>
      </c>
      <c r="D60" s="63">
        <f>RANK(DF60,$DF$4:$DF$144)</f>
        <v>35</v>
      </c>
      <c r="E60" s="63">
        <v>1</v>
      </c>
      <c r="F60" s="63" t="s">
        <v>15</v>
      </c>
      <c r="G60" s="63"/>
      <c r="H60" s="7"/>
      <c r="I60" s="93">
        <f t="shared" si="60"/>
        <v>0</v>
      </c>
      <c r="J60" s="7"/>
      <c r="K60" s="93">
        <f t="shared" si="60"/>
        <v>0</v>
      </c>
      <c r="L60" s="7"/>
      <c r="M60" s="93">
        <f t="shared" si="2"/>
        <v>0</v>
      </c>
      <c r="N60" s="7"/>
      <c r="O60" s="93">
        <f t="shared" si="3"/>
        <v>0</v>
      </c>
      <c r="P60" s="7"/>
      <c r="Q60" s="93">
        <f t="shared" si="4"/>
        <v>0</v>
      </c>
      <c r="R60" s="7"/>
      <c r="S60" s="93">
        <f t="shared" si="5"/>
        <v>0</v>
      </c>
      <c r="T60" s="7"/>
      <c r="U60" s="93">
        <f t="shared" si="6"/>
        <v>0</v>
      </c>
      <c r="V60" s="7"/>
      <c r="W60" s="93">
        <f t="shared" si="7"/>
        <v>0</v>
      </c>
      <c r="X60" s="7"/>
      <c r="Y60" s="93">
        <f t="shared" si="8"/>
        <v>0</v>
      </c>
      <c r="Z60" s="7"/>
      <c r="AA60" s="93">
        <f t="shared" si="9"/>
        <v>0</v>
      </c>
      <c r="AB60" s="7"/>
      <c r="AC60" s="93">
        <f t="shared" si="10"/>
        <v>0</v>
      </c>
      <c r="AD60" s="7"/>
      <c r="AE60" s="93">
        <f t="shared" si="11"/>
        <v>0</v>
      </c>
      <c r="AF60" s="94">
        <f t="shared" si="40"/>
        <v>0</v>
      </c>
      <c r="AG60" s="95">
        <f t="shared" si="41"/>
        <v>0</v>
      </c>
      <c r="AH60" s="7"/>
      <c r="AI60" s="93">
        <f t="shared" si="13"/>
        <v>0</v>
      </c>
      <c r="AJ60" s="7"/>
      <c r="AK60" s="93">
        <f t="shared" si="14"/>
        <v>0</v>
      </c>
      <c r="AL60" s="7"/>
      <c r="AM60" s="93">
        <f t="shared" si="15"/>
        <v>0</v>
      </c>
      <c r="AN60" s="7"/>
      <c r="AO60" s="93">
        <f t="shared" si="16"/>
        <v>0</v>
      </c>
      <c r="AP60" s="7"/>
      <c r="AQ60" s="93">
        <f t="shared" si="17"/>
        <v>0</v>
      </c>
      <c r="AR60" s="7"/>
      <c r="AS60" s="93">
        <f t="shared" si="18"/>
        <v>0</v>
      </c>
      <c r="AT60" s="7"/>
      <c r="AU60" s="93">
        <f t="shared" si="19"/>
        <v>0</v>
      </c>
      <c r="AV60" s="7"/>
      <c r="AW60" s="93">
        <f t="shared" si="20"/>
        <v>0</v>
      </c>
      <c r="AX60" s="7"/>
      <c r="AY60" s="93">
        <f t="shared" si="21"/>
        <v>0</v>
      </c>
      <c r="AZ60" s="7"/>
      <c r="BA60" s="93">
        <f t="shared" si="22"/>
        <v>0</v>
      </c>
      <c r="BB60" s="7"/>
      <c r="BC60" s="93">
        <f t="shared" si="23"/>
        <v>0</v>
      </c>
      <c r="BD60" s="7"/>
      <c r="BE60" s="93">
        <f t="shared" si="24"/>
        <v>0</v>
      </c>
      <c r="BF60" s="94">
        <f t="shared" si="42"/>
        <v>0</v>
      </c>
      <c r="BG60" s="95">
        <f t="shared" si="43"/>
        <v>0</v>
      </c>
      <c r="BH60" s="7"/>
      <c r="BI60" s="93">
        <f t="shared" si="26"/>
        <v>0</v>
      </c>
      <c r="BJ60" s="7"/>
      <c r="BK60" s="93">
        <f t="shared" si="27"/>
        <v>0</v>
      </c>
      <c r="BL60" s="7"/>
      <c r="BM60" s="93">
        <f t="shared" si="61"/>
        <v>0</v>
      </c>
      <c r="BN60" s="7"/>
      <c r="BO60" s="93">
        <f t="shared" si="61"/>
        <v>0</v>
      </c>
      <c r="BP60" s="7"/>
      <c r="BQ60" s="93">
        <f t="shared" si="61"/>
        <v>0</v>
      </c>
      <c r="BR60" s="7"/>
      <c r="BS60" s="93">
        <f t="shared" si="61"/>
        <v>0</v>
      </c>
      <c r="BT60" s="7"/>
      <c r="BU60" s="93">
        <f t="shared" si="32"/>
        <v>0</v>
      </c>
      <c r="BV60" s="7"/>
      <c r="BW60" s="93">
        <f t="shared" si="33"/>
        <v>0</v>
      </c>
      <c r="BX60" s="7"/>
      <c r="BY60" s="93">
        <f t="shared" si="34"/>
        <v>0</v>
      </c>
      <c r="BZ60" s="7"/>
      <c r="CA60" s="93">
        <f t="shared" si="35"/>
        <v>0</v>
      </c>
      <c r="CB60" s="7"/>
      <c r="CC60" s="93">
        <f t="shared" si="36"/>
        <v>0</v>
      </c>
      <c r="CD60" s="7"/>
      <c r="CE60" s="93">
        <f t="shared" si="37"/>
        <v>0</v>
      </c>
      <c r="CF60" s="94">
        <f t="shared" si="44"/>
        <v>0</v>
      </c>
      <c r="CG60" s="95">
        <f t="shared" si="45"/>
        <v>0</v>
      </c>
      <c r="CH60" s="7"/>
      <c r="CI60" s="93">
        <f t="shared" si="46"/>
        <v>0</v>
      </c>
      <c r="CJ60" s="7"/>
      <c r="CK60" s="93">
        <f t="shared" si="47"/>
        <v>0</v>
      </c>
      <c r="CL60" s="7"/>
      <c r="CM60" s="93">
        <f t="shared" si="48"/>
        <v>0</v>
      </c>
      <c r="CN60" s="7"/>
      <c r="CO60" s="93">
        <f t="shared" si="49"/>
        <v>0</v>
      </c>
      <c r="CP60" s="7"/>
      <c r="CQ60" s="93">
        <f t="shared" si="50"/>
        <v>0</v>
      </c>
      <c r="CR60" s="7"/>
      <c r="CS60" s="93">
        <f t="shared" si="51"/>
        <v>0</v>
      </c>
      <c r="CT60" s="7"/>
      <c r="CU60" s="93">
        <f t="shared" si="52"/>
        <v>0</v>
      </c>
      <c r="CV60" s="7"/>
      <c r="CW60" s="93">
        <f t="shared" si="53"/>
        <v>0</v>
      </c>
      <c r="CX60" s="7"/>
      <c r="CY60" s="93">
        <v>0</v>
      </c>
      <c r="CZ60" s="7"/>
      <c r="DA60" s="93">
        <v>0</v>
      </c>
      <c r="DB60" s="7"/>
      <c r="DC60" s="93">
        <v>0</v>
      </c>
      <c r="DD60" s="7"/>
      <c r="DE60" s="93">
        <v>0</v>
      </c>
      <c r="DF60" s="97">
        <f t="shared" si="39"/>
        <v>0</v>
      </c>
      <c r="DG60" s="98">
        <f t="shared" si="54"/>
        <v>0</v>
      </c>
      <c r="DH60" s="79"/>
      <c r="DI60" s="79">
        <v>0</v>
      </c>
      <c r="DJ60" s="154"/>
      <c r="DK60" s="212">
        <f t="shared" si="55"/>
        <v>0</v>
      </c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99">
        <f t="shared" si="56"/>
        <v>0</v>
      </c>
      <c r="EG60" s="99">
        <f t="shared" si="57"/>
        <v>0</v>
      </c>
    </row>
    <row r="61" spans="1:137" ht="20.100000000000001" customHeight="1">
      <c r="A61" s="63">
        <v>50</v>
      </c>
      <c r="B61" s="64" t="s">
        <v>58</v>
      </c>
      <c r="C61" s="63"/>
      <c r="D61" s="63"/>
      <c r="E61" s="63">
        <v>0.6</v>
      </c>
      <c r="F61" s="63"/>
      <c r="G61" s="63"/>
      <c r="H61" s="7"/>
      <c r="I61" s="93">
        <f>H61*$E61</f>
        <v>0</v>
      </c>
      <c r="J61" s="7"/>
      <c r="K61" s="93">
        <f>J61*$E61</f>
        <v>0</v>
      </c>
      <c r="L61" s="7"/>
      <c r="M61" s="93">
        <f>L61*$E61</f>
        <v>0</v>
      </c>
      <c r="N61" s="7"/>
      <c r="O61" s="93">
        <f>N61*$E61</f>
        <v>0</v>
      </c>
      <c r="P61" s="7"/>
      <c r="Q61" s="93">
        <f>P61*$E61</f>
        <v>0</v>
      </c>
      <c r="R61" s="7"/>
      <c r="S61" s="93">
        <f>R61*$E61</f>
        <v>0</v>
      </c>
      <c r="T61" s="7"/>
      <c r="U61" s="93">
        <f>T61*$E61</f>
        <v>0</v>
      </c>
      <c r="V61" s="7"/>
      <c r="W61" s="93">
        <f>V61*$E61</f>
        <v>0</v>
      </c>
      <c r="X61" s="7"/>
      <c r="Y61" s="93">
        <f>X61*$E61</f>
        <v>0</v>
      </c>
      <c r="Z61" s="7"/>
      <c r="AA61" s="93">
        <f>Z61*$E61</f>
        <v>0</v>
      </c>
      <c r="AB61" s="7"/>
      <c r="AC61" s="93">
        <f>AB61*$E61</f>
        <v>0</v>
      </c>
      <c r="AD61" s="7"/>
      <c r="AE61" s="93">
        <f>AD61*$E61</f>
        <v>0</v>
      </c>
      <c r="AF61" s="94">
        <f t="shared" si="40"/>
        <v>0</v>
      </c>
      <c r="AG61" s="95">
        <f t="shared" si="41"/>
        <v>0</v>
      </c>
      <c r="AH61" s="7"/>
      <c r="AI61" s="93">
        <f>AH61*$E61</f>
        <v>0</v>
      </c>
      <c r="AJ61" s="7"/>
      <c r="AK61" s="93">
        <f>AJ61*$E61</f>
        <v>0</v>
      </c>
      <c r="AL61" s="7"/>
      <c r="AM61" s="93">
        <f>AL61*$E61</f>
        <v>0</v>
      </c>
      <c r="AN61" s="7"/>
      <c r="AO61" s="93">
        <f>AN61*$E61</f>
        <v>0</v>
      </c>
      <c r="AP61" s="7"/>
      <c r="AQ61" s="93">
        <f>AP61*$E61</f>
        <v>0</v>
      </c>
      <c r="AR61" s="7"/>
      <c r="AS61" s="93">
        <f>AR61*$E61</f>
        <v>0</v>
      </c>
      <c r="AT61" s="7"/>
      <c r="AU61" s="93">
        <f>AT61*$E61</f>
        <v>0</v>
      </c>
      <c r="AV61" s="7"/>
      <c r="AW61" s="93">
        <f>AV61*$E61</f>
        <v>0</v>
      </c>
      <c r="AX61" s="7"/>
      <c r="AY61" s="93">
        <f>AX61*$E61</f>
        <v>0</v>
      </c>
      <c r="AZ61" s="7"/>
      <c r="BA61" s="93">
        <f>AZ61*$E61</f>
        <v>0</v>
      </c>
      <c r="BB61" s="7"/>
      <c r="BC61" s="93">
        <f>BB61*$E61</f>
        <v>0</v>
      </c>
      <c r="BD61" s="7"/>
      <c r="BE61" s="93">
        <f>BD61*$E61</f>
        <v>0</v>
      </c>
      <c r="BF61" s="94">
        <f t="shared" si="42"/>
        <v>0</v>
      </c>
      <c r="BG61" s="95">
        <f t="shared" si="43"/>
        <v>0</v>
      </c>
      <c r="BH61" s="7"/>
      <c r="BI61" s="93">
        <f>BH61*$E61</f>
        <v>0</v>
      </c>
      <c r="BJ61" s="7"/>
      <c r="BK61" s="93">
        <f>BJ61*$E61</f>
        <v>0</v>
      </c>
      <c r="BL61" s="7"/>
      <c r="BM61" s="93">
        <f>BL61*$E61</f>
        <v>0</v>
      </c>
      <c r="BN61" s="7"/>
      <c r="BO61" s="93">
        <f>BN61*$E61</f>
        <v>0</v>
      </c>
      <c r="BP61" s="7"/>
      <c r="BQ61" s="93">
        <f>BP61*$E61</f>
        <v>0</v>
      </c>
      <c r="BR61" s="7"/>
      <c r="BS61" s="93">
        <f>BR61*$E61</f>
        <v>0</v>
      </c>
      <c r="BT61" s="7"/>
      <c r="BU61" s="93">
        <f>BT61*$E61</f>
        <v>0</v>
      </c>
      <c r="BV61" s="7"/>
      <c r="BW61" s="93">
        <f>BV61*$E61</f>
        <v>0</v>
      </c>
      <c r="BX61" s="7"/>
      <c r="BY61" s="93">
        <f>BX61*$E61</f>
        <v>0</v>
      </c>
      <c r="BZ61" s="7"/>
      <c r="CA61" s="93">
        <f>BZ61*$E61</f>
        <v>0</v>
      </c>
      <c r="CB61" s="7"/>
      <c r="CC61" s="93">
        <f>CB61*$E61</f>
        <v>0</v>
      </c>
      <c r="CD61" s="7"/>
      <c r="CE61" s="93">
        <f>CD61*$E61</f>
        <v>0</v>
      </c>
      <c r="CF61" s="94">
        <f t="shared" si="44"/>
        <v>0</v>
      </c>
      <c r="CG61" s="95">
        <f t="shared" si="45"/>
        <v>0</v>
      </c>
      <c r="CH61" s="7"/>
      <c r="CI61" s="93">
        <f t="shared" si="46"/>
        <v>0</v>
      </c>
      <c r="CJ61" s="7"/>
      <c r="CK61" s="93">
        <f t="shared" si="47"/>
        <v>0</v>
      </c>
      <c r="CL61" s="7"/>
      <c r="CM61" s="93">
        <f t="shared" si="48"/>
        <v>0</v>
      </c>
      <c r="CN61" s="7"/>
      <c r="CO61" s="93">
        <f t="shared" si="49"/>
        <v>0</v>
      </c>
      <c r="CP61" s="7"/>
      <c r="CQ61" s="93">
        <f t="shared" si="50"/>
        <v>0</v>
      </c>
      <c r="CR61" s="7"/>
      <c r="CS61" s="93">
        <f t="shared" si="51"/>
        <v>0</v>
      </c>
      <c r="CT61" s="7"/>
      <c r="CU61" s="93">
        <f t="shared" si="52"/>
        <v>0</v>
      </c>
      <c r="CV61" s="7"/>
      <c r="CW61" s="93">
        <f t="shared" si="53"/>
        <v>0</v>
      </c>
      <c r="CX61" s="7"/>
      <c r="CY61" s="93">
        <v>0</v>
      </c>
      <c r="CZ61" s="7"/>
      <c r="DA61" s="93">
        <v>0</v>
      </c>
      <c r="DB61" s="7"/>
      <c r="DC61" s="93">
        <v>0</v>
      </c>
      <c r="DD61" s="7"/>
      <c r="DE61" s="93">
        <v>0</v>
      </c>
      <c r="DF61" s="97">
        <f t="shared" si="39"/>
        <v>0</v>
      </c>
      <c r="DG61" s="98">
        <f t="shared" si="54"/>
        <v>0</v>
      </c>
      <c r="DH61" s="79"/>
      <c r="DI61" s="79">
        <v>0</v>
      </c>
      <c r="DJ61" s="154"/>
      <c r="DK61" s="212">
        <f t="shared" si="55"/>
        <v>0</v>
      </c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99">
        <f t="shared" si="56"/>
        <v>0</v>
      </c>
      <c r="EG61" s="99">
        <f t="shared" si="57"/>
        <v>0</v>
      </c>
    </row>
    <row r="62" spans="1:137" ht="20.100000000000001" customHeight="1">
      <c r="A62" s="63">
        <v>51</v>
      </c>
      <c r="B62" s="63" t="s">
        <v>59</v>
      </c>
      <c r="C62" s="63" t="s">
        <v>17</v>
      </c>
      <c r="D62" s="63">
        <f>RANK(DF62,$DF$4:$DF$144)</f>
        <v>35</v>
      </c>
      <c r="E62" s="63">
        <v>0.35</v>
      </c>
      <c r="F62" s="63" t="s">
        <v>21</v>
      </c>
      <c r="G62" s="63"/>
      <c r="H62" s="7"/>
      <c r="I62" s="93">
        <f t="shared" si="60"/>
        <v>0</v>
      </c>
      <c r="J62" s="7"/>
      <c r="K62" s="93">
        <f t="shared" si="60"/>
        <v>0</v>
      </c>
      <c r="L62" s="7"/>
      <c r="M62" s="93">
        <f t="shared" ref="M62:M64" si="63">L62*$E62</f>
        <v>0</v>
      </c>
      <c r="N62" s="7"/>
      <c r="O62" s="93">
        <f t="shared" ref="O62:O64" si="64">N62*$E62</f>
        <v>0</v>
      </c>
      <c r="P62" s="7"/>
      <c r="Q62" s="93">
        <f t="shared" ref="Q62:Q64" si="65">P62*$E62</f>
        <v>0</v>
      </c>
      <c r="R62" s="7"/>
      <c r="S62" s="93">
        <f t="shared" ref="S62:S64" si="66">R62*$E62</f>
        <v>0</v>
      </c>
      <c r="T62" s="7"/>
      <c r="U62" s="93">
        <f t="shared" ref="U62:U64" si="67">T62*$E62</f>
        <v>0</v>
      </c>
      <c r="V62" s="7"/>
      <c r="W62" s="93">
        <f t="shared" ref="W62:W64" si="68">V62*$E62</f>
        <v>0</v>
      </c>
      <c r="X62" s="7"/>
      <c r="Y62" s="93">
        <f t="shared" ref="Y62:Y64" si="69">X62*$E62</f>
        <v>0</v>
      </c>
      <c r="Z62" s="7"/>
      <c r="AA62" s="93">
        <f t="shared" ref="AA62:AA64" si="70">Z62*$E62</f>
        <v>0</v>
      </c>
      <c r="AB62" s="7"/>
      <c r="AC62" s="93">
        <f t="shared" ref="AC62:AC64" si="71">AB62*$E62</f>
        <v>0</v>
      </c>
      <c r="AD62" s="7"/>
      <c r="AE62" s="93">
        <f t="shared" ref="AE62:AE64" si="72">AD62*$E62</f>
        <v>0</v>
      </c>
      <c r="AF62" s="94">
        <f t="shared" si="40"/>
        <v>0</v>
      </c>
      <c r="AG62" s="95">
        <f t="shared" si="41"/>
        <v>0</v>
      </c>
      <c r="AH62" s="7"/>
      <c r="AI62" s="93">
        <f t="shared" si="13"/>
        <v>0</v>
      </c>
      <c r="AJ62" s="7"/>
      <c r="AK62" s="93">
        <f t="shared" si="14"/>
        <v>0</v>
      </c>
      <c r="AL62" s="7"/>
      <c r="AM62" s="93">
        <f t="shared" si="15"/>
        <v>0</v>
      </c>
      <c r="AN62" s="7"/>
      <c r="AO62" s="93">
        <f t="shared" si="16"/>
        <v>0</v>
      </c>
      <c r="AP62" s="7"/>
      <c r="AQ62" s="93">
        <f t="shared" si="17"/>
        <v>0</v>
      </c>
      <c r="AR62" s="7"/>
      <c r="AS62" s="93">
        <f t="shared" si="18"/>
        <v>0</v>
      </c>
      <c r="AT62" s="7"/>
      <c r="AU62" s="93">
        <f t="shared" si="19"/>
        <v>0</v>
      </c>
      <c r="AV62" s="7"/>
      <c r="AW62" s="93">
        <f t="shared" si="20"/>
        <v>0</v>
      </c>
      <c r="AX62" s="7"/>
      <c r="AY62" s="93">
        <f t="shared" si="21"/>
        <v>0</v>
      </c>
      <c r="AZ62" s="7"/>
      <c r="BA62" s="93">
        <f t="shared" si="22"/>
        <v>0</v>
      </c>
      <c r="BB62" s="7"/>
      <c r="BC62" s="93">
        <f t="shared" si="23"/>
        <v>0</v>
      </c>
      <c r="BD62" s="7"/>
      <c r="BE62" s="93">
        <f t="shared" si="24"/>
        <v>0</v>
      </c>
      <c r="BF62" s="94">
        <f t="shared" si="42"/>
        <v>0</v>
      </c>
      <c r="BG62" s="95">
        <f t="shared" si="43"/>
        <v>0</v>
      </c>
      <c r="BH62" s="7"/>
      <c r="BI62" s="93">
        <f>BH62*$E62</f>
        <v>0</v>
      </c>
      <c r="BJ62" s="7"/>
      <c r="BK62" s="93">
        <f t="shared" si="27"/>
        <v>0</v>
      </c>
      <c r="BL62" s="7"/>
      <c r="BM62" s="93">
        <f t="shared" si="61"/>
        <v>0</v>
      </c>
      <c r="BN62" s="7"/>
      <c r="BO62" s="93">
        <f t="shared" si="61"/>
        <v>0</v>
      </c>
      <c r="BP62" s="7"/>
      <c r="BQ62" s="93">
        <f t="shared" si="61"/>
        <v>0</v>
      </c>
      <c r="BR62" s="7"/>
      <c r="BS62" s="93">
        <f t="shared" si="61"/>
        <v>0</v>
      </c>
      <c r="BT62" s="7"/>
      <c r="BU62" s="93">
        <f t="shared" si="32"/>
        <v>0</v>
      </c>
      <c r="BV62" s="7"/>
      <c r="BW62" s="93">
        <f t="shared" si="33"/>
        <v>0</v>
      </c>
      <c r="BX62" s="7"/>
      <c r="BY62" s="93">
        <f t="shared" si="34"/>
        <v>0</v>
      </c>
      <c r="BZ62" s="7"/>
      <c r="CA62" s="93">
        <f t="shared" si="35"/>
        <v>0</v>
      </c>
      <c r="CB62" s="7"/>
      <c r="CC62" s="93">
        <f t="shared" si="36"/>
        <v>0</v>
      </c>
      <c r="CD62" s="7"/>
      <c r="CE62" s="93">
        <f t="shared" si="37"/>
        <v>0</v>
      </c>
      <c r="CF62" s="94">
        <f t="shared" si="44"/>
        <v>0</v>
      </c>
      <c r="CG62" s="95">
        <f t="shared" si="45"/>
        <v>0</v>
      </c>
      <c r="CH62" s="7"/>
      <c r="CI62" s="93">
        <f t="shared" si="46"/>
        <v>0</v>
      </c>
      <c r="CJ62" s="7"/>
      <c r="CK62" s="93">
        <f t="shared" si="47"/>
        <v>0</v>
      </c>
      <c r="CL62" s="7"/>
      <c r="CM62" s="93">
        <f t="shared" si="48"/>
        <v>0</v>
      </c>
      <c r="CN62" s="7"/>
      <c r="CO62" s="93">
        <f t="shared" si="49"/>
        <v>0</v>
      </c>
      <c r="CP62" s="7"/>
      <c r="CQ62" s="93">
        <f t="shared" si="50"/>
        <v>0</v>
      </c>
      <c r="CR62" s="7"/>
      <c r="CS62" s="93">
        <f t="shared" si="51"/>
        <v>0</v>
      </c>
      <c r="CT62" s="7"/>
      <c r="CU62" s="93">
        <f t="shared" si="52"/>
        <v>0</v>
      </c>
      <c r="CV62" s="7"/>
      <c r="CW62" s="93">
        <f t="shared" si="53"/>
        <v>0</v>
      </c>
      <c r="CX62" s="7"/>
      <c r="CY62" s="93">
        <v>0</v>
      </c>
      <c r="CZ62" s="7"/>
      <c r="DA62" s="93">
        <v>0</v>
      </c>
      <c r="DB62" s="7"/>
      <c r="DC62" s="93">
        <v>0</v>
      </c>
      <c r="DD62" s="7"/>
      <c r="DE62" s="93">
        <v>0</v>
      </c>
      <c r="DF62" s="97">
        <f t="shared" si="39"/>
        <v>0</v>
      </c>
      <c r="DG62" s="98">
        <f t="shared" si="54"/>
        <v>0</v>
      </c>
      <c r="DH62" s="79"/>
      <c r="DI62" s="79">
        <v>0</v>
      </c>
      <c r="DJ62" s="154"/>
      <c r="DK62" s="212">
        <f t="shared" si="55"/>
        <v>0</v>
      </c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99">
        <f t="shared" si="56"/>
        <v>0</v>
      </c>
      <c r="EG62" s="99">
        <f t="shared" si="57"/>
        <v>0</v>
      </c>
    </row>
    <row r="63" spans="1:137" ht="20.100000000000001" customHeight="1">
      <c r="A63" s="63">
        <v>52</v>
      </c>
      <c r="B63" s="63" t="s">
        <v>60</v>
      </c>
      <c r="C63" s="63" t="s">
        <v>14</v>
      </c>
      <c r="D63" s="63">
        <f>RANK(DF63,$DF$4:$DF$144)</f>
        <v>16</v>
      </c>
      <c r="E63" s="63">
        <v>0.64</v>
      </c>
      <c r="F63" s="63" t="s">
        <v>25</v>
      </c>
      <c r="G63" s="63">
        <v>1350</v>
      </c>
      <c r="H63" s="7">
        <v>9128</v>
      </c>
      <c r="I63" s="93">
        <f t="shared" si="60"/>
        <v>5841.92</v>
      </c>
      <c r="J63" s="7">
        <v>6594</v>
      </c>
      <c r="K63" s="93">
        <f t="shared" si="60"/>
        <v>4220.16</v>
      </c>
      <c r="L63" s="7">
        <v>10458</v>
      </c>
      <c r="M63" s="93">
        <f t="shared" si="63"/>
        <v>6693.12</v>
      </c>
      <c r="N63" s="7">
        <v>7602</v>
      </c>
      <c r="O63" s="93">
        <f t="shared" si="64"/>
        <v>4865.28</v>
      </c>
      <c r="P63" s="7">
        <v>7350</v>
      </c>
      <c r="Q63" s="93">
        <f t="shared" si="65"/>
        <v>4704</v>
      </c>
      <c r="R63" s="7">
        <v>9688</v>
      </c>
      <c r="S63" s="93">
        <f t="shared" si="66"/>
        <v>6200.32</v>
      </c>
      <c r="T63" s="7">
        <v>7000</v>
      </c>
      <c r="U63" s="93">
        <f t="shared" si="67"/>
        <v>4480</v>
      </c>
      <c r="V63" s="7">
        <v>8358</v>
      </c>
      <c r="W63" s="93">
        <f t="shared" si="68"/>
        <v>5349.12</v>
      </c>
      <c r="X63" s="7">
        <v>6860</v>
      </c>
      <c r="Y63" s="93">
        <f t="shared" si="69"/>
        <v>4390.4000000000005</v>
      </c>
      <c r="Z63" s="7">
        <v>7700</v>
      </c>
      <c r="AA63" s="93">
        <f t="shared" si="70"/>
        <v>4928</v>
      </c>
      <c r="AB63" s="7">
        <v>8568</v>
      </c>
      <c r="AC63" s="93">
        <f t="shared" si="71"/>
        <v>5483.52</v>
      </c>
      <c r="AD63" s="7">
        <v>10920</v>
      </c>
      <c r="AE63" s="93">
        <f t="shared" si="72"/>
        <v>6988.8</v>
      </c>
      <c r="AF63" s="94">
        <f t="shared" si="40"/>
        <v>100226</v>
      </c>
      <c r="AG63" s="95">
        <f t="shared" si="41"/>
        <v>64144.639999999999</v>
      </c>
      <c r="AH63" s="7">
        <v>12866</v>
      </c>
      <c r="AI63" s="93">
        <f t="shared" si="13"/>
        <v>8234.24</v>
      </c>
      <c r="AJ63" s="7">
        <v>7532</v>
      </c>
      <c r="AK63" s="93">
        <f t="shared" si="14"/>
        <v>4820.4800000000005</v>
      </c>
      <c r="AL63" s="7">
        <v>7742</v>
      </c>
      <c r="AM63" s="93">
        <f t="shared" si="15"/>
        <v>4954.88</v>
      </c>
      <c r="AN63" s="7">
        <v>7000</v>
      </c>
      <c r="AO63" s="93">
        <f t="shared" si="16"/>
        <v>4480</v>
      </c>
      <c r="AP63" s="7">
        <v>3780</v>
      </c>
      <c r="AQ63" s="93">
        <f t="shared" si="17"/>
        <v>2419.2000000000003</v>
      </c>
      <c r="AR63" s="7">
        <v>4760</v>
      </c>
      <c r="AS63" s="93">
        <f t="shared" si="18"/>
        <v>3046.4</v>
      </c>
      <c r="AT63" s="7">
        <v>8540</v>
      </c>
      <c r="AU63" s="93">
        <f t="shared" si="19"/>
        <v>5465.6</v>
      </c>
      <c r="AV63" s="7">
        <v>7546</v>
      </c>
      <c r="AW63" s="93">
        <f t="shared" si="20"/>
        <v>4829.4400000000005</v>
      </c>
      <c r="AX63" s="7">
        <v>7070</v>
      </c>
      <c r="AY63" s="93">
        <f t="shared" si="21"/>
        <v>4524.8</v>
      </c>
      <c r="AZ63" s="7">
        <v>3780</v>
      </c>
      <c r="BA63" s="93">
        <f t="shared" si="22"/>
        <v>2419.2000000000003</v>
      </c>
      <c r="BB63" s="7">
        <v>5586</v>
      </c>
      <c r="BC63" s="93">
        <f t="shared" si="23"/>
        <v>3575.04</v>
      </c>
      <c r="BD63" s="7">
        <v>8070</v>
      </c>
      <c r="BE63" s="93">
        <f t="shared" si="24"/>
        <v>5164.8</v>
      </c>
      <c r="BF63" s="94">
        <f t="shared" si="42"/>
        <v>84272</v>
      </c>
      <c r="BG63" s="95">
        <f t="shared" si="43"/>
        <v>53934.080000000002</v>
      </c>
      <c r="BH63" s="7">
        <v>6426</v>
      </c>
      <c r="BI63" s="93">
        <f t="shared" ref="BI63:BI64" si="73">BH63*$E63</f>
        <v>4112.6400000000003</v>
      </c>
      <c r="BJ63" s="7">
        <v>5473</v>
      </c>
      <c r="BK63" s="93">
        <f t="shared" si="27"/>
        <v>3502.7200000000003</v>
      </c>
      <c r="BL63" s="7">
        <v>6440</v>
      </c>
      <c r="BM63" s="93">
        <f t="shared" si="61"/>
        <v>4121.6000000000004</v>
      </c>
      <c r="BN63" s="7">
        <v>3542</v>
      </c>
      <c r="BO63" s="93">
        <f t="shared" si="61"/>
        <v>2266.88</v>
      </c>
      <c r="BP63" s="7">
        <v>5124</v>
      </c>
      <c r="BQ63" s="93">
        <f t="shared" si="61"/>
        <v>3279.36</v>
      </c>
      <c r="BR63" s="7">
        <v>6335</v>
      </c>
      <c r="BS63" s="93">
        <f t="shared" si="61"/>
        <v>4054.4</v>
      </c>
      <c r="BT63" s="7">
        <v>5614</v>
      </c>
      <c r="BU63" s="93">
        <f t="shared" si="32"/>
        <v>3592.96</v>
      </c>
      <c r="BV63" s="7">
        <v>8190</v>
      </c>
      <c r="BW63" s="93">
        <f t="shared" si="33"/>
        <v>5241.6000000000004</v>
      </c>
      <c r="BX63" s="7">
        <v>8190</v>
      </c>
      <c r="BY63" s="93">
        <f t="shared" si="34"/>
        <v>5241.6000000000004</v>
      </c>
      <c r="BZ63" s="7">
        <v>5670</v>
      </c>
      <c r="CA63" s="93">
        <f t="shared" si="35"/>
        <v>3628.8</v>
      </c>
      <c r="CB63" s="7">
        <v>5670</v>
      </c>
      <c r="CC63" s="93">
        <f t="shared" si="36"/>
        <v>3628.8</v>
      </c>
      <c r="CD63" s="7">
        <v>6510</v>
      </c>
      <c r="CE63" s="93">
        <f t="shared" si="37"/>
        <v>4166.3999999999996</v>
      </c>
      <c r="CF63" s="94">
        <f t="shared" si="44"/>
        <v>73184</v>
      </c>
      <c r="CG63" s="95">
        <f t="shared" si="45"/>
        <v>46837.760000000002</v>
      </c>
      <c r="CH63" s="7">
        <v>6650</v>
      </c>
      <c r="CI63" s="93">
        <f t="shared" si="46"/>
        <v>4256</v>
      </c>
      <c r="CJ63" s="7">
        <v>3500</v>
      </c>
      <c r="CK63" s="93">
        <f t="shared" si="47"/>
        <v>2240</v>
      </c>
      <c r="CL63" s="7">
        <v>6762</v>
      </c>
      <c r="CM63" s="93">
        <f t="shared" si="48"/>
        <v>4327.68</v>
      </c>
      <c r="CN63" s="7">
        <v>3514</v>
      </c>
      <c r="CO63" s="93">
        <f t="shared" si="49"/>
        <v>2248.96</v>
      </c>
      <c r="CP63" s="7">
        <v>4410</v>
      </c>
      <c r="CQ63" s="93">
        <f t="shared" si="50"/>
        <v>2822.4</v>
      </c>
      <c r="CR63" s="7">
        <v>6356</v>
      </c>
      <c r="CS63" s="93">
        <f t="shared" si="51"/>
        <v>4067.84</v>
      </c>
      <c r="CT63" s="7">
        <v>5292</v>
      </c>
      <c r="CU63" s="93">
        <f t="shared" si="52"/>
        <v>3386.88</v>
      </c>
      <c r="CV63" s="7">
        <v>5614</v>
      </c>
      <c r="CW63" s="93">
        <f t="shared" si="53"/>
        <v>3592.96</v>
      </c>
      <c r="CX63" s="7">
        <v>5390</v>
      </c>
      <c r="CY63" s="93">
        <v>3449.6</v>
      </c>
      <c r="CZ63" s="7">
        <v>4522</v>
      </c>
      <c r="DA63" s="93">
        <v>2894.08</v>
      </c>
      <c r="DB63" s="7">
        <v>3724</v>
      </c>
      <c r="DC63" s="93">
        <v>2383.36</v>
      </c>
      <c r="DD63" s="7">
        <v>4900</v>
      </c>
      <c r="DE63" s="93">
        <v>3136</v>
      </c>
      <c r="DF63" s="97">
        <f t="shared" si="39"/>
        <v>60634</v>
      </c>
      <c r="DG63" s="98">
        <f t="shared" si="54"/>
        <v>38805.760000000002</v>
      </c>
      <c r="DH63" s="79">
        <v>5698</v>
      </c>
      <c r="DI63" s="79">
        <v>3646.7200000000003</v>
      </c>
      <c r="DJ63" s="154">
        <v>3360</v>
      </c>
      <c r="DK63" s="212">
        <f t="shared" si="55"/>
        <v>2150.4</v>
      </c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99">
        <f t="shared" si="56"/>
        <v>9058</v>
      </c>
      <c r="EG63" s="99">
        <f t="shared" si="57"/>
        <v>5797.1200000000008</v>
      </c>
    </row>
    <row r="64" spans="1:137" ht="20.100000000000001" customHeight="1">
      <c r="A64" s="63">
        <v>53</v>
      </c>
      <c r="B64" s="63" t="s">
        <v>61</v>
      </c>
      <c r="C64" s="63" t="s">
        <v>14</v>
      </c>
      <c r="D64" s="63">
        <f>RANK(DF64,$DF$4:$DF$144)</f>
        <v>30</v>
      </c>
      <c r="E64" s="63">
        <v>0.64</v>
      </c>
      <c r="F64" s="63" t="s">
        <v>25</v>
      </c>
      <c r="G64" s="63">
        <v>1280</v>
      </c>
      <c r="H64" s="7"/>
      <c r="I64" s="93">
        <f t="shared" si="60"/>
        <v>0</v>
      </c>
      <c r="J64" s="7"/>
      <c r="K64" s="93">
        <f t="shared" si="60"/>
        <v>0</v>
      </c>
      <c r="L64" s="7"/>
      <c r="M64" s="93">
        <f t="shared" si="63"/>
        <v>0</v>
      </c>
      <c r="N64" s="7"/>
      <c r="O64" s="93">
        <f t="shared" si="64"/>
        <v>0</v>
      </c>
      <c r="P64" s="7"/>
      <c r="Q64" s="93">
        <f t="shared" si="65"/>
        <v>0</v>
      </c>
      <c r="R64" s="7"/>
      <c r="S64" s="93">
        <f t="shared" si="66"/>
        <v>0</v>
      </c>
      <c r="T64" s="7"/>
      <c r="U64" s="93">
        <f t="shared" si="67"/>
        <v>0</v>
      </c>
      <c r="V64" s="7"/>
      <c r="W64" s="93">
        <f t="shared" si="68"/>
        <v>0</v>
      </c>
      <c r="X64" s="7"/>
      <c r="Y64" s="93">
        <f t="shared" si="69"/>
        <v>0</v>
      </c>
      <c r="Z64" s="7"/>
      <c r="AA64" s="93">
        <f t="shared" si="70"/>
        <v>0</v>
      </c>
      <c r="AB64" s="7"/>
      <c r="AC64" s="93">
        <f t="shared" si="71"/>
        <v>0</v>
      </c>
      <c r="AD64" s="7"/>
      <c r="AE64" s="93">
        <f t="shared" si="72"/>
        <v>0</v>
      </c>
      <c r="AF64" s="94">
        <f t="shared" si="40"/>
        <v>0</v>
      </c>
      <c r="AG64" s="95">
        <f t="shared" si="41"/>
        <v>0</v>
      </c>
      <c r="AH64" s="7"/>
      <c r="AI64" s="93">
        <f t="shared" si="13"/>
        <v>0</v>
      </c>
      <c r="AJ64" s="7"/>
      <c r="AK64" s="93">
        <f t="shared" si="14"/>
        <v>0</v>
      </c>
      <c r="AL64" s="7"/>
      <c r="AM64" s="93">
        <f t="shared" si="15"/>
        <v>0</v>
      </c>
      <c r="AN64" s="7"/>
      <c r="AO64" s="93">
        <f t="shared" si="16"/>
        <v>0</v>
      </c>
      <c r="AP64" s="7"/>
      <c r="AQ64" s="93">
        <f t="shared" si="17"/>
        <v>0</v>
      </c>
      <c r="AR64" s="7"/>
      <c r="AS64" s="93">
        <f t="shared" si="18"/>
        <v>0</v>
      </c>
      <c r="AT64" s="7"/>
      <c r="AU64" s="93">
        <f t="shared" si="19"/>
        <v>0</v>
      </c>
      <c r="AV64" s="7"/>
      <c r="AW64" s="93">
        <f t="shared" si="20"/>
        <v>0</v>
      </c>
      <c r="AX64" s="7"/>
      <c r="AY64" s="93">
        <f t="shared" si="21"/>
        <v>0</v>
      </c>
      <c r="AZ64" s="7"/>
      <c r="BA64" s="93">
        <f t="shared" si="22"/>
        <v>0</v>
      </c>
      <c r="BB64" s="7"/>
      <c r="BC64" s="93">
        <f t="shared" si="23"/>
        <v>0</v>
      </c>
      <c r="BD64" s="7"/>
      <c r="BE64" s="93">
        <f t="shared" si="24"/>
        <v>0</v>
      </c>
      <c r="BF64" s="94">
        <f t="shared" si="42"/>
        <v>0</v>
      </c>
      <c r="BG64" s="95">
        <f t="shared" si="43"/>
        <v>0</v>
      </c>
      <c r="BH64" s="7"/>
      <c r="BI64" s="93">
        <f t="shared" si="73"/>
        <v>0</v>
      </c>
      <c r="BJ64" s="7"/>
      <c r="BK64" s="93">
        <f t="shared" si="27"/>
        <v>0</v>
      </c>
      <c r="BL64" s="7">
        <v>2942</v>
      </c>
      <c r="BM64" s="93">
        <f t="shared" si="61"/>
        <v>1882.88</v>
      </c>
      <c r="BN64" s="7">
        <v>651</v>
      </c>
      <c r="BO64" s="93">
        <f t="shared" si="61"/>
        <v>416.64</v>
      </c>
      <c r="BP64" s="7">
        <v>2143</v>
      </c>
      <c r="BQ64" s="93">
        <f t="shared" si="61"/>
        <v>1371.52</v>
      </c>
      <c r="BR64" s="7">
        <v>1267</v>
      </c>
      <c r="BS64" s="93">
        <f t="shared" si="61"/>
        <v>810.88</v>
      </c>
      <c r="BT64" s="7">
        <v>371</v>
      </c>
      <c r="BU64" s="93">
        <f t="shared" si="32"/>
        <v>237.44</v>
      </c>
      <c r="BV64" s="7">
        <v>336</v>
      </c>
      <c r="BW64" s="93">
        <f t="shared" si="33"/>
        <v>215.04</v>
      </c>
      <c r="BX64" s="7">
        <v>770</v>
      </c>
      <c r="BY64" s="93">
        <f t="shared" si="34"/>
        <v>492.8</v>
      </c>
      <c r="BZ64" s="7">
        <v>3164</v>
      </c>
      <c r="CA64" s="93">
        <f t="shared" si="35"/>
        <v>2024.96</v>
      </c>
      <c r="CB64" s="7">
        <v>196</v>
      </c>
      <c r="CC64" s="93">
        <f t="shared" si="36"/>
        <v>125.44</v>
      </c>
      <c r="CD64" s="7">
        <v>280</v>
      </c>
      <c r="CE64" s="93">
        <f t="shared" si="37"/>
        <v>179.20000000000002</v>
      </c>
      <c r="CF64" s="94">
        <f t="shared" si="44"/>
        <v>12120</v>
      </c>
      <c r="CG64" s="95">
        <f t="shared" si="45"/>
        <v>7756.8</v>
      </c>
      <c r="CH64" s="7">
        <v>210</v>
      </c>
      <c r="CI64" s="93">
        <f t="shared" si="46"/>
        <v>134.4</v>
      </c>
      <c r="CJ64" s="7">
        <v>168</v>
      </c>
      <c r="CK64" s="93">
        <f t="shared" si="47"/>
        <v>107.52</v>
      </c>
      <c r="CL64" s="7">
        <v>686</v>
      </c>
      <c r="CM64" s="93">
        <f t="shared" si="48"/>
        <v>439.04</v>
      </c>
      <c r="CN64" s="7">
        <v>112</v>
      </c>
      <c r="CO64" s="93">
        <f t="shared" si="49"/>
        <v>71.680000000000007</v>
      </c>
      <c r="CP64" s="7">
        <v>294</v>
      </c>
      <c r="CQ64" s="93">
        <f t="shared" si="50"/>
        <v>188.16</v>
      </c>
      <c r="CR64" s="7">
        <v>126</v>
      </c>
      <c r="CS64" s="93">
        <f t="shared" si="51"/>
        <v>80.64</v>
      </c>
      <c r="CT64" s="7">
        <v>182</v>
      </c>
      <c r="CU64" s="93">
        <f t="shared" si="52"/>
        <v>116.48</v>
      </c>
      <c r="CV64" s="7">
        <v>210</v>
      </c>
      <c r="CW64" s="93">
        <f t="shared" si="53"/>
        <v>134.4</v>
      </c>
      <c r="CX64" s="7">
        <v>154</v>
      </c>
      <c r="CY64" s="93">
        <v>98.56</v>
      </c>
      <c r="CZ64" s="7">
        <v>210</v>
      </c>
      <c r="DA64" s="93">
        <v>134.4</v>
      </c>
      <c r="DB64" s="7">
        <v>196</v>
      </c>
      <c r="DC64" s="93">
        <v>125.44</v>
      </c>
      <c r="DD64" s="7">
        <v>210</v>
      </c>
      <c r="DE64" s="93">
        <v>134.4</v>
      </c>
      <c r="DF64" s="97">
        <f t="shared" si="39"/>
        <v>2758</v>
      </c>
      <c r="DG64" s="98">
        <f t="shared" si="54"/>
        <v>1765.1200000000001</v>
      </c>
      <c r="DH64" s="79">
        <v>210</v>
      </c>
      <c r="DI64" s="79">
        <v>134.4</v>
      </c>
      <c r="DJ64" s="154">
        <v>224</v>
      </c>
      <c r="DK64" s="212">
        <f t="shared" si="55"/>
        <v>143.36000000000001</v>
      </c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99">
        <f t="shared" si="56"/>
        <v>434</v>
      </c>
      <c r="EG64" s="99">
        <f t="shared" si="57"/>
        <v>277.76</v>
      </c>
    </row>
    <row r="65" spans="1:137" ht="20.100000000000001" customHeight="1">
      <c r="A65" s="63"/>
      <c r="B65" s="63"/>
      <c r="C65" s="63"/>
      <c r="D65" s="63"/>
      <c r="E65" s="63"/>
      <c r="F65" s="63"/>
      <c r="G65" s="63"/>
      <c r="H65" s="7"/>
      <c r="I65" s="93"/>
      <c r="J65" s="7"/>
      <c r="K65" s="93"/>
      <c r="L65" s="7"/>
      <c r="M65" s="93"/>
      <c r="N65" s="7"/>
      <c r="O65" s="93"/>
      <c r="P65" s="7"/>
      <c r="Q65" s="93"/>
      <c r="R65" s="7"/>
      <c r="S65" s="93"/>
      <c r="T65" s="7"/>
      <c r="U65" s="93"/>
      <c r="V65" s="7"/>
      <c r="W65" s="93"/>
      <c r="X65" s="7"/>
      <c r="Y65" s="93"/>
      <c r="Z65" s="7"/>
      <c r="AA65" s="93"/>
      <c r="AB65" s="7"/>
      <c r="AC65" s="93"/>
      <c r="AD65" s="7"/>
      <c r="AE65" s="93"/>
      <c r="AF65" s="94">
        <f t="shared" si="40"/>
        <v>0</v>
      </c>
      <c r="AG65" s="95">
        <f t="shared" si="41"/>
        <v>0</v>
      </c>
      <c r="AH65" s="7"/>
      <c r="AI65" s="93"/>
      <c r="AJ65" s="7"/>
      <c r="AK65" s="93"/>
      <c r="AL65" s="7"/>
      <c r="AM65" s="93"/>
      <c r="AN65" s="7"/>
      <c r="AO65" s="93"/>
      <c r="AP65" s="7"/>
      <c r="AQ65" s="93"/>
      <c r="AR65" s="7"/>
      <c r="AS65" s="93"/>
      <c r="AT65" s="7"/>
      <c r="AU65" s="93"/>
      <c r="AV65" s="7"/>
      <c r="AW65" s="93"/>
      <c r="AX65" s="7"/>
      <c r="AY65" s="93"/>
      <c r="AZ65" s="7"/>
      <c r="BA65" s="93"/>
      <c r="BB65" s="7"/>
      <c r="BC65" s="93"/>
      <c r="BD65" s="7"/>
      <c r="BE65" s="93"/>
      <c r="BF65" s="94">
        <f t="shared" si="42"/>
        <v>0</v>
      </c>
      <c r="BG65" s="95">
        <f t="shared" si="43"/>
        <v>0</v>
      </c>
      <c r="BH65" s="7"/>
      <c r="BI65" s="93"/>
      <c r="BJ65" s="7"/>
      <c r="BK65" s="93"/>
      <c r="BL65" s="7"/>
      <c r="BM65" s="93"/>
      <c r="BN65" s="7"/>
      <c r="BO65" s="93"/>
      <c r="BP65" s="7"/>
      <c r="BQ65" s="93"/>
      <c r="BR65" s="7"/>
      <c r="BS65" s="93"/>
      <c r="BT65" s="7"/>
      <c r="BU65" s="93"/>
      <c r="BV65" s="7"/>
      <c r="BW65" s="93"/>
      <c r="BX65" s="7"/>
      <c r="BY65" s="93"/>
      <c r="BZ65" s="7"/>
      <c r="CA65" s="93"/>
      <c r="CB65" s="7"/>
      <c r="CC65" s="93"/>
      <c r="CD65" s="7"/>
      <c r="CE65" s="93"/>
      <c r="CF65" s="94">
        <f t="shared" si="44"/>
        <v>0</v>
      </c>
      <c r="CG65" s="95">
        <f t="shared" si="45"/>
        <v>0</v>
      </c>
      <c r="CH65" s="7"/>
      <c r="CI65" s="93">
        <f t="shared" si="46"/>
        <v>0</v>
      </c>
      <c r="CJ65" s="7"/>
      <c r="CK65" s="93">
        <f t="shared" si="47"/>
        <v>0</v>
      </c>
      <c r="CL65" s="7"/>
      <c r="CM65" s="93">
        <f t="shared" si="48"/>
        <v>0</v>
      </c>
      <c r="CN65" s="7"/>
      <c r="CO65" s="93">
        <f t="shared" si="49"/>
        <v>0</v>
      </c>
      <c r="CP65" s="7"/>
      <c r="CQ65" s="93">
        <f t="shared" si="50"/>
        <v>0</v>
      </c>
      <c r="CR65" s="7"/>
      <c r="CS65" s="93">
        <f t="shared" si="51"/>
        <v>0</v>
      </c>
      <c r="CT65" s="7"/>
      <c r="CU65" s="93">
        <f t="shared" si="52"/>
        <v>0</v>
      </c>
      <c r="CV65" s="7"/>
      <c r="CW65" s="93">
        <f t="shared" si="53"/>
        <v>0</v>
      </c>
      <c r="CX65" s="7"/>
      <c r="CY65" s="93">
        <v>0</v>
      </c>
      <c r="CZ65" s="7"/>
      <c r="DA65" s="93">
        <v>0</v>
      </c>
      <c r="DB65" s="7"/>
      <c r="DC65" s="93">
        <v>0</v>
      </c>
      <c r="DD65" s="7"/>
      <c r="DE65" s="93">
        <v>0</v>
      </c>
      <c r="DF65" s="97">
        <f t="shared" si="39"/>
        <v>0</v>
      </c>
      <c r="DG65" s="98">
        <f t="shared" si="54"/>
        <v>0</v>
      </c>
      <c r="DH65" s="79"/>
      <c r="DI65" s="79">
        <v>0</v>
      </c>
      <c r="DJ65" s="154"/>
      <c r="DK65" s="212">
        <f t="shared" si="55"/>
        <v>0</v>
      </c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99">
        <f t="shared" si="56"/>
        <v>0</v>
      </c>
      <c r="EG65" s="99">
        <f t="shared" si="57"/>
        <v>0</v>
      </c>
    </row>
    <row r="66" spans="1:137" ht="20.100000000000001" customHeight="1">
      <c r="A66" s="63">
        <v>54</v>
      </c>
      <c r="B66" s="63" t="s">
        <v>62</v>
      </c>
      <c r="C66" s="63" t="s">
        <v>17</v>
      </c>
      <c r="D66" s="63">
        <f>RANK(DF66,$DF$4:$DF$144)</f>
        <v>35</v>
      </c>
      <c r="E66" s="63">
        <v>1</v>
      </c>
      <c r="F66" s="63" t="s">
        <v>15</v>
      </c>
      <c r="G66" s="63"/>
      <c r="H66" s="7"/>
      <c r="I66" s="93">
        <f t="shared" si="60"/>
        <v>0</v>
      </c>
      <c r="J66" s="7"/>
      <c r="K66" s="93">
        <f t="shared" si="60"/>
        <v>0</v>
      </c>
      <c r="L66" s="7"/>
      <c r="M66" s="93">
        <f t="shared" ref="M66:M81" si="74">L66*$E66</f>
        <v>0</v>
      </c>
      <c r="N66" s="7"/>
      <c r="O66" s="93">
        <f t="shared" ref="O66:O81" si="75">N66*$E66</f>
        <v>0</v>
      </c>
      <c r="P66" s="7"/>
      <c r="Q66" s="93">
        <f t="shared" ref="Q66:Q81" si="76">P66*$E66</f>
        <v>0</v>
      </c>
      <c r="R66" s="7"/>
      <c r="S66" s="93">
        <f t="shared" ref="S66:S81" si="77">R66*$E66</f>
        <v>0</v>
      </c>
      <c r="T66" s="7"/>
      <c r="U66" s="93">
        <f t="shared" ref="U66:U81" si="78">T66*$E66</f>
        <v>0</v>
      </c>
      <c r="V66" s="7"/>
      <c r="W66" s="93">
        <f t="shared" ref="W66:W81" si="79">V66*$E66</f>
        <v>0</v>
      </c>
      <c r="X66" s="7"/>
      <c r="Y66" s="93">
        <f t="shared" ref="Y66:Y81" si="80">X66*$E66</f>
        <v>0</v>
      </c>
      <c r="Z66" s="7"/>
      <c r="AA66" s="93">
        <f t="shared" ref="AA66:AA81" si="81">Z66*$E66</f>
        <v>0</v>
      </c>
      <c r="AB66" s="7"/>
      <c r="AC66" s="93">
        <f t="shared" ref="AC66:AC81" si="82">AB66*$E66</f>
        <v>0</v>
      </c>
      <c r="AD66" s="7"/>
      <c r="AE66" s="93">
        <f t="shared" ref="AE66:AE81" si="83">AD66*$E66</f>
        <v>0</v>
      </c>
      <c r="AF66" s="94">
        <f t="shared" si="40"/>
        <v>0</v>
      </c>
      <c r="AG66" s="95">
        <f t="shared" si="41"/>
        <v>0</v>
      </c>
      <c r="AH66" s="7"/>
      <c r="AI66" s="93">
        <f t="shared" si="13"/>
        <v>0</v>
      </c>
      <c r="AJ66" s="7"/>
      <c r="AK66" s="93">
        <f t="shared" si="14"/>
        <v>0</v>
      </c>
      <c r="AL66" s="7"/>
      <c r="AM66" s="93">
        <f t="shared" si="15"/>
        <v>0</v>
      </c>
      <c r="AN66" s="7"/>
      <c r="AO66" s="93">
        <f t="shared" si="16"/>
        <v>0</v>
      </c>
      <c r="AP66" s="7"/>
      <c r="AQ66" s="93">
        <f t="shared" si="17"/>
        <v>0</v>
      </c>
      <c r="AR66" s="7"/>
      <c r="AS66" s="93">
        <f t="shared" si="18"/>
        <v>0</v>
      </c>
      <c r="AT66" s="7"/>
      <c r="AU66" s="93">
        <f t="shared" si="19"/>
        <v>0</v>
      </c>
      <c r="AV66" s="7"/>
      <c r="AW66" s="93">
        <f t="shared" si="20"/>
        <v>0</v>
      </c>
      <c r="AX66" s="7"/>
      <c r="AY66" s="93">
        <f t="shared" si="21"/>
        <v>0</v>
      </c>
      <c r="AZ66" s="7"/>
      <c r="BA66" s="93">
        <f t="shared" si="22"/>
        <v>0</v>
      </c>
      <c r="BB66" s="7"/>
      <c r="BC66" s="93">
        <f t="shared" si="23"/>
        <v>0</v>
      </c>
      <c r="BD66" s="7"/>
      <c r="BE66" s="93">
        <f t="shared" si="24"/>
        <v>0</v>
      </c>
      <c r="BF66" s="94">
        <f t="shared" si="42"/>
        <v>0</v>
      </c>
      <c r="BG66" s="95">
        <f t="shared" si="43"/>
        <v>0</v>
      </c>
      <c r="BH66" s="7"/>
      <c r="BI66" s="93">
        <f t="shared" si="26"/>
        <v>0</v>
      </c>
      <c r="BJ66" s="7"/>
      <c r="BK66" s="93">
        <f t="shared" si="27"/>
        <v>0</v>
      </c>
      <c r="BL66" s="7"/>
      <c r="BM66" s="93">
        <f t="shared" si="61"/>
        <v>0</v>
      </c>
      <c r="BN66" s="7"/>
      <c r="BO66" s="93">
        <f t="shared" si="61"/>
        <v>0</v>
      </c>
      <c r="BP66" s="7"/>
      <c r="BQ66" s="93">
        <f t="shared" si="61"/>
        <v>0</v>
      </c>
      <c r="BR66" s="7"/>
      <c r="BS66" s="93">
        <f t="shared" si="61"/>
        <v>0</v>
      </c>
      <c r="BT66" s="7"/>
      <c r="BU66" s="93">
        <f t="shared" si="32"/>
        <v>0</v>
      </c>
      <c r="BV66" s="7"/>
      <c r="BW66" s="93">
        <f t="shared" si="33"/>
        <v>0</v>
      </c>
      <c r="BX66" s="7"/>
      <c r="BY66" s="93">
        <f t="shared" si="34"/>
        <v>0</v>
      </c>
      <c r="BZ66" s="7"/>
      <c r="CA66" s="93">
        <f t="shared" si="35"/>
        <v>0</v>
      </c>
      <c r="CB66" s="7"/>
      <c r="CC66" s="93">
        <f t="shared" si="36"/>
        <v>0</v>
      </c>
      <c r="CD66" s="7"/>
      <c r="CE66" s="93">
        <f t="shared" si="37"/>
        <v>0</v>
      </c>
      <c r="CF66" s="94">
        <f t="shared" si="44"/>
        <v>0</v>
      </c>
      <c r="CG66" s="95">
        <f t="shared" si="45"/>
        <v>0</v>
      </c>
      <c r="CH66" s="7"/>
      <c r="CI66" s="93">
        <f t="shared" si="46"/>
        <v>0</v>
      </c>
      <c r="CJ66" s="7"/>
      <c r="CK66" s="93">
        <f t="shared" si="47"/>
        <v>0</v>
      </c>
      <c r="CL66" s="7"/>
      <c r="CM66" s="93">
        <f t="shared" si="48"/>
        <v>0</v>
      </c>
      <c r="CN66" s="7"/>
      <c r="CO66" s="93">
        <f t="shared" si="49"/>
        <v>0</v>
      </c>
      <c r="CP66" s="7"/>
      <c r="CQ66" s="93">
        <f t="shared" si="50"/>
        <v>0</v>
      </c>
      <c r="CR66" s="7"/>
      <c r="CS66" s="93">
        <f t="shared" si="51"/>
        <v>0</v>
      </c>
      <c r="CT66" s="7"/>
      <c r="CU66" s="93">
        <f t="shared" si="52"/>
        <v>0</v>
      </c>
      <c r="CV66" s="7"/>
      <c r="CW66" s="93">
        <f t="shared" si="53"/>
        <v>0</v>
      </c>
      <c r="CX66" s="7"/>
      <c r="CY66" s="93">
        <v>0</v>
      </c>
      <c r="CZ66" s="7"/>
      <c r="DA66" s="93">
        <v>0</v>
      </c>
      <c r="DB66" s="7"/>
      <c r="DC66" s="93">
        <v>0</v>
      </c>
      <c r="DD66" s="7"/>
      <c r="DE66" s="93">
        <v>0</v>
      </c>
      <c r="DF66" s="97">
        <f t="shared" si="39"/>
        <v>0</v>
      </c>
      <c r="DG66" s="98">
        <f t="shared" si="54"/>
        <v>0</v>
      </c>
      <c r="DH66" s="79"/>
      <c r="DI66" s="79">
        <v>0</v>
      </c>
      <c r="DJ66" s="154"/>
      <c r="DK66" s="212">
        <f t="shared" si="55"/>
        <v>0</v>
      </c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99">
        <f t="shared" si="56"/>
        <v>0</v>
      </c>
      <c r="EG66" s="99">
        <f t="shared" si="57"/>
        <v>0</v>
      </c>
    </row>
    <row r="67" spans="1:137" ht="20.100000000000001" customHeight="1">
      <c r="A67" s="63">
        <v>55</v>
      </c>
      <c r="B67" s="63" t="s">
        <v>63</v>
      </c>
      <c r="C67" s="63" t="s">
        <v>17</v>
      </c>
      <c r="D67" s="63">
        <f>RANK(DF67,$DF$4:$DF$144)</f>
        <v>35</v>
      </c>
      <c r="E67" s="63">
        <v>0.6</v>
      </c>
      <c r="F67" s="63" t="s">
        <v>15</v>
      </c>
      <c r="G67" s="63"/>
      <c r="H67" s="7"/>
      <c r="I67" s="93">
        <f t="shared" si="60"/>
        <v>0</v>
      </c>
      <c r="J67" s="7"/>
      <c r="K67" s="93">
        <f t="shared" si="60"/>
        <v>0</v>
      </c>
      <c r="L67" s="7"/>
      <c r="M67" s="93">
        <f t="shared" si="74"/>
        <v>0</v>
      </c>
      <c r="N67" s="7"/>
      <c r="O67" s="93">
        <f t="shared" si="75"/>
        <v>0</v>
      </c>
      <c r="P67" s="7"/>
      <c r="Q67" s="93">
        <f t="shared" si="76"/>
        <v>0</v>
      </c>
      <c r="R67" s="7"/>
      <c r="S67" s="93">
        <f t="shared" si="77"/>
        <v>0</v>
      </c>
      <c r="T67" s="7"/>
      <c r="U67" s="93">
        <f t="shared" si="78"/>
        <v>0</v>
      </c>
      <c r="V67" s="7"/>
      <c r="W67" s="93">
        <f t="shared" si="79"/>
        <v>0</v>
      </c>
      <c r="X67" s="7"/>
      <c r="Y67" s="93">
        <f t="shared" si="80"/>
        <v>0</v>
      </c>
      <c r="Z67" s="7"/>
      <c r="AA67" s="93">
        <f t="shared" si="81"/>
        <v>0</v>
      </c>
      <c r="AB67" s="7"/>
      <c r="AC67" s="93">
        <f t="shared" si="82"/>
        <v>0</v>
      </c>
      <c r="AD67" s="7"/>
      <c r="AE67" s="93">
        <f t="shared" si="83"/>
        <v>0</v>
      </c>
      <c r="AF67" s="94">
        <f t="shared" si="40"/>
        <v>0</v>
      </c>
      <c r="AG67" s="95">
        <f t="shared" si="41"/>
        <v>0</v>
      </c>
      <c r="AH67" s="7"/>
      <c r="AI67" s="93">
        <f t="shared" si="13"/>
        <v>0</v>
      </c>
      <c r="AJ67" s="7"/>
      <c r="AK67" s="93">
        <f t="shared" si="14"/>
        <v>0</v>
      </c>
      <c r="AL67" s="7"/>
      <c r="AM67" s="93">
        <f t="shared" si="15"/>
        <v>0</v>
      </c>
      <c r="AN67" s="7"/>
      <c r="AO67" s="93">
        <f t="shared" si="16"/>
        <v>0</v>
      </c>
      <c r="AP67" s="7"/>
      <c r="AQ67" s="93">
        <f t="shared" si="17"/>
        <v>0</v>
      </c>
      <c r="AR67" s="7"/>
      <c r="AS67" s="93">
        <f t="shared" si="18"/>
        <v>0</v>
      </c>
      <c r="AT67" s="7"/>
      <c r="AU67" s="93">
        <f t="shared" si="19"/>
        <v>0</v>
      </c>
      <c r="AV67" s="7"/>
      <c r="AW67" s="93">
        <f t="shared" si="20"/>
        <v>0</v>
      </c>
      <c r="AX67" s="7"/>
      <c r="AY67" s="93">
        <f t="shared" si="21"/>
        <v>0</v>
      </c>
      <c r="AZ67" s="7"/>
      <c r="BA67" s="93">
        <f t="shared" si="22"/>
        <v>0</v>
      </c>
      <c r="BB67" s="7"/>
      <c r="BC67" s="93">
        <f t="shared" si="23"/>
        <v>0</v>
      </c>
      <c r="BD67" s="7"/>
      <c r="BE67" s="93">
        <f t="shared" si="24"/>
        <v>0</v>
      </c>
      <c r="BF67" s="94">
        <f t="shared" si="42"/>
        <v>0</v>
      </c>
      <c r="BG67" s="95">
        <f t="shared" si="43"/>
        <v>0</v>
      </c>
      <c r="BH67" s="7"/>
      <c r="BI67" s="93">
        <f t="shared" si="26"/>
        <v>0</v>
      </c>
      <c r="BJ67" s="7"/>
      <c r="BK67" s="93">
        <f t="shared" si="27"/>
        <v>0</v>
      </c>
      <c r="BL67" s="7"/>
      <c r="BM67" s="93">
        <f t="shared" si="61"/>
        <v>0</v>
      </c>
      <c r="BN67" s="7"/>
      <c r="BO67" s="93">
        <f t="shared" si="61"/>
        <v>0</v>
      </c>
      <c r="BP67" s="7"/>
      <c r="BQ67" s="93">
        <f t="shared" si="61"/>
        <v>0</v>
      </c>
      <c r="BR67" s="7"/>
      <c r="BS67" s="93">
        <f t="shared" si="61"/>
        <v>0</v>
      </c>
      <c r="BT67" s="7"/>
      <c r="BU67" s="93">
        <f t="shared" si="32"/>
        <v>0</v>
      </c>
      <c r="BV67" s="7"/>
      <c r="BW67" s="93">
        <f t="shared" si="33"/>
        <v>0</v>
      </c>
      <c r="BX67" s="7"/>
      <c r="BY67" s="93">
        <f t="shared" si="34"/>
        <v>0</v>
      </c>
      <c r="BZ67" s="7"/>
      <c r="CA67" s="93">
        <f t="shared" si="35"/>
        <v>0</v>
      </c>
      <c r="CB67" s="7"/>
      <c r="CC67" s="93">
        <f t="shared" si="36"/>
        <v>0</v>
      </c>
      <c r="CD67" s="7"/>
      <c r="CE67" s="93">
        <f t="shared" si="37"/>
        <v>0</v>
      </c>
      <c r="CF67" s="94">
        <f t="shared" si="44"/>
        <v>0</v>
      </c>
      <c r="CG67" s="95">
        <f t="shared" si="45"/>
        <v>0</v>
      </c>
      <c r="CH67" s="7"/>
      <c r="CI67" s="93">
        <f t="shared" si="46"/>
        <v>0</v>
      </c>
      <c r="CJ67" s="7"/>
      <c r="CK67" s="93">
        <f t="shared" si="47"/>
        <v>0</v>
      </c>
      <c r="CL67" s="7"/>
      <c r="CM67" s="93">
        <f t="shared" si="48"/>
        <v>0</v>
      </c>
      <c r="CN67" s="7"/>
      <c r="CO67" s="93">
        <f t="shared" si="49"/>
        <v>0</v>
      </c>
      <c r="CP67" s="7"/>
      <c r="CQ67" s="93">
        <f t="shared" si="50"/>
        <v>0</v>
      </c>
      <c r="CR67" s="7"/>
      <c r="CS67" s="93">
        <f t="shared" si="51"/>
        <v>0</v>
      </c>
      <c r="CT67" s="7"/>
      <c r="CU67" s="93">
        <f t="shared" si="52"/>
        <v>0</v>
      </c>
      <c r="CV67" s="7"/>
      <c r="CW67" s="93">
        <f t="shared" si="53"/>
        <v>0</v>
      </c>
      <c r="CX67" s="7"/>
      <c r="CY67" s="93">
        <v>0</v>
      </c>
      <c r="CZ67" s="7"/>
      <c r="DA67" s="93">
        <v>0</v>
      </c>
      <c r="DB67" s="7"/>
      <c r="DC67" s="93">
        <v>0</v>
      </c>
      <c r="DD67" s="7"/>
      <c r="DE67" s="93">
        <v>0</v>
      </c>
      <c r="DF67" s="97">
        <f t="shared" si="39"/>
        <v>0</v>
      </c>
      <c r="DG67" s="98">
        <f t="shared" si="54"/>
        <v>0</v>
      </c>
      <c r="DH67" s="79"/>
      <c r="DI67" s="79">
        <v>0</v>
      </c>
      <c r="DJ67" s="154"/>
      <c r="DK67" s="212">
        <f t="shared" si="55"/>
        <v>0</v>
      </c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99">
        <f t="shared" si="56"/>
        <v>0</v>
      </c>
      <c r="EG67" s="99">
        <f t="shared" si="57"/>
        <v>0</v>
      </c>
    </row>
    <row r="68" spans="1:137" ht="20.100000000000001" customHeight="1">
      <c r="A68" s="63">
        <v>56</v>
      </c>
      <c r="B68" s="63" t="s">
        <v>64</v>
      </c>
      <c r="C68" s="63" t="s">
        <v>14</v>
      </c>
      <c r="D68" s="63">
        <f>RANK(DF68,$DF$4:$DF$144)</f>
        <v>35</v>
      </c>
      <c r="E68" s="63">
        <v>0.64</v>
      </c>
      <c r="F68" s="63" t="s">
        <v>25</v>
      </c>
      <c r="G68" s="63"/>
      <c r="H68" s="7"/>
      <c r="I68" s="93">
        <f t="shared" si="60"/>
        <v>0</v>
      </c>
      <c r="J68" s="7"/>
      <c r="K68" s="93">
        <f t="shared" si="60"/>
        <v>0</v>
      </c>
      <c r="L68" s="7"/>
      <c r="M68" s="93">
        <f t="shared" si="74"/>
        <v>0</v>
      </c>
      <c r="N68" s="7"/>
      <c r="O68" s="93">
        <f t="shared" si="75"/>
        <v>0</v>
      </c>
      <c r="P68" s="7"/>
      <c r="Q68" s="93">
        <f t="shared" si="76"/>
        <v>0</v>
      </c>
      <c r="R68" s="7"/>
      <c r="S68" s="93">
        <f t="shared" si="77"/>
        <v>0</v>
      </c>
      <c r="T68" s="7"/>
      <c r="U68" s="93">
        <f t="shared" si="78"/>
        <v>0</v>
      </c>
      <c r="V68" s="7"/>
      <c r="W68" s="93">
        <f t="shared" si="79"/>
        <v>0</v>
      </c>
      <c r="X68" s="7"/>
      <c r="Y68" s="93">
        <f t="shared" si="80"/>
        <v>0</v>
      </c>
      <c r="Z68" s="7"/>
      <c r="AA68" s="93">
        <f t="shared" si="81"/>
        <v>0</v>
      </c>
      <c r="AB68" s="7"/>
      <c r="AC68" s="93">
        <f t="shared" si="82"/>
        <v>0</v>
      </c>
      <c r="AD68" s="7"/>
      <c r="AE68" s="93">
        <f t="shared" si="83"/>
        <v>0</v>
      </c>
      <c r="AF68" s="94">
        <f t="shared" si="40"/>
        <v>0</v>
      </c>
      <c r="AG68" s="95">
        <f t="shared" si="41"/>
        <v>0</v>
      </c>
      <c r="AH68" s="7"/>
      <c r="AI68" s="93">
        <f t="shared" ref="AI68:AI96" si="84">AH68*$E68</f>
        <v>0</v>
      </c>
      <c r="AJ68" s="7"/>
      <c r="AK68" s="93">
        <f t="shared" ref="AK68:AK96" si="85">AJ68*$E68</f>
        <v>0</v>
      </c>
      <c r="AL68" s="7"/>
      <c r="AM68" s="93">
        <f t="shared" ref="AM68:AM96" si="86">AL68*$E68</f>
        <v>0</v>
      </c>
      <c r="AN68" s="7"/>
      <c r="AO68" s="93">
        <f t="shared" ref="AO68:AO96" si="87">AN68*$E68</f>
        <v>0</v>
      </c>
      <c r="AP68" s="7"/>
      <c r="AQ68" s="93">
        <f t="shared" ref="AQ68:AQ96" si="88">AP68*$E68</f>
        <v>0</v>
      </c>
      <c r="AR68" s="7"/>
      <c r="AS68" s="93">
        <f t="shared" ref="AS68:AS96" si="89">AR68*$E68</f>
        <v>0</v>
      </c>
      <c r="AT68" s="7"/>
      <c r="AU68" s="93">
        <f t="shared" ref="AU68:AU96" si="90">AT68*$E68</f>
        <v>0</v>
      </c>
      <c r="AV68" s="7"/>
      <c r="AW68" s="93">
        <f t="shared" ref="AW68:AW96" si="91">AV68*$E68</f>
        <v>0</v>
      </c>
      <c r="AX68" s="7"/>
      <c r="AY68" s="93">
        <f t="shared" ref="AY68:AY96" si="92">AX68*$E68</f>
        <v>0</v>
      </c>
      <c r="AZ68" s="7"/>
      <c r="BA68" s="93">
        <f t="shared" ref="BA68:BA96" si="93">AZ68*$E68</f>
        <v>0</v>
      </c>
      <c r="BB68" s="7"/>
      <c r="BC68" s="93">
        <f t="shared" ref="BC68:BC96" si="94">BB68*$E68</f>
        <v>0</v>
      </c>
      <c r="BD68" s="7"/>
      <c r="BE68" s="93">
        <f t="shared" ref="BE68:BE96" si="95">BD68*$E68</f>
        <v>0</v>
      </c>
      <c r="BF68" s="94">
        <f t="shared" si="42"/>
        <v>0</v>
      </c>
      <c r="BG68" s="95">
        <f t="shared" si="43"/>
        <v>0</v>
      </c>
      <c r="BH68" s="7"/>
      <c r="BI68" s="93">
        <f t="shared" ref="BI68:BI96" si="96">BH68*$E68</f>
        <v>0</v>
      </c>
      <c r="BJ68" s="7"/>
      <c r="BK68" s="93">
        <f t="shared" ref="BK68:BK96" si="97">BJ68*$E68</f>
        <v>0</v>
      </c>
      <c r="BL68" s="7"/>
      <c r="BM68" s="93">
        <f t="shared" si="61"/>
        <v>0</v>
      </c>
      <c r="BN68" s="7"/>
      <c r="BO68" s="93">
        <f t="shared" si="61"/>
        <v>0</v>
      </c>
      <c r="BP68" s="7"/>
      <c r="BQ68" s="93">
        <f t="shared" si="61"/>
        <v>0</v>
      </c>
      <c r="BR68" s="7"/>
      <c r="BS68" s="93">
        <f t="shared" si="61"/>
        <v>0</v>
      </c>
      <c r="BT68" s="7"/>
      <c r="BU68" s="93">
        <f t="shared" ref="BU68:BU69" si="98">BT68*$E68</f>
        <v>0</v>
      </c>
      <c r="BV68" s="7"/>
      <c r="BW68" s="93">
        <f t="shared" ref="BW68:BW69" si="99">BV68*$E68</f>
        <v>0</v>
      </c>
      <c r="BX68" s="7"/>
      <c r="BY68" s="93">
        <f t="shared" ref="BY68:BY69" si="100">BX68*$E68</f>
        <v>0</v>
      </c>
      <c r="BZ68" s="7"/>
      <c r="CA68" s="93">
        <f t="shared" ref="CA68:CA69" si="101">BZ68*$E68</f>
        <v>0</v>
      </c>
      <c r="CB68" s="7"/>
      <c r="CC68" s="93">
        <f t="shared" ref="CC68:CE76" si="102">CB68*$E68</f>
        <v>0</v>
      </c>
      <c r="CD68" s="7"/>
      <c r="CE68" s="93">
        <f t="shared" ref="CE68:CE69" si="103">CD68*$E68</f>
        <v>0</v>
      </c>
      <c r="CF68" s="94">
        <f t="shared" si="44"/>
        <v>0</v>
      </c>
      <c r="CG68" s="95">
        <f t="shared" si="45"/>
        <v>0</v>
      </c>
      <c r="CH68" s="7"/>
      <c r="CI68" s="93">
        <f t="shared" si="46"/>
        <v>0</v>
      </c>
      <c r="CJ68" s="7"/>
      <c r="CK68" s="93">
        <f t="shared" si="47"/>
        <v>0</v>
      </c>
      <c r="CL68" s="7"/>
      <c r="CM68" s="93">
        <f t="shared" si="48"/>
        <v>0</v>
      </c>
      <c r="CN68" s="7"/>
      <c r="CO68" s="93">
        <f t="shared" si="49"/>
        <v>0</v>
      </c>
      <c r="CP68" s="7"/>
      <c r="CQ68" s="93">
        <f t="shared" si="50"/>
        <v>0</v>
      </c>
      <c r="CR68" s="7"/>
      <c r="CS68" s="93">
        <f t="shared" si="51"/>
        <v>0</v>
      </c>
      <c r="CT68" s="7"/>
      <c r="CU68" s="93">
        <f t="shared" si="52"/>
        <v>0</v>
      </c>
      <c r="CV68" s="7"/>
      <c r="CW68" s="93">
        <f t="shared" si="53"/>
        <v>0</v>
      </c>
      <c r="CX68" s="7"/>
      <c r="CY68" s="93">
        <v>0</v>
      </c>
      <c r="CZ68" s="7"/>
      <c r="DA68" s="93">
        <v>0</v>
      </c>
      <c r="DB68" s="7"/>
      <c r="DC68" s="93">
        <v>0</v>
      </c>
      <c r="DD68" s="7"/>
      <c r="DE68" s="93">
        <v>0</v>
      </c>
      <c r="DF68" s="97">
        <f t="shared" ref="DF68:DF141" si="104">SUM(CH68,CJ68,CL68,CN68,CP68,CR68,CT68,CV68,CX68,CZ68,DB68,DD68)</f>
        <v>0</v>
      </c>
      <c r="DG68" s="98">
        <f t="shared" si="54"/>
        <v>0</v>
      </c>
      <c r="DH68" s="79"/>
      <c r="DI68" s="79">
        <v>0</v>
      </c>
      <c r="DJ68" s="154"/>
      <c r="DK68" s="212">
        <f t="shared" si="55"/>
        <v>0</v>
      </c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99">
        <f t="shared" si="56"/>
        <v>0</v>
      </c>
      <c r="EG68" s="99">
        <f t="shared" si="57"/>
        <v>0</v>
      </c>
    </row>
    <row r="69" spans="1:137" ht="20.100000000000001" customHeight="1">
      <c r="A69" s="63"/>
      <c r="B69" s="63"/>
      <c r="C69" s="63"/>
      <c r="D69" s="63"/>
      <c r="E69" s="63"/>
      <c r="F69" s="63"/>
      <c r="G69" s="63"/>
      <c r="H69" s="7"/>
      <c r="I69" s="93">
        <f t="shared" si="60"/>
        <v>0</v>
      </c>
      <c r="J69" s="7"/>
      <c r="K69" s="93">
        <f t="shared" si="60"/>
        <v>0</v>
      </c>
      <c r="L69" s="7"/>
      <c r="M69" s="93">
        <f t="shared" si="74"/>
        <v>0</v>
      </c>
      <c r="N69" s="7"/>
      <c r="O69" s="93">
        <f t="shared" si="75"/>
        <v>0</v>
      </c>
      <c r="P69" s="7"/>
      <c r="Q69" s="93">
        <f t="shared" si="76"/>
        <v>0</v>
      </c>
      <c r="R69" s="7"/>
      <c r="S69" s="93">
        <f t="shared" si="77"/>
        <v>0</v>
      </c>
      <c r="T69" s="7"/>
      <c r="U69" s="93">
        <f t="shared" si="78"/>
        <v>0</v>
      </c>
      <c r="V69" s="7"/>
      <c r="W69" s="93">
        <f t="shared" si="79"/>
        <v>0</v>
      </c>
      <c r="X69" s="7"/>
      <c r="Y69" s="93">
        <f t="shared" si="80"/>
        <v>0</v>
      </c>
      <c r="Z69" s="7"/>
      <c r="AA69" s="93">
        <f t="shared" si="81"/>
        <v>0</v>
      </c>
      <c r="AB69" s="7"/>
      <c r="AC69" s="93">
        <f t="shared" si="82"/>
        <v>0</v>
      </c>
      <c r="AD69" s="7"/>
      <c r="AE69" s="93">
        <f t="shared" si="83"/>
        <v>0</v>
      </c>
      <c r="AF69" s="94">
        <f t="shared" ref="AF69:AF142" si="105">(AD69+AB69+Z69+X69+V69+T69+R69+P69+N69+L69+J69+H69)/1</f>
        <v>0</v>
      </c>
      <c r="AG69" s="95">
        <f t="shared" ref="AG69:AG142" si="106">AF69*$E69</f>
        <v>0</v>
      </c>
      <c r="AH69" s="7"/>
      <c r="AI69" s="93">
        <f t="shared" si="84"/>
        <v>0</v>
      </c>
      <c r="AJ69" s="7"/>
      <c r="AK69" s="93">
        <f t="shared" si="85"/>
        <v>0</v>
      </c>
      <c r="AL69" s="7"/>
      <c r="AM69" s="93">
        <f t="shared" si="86"/>
        <v>0</v>
      </c>
      <c r="AN69" s="7"/>
      <c r="AO69" s="93">
        <f t="shared" si="87"/>
        <v>0</v>
      </c>
      <c r="AP69" s="7"/>
      <c r="AQ69" s="93">
        <f t="shared" si="88"/>
        <v>0</v>
      </c>
      <c r="AR69" s="7"/>
      <c r="AS69" s="93">
        <f t="shared" si="89"/>
        <v>0</v>
      </c>
      <c r="AT69" s="7"/>
      <c r="AU69" s="93">
        <f t="shared" si="90"/>
        <v>0</v>
      </c>
      <c r="AV69" s="7"/>
      <c r="AW69" s="93">
        <f t="shared" si="91"/>
        <v>0</v>
      </c>
      <c r="AX69" s="7"/>
      <c r="AY69" s="93">
        <f t="shared" si="92"/>
        <v>0</v>
      </c>
      <c r="AZ69" s="7"/>
      <c r="BA69" s="93">
        <f t="shared" si="93"/>
        <v>0</v>
      </c>
      <c r="BB69" s="7"/>
      <c r="BC69" s="93">
        <f t="shared" si="94"/>
        <v>0</v>
      </c>
      <c r="BD69" s="7"/>
      <c r="BE69" s="93">
        <f t="shared" si="95"/>
        <v>0</v>
      </c>
      <c r="BF69" s="94">
        <f t="shared" ref="BF69:BF142" si="107">(BD69+BB69+AZ69+AX69+AV69+AT69+AR69+AP69+AN69+AL69+AJ69+AH69)/1</f>
        <v>0</v>
      </c>
      <c r="BG69" s="95">
        <f t="shared" ref="BG69:BG142" si="108">BF69*$E69</f>
        <v>0</v>
      </c>
      <c r="BH69" s="7"/>
      <c r="BI69" s="93">
        <f t="shared" si="96"/>
        <v>0</v>
      </c>
      <c r="BJ69" s="7"/>
      <c r="BK69" s="93">
        <f t="shared" si="97"/>
        <v>0</v>
      </c>
      <c r="BL69" s="7"/>
      <c r="BM69" s="93">
        <f t="shared" si="61"/>
        <v>0</v>
      </c>
      <c r="BN69" s="7"/>
      <c r="BO69" s="93">
        <f t="shared" si="61"/>
        <v>0</v>
      </c>
      <c r="BP69" s="7"/>
      <c r="BQ69" s="93">
        <f t="shared" si="61"/>
        <v>0</v>
      </c>
      <c r="BR69" s="7"/>
      <c r="BS69" s="93">
        <f t="shared" si="61"/>
        <v>0</v>
      </c>
      <c r="BT69" s="7"/>
      <c r="BU69" s="93">
        <f t="shared" si="98"/>
        <v>0</v>
      </c>
      <c r="BV69" s="7"/>
      <c r="BW69" s="93">
        <f t="shared" si="99"/>
        <v>0</v>
      </c>
      <c r="BX69" s="7"/>
      <c r="BY69" s="93">
        <f t="shared" si="100"/>
        <v>0</v>
      </c>
      <c r="BZ69" s="7"/>
      <c r="CA69" s="93">
        <f t="shared" si="101"/>
        <v>0</v>
      </c>
      <c r="CB69" s="7"/>
      <c r="CC69" s="93">
        <f t="shared" si="102"/>
        <v>0</v>
      </c>
      <c r="CD69" s="7"/>
      <c r="CE69" s="93">
        <f t="shared" si="103"/>
        <v>0</v>
      </c>
      <c r="CF69" s="94">
        <f t="shared" ref="CF69:CF142" si="109">(CD69+CB69+BZ69+BX69+BV69+BT69+BR69+BP69+BN69+BL69+BJ69+BH69)/1</f>
        <v>0</v>
      </c>
      <c r="CG69" s="95">
        <f t="shared" ref="CG69:CG142" si="110">CF69*$E69</f>
        <v>0</v>
      </c>
      <c r="CH69" s="7"/>
      <c r="CI69" s="93">
        <f t="shared" ref="CI69:CI142" si="111">CH69*$E69</f>
        <v>0</v>
      </c>
      <c r="CJ69" s="7"/>
      <c r="CK69" s="93">
        <f t="shared" ref="CK69:CK142" si="112">CJ69*$E69</f>
        <v>0</v>
      </c>
      <c r="CL69" s="7"/>
      <c r="CM69" s="93">
        <f t="shared" ref="CM69:CM142" si="113">CL69*$E69</f>
        <v>0</v>
      </c>
      <c r="CN69" s="7"/>
      <c r="CO69" s="93">
        <f t="shared" ref="CO69:CO142" si="114">CN69*$E69</f>
        <v>0</v>
      </c>
      <c r="CP69" s="7"/>
      <c r="CQ69" s="93">
        <f t="shared" ref="CQ69:CQ142" si="115">CP69*$E69</f>
        <v>0</v>
      </c>
      <c r="CR69" s="7"/>
      <c r="CS69" s="93">
        <f t="shared" ref="CS69:CS142" si="116">CR69*$E69</f>
        <v>0</v>
      </c>
      <c r="CT69" s="7"/>
      <c r="CU69" s="93">
        <f t="shared" ref="CU69:CU142" si="117">CT69*$E69</f>
        <v>0</v>
      </c>
      <c r="CV69" s="7"/>
      <c r="CW69" s="93">
        <f t="shared" ref="CW69:CW142" si="118">CV69*$E69</f>
        <v>0</v>
      </c>
      <c r="CX69" s="7"/>
      <c r="CY69" s="93">
        <v>0</v>
      </c>
      <c r="CZ69" s="7"/>
      <c r="DA69" s="93">
        <v>0</v>
      </c>
      <c r="DB69" s="7"/>
      <c r="DC69" s="93">
        <v>0</v>
      </c>
      <c r="DD69" s="7"/>
      <c r="DE69" s="93">
        <v>0</v>
      </c>
      <c r="DF69" s="97">
        <f t="shared" si="104"/>
        <v>0</v>
      </c>
      <c r="DG69" s="98">
        <f t="shared" ref="DG69:DG142" si="119">DF69*$E69</f>
        <v>0</v>
      </c>
      <c r="DH69" s="79"/>
      <c r="DI69" s="79">
        <v>0</v>
      </c>
      <c r="DJ69" s="154"/>
      <c r="DK69" s="212">
        <f t="shared" si="55"/>
        <v>0</v>
      </c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99">
        <f t="shared" ref="EF69:EF134" si="120">SUM(DH69,DJ69,DL69,DN69,DP69,DR69,DT69,DV69,DX69,DZ69,EB69,ED69)</f>
        <v>0</v>
      </c>
      <c r="EG69" s="99">
        <f t="shared" ref="EG69:EG134" si="121">SUM(DI69,DK69,DM69,DO69,DQ69,DS69,DU69,DW69,DY69,EA69,EC69,EE69)</f>
        <v>0</v>
      </c>
    </row>
    <row r="70" spans="1:137" ht="20.100000000000001" customHeight="1">
      <c r="A70" s="63">
        <v>57</v>
      </c>
      <c r="B70" s="63" t="s">
        <v>65</v>
      </c>
      <c r="C70" s="63" t="s">
        <v>17</v>
      </c>
      <c r="D70" s="63">
        <f>RANK(DF70,$DF$4:$DF$144)</f>
        <v>35</v>
      </c>
      <c r="E70" s="63">
        <v>1</v>
      </c>
      <c r="F70" s="63" t="s">
        <v>15</v>
      </c>
      <c r="G70" s="63"/>
      <c r="H70" s="7"/>
      <c r="I70" s="93">
        <f t="shared" si="60"/>
        <v>0</v>
      </c>
      <c r="J70" s="7"/>
      <c r="K70" s="93">
        <f t="shared" si="60"/>
        <v>0</v>
      </c>
      <c r="L70" s="7"/>
      <c r="M70" s="93">
        <f t="shared" si="74"/>
        <v>0</v>
      </c>
      <c r="N70" s="7"/>
      <c r="O70" s="93">
        <f t="shared" si="75"/>
        <v>0</v>
      </c>
      <c r="P70" s="7"/>
      <c r="Q70" s="93">
        <f t="shared" si="76"/>
        <v>0</v>
      </c>
      <c r="R70" s="7"/>
      <c r="S70" s="93">
        <f t="shared" si="77"/>
        <v>0</v>
      </c>
      <c r="T70" s="7"/>
      <c r="U70" s="93">
        <f t="shared" si="78"/>
        <v>0</v>
      </c>
      <c r="V70" s="7"/>
      <c r="W70" s="93">
        <f t="shared" si="79"/>
        <v>0</v>
      </c>
      <c r="X70" s="7"/>
      <c r="Y70" s="93">
        <f t="shared" si="80"/>
        <v>0</v>
      </c>
      <c r="Z70" s="7"/>
      <c r="AA70" s="93">
        <f t="shared" si="81"/>
        <v>0</v>
      </c>
      <c r="AB70" s="7"/>
      <c r="AC70" s="93">
        <f t="shared" si="82"/>
        <v>0</v>
      </c>
      <c r="AD70" s="7"/>
      <c r="AE70" s="93">
        <f t="shared" si="83"/>
        <v>0</v>
      </c>
      <c r="AF70" s="94">
        <f t="shared" si="105"/>
        <v>0</v>
      </c>
      <c r="AG70" s="95">
        <f t="shared" si="106"/>
        <v>0</v>
      </c>
      <c r="AH70" s="7"/>
      <c r="AI70" s="93">
        <f t="shared" si="84"/>
        <v>0</v>
      </c>
      <c r="AJ70" s="7"/>
      <c r="AK70" s="93">
        <f t="shared" si="85"/>
        <v>0</v>
      </c>
      <c r="AL70" s="7"/>
      <c r="AM70" s="93">
        <f t="shared" si="86"/>
        <v>0</v>
      </c>
      <c r="AN70" s="7"/>
      <c r="AO70" s="93">
        <f t="shared" si="87"/>
        <v>0</v>
      </c>
      <c r="AP70" s="7"/>
      <c r="AQ70" s="93">
        <f t="shared" si="88"/>
        <v>0</v>
      </c>
      <c r="AR70" s="7"/>
      <c r="AS70" s="93">
        <f t="shared" si="89"/>
        <v>0</v>
      </c>
      <c r="AT70" s="7"/>
      <c r="AU70" s="93">
        <f t="shared" si="90"/>
        <v>0</v>
      </c>
      <c r="AV70" s="7"/>
      <c r="AW70" s="93">
        <f t="shared" si="91"/>
        <v>0</v>
      </c>
      <c r="AX70" s="7"/>
      <c r="AY70" s="93">
        <f t="shared" si="92"/>
        <v>0</v>
      </c>
      <c r="AZ70" s="7"/>
      <c r="BA70" s="93">
        <f t="shared" si="93"/>
        <v>0</v>
      </c>
      <c r="BB70" s="7"/>
      <c r="BC70" s="93">
        <f t="shared" si="94"/>
        <v>0</v>
      </c>
      <c r="BD70" s="7"/>
      <c r="BE70" s="93">
        <f t="shared" si="95"/>
        <v>0</v>
      </c>
      <c r="BF70" s="94">
        <f t="shared" si="107"/>
        <v>0</v>
      </c>
      <c r="BG70" s="95">
        <f t="shared" si="108"/>
        <v>0</v>
      </c>
      <c r="BH70" s="7"/>
      <c r="BI70" s="93">
        <f t="shared" si="96"/>
        <v>0</v>
      </c>
      <c r="BJ70" s="7"/>
      <c r="BK70" s="93">
        <f t="shared" si="97"/>
        <v>0</v>
      </c>
      <c r="BL70" s="7"/>
      <c r="BM70" s="93">
        <f t="shared" si="61"/>
        <v>0</v>
      </c>
      <c r="BN70" s="7"/>
      <c r="BO70" s="93">
        <f t="shared" si="61"/>
        <v>0</v>
      </c>
      <c r="BP70" s="7"/>
      <c r="BQ70" s="93">
        <f t="shared" si="61"/>
        <v>0</v>
      </c>
      <c r="BR70" s="7"/>
      <c r="BS70" s="93">
        <f t="shared" si="61"/>
        <v>0</v>
      </c>
      <c r="BT70" s="7"/>
      <c r="BU70" s="93">
        <f t="shared" si="61"/>
        <v>0</v>
      </c>
      <c r="BV70" s="7"/>
      <c r="BW70" s="93">
        <f t="shared" si="61"/>
        <v>0</v>
      </c>
      <c r="BX70" s="7"/>
      <c r="BY70" s="93">
        <f t="shared" si="61"/>
        <v>0</v>
      </c>
      <c r="BZ70" s="7"/>
      <c r="CA70" s="93">
        <f t="shared" si="61"/>
        <v>0</v>
      </c>
      <c r="CB70" s="7"/>
      <c r="CC70" s="93">
        <f t="shared" si="102"/>
        <v>0</v>
      </c>
      <c r="CD70" s="7"/>
      <c r="CE70" s="93">
        <f t="shared" si="102"/>
        <v>0</v>
      </c>
      <c r="CF70" s="94">
        <f t="shared" si="109"/>
        <v>0</v>
      </c>
      <c r="CG70" s="95">
        <f t="shared" si="110"/>
        <v>0</v>
      </c>
      <c r="CH70" s="7"/>
      <c r="CI70" s="93">
        <f t="shared" si="111"/>
        <v>0</v>
      </c>
      <c r="CJ70" s="7"/>
      <c r="CK70" s="93">
        <f t="shared" si="112"/>
        <v>0</v>
      </c>
      <c r="CL70" s="7"/>
      <c r="CM70" s="93">
        <f t="shared" si="113"/>
        <v>0</v>
      </c>
      <c r="CN70" s="7"/>
      <c r="CO70" s="93">
        <f t="shared" si="114"/>
        <v>0</v>
      </c>
      <c r="CP70" s="7"/>
      <c r="CQ70" s="93">
        <f t="shared" si="115"/>
        <v>0</v>
      </c>
      <c r="CR70" s="7"/>
      <c r="CS70" s="93">
        <f t="shared" si="116"/>
        <v>0</v>
      </c>
      <c r="CT70" s="7"/>
      <c r="CU70" s="93">
        <f t="shared" si="117"/>
        <v>0</v>
      </c>
      <c r="CV70" s="7"/>
      <c r="CW70" s="93">
        <f t="shared" si="118"/>
        <v>0</v>
      </c>
      <c r="CX70" s="7"/>
      <c r="CY70" s="93">
        <v>0</v>
      </c>
      <c r="CZ70" s="7"/>
      <c r="DA70" s="93">
        <v>0</v>
      </c>
      <c r="DB70" s="7"/>
      <c r="DC70" s="93">
        <v>0</v>
      </c>
      <c r="DD70" s="7"/>
      <c r="DE70" s="93">
        <v>0</v>
      </c>
      <c r="DF70" s="97">
        <f t="shared" si="104"/>
        <v>0</v>
      </c>
      <c r="DG70" s="98">
        <f t="shared" si="119"/>
        <v>0</v>
      </c>
      <c r="DH70" s="79"/>
      <c r="DI70" s="79">
        <v>0</v>
      </c>
      <c r="DJ70" s="154"/>
      <c r="DK70" s="212">
        <f t="shared" si="55"/>
        <v>0</v>
      </c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99">
        <f t="shared" si="120"/>
        <v>0</v>
      </c>
      <c r="EG70" s="99">
        <f t="shared" si="121"/>
        <v>0</v>
      </c>
    </row>
    <row r="71" spans="1:137" ht="20.100000000000001" customHeight="1">
      <c r="A71" s="63">
        <v>58</v>
      </c>
      <c r="B71" s="63" t="s">
        <v>66</v>
      </c>
      <c r="C71" s="63" t="s">
        <v>17</v>
      </c>
      <c r="D71" s="63">
        <f>RANK(DF71,$DF$4:$DF$144)</f>
        <v>35</v>
      </c>
      <c r="E71" s="63">
        <v>0.6</v>
      </c>
      <c r="F71" s="63" t="s">
        <v>15</v>
      </c>
      <c r="G71" s="63"/>
      <c r="H71" s="7"/>
      <c r="I71" s="93">
        <f t="shared" si="60"/>
        <v>0</v>
      </c>
      <c r="J71" s="7"/>
      <c r="K71" s="93">
        <f t="shared" si="60"/>
        <v>0</v>
      </c>
      <c r="L71" s="7"/>
      <c r="M71" s="93">
        <f t="shared" si="74"/>
        <v>0</v>
      </c>
      <c r="N71" s="7"/>
      <c r="O71" s="93">
        <f t="shared" si="75"/>
        <v>0</v>
      </c>
      <c r="P71" s="7"/>
      <c r="Q71" s="93">
        <f t="shared" si="76"/>
        <v>0</v>
      </c>
      <c r="R71" s="7"/>
      <c r="S71" s="93">
        <f t="shared" si="77"/>
        <v>0</v>
      </c>
      <c r="T71" s="7"/>
      <c r="U71" s="93">
        <f t="shared" si="78"/>
        <v>0</v>
      </c>
      <c r="V71" s="7"/>
      <c r="W71" s="93">
        <f t="shared" si="79"/>
        <v>0</v>
      </c>
      <c r="X71" s="7"/>
      <c r="Y71" s="93">
        <f t="shared" si="80"/>
        <v>0</v>
      </c>
      <c r="Z71" s="7"/>
      <c r="AA71" s="93">
        <f t="shared" si="81"/>
        <v>0</v>
      </c>
      <c r="AB71" s="7"/>
      <c r="AC71" s="93">
        <f t="shared" si="82"/>
        <v>0</v>
      </c>
      <c r="AD71" s="7"/>
      <c r="AE71" s="93">
        <f t="shared" si="83"/>
        <v>0</v>
      </c>
      <c r="AF71" s="94">
        <f t="shared" si="105"/>
        <v>0</v>
      </c>
      <c r="AG71" s="95">
        <f t="shared" si="106"/>
        <v>0</v>
      </c>
      <c r="AH71" s="7"/>
      <c r="AI71" s="93">
        <f t="shared" si="84"/>
        <v>0</v>
      </c>
      <c r="AJ71" s="7"/>
      <c r="AK71" s="93">
        <f t="shared" si="85"/>
        <v>0</v>
      </c>
      <c r="AL71" s="7"/>
      <c r="AM71" s="93">
        <f t="shared" si="86"/>
        <v>0</v>
      </c>
      <c r="AN71" s="7"/>
      <c r="AO71" s="93">
        <f t="shared" si="87"/>
        <v>0</v>
      </c>
      <c r="AP71" s="7"/>
      <c r="AQ71" s="93">
        <f t="shared" si="88"/>
        <v>0</v>
      </c>
      <c r="AR71" s="7"/>
      <c r="AS71" s="93">
        <f t="shared" si="89"/>
        <v>0</v>
      </c>
      <c r="AT71" s="7"/>
      <c r="AU71" s="93">
        <f t="shared" si="90"/>
        <v>0</v>
      </c>
      <c r="AV71" s="7"/>
      <c r="AW71" s="93">
        <f t="shared" si="91"/>
        <v>0</v>
      </c>
      <c r="AX71" s="7"/>
      <c r="AY71" s="93">
        <f t="shared" si="92"/>
        <v>0</v>
      </c>
      <c r="AZ71" s="7"/>
      <c r="BA71" s="93">
        <f t="shared" si="93"/>
        <v>0</v>
      </c>
      <c r="BB71" s="7"/>
      <c r="BC71" s="93">
        <f t="shared" si="94"/>
        <v>0</v>
      </c>
      <c r="BD71" s="7"/>
      <c r="BE71" s="93">
        <f t="shared" si="95"/>
        <v>0</v>
      </c>
      <c r="BF71" s="94">
        <f t="shared" si="107"/>
        <v>0</v>
      </c>
      <c r="BG71" s="95">
        <f t="shared" si="108"/>
        <v>0</v>
      </c>
      <c r="BH71" s="7"/>
      <c r="BI71" s="93">
        <f t="shared" si="96"/>
        <v>0</v>
      </c>
      <c r="BJ71" s="7"/>
      <c r="BK71" s="93">
        <f t="shared" si="97"/>
        <v>0</v>
      </c>
      <c r="BL71" s="7"/>
      <c r="BM71" s="93">
        <f t="shared" si="61"/>
        <v>0</v>
      </c>
      <c r="BN71" s="7"/>
      <c r="BO71" s="93">
        <f t="shared" si="61"/>
        <v>0</v>
      </c>
      <c r="BP71" s="7"/>
      <c r="BQ71" s="93">
        <f t="shared" si="61"/>
        <v>0</v>
      </c>
      <c r="BR71" s="7"/>
      <c r="BS71" s="93">
        <f t="shared" si="61"/>
        <v>0</v>
      </c>
      <c r="BT71" s="7"/>
      <c r="BU71" s="93">
        <f t="shared" si="61"/>
        <v>0</v>
      </c>
      <c r="BV71" s="7"/>
      <c r="BW71" s="93">
        <f t="shared" si="61"/>
        <v>0</v>
      </c>
      <c r="BX71" s="7"/>
      <c r="BY71" s="93">
        <f t="shared" si="61"/>
        <v>0</v>
      </c>
      <c r="BZ71" s="7"/>
      <c r="CA71" s="93">
        <f t="shared" si="61"/>
        <v>0</v>
      </c>
      <c r="CB71" s="7"/>
      <c r="CC71" s="93">
        <f t="shared" si="102"/>
        <v>0</v>
      </c>
      <c r="CD71" s="7"/>
      <c r="CE71" s="93">
        <f t="shared" si="102"/>
        <v>0</v>
      </c>
      <c r="CF71" s="94">
        <f t="shared" si="109"/>
        <v>0</v>
      </c>
      <c r="CG71" s="95">
        <f t="shared" si="110"/>
        <v>0</v>
      </c>
      <c r="CH71" s="7"/>
      <c r="CI71" s="93">
        <f t="shared" si="111"/>
        <v>0</v>
      </c>
      <c r="CJ71" s="7"/>
      <c r="CK71" s="93">
        <f t="shared" si="112"/>
        <v>0</v>
      </c>
      <c r="CL71" s="7"/>
      <c r="CM71" s="93">
        <f t="shared" si="113"/>
        <v>0</v>
      </c>
      <c r="CN71" s="7"/>
      <c r="CO71" s="93">
        <f t="shared" si="114"/>
        <v>0</v>
      </c>
      <c r="CP71" s="7"/>
      <c r="CQ71" s="93">
        <f t="shared" si="115"/>
        <v>0</v>
      </c>
      <c r="CR71" s="7"/>
      <c r="CS71" s="93">
        <f t="shared" si="116"/>
        <v>0</v>
      </c>
      <c r="CT71" s="7"/>
      <c r="CU71" s="93">
        <f t="shared" si="117"/>
        <v>0</v>
      </c>
      <c r="CV71" s="7"/>
      <c r="CW71" s="93">
        <f t="shared" si="118"/>
        <v>0</v>
      </c>
      <c r="CX71" s="7"/>
      <c r="CY71" s="93">
        <v>0</v>
      </c>
      <c r="CZ71" s="7"/>
      <c r="DA71" s="93">
        <v>0</v>
      </c>
      <c r="DB71" s="7"/>
      <c r="DC71" s="93">
        <v>0</v>
      </c>
      <c r="DD71" s="7"/>
      <c r="DE71" s="93">
        <v>0</v>
      </c>
      <c r="DF71" s="97">
        <f t="shared" si="104"/>
        <v>0</v>
      </c>
      <c r="DG71" s="98">
        <f t="shared" si="119"/>
        <v>0</v>
      </c>
      <c r="DH71" s="79"/>
      <c r="DI71" s="79">
        <v>0</v>
      </c>
      <c r="DJ71" s="154"/>
      <c r="DK71" s="212">
        <f t="shared" si="55"/>
        <v>0</v>
      </c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99">
        <f t="shared" si="120"/>
        <v>0</v>
      </c>
      <c r="EG71" s="99">
        <f t="shared" si="121"/>
        <v>0</v>
      </c>
    </row>
    <row r="72" spans="1:137" ht="20.100000000000001" customHeight="1">
      <c r="A72" s="63">
        <v>59</v>
      </c>
      <c r="B72" s="63" t="s">
        <v>67</v>
      </c>
      <c r="C72" s="63" t="s">
        <v>14</v>
      </c>
      <c r="D72" s="63">
        <f>RANK(DF72,$DF$4:$DF$144)</f>
        <v>35</v>
      </c>
      <c r="E72" s="63">
        <v>0.64</v>
      </c>
      <c r="F72" s="63" t="s">
        <v>25</v>
      </c>
      <c r="G72" s="63"/>
      <c r="H72" s="7"/>
      <c r="I72" s="93">
        <f t="shared" si="60"/>
        <v>0</v>
      </c>
      <c r="J72" s="7"/>
      <c r="K72" s="93">
        <f t="shared" si="60"/>
        <v>0</v>
      </c>
      <c r="L72" s="7"/>
      <c r="M72" s="93">
        <f t="shared" si="74"/>
        <v>0</v>
      </c>
      <c r="N72" s="7"/>
      <c r="O72" s="93">
        <f t="shared" si="75"/>
        <v>0</v>
      </c>
      <c r="P72" s="7"/>
      <c r="Q72" s="93">
        <f t="shared" si="76"/>
        <v>0</v>
      </c>
      <c r="R72" s="7"/>
      <c r="S72" s="93">
        <f t="shared" si="77"/>
        <v>0</v>
      </c>
      <c r="T72" s="7"/>
      <c r="U72" s="93">
        <f t="shared" si="78"/>
        <v>0</v>
      </c>
      <c r="V72" s="7"/>
      <c r="W72" s="93">
        <f t="shared" si="79"/>
        <v>0</v>
      </c>
      <c r="X72" s="7"/>
      <c r="Y72" s="93">
        <f t="shared" si="80"/>
        <v>0</v>
      </c>
      <c r="Z72" s="7"/>
      <c r="AA72" s="93">
        <f t="shared" si="81"/>
        <v>0</v>
      </c>
      <c r="AB72" s="7"/>
      <c r="AC72" s="93">
        <f t="shared" si="82"/>
        <v>0</v>
      </c>
      <c r="AD72" s="7"/>
      <c r="AE72" s="93">
        <f t="shared" si="83"/>
        <v>0</v>
      </c>
      <c r="AF72" s="94">
        <f t="shared" si="105"/>
        <v>0</v>
      </c>
      <c r="AG72" s="95">
        <f t="shared" si="106"/>
        <v>0</v>
      </c>
      <c r="AH72" s="7"/>
      <c r="AI72" s="93">
        <f t="shared" si="84"/>
        <v>0</v>
      </c>
      <c r="AJ72" s="7"/>
      <c r="AK72" s="93">
        <f t="shared" si="85"/>
        <v>0</v>
      </c>
      <c r="AL72" s="7"/>
      <c r="AM72" s="93">
        <f t="shared" si="86"/>
        <v>0</v>
      </c>
      <c r="AN72" s="7"/>
      <c r="AO72" s="93">
        <f t="shared" si="87"/>
        <v>0</v>
      </c>
      <c r="AP72" s="7"/>
      <c r="AQ72" s="93">
        <f t="shared" si="88"/>
        <v>0</v>
      </c>
      <c r="AR72" s="7"/>
      <c r="AS72" s="93">
        <f t="shared" si="89"/>
        <v>0</v>
      </c>
      <c r="AT72" s="7"/>
      <c r="AU72" s="93">
        <f t="shared" si="90"/>
        <v>0</v>
      </c>
      <c r="AV72" s="7"/>
      <c r="AW72" s="93">
        <f t="shared" si="91"/>
        <v>0</v>
      </c>
      <c r="AX72" s="7"/>
      <c r="AY72" s="93">
        <f t="shared" si="92"/>
        <v>0</v>
      </c>
      <c r="AZ72" s="7"/>
      <c r="BA72" s="93">
        <f t="shared" si="93"/>
        <v>0</v>
      </c>
      <c r="BB72" s="7"/>
      <c r="BC72" s="93">
        <f t="shared" si="94"/>
        <v>0</v>
      </c>
      <c r="BD72" s="7"/>
      <c r="BE72" s="93">
        <f t="shared" si="95"/>
        <v>0</v>
      </c>
      <c r="BF72" s="94">
        <f t="shared" si="107"/>
        <v>0</v>
      </c>
      <c r="BG72" s="95">
        <f t="shared" si="108"/>
        <v>0</v>
      </c>
      <c r="BH72" s="7"/>
      <c r="BI72" s="93">
        <f t="shared" si="96"/>
        <v>0</v>
      </c>
      <c r="BJ72" s="7"/>
      <c r="BK72" s="93">
        <f t="shared" si="97"/>
        <v>0</v>
      </c>
      <c r="BL72" s="7"/>
      <c r="BM72" s="93">
        <f t="shared" si="61"/>
        <v>0</v>
      </c>
      <c r="BN72" s="7"/>
      <c r="BO72" s="93">
        <f t="shared" si="61"/>
        <v>0</v>
      </c>
      <c r="BP72" s="7"/>
      <c r="BQ72" s="93">
        <f t="shared" si="61"/>
        <v>0</v>
      </c>
      <c r="BR72" s="7"/>
      <c r="BS72" s="93">
        <f t="shared" si="61"/>
        <v>0</v>
      </c>
      <c r="BT72" s="7"/>
      <c r="BU72" s="93">
        <f t="shared" si="61"/>
        <v>0</v>
      </c>
      <c r="BV72" s="7"/>
      <c r="BW72" s="93">
        <f t="shared" si="61"/>
        <v>0</v>
      </c>
      <c r="BX72" s="7"/>
      <c r="BY72" s="93">
        <f t="shared" si="61"/>
        <v>0</v>
      </c>
      <c r="BZ72" s="7"/>
      <c r="CA72" s="93">
        <f t="shared" si="61"/>
        <v>0</v>
      </c>
      <c r="CB72" s="7"/>
      <c r="CC72" s="93">
        <f t="shared" si="102"/>
        <v>0</v>
      </c>
      <c r="CD72" s="7"/>
      <c r="CE72" s="93">
        <f t="shared" si="102"/>
        <v>0</v>
      </c>
      <c r="CF72" s="94">
        <f t="shared" si="109"/>
        <v>0</v>
      </c>
      <c r="CG72" s="95">
        <f t="shared" si="110"/>
        <v>0</v>
      </c>
      <c r="CH72" s="7"/>
      <c r="CI72" s="93">
        <f t="shared" si="111"/>
        <v>0</v>
      </c>
      <c r="CJ72" s="7"/>
      <c r="CK72" s="93">
        <f t="shared" si="112"/>
        <v>0</v>
      </c>
      <c r="CL72" s="7"/>
      <c r="CM72" s="93">
        <f t="shared" si="113"/>
        <v>0</v>
      </c>
      <c r="CN72" s="7"/>
      <c r="CO72" s="93">
        <f t="shared" si="114"/>
        <v>0</v>
      </c>
      <c r="CP72" s="7"/>
      <c r="CQ72" s="93">
        <f t="shared" si="115"/>
        <v>0</v>
      </c>
      <c r="CR72" s="7"/>
      <c r="CS72" s="93">
        <f t="shared" si="116"/>
        <v>0</v>
      </c>
      <c r="CT72" s="7"/>
      <c r="CU72" s="93">
        <f t="shared" si="117"/>
        <v>0</v>
      </c>
      <c r="CV72" s="7"/>
      <c r="CW72" s="93">
        <f t="shared" si="118"/>
        <v>0</v>
      </c>
      <c r="CX72" s="7"/>
      <c r="CY72" s="93">
        <v>0</v>
      </c>
      <c r="CZ72" s="7"/>
      <c r="DA72" s="93">
        <v>0</v>
      </c>
      <c r="DB72" s="7"/>
      <c r="DC72" s="93">
        <v>0</v>
      </c>
      <c r="DD72" s="7"/>
      <c r="DE72" s="93">
        <v>0</v>
      </c>
      <c r="DF72" s="97">
        <f t="shared" si="104"/>
        <v>0</v>
      </c>
      <c r="DG72" s="98">
        <f t="shared" si="119"/>
        <v>0</v>
      </c>
      <c r="DH72" s="79"/>
      <c r="DI72" s="79">
        <v>0</v>
      </c>
      <c r="DJ72" s="154"/>
      <c r="DK72" s="212">
        <f t="shared" si="55"/>
        <v>0</v>
      </c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99">
        <f t="shared" si="120"/>
        <v>0</v>
      </c>
      <c r="EG72" s="99">
        <f t="shared" si="121"/>
        <v>0</v>
      </c>
    </row>
    <row r="73" spans="1:137" ht="20.100000000000001" customHeight="1">
      <c r="A73" s="63"/>
      <c r="B73" s="63"/>
      <c r="C73" s="63"/>
      <c r="D73" s="63"/>
      <c r="E73" s="63"/>
      <c r="F73" s="63"/>
      <c r="G73" s="63"/>
      <c r="H73" s="7"/>
      <c r="I73" s="93">
        <f t="shared" si="60"/>
        <v>0</v>
      </c>
      <c r="J73" s="7"/>
      <c r="K73" s="93">
        <f t="shared" si="60"/>
        <v>0</v>
      </c>
      <c r="L73" s="7"/>
      <c r="M73" s="93">
        <f t="shared" si="74"/>
        <v>0</v>
      </c>
      <c r="N73" s="7"/>
      <c r="O73" s="93">
        <f t="shared" si="75"/>
        <v>0</v>
      </c>
      <c r="P73" s="7"/>
      <c r="Q73" s="93">
        <f t="shared" si="76"/>
        <v>0</v>
      </c>
      <c r="R73" s="7"/>
      <c r="S73" s="93">
        <f t="shared" si="77"/>
        <v>0</v>
      </c>
      <c r="T73" s="7"/>
      <c r="U73" s="93">
        <f t="shared" si="78"/>
        <v>0</v>
      </c>
      <c r="V73" s="7"/>
      <c r="W73" s="93">
        <f t="shared" si="79"/>
        <v>0</v>
      </c>
      <c r="X73" s="7"/>
      <c r="Y73" s="93">
        <f t="shared" si="80"/>
        <v>0</v>
      </c>
      <c r="Z73" s="7"/>
      <c r="AA73" s="93">
        <f t="shared" si="81"/>
        <v>0</v>
      </c>
      <c r="AB73" s="7"/>
      <c r="AC73" s="93">
        <f t="shared" si="82"/>
        <v>0</v>
      </c>
      <c r="AD73" s="7"/>
      <c r="AE73" s="93">
        <f t="shared" si="83"/>
        <v>0</v>
      </c>
      <c r="AF73" s="94">
        <f t="shared" si="105"/>
        <v>0</v>
      </c>
      <c r="AG73" s="95">
        <f t="shared" si="106"/>
        <v>0</v>
      </c>
      <c r="AH73" s="7"/>
      <c r="AI73" s="93">
        <f t="shared" si="84"/>
        <v>0</v>
      </c>
      <c r="AJ73" s="7"/>
      <c r="AK73" s="93">
        <f t="shared" si="85"/>
        <v>0</v>
      </c>
      <c r="AL73" s="7"/>
      <c r="AM73" s="93">
        <f t="shared" si="86"/>
        <v>0</v>
      </c>
      <c r="AN73" s="7"/>
      <c r="AO73" s="93">
        <f t="shared" si="87"/>
        <v>0</v>
      </c>
      <c r="AP73" s="7"/>
      <c r="AQ73" s="93">
        <f t="shared" si="88"/>
        <v>0</v>
      </c>
      <c r="AR73" s="7"/>
      <c r="AS73" s="93">
        <f t="shared" si="89"/>
        <v>0</v>
      </c>
      <c r="AT73" s="7"/>
      <c r="AU73" s="93">
        <f t="shared" si="90"/>
        <v>0</v>
      </c>
      <c r="AV73" s="7"/>
      <c r="AW73" s="93">
        <f t="shared" si="91"/>
        <v>0</v>
      </c>
      <c r="AX73" s="7"/>
      <c r="AY73" s="93">
        <f t="shared" si="92"/>
        <v>0</v>
      </c>
      <c r="AZ73" s="7"/>
      <c r="BA73" s="93">
        <f t="shared" si="93"/>
        <v>0</v>
      </c>
      <c r="BB73" s="7"/>
      <c r="BC73" s="93">
        <f t="shared" si="94"/>
        <v>0</v>
      </c>
      <c r="BD73" s="7"/>
      <c r="BE73" s="93">
        <f t="shared" si="95"/>
        <v>0</v>
      </c>
      <c r="BF73" s="94">
        <f t="shared" si="107"/>
        <v>0</v>
      </c>
      <c r="BG73" s="95">
        <f t="shared" si="108"/>
        <v>0</v>
      </c>
      <c r="BH73" s="7"/>
      <c r="BI73" s="93">
        <f t="shared" si="96"/>
        <v>0</v>
      </c>
      <c r="BJ73" s="7"/>
      <c r="BK73" s="93">
        <f t="shared" si="97"/>
        <v>0</v>
      </c>
      <c r="BL73" s="7"/>
      <c r="BM73" s="93">
        <f t="shared" si="61"/>
        <v>0</v>
      </c>
      <c r="BN73" s="7"/>
      <c r="BO73" s="93">
        <f t="shared" si="61"/>
        <v>0</v>
      </c>
      <c r="BP73" s="7"/>
      <c r="BQ73" s="93">
        <f t="shared" si="61"/>
        <v>0</v>
      </c>
      <c r="BR73" s="7"/>
      <c r="BS73" s="93">
        <f t="shared" si="61"/>
        <v>0</v>
      </c>
      <c r="BT73" s="7"/>
      <c r="BU73" s="93">
        <f t="shared" si="61"/>
        <v>0</v>
      </c>
      <c r="BV73" s="7"/>
      <c r="BW73" s="93">
        <f t="shared" si="61"/>
        <v>0</v>
      </c>
      <c r="BX73" s="7"/>
      <c r="BY73" s="93">
        <f t="shared" si="61"/>
        <v>0</v>
      </c>
      <c r="BZ73" s="7"/>
      <c r="CA73" s="93">
        <f t="shared" si="61"/>
        <v>0</v>
      </c>
      <c r="CB73" s="7"/>
      <c r="CC73" s="93">
        <f t="shared" si="102"/>
        <v>0</v>
      </c>
      <c r="CD73" s="7"/>
      <c r="CE73" s="93">
        <f t="shared" si="102"/>
        <v>0</v>
      </c>
      <c r="CF73" s="94">
        <f t="shared" si="109"/>
        <v>0</v>
      </c>
      <c r="CG73" s="95">
        <f t="shared" si="110"/>
        <v>0</v>
      </c>
      <c r="CH73" s="7"/>
      <c r="CI73" s="93">
        <f t="shared" si="111"/>
        <v>0</v>
      </c>
      <c r="CJ73" s="7"/>
      <c r="CK73" s="93">
        <f t="shared" si="112"/>
        <v>0</v>
      </c>
      <c r="CL73" s="7"/>
      <c r="CM73" s="93">
        <f t="shared" si="113"/>
        <v>0</v>
      </c>
      <c r="CN73" s="7"/>
      <c r="CO73" s="93">
        <f t="shared" si="114"/>
        <v>0</v>
      </c>
      <c r="CP73" s="7"/>
      <c r="CQ73" s="93">
        <f t="shared" si="115"/>
        <v>0</v>
      </c>
      <c r="CR73" s="7"/>
      <c r="CS73" s="93">
        <f t="shared" si="116"/>
        <v>0</v>
      </c>
      <c r="CT73" s="7"/>
      <c r="CU73" s="93">
        <f t="shared" si="117"/>
        <v>0</v>
      </c>
      <c r="CV73" s="7"/>
      <c r="CW73" s="93">
        <f t="shared" si="118"/>
        <v>0</v>
      </c>
      <c r="CX73" s="7"/>
      <c r="CY73" s="93">
        <v>0</v>
      </c>
      <c r="CZ73" s="7"/>
      <c r="DA73" s="93">
        <v>0</v>
      </c>
      <c r="DB73" s="7"/>
      <c r="DC73" s="93">
        <v>0</v>
      </c>
      <c r="DD73" s="7"/>
      <c r="DE73" s="93">
        <v>0</v>
      </c>
      <c r="DF73" s="97">
        <f t="shared" si="104"/>
        <v>0</v>
      </c>
      <c r="DG73" s="98">
        <f t="shared" si="119"/>
        <v>0</v>
      </c>
      <c r="DH73" s="79"/>
      <c r="DI73" s="79">
        <v>0</v>
      </c>
      <c r="DJ73" s="154"/>
      <c r="DK73" s="212">
        <f t="shared" si="55"/>
        <v>0</v>
      </c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99">
        <f t="shared" si="120"/>
        <v>0</v>
      </c>
      <c r="EG73" s="99">
        <f t="shared" si="121"/>
        <v>0</v>
      </c>
    </row>
    <row r="74" spans="1:137" ht="20.100000000000001" customHeight="1">
      <c r="A74" s="63">
        <v>60</v>
      </c>
      <c r="B74" s="63" t="s">
        <v>68</v>
      </c>
      <c r="C74" s="63" t="s">
        <v>14</v>
      </c>
      <c r="D74" s="63">
        <f>RANK(DF74,$DF$4:$DF$144)</f>
        <v>35</v>
      </c>
      <c r="E74" s="63">
        <v>0.64</v>
      </c>
      <c r="F74" s="63" t="s">
        <v>25</v>
      </c>
      <c r="G74" s="63"/>
      <c r="H74" s="7"/>
      <c r="I74" s="93">
        <f t="shared" si="60"/>
        <v>0</v>
      </c>
      <c r="J74" s="7"/>
      <c r="K74" s="93">
        <f t="shared" si="60"/>
        <v>0</v>
      </c>
      <c r="L74" s="7"/>
      <c r="M74" s="93">
        <f t="shared" si="74"/>
        <v>0</v>
      </c>
      <c r="N74" s="7"/>
      <c r="O74" s="93">
        <f t="shared" si="75"/>
        <v>0</v>
      </c>
      <c r="P74" s="7"/>
      <c r="Q74" s="93">
        <f t="shared" si="76"/>
        <v>0</v>
      </c>
      <c r="R74" s="7"/>
      <c r="S74" s="93">
        <f t="shared" si="77"/>
        <v>0</v>
      </c>
      <c r="T74" s="7"/>
      <c r="U74" s="93">
        <f t="shared" si="78"/>
        <v>0</v>
      </c>
      <c r="V74" s="7"/>
      <c r="W74" s="93">
        <f t="shared" si="79"/>
        <v>0</v>
      </c>
      <c r="X74" s="7"/>
      <c r="Y74" s="93">
        <f t="shared" si="80"/>
        <v>0</v>
      </c>
      <c r="Z74" s="7"/>
      <c r="AA74" s="93">
        <f t="shared" si="81"/>
        <v>0</v>
      </c>
      <c r="AB74" s="7"/>
      <c r="AC74" s="93">
        <f t="shared" si="82"/>
        <v>0</v>
      </c>
      <c r="AD74" s="7"/>
      <c r="AE74" s="93">
        <f t="shared" si="83"/>
        <v>0</v>
      </c>
      <c r="AF74" s="94">
        <f t="shared" si="105"/>
        <v>0</v>
      </c>
      <c r="AG74" s="95">
        <f t="shared" si="106"/>
        <v>0</v>
      </c>
      <c r="AH74" s="7"/>
      <c r="AI74" s="93">
        <f t="shared" si="84"/>
        <v>0</v>
      </c>
      <c r="AJ74" s="7"/>
      <c r="AK74" s="93">
        <f t="shared" si="85"/>
        <v>0</v>
      </c>
      <c r="AL74" s="7"/>
      <c r="AM74" s="93">
        <f t="shared" si="86"/>
        <v>0</v>
      </c>
      <c r="AN74" s="7"/>
      <c r="AO74" s="93">
        <f t="shared" si="87"/>
        <v>0</v>
      </c>
      <c r="AP74" s="7"/>
      <c r="AQ74" s="93">
        <f t="shared" si="88"/>
        <v>0</v>
      </c>
      <c r="AR74" s="7"/>
      <c r="AS74" s="93">
        <f t="shared" si="89"/>
        <v>0</v>
      </c>
      <c r="AT74" s="7"/>
      <c r="AU74" s="93">
        <f t="shared" si="90"/>
        <v>0</v>
      </c>
      <c r="AV74" s="7"/>
      <c r="AW74" s="93">
        <f t="shared" si="91"/>
        <v>0</v>
      </c>
      <c r="AX74" s="7"/>
      <c r="AY74" s="93">
        <f t="shared" si="92"/>
        <v>0</v>
      </c>
      <c r="AZ74" s="7"/>
      <c r="BA74" s="93">
        <f t="shared" si="93"/>
        <v>0</v>
      </c>
      <c r="BB74" s="7"/>
      <c r="BC74" s="93">
        <f t="shared" si="94"/>
        <v>0</v>
      </c>
      <c r="BD74" s="7"/>
      <c r="BE74" s="93">
        <f t="shared" si="95"/>
        <v>0</v>
      </c>
      <c r="BF74" s="94">
        <f t="shared" si="107"/>
        <v>0</v>
      </c>
      <c r="BG74" s="95">
        <f t="shared" si="108"/>
        <v>0</v>
      </c>
      <c r="BH74" s="7"/>
      <c r="BI74" s="93">
        <f t="shared" si="96"/>
        <v>0</v>
      </c>
      <c r="BJ74" s="7"/>
      <c r="BK74" s="93">
        <f t="shared" si="97"/>
        <v>0</v>
      </c>
      <c r="BL74" s="7"/>
      <c r="BM74" s="93">
        <f t="shared" si="61"/>
        <v>0</v>
      </c>
      <c r="BN74" s="7"/>
      <c r="BO74" s="93">
        <f t="shared" si="61"/>
        <v>0</v>
      </c>
      <c r="BP74" s="7"/>
      <c r="BQ74" s="93">
        <f t="shared" si="61"/>
        <v>0</v>
      </c>
      <c r="BR74" s="7"/>
      <c r="BS74" s="93">
        <f t="shared" si="61"/>
        <v>0</v>
      </c>
      <c r="BT74" s="7"/>
      <c r="BU74" s="93">
        <f t="shared" si="61"/>
        <v>0</v>
      </c>
      <c r="BV74" s="7"/>
      <c r="BW74" s="93">
        <f t="shared" si="61"/>
        <v>0</v>
      </c>
      <c r="BX74" s="7"/>
      <c r="BY74" s="93">
        <f t="shared" si="61"/>
        <v>0</v>
      </c>
      <c r="BZ74" s="7"/>
      <c r="CA74" s="93">
        <f t="shared" si="61"/>
        <v>0</v>
      </c>
      <c r="CB74" s="7"/>
      <c r="CC74" s="93">
        <f t="shared" si="102"/>
        <v>0</v>
      </c>
      <c r="CD74" s="7"/>
      <c r="CE74" s="93">
        <f t="shared" si="102"/>
        <v>0</v>
      </c>
      <c r="CF74" s="94">
        <f t="shared" si="109"/>
        <v>0</v>
      </c>
      <c r="CG74" s="95">
        <f t="shared" si="110"/>
        <v>0</v>
      </c>
      <c r="CH74" s="7"/>
      <c r="CI74" s="93">
        <f t="shared" si="111"/>
        <v>0</v>
      </c>
      <c r="CJ74" s="7"/>
      <c r="CK74" s="93">
        <f t="shared" si="112"/>
        <v>0</v>
      </c>
      <c r="CL74" s="7"/>
      <c r="CM74" s="93">
        <f t="shared" si="113"/>
        <v>0</v>
      </c>
      <c r="CN74" s="7"/>
      <c r="CO74" s="93">
        <f t="shared" si="114"/>
        <v>0</v>
      </c>
      <c r="CP74" s="7"/>
      <c r="CQ74" s="93">
        <f t="shared" si="115"/>
        <v>0</v>
      </c>
      <c r="CR74" s="7"/>
      <c r="CS74" s="93">
        <f t="shared" si="116"/>
        <v>0</v>
      </c>
      <c r="CT74" s="7"/>
      <c r="CU74" s="93">
        <f t="shared" si="117"/>
        <v>0</v>
      </c>
      <c r="CV74" s="7"/>
      <c r="CW74" s="93">
        <f t="shared" si="118"/>
        <v>0</v>
      </c>
      <c r="CX74" s="7"/>
      <c r="CY74" s="93">
        <v>0</v>
      </c>
      <c r="CZ74" s="7"/>
      <c r="DA74" s="93">
        <v>0</v>
      </c>
      <c r="DB74" s="7"/>
      <c r="DC74" s="93">
        <v>0</v>
      </c>
      <c r="DD74" s="7"/>
      <c r="DE74" s="93">
        <v>0</v>
      </c>
      <c r="DF74" s="97">
        <f t="shared" si="104"/>
        <v>0</v>
      </c>
      <c r="DG74" s="98">
        <f t="shared" si="119"/>
        <v>0</v>
      </c>
      <c r="DH74" s="79"/>
      <c r="DI74" s="79">
        <v>0</v>
      </c>
      <c r="DJ74" s="154"/>
      <c r="DK74" s="212">
        <f t="shared" ref="DK74:DK112" si="122">DJ74*$E74</f>
        <v>0</v>
      </c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99">
        <f t="shared" si="120"/>
        <v>0</v>
      </c>
      <c r="EG74" s="99">
        <f t="shared" si="121"/>
        <v>0</v>
      </c>
    </row>
    <row r="75" spans="1:137" ht="20.100000000000001" customHeight="1">
      <c r="A75" s="63">
        <v>61</v>
      </c>
      <c r="B75" s="63" t="s">
        <v>68</v>
      </c>
      <c r="C75" s="63" t="s">
        <v>14</v>
      </c>
      <c r="D75" s="63">
        <f>RANK(DF75,$DF$4:$DF$144)</f>
        <v>13</v>
      </c>
      <c r="E75" s="63">
        <v>0.64</v>
      </c>
      <c r="F75" s="63" t="s">
        <v>24</v>
      </c>
      <c r="G75" s="63">
        <v>1330</v>
      </c>
      <c r="H75" s="92">
        <v>12312</v>
      </c>
      <c r="I75" s="93">
        <f t="shared" si="60"/>
        <v>7879.68</v>
      </c>
      <c r="J75" s="92">
        <v>9552</v>
      </c>
      <c r="K75" s="93">
        <f t="shared" si="60"/>
        <v>6113.28</v>
      </c>
      <c r="L75" s="92">
        <v>17280</v>
      </c>
      <c r="M75" s="93">
        <f t="shared" si="74"/>
        <v>11059.2</v>
      </c>
      <c r="N75" s="92">
        <v>8328</v>
      </c>
      <c r="O75" s="93">
        <f t="shared" si="75"/>
        <v>5329.92</v>
      </c>
      <c r="P75" s="92">
        <v>8640</v>
      </c>
      <c r="Q75" s="93">
        <f t="shared" si="76"/>
        <v>5529.6</v>
      </c>
      <c r="R75" s="92">
        <v>15312</v>
      </c>
      <c r="S75" s="93">
        <f t="shared" si="77"/>
        <v>9799.68</v>
      </c>
      <c r="T75" s="92">
        <v>10944</v>
      </c>
      <c r="U75" s="93">
        <f t="shared" si="78"/>
        <v>7004.16</v>
      </c>
      <c r="V75" s="92">
        <v>12888</v>
      </c>
      <c r="W75" s="93">
        <f t="shared" si="79"/>
        <v>8248.32</v>
      </c>
      <c r="X75" s="92">
        <v>11496</v>
      </c>
      <c r="Y75" s="93">
        <f t="shared" si="80"/>
        <v>7357.4400000000005</v>
      </c>
      <c r="Z75" s="92">
        <v>8736</v>
      </c>
      <c r="AA75" s="93">
        <f t="shared" si="81"/>
        <v>5591.04</v>
      </c>
      <c r="AB75" s="92">
        <v>5760</v>
      </c>
      <c r="AC75" s="93">
        <f t="shared" si="82"/>
        <v>3686.4</v>
      </c>
      <c r="AD75" s="92">
        <v>13536</v>
      </c>
      <c r="AE75" s="93">
        <f t="shared" si="83"/>
        <v>8663.0400000000009</v>
      </c>
      <c r="AF75" s="94">
        <f t="shared" si="105"/>
        <v>134784</v>
      </c>
      <c r="AG75" s="95">
        <f t="shared" si="106"/>
        <v>86261.759999999995</v>
      </c>
      <c r="AH75" s="92">
        <v>15072</v>
      </c>
      <c r="AI75" s="93">
        <f t="shared" si="84"/>
        <v>9646.08</v>
      </c>
      <c r="AJ75" s="92">
        <v>5352</v>
      </c>
      <c r="AK75" s="93">
        <f t="shared" si="85"/>
        <v>3425.28</v>
      </c>
      <c r="AL75" s="92">
        <v>11496</v>
      </c>
      <c r="AM75" s="93">
        <f t="shared" si="86"/>
        <v>7357.4400000000005</v>
      </c>
      <c r="AN75" s="92">
        <v>10296</v>
      </c>
      <c r="AO75" s="93">
        <f t="shared" si="87"/>
        <v>6589.4400000000005</v>
      </c>
      <c r="AP75" s="92">
        <v>9336</v>
      </c>
      <c r="AQ75" s="93">
        <f t="shared" si="88"/>
        <v>5975.04</v>
      </c>
      <c r="AR75" s="92">
        <v>11016</v>
      </c>
      <c r="AS75" s="93">
        <f t="shared" si="89"/>
        <v>7050.24</v>
      </c>
      <c r="AT75" s="92">
        <v>13056</v>
      </c>
      <c r="AU75" s="93">
        <f t="shared" si="90"/>
        <v>8355.84</v>
      </c>
      <c r="AV75" s="92">
        <v>14400</v>
      </c>
      <c r="AW75" s="93">
        <f t="shared" si="91"/>
        <v>9216</v>
      </c>
      <c r="AX75" s="92">
        <v>12576</v>
      </c>
      <c r="AY75" s="93">
        <f t="shared" si="92"/>
        <v>8048.64</v>
      </c>
      <c r="AZ75" s="92">
        <v>10680</v>
      </c>
      <c r="BA75" s="93">
        <f t="shared" si="93"/>
        <v>6835.2</v>
      </c>
      <c r="BB75" s="92">
        <v>6942</v>
      </c>
      <c r="BC75" s="93">
        <f t="shared" si="94"/>
        <v>4442.88</v>
      </c>
      <c r="BD75" s="92">
        <v>17568</v>
      </c>
      <c r="BE75" s="93">
        <f t="shared" si="95"/>
        <v>11243.52</v>
      </c>
      <c r="BF75" s="94">
        <f t="shared" si="107"/>
        <v>137790</v>
      </c>
      <c r="BG75" s="95">
        <f t="shared" si="108"/>
        <v>88185.600000000006</v>
      </c>
      <c r="BH75" s="92">
        <v>5832</v>
      </c>
      <c r="BI75" s="93">
        <f t="shared" si="96"/>
        <v>3732.48</v>
      </c>
      <c r="BJ75" s="92">
        <v>7320</v>
      </c>
      <c r="BK75" s="93">
        <f t="shared" si="97"/>
        <v>4684.8</v>
      </c>
      <c r="BL75" s="92">
        <v>12024</v>
      </c>
      <c r="BM75" s="93">
        <f t="shared" si="61"/>
        <v>7695.3600000000006</v>
      </c>
      <c r="BN75" s="92">
        <v>6528</v>
      </c>
      <c r="BO75" s="93">
        <f t="shared" si="61"/>
        <v>4177.92</v>
      </c>
      <c r="BP75" s="92">
        <v>7944</v>
      </c>
      <c r="BQ75" s="93">
        <f t="shared" si="61"/>
        <v>5084.16</v>
      </c>
      <c r="BR75" s="92">
        <v>9492</v>
      </c>
      <c r="BS75" s="93">
        <f t="shared" si="61"/>
        <v>6074.88</v>
      </c>
      <c r="BT75" s="92">
        <v>11832</v>
      </c>
      <c r="BU75" s="93">
        <f t="shared" si="61"/>
        <v>7572.4800000000005</v>
      </c>
      <c r="BV75" s="92">
        <v>12852</v>
      </c>
      <c r="BW75" s="93">
        <f t="shared" si="61"/>
        <v>8225.2800000000007</v>
      </c>
      <c r="BX75" s="92">
        <v>10104</v>
      </c>
      <c r="BY75" s="93">
        <f t="shared" si="61"/>
        <v>6466.56</v>
      </c>
      <c r="BZ75" s="92">
        <v>12240</v>
      </c>
      <c r="CA75" s="93">
        <f t="shared" si="61"/>
        <v>7833.6</v>
      </c>
      <c r="CB75" s="92">
        <v>8880</v>
      </c>
      <c r="CC75" s="93">
        <f t="shared" si="102"/>
        <v>5683.2</v>
      </c>
      <c r="CD75" s="7">
        <v>12951</v>
      </c>
      <c r="CE75" s="93">
        <f t="shared" si="102"/>
        <v>8288.64</v>
      </c>
      <c r="CF75" s="94">
        <f t="shared" si="109"/>
        <v>117999</v>
      </c>
      <c r="CG75" s="95">
        <f t="shared" si="110"/>
        <v>75519.360000000001</v>
      </c>
      <c r="CH75" s="7">
        <v>10968</v>
      </c>
      <c r="CI75" s="93">
        <f t="shared" si="111"/>
        <v>7019.52</v>
      </c>
      <c r="CJ75" s="7">
        <v>10200</v>
      </c>
      <c r="CK75" s="93">
        <f t="shared" si="112"/>
        <v>6528</v>
      </c>
      <c r="CL75" s="7">
        <v>14808</v>
      </c>
      <c r="CM75" s="93">
        <f t="shared" si="113"/>
        <v>9477.1200000000008</v>
      </c>
      <c r="CN75" s="7">
        <v>8928</v>
      </c>
      <c r="CO75" s="93">
        <f t="shared" si="114"/>
        <v>5713.92</v>
      </c>
      <c r="CP75" s="7">
        <v>13152</v>
      </c>
      <c r="CQ75" s="93">
        <f t="shared" si="115"/>
        <v>8417.2800000000007</v>
      </c>
      <c r="CR75" s="7">
        <v>13198</v>
      </c>
      <c r="CS75" s="93">
        <f t="shared" si="116"/>
        <v>8446.7199999999993</v>
      </c>
      <c r="CT75" s="7">
        <v>11976</v>
      </c>
      <c r="CU75" s="93">
        <f t="shared" si="117"/>
        <v>7664.64</v>
      </c>
      <c r="CV75" s="7">
        <v>11280</v>
      </c>
      <c r="CW75" s="93">
        <f t="shared" si="118"/>
        <v>7219.2</v>
      </c>
      <c r="CX75" s="7">
        <v>8160</v>
      </c>
      <c r="CY75" s="93">
        <v>5222.4000000000005</v>
      </c>
      <c r="CZ75" s="7">
        <v>7848</v>
      </c>
      <c r="DA75" s="93">
        <v>5022.72</v>
      </c>
      <c r="DB75" s="7">
        <v>7464</v>
      </c>
      <c r="DC75" s="93">
        <v>4776.96</v>
      </c>
      <c r="DD75" s="7">
        <v>8880</v>
      </c>
      <c r="DE75" s="93">
        <v>5683.2</v>
      </c>
      <c r="DF75" s="97">
        <f t="shared" si="104"/>
        <v>126862</v>
      </c>
      <c r="DG75" s="98">
        <f t="shared" si="119"/>
        <v>81191.680000000008</v>
      </c>
      <c r="DH75" s="79">
        <v>12360</v>
      </c>
      <c r="DI75" s="79">
        <v>7910.4000000000005</v>
      </c>
      <c r="DJ75" s="154">
        <v>11496</v>
      </c>
      <c r="DK75" s="212">
        <f t="shared" si="122"/>
        <v>7357.4400000000005</v>
      </c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99">
        <f t="shared" si="120"/>
        <v>23856</v>
      </c>
      <c r="EG75" s="99">
        <f t="shared" si="121"/>
        <v>15267.84</v>
      </c>
    </row>
    <row r="76" spans="1:137" ht="20.100000000000001" customHeight="1">
      <c r="A76" s="63"/>
      <c r="B76" s="63"/>
      <c r="C76" s="63"/>
      <c r="D76" s="63"/>
      <c r="E76" s="63"/>
      <c r="F76" s="63"/>
      <c r="G76" s="63"/>
      <c r="H76" s="7"/>
      <c r="I76" s="93">
        <f t="shared" si="60"/>
        <v>0</v>
      </c>
      <c r="J76" s="7"/>
      <c r="K76" s="93">
        <f t="shared" si="60"/>
        <v>0</v>
      </c>
      <c r="L76" s="7"/>
      <c r="M76" s="93">
        <f t="shared" si="74"/>
        <v>0</v>
      </c>
      <c r="N76" s="7"/>
      <c r="O76" s="93">
        <f t="shared" si="75"/>
        <v>0</v>
      </c>
      <c r="P76" s="7"/>
      <c r="Q76" s="93">
        <f t="shared" si="76"/>
        <v>0</v>
      </c>
      <c r="R76" s="7"/>
      <c r="S76" s="93">
        <f t="shared" si="77"/>
        <v>0</v>
      </c>
      <c r="T76" s="7"/>
      <c r="U76" s="93">
        <f t="shared" si="78"/>
        <v>0</v>
      </c>
      <c r="V76" s="7"/>
      <c r="W76" s="93">
        <f t="shared" si="79"/>
        <v>0</v>
      </c>
      <c r="X76" s="7"/>
      <c r="Y76" s="93">
        <f t="shared" si="80"/>
        <v>0</v>
      </c>
      <c r="Z76" s="7"/>
      <c r="AA76" s="93">
        <f t="shared" si="81"/>
        <v>0</v>
      </c>
      <c r="AB76" s="7"/>
      <c r="AC76" s="93">
        <f t="shared" si="82"/>
        <v>0</v>
      </c>
      <c r="AD76" s="7"/>
      <c r="AE76" s="93">
        <f t="shared" si="83"/>
        <v>0</v>
      </c>
      <c r="AF76" s="94">
        <f t="shared" si="105"/>
        <v>0</v>
      </c>
      <c r="AG76" s="95">
        <f t="shared" si="106"/>
        <v>0</v>
      </c>
      <c r="AH76" s="7"/>
      <c r="AI76" s="93">
        <f t="shared" si="84"/>
        <v>0</v>
      </c>
      <c r="AJ76" s="7"/>
      <c r="AK76" s="93">
        <f t="shared" si="85"/>
        <v>0</v>
      </c>
      <c r="AL76" s="7"/>
      <c r="AM76" s="93">
        <f t="shared" si="86"/>
        <v>0</v>
      </c>
      <c r="AN76" s="7"/>
      <c r="AO76" s="93">
        <f t="shared" si="87"/>
        <v>0</v>
      </c>
      <c r="AP76" s="7"/>
      <c r="AQ76" s="93">
        <f t="shared" si="88"/>
        <v>0</v>
      </c>
      <c r="AR76" s="7"/>
      <c r="AS76" s="93">
        <f t="shared" si="89"/>
        <v>0</v>
      </c>
      <c r="AT76" s="7"/>
      <c r="AU76" s="93">
        <f t="shared" si="90"/>
        <v>0</v>
      </c>
      <c r="AV76" s="7"/>
      <c r="AW76" s="93">
        <f t="shared" si="91"/>
        <v>0</v>
      </c>
      <c r="AX76" s="7"/>
      <c r="AY76" s="93">
        <f t="shared" si="92"/>
        <v>0</v>
      </c>
      <c r="AZ76" s="7"/>
      <c r="BA76" s="93">
        <f t="shared" si="93"/>
        <v>0</v>
      </c>
      <c r="BB76" s="7"/>
      <c r="BC76" s="93">
        <f t="shared" si="94"/>
        <v>0</v>
      </c>
      <c r="BD76" s="7"/>
      <c r="BE76" s="93">
        <f t="shared" si="95"/>
        <v>0</v>
      </c>
      <c r="BF76" s="94">
        <f t="shared" si="107"/>
        <v>0</v>
      </c>
      <c r="BG76" s="95">
        <f t="shared" si="108"/>
        <v>0</v>
      </c>
      <c r="BH76" s="7"/>
      <c r="BI76" s="93">
        <f t="shared" si="96"/>
        <v>0</v>
      </c>
      <c r="BJ76" s="7"/>
      <c r="BK76" s="93">
        <f t="shared" si="97"/>
        <v>0</v>
      </c>
      <c r="BL76" s="7"/>
      <c r="BM76" s="93">
        <f t="shared" si="61"/>
        <v>0</v>
      </c>
      <c r="BN76" s="7"/>
      <c r="BO76" s="93">
        <f t="shared" si="61"/>
        <v>0</v>
      </c>
      <c r="BP76" s="7"/>
      <c r="BQ76" s="93">
        <f t="shared" si="61"/>
        <v>0</v>
      </c>
      <c r="BR76" s="7"/>
      <c r="BS76" s="93">
        <f t="shared" si="61"/>
        <v>0</v>
      </c>
      <c r="BT76" s="7"/>
      <c r="BU76" s="93">
        <f t="shared" si="61"/>
        <v>0</v>
      </c>
      <c r="BV76" s="7"/>
      <c r="BW76" s="93">
        <f t="shared" si="61"/>
        <v>0</v>
      </c>
      <c r="BX76" s="7"/>
      <c r="BY76" s="93">
        <f t="shared" si="61"/>
        <v>0</v>
      </c>
      <c r="BZ76" s="7"/>
      <c r="CA76" s="93">
        <f t="shared" si="61"/>
        <v>0</v>
      </c>
      <c r="CB76" s="7"/>
      <c r="CC76" s="93">
        <f t="shared" si="102"/>
        <v>0</v>
      </c>
      <c r="CD76" s="7"/>
      <c r="CE76" s="93">
        <f t="shared" si="102"/>
        <v>0</v>
      </c>
      <c r="CF76" s="94">
        <f t="shared" si="109"/>
        <v>0</v>
      </c>
      <c r="CG76" s="95">
        <f t="shared" si="110"/>
        <v>0</v>
      </c>
      <c r="CH76" s="7"/>
      <c r="CI76" s="93">
        <f t="shared" si="111"/>
        <v>0</v>
      </c>
      <c r="CJ76" s="7"/>
      <c r="CK76" s="93">
        <f t="shared" si="112"/>
        <v>0</v>
      </c>
      <c r="CL76" s="7"/>
      <c r="CM76" s="93">
        <f t="shared" si="113"/>
        <v>0</v>
      </c>
      <c r="CN76" s="7"/>
      <c r="CO76" s="93">
        <f t="shared" si="114"/>
        <v>0</v>
      </c>
      <c r="CP76" s="7"/>
      <c r="CQ76" s="93">
        <f t="shared" si="115"/>
        <v>0</v>
      </c>
      <c r="CR76" s="7"/>
      <c r="CS76" s="93">
        <f t="shared" si="116"/>
        <v>0</v>
      </c>
      <c r="CT76" s="7"/>
      <c r="CU76" s="93">
        <f t="shared" si="117"/>
        <v>0</v>
      </c>
      <c r="CV76" s="7"/>
      <c r="CW76" s="93">
        <f t="shared" si="118"/>
        <v>0</v>
      </c>
      <c r="CX76" s="7"/>
      <c r="CY76" s="93">
        <v>0</v>
      </c>
      <c r="CZ76" s="7"/>
      <c r="DA76" s="93">
        <v>0</v>
      </c>
      <c r="DB76" s="7"/>
      <c r="DC76" s="93">
        <v>0</v>
      </c>
      <c r="DD76" s="7"/>
      <c r="DE76" s="93">
        <v>0</v>
      </c>
      <c r="DF76" s="97">
        <f t="shared" si="104"/>
        <v>0</v>
      </c>
      <c r="DG76" s="98">
        <f t="shared" si="119"/>
        <v>0</v>
      </c>
      <c r="DH76" s="79"/>
      <c r="DI76" s="79">
        <v>0</v>
      </c>
      <c r="DJ76" s="154"/>
      <c r="DK76" s="212">
        <f t="shared" si="122"/>
        <v>0</v>
      </c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99">
        <f t="shared" si="120"/>
        <v>0</v>
      </c>
      <c r="EG76" s="99">
        <f t="shared" si="121"/>
        <v>0</v>
      </c>
    </row>
    <row r="77" spans="1:137" ht="20.100000000000001" customHeight="1">
      <c r="A77" s="63">
        <v>62</v>
      </c>
      <c r="B77" s="63" t="s">
        <v>69</v>
      </c>
      <c r="C77" s="63" t="s">
        <v>14</v>
      </c>
      <c r="D77" s="63">
        <f>RANK(DF77,$DF$4:$DF$144)</f>
        <v>35</v>
      </c>
      <c r="E77" s="63">
        <v>0.64</v>
      </c>
      <c r="F77" s="63" t="s">
        <v>25</v>
      </c>
      <c r="G77" s="63"/>
      <c r="H77" s="7"/>
      <c r="I77" s="93">
        <f t="shared" si="60"/>
        <v>0</v>
      </c>
      <c r="J77" s="7"/>
      <c r="K77" s="93">
        <f t="shared" si="60"/>
        <v>0</v>
      </c>
      <c r="L77" s="7"/>
      <c r="M77" s="93">
        <f t="shared" si="74"/>
        <v>0</v>
      </c>
      <c r="N77" s="7"/>
      <c r="O77" s="93">
        <f t="shared" si="75"/>
        <v>0</v>
      </c>
      <c r="P77" s="7"/>
      <c r="Q77" s="93">
        <f t="shared" si="76"/>
        <v>0</v>
      </c>
      <c r="R77" s="7"/>
      <c r="S77" s="93">
        <f t="shared" si="77"/>
        <v>0</v>
      </c>
      <c r="T77" s="7"/>
      <c r="U77" s="93">
        <f t="shared" si="78"/>
        <v>0</v>
      </c>
      <c r="V77" s="7"/>
      <c r="W77" s="93">
        <f t="shared" si="79"/>
        <v>0</v>
      </c>
      <c r="X77" s="7"/>
      <c r="Y77" s="93">
        <f t="shared" si="80"/>
        <v>0</v>
      </c>
      <c r="Z77" s="7"/>
      <c r="AA77" s="93">
        <f t="shared" si="81"/>
        <v>0</v>
      </c>
      <c r="AB77" s="7"/>
      <c r="AC77" s="93">
        <f t="shared" si="82"/>
        <v>0</v>
      </c>
      <c r="AD77" s="7"/>
      <c r="AE77" s="93">
        <f t="shared" si="83"/>
        <v>0</v>
      </c>
      <c r="AF77" s="94">
        <f t="shared" si="105"/>
        <v>0</v>
      </c>
      <c r="AG77" s="95">
        <f t="shared" si="106"/>
        <v>0</v>
      </c>
      <c r="AH77" s="7"/>
      <c r="AI77" s="93">
        <f t="shared" si="84"/>
        <v>0</v>
      </c>
      <c r="AJ77" s="7"/>
      <c r="AK77" s="93">
        <f t="shared" si="85"/>
        <v>0</v>
      </c>
      <c r="AL77" s="7"/>
      <c r="AM77" s="93">
        <f t="shared" si="86"/>
        <v>0</v>
      </c>
      <c r="AN77" s="7"/>
      <c r="AO77" s="93">
        <f t="shared" si="87"/>
        <v>0</v>
      </c>
      <c r="AP77" s="7"/>
      <c r="AQ77" s="93">
        <f t="shared" si="88"/>
        <v>0</v>
      </c>
      <c r="AR77" s="7"/>
      <c r="AS77" s="93">
        <f t="shared" si="89"/>
        <v>0</v>
      </c>
      <c r="AT77" s="7"/>
      <c r="AU77" s="93">
        <f t="shared" si="90"/>
        <v>0</v>
      </c>
      <c r="AV77" s="7"/>
      <c r="AW77" s="93">
        <f t="shared" si="91"/>
        <v>0</v>
      </c>
      <c r="AX77" s="7"/>
      <c r="AY77" s="93">
        <f t="shared" si="92"/>
        <v>0</v>
      </c>
      <c r="AZ77" s="7"/>
      <c r="BA77" s="93">
        <f t="shared" si="93"/>
        <v>0</v>
      </c>
      <c r="BB77" s="7"/>
      <c r="BC77" s="93">
        <f t="shared" si="94"/>
        <v>0</v>
      </c>
      <c r="BD77" s="7"/>
      <c r="BE77" s="93">
        <f t="shared" si="95"/>
        <v>0</v>
      </c>
      <c r="BF77" s="94">
        <f t="shared" si="107"/>
        <v>0</v>
      </c>
      <c r="BG77" s="95">
        <f t="shared" si="108"/>
        <v>0</v>
      </c>
      <c r="BH77" s="7"/>
      <c r="BI77" s="93">
        <f t="shared" si="96"/>
        <v>0</v>
      </c>
      <c r="BJ77" s="7"/>
      <c r="BK77" s="93">
        <f t="shared" si="97"/>
        <v>0</v>
      </c>
      <c r="BL77" s="7"/>
      <c r="BM77" s="93">
        <f t="shared" si="61"/>
        <v>0</v>
      </c>
      <c r="BN77" s="7"/>
      <c r="BO77" s="93">
        <f t="shared" si="61"/>
        <v>0</v>
      </c>
      <c r="BP77" s="7"/>
      <c r="BQ77" s="93">
        <f t="shared" si="61"/>
        <v>0</v>
      </c>
      <c r="BR77" s="7"/>
      <c r="BS77" s="93">
        <f t="shared" si="61"/>
        <v>0</v>
      </c>
      <c r="BT77" s="7"/>
      <c r="BU77" s="93">
        <f t="shared" si="61"/>
        <v>0</v>
      </c>
      <c r="BV77" s="7"/>
      <c r="BW77" s="93">
        <f t="shared" si="61"/>
        <v>0</v>
      </c>
      <c r="BX77" s="7"/>
      <c r="BY77" s="93">
        <f t="shared" si="61"/>
        <v>0</v>
      </c>
      <c r="BZ77" s="7"/>
      <c r="CA77" s="93">
        <f t="shared" ref="CA77:CE81" si="123">BZ77*$E77</f>
        <v>0</v>
      </c>
      <c r="CB77" s="7"/>
      <c r="CC77" s="93">
        <f t="shared" si="123"/>
        <v>0</v>
      </c>
      <c r="CD77" s="7"/>
      <c r="CE77" s="93">
        <f t="shared" si="123"/>
        <v>0</v>
      </c>
      <c r="CF77" s="94">
        <f t="shared" si="109"/>
        <v>0</v>
      </c>
      <c r="CG77" s="95">
        <f t="shared" si="110"/>
        <v>0</v>
      </c>
      <c r="CH77" s="7"/>
      <c r="CI77" s="93">
        <f t="shared" si="111"/>
        <v>0</v>
      </c>
      <c r="CJ77" s="7"/>
      <c r="CK77" s="93">
        <f t="shared" si="112"/>
        <v>0</v>
      </c>
      <c r="CL77" s="7"/>
      <c r="CM77" s="93">
        <f t="shared" si="113"/>
        <v>0</v>
      </c>
      <c r="CN77" s="7"/>
      <c r="CO77" s="93">
        <f t="shared" si="114"/>
        <v>0</v>
      </c>
      <c r="CP77" s="7"/>
      <c r="CQ77" s="93">
        <f t="shared" si="115"/>
        <v>0</v>
      </c>
      <c r="CR77" s="7"/>
      <c r="CS77" s="93">
        <f t="shared" si="116"/>
        <v>0</v>
      </c>
      <c r="CT77" s="7"/>
      <c r="CU77" s="93">
        <f t="shared" si="117"/>
        <v>0</v>
      </c>
      <c r="CV77" s="7"/>
      <c r="CW77" s="93">
        <f t="shared" si="118"/>
        <v>0</v>
      </c>
      <c r="CX77" s="7"/>
      <c r="CY77" s="93">
        <v>0</v>
      </c>
      <c r="CZ77" s="7"/>
      <c r="DA77" s="93">
        <v>0</v>
      </c>
      <c r="DB77" s="7"/>
      <c r="DC77" s="93">
        <v>0</v>
      </c>
      <c r="DD77" s="7"/>
      <c r="DE77" s="93">
        <v>0</v>
      </c>
      <c r="DF77" s="97">
        <f t="shared" si="104"/>
        <v>0</v>
      </c>
      <c r="DG77" s="98">
        <f t="shared" si="119"/>
        <v>0</v>
      </c>
      <c r="DH77" s="79"/>
      <c r="DI77" s="79">
        <v>0</v>
      </c>
      <c r="DJ77" s="154"/>
      <c r="DK77" s="212">
        <f t="shared" si="122"/>
        <v>0</v>
      </c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99">
        <f t="shared" si="120"/>
        <v>0</v>
      </c>
      <c r="EG77" s="99">
        <f t="shared" si="121"/>
        <v>0</v>
      </c>
    </row>
    <row r="78" spans="1:137" ht="20.100000000000001" customHeight="1">
      <c r="A78" s="63">
        <v>63</v>
      </c>
      <c r="B78" s="63" t="s">
        <v>69</v>
      </c>
      <c r="C78" s="63" t="s">
        <v>14</v>
      </c>
      <c r="D78" s="63">
        <f>RANK(DF78,$DF$4:$DF$144)</f>
        <v>35</v>
      </c>
      <c r="E78" s="63">
        <v>0.64</v>
      </c>
      <c r="F78" s="63" t="s">
        <v>24</v>
      </c>
      <c r="G78" s="63"/>
      <c r="H78" s="7"/>
      <c r="I78" s="93">
        <f t="shared" si="60"/>
        <v>0</v>
      </c>
      <c r="J78" s="7"/>
      <c r="K78" s="93">
        <f t="shared" si="60"/>
        <v>0</v>
      </c>
      <c r="L78" s="7"/>
      <c r="M78" s="93">
        <f t="shared" si="74"/>
        <v>0</v>
      </c>
      <c r="N78" s="7"/>
      <c r="O78" s="93">
        <f t="shared" si="75"/>
        <v>0</v>
      </c>
      <c r="P78" s="7"/>
      <c r="Q78" s="93">
        <f t="shared" si="76"/>
        <v>0</v>
      </c>
      <c r="R78" s="7"/>
      <c r="S78" s="93">
        <f t="shared" si="77"/>
        <v>0</v>
      </c>
      <c r="T78" s="7"/>
      <c r="U78" s="93">
        <f t="shared" si="78"/>
        <v>0</v>
      </c>
      <c r="V78" s="7"/>
      <c r="W78" s="93">
        <f t="shared" si="79"/>
        <v>0</v>
      </c>
      <c r="X78" s="7"/>
      <c r="Y78" s="93">
        <f t="shared" si="80"/>
        <v>0</v>
      </c>
      <c r="Z78" s="7"/>
      <c r="AA78" s="93">
        <f t="shared" si="81"/>
        <v>0</v>
      </c>
      <c r="AB78" s="7"/>
      <c r="AC78" s="93">
        <f t="shared" si="82"/>
        <v>0</v>
      </c>
      <c r="AD78" s="7"/>
      <c r="AE78" s="93">
        <f t="shared" si="83"/>
        <v>0</v>
      </c>
      <c r="AF78" s="94">
        <f t="shared" si="105"/>
        <v>0</v>
      </c>
      <c r="AG78" s="95">
        <f t="shared" si="106"/>
        <v>0</v>
      </c>
      <c r="AH78" s="7"/>
      <c r="AI78" s="93">
        <f t="shared" si="84"/>
        <v>0</v>
      </c>
      <c r="AJ78" s="7"/>
      <c r="AK78" s="93">
        <f t="shared" si="85"/>
        <v>0</v>
      </c>
      <c r="AL78" s="7"/>
      <c r="AM78" s="93">
        <f t="shared" si="86"/>
        <v>0</v>
      </c>
      <c r="AN78" s="7"/>
      <c r="AO78" s="93">
        <f t="shared" si="87"/>
        <v>0</v>
      </c>
      <c r="AP78" s="7"/>
      <c r="AQ78" s="93">
        <f t="shared" si="88"/>
        <v>0</v>
      </c>
      <c r="AR78" s="7"/>
      <c r="AS78" s="93">
        <f t="shared" si="89"/>
        <v>0</v>
      </c>
      <c r="AT78" s="7"/>
      <c r="AU78" s="93">
        <f t="shared" si="90"/>
        <v>0</v>
      </c>
      <c r="AV78" s="7"/>
      <c r="AW78" s="93">
        <f t="shared" si="91"/>
        <v>0</v>
      </c>
      <c r="AX78" s="7"/>
      <c r="AY78" s="93">
        <f t="shared" si="92"/>
        <v>0</v>
      </c>
      <c r="AZ78" s="7"/>
      <c r="BA78" s="93">
        <f t="shared" si="93"/>
        <v>0</v>
      </c>
      <c r="BB78" s="7"/>
      <c r="BC78" s="93">
        <f t="shared" si="94"/>
        <v>0</v>
      </c>
      <c r="BD78" s="7"/>
      <c r="BE78" s="93">
        <f t="shared" si="95"/>
        <v>0</v>
      </c>
      <c r="BF78" s="94">
        <f t="shared" si="107"/>
        <v>0</v>
      </c>
      <c r="BG78" s="95">
        <f t="shared" si="108"/>
        <v>0</v>
      </c>
      <c r="BH78" s="7"/>
      <c r="BI78" s="93">
        <f t="shared" si="96"/>
        <v>0</v>
      </c>
      <c r="BJ78" s="7"/>
      <c r="BK78" s="93">
        <f t="shared" si="97"/>
        <v>0</v>
      </c>
      <c r="BL78" s="7"/>
      <c r="BM78" s="93">
        <f t="shared" ref="BM78:CA81" si="124">BL78*$E78</f>
        <v>0</v>
      </c>
      <c r="BN78" s="7"/>
      <c r="BO78" s="93">
        <f t="shared" si="124"/>
        <v>0</v>
      </c>
      <c r="BP78" s="7"/>
      <c r="BQ78" s="93">
        <f t="shared" si="124"/>
        <v>0</v>
      </c>
      <c r="BR78" s="7"/>
      <c r="BS78" s="93">
        <f t="shared" si="124"/>
        <v>0</v>
      </c>
      <c r="BT78" s="7"/>
      <c r="BU78" s="93">
        <f t="shared" si="124"/>
        <v>0</v>
      </c>
      <c r="BV78" s="7"/>
      <c r="BW78" s="93">
        <f t="shared" si="124"/>
        <v>0</v>
      </c>
      <c r="BX78" s="7"/>
      <c r="BY78" s="93">
        <f t="shared" si="124"/>
        <v>0</v>
      </c>
      <c r="BZ78" s="7"/>
      <c r="CA78" s="93">
        <f t="shared" si="124"/>
        <v>0</v>
      </c>
      <c r="CB78" s="7"/>
      <c r="CC78" s="93">
        <f t="shared" si="123"/>
        <v>0</v>
      </c>
      <c r="CD78" s="7"/>
      <c r="CE78" s="93">
        <f t="shared" si="123"/>
        <v>0</v>
      </c>
      <c r="CF78" s="94">
        <f t="shared" si="109"/>
        <v>0</v>
      </c>
      <c r="CG78" s="95">
        <f t="shared" si="110"/>
        <v>0</v>
      </c>
      <c r="CH78" s="7"/>
      <c r="CI78" s="93">
        <f t="shared" si="111"/>
        <v>0</v>
      </c>
      <c r="CJ78" s="7"/>
      <c r="CK78" s="93">
        <f t="shared" si="112"/>
        <v>0</v>
      </c>
      <c r="CL78" s="7"/>
      <c r="CM78" s="93">
        <f t="shared" si="113"/>
        <v>0</v>
      </c>
      <c r="CN78" s="7"/>
      <c r="CO78" s="93">
        <f t="shared" si="114"/>
        <v>0</v>
      </c>
      <c r="CP78" s="7"/>
      <c r="CQ78" s="93">
        <f t="shared" si="115"/>
        <v>0</v>
      </c>
      <c r="CR78" s="7"/>
      <c r="CS78" s="93">
        <f t="shared" si="116"/>
        <v>0</v>
      </c>
      <c r="CT78" s="7"/>
      <c r="CU78" s="93">
        <f t="shared" si="117"/>
        <v>0</v>
      </c>
      <c r="CV78" s="7"/>
      <c r="CW78" s="93">
        <f t="shared" si="118"/>
        <v>0</v>
      </c>
      <c r="CX78" s="7"/>
      <c r="CY78" s="93">
        <v>0</v>
      </c>
      <c r="CZ78" s="7"/>
      <c r="DA78" s="93">
        <v>0</v>
      </c>
      <c r="DB78" s="7"/>
      <c r="DC78" s="93">
        <v>0</v>
      </c>
      <c r="DD78" s="7"/>
      <c r="DE78" s="93">
        <v>0</v>
      </c>
      <c r="DF78" s="97">
        <f t="shared" si="104"/>
        <v>0</v>
      </c>
      <c r="DG78" s="98">
        <f t="shared" si="119"/>
        <v>0</v>
      </c>
      <c r="DH78" s="79"/>
      <c r="DI78" s="79">
        <v>0</v>
      </c>
      <c r="DJ78" s="154"/>
      <c r="DK78" s="212">
        <f t="shared" si="122"/>
        <v>0</v>
      </c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99">
        <f t="shared" si="120"/>
        <v>0</v>
      </c>
      <c r="EG78" s="99">
        <f t="shared" si="121"/>
        <v>0</v>
      </c>
    </row>
    <row r="79" spans="1:137" ht="20.100000000000001" customHeight="1">
      <c r="A79" s="63"/>
      <c r="B79" s="63"/>
      <c r="C79" s="63"/>
      <c r="D79" s="63"/>
      <c r="E79" s="63"/>
      <c r="F79" s="63"/>
      <c r="G79" s="63"/>
      <c r="H79" s="7"/>
      <c r="I79" s="93">
        <f t="shared" si="60"/>
        <v>0</v>
      </c>
      <c r="J79" s="7"/>
      <c r="K79" s="93">
        <f t="shared" si="60"/>
        <v>0</v>
      </c>
      <c r="L79" s="7"/>
      <c r="M79" s="93">
        <f t="shared" si="74"/>
        <v>0</v>
      </c>
      <c r="N79" s="7"/>
      <c r="O79" s="93">
        <f t="shared" si="75"/>
        <v>0</v>
      </c>
      <c r="P79" s="7"/>
      <c r="Q79" s="93">
        <f t="shared" si="76"/>
        <v>0</v>
      </c>
      <c r="R79" s="7"/>
      <c r="S79" s="93">
        <f t="shared" si="77"/>
        <v>0</v>
      </c>
      <c r="T79" s="7"/>
      <c r="U79" s="93">
        <f t="shared" si="78"/>
        <v>0</v>
      </c>
      <c r="V79" s="7"/>
      <c r="W79" s="93">
        <f t="shared" si="79"/>
        <v>0</v>
      </c>
      <c r="X79" s="7"/>
      <c r="Y79" s="93">
        <f t="shared" si="80"/>
        <v>0</v>
      </c>
      <c r="Z79" s="7"/>
      <c r="AA79" s="93">
        <f t="shared" si="81"/>
        <v>0</v>
      </c>
      <c r="AB79" s="7"/>
      <c r="AC79" s="93">
        <f t="shared" si="82"/>
        <v>0</v>
      </c>
      <c r="AD79" s="7"/>
      <c r="AE79" s="93">
        <f t="shared" si="83"/>
        <v>0</v>
      </c>
      <c r="AF79" s="94">
        <f t="shared" si="105"/>
        <v>0</v>
      </c>
      <c r="AG79" s="95">
        <f t="shared" si="106"/>
        <v>0</v>
      </c>
      <c r="AH79" s="7"/>
      <c r="AI79" s="93">
        <f t="shared" si="84"/>
        <v>0</v>
      </c>
      <c r="AJ79" s="7"/>
      <c r="AK79" s="93">
        <f t="shared" si="85"/>
        <v>0</v>
      </c>
      <c r="AL79" s="7"/>
      <c r="AM79" s="93">
        <f t="shared" si="86"/>
        <v>0</v>
      </c>
      <c r="AN79" s="7"/>
      <c r="AO79" s="93">
        <f t="shared" si="87"/>
        <v>0</v>
      </c>
      <c r="AP79" s="7"/>
      <c r="AQ79" s="93">
        <f t="shared" si="88"/>
        <v>0</v>
      </c>
      <c r="AR79" s="7"/>
      <c r="AS79" s="93">
        <f t="shared" si="89"/>
        <v>0</v>
      </c>
      <c r="AT79" s="7"/>
      <c r="AU79" s="93">
        <f t="shared" si="90"/>
        <v>0</v>
      </c>
      <c r="AV79" s="7"/>
      <c r="AW79" s="93">
        <f t="shared" si="91"/>
        <v>0</v>
      </c>
      <c r="AX79" s="7"/>
      <c r="AY79" s="93">
        <f t="shared" si="92"/>
        <v>0</v>
      </c>
      <c r="AZ79" s="7"/>
      <c r="BA79" s="93">
        <f t="shared" si="93"/>
        <v>0</v>
      </c>
      <c r="BB79" s="7"/>
      <c r="BC79" s="93">
        <f t="shared" si="94"/>
        <v>0</v>
      </c>
      <c r="BD79" s="7"/>
      <c r="BE79" s="93">
        <f t="shared" si="95"/>
        <v>0</v>
      </c>
      <c r="BF79" s="94">
        <f t="shared" si="107"/>
        <v>0</v>
      </c>
      <c r="BG79" s="95">
        <f t="shared" si="108"/>
        <v>0</v>
      </c>
      <c r="BH79" s="7"/>
      <c r="BI79" s="93">
        <f t="shared" si="96"/>
        <v>0</v>
      </c>
      <c r="BJ79" s="7"/>
      <c r="BK79" s="93">
        <f t="shared" si="97"/>
        <v>0</v>
      </c>
      <c r="BL79" s="7"/>
      <c r="BM79" s="93">
        <f t="shared" si="124"/>
        <v>0</v>
      </c>
      <c r="BN79" s="7"/>
      <c r="BO79" s="93">
        <f t="shared" si="124"/>
        <v>0</v>
      </c>
      <c r="BP79" s="7"/>
      <c r="BQ79" s="93">
        <f t="shared" si="124"/>
        <v>0</v>
      </c>
      <c r="BR79" s="7"/>
      <c r="BS79" s="93">
        <f t="shared" si="124"/>
        <v>0</v>
      </c>
      <c r="BT79" s="7"/>
      <c r="BU79" s="93">
        <f t="shared" si="124"/>
        <v>0</v>
      </c>
      <c r="BV79" s="7"/>
      <c r="BW79" s="93">
        <f t="shared" si="124"/>
        <v>0</v>
      </c>
      <c r="BX79" s="7"/>
      <c r="BY79" s="93">
        <f t="shared" si="124"/>
        <v>0</v>
      </c>
      <c r="BZ79" s="7"/>
      <c r="CA79" s="93">
        <f t="shared" si="124"/>
        <v>0</v>
      </c>
      <c r="CB79" s="7"/>
      <c r="CC79" s="93">
        <f t="shared" si="123"/>
        <v>0</v>
      </c>
      <c r="CD79" s="7"/>
      <c r="CE79" s="93">
        <f t="shared" si="123"/>
        <v>0</v>
      </c>
      <c r="CF79" s="94">
        <f t="shared" si="109"/>
        <v>0</v>
      </c>
      <c r="CG79" s="95">
        <f t="shared" si="110"/>
        <v>0</v>
      </c>
      <c r="CH79" s="7"/>
      <c r="CI79" s="93">
        <f t="shared" si="111"/>
        <v>0</v>
      </c>
      <c r="CJ79" s="7"/>
      <c r="CK79" s="93">
        <f t="shared" si="112"/>
        <v>0</v>
      </c>
      <c r="CL79" s="7"/>
      <c r="CM79" s="93">
        <f t="shared" si="113"/>
        <v>0</v>
      </c>
      <c r="CN79" s="7"/>
      <c r="CO79" s="93">
        <f t="shared" si="114"/>
        <v>0</v>
      </c>
      <c r="CP79" s="7"/>
      <c r="CQ79" s="93">
        <f t="shared" si="115"/>
        <v>0</v>
      </c>
      <c r="CR79" s="7"/>
      <c r="CS79" s="93">
        <f t="shared" si="116"/>
        <v>0</v>
      </c>
      <c r="CT79" s="7"/>
      <c r="CU79" s="93">
        <f t="shared" si="117"/>
        <v>0</v>
      </c>
      <c r="CV79" s="7"/>
      <c r="CW79" s="93">
        <f t="shared" si="118"/>
        <v>0</v>
      </c>
      <c r="CX79" s="7"/>
      <c r="CY79" s="93">
        <v>0</v>
      </c>
      <c r="CZ79" s="7"/>
      <c r="DA79" s="93">
        <v>0</v>
      </c>
      <c r="DB79" s="7"/>
      <c r="DC79" s="93">
        <v>0</v>
      </c>
      <c r="DD79" s="7"/>
      <c r="DE79" s="93">
        <v>0</v>
      </c>
      <c r="DF79" s="97">
        <f t="shared" si="104"/>
        <v>0</v>
      </c>
      <c r="DG79" s="98">
        <f t="shared" si="119"/>
        <v>0</v>
      </c>
      <c r="DH79" s="79"/>
      <c r="DI79" s="79">
        <v>0</v>
      </c>
      <c r="DJ79" s="154"/>
      <c r="DK79" s="212">
        <f t="shared" si="122"/>
        <v>0</v>
      </c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99">
        <f t="shared" si="120"/>
        <v>0</v>
      </c>
      <c r="EG79" s="99">
        <f t="shared" si="121"/>
        <v>0</v>
      </c>
    </row>
    <row r="80" spans="1:137" ht="20.100000000000001" customHeight="1">
      <c r="A80" s="63">
        <v>64</v>
      </c>
      <c r="B80" s="63" t="s">
        <v>70</v>
      </c>
      <c r="C80" s="63" t="s">
        <v>14</v>
      </c>
      <c r="D80" s="63">
        <f>RANK(DF80,$DF$4:$DF$144)</f>
        <v>35</v>
      </c>
      <c r="E80" s="63">
        <v>0.64</v>
      </c>
      <c r="F80" s="63" t="s">
        <v>24</v>
      </c>
      <c r="G80" s="63"/>
      <c r="H80" s="7"/>
      <c r="I80" s="93">
        <f t="shared" si="60"/>
        <v>0</v>
      </c>
      <c r="J80" s="7"/>
      <c r="K80" s="93">
        <f t="shared" si="60"/>
        <v>0</v>
      </c>
      <c r="L80" s="7"/>
      <c r="M80" s="93">
        <f t="shared" si="74"/>
        <v>0</v>
      </c>
      <c r="N80" s="7"/>
      <c r="O80" s="93">
        <f t="shared" si="75"/>
        <v>0</v>
      </c>
      <c r="P80" s="7"/>
      <c r="Q80" s="93">
        <f t="shared" si="76"/>
        <v>0</v>
      </c>
      <c r="R80" s="7"/>
      <c r="S80" s="93">
        <f t="shared" si="77"/>
        <v>0</v>
      </c>
      <c r="T80" s="7"/>
      <c r="U80" s="93">
        <f t="shared" si="78"/>
        <v>0</v>
      </c>
      <c r="V80" s="7"/>
      <c r="W80" s="93">
        <f t="shared" si="79"/>
        <v>0</v>
      </c>
      <c r="X80" s="7"/>
      <c r="Y80" s="93">
        <f t="shared" si="80"/>
        <v>0</v>
      </c>
      <c r="Z80" s="7"/>
      <c r="AA80" s="93">
        <f t="shared" si="81"/>
        <v>0</v>
      </c>
      <c r="AB80" s="7"/>
      <c r="AC80" s="93">
        <f t="shared" si="82"/>
        <v>0</v>
      </c>
      <c r="AD80" s="7"/>
      <c r="AE80" s="93">
        <f t="shared" si="83"/>
        <v>0</v>
      </c>
      <c r="AF80" s="94">
        <f t="shared" si="105"/>
        <v>0</v>
      </c>
      <c r="AG80" s="95">
        <f t="shared" si="106"/>
        <v>0</v>
      </c>
      <c r="AH80" s="7"/>
      <c r="AI80" s="93">
        <f t="shared" si="84"/>
        <v>0</v>
      </c>
      <c r="AJ80" s="7"/>
      <c r="AK80" s="93">
        <f t="shared" si="85"/>
        <v>0</v>
      </c>
      <c r="AL80" s="7"/>
      <c r="AM80" s="93">
        <f t="shared" si="86"/>
        <v>0</v>
      </c>
      <c r="AN80" s="7"/>
      <c r="AO80" s="93">
        <f t="shared" si="87"/>
        <v>0</v>
      </c>
      <c r="AP80" s="7"/>
      <c r="AQ80" s="93">
        <f t="shared" si="88"/>
        <v>0</v>
      </c>
      <c r="AR80" s="7"/>
      <c r="AS80" s="93">
        <f t="shared" si="89"/>
        <v>0</v>
      </c>
      <c r="AT80" s="7"/>
      <c r="AU80" s="93">
        <f t="shared" si="90"/>
        <v>0</v>
      </c>
      <c r="AV80" s="7"/>
      <c r="AW80" s="93">
        <f t="shared" si="91"/>
        <v>0</v>
      </c>
      <c r="AX80" s="7"/>
      <c r="AY80" s="93">
        <f t="shared" si="92"/>
        <v>0</v>
      </c>
      <c r="AZ80" s="7"/>
      <c r="BA80" s="93">
        <f t="shared" si="93"/>
        <v>0</v>
      </c>
      <c r="BB80" s="7"/>
      <c r="BC80" s="93">
        <f t="shared" si="94"/>
        <v>0</v>
      </c>
      <c r="BD80" s="7"/>
      <c r="BE80" s="93">
        <f t="shared" si="95"/>
        <v>0</v>
      </c>
      <c r="BF80" s="94">
        <f t="shared" si="107"/>
        <v>0</v>
      </c>
      <c r="BG80" s="95">
        <f t="shared" si="108"/>
        <v>0</v>
      </c>
      <c r="BH80" s="7"/>
      <c r="BI80" s="93">
        <f t="shared" si="96"/>
        <v>0</v>
      </c>
      <c r="BJ80" s="7"/>
      <c r="BK80" s="93">
        <f t="shared" si="97"/>
        <v>0</v>
      </c>
      <c r="BL80" s="7"/>
      <c r="BM80" s="93">
        <f t="shared" si="124"/>
        <v>0</v>
      </c>
      <c r="BN80" s="7"/>
      <c r="BO80" s="93">
        <f t="shared" si="124"/>
        <v>0</v>
      </c>
      <c r="BP80" s="7"/>
      <c r="BQ80" s="93">
        <f t="shared" si="124"/>
        <v>0</v>
      </c>
      <c r="BR80" s="7"/>
      <c r="BS80" s="93">
        <f t="shared" si="124"/>
        <v>0</v>
      </c>
      <c r="BT80" s="7"/>
      <c r="BU80" s="93">
        <f t="shared" si="124"/>
        <v>0</v>
      </c>
      <c r="BV80" s="7"/>
      <c r="BW80" s="93">
        <f t="shared" si="124"/>
        <v>0</v>
      </c>
      <c r="BX80" s="7"/>
      <c r="BY80" s="93">
        <f t="shared" si="124"/>
        <v>0</v>
      </c>
      <c r="BZ80" s="7"/>
      <c r="CA80" s="93">
        <f t="shared" si="124"/>
        <v>0</v>
      </c>
      <c r="CB80" s="7"/>
      <c r="CC80" s="93">
        <f t="shared" si="123"/>
        <v>0</v>
      </c>
      <c r="CD80" s="7"/>
      <c r="CE80" s="93">
        <f t="shared" si="123"/>
        <v>0</v>
      </c>
      <c r="CF80" s="94">
        <f t="shared" si="109"/>
        <v>0</v>
      </c>
      <c r="CG80" s="95">
        <f t="shared" si="110"/>
        <v>0</v>
      </c>
      <c r="CH80" s="7"/>
      <c r="CI80" s="93">
        <f t="shared" si="111"/>
        <v>0</v>
      </c>
      <c r="CJ80" s="7"/>
      <c r="CK80" s="93">
        <f t="shared" si="112"/>
        <v>0</v>
      </c>
      <c r="CL80" s="7"/>
      <c r="CM80" s="93">
        <f t="shared" si="113"/>
        <v>0</v>
      </c>
      <c r="CN80" s="7"/>
      <c r="CO80" s="93">
        <f t="shared" si="114"/>
        <v>0</v>
      </c>
      <c r="CP80" s="7"/>
      <c r="CQ80" s="93">
        <f t="shared" si="115"/>
        <v>0</v>
      </c>
      <c r="CR80" s="7"/>
      <c r="CS80" s="93">
        <f t="shared" si="116"/>
        <v>0</v>
      </c>
      <c r="CT80" s="7"/>
      <c r="CU80" s="93">
        <f t="shared" si="117"/>
        <v>0</v>
      </c>
      <c r="CV80" s="7"/>
      <c r="CW80" s="93">
        <f t="shared" si="118"/>
        <v>0</v>
      </c>
      <c r="CX80" s="7"/>
      <c r="CY80" s="93">
        <v>0</v>
      </c>
      <c r="CZ80" s="7"/>
      <c r="DA80" s="93">
        <v>0</v>
      </c>
      <c r="DB80" s="7"/>
      <c r="DC80" s="93">
        <v>0</v>
      </c>
      <c r="DD80" s="7"/>
      <c r="DE80" s="93">
        <v>0</v>
      </c>
      <c r="DF80" s="97">
        <f t="shared" si="104"/>
        <v>0</v>
      </c>
      <c r="DG80" s="98">
        <f t="shared" si="119"/>
        <v>0</v>
      </c>
      <c r="DH80" s="79"/>
      <c r="DI80" s="79">
        <v>0</v>
      </c>
      <c r="DJ80" s="154"/>
      <c r="DK80" s="212">
        <f t="shared" si="122"/>
        <v>0</v>
      </c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99">
        <f t="shared" si="120"/>
        <v>0</v>
      </c>
      <c r="EG80" s="99">
        <f t="shared" si="121"/>
        <v>0</v>
      </c>
    </row>
    <row r="81" spans="1:137" ht="20.100000000000001" customHeight="1">
      <c r="A81" s="63">
        <v>65</v>
      </c>
      <c r="B81" s="63" t="s">
        <v>71</v>
      </c>
      <c r="C81" s="63" t="s">
        <v>14</v>
      </c>
      <c r="D81" s="63">
        <f>RANK(DF81,$DF$4:$DF$144)</f>
        <v>35</v>
      </c>
      <c r="E81" s="63">
        <v>0.64</v>
      </c>
      <c r="F81" s="63" t="s">
        <v>15</v>
      </c>
      <c r="G81" s="63"/>
      <c r="H81" s="7"/>
      <c r="I81" s="93">
        <f t="shared" si="60"/>
        <v>0</v>
      </c>
      <c r="J81" s="7"/>
      <c r="K81" s="93">
        <f t="shared" si="60"/>
        <v>0</v>
      </c>
      <c r="L81" s="7"/>
      <c r="M81" s="93">
        <f t="shared" si="74"/>
        <v>0</v>
      </c>
      <c r="N81" s="7"/>
      <c r="O81" s="93">
        <f t="shared" si="75"/>
        <v>0</v>
      </c>
      <c r="P81" s="7"/>
      <c r="Q81" s="93">
        <f t="shared" si="76"/>
        <v>0</v>
      </c>
      <c r="R81" s="7"/>
      <c r="S81" s="93">
        <f t="shared" si="77"/>
        <v>0</v>
      </c>
      <c r="T81" s="7"/>
      <c r="U81" s="93">
        <f t="shared" si="78"/>
        <v>0</v>
      </c>
      <c r="V81" s="7"/>
      <c r="W81" s="93">
        <f t="shared" si="79"/>
        <v>0</v>
      </c>
      <c r="X81" s="7"/>
      <c r="Y81" s="93">
        <f t="shared" si="80"/>
        <v>0</v>
      </c>
      <c r="Z81" s="7"/>
      <c r="AA81" s="93">
        <f t="shared" si="81"/>
        <v>0</v>
      </c>
      <c r="AB81" s="7"/>
      <c r="AC81" s="93">
        <f t="shared" si="82"/>
        <v>0</v>
      </c>
      <c r="AD81" s="7"/>
      <c r="AE81" s="93">
        <f t="shared" si="83"/>
        <v>0</v>
      </c>
      <c r="AF81" s="94">
        <f t="shared" si="105"/>
        <v>0</v>
      </c>
      <c r="AG81" s="95">
        <f t="shared" si="106"/>
        <v>0</v>
      </c>
      <c r="AH81" s="7"/>
      <c r="AI81" s="93">
        <f t="shared" si="84"/>
        <v>0</v>
      </c>
      <c r="AJ81" s="7"/>
      <c r="AK81" s="93">
        <f t="shared" si="85"/>
        <v>0</v>
      </c>
      <c r="AL81" s="7"/>
      <c r="AM81" s="93">
        <f t="shared" si="86"/>
        <v>0</v>
      </c>
      <c r="AN81" s="7"/>
      <c r="AO81" s="93">
        <f t="shared" si="87"/>
        <v>0</v>
      </c>
      <c r="AP81" s="7"/>
      <c r="AQ81" s="93">
        <f t="shared" si="88"/>
        <v>0</v>
      </c>
      <c r="AR81" s="7"/>
      <c r="AS81" s="93">
        <f t="shared" si="89"/>
        <v>0</v>
      </c>
      <c r="AT81" s="7"/>
      <c r="AU81" s="93">
        <f t="shared" si="90"/>
        <v>0</v>
      </c>
      <c r="AV81" s="7"/>
      <c r="AW81" s="93">
        <f t="shared" si="91"/>
        <v>0</v>
      </c>
      <c r="AX81" s="7"/>
      <c r="AY81" s="93">
        <f t="shared" si="92"/>
        <v>0</v>
      </c>
      <c r="AZ81" s="7"/>
      <c r="BA81" s="93">
        <f t="shared" si="93"/>
        <v>0</v>
      </c>
      <c r="BB81" s="7"/>
      <c r="BC81" s="93">
        <f t="shared" si="94"/>
        <v>0</v>
      </c>
      <c r="BD81" s="7"/>
      <c r="BE81" s="93">
        <f t="shared" si="95"/>
        <v>0</v>
      </c>
      <c r="BF81" s="94">
        <f t="shared" si="107"/>
        <v>0</v>
      </c>
      <c r="BG81" s="95">
        <f t="shared" si="108"/>
        <v>0</v>
      </c>
      <c r="BH81" s="7"/>
      <c r="BI81" s="93">
        <f t="shared" si="96"/>
        <v>0</v>
      </c>
      <c r="BJ81" s="7"/>
      <c r="BK81" s="93">
        <f t="shared" si="97"/>
        <v>0</v>
      </c>
      <c r="BL81" s="7"/>
      <c r="BM81" s="93">
        <f t="shared" si="124"/>
        <v>0</v>
      </c>
      <c r="BN81" s="7"/>
      <c r="BO81" s="93">
        <f t="shared" si="124"/>
        <v>0</v>
      </c>
      <c r="BP81" s="7"/>
      <c r="BQ81" s="93">
        <f t="shared" si="124"/>
        <v>0</v>
      </c>
      <c r="BR81" s="7"/>
      <c r="BS81" s="93">
        <f t="shared" si="124"/>
        <v>0</v>
      </c>
      <c r="BT81" s="7"/>
      <c r="BU81" s="93">
        <f t="shared" si="124"/>
        <v>0</v>
      </c>
      <c r="BV81" s="7"/>
      <c r="BW81" s="93">
        <f t="shared" si="124"/>
        <v>0</v>
      </c>
      <c r="BX81" s="7"/>
      <c r="BY81" s="93">
        <f t="shared" si="124"/>
        <v>0</v>
      </c>
      <c r="BZ81" s="7"/>
      <c r="CA81" s="93">
        <f t="shared" si="124"/>
        <v>0</v>
      </c>
      <c r="CB81" s="7"/>
      <c r="CC81" s="93">
        <f t="shared" si="123"/>
        <v>0</v>
      </c>
      <c r="CD81" s="7"/>
      <c r="CE81" s="93">
        <f t="shared" si="123"/>
        <v>0</v>
      </c>
      <c r="CF81" s="94">
        <f t="shared" si="109"/>
        <v>0</v>
      </c>
      <c r="CG81" s="95">
        <f t="shared" si="110"/>
        <v>0</v>
      </c>
      <c r="CH81" s="7"/>
      <c r="CI81" s="93">
        <f t="shared" si="111"/>
        <v>0</v>
      </c>
      <c r="CJ81" s="7"/>
      <c r="CK81" s="93">
        <f t="shared" si="112"/>
        <v>0</v>
      </c>
      <c r="CL81" s="7"/>
      <c r="CM81" s="93">
        <f t="shared" si="113"/>
        <v>0</v>
      </c>
      <c r="CN81" s="7"/>
      <c r="CO81" s="93">
        <f t="shared" si="114"/>
        <v>0</v>
      </c>
      <c r="CP81" s="7"/>
      <c r="CQ81" s="93">
        <f t="shared" si="115"/>
        <v>0</v>
      </c>
      <c r="CR81" s="7"/>
      <c r="CS81" s="93">
        <f t="shared" si="116"/>
        <v>0</v>
      </c>
      <c r="CT81" s="7"/>
      <c r="CU81" s="93">
        <f t="shared" si="117"/>
        <v>0</v>
      </c>
      <c r="CV81" s="7"/>
      <c r="CW81" s="93">
        <f t="shared" si="118"/>
        <v>0</v>
      </c>
      <c r="CX81" s="7"/>
      <c r="CY81" s="93">
        <v>0</v>
      </c>
      <c r="CZ81" s="7"/>
      <c r="DA81" s="93">
        <v>0</v>
      </c>
      <c r="DB81" s="7"/>
      <c r="DC81" s="93">
        <v>0</v>
      </c>
      <c r="DD81" s="7"/>
      <c r="DE81" s="93">
        <v>0</v>
      </c>
      <c r="DF81" s="97">
        <f t="shared" si="104"/>
        <v>0</v>
      </c>
      <c r="DG81" s="98">
        <f t="shared" si="119"/>
        <v>0</v>
      </c>
      <c r="DH81" s="79"/>
      <c r="DI81" s="79">
        <v>0</v>
      </c>
      <c r="DJ81" s="154"/>
      <c r="DK81" s="212">
        <f t="shared" si="122"/>
        <v>0</v>
      </c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99">
        <f t="shared" si="120"/>
        <v>0</v>
      </c>
      <c r="EG81" s="99">
        <f t="shared" si="121"/>
        <v>0</v>
      </c>
    </row>
    <row r="82" spans="1:137" ht="20.100000000000001" customHeight="1">
      <c r="A82" s="63">
        <v>66</v>
      </c>
      <c r="B82" s="63" t="s">
        <v>187</v>
      </c>
      <c r="C82" s="63" t="s">
        <v>14</v>
      </c>
      <c r="D82" s="63"/>
      <c r="E82" s="63">
        <v>0.64</v>
      </c>
      <c r="F82" s="63" t="s">
        <v>25</v>
      </c>
      <c r="G82" s="63"/>
      <c r="H82" s="7"/>
      <c r="I82" s="93"/>
      <c r="J82" s="7"/>
      <c r="K82" s="93"/>
      <c r="L82" s="7"/>
      <c r="M82" s="93"/>
      <c r="N82" s="7"/>
      <c r="O82" s="93"/>
      <c r="P82" s="7"/>
      <c r="Q82" s="93"/>
      <c r="R82" s="7"/>
      <c r="S82" s="93"/>
      <c r="T82" s="7"/>
      <c r="U82" s="93"/>
      <c r="V82" s="7"/>
      <c r="W82" s="93"/>
      <c r="X82" s="7"/>
      <c r="Y82" s="93"/>
      <c r="Z82" s="7"/>
      <c r="AA82" s="93"/>
      <c r="AB82" s="7"/>
      <c r="AC82" s="93"/>
      <c r="AD82" s="7"/>
      <c r="AE82" s="93"/>
      <c r="AF82" s="94">
        <f t="shared" si="105"/>
        <v>0</v>
      </c>
      <c r="AG82" s="95">
        <f t="shared" si="106"/>
        <v>0</v>
      </c>
      <c r="AH82" s="7"/>
      <c r="AI82" s="93"/>
      <c r="AJ82" s="7"/>
      <c r="AK82" s="93"/>
      <c r="AL82" s="7"/>
      <c r="AM82" s="93"/>
      <c r="AN82" s="7"/>
      <c r="AO82" s="93"/>
      <c r="AP82" s="7"/>
      <c r="AQ82" s="93"/>
      <c r="AR82" s="7"/>
      <c r="AS82" s="93"/>
      <c r="AT82" s="7"/>
      <c r="AU82" s="93"/>
      <c r="AV82" s="7"/>
      <c r="AW82" s="93"/>
      <c r="AX82" s="7"/>
      <c r="AY82" s="93"/>
      <c r="AZ82" s="7"/>
      <c r="BA82" s="93"/>
      <c r="BB82" s="7"/>
      <c r="BC82" s="93"/>
      <c r="BD82" s="7"/>
      <c r="BE82" s="93"/>
      <c r="BF82" s="94">
        <f t="shared" si="107"/>
        <v>0</v>
      </c>
      <c r="BG82" s="95">
        <f t="shared" si="108"/>
        <v>0</v>
      </c>
      <c r="BH82" s="7"/>
      <c r="BI82" s="93"/>
      <c r="BJ82" s="7"/>
      <c r="BK82" s="93"/>
      <c r="BL82" s="7"/>
      <c r="BM82" s="93"/>
      <c r="BN82" s="7"/>
      <c r="BO82" s="93"/>
      <c r="BP82" s="7"/>
      <c r="BQ82" s="93"/>
      <c r="BR82" s="7"/>
      <c r="BS82" s="93"/>
      <c r="BT82" s="7"/>
      <c r="BU82" s="93"/>
      <c r="BV82" s="7"/>
      <c r="BW82" s="93"/>
      <c r="BX82" s="7"/>
      <c r="BY82" s="93"/>
      <c r="BZ82" s="7"/>
      <c r="CA82" s="93"/>
      <c r="CB82" s="7"/>
      <c r="CC82" s="93"/>
      <c r="CD82" s="7"/>
      <c r="CE82" s="93"/>
      <c r="CF82" s="94">
        <f t="shared" si="109"/>
        <v>0</v>
      </c>
      <c r="CG82" s="95">
        <f t="shared" si="110"/>
        <v>0</v>
      </c>
      <c r="CH82" s="7"/>
      <c r="CI82" s="93">
        <f t="shared" si="111"/>
        <v>0</v>
      </c>
      <c r="CJ82" s="7"/>
      <c r="CK82" s="93">
        <f t="shared" si="112"/>
        <v>0</v>
      </c>
      <c r="CL82" s="7"/>
      <c r="CM82" s="93">
        <f t="shared" si="113"/>
        <v>0</v>
      </c>
      <c r="CN82" s="7"/>
      <c r="CO82" s="93">
        <f t="shared" si="114"/>
        <v>0</v>
      </c>
      <c r="CP82" s="7"/>
      <c r="CQ82" s="93">
        <f t="shared" si="115"/>
        <v>0</v>
      </c>
      <c r="CR82" s="7"/>
      <c r="CS82" s="93">
        <f t="shared" si="116"/>
        <v>0</v>
      </c>
      <c r="CT82" s="7"/>
      <c r="CU82" s="93">
        <f t="shared" si="117"/>
        <v>0</v>
      </c>
      <c r="CV82" s="7"/>
      <c r="CW82" s="93">
        <f t="shared" si="118"/>
        <v>0</v>
      </c>
      <c r="CX82" s="7"/>
      <c r="CY82" s="93">
        <v>0</v>
      </c>
      <c r="CZ82" s="7"/>
      <c r="DA82" s="93">
        <v>0</v>
      </c>
      <c r="DB82" s="7"/>
      <c r="DC82" s="93">
        <v>0</v>
      </c>
      <c r="DD82" s="7"/>
      <c r="DE82" s="93">
        <v>0</v>
      </c>
      <c r="DF82" s="97">
        <f t="shared" si="104"/>
        <v>0</v>
      </c>
      <c r="DG82" s="98">
        <f t="shared" si="119"/>
        <v>0</v>
      </c>
      <c r="DH82" s="79"/>
      <c r="DI82" s="79">
        <v>0</v>
      </c>
      <c r="DJ82" s="154"/>
      <c r="DK82" s="212">
        <f t="shared" si="122"/>
        <v>0</v>
      </c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99">
        <f t="shared" si="120"/>
        <v>0</v>
      </c>
      <c r="EG82" s="99">
        <f t="shared" si="121"/>
        <v>0</v>
      </c>
    </row>
    <row r="83" spans="1:137" ht="20.100000000000001" customHeight="1">
      <c r="A83" s="63">
        <v>67</v>
      </c>
      <c r="B83" s="63" t="s">
        <v>187</v>
      </c>
      <c r="C83" s="63" t="s">
        <v>17</v>
      </c>
      <c r="D83" s="63"/>
      <c r="E83" s="63">
        <v>1</v>
      </c>
      <c r="F83" s="63" t="s">
        <v>15</v>
      </c>
      <c r="G83" s="63"/>
      <c r="H83" s="7"/>
      <c r="I83" s="93"/>
      <c r="J83" s="7"/>
      <c r="K83" s="93"/>
      <c r="L83" s="7"/>
      <c r="M83" s="93"/>
      <c r="N83" s="7"/>
      <c r="O83" s="93"/>
      <c r="P83" s="7"/>
      <c r="Q83" s="93"/>
      <c r="R83" s="7"/>
      <c r="S83" s="93"/>
      <c r="T83" s="7"/>
      <c r="U83" s="93"/>
      <c r="V83" s="7"/>
      <c r="W83" s="93"/>
      <c r="X83" s="7"/>
      <c r="Y83" s="93"/>
      <c r="Z83" s="7"/>
      <c r="AA83" s="93"/>
      <c r="AB83" s="7"/>
      <c r="AC83" s="93"/>
      <c r="AD83" s="7"/>
      <c r="AE83" s="93"/>
      <c r="AF83" s="94">
        <f t="shared" si="105"/>
        <v>0</v>
      </c>
      <c r="AG83" s="95">
        <f t="shared" si="106"/>
        <v>0</v>
      </c>
      <c r="AH83" s="7"/>
      <c r="AI83" s="93"/>
      <c r="AJ83" s="7"/>
      <c r="AK83" s="93"/>
      <c r="AL83" s="7"/>
      <c r="AM83" s="93"/>
      <c r="AN83" s="7"/>
      <c r="AO83" s="93"/>
      <c r="AP83" s="7"/>
      <c r="AQ83" s="93"/>
      <c r="AR83" s="7"/>
      <c r="AS83" s="93"/>
      <c r="AT83" s="7"/>
      <c r="AU83" s="93"/>
      <c r="AV83" s="7"/>
      <c r="AW83" s="93"/>
      <c r="AX83" s="7"/>
      <c r="AY83" s="93"/>
      <c r="AZ83" s="7"/>
      <c r="BA83" s="93"/>
      <c r="BB83" s="7"/>
      <c r="BC83" s="93"/>
      <c r="BD83" s="7"/>
      <c r="BE83" s="93"/>
      <c r="BF83" s="94">
        <f t="shared" si="107"/>
        <v>0</v>
      </c>
      <c r="BG83" s="95">
        <f t="shared" si="108"/>
        <v>0</v>
      </c>
      <c r="BH83" s="7"/>
      <c r="BI83" s="93"/>
      <c r="BJ83" s="7"/>
      <c r="BK83" s="93"/>
      <c r="BL83" s="7"/>
      <c r="BM83" s="93"/>
      <c r="BN83" s="7"/>
      <c r="BO83" s="93"/>
      <c r="BP83" s="7"/>
      <c r="BQ83" s="93"/>
      <c r="BR83" s="7"/>
      <c r="BS83" s="93"/>
      <c r="BT83" s="7"/>
      <c r="BU83" s="93"/>
      <c r="BV83" s="7"/>
      <c r="BW83" s="93"/>
      <c r="BX83" s="7"/>
      <c r="BY83" s="93"/>
      <c r="BZ83" s="7"/>
      <c r="CA83" s="93"/>
      <c r="CB83" s="7"/>
      <c r="CC83" s="93"/>
      <c r="CD83" s="7"/>
      <c r="CE83" s="93"/>
      <c r="CF83" s="94">
        <f t="shared" si="109"/>
        <v>0</v>
      </c>
      <c r="CG83" s="95">
        <f t="shared" si="110"/>
        <v>0</v>
      </c>
      <c r="CH83" s="7"/>
      <c r="CI83" s="93">
        <f t="shared" si="111"/>
        <v>0</v>
      </c>
      <c r="CJ83" s="7"/>
      <c r="CK83" s="93">
        <f t="shared" si="112"/>
        <v>0</v>
      </c>
      <c r="CL83" s="7"/>
      <c r="CM83" s="93">
        <f t="shared" si="113"/>
        <v>0</v>
      </c>
      <c r="CN83" s="7"/>
      <c r="CO83" s="93">
        <f t="shared" si="114"/>
        <v>0</v>
      </c>
      <c r="CP83" s="7"/>
      <c r="CQ83" s="93">
        <f t="shared" si="115"/>
        <v>0</v>
      </c>
      <c r="CR83" s="7"/>
      <c r="CS83" s="93">
        <f t="shared" si="116"/>
        <v>0</v>
      </c>
      <c r="CT83" s="7"/>
      <c r="CU83" s="93">
        <f t="shared" si="117"/>
        <v>0</v>
      </c>
      <c r="CV83" s="7"/>
      <c r="CW83" s="93">
        <f t="shared" si="118"/>
        <v>0</v>
      </c>
      <c r="CX83" s="7"/>
      <c r="CY83" s="93">
        <v>0</v>
      </c>
      <c r="CZ83" s="7"/>
      <c r="DA83" s="93">
        <v>0</v>
      </c>
      <c r="DB83" s="7"/>
      <c r="DC83" s="93">
        <v>0</v>
      </c>
      <c r="DD83" s="7"/>
      <c r="DE83" s="93">
        <v>0</v>
      </c>
      <c r="DF83" s="97">
        <f t="shared" si="104"/>
        <v>0</v>
      </c>
      <c r="DG83" s="98">
        <f t="shared" si="119"/>
        <v>0</v>
      </c>
      <c r="DH83" s="79"/>
      <c r="DI83" s="79">
        <v>0</v>
      </c>
      <c r="DJ83" s="154"/>
      <c r="DK83" s="212">
        <f t="shared" si="122"/>
        <v>0</v>
      </c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99">
        <f t="shared" si="120"/>
        <v>0</v>
      </c>
      <c r="EG83" s="99">
        <f t="shared" si="121"/>
        <v>0</v>
      </c>
    </row>
    <row r="84" spans="1:137" ht="20.100000000000001" customHeight="1">
      <c r="A84" s="63">
        <v>68</v>
      </c>
      <c r="B84" s="63" t="s">
        <v>88</v>
      </c>
      <c r="C84" s="63" t="s">
        <v>17</v>
      </c>
      <c r="D84" s="63">
        <f>RANK(DF84,$DF$4:$DF$144)</f>
        <v>35</v>
      </c>
      <c r="E84" s="63">
        <v>1</v>
      </c>
      <c r="F84" s="63" t="s">
        <v>15</v>
      </c>
      <c r="G84" s="63"/>
      <c r="H84" s="7"/>
      <c r="I84" s="93">
        <f>H84*$E84</f>
        <v>0</v>
      </c>
      <c r="J84" s="7"/>
      <c r="K84" s="93">
        <f>J84*$E84</f>
        <v>0</v>
      </c>
      <c r="L84" s="7"/>
      <c r="M84" s="93">
        <f>L84*$E84</f>
        <v>0</v>
      </c>
      <c r="N84" s="7"/>
      <c r="O84" s="93">
        <f>N84*$E84</f>
        <v>0</v>
      </c>
      <c r="P84" s="7"/>
      <c r="Q84" s="93">
        <f>P84*$E84</f>
        <v>0</v>
      </c>
      <c r="R84" s="7"/>
      <c r="S84" s="93">
        <f>R84*$E84</f>
        <v>0</v>
      </c>
      <c r="T84" s="7"/>
      <c r="U84" s="93">
        <f>T84*$E84</f>
        <v>0</v>
      </c>
      <c r="V84" s="7"/>
      <c r="W84" s="93">
        <f>V84*$E84</f>
        <v>0</v>
      </c>
      <c r="X84" s="7"/>
      <c r="Y84" s="93">
        <f>X84*$E84</f>
        <v>0</v>
      </c>
      <c r="Z84" s="7"/>
      <c r="AA84" s="93">
        <f>Z84*$E84</f>
        <v>0</v>
      </c>
      <c r="AB84" s="7"/>
      <c r="AC84" s="93">
        <f>AB84*$E84</f>
        <v>0</v>
      </c>
      <c r="AD84" s="7"/>
      <c r="AE84" s="93">
        <f>AD84*$E84</f>
        <v>0</v>
      </c>
      <c r="AF84" s="94">
        <f t="shared" si="105"/>
        <v>0</v>
      </c>
      <c r="AG84" s="95">
        <f t="shared" si="106"/>
        <v>0</v>
      </c>
      <c r="AH84" s="7"/>
      <c r="AI84" s="93">
        <f>AH84*$E84</f>
        <v>0</v>
      </c>
      <c r="AJ84" s="7"/>
      <c r="AK84" s="93">
        <f>AJ84*$E84</f>
        <v>0</v>
      </c>
      <c r="AL84" s="7"/>
      <c r="AM84" s="93">
        <f>AL84*$E84</f>
        <v>0</v>
      </c>
      <c r="AN84" s="7"/>
      <c r="AO84" s="93">
        <f>AN84*$E84</f>
        <v>0</v>
      </c>
      <c r="AP84" s="7"/>
      <c r="AQ84" s="93">
        <f>AP84*$E84</f>
        <v>0</v>
      </c>
      <c r="AR84" s="7"/>
      <c r="AS84" s="93">
        <f>AR84*$E84</f>
        <v>0</v>
      </c>
      <c r="AT84" s="7"/>
      <c r="AU84" s="93">
        <f>AT84*$E84</f>
        <v>0</v>
      </c>
      <c r="AV84" s="7"/>
      <c r="AW84" s="93">
        <f>AV84*$E84</f>
        <v>0</v>
      </c>
      <c r="AX84" s="7"/>
      <c r="AY84" s="93">
        <f>AX84*$E84</f>
        <v>0</v>
      </c>
      <c r="AZ84" s="7"/>
      <c r="BA84" s="93">
        <f>AZ84*$E84</f>
        <v>0</v>
      </c>
      <c r="BB84" s="7"/>
      <c r="BC84" s="93">
        <f>BB84*$E84</f>
        <v>0</v>
      </c>
      <c r="BD84" s="7"/>
      <c r="BE84" s="93">
        <f>BD84*$E84</f>
        <v>0</v>
      </c>
      <c r="BF84" s="94">
        <f t="shared" si="107"/>
        <v>0</v>
      </c>
      <c r="BG84" s="95">
        <f t="shared" si="108"/>
        <v>0</v>
      </c>
      <c r="BH84" s="7"/>
      <c r="BI84" s="93">
        <f>BH84*$E84</f>
        <v>0</v>
      </c>
      <c r="BJ84" s="7"/>
      <c r="BK84" s="93">
        <f>BJ84*$E84</f>
        <v>0</v>
      </c>
      <c r="BL84" s="7"/>
      <c r="BM84" s="93">
        <f>BL84*$E84</f>
        <v>0</v>
      </c>
      <c r="BN84" s="7"/>
      <c r="BO84" s="93">
        <f>BN84*$E84</f>
        <v>0</v>
      </c>
      <c r="BP84" s="7"/>
      <c r="BQ84" s="93">
        <f>BP84*$E84</f>
        <v>0</v>
      </c>
      <c r="BR84" s="7"/>
      <c r="BS84" s="93">
        <f>BR84*$E84</f>
        <v>0</v>
      </c>
      <c r="BT84" s="7"/>
      <c r="BU84" s="93">
        <f>BT84*$E84</f>
        <v>0</v>
      </c>
      <c r="BV84" s="7"/>
      <c r="BW84" s="93">
        <f>BV84*$E84</f>
        <v>0</v>
      </c>
      <c r="BX84" s="7"/>
      <c r="BY84" s="93">
        <f>BX84*$E84</f>
        <v>0</v>
      </c>
      <c r="BZ84" s="7"/>
      <c r="CA84" s="93">
        <f>BZ84*$E84</f>
        <v>0</v>
      </c>
      <c r="CB84" s="7"/>
      <c r="CC84" s="93">
        <f>CB84*$E84</f>
        <v>0</v>
      </c>
      <c r="CD84" s="7"/>
      <c r="CE84" s="93">
        <f>CD84*$E84</f>
        <v>0</v>
      </c>
      <c r="CF84" s="94">
        <f t="shared" si="109"/>
        <v>0</v>
      </c>
      <c r="CG84" s="95">
        <f t="shared" si="110"/>
        <v>0</v>
      </c>
      <c r="CH84" s="7"/>
      <c r="CI84" s="93">
        <f t="shared" si="111"/>
        <v>0</v>
      </c>
      <c r="CJ84" s="7"/>
      <c r="CK84" s="93">
        <f t="shared" si="112"/>
        <v>0</v>
      </c>
      <c r="CL84" s="7"/>
      <c r="CM84" s="93">
        <f t="shared" si="113"/>
        <v>0</v>
      </c>
      <c r="CN84" s="7"/>
      <c r="CO84" s="93">
        <f t="shared" si="114"/>
        <v>0</v>
      </c>
      <c r="CP84" s="7"/>
      <c r="CQ84" s="93">
        <f t="shared" si="115"/>
        <v>0</v>
      </c>
      <c r="CR84" s="7"/>
      <c r="CS84" s="93">
        <f t="shared" si="116"/>
        <v>0</v>
      </c>
      <c r="CT84" s="7"/>
      <c r="CU84" s="93">
        <f t="shared" si="117"/>
        <v>0</v>
      </c>
      <c r="CV84" s="7"/>
      <c r="CW84" s="93">
        <f t="shared" si="118"/>
        <v>0</v>
      </c>
      <c r="CX84" s="7"/>
      <c r="CY84" s="93">
        <v>0</v>
      </c>
      <c r="CZ84" s="7"/>
      <c r="DA84" s="93">
        <v>0</v>
      </c>
      <c r="DB84" s="7"/>
      <c r="DC84" s="93">
        <v>0</v>
      </c>
      <c r="DD84" s="7"/>
      <c r="DE84" s="93">
        <v>0</v>
      </c>
      <c r="DF84" s="97">
        <f t="shared" si="104"/>
        <v>0</v>
      </c>
      <c r="DG84" s="98">
        <f t="shared" si="119"/>
        <v>0</v>
      </c>
      <c r="DH84" s="79"/>
      <c r="DI84" s="79">
        <v>0</v>
      </c>
      <c r="DJ84" s="154"/>
      <c r="DK84" s="212">
        <f t="shared" si="122"/>
        <v>0</v>
      </c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99">
        <f t="shared" si="120"/>
        <v>0</v>
      </c>
      <c r="EG84" s="99">
        <f t="shared" si="121"/>
        <v>0</v>
      </c>
    </row>
    <row r="85" spans="1:137" ht="20.100000000000001" customHeight="1">
      <c r="A85" s="63"/>
      <c r="B85" s="63"/>
      <c r="C85" s="63"/>
      <c r="D85" s="63"/>
      <c r="E85" s="63"/>
      <c r="F85" s="63"/>
      <c r="G85" s="63"/>
      <c r="H85" s="7"/>
      <c r="I85" s="93">
        <f t="shared" ref="I85:K96" si="125">H85*$E85</f>
        <v>0</v>
      </c>
      <c r="J85" s="7"/>
      <c r="K85" s="93">
        <f t="shared" si="125"/>
        <v>0</v>
      </c>
      <c r="L85" s="7"/>
      <c r="M85" s="93">
        <f t="shared" ref="M85:M96" si="126">L85*$E85</f>
        <v>0</v>
      </c>
      <c r="N85" s="7"/>
      <c r="O85" s="93">
        <f t="shared" ref="O85:O96" si="127">N85*$E85</f>
        <v>0</v>
      </c>
      <c r="P85" s="7"/>
      <c r="Q85" s="93">
        <f t="shared" ref="Q85:Q96" si="128">P85*$E85</f>
        <v>0</v>
      </c>
      <c r="R85" s="7"/>
      <c r="S85" s="93">
        <f t="shared" ref="S85:S96" si="129">R85*$E85</f>
        <v>0</v>
      </c>
      <c r="T85" s="7"/>
      <c r="U85" s="93">
        <f t="shared" ref="U85:U96" si="130">T85*$E85</f>
        <v>0</v>
      </c>
      <c r="V85" s="7"/>
      <c r="W85" s="93">
        <f t="shared" ref="W85:W96" si="131">V85*$E85</f>
        <v>0</v>
      </c>
      <c r="X85" s="7"/>
      <c r="Y85" s="93">
        <f t="shared" ref="Y85:Y96" si="132">X85*$E85</f>
        <v>0</v>
      </c>
      <c r="Z85" s="7"/>
      <c r="AA85" s="93">
        <f t="shared" ref="AA85:AA96" si="133">Z85*$E85</f>
        <v>0</v>
      </c>
      <c r="AB85" s="7"/>
      <c r="AC85" s="93">
        <f t="shared" ref="AC85:AC96" si="134">AB85*$E85</f>
        <v>0</v>
      </c>
      <c r="AD85" s="7"/>
      <c r="AE85" s="93">
        <f t="shared" ref="AE85:AE96" si="135">AD85*$E85</f>
        <v>0</v>
      </c>
      <c r="AF85" s="94">
        <f t="shared" si="105"/>
        <v>0</v>
      </c>
      <c r="AG85" s="95">
        <f t="shared" si="106"/>
        <v>0</v>
      </c>
      <c r="AH85" s="7"/>
      <c r="AI85" s="93">
        <f t="shared" si="84"/>
        <v>0</v>
      </c>
      <c r="AJ85" s="7"/>
      <c r="AK85" s="93">
        <f t="shared" si="85"/>
        <v>0</v>
      </c>
      <c r="AL85" s="7"/>
      <c r="AM85" s="93">
        <f t="shared" si="86"/>
        <v>0</v>
      </c>
      <c r="AN85" s="7"/>
      <c r="AO85" s="93">
        <f t="shared" si="87"/>
        <v>0</v>
      </c>
      <c r="AP85" s="7"/>
      <c r="AQ85" s="93">
        <f t="shared" si="88"/>
        <v>0</v>
      </c>
      <c r="AR85" s="7"/>
      <c r="AS85" s="93">
        <f t="shared" si="89"/>
        <v>0</v>
      </c>
      <c r="AT85" s="7"/>
      <c r="AU85" s="93">
        <f t="shared" si="90"/>
        <v>0</v>
      </c>
      <c r="AV85" s="7"/>
      <c r="AW85" s="93">
        <f t="shared" si="91"/>
        <v>0</v>
      </c>
      <c r="AX85" s="7"/>
      <c r="AY85" s="93">
        <f t="shared" si="92"/>
        <v>0</v>
      </c>
      <c r="AZ85" s="7"/>
      <c r="BA85" s="93">
        <f t="shared" si="93"/>
        <v>0</v>
      </c>
      <c r="BB85" s="7"/>
      <c r="BC85" s="93">
        <f t="shared" si="94"/>
        <v>0</v>
      </c>
      <c r="BD85" s="7"/>
      <c r="BE85" s="93">
        <f t="shared" si="95"/>
        <v>0</v>
      </c>
      <c r="BF85" s="94">
        <f t="shared" si="107"/>
        <v>0</v>
      </c>
      <c r="BG85" s="95">
        <f t="shared" si="108"/>
        <v>0</v>
      </c>
      <c r="BH85" s="7"/>
      <c r="BI85" s="93">
        <f t="shared" si="96"/>
        <v>0</v>
      </c>
      <c r="BJ85" s="7"/>
      <c r="BK85" s="93">
        <f t="shared" si="97"/>
        <v>0</v>
      </c>
      <c r="BL85" s="7"/>
      <c r="BM85" s="93">
        <f t="shared" ref="BM85:CA96" si="136">BL85*$E85</f>
        <v>0</v>
      </c>
      <c r="BN85" s="7"/>
      <c r="BO85" s="93">
        <f t="shared" si="136"/>
        <v>0</v>
      </c>
      <c r="BP85" s="7"/>
      <c r="BQ85" s="93">
        <f t="shared" si="136"/>
        <v>0</v>
      </c>
      <c r="BR85" s="7"/>
      <c r="BS85" s="93">
        <f t="shared" si="136"/>
        <v>0</v>
      </c>
      <c r="BT85" s="7"/>
      <c r="BU85" s="93">
        <f t="shared" si="136"/>
        <v>0</v>
      </c>
      <c r="BV85" s="7"/>
      <c r="BW85" s="93">
        <f t="shared" si="136"/>
        <v>0</v>
      </c>
      <c r="BX85" s="7"/>
      <c r="BY85" s="93">
        <f t="shared" si="136"/>
        <v>0</v>
      </c>
      <c r="BZ85" s="7"/>
      <c r="CA85" s="93">
        <f t="shared" si="136"/>
        <v>0</v>
      </c>
      <c r="CB85" s="7"/>
      <c r="CC85" s="93">
        <f t="shared" ref="CC85:CE96" si="137">CB85*$E85</f>
        <v>0</v>
      </c>
      <c r="CD85" s="7"/>
      <c r="CE85" s="93">
        <f t="shared" si="137"/>
        <v>0</v>
      </c>
      <c r="CF85" s="94">
        <f t="shared" si="109"/>
        <v>0</v>
      </c>
      <c r="CG85" s="95">
        <f t="shared" si="110"/>
        <v>0</v>
      </c>
      <c r="CH85" s="7"/>
      <c r="CI85" s="93">
        <f t="shared" si="111"/>
        <v>0</v>
      </c>
      <c r="CJ85" s="7"/>
      <c r="CK85" s="93">
        <f t="shared" si="112"/>
        <v>0</v>
      </c>
      <c r="CL85" s="7"/>
      <c r="CM85" s="93">
        <f t="shared" si="113"/>
        <v>0</v>
      </c>
      <c r="CN85" s="7"/>
      <c r="CO85" s="93">
        <f t="shared" si="114"/>
        <v>0</v>
      </c>
      <c r="CP85" s="7"/>
      <c r="CQ85" s="93">
        <f t="shared" si="115"/>
        <v>0</v>
      </c>
      <c r="CR85" s="7"/>
      <c r="CS85" s="93">
        <f t="shared" si="116"/>
        <v>0</v>
      </c>
      <c r="CT85" s="7"/>
      <c r="CU85" s="93">
        <f t="shared" si="117"/>
        <v>0</v>
      </c>
      <c r="CV85" s="7"/>
      <c r="CW85" s="93">
        <f t="shared" si="118"/>
        <v>0</v>
      </c>
      <c r="CX85" s="7"/>
      <c r="CY85" s="93">
        <v>0</v>
      </c>
      <c r="CZ85" s="7"/>
      <c r="DA85" s="93">
        <v>0</v>
      </c>
      <c r="DB85" s="7"/>
      <c r="DC85" s="93">
        <v>0</v>
      </c>
      <c r="DD85" s="7"/>
      <c r="DE85" s="93">
        <v>0</v>
      </c>
      <c r="DF85" s="97">
        <f t="shared" si="104"/>
        <v>0</v>
      </c>
      <c r="DG85" s="98">
        <f t="shared" si="119"/>
        <v>0</v>
      </c>
      <c r="DH85" s="79"/>
      <c r="DI85" s="79">
        <v>0</v>
      </c>
      <c r="DJ85" s="154"/>
      <c r="DK85" s="212">
        <f t="shared" si="122"/>
        <v>0</v>
      </c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99">
        <f t="shared" si="120"/>
        <v>0</v>
      </c>
      <c r="EG85" s="99">
        <f t="shared" si="121"/>
        <v>0</v>
      </c>
    </row>
    <row r="86" spans="1:137" ht="20.100000000000001" customHeight="1">
      <c r="A86" s="63">
        <v>69</v>
      </c>
      <c r="B86" s="63" t="s">
        <v>72</v>
      </c>
      <c r="C86" s="63" t="s">
        <v>17</v>
      </c>
      <c r="D86" s="63">
        <f>RANK(DF86,$DF$4:$DF$144)</f>
        <v>35</v>
      </c>
      <c r="E86" s="63">
        <v>1</v>
      </c>
      <c r="F86" s="63" t="s">
        <v>24</v>
      </c>
      <c r="G86" s="63"/>
      <c r="H86" s="7"/>
      <c r="I86" s="93">
        <f t="shared" si="125"/>
        <v>0</v>
      </c>
      <c r="J86" s="7"/>
      <c r="K86" s="93">
        <f t="shared" si="125"/>
        <v>0</v>
      </c>
      <c r="L86" s="7"/>
      <c r="M86" s="93">
        <f t="shared" si="126"/>
        <v>0</v>
      </c>
      <c r="N86" s="7"/>
      <c r="O86" s="93">
        <f t="shared" si="127"/>
        <v>0</v>
      </c>
      <c r="P86" s="7"/>
      <c r="Q86" s="93">
        <f t="shared" si="128"/>
        <v>0</v>
      </c>
      <c r="R86" s="7"/>
      <c r="S86" s="93">
        <f t="shared" si="129"/>
        <v>0</v>
      </c>
      <c r="T86" s="7"/>
      <c r="U86" s="93">
        <f t="shared" si="130"/>
        <v>0</v>
      </c>
      <c r="V86" s="7"/>
      <c r="W86" s="93">
        <f t="shared" si="131"/>
        <v>0</v>
      </c>
      <c r="X86" s="7"/>
      <c r="Y86" s="93">
        <f t="shared" si="132"/>
        <v>0</v>
      </c>
      <c r="Z86" s="7"/>
      <c r="AA86" s="93">
        <f t="shared" si="133"/>
        <v>0</v>
      </c>
      <c r="AB86" s="7"/>
      <c r="AC86" s="93">
        <f t="shared" si="134"/>
        <v>0</v>
      </c>
      <c r="AD86" s="7"/>
      <c r="AE86" s="93">
        <f t="shared" si="135"/>
        <v>0</v>
      </c>
      <c r="AF86" s="94">
        <f t="shared" si="105"/>
        <v>0</v>
      </c>
      <c r="AG86" s="95">
        <f t="shared" si="106"/>
        <v>0</v>
      </c>
      <c r="AH86" s="7"/>
      <c r="AI86" s="93">
        <f t="shared" si="84"/>
        <v>0</v>
      </c>
      <c r="AJ86" s="7"/>
      <c r="AK86" s="93">
        <f t="shared" si="85"/>
        <v>0</v>
      </c>
      <c r="AL86" s="7"/>
      <c r="AM86" s="93">
        <f t="shared" si="86"/>
        <v>0</v>
      </c>
      <c r="AN86" s="7"/>
      <c r="AO86" s="93">
        <f t="shared" si="87"/>
        <v>0</v>
      </c>
      <c r="AP86" s="7"/>
      <c r="AQ86" s="93">
        <f t="shared" si="88"/>
        <v>0</v>
      </c>
      <c r="AR86" s="7"/>
      <c r="AS86" s="93">
        <f t="shared" si="89"/>
        <v>0</v>
      </c>
      <c r="AT86" s="7"/>
      <c r="AU86" s="93">
        <f t="shared" si="90"/>
        <v>0</v>
      </c>
      <c r="AV86" s="7"/>
      <c r="AW86" s="93">
        <f t="shared" si="91"/>
        <v>0</v>
      </c>
      <c r="AX86" s="7"/>
      <c r="AY86" s="93">
        <f t="shared" si="92"/>
        <v>0</v>
      </c>
      <c r="AZ86" s="7"/>
      <c r="BA86" s="93">
        <f t="shared" si="93"/>
        <v>0</v>
      </c>
      <c r="BB86" s="7"/>
      <c r="BC86" s="93">
        <f t="shared" si="94"/>
        <v>0</v>
      </c>
      <c r="BD86" s="7"/>
      <c r="BE86" s="93">
        <f t="shared" si="95"/>
        <v>0</v>
      </c>
      <c r="BF86" s="94">
        <f t="shared" si="107"/>
        <v>0</v>
      </c>
      <c r="BG86" s="95">
        <f t="shared" si="108"/>
        <v>0</v>
      </c>
      <c r="BH86" s="7"/>
      <c r="BI86" s="93">
        <f t="shared" si="96"/>
        <v>0</v>
      </c>
      <c r="BJ86" s="7"/>
      <c r="BK86" s="93">
        <f t="shared" si="97"/>
        <v>0</v>
      </c>
      <c r="BL86" s="7"/>
      <c r="BM86" s="93">
        <f t="shared" si="136"/>
        <v>0</v>
      </c>
      <c r="BN86" s="7"/>
      <c r="BO86" s="93">
        <f t="shared" si="136"/>
        <v>0</v>
      </c>
      <c r="BP86" s="7"/>
      <c r="BQ86" s="93">
        <f t="shared" si="136"/>
        <v>0</v>
      </c>
      <c r="BR86" s="7"/>
      <c r="BS86" s="93">
        <f t="shared" si="136"/>
        <v>0</v>
      </c>
      <c r="BT86" s="7"/>
      <c r="BU86" s="93">
        <f t="shared" si="136"/>
        <v>0</v>
      </c>
      <c r="BV86" s="7"/>
      <c r="BW86" s="93">
        <f t="shared" si="136"/>
        <v>0</v>
      </c>
      <c r="BX86" s="7"/>
      <c r="BY86" s="93">
        <f t="shared" si="136"/>
        <v>0</v>
      </c>
      <c r="BZ86" s="7"/>
      <c r="CA86" s="93">
        <f t="shared" si="136"/>
        <v>0</v>
      </c>
      <c r="CB86" s="7"/>
      <c r="CC86" s="93">
        <f t="shared" si="137"/>
        <v>0</v>
      </c>
      <c r="CD86" s="7"/>
      <c r="CE86" s="93">
        <f t="shared" si="137"/>
        <v>0</v>
      </c>
      <c r="CF86" s="94">
        <f t="shared" si="109"/>
        <v>0</v>
      </c>
      <c r="CG86" s="95">
        <f t="shared" si="110"/>
        <v>0</v>
      </c>
      <c r="CH86" s="7"/>
      <c r="CI86" s="93">
        <f t="shared" si="111"/>
        <v>0</v>
      </c>
      <c r="CJ86" s="7"/>
      <c r="CK86" s="93">
        <f t="shared" si="112"/>
        <v>0</v>
      </c>
      <c r="CL86" s="7"/>
      <c r="CM86" s="93">
        <f t="shared" si="113"/>
        <v>0</v>
      </c>
      <c r="CN86" s="7"/>
      <c r="CO86" s="93">
        <f t="shared" si="114"/>
        <v>0</v>
      </c>
      <c r="CP86" s="7"/>
      <c r="CQ86" s="93">
        <f t="shared" si="115"/>
        <v>0</v>
      </c>
      <c r="CR86" s="7"/>
      <c r="CS86" s="93">
        <f t="shared" si="116"/>
        <v>0</v>
      </c>
      <c r="CT86" s="7"/>
      <c r="CU86" s="93">
        <f t="shared" si="117"/>
        <v>0</v>
      </c>
      <c r="CV86" s="7"/>
      <c r="CW86" s="93">
        <f t="shared" si="118"/>
        <v>0</v>
      </c>
      <c r="CX86" s="7"/>
      <c r="CY86" s="93">
        <v>0</v>
      </c>
      <c r="CZ86" s="7"/>
      <c r="DA86" s="93">
        <v>0</v>
      </c>
      <c r="DB86" s="7"/>
      <c r="DC86" s="93">
        <v>0</v>
      </c>
      <c r="DD86" s="7"/>
      <c r="DE86" s="93">
        <v>0</v>
      </c>
      <c r="DF86" s="97">
        <f t="shared" si="104"/>
        <v>0</v>
      </c>
      <c r="DG86" s="98">
        <f t="shared" si="119"/>
        <v>0</v>
      </c>
      <c r="DH86" s="79"/>
      <c r="DI86" s="79">
        <v>0</v>
      </c>
      <c r="DJ86" s="154"/>
      <c r="DK86" s="212">
        <f t="shared" si="122"/>
        <v>0</v>
      </c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99">
        <f t="shared" si="120"/>
        <v>0</v>
      </c>
      <c r="EG86" s="99">
        <f t="shared" si="121"/>
        <v>0</v>
      </c>
    </row>
    <row r="87" spans="1:137" ht="20.100000000000001" customHeight="1">
      <c r="A87" s="63">
        <v>70</v>
      </c>
      <c r="B87" s="63" t="s">
        <v>73</v>
      </c>
      <c r="C87" s="63" t="s">
        <v>17</v>
      </c>
      <c r="D87" s="63">
        <f>RANK(DF87,$DF$4:$DF$144)</f>
        <v>35</v>
      </c>
      <c r="E87" s="63">
        <v>1</v>
      </c>
      <c r="F87" s="63" t="s">
        <v>24</v>
      </c>
      <c r="G87" s="63"/>
      <c r="H87" s="7"/>
      <c r="I87" s="93">
        <f t="shared" si="125"/>
        <v>0</v>
      </c>
      <c r="J87" s="7"/>
      <c r="K87" s="93">
        <f t="shared" si="125"/>
        <v>0</v>
      </c>
      <c r="L87" s="7"/>
      <c r="M87" s="93">
        <f t="shared" si="126"/>
        <v>0</v>
      </c>
      <c r="N87" s="7"/>
      <c r="O87" s="93">
        <f t="shared" si="127"/>
        <v>0</v>
      </c>
      <c r="P87" s="7"/>
      <c r="Q87" s="93">
        <f t="shared" si="128"/>
        <v>0</v>
      </c>
      <c r="R87" s="7"/>
      <c r="S87" s="93">
        <f t="shared" si="129"/>
        <v>0</v>
      </c>
      <c r="T87" s="7"/>
      <c r="U87" s="93">
        <f t="shared" si="130"/>
        <v>0</v>
      </c>
      <c r="V87" s="7"/>
      <c r="W87" s="93">
        <f t="shared" si="131"/>
        <v>0</v>
      </c>
      <c r="X87" s="7"/>
      <c r="Y87" s="93">
        <f t="shared" si="132"/>
        <v>0</v>
      </c>
      <c r="Z87" s="7"/>
      <c r="AA87" s="93">
        <f t="shared" si="133"/>
        <v>0</v>
      </c>
      <c r="AB87" s="7"/>
      <c r="AC87" s="93">
        <f t="shared" si="134"/>
        <v>0</v>
      </c>
      <c r="AD87" s="7"/>
      <c r="AE87" s="93">
        <f t="shared" si="135"/>
        <v>0</v>
      </c>
      <c r="AF87" s="94">
        <f t="shared" si="105"/>
        <v>0</v>
      </c>
      <c r="AG87" s="95">
        <f t="shared" si="106"/>
        <v>0</v>
      </c>
      <c r="AH87" s="7"/>
      <c r="AI87" s="93">
        <f t="shared" si="84"/>
        <v>0</v>
      </c>
      <c r="AJ87" s="7"/>
      <c r="AK87" s="93">
        <f t="shared" si="85"/>
        <v>0</v>
      </c>
      <c r="AL87" s="7"/>
      <c r="AM87" s="93">
        <f t="shared" si="86"/>
        <v>0</v>
      </c>
      <c r="AN87" s="7"/>
      <c r="AO87" s="93">
        <f t="shared" si="87"/>
        <v>0</v>
      </c>
      <c r="AP87" s="7"/>
      <c r="AQ87" s="93">
        <f t="shared" si="88"/>
        <v>0</v>
      </c>
      <c r="AR87" s="7"/>
      <c r="AS87" s="93">
        <f t="shared" si="89"/>
        <v>0</v>
      </c>
      <c r="AT87" s="7"/>
      <c r="AU87" s="93">
        <f t="shared" si="90"/>
        <v>0</v>
      </c>
      <c r="AV87" s="7"/>
      <c r="AW87" s="93">
        <f t="shared" si="91"/>
        <v>0</v>
      </c>
      <c r="AX87" s="7"/>
      <c r="AY87" s="93">
        <f t="shared" si="92"/>
        <v>0</v>
      </c>
      <c r="AZ87" s="7"/>
      <c r="BA87" s="93">
        <f t="shared" si="93"/>
        <v>0</v>
      </c>
      <c r="BB87" s="7"/>
      <c r="BC87" s="93">
        <f t="shared" si="94"/>
        <v>0</v>
      </c>
      <c r="BD87" s="7"/>
      <c r="BE87" s="93">
        <f t="shared" si="95"/>
        <v>0</v>
      </c>
      <c r="BF87" s="94">
        <f t="shared" si="107"/>
        <v>0</v>
      </c>
      <c r="BG87" s="95">
        <f t="shared" si="108"/>
        <v>0</v>
      </c>
      <c r="BH87" s="7"/>
      <c r="BI87" s="93">
        <f t="shared" si="96"/>
        <v>0</v>
      </c>
      <c r="BJ87" s="7"/>
      <c r="BK87" s="93">
        <f t="shared" si="97"/>
        <v>0</v>
      </c>
      <c r="BL87" s="7"/>
      <c r="BM87" s="93">
        <f t="shared" si="136"/>
        <v>0</v>
      </c>
      <c r="BN87" s="7"/>
      <c r="BO87" s="93">
        <f t="shared" si="136"/>
        <v>0</v>
      </c>
      <c r="BP87" s="7"/>
      <c r="BQ87" s="93">
        <f t="shared" si="136"/>
        <v>0</v>
      </c>
      <c r="BR87" s="7"/>
      <c r="BS87" s="93">
        <f t="shared" si="136"/>
        <v>0</v>
      </c>
      <c r="BT87" s="7"/>
      <c r="BU87" s="93">
        <f t="shared" si="136"/>
        <v>0</v>
      </c>
      <c r="BV87" s="7"/>
      <c r="BW87" s="93">
        <f t="shared" si="136"/>
        <v>0</v>
      </c>
      <c r="BX87" s="7"/>
      <c r="BY87" s="93">
        <f t="shared" si="136"/>
        <v>0</v>
      </c>
      <c r="BZ87" s="7"/>
      <c r="CA87" s="93">
        <f t="shared" si="136"/>
        <v>0</v>
      </c>
      <c r="CB87" s="7"/>
      <c r="CC87" s="93">
        <f t="shared" si="137"/>
        <v>0</v>
      </c>
      <c r="CD87" s="7"/>
      <c r="CE87" s="93">
        <f t="shared" si="137"/>
        <v>0</v>
      </c>
      <c r="CF87" s="94">
        <f t="shared" si="109"/>
        <v>0</v>
      </c>
      <c r="CG87" s="95">
        <f t="shared" si="110"/>
        <v>0</v>
      </c>
      <c r="CH87" s="7"/>
      <c r="CI87" s="93">
        <f t="shared" si="111"/>
        <v>0</v>
      </c>
      <c r="CJ87" s="7"/>
      <c r="CK87" s="93">
        <f t="shared" si="112"/>
        <v>0</v>
      </c>
      <c r="CL87" s="7"/>
      <c r="CM87" s="93">
        <f t="shared" si="113"/>
        <v>0</v>
      </c>
      <c r="CN87" s="7"/>
      <c r="CO87" s="93">
        <f t="shared" si="114"/>
        <v>0</v>
      </c>
      <c r="CP87" s="7"/>
      <c r="CQ87" s="93">
        <f t="shared" si="115"/>
        <v>0</v>
      </c>
      <c r="CR87" s="7"/>
      <c r="CS87" s="93">
        <f t="shared" si="116"/>
        <v>0</v>
      </c>
      <c r="CT87" s="7"/>
      <c r="CU87" s="93">
        <f t="shared" si="117"/>
        <v>0</v>
      </c>
      <c r="CV87" s="7"/>
      <c r="CW87" s="93">
        <f t="shared" si="118"/>
        <v>0</v>
      </c>
      <c r="CX87" s="7"/>
      <c r="CY87" s="93">
        <v>0</v>
      </c>
      <c r="CZ87" s="7"/>
      <c r="DA87" s="93">
        <v>0</v>
      </c>
      <c r="DB87" s="7"/>
      <c r="DC87" s="93">
        <v>0</v>
      </c>
      <c r="DD87" s="7"/>
      <c r="DE87" s="93">
        <v>0</v>
      </c>
      <c r="DF87" s="97">
        <f t="shared" si="104"/>
        <v>0</v>
      </c>
      <c r="DG87" s="98">
        <f t="shared" si="119"/>
        <v>0</v>
      </c>
      <c r="DH87" s="79"/>
      <c r="DI87" s="79">
        <v>0</v>
      </c>
      <c r="DJ87" s="154"/>
      <c r="DK87" s="212">
        <f t="shared" si="122"/>
        <v>0</v>
      </c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99">
        <f t="shared" si="120"/>
        <v>0</v>
      </c>
      <c r="EG87" s="99">
        <f t="shared" si="121"/>
        <v>0</v>
      </c>
    </row>
    <row r="88" spans="1:137" ht="20.100000000000001" customHeight="1">
      <c r="A88" s="63">
        <v>71</v>
      </c>
      <c r="B88" s="63" t="s">
        <v>74</v>
      </c>
      <c r="C88" s="63" t="s">
        <v>17</v>
      </c>
      <c r="D88" s="63">
        <f>RANK(DF88,$DF$4:$DF$144)</f>
        <v>35</v>
      </c>
      <c r="E88" s="63">
        <v>1</v>
      </c>
      <c r="F88" s="63" t="s">
        <v>15</v>
      </c>
      <c r="G88" s="63"/>
      <c r="H88" s="7"/>
      <c r="I88" s="93">
        <f t="shared" si="125"/>
        <v>0</v>
      </c>
      <c r="J88" s="7"/>
      <c r="K88" s="93">
        <f t="shared" si="125"/>
        <v>0</v>
      </c>
      <c r="L88" s="7"/>
      <c r="M88" s="93">
        <f t="shared" si="126"/>
        <v>0</v>
      </c>
      <c r="N88" s="7"/>
      <c r="O88" s="93">
        <f t="shared" si="127"/>
        <v>0</v>
      </c>
      <c r="P88" s="7"/>
      <c r="Q88" s="93">
        <f t="shared" si="128"/>
        <v>0</v>
      </c>
      <c r="R88" s="7"/>
      <c r="S88" s="93">
        <f t="shared" si="129"/>
        <v>0</v>
      </c>
      <c r="T88" s="7"/>
      <c r="U88" s="93">
        <f t="shared" si="130"/>
        <v>0</v>
      </c>
      <c r="V88" s="7"/>
      <c r="W88" s="93">
        <f t="shared" si="131"/>
        <v>0</v>
      </c>
      <c r="X88" s="7"/>
      <c r="Y88" s="93">
        <f t="shared" si="132"/>
        <v>0</v>
      </c>
      <c r="Z88" s="7"/>
      <c r="AA88" s="93">
        <f t="shared" si="133"/>
        <v>0</v>
      </c>
      <c r="AB88" s="7"/>
      <c r="AC88" s="93">
        <f t="shared" si="134"/>
        <v>0</v>
      </c>
      <c r="AD88" s="7"/>
      <c r="AE88" s="93">
        <f t="shared" si="135"/>
        <v>0</v>
      </c>
      <c r="AF88" s="94">
        <f t="shared" si="105"/>
        <v>0</v>
      </c>
      <c r="AG88" s="95">
        <f t="shared" si="106"/>
        <v>0</v>
      </c>
      <c r="AH88" s="7"/>
      <c r="AI88" s="93">
        <f t="shared" si="84"/>
        <v>0</v>
      </c>
      <c r="AJ88" s="7"/>
      <c r="AK88" s="93">
        <f t="shared" si="85"/>
        <v>0</v>
      </c>
      <c r="AL88" s="7"/>
      <c r="AM88" s="93">
        <f t="shared" si="86"/>
        <v>0</v>
      </c>
      <c r="AN88" s="7"/>
      <c r="AO88" s="93">
        <f t="shared" si="87"/>
        <v>0</v>
      </c>
      <c r="AP88" s="7"/>
      <c r="AQ88" s="93">
        <f t="shared" si="88"/>
        <v>0</v>
      </c>
      <c r="AR88" s="7"/>
      <c r="AS88" s="93">
        <f t="shared" si="89"/>
        <v>0</v>
      </c>
      <c r="AT88" s="7"/>
      <c r="AU88" s="93">
        <f t="shared" si="90"/>
        <v>0</v>
      </c>
      <c r="AV88" s="7"/>
      <c r="AW88" s="93">
        <f t="shared" si="91"/>
        <v>0</v>
      </c>
      <c r="AX88" s="7"/>
      <c r="AY88" s="93">
        <f t="shared" si="92"/>
        <v>0</v>
      </c>
      <c r="AZ88" s="7"/>
      <c r="BA88" s="93">
        <f t="shared" si="93"/>
        <v>0</v>
      </c>
      <c r="BB88" s="7"/>
      <c r="BC88" s="93">
        <f t="shared" si="94"/>
        <v>0</v>
      </c>
      <c r="BD88" s="7"/>
      <c r="BE88" s="93">
        <f t="shared" si="95"/>
        <v>0</v>
      </c>
      <c r="BF88" s="94">
        <f t="shared" si="107"/>
        <v>0</v>
      </c>
      <c r="BG88" s="95">
        <f t="shared" si="108"/>
        <v>0</v>
      </c>
      <c r="BH88" s="7"/>
      <c r="BI88" s="93">
        <f t="shared" si="96"/>
        <v>0</v>
      </c>
      <c r="BJ88" s="7"/>
      <c r="BK88" s="93">
        <f t="shared" si="97"/>
        <v>0</v>
      </c>
      <c r="BL88" s="7"/>
      <c r="BM88" s="93">
        <f t="shared" si="136"/>
        <v>0</v>
      </c>
      <c r="BN88" s="7"/>
      <c r="BO88" s="93">
        <f t="shared" si="136"/>
        <v>0</v>
      </c>
      <c r="BP88" s="7"/>
      <c r="BQ88" s="93">
        <f t="shared" si="136"/>
        <v>0</v>
      </c>
      <c r="BR88" s="7"/>
      <c r="BS88" s="93">
        <f t="shared" si="136"/>
        <v>0</v>
      </c>
      <c r="BT88" s="7"/>
      <c r="BU88" s="93">
        <f t="shared" si="136"/>
        <v>0</v>
      </c>
      <c r="BV88" s="7"/>
      <c r="BW88" s="93">
        <f t="shared" si="136"/>
        <v>0</v>
      </c>
      <c r="BX88" s="7"/>
      <c r="BY88" s="93">
        <f t="shared" si="136"/>
        <v>0</v>
      </c>
      <c r="BZ88" s="7"/>
      <c r="CA88" s="93">
        <f t="shared" si="136"/>
        <v>0</v>
      </c>
      <c r="CB88" s="7"/>
      <c r="CC88" s="93">
        <f t="shared" si="137"/>
        <v>0</v>
      </c>
      <c r="CD88" s="7"/>
      <c r="CE88" s="93">
        <f t="shared" si="137"/>
        <v>0</v>
      </c>
      <c r="CF88" s="94">
        <f t="shared" si="109"/>
        <v>0</v>
      </c>
      <c r="CG88" s="95">
        <f t="shared" si="110"/>
        <v>0</v>
      </c>
      <c r="CH88" s="7"/>
      <c r="CI88" s="93">
        <f t="shared" si="111"/>
        <v>0</v>
      </c>
      <c r="CJ88" s="7"/>
      <c r="CK88" s="93">
        <f t="shared" si="112"/>
        <v>0</v>
      </c>
      <c r="CL88" s="7"/>
      <c r="CM88" s="93">
        <f t="shared" si="113"/>
        <v>0</v>
      </c>
      <c r="CN88" s="7"/>
      <c r="CO88" s="93">
        <f t="shared" si="114"/>
        <v>0</v>
      </c>
      <c r="CP88" s="7"/>
      <c r="CQ88" s="93">
        <f t="shared" si="115"/>
        <v>0</v>
      </c>
      <c r="CR88" s="7"/>
      <c r="CS88" s="93">
        <f t="shared" si="116"/>
        <v>0</v>
      </c>
      <c r="CT88" s="7"/>
      <c r="CU88" s="93">
        <f t="shared" si="117"/>
        <v>0</v>
      </c>
      <c r="CV88" s="7"/>
      <c r="CW88" s="93">
        <f t="shared" si="118"/>
        <v>0</v>
      </c>
      <c r="CX88" s="7"/>
      <c r="CY88" s="93">
        <v>0</v>
      </c>
      <c r="CZ88" s="7"/>
      <c r="DA88" s="93">
        <v>0</v>
      </c>
      <c r="DB88" s="7"/>
      <c r="DC88" s="93">
        <v>0</v>
      </c>
      <c r="DD88" s="7"/>
      <c r="DE88" s="93">
        <v>0</v>
      </c>
      <c r="DF88" s="97">
        <f t="shared" si="104"/>
        <v>0</v>
      </c>
      <c r="DG88" s="98">
        <f t="shared" si="119"/>
        <v>0</v>
      </c>
      <c r="DH88" s="79"/>
      <c r="DI88" s="79">
        <v>0</v>
      </c>
      <c r="DJ88" s="154"/>
      <c r="DK88" s="212">
        <f t="shared" si="122"/>
        <v>0</v>
      </c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99">
        <f t="shared" si="120"/>
        <v>0</v>
      </c>
      <c r="EG88" s="99">
        <f t="shared" si="121"/>
        <v>0</v>
      </c>
    </row>
    <row r="89" spans="1:137" ht="20.100000000000001" customHeight="1">
      <c r="A89" s="63">
        <v>72</v>
      </c>
      <c r="B89" s="63" t="s">
        <v>75</v>
      </c>
      <c r="C89" s="63" t="s">
        <v>17</v>
      </c>
      <c r="D89" s="63">
        <f>RANK(DF89,$DF$4:$DF$144)</f>
        <v>9</v>
      </c>
      <c r="E89" s="63">
        <v>0.6</v>
      </c>
      <c r="F89" s="63" t="s">
        <v>24</v>
      </c>
      <c r="G89" s="63">
        <v>900</v>
      </c>
      <c r="H89" s="7"/>
      <c r="I89" s="93">
        <f t="shared" si="125"/>
        <v>0</v>
      </c>
      <c r="J89" s="7"/>
      <c r="K89" s="93">
        <f t="shared" si="125"/>
        <v>0</v>
      </c>
      <c r="L89" s="7"/>
      <c r="M89" s="93">
        <f t="shared" si="126"/>
        <v>0</v>
      </c>
      <c r="N89" s="7"/>
      <c r="O89" s="93">
        <f t="shared" si="127"/>
        <v>0</v>
      </c>
      <c r="P89" s="7"/>
      <c r="Q89" s="93">
        <f t="shared" si="128"/>
        <v>0</v>
      </c>
      <c r="R89" s="7"/>
      <c r="S89" s="93">
        <f t="shared" si="129"/>
        <v>0</v>
      </c>
      <c r="T89" s="7"/>
      <c r="U89" s="93">
        <f t="shared" si="130"/>
        <v>0</v>
      </c>
      <c r="V89" s="7"/>
      <c r="W89" s="93">
        <f t="shared" si="131"/>
        <v>0</v>
      </c>
      <c r="X89" s="7"/>
      <c r="Y89" s="93">
        <f t="shared" si="132"/>
        <v>0</v>
      </c>
      <c r="Z89" s="7"/>
      <c r="AA89" s="93">
        <f t="shared" si="133"/>
        <v>0</v>
      </c>
      <c r="AB89" s="7"/>
      <c r="AC89" s="93">
        <f t="shared" si="134"/>
        <v>0</v>
      </c>
      <c r="AD89" s="7"/>
      <c r="AE89" s="93">
        <f t="shared" si="135"/>
        <v>0</v>
      </c>
      <c r="AF89" s="94">
        <f t="shared" si="105"/>
        <v>0</v>
      </c>
      <c r="AG89" s="95">
        <f t="shared" si="106"/>
        <v>0</v>
      </c>
      <c r="AH89" s="7"/>
      <c r="AI89" s="93">
        <f t="shared" si="84"/>
        <v>0</v>
      </c>
      <c r="AJ89" s="7"/>
      <c r="AK89" s="93">
        <f t="shared" si="85"/>
        <v>0</v>
      </c>
      <c r="AL89" s="7"/>
      <c r="AM89" s="93">
        <f t="shared" si="86"/>
        <v>0</v>
      </c>
      <c r="AN89" s="7"/>
      <c r="AO89" s="93">
        <f t="shared" si="87"/>
        <v>0</v>
      </c>
      <c r="AP89" s="7"/>
      <c r="AQ89" s="93">
        <f t="shared" si="88"/>
        <v>0</v>
      </c>
      <c r="AR89" s="7"/>
      <c r="AS89" s="93">
        <f t="shared" si="89"/>
        <v>0</v>
      </c>
      <c r="AT89" s="7"/>
      <c r="AU89" s="93">
        <f t="shared" si="90"/>
        <v>0</v>
      </c>
      <c r="AV89" s="7"/>
      <c r="AW89" s="93">
        <f t="shared" si="91"/>
        <v>0</v>
      </c>
      <c r="AX89" s="7"/>
      <c r="AY89" s="93">
        <f t="shared" si="92"/>
        <v>0</v>
      </c>
      <c r="AZ89" s="7"/>
      <c r="BA89" s="93">
        <f t="shared" si="93"/>
        <v>0</v>
      </c>
      <c r="BB89" s="7"/>
      <c r="BC89" s="93">
        <f t="shared" si="94"/>
        <v>0</v>
      </c>
      <c r="BD89" s="7"/>
      <c r="BE89" s="93">
        <f t="shared" si="95"/>
        <v>0</v>
      </c>
      <c r="BF89" s="94">
        <f t="shared" si="107"/>
        <v>0</v>
      </c>
      <c r="BG89" s="95">
        <f t="shared" si="108"/>
        <v>0</v>
      </c>
      <c r="BH89" s="92"/>
      <c r="BI89" s="93">
        <f t="shared" si="96"/>
        <v>0</v>
      </c>
      <c r="BJ89" s="92"/>
      <c r="BK89" s="93">
        <f t="shared" si="97"/>
        <v>0</v>
      </c>
      <c r="BL89" s="92"/>
      <c r="BM89" s="93">
        <f t="shared" si="136"/>
        <v>0</v>
      </c>
      <c r="BN89" s="92"/>
      <c r="BO89" s="93">
        <f t="shared" si="136"/>
        <v>0</v>
      </c>
      <c r="BP89" s="92">
        <v>12608</v>
      </c>
      <c r="BQ89" s="93">
        <f t="shared" si="136"/>
        <v>7564.7999999999993</v>
      </c>
      <c r="BR89" s="92">
        <v>6380</v>
      </c>
      <c r="BS89" s="93">
        <f t="shared" si="136"/>
        <v>3828</v>
      </c>
      <c r="BT89" s="92">
        <v>18960</v>
      </c>
      <c r="BU89" s="93">
        <f t="shared" si="136"/>
        <v>11376</v>
      </c>
      <c r="BV89" s="92">
        <v>12922</v>
      </c>
      <c r="BW89" s="93">
        <f t="shared" si="136"/>
        <v>7753.2</v>
      </c>
      <c r="BX89" s="92">
        <v>27118</v>
      </c>
      <c r="BY89" s="93">
        <f t="shared" si="136"/>
        <v>16270.8</v>
      </c>
      <c r="BZ89" s="92">
        <v>29069</v>
      </c>
      <c r="CA89" s="93">
        <f t="shared" si="136"/>
        <v>17441.399999999998</v>
      </c>
      <c r="CB89" s="92">
        <v>28498</v>
      </c>
      <c r="CC89" s="93">
        <f t="shared" si="137"/>
        <v>17098.8</v>
      </c>
      <c r="CD89" s="7">
        <v>30810</v>
      </c>
      <c r="CE89" s="93">
        <f t="shared" si="137"/>
        <v>18486</v>
      </c>
      <c r="CF89" s="94">
        <f t="shared" si="109"/>
        <v>166365</v>
      </c>
      <c r="CG89" s="95">
        <f t="shared" si="110"/>
        <v>99819</v>
      </c>
      <c r="CH89" s="7">
        <v>42798</v>
      </c>
      <c r="CI89" s="93">
        <f t="shared" si="111"/>
        <v>25678.799999999999</v>
      </c>
      <c r="CJ89" s="7">
        <v>32991</v>
      </c>
      <c r="CK89" s="93">
        <f t="shared" si="112"/>
        <v>19794.599999999999</v>
      </c>
      <c r="CL89" s="7">
        <v>26400</v>
      </c>
      <c r="CM89" s="93">
        <f t="shared" si="113"/>
        <v>15840</v>
      </c>
      <c r="CN89" s="7">
        <v>39264</v>
      </c>
      <c r="CO89" s="93">
        <f t="shared" si="114"/>
        <v>23558.399999999998</v>
      </c>
      <c r="CP89" s="7">
        <v>37848</v>
      </c>
      <c r="CQ89" s="93">
        <f t="shared" si="115"/>
        <v>22708.799999999999</v>
      </c>
      <c r="CR89" s="7">
        <v>38424</v>
      </c>
      <c r="CS89" s="93">
        <f t="shared" si="116"/>
        <v>23054.399999999998</v>
      </c>
      <c r="CT89" s="7">
        <v>33432</v>
      </c>
      <c r="CU89" s="93">
        <f t="shared" si="117"/>
        <v>20059.2</v>
      </c>
      <c r="CV89" s="7">
        <v>38659</v>
      </c>
      <c r="CW89" s="93">
        <f t="shared" si="118"/>
        <v>23195.399999999998</v>
      </c>
      <c r="CX89" s="7">
        <v>34248</v>
      </c>
      <c r="CY89" s="93">
        <v>20548.8</v>
      </c>
      <c r="CZ89" s="7">
        <v>38904</v>
      </c>
      <c r="DA89" s="93">
        <v>23342.399999999998</v>
      </c>
      <c r="DB89" s="7">
        <v>46128</v>
      </c>
      <c r="DC89" s="93">
        <v>27676.799999999999</v>
      </c>
      <c r="DD89" s="7">
        <v>56712</v>
      </c>
      <c r="DE89" s="93">
        <v>34027.199999999997</v>
      </c>
      <c r="DF89" s="97">
        <f t="shared" si="104"/>
        <v>465808</v>
      </c>
      <c r="DG89" s="98">
        <f t="shared" si="119"/>
        <v>279484.79999999999</v>
      </c>
      <c r="DH89" s="79">
        <v>27240</v>
      </c>
      <c r="DI89" s="79">
        <v>16344</v>
      </c>
      <c r="DJ89" s="154">
        <v>32650</v>
      </c>
      <c r="DK89" s="212">
        <f t="shared" si="122"/>
        <v>19590</v>
      </c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99">
        <f t="shared" si="120"/>
        <v>59890</v>
      </c>
      <c r="EG89" s="99">
        <f t="shared" si="121"/>
        <v>35934</v>
      </c>
    </row>
    <row r="90" spans="1:137" ht="20.100000000000001" customHeight="1">
      <c r="A90" s="63">
        <v>73</v>
      </c>
      <c r="B90" s="63" t="s">
        <v>76</v>
      </c>
      <c r="C90" s="63" t="s">
        <v>14</v>
      </c>
      <c r="D90" s="63">
        <f>RANK(DF90,$DF$4:$DF$144)</f>
        <v>26</v>
      </c>
      <c r="E90" s="63">
        <v>0.64</v>
      </c>
      <c r="F90" s="63" t="s">
        <v>25</v>
      </c>
      <c r="G90" s="63">
        <v>1200</v>
      </c>
      <c r="H90" s="7"/>
      <c r="I90" s="93">
        <f t="shared" si="125"/>
        <v>0</v>
      </c>
      <c r="J90" s="7"/>
      <c r="K90" s="93">
        <f t="shared" si="125"/>
        <v>0</v>
      </c>
      <c r="L90" s="7"/>
      <c r="M90" s="93">
        <f t="shared" si="126"/>
        <v>0</v>
      </c>
      <c r="N90" s="7"/>
      <c r="O90" s="93">
        <f t="shared" si="127"/>
        <v>0</v>
      </c>
      <c r="P90" s="7"/>
      <c r="Q90" s="93">
        <f t="shared" si="128"/>
        <v>0</v>
      </c>
      <c r="R90" s="7"/>
      <c r="S90" s="93">
        <f t="shared" si="129"/>
        <v>0</v>
      </c>
      <c r="T90" s="7"/>
      <c r="U90" s="93">
        <f t="shared" si="130"/>
        <v>0</v>
      </c>
      <c r="V90" s="7"/>
      <c r="W90" s="93">
        <f t="shared" si="131"/>
        <v>0</v>
      </c>
      <c r="X90" s="7"/>
      <c r="Y90" s="93">
        <f t="shared" si="132"/>
        <v>0</v>
      </c>
      <c r="Z90" s="7"/>
      <c r="AA90" s="93">
        <f t="shared" si="133"/>
        <v>0</v>
      </c>
      <c r="AB90" s="7"/>
      <c r="AC90" s="93">
        <f t="shared" si="134"/>
        <v>0</v>
      </c>
      <c r="AD90" s="7"/>
      <c r="AE90" s="93">
        <f t="shared" si="135"/>
        <v>0</v>
      </c>
      <c r="AF90" s="94">
        <f t="shared" si="105"/>
        <v>0</v>
      </c>
      <c r="AG90" s="95">
        <f t="shared" si="106"/>
        <v>0</v>
      </c>
      <c r="AH90" s="7"/>
      <c r="AI90" s="93">
        <f t="shared" si="84"/>
        <v>0</v>
      </c>
      <c r="AJ90" s="7"/>
      <c r="AK90" s="93">
        <f t="shared" si="85"/>
        <v>0</v>
      </c>
      <c r="AL90" s="7"/>
      <c r="AM90" s="93">
        <f t="shared" si="86"/>
        <v>0</v>
      </c>
      <c r="AN90" s="7"/>
      <c r="AO90" s="93">
        <f t="shared" si="87"/>
        <v>0</v>
      </c>
      <c r="AP90" s="7"/>
      <c r="AQ90" s="93">
        <f t="shared" si="88"/>
        <v>0</v>
      </c>
      <c r="AR90" s="7"/>
      <c r="AS90" s="93">
        <f t="shared" si="89"/>
        <v>0</v>
      </c>
      <c r="AT90" s="7"/>
      <c r="AU90" s="93">
        <f t="shared" si="90"/>
        <v>0</v>
      </c>
      <c r="AV90" s="7"/>
      <c r="AW90" s="93">
        <f t="shared" si="91"/>
        <v>0</v>
      </c>
      <c r="AX90" s="7"/>
      <c r="AY90" s="93">
        <f t="shared" si="92"/>
        <v>0</v>
      </c>
      <c r="AZ90" s="7"/>
      <c r="BA90" s="93">
        <f t="shared" si="93"/>
        <v>0</v>
      </c>
      <c r="BB90" s="7"/>
      <c r="BC90" s="93">
        <f t="shared" si="94"/>
        <v>0</v>
      </c>
      <c r="BD90" s="7"/>
      <c r="BE90" s="93">
        <f t="shared" si="95"/>
        <v>0</v>
      </c>
      <c r="BF90" s="94">
        <f t="shared" si="107"/>
        <v>0</v>
      </c>
      <c r="BG90" s="95">
        <f t="shared" si="108"/>
        <v>0</v>
      </c>
      <c r="BH90" s="92"/>
      <c r="BI90" s="93">
        <f t="shared" si="96"/>
        <v>0</v>
      </c>
      <c r="BJ90" s="92"/>
      <c r="BK90" s="93">
        <f t="shared" si="97"/>
        <v>0</v>
      </c>
      <c r="BL90" s="92">
        <v>5419</v>
      </c>
      <c r="BM90" s="93">
        <f t="shared" si="136"/>
        <v>3468.16</v>
      </c>
      <c r="BN90" s="92">
        <v>840</v>
      </c>
      <c r="BO90" s="93">
        <f t="shared" si="136"/>
        <v>537.6</v>
      </c>
      <c r="BP90" s="92">
        <v>2533</v>
      </c>
      <c r="BQ90" s="93">
        <f t="shared" si="136"/>
        <v>1621.1200000000001</v>
      </c>
      <c r="BR90" s="92">
        <v>2394</v>
      </c>
      <c r="BS90" s="93">
        <f t="shared" si="136"/>
        <v>1532.16</v>
      </c>
      <c r="BT90" s="92">
        <v>623</v>
      </c>
      <c r="BU90" s="93">
        <f t="shared" si="136"/>
        <v>398.72</v>
      </c>
      <c r="BV90" s="92">
        <v>504</v>
      </c>
      <c r="BW90" s="93">
        <f t="shared" si="136"/>
        <v>322.56</v>
      </c>
      <c r="BX90" s="92">
        <v>322</v>
      </c>
      <c r="BY90" s="93">
        <f t="shared" si="136"/>
        <v>206.08</v>
      </c>
      <c r="BZ90" s="92">
        <v>373</v>
      </c>
      <c r="CA90" s="93">
        <f t="shared" si="136"/>
        <v>238.72</v>
      </c>
      <c r="CB90" s="92">
        <v>1512</v>
      </c>
      <c r="CC90" s="93">
        <f t="shared" si="137"/>
        <v>967.68000000000006</v>
      </c>
      <c r="CD90" s="7">
        <v>168</v>
      </c>
      <c r="CE90" s="93">
        <f t="shared" si="137"/>
        <v>107.52</v>
      </c>
      <c r="CF90" s="94">
        <f t="shared" si="109"/>
        <v>14688</v>
      </c>
      <c r="CG90" s="95">
        <f t="shared" si="110"/>
        <v>9400.32</v>
      </c>
      <c r="CH90" s="7">
        <v>98</v>
      </c>
      <c r="CI90" s="93">
        <f t="shared" si="111"/>
        <v>62.72</v>
      </c>
      <c r="CJ90" s="7">
        <v>2380</v>
      </c>
      <c r="CK90" s="93">
        <f t="shared" si="112"/>
        <v>1523.2</v>
      </c>
      <c r="CL90" s="7"/>
      <c r="CM90" s="93">
        <f t="shared" si="113"/>
        <v>0</v>
      </c>
      <c r="CN90" s="7"/>
      <c r="CO90" s="93">
        <f t="shared" si="114"/>
        <v>0</v>
      </c>
      <c r="CP90" s="7"/>
      <c r="CQ90" s="93">
        <f t="shared" si="115"/>
        <v>0</v>
      </c>
      <c r="CR90" s="7"/>
      <c r="CS90" s="93">
        <f t="shared" si="116"/>
        <v>0</v>
      </c>
      <c r="CT90" s="7">
        <v>700</v>
      </c>
      <c r="CU90" s="93">
        <f t="shared" si="117"/>
        <v>448</v>
      </c>
      <c r="CV90" s="7"/>
      <c r="CW90" s="93">
        <f t="shared" si="118"/>
        <v>0</v>
      </c>
      <c r="CX90" s="7">
        <v>700</v>
      </c>
      <c r="CY90" s="93">
        <v>448</v>
      </c>
      <c r="CZ90" s="7">
        <v>420</v>
      </c>
      <c r="DA90" s="93">
        <v>268.8</v>
      </c>
      <c r="DB90" s="7">
        <v>70</v>
      </c>
      <c r="DC90" s="93">
        <v>44.800000000000004</v>
      </c>
      <c r="DD90" s="7">
        <v>700</v>
      </c>
      <c r="DE90" s="93">
        <v>448</v>
      </c>
      <c r="DF90" s="97">
        <f t="shared" si="104"/>
        <v>5068</v>
      </c>
      <c r="DG90" s="98">
        <f t="shared" si="119"/>
        <v>3243.52</v>
      </c>
      <c r="DH90" s="79"/>
      <c r="DI90" s="79">
        <v>0</v>
      </c>
      <c r="DJ90" s="154">
        <v>420</v>
      </c>
      <c r="DK90" s="212">
        <f t="shared" si="122"/>
        <v>268.8</v>
      </c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99">
        <f t="shared" si="120"/>
        <v>420</v>
      </c>
      <c r="EG90" s="99">
        <f t="shared" si="121"/>
        <v>268.8</v>
      </c>
    </row>
    <row r="91" spans="1:137" ht="20.100000000000001" customHeight="1">
      <c r="A91" s="63"/>
      <c r="B91" s="63"/>
      <c r="C91" s="63"/>
      <c r="D91" s="63"/>
      <c r="E91" s="63"/>
      <c r="F91" s="63"/>
      <c r="G91" s="63"/>
      <c r="H91" s="7"/>
      <c r="I91" s="93">
        <f t="shared" si="125"/>
        <v>0</v>
      </c>
      <c r="J91" s="7"/>
      <c r="K91" s="93">
        <f t="shared" si="125"/>
        <v>0</v>
      </c>
      <c r="L91" s="7"/>
      <c r="M91" s="93">
        <f t="shared" si="126"/>
        <v>0</v>
      </c>
      <c r="N91" s="7"/>
      <c r="O91" s="93">
        <f t="shared" si="127"/>
        <v>0</v>
      </c>
      <c r="P91" s="7"/>
      <c r="Q91" s="93">
        <f t="shared" si="128"/>
        <v>0</v>
      </c>
      <c r="R91" s="7"/>
      <c r="S91" s="93">
        <f t="shared" si="129"/>
        <v>0</v>
      </c>
      <c r="T91" s="7"/>
      <c r="U91" s="93">
        <f t="shared" si="130"/>
        <v>0</v>
      </c>
      <c r="V91" s="7"/>
      <c r="W91" s="93">
        <f t="shared" si="131"/>
        <v>0</v>
      </c>
      <c r="X91" s="7"/>
      <c r="Y91" s="93">
        <f t="shared" si="132"/>
        <v>0</v>
      </c>
      <c r="Z91" s="7"/>
      <c r="AA91" s="93">
        <f t="shared" si="133"/>
        <v>0</v>
      </c>
      <c r="AB91" s="7"/>
      <c r="AC91" s="93">
        <f t="shared" si="134"/>
        <v>0</v>
      </c>
      <c r="AD91" s="7"/>
      <c r="AE91" s="93">
        <f t="shared" si="135"/>
        <v>0</v>
      </c>
      <c r="AF91" s="94">
        <f t="shared" si="105"/>
        <v>0</v>
      </c>
      <c r="AG91" s="95">
        <f t="shared" si="106"/>
        <v>0</v>
      </c>
      <c r="AH91" s="7"/>
      <c r="AI91" s="93">
        <f t="shared" si="84"/>
        <v>0</v>
      </c>
      <c r="AJ91" s="7"/>
      <c r="AK91" s="93">
        <f t="shared" si="85"/>
        <v>0</v>
      </c>
      <c r="AL91" s="7"/>
      <c r="AM91" s="93">
        <f t="shared" si="86"/>
        <v>0</v>
      </c>
      <c r="AN91" s="7"/>
      <c r="AO91" s="93">
        <f t="shared" si="87"/>
        <v>0</v>
      </c>
      <c r="AP91" s="7"/>
      <c r="AQ91" s="93">
        <f t="shared" si="88"/>
        <v>0</v>
      </c>
      <c r="AR91" s="7"/>
      <c r="AS91" s="93">
        <f t="shared" si="89"/>
        <v>0</v>
      </c>
      <c r="AT91" s="7"/>
      <c r="AU91" s="93">
        <f t="shared" si="90"/>
        <v>0</v>
      </c>
      <c r="AV91" s="7"/>
      <c r="AW91" s="93">
        <f t="shared" si="91"/>
        <v>0</v>
      </c>
      <c r="AX91" s="7"/>
      <c r="AY91" s="93">
        <f t="shared" si="92"/>
        <v>0</v>
      </c>
      <c r="AZ91" s="7"/>
      <c r="BA91" s="93">
        <f t="shared" si="93"/>
        <v>0</v>
      </c>
      <c r="BB91" s="7"/>
      <c r="BC91" s="93">
        <f t="shared" si="94"/>
        <v>0</v>
      </c>
      <c r="BD91" s="7"/>
      <c r="BE91" s="93">
        <f t="shared" si="95"/>
        <v>0</v>
      </c>
      <c r="BF91" s="94">
        <f t="shared" si="107"/>
        <v>0</v>
      </c>
      <c r="BG91" s="95">
        <f t="shared" si="108"/>
        <v>0</v>
      </c>
      <c r="BH91" s="7"/>
      <c r="BI91" s="93">
        <f t="shared" si="96"/>
        <v>0</v>
      </c>
      <c r="BJ91" s="7"/>
      <c r="BK91" s="93">
        <f t="shared" si="97"/>
        <v>0</v>
      </c>
      <c r="BL91" s="7"/>
      <c r="BM91" s="93">
        <f t="shared" si="136"/>
        <v>0</v>
      </c>
      <c r="BN91" s="7"/>
      <c r="BO91" s="93">
        <f t="shared" si="136"/>
        <v>0</v>
      </c>
      <c r="BP91" s="7"/>
      <c r="BQ91" s="93">
        <f t="shared" si="136"/>
        <v>0</v>
      </c>
      <c r="BR91" s="7"/>
      <c r="BS91" s="93">
        <f t="shared" si="136"/>
        <v>0</v>
      </c>
      <c r="BT91" s="7"/>
      <c r="BU91" s="93">
        <f t="shared" si="136"/>
        <v>0</v>
      </c>
      <c r="BV91" s="7"/>
      <c r="BW91" s="93">
        <f t="shared" si="136"/>
        <v>0</v>
      </c>
      <c r="BX91" s="7"/>
      <c r="BY91" s="93">
        <f t="shared" si="136"/>
        <v>0</v>
      </c>
      <c r="BZ91" s="7"/>
      <c r="CA91" s="93">
        <f t="shared" si="136"/>
        <v>0</v>
      </c>
      <c r="CB91" s="7"/>
      <c r="CC91" s="93">
        <f t="shared" si="137"/>
        <v>0</v>
      </c>
      <c r="CD91" s="7"/>
      <c r="CE91" s="93">
        <f t="shared" si="137"/>
        <v>0</v>
      </c>
      <c r="CF91" s="94">
        <f t="shared" si="109"/>
        <v>0</v>
      </c>
      <c r="CG91" s="95">
        <f t="shared" si="110"/>
        <v>0</v>
      </c>
      <c r="CH91" s="7"/>
      <c r="CI91" s="93">
        <f t="shared" si="111"/>
        <v>0</v>
      </c>
      <c r="CJ91" s="7"/>
      <c r="CK91" s="93">
        <f t="shared" si="112"/>
        <v>0</v>
      </c>
      <c r="CL91" s="7"/>
      <c r="CM91" s="93">
        <f t="shared" si="113"/>
        <v>0</v>
      </c>
      <c r="CN91" s="7"/>
      <c r="CO91" s="93">
        <f t="shared" si="114"/>
        <v>0</v>
      </c>
      <c r="CP91" s="7"/>
      <c r="CQ91" s="93">
        <f t="shared" si="115"/>
        <v>0</v>
      </c>
      <c r="CR91" s="7"/>
      <c r="CS91" s="93">
        <f t="shared" si="116"/>
        <v>0</v>
      </c>
      <c r="CT91" s="7"/>
      <c r="CU91" s="93">
        <f t="shared" si="117"/>
        <v>0</v>
      </c>
      <c r="CV91" s="7"/>
      <c r="CW91" s="93">
        <f t="shared" si="118"/>
        <v>0</v>
      </c>
      <c r="CX91" s="7"/>
      <c r="CY91" s="93">
        <v>0</v>
      </c>
      <c r="CZ91" s="7"/>
      <c r="DA91" s="93">
        <v>0</v>
      </c>
      <c r="DB91" s="7"/>
      <c r="DC91" s="93">
        <v>0</v>
      </c>
      <c r="DD91" s="7"/>
      <c r="DE91" s="93">
        <v>0</v>
      </c>
      <c r="DF91" s="97">
        <f t="shared" si="104"/>
        <v>0</v>
      </c>
      <c r="DG91" s="98">
        <f t="shared" si="119"/>
        <v>0</v>
      </c>
      <c r="DH91" s="79"/>
      <c r="DI91" s="79">
        <v>0</v>
      </c>
      <c r="DJ91" s="154"/>
      <c r="DK91" s="212">
        <f t="shared" si="122"/>
        <v>0</v>
      </c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99">
        <f t="shared" si="120"/>
        <v>0</v>
      </c>
      <c r="EG91" s="99">
        <f t="shared" si="121"/>
        <v>0</v>
      </c>
    </row>
    <row r="92" spans="1:137" ht="20.100000000000001" customHeight="1">
      <c r="A92" s="63">
        <v>74</v>
      </c>
      <c r="B92" s="63" t="s">
        <v>77</v>
      </c>
      <c r="C92" s="63" t="s">
        <v>17</v>
      </c>
      <c r="D92" s="63">
        <f>RANK(DF92,$DF$4:$DF$144)</f>
        <v>35</v>
      </c>
      <c r="E92" s="63">
        <v>1</v>
      </c>
      <c r="F92" s="63" t="s">
        <v>24</v>
      </c>
      <c r="G92" s="63"/>
      <c r="H92" s="7"/>
      <c r="I92" s="93">
        <f t="shared" si="125"/>
        <v>0</v>
      </c>
      <c r="J92" s="7"/>
      <c r="K92" s="93">
        <f t="shared" si="125"/>
        <v>0</v>
      </c>
      <c r="L92" s="7"/>
      <c r="M92" s="93">
        <f t="shared" si="126"/>
        <v>0</v>
      </c>
      <c r="N92" s="7"/>
      <c r="O92" s="93">
        <f t="shared" si="127"/>
        <v>0</v>
      </c>
      <c r="P92" s="7"/>
      <c r="Q92" s="93">
        <f t="shared" si="128"/>
        <v>0</v>
      </c>
      <c r="R92" s="7"/>
      <c r="S92" s="93">
        <f t="shared" si="129"/>
        <v>0</v>
      </c>
      <c r="T92" s="7"/>
      <c r="U92" s="93">
        <f t="shared" si="130"/>
        <v>0</v>
      </c>
      <c r="V92" s="7"/>
      <c r="W92" s="93">
        <f t="shared" si="131"/>
        <v>0</v>
      </c>
      <c r="X92" s="7"/>
      <c r="Y92" s="93">
        <f t="shared" si="132"/>
        <v>0</v>
      </c>
      <c r="Z92" s="7"/>
      <c r="AA92" s="93">
        <f t="shared" si="133"/>
        <v>0</v>
      </c>
      <c r="AB92" s="7"/>
      <c r="AC92" s="93">
        <f t="shared" si="134"/>
        <v>0</v>
      </c>
      <c r="AD92" s="7"/>
      <c r="AE92" s="93">
        <f t="shared" si="135"/>
        <v>0</v>
      </c>
      <c r="AF92" s="94">
        <f t="shared" si="105"/>
        <v>0</v>
      </c>
      <c r="AG92" s="95">
        <f t="shared" si="106"/>
        <v>0</v>
      </c>
      <c r="AH92" s="7"/>
      <c r="AI92" s="93">
        <f t="shared" si="84"/>
        <v>0</v>
      </c>
      <c r="AJ92" s="7"/>
      <c r="AK92" s="93">
        <f t="shared" si="85"/>
        <v>0</v>
      </c>
      <c r="AL92" s="7"/>
      <c r="AM92" s="93">
        <f t="shared" si="86"/>
        <v>0</v>
      </c>
      <c r="AN92" s="7"/>
      <c r="AO92" s="93">
        <f t="shared" si="87"/>
        <v>0</v>
      </c>
      <c r="AP92" s="7"/>
      <c r="AQ92" s="93">
        <f t="shared" si="88"/>
        <v>0</v>
      </c>
      <c r="AR92" s="7"/>
      <c r="AS92" s="93">
        <f t="shared" si="89"/>
        <v>0</v>
      </c>
      <c r="AT92" s="7"/>
      <c r="AU92" s="93">
        <f t="shared" si="90"/>
        <v>0</v>
      </c>
      <c r="AV92" s="7"/>
      <c r="AW92" s="93">
        <f t="shared" si="91"/>
        <v>0</v>
      </c>
      <c r="AX92" s="7"/>
      <c r="AY92" s="93">
        <f t="shared" si="92"/>
        <v>0</v>
      </c>
      <c r="AZ92" s="7"/>
      <c r="BA92" s="93">
        <f t="shared" si="93"/>
        <v>0</v>
      </c>
      <c r="BB92" s="7"/>
      <c r="BC92" s="93">
        <f t="shared" si="94"/>
        <v>0</v>
      </c>
      <c r="BD92" s="7"/>
      <c r="BE92" s="93">
        <f t="shared" si="95"/>
        <v>0</v>
      </c>
      <c r="BF92" s="94">
        <f t="shared" si="107"/>
        <v>0</v>
      </c>
      <c r="BG92" s="95">
        <f t="shared" si="108"/>
        <v>0</v>
      </c>
      <c r="BH92" s="7"/>
      <c r="BI92" s="93">
        <f t="shared" si="96"/>
        <v>0</v>
      </c>
      <c r="BJ92" s="7"/>
      <c r="BK92" s="93">
        <f t="shared" si="97"/>
        <v>0</v>
      </c>
      <c r="BL92" s="7"/>
      <c r="BM92" s="93">
        <f t="shared" si="136"/>
        <v>0</v>
      </c>
      <c r="BN92" s="7"/>
      <c r="BO92" s="93">
        <f t="shared" si="136"/>
        <v>0</v>
      </c>
      <c r="BP92" s="7"/>
      <c r="BQ92" s="93">
        <f t="shared" si="136"/>
        <v>0</v>
      </c>
      <c r="BR92" s="7"/>
      <c r="BS92" s="93">
        <f t="shared" si="136"/>
        <v>0</v>
      </c>
      <c r="BT92" s="7"/>
      <c r="BU92" s="93">
        <f t="shared" si="136"/>
        <v>0</v>
      </c>
      <c r="BV92" s="7"/>
      <c r="BW92" s="93">
        <f t="shared" si="136"/>
        <v>0</v>
      </c>
      <c r="BX92" s="7"/>
      <c r="BY92" s="93">
        <f t="shared" si="136"/>
        <v>0</v>
      </c>
      <c r="BZ92" s="7"/>
      <c r="CA92" s="93">
        <f t="shared" si="136"/>
        <v>0</v>
      </c>
      <c r="CB92" s="7"/>
      <c r="CC92" s="93">
        <f t="shared" si="137"/>
        <v>0</v>
      </c>
      <c r="CD92" s="7"/>
      <c r="CE92" s="93">
        <f t="shared" si="137"/>
        <v>0</v>
      </c>
      <c r="CF92" s="94">
        <f t="shared" si="109"/>
        <v>0</v>
      </c>
      <c r="CG92" s="95">
        <f t="shared" si="110"/>
        <v>0</v>
      </c>
      <c r="CH92" s="7"/>
      <c r="CI92" s="93">
        <f t="shared" si="111"/>
        <v>0</v>
      </c>
      <c r="CJ92" s="7"/>
      <c r="CK92" s="93">
        <f t="shared" si="112"/>
        <v>0</v>
      </c>
      <c r="CL92" s="7"/>
      <c r="CM92" s="93">
        <f t="shared" si="113"/>
        <v>0</v>
      </c>
      <c r="CN92" s="7"/>
      <c r="CO92" s="93">
        <f t="shared" si="114"/>
        <v>0</v>
      </c>
      <c r="CP92" s="7"/>
      <c r="CQ92" s="93">
        <f t="shared" si="115"/>
        <v>0</v>
      </c>
      <c r="CR92" s="7"/>
      <c r="CS92" s="93">
        <f t="shared" si="116"/>
        <v>0</v>
      </c>
      <c r="CT92" s="7"/>
      <c r="CU92" s="93">
        <f t="shared" si="117"/>
        <v>0</v>
      </c>
      <c r="CV92" s="7"/>
      <c r="CW92" s="93">
        <f t="shared" si="118"/>
        <v>0</v>
      </c>
      <c r="CX92" s="7"/>
      <c r="CY92" s="93">
        <v>0</v>
      </c>
      <c r="CZ92" s="7"/>
      <c r="DA92" s="93">
        <v>0</v>
      </c>
      <c r="DB92" s="7"/>
      <c r="DC92" s="93">
        <v>0</v>
      </c>
      <c r="DD92" s="7"/>
      <c r="DE92" s="93">
        <v>0</v>
      </c>
      <c r="DF92" s="97">
        <f t="shared" si="104"/>
        <v>0</v>
      </c>
      <c r="DG92" s="98">
        <f t="shared" si="119"/>
        <v>0</v>
      </c>
      <c r="DH92" s="79"/>
      <c r="DI92" s="79">
        <v>0</v>
      </c>
      <c r="DJ92" s="154"/>
      <c r="DK92" s="212">
        <f t="shared" si="122"/>
        <v>0</v>
      </c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99">
        <f t="shared" si="120"/>
        <v>0</v>
      </c>
      <c r="EG92" s="99">
        <f t="shared" si="121"/>
        <v>0</v>
      </c>
    </row>
    <row r="93" spans="1:137" ht="20.100000000000001" customHeight="1">
      <c r="A93" s="63">
        <v>75</v>
      </c>
      <c r="B93" s="63" t="s">
        <v>77</v>
      </c>
      <c r="C93" s="63" t="s">
        <v>17</v>
      </c>
      <c r="D93" s="63">
        <f>RANK(DF93,$DF$4:$DF$144)</f>
        <v>12</v>
      </c>
      <c r="E93" s="63">
        <v>1</v>
      </c>
      <c r="F93" s="63" t="s">
        <v>15</v>
      </c>
      <c r="G93" s="63">
        <v>1220</v>
      </c>
      <c r="H93" s="7"/>
      <c r="I93" s="93">
        <f t="shared" si="125"/>
        <v>0</v>
      </c>
      <c r="J93" s="7"/>
      <c r="K93" s="93">
        <f t="shared" si="125"/>
        <v>0</v>
      </c>
      <c r="L93" s="7"/>
      <c r="M93" s="93">
        <f t="shared" si="126"/>
        <v>0</v>
      </c>
      <c r="N93" s="7"/>
      <c r="O93" s="93">
        <f t="shared" si="127"/>
        <v>0</v>
      </c>
      <c r="P93" s="7"/>
      <c r="Q93" s="93">
        <f t="shared" si="128"/>
        <v>0</v>
      </c>
      <c r="R93" s="7"/>
      <c r="S93" s="93">
        <f t="shared" si="129"/>
        <v>0</v>
      </c>
      <c r="T93" s="7"/>
      <c r="U93" s="93">
        <f t="shared" si="130"/>
        <v>0</v>
      </c>
      <c r="V93" s="7"/>
      <c r="W93" s="93">
        <f t="shared" si="131"/>
        <v>0</v>
      </c>
      <c r="X93" s="7"/>
      <c r="Y93" s="93">
        <f t="shared" si="132"/>
        <v>0</v>
      </c>
      <c r="Z93" s="7"/>
      <c r="AA93" s="93">
        <f t="shared" si="133"/>
        <v>0</v>
      </c>
      <c r="AB93" s="7"/>
      <c r="AC93" s="93">
        <f t="shared" si="134"/>
        <v>0</v>
      </c>
      <c r="AD93" s="7"/>
      <c r="AE93" s="93">
        <f t="shared" si="135"/>
        <v>0</v>
      </c>
      <c r="AF93" s="94">
        <f t="shared" si="105"/>
        <v>0</v>
      </c>
      <c r="AG93" s="95">
        <f t="shared" si="106"/>
        <v>0</v>
      </c>
      <c r="AH93" s="7"/>
      <c r="AI93" s="93">
        <f t="shared" si="84"/>
        <v>0</v>
      </c>
      <c r="AJ93" s="7"/>
      <c r="AK93" s="93">
        <f t="shared" si="85"/>
        <v>0</v>
      </c>
      <c r="AL93" s="7"/>
      <c r="AM93" s="93">
        <f t="shared" si="86"/>
        <v>0</v>
      </c>
      <c r="AN93" s="7"/>
      <c r="AO93" s="93">
        <f t="shared" si="87"/>
        <v>0</v>
      </c>
      <c r="AP93" s="7"/>
      <c r="AQ93" s="93">
        <f t="shared" si="88"/>
        <v>0</v>
      </c>
      <c r="AR93" s="7"/>
      <c r="AS93" s="93">
        <f t="shared" si="89"/>
        <v>0</v>
      </c>
      <c r="AT93" s="7"/>
      <c r="AU93" s="93">
        <f t="shared" si="90"/>
        <v>0</v>
      </c>
      <c r="AV93" s="7"/>
      <c r="AW93" s="93">
        <f t="shared" si="91"/>
        <v>0</v>
      </c>
      <c r="AX93" s="7"/>
      <c r="AY93" s="93">
        <f t="shared" si="92"/>
        <v>0</v>
      </c>
      <c r="AZ93" s="7"/>
      <c r="BA93" s="93">
        <f t="shared" si="93"/>
        <v>0</v>
      </c>
      <c r="BB93" s="7"/>
      <c r="BC93" s="93">
        <f t="shared" si="94"/>
        <v>0</v>
      </c>
      <c r="BD93" s="7"/>
      <c r="BE93" s="93">
        <f t="shared" si="95"/>
        <v>0</v>
      </c>
      <c r="BF93" s="94">
        <f t="shared" si="107"/>
        <v>0</v>
      </c>
      <c r="BG93" s="95">
        <f t="shared" si="108"/>
        <v>0</v>
      </c>
      <c r="BH93" s="92"/>
      <c r="BI93" s="93">
        <f t="shared" si="96"/>
        <v>0</v>
      </c>
      <c r="BJ93" s="92"/>
      <c r="BK93" s="93">
        <f t="shared" si="97"/>
        <v>0</v>
      </c>
      <c r="BL93" s="92"/>
      <c r="BM93" s="93">
        <f t="shared" si="136"/>
        <v>0</v>
      </c>
      <c r="BN93" s="92"/>
      <c r="BO93" s="93">
        <f t="shared" si="136"/>
        <v>0</v>
      </c>
      <c r="BP93" s="92"/>
      <c r="BQ93" s="93">
        <f t="shared" si="136"/>
        <v>0</v>
      </c>
      <c r="BR93" s="92"/>
      <c r="BS93" s="93">
        <f t="shared" si="136"/>
        <v>0</v>
      </c>
      <c r="BT93" s="92"/>
      <c r="BU93" s="93">
        <f t="shared" si="136"/>
        <v>0</v>
      </c>
      <c r="BV93" s="92"/>
      <c r="BW93" s="93">
        <f t="shared" si="136"/>
        <v>0</v>
      </c>
      <c r="BX93" s="92">
        <v>1800</v>
      </c>
      <c r="BY93" s="93">
        <f t="shared" si="136"/>
        <v>1800</v>
      </c>
      <c r="BZ93" s="92">
        <v>1225</v>
      </c>
      <c r="CA93" s="93">
        <f t="shared" si="136"/>
        <v>1225</v>
      </c>
      <c r="CB93" s="92">
        <v>2352</v>
      </c>
      <c r="CC93" s="93">
        <f t="shared" si="137"/>
        <v>2352</v>
      </c>
      <c r="CD93" s="7">
        <v>3829</v>
      </c>
      <c r="CE93" s="93">
        <f t="shared" si="137"/>
        <v>3829</v>
      </c>
      <c r="CF93" s="94">
        <f t="shared" si="109"/>
        <v>9206</v>
      </c>
      <c r="CG93" s="95">
        <f t="shared" si="110"/>
        <v>9206</v>
      </c>
      <c r="CH93" s="7">
        <v>8591</v>
      </c>
      <c r="CI93" s="93">
        <f t="shared" si="111"/>
        <v>8591</v>
      </c>
      <c r="CJ93" s="7">
        <v>7187</v>
      </c>
      <c r="CK93" s="93">
        <f t="shared" si="112"/>
        <v>7187</v>
      </c>
      <c r="CL93" s="7">
        <v>4257</v>
      </c>
      <c r="CM93" s="93">
        <f t="shared" si="113"/>
        <v>4257</v>
      </c>
      <c r="CN93" s="7">
        <v>4920</v>
      </c>
      <c r="CO93" s="93">
        <f t="shared" si="114"/>
        <v>4920</v>
      </c>
      <c r="CP93" s="7">
        <v>7955</v>
      </c>
      <c r="CQ93" s="93">
        <f t="shared" si="115"/>
        <v>7955</v>
      </c>
      <c r="CR93" s="7">
        <v>4860</v>
      </c>
      <c r="CS93" s="93">
        <f t="shared" si="116"/>
        <v>4860</v>
      </c>
      <c r="CT93" s="7">
        <v>13137</v>
      </c>
      <c r="CU93" s="93">
        <f t="shared" si="117"/>
        <v>13137</v>
      </c>
      <c r="CV93" s="7">
        <v>8892</v>
      </c>
      <c r="CW93" s="93">
        <f t="shared" si="118"/>
        <v>8892</v>
      </c>
      <c r="CX93" s="7">
        <v>27768</v>
      </c>
      <c r="CY93" s="93">
        <v>27768</v>
      </c>
      <c r="CZ93" s="7">
        <v>12502</v>
      </c>
      <c r="DA93" s="93">
        <v>12502</v>
      </c>
      <c r="DB93" s="7">
        <v>30048</v>
      </c>
      <c r="DC93" s="93">
        <v>30048</v>
      </c>
      <c r="DD93" s="7">
        <v>20220</v>
      </c>
      <c r="DE93" s="93">
        <v>20220</v>
      </c>
      <c r="DF93" s="97">
        <f t="shared" si="104"/>
        <v>150337</v>
      </c>
      <c r="DG93" s="98">
        <f t="shared" si="119"/>
        <v>150337</v>
      </c>
      <c r="DH93" s="79">
        <v>11274</v>
      </c>
      <c r="DI93" s="79">
        <v>11274</v>
      </c>
      <c r="DJ93" s="154">
        <v>12354</v>
      </c>
      <c r="DK93" s="212">
        <f t="shared" si="122"/>
        <v>12354</v>
      </c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99">
        <f t="shared" si="120"/>
        <v>23628</v>
      </c>
      <c r="EG93" s="99">
        <f t="shared" si="121"/>
        <v>23628</v>
      </c>
    </row>
    <row r="94" spans="1:137" ht="20.100000000000001" customHeight="1">
      <c r="A94" s="63">
        <v>76</v>
      </c>
      <c r="B94" s="63" t="s">
        <v>78</v>
      </c>
      <c r="C94" s="63" t="s">
        <v>17</v>
      </c>
      <c r="D94" s="63">
        <f>RANK(DF94,$DF$4:$DF$144)</f>
        <v>21</v>
      </c>
      <c r="E94" s="63">
        <v>0.6</v>
      </c>
      <c r="F94" s="63" t="s">
        <v>24</v>
      </c>
      <c r="G94" s="63">
        <v>915</v>
      </c>
      <c r="H94" s="7"/>
      <c r="I94" s="93">
        <f t="shared" si="125"/>
        <v>0</v>
      </c>
      <c r="J94" s="7"/>
      <c r="K94" s="93">
        <f t="shared" si="125"/>
        <v>0</v>
      </c>
      <c r="L94" s="7"/>
      <c r="M94" s="93">
        <f t="shared" si="126"/>
        <v>0</v>
      </c>
      <c r="N94" s="7"/>
      <c r="O94" s="93">
        <f t="shared" si="127"/>
        <v>0</v>
      </c>
      <c r="P94" s="7"/>
      <c r="Q94" s="93">
        <f t="shared" si="128"/>
        <v>0</v>
      </c>
      <c r="R94" s="7"/>
      <c r="S94" s="93">
        <f t="shared" si="129"/>
        <v>0</v>
      </c>
      <c r="T94" s="7"/>
      <c r="U94" s="93">
        <f t="shared" si="130"/>
        <v>0</v>
      </c>
      <c r="V94" s="7"/>
      <c r="W94" s="93">
        <f t="shared" si="131"/>
        <v>0</v>
      </c>
      <c r="X94" s="7"/>
      <c r="Y94" s="93">
        <f t="shared" si="132"/>
        <v>0</v>
      </c>
      <c r="Z94" s="7"/>
      <c r="AA94" s="93">
        <f t="shared" si="133"/>
        <v>0</v>
      </c>
      <c r="AB94" s="7"/>
      <c r="AC94" s="93">
        <f t="shared" si="134"/>
        <v>0</v>
      </c>
      <c r="AD94" s="7"/>
      <c r="AE94" s="93">
        <f t="shared" si="135"/>
        <v>0</v>
      </c>
      <c r="AF94" s="94">
        <f t="shared" si="105"/>
        <v>0</v>
      </c>
      <c r="AG94" s="95">
        <f t="shared" si="106"/>
        <v>0</v>
      </c>
      <c r="AH94" s="7"/>
      <c r="AI94" s="93">
        <f t="shared" si="84"/>
        <v>0</v>
      </c>
      <c r="AJ94" s="7"/>
      <c r="AK94" s="93">
        <f t="shared" si="85"/>
        <v>0</v>
      </c>
      <c r="AL94" s="7"/>
      <c r="AM94" s="93">
        <f t="shared" si="86"/>
        <v>0</v>
      </c>
      <c r="AN94" s="7"/>
      <c r="AO94" s="93">
        <f t="shared" si="87"/>
        <v>0</v>
      </c>
      <c r="AP94" s="7"/>
      <c r="AQ94" s="93">
        <f t="shared" si="88"/>
        <v>0</v>
      </c>
      <c r="AR94" s="7"/>
      <c r="AS94" s="93">
        <f t="shared" si="89"/>
        <v>0</v>
      </c>
      <c r="AT94" s="7"/>
      <c r="AU94" s="93">
        <f t="shared" si="90"/>
        <v>0</v>
      </c>
      <c r="AV94" s="7"/>
      <c r="AW94" s="93">
        <f t="shared" si="91"/>
        <v>0</v>
      </c>
      <c r="AX94" s="7"/>
      <c r="AY94" s="93">
        <f t="shared" si="92"/>
        <v>0</v>
      </c>
      <c r="AZ94" s="7"/>
      <c r="BA94" s="93">
        <f t="shared" si="93"/>
        <v>0</v>
      </c>
      <c r="BB94" s="7"/>
      <c r="BC94" s="93">
        <f t="shared" si="94"/>
        <v>0</v>
      </c>
      <c r="BD94" s="7"/>
      <c r="BE94" s="93">
        <f t="shared" si="95"/>
        <v>0</v>
      </c>
      <c r="BF94" s="94">
        <f t="shared" si="107"/>
        <v>0</v>
      </c>
      <c r="BG94" s="95">
        <f t="shared" si="108"/>
        <v>0</v>
      </c>
      <c r="BH94" s="92"/>
      <c r="BI94" s="93">
        <f t="shared" si="96"/>
        <v>0</v>
      </c>
      <c r="BJ94" s="92"/>
      <c r="BK94" s="93">
        <f t="shared" si="97"/>
        <v>0</v>
      </c>
      <c r="BL94" s="92"/>
      <c r="BM94" s="93">
        <f t="shared" si="136"/>
        <v>0</v>
      </c>
      <c r="BN94" s="92"/>
      <c r="BO94" s="93">
        <f t="shared" si="136"/>
        <v>0</v>
      </c>
      <c r="BP94" s="92"/>
      <c r="BQ94" s="93">
        <f t="shared" si="136"/>
        <v>0</v>
      </c>
      <c r="BR94" s="92"/>
      <c r="BS94" s="93">
        <f t="shared" si="136"/>
        <v>0</v>
      </c>
      <c r="BT94" s="92"/>
      <c r="BU94" s="93">
        <f t="shared" si="136"/>
        <v>0</v>
      </c>
      <c r="BV94" s="92"/>
      <c r="BW94" s="93">
        <f t="shared" si="136"/>
        <v>0</v>
      </c>
      <c r="BX94" s="92">
        <v>3192</v>
      </c>
      <c r="BY94" s="93">
        <f t="shared" si="136"/>
        <v>1915.1999999999998</v>
      </c>
      <c r="BZ94" s="92">
        <v>3095</v>
      </c>
      <c r="CA94" s="93">
        <f t="shared" si="136"/>
        <v>1857</v>
      </c>
      <c r="CB94" s="92">
        <v>2112</v>
      </c>
      <c r="CC94" s="93">
        <f t="shared" si="137"/>
        <v>1267.2</v>
      </c>
      <c r="CD94" s="7">
        <v>3870</v>
      </c>
      <c r="CE94" s="93">
        <f t="shared" si="137"/>
        <v>2322</v>
      </c>
      <c r="CF94" s="94">
        <f t="shared" si="109"/>
        <v>12269</v>
      </c>
      <c r="CG94" s="95">
        <f t="shared" si="110"/>
        <v>7361.4</v>
      </c>
      <c r="CH94" s="7">
        <v>3756</v>
      </c>
      <c r="CI94" s="93">
        <f t="shared" si="111"/>
        <v>2253.6</v>
      </c>
      <c r="CJ94" s="7">
        <v>2577</v>
      </c>
      <c r="CK94" s="93">
        <f t="shared" si="112"/>
        <v>1546.2</v>
      </c>
      <c r="CL94" s="7">
        <v>2112</v>
      </c>
      <c r="CM94" s="93">
        <f t="shared" si="113"/>
        <v>1267.2</v>
      </c>
      <c r="CN94" s="7">
        <v>1992</v>
      </c>
      <c r="CO94" s="93">
        <f t="shared" si="114"/>
        <v>1195.2</v>
      </c>
      <c r="CP94" s="7">
        <v>1296</v>
      </c>
      <c r="CQ94" s="93">
        <f t="shared" si="115"/>
        <v>777.6</v>
      </c>
      <c r="CR94" s="7">
        <v>1536</v>
      </c>
      <c r="CS94" s="93">
        <f t="shared" si="116"/>
        <v>921.59999999999991</v>
      </c>
      <c r="CT94" s="7">
        <v>984</v>
      </c>
      <c r="CU94" s="93">
        <f t="shared" si="117"/>
        <v>590.4</v>
      </c>
      <c r="CV94" s="7">
        <v>648</v>
      </c>
      <c r="CW94" s="93">
        <f t="shared" si="118"/>
        <v>388.8</v>
      </c>
      <c r="CX94" s="7">
        <v>2088</v>
      </c>
      <c r="CY94" s="93">
        <v>1252.8</v>
      </c>
      <c r="CZ94" s="7">
        <v>576</v>
      </c>
      <c r="DA94" s="93">
        <v>345.59999999999997</v>
      </c>
      <c r="DB94" s="7">
        <v>984</v>
      </c>
      <c r="DC94" s="93">
        <v>590.4</v>
      </c>
      <c r="DD94" s="7">
        <v>1608</v>
      </c>
      <c r="DE94" s="93">
        <v>964.8</v>
      </c>
      <c r="DF94" s="97">
        <f t="shared" si="104"/>
        <v>20157</v>
      </c>
      <c r="DG94" s="98">
        <f t="shared" si="119"/>
        <v>12094.199999999999</v>
      </c>
      <c r="DH94" s="79">
        <v>792</v>
      </c>
      <c r="DI94" s="79">
        <v>475.2</v>
      </c>
      <c r="DJ94" s="154">
        <v>1020</v>
      </c>
      <c r="DK94" s="212">
        <f t="shared" si="122"/>
        <v>612</v>
      </c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99">
        <f t="shared" si="120"/>
        <v>1812</v>
      </c>
      <c r="EG94" s="99">
        <f t="shared" si="121"/>
        <v>1087.2</v>
      </c>
    </row>
    <row r="95" spans="1:137" ht="20.100000000000001" customHeight="1">
      <c r="A95" s="63">
        <v>77</v>
      </c>
      <c r="B95" s="63" t="s">
        <v>79</v>
      </c>
      <c r="C95" s="63" t="s">
        <v>14</v>
      </c>
      <c r="D95" s="63">
        <f>RANK(DF95,$DF$4:$DF$144)</f>
        <v>35</v>
      </c>
      <c r="E95" s="63">
        <v>0.64</v>
      </c>
      <c r="F95" s="63" t="s">
        <v>25</v>
      </c>
      <c r="G95" s="63"/>
      <c r="H95" s="7"/>
      <c r="I95" s="93">
        <f t="shared" si="125"/>
        <v>0</v>
      </c>
      <c r="J95" s="7"/>
      <c r="K95" s="93">
        <f t="shared" si="125"/>
        <v>0</v>
      </c>
      <c r="L95" s="7"/>
      <c r="M95" s="93">
        <f t="shared" si="126"/>
        <v>0</v>
      </c>
      <c r="N95" s="7"/>
      <c r="O95" s="93">
        <f t="shared" si="127"/>
        <v>0</v>
      </c>
      <c r="P95" s="7"/>
      <c r="Q95" s="93">
        <f t="shared" si="128"/>
        <v>0</v>
      </c>
      <c r="R95" s="7"/>
      <c r="S95" s="93">
        <f t="shared" si="129"/>
        <v>0</v>
      </c>
      <c r="T95" s="7"/>
      <c r="U95" s="93">
        <f t="shared" si="130"/>
        <v>0</v>
      </c>
      <c r="V95" s="7"/>
      <c r="W95" s="93">
        <f t="shared" si="131"/>
        <v>0</v>
      </c>
      <c r="X95" s="7"/>
      <c r="Y95" s="93">
        <f t="shared" si="132"/>
        <v>0</v>
      </c>
      <c r="Z95" s="7"/>
      <c r="AA95" s="93">
        <f t="shared" si="133"/>
        <v>0</v>
      </c>
      <c r="AB95" s="7"/>
      <c r="AC95" s="93">
        <f t="shared" si="134"/>
        <v>0</v>
      </c>
      <c r="AD95" s="7"/>
      <c r="AE95" s="93">
        <f t="shared" si="135"/>
        <v>0</v>
      </c>
      <c r="AF95" s="94">
        <f t="shared" si="105"/>
        <v>0</v>
      </c>
      <c r="AG95" s="95">
        <f t="shared" si="106"/>
        <v>0</v>
      </c>
      <c r="AH95" s="7"/>
      <c r="AI95" s="93">
        <f t="shared" si="84"/>
        <v>0</v>
      </c>
      <c r="AJ95" s="7"/>
      <c r="AK95" s="93">
        <f t="shared" si="85"/>
        <v>0</v>
      </c>
      <c r="AL95" s="7"/>
      <c r="AM95" s="93">
        <f t="shared" si="86"/>
        <v>0</v>
      </c>
      <c r="AN95" s="7"/>
      <c r="AO95" s="93">
        <f t="shared" si="87"/>
        <v>0</v>
      </c>
      <c r="AP95" s="7"/>
      <c r="AQ95" s="93">
        <f t="shared" si="88"/>
        <v>0</v>
      </c>
      <c r="AR95" s="7"/>
      <c r="AS95" s="93">
        <f t="shared" si="89"/>
        <v>0</v>
      </c>
      <c r="AT95" s="7"/>
      <c r="AU95" s="93">
        <f t="shared" si="90"/>
        <v>0</v>
      </c>
      <c r="AV95" s="7"/>
      <c r="AW95" s="93">
        <f t="shared" si="91"/>
        <v>0</v>
      </c>
      <c r="AX95" s="7"/>
      <c r="AY95" s="93">
        <f t="shared" si="92"/>
        <v>0</v>
      </c>
      <c r="AZ95" s="7"/>
      <c r="BA95" s="93">
        <f t="shared" si="93"/>
        <v>0</v>
      </c>
      <c r="BB95" s="7"/>
      <c r="BC95" s="93">
        <f t="shared" si="94"/>
        <v>0</v>
      </c>
      <c r="BD95" s="7"/>
      <c r="BE95" s="93">
        <f t="shared" si="95"/>
        <v>0</v>
      </c>
      <c r="BF95" s="94">
        <f t="shared" si="107"/>
        <v>0</v>
      </c>
      <c r="BG95" s="95">
        <f t="shared" si="108"/>
        <v>0</v>
      </c>
      <c r="BH95" s="7"/>
      <c r="BI95" s="93">
        <f t="shared" si="96"/>
        <v>0</v>
      </c>
      <c r="BJ95" s="7"/>
      <c r="BK95" s="93">
        <f t="shared" si="97"/>
        <v>0</v>
      </c>
      <c r="BL95" s="7"/>
      <c r="BM95" s="93">
        <f t="shared" si="136"/>
        <v>0</v>
      </c>
      <c r="BN95" s="7"/>
      <c r="BO95" s="93">
        <f t="shared" si="136"/>
        <v>0</v>
      </c>
      <c r="BP95" s="7"/>
      <c r="BQ95" s="93">
        <f t="shared" si="136"/>
        <v>0</v>
      </c>
      <c r="BR95" s="7"/>
      <c r="BS95" s="93">
        <f t="shared" si="136"/>
        <v>0</v>
      </c>
      <c r="BT95" s="7"/>
      <c r="BU95" s="93">
        <f t="shared" si="136"/>
        <v>0</v>
      </c>
      <c r="BV95" s="7"/>
      <c r="BW95" s="93">
        <f t="shared" si="136"/>
        <v>0</v>
      </c>
      <c r="BX95" s="7"/>
      <c r="BY95" s="93">
        <f t="shared" si="136"/>
        <v>0</v>
      </c>
      <c r="BZ95" s="7"/>
      <c r="CA95" s="93">
        <f t="shared" si="136"/>
        <v>0</v>
      </c>
      <c r="CB95" s="7"/>
      <c r="CC95" s="93">
        <f t="shared" si="137"/>
        <v>0</v>
      </c>
      <c r="CD95" s="7"/>
      <c r="CE95" s="93">
        <f t="shared" si="137"/>
        <v>0</v>
      </c>
      <c r="CF95" s="94">
        <f t="shared" si="109"/>
        <v>0</v>
      </c>
      <c r="CG95" s="95">
        <f t="shared" si="110"/>
        <v>0</v>
      </c>
      <c r="CH95" s="7"/>
      <c r="CI95" s="93">
        <f t="shared" si="111"/>
        <v>0</v>
      </c>
      <c r="CJ95" s="7"/>
      <c r="CK95" s="93">
        <f t="shared" si="112"/>
        <v>0</v>
      </c>
      <c r="CL95" s="7"/>
      <c r="CM95" s="93">
        <f t="shared" si="113"/>
        <v>0</v>
      </c>
      <c r="CN95" s="7"/>
      <c r="CO95" s="93">
        <f t="shared" si="114"/>
        <v>0</v>
      </c>
      <c r="CP95" s="7"/>
      <c r="CQ95" s="93">
        <f t="shared" si="115"/>
        <v>0</v>
      </c>
      <c r="CR95" s="7"/>
      <c r="CS95" s="93">
        <f t="shared" si="116"/>
        <v>0</v>
      </c>
      <c r="CT95" s="7"/>
      <c r="CU95" s="93">
        <f t="shared" si="117"/>
        <v>0</v>
      </c>
      <c r="CV95" s="7"/>
      <c r="CW95" s="93">
        <f t="shared" si="118"/>
        <v>0</v>
      </c>
      <c r="CX95" s="7"/>
      <c r="CY95" s="93">
        <v>0</v>
      </c>
      <c r="CZ95" s="7"/>
      <c r="DA95" s="93">
        <v>0</v>
      </c>
      <c r="DB95" s="7"/>
      <c r="DC95" s="93">
        <v>0</v>
      </c>
      <c r="DD95" s="7"/>
      <c r="DE95" s="93">
        <v>0</v>
      </c>
      <c r="DF95" s="97">
        <f t="shared" si="104"/>
        <v>0</v>
      </c>
      <c r="DG95" s="98">
        <f t="shared" si="119"/>
        <v>0</v>
      </c>
      <c r="DH95" s="79"/>
      <c r="DI95" s="79">
        <v>0</v>
      </c>
      <c r="DJ95" s="154"/>
      <c r="DK95" s="212">
        <f t="shared" si="122"/>
        <v>0</v>
      </c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99">
        <f t="shared" si="120"/>
        <v>0</v>
      </c>
      <c r="EG95" s="99">
        <f t="shared" si="121"/>
        <v>0</v>
      </c>
    </row>
    <row r="96" spans="1:137" ht="20.100000000000001" customHeight="1">
      <c r="A96" s="63"/>
      <c r="B96" s="63"/>
      <c r="C96" s="63"/>
      <c r="D96" s="63"/>
      <c r="E96" s="63"/>
      <c r="F96" s="63"/>
      <c r="G96" s="63"/>
      <c r="H96" s="7"/>
      <c r="I96" s="93">
        <f t="shared" si="125"/>
        <v>0</v>
      </c>
      <c r="J96" s="7"/>
      <c r="K96" s="93">
        <f t="shared" si="125"/>
        <v>0</v>
      </c>
      <c r="L96" s="7"/>
      <c r="M96" s="93">
        <f t="shared" si="126"/>
        <v>0</v>
      </c>
      <c r="N96" s="7"/>
      <c r="O96" s="93">
        <f t="shared" si="127"/>
        <v>0</v>
      </c>
      <c r="P96" s="7"/>
      <c r="Q96" s="93">
        <f t="shared" si="128"/>
        <v>0</v>
      </c>
      <c r="R96" s="7"/>
      <c r="S96" s="93">
        <f t="shared" si="129"/>
        <v>0</v>
      </c>
      <c r="T96" s="7"/>
      <c r="U96" s="93">
        <f t="shared" si="130"/>
        <v>0</v>
      </c>
      <c r="V96" s="7"/>
      <c r="W96" s="93">
        <f t="shared" si="131"/>
        <v>0</v>
      </c>
      <c r="X96" s="7"/>
      <c r="Y96" s="93">
        <f t="shared" si="132"/>
        <v>0</v>
      </c>
      <c r="Z96" s="7"/>
      <c r="AA96" s="93">
        <f t="shared" si="133"/>
        <v>0</v>
      </c>
      <c r="AB96" s="7"/>
      <c r="AC96" s="93">
        <f t="shared" si="134"/>
        <v>0</v>
      </c>
      <c r="AD96" s="7"/>
      <c r="AE96" s="93">
        <f t="shared" si="135"/>
        <v>0</v>
      </c>
      <c r="AF96" s="94">
        <f t="shared" si="105"/>
        <v>0</v>
      </c>
      <c r="AG96" s="95">
        <f t="shared" si="106"/>
        <v>0</v>
      </c>
      <c r="AH96" s="7"/>
      <c r="AI96" s="93">
        <f t="shared" si="84"/>
        <v>0</v>
      </c>
      <c r="AJ96" s="7"/>
      <c r="AK96" s="93">
        <f t="shared" si="85"/>
        <v>0</v>
      </c>
      <c r="AL96" s="7"/>
      <c r="AM96" s="93">
        <f t="shared" si="86"/>
        <v>0</v>
      </c>
      <c r="AN96" s="7"/>
      <c r="AO96" s="93">
        <f t="shared" si="87"/>
        <v>0</v>
      </c>
      <c r="AP96" s="7"/>
      <c r="AQ96" s="93">
        <f t="shared" si="88"/>
        <v>0</v>
      </c>
      <c r="AR96" s="7"/>
      <c r="AS96" s="93">
        <f t="shared" si="89"/>
        <v>0</v>
      </c>
      <c r="AT96" s="7"/>
      <c r="AU96" s="93">
        <f t="shared" si="90"/>
        <v>0</v>
      </c>
      <c r="AV96" s="7"/>
      <c r="AW96" s="93">
        <f t="shared" si="91"/>
        <v>0</v>
      </c>
      <c r="AX96" s="7"/>
      <c r="AY96" s="93">
        <f t="shared" si="92"/>
        <v>0</v>
      </c>
      <c r="AZ96" s="7"/>
      <c r="BA96" s="93">
        <f t="shared" si="93"/>
        <v>0</v>
      </c>
      <c r="BB96" s="7"/>
      <c r="BC96" s="93">
        <f t="shared" si="94"/>
        <v>0</v>
      </c>
      <c r="BD96" s="7"/>
      <c r="BE96" s="93">
        <f t="shared" si="95"/>
        <v>0</v>
      </c>
      <c r="BF96" s="94">
        <f t="shared" si="107"/>
        <v>0</v>
      </c>
      <c r="BG96" s="95">
        <f t="shared" si="108"/>
        <v>0</v>
      </c>
      <c r="BH96" s="7"/>
      <c r="BI96" s="93">
        <f t="shared" si="96"/>
        <v>0</v>
      </c>
      <c r="BJ96" s="7"/>
      <c r="BK96" s="93">
        <f t="shared" si="97"/>
        <v>0</v>
      </c>
      <c r="BL96" s="7"/>
      <c r="BM96" s="93">
        <f t="shared" si="136"/>
        <v>0</v>
      </c>
      <c r="BN96" s="7"/>
      <c r="BO96" s="93">
        <f t="shared" si="136"/>
        <v>0</v>
      </c>
      <c r="BP96" s="7"/>
      <c r="BQ96" s="93">
        <f t="shared" si="136"/>
        <v>0</v>
      </c>
      <c r="BR96" s="7"/>
      <c r="BS96" s="93">
        <f t="shared" si="136"/>
        <v>0</v>
      </c>
      <c r="BT96" s="7"/>
      <c r="BU96" s="93">
        <f t="shared" si="136"/>
        <v>0</v>
      </c>
      <c r="BV96" s="7"/>
      <c r="BW96" s="93">
        <f t="shared" si="136"/>
        <v>0</v>
      </c>
      <c r="BX96" s="7"/>
      <c r="BY96" s="93">
        <f t="shared" si="136"/>
        <v>0</v>
      </c>
      <c r="BZ96" s="7"/>
      <c r="CA96" s="93">
        <f t="shared" si="136"/>
        <v>0</v>
      </c>
      <c r="CB96" s="7"/>
      <c r="CC96" s="93">
        <f t="shared" si="137"/>
        <v>0</v>
      </c>
      <c r="CD96" s="7"/>
      <c r="CE96" s="93">
        <f t="shared" si="137"/>
        <v>0</v>
      </c>
      <c r="CF96" s="94">
        <f t="shared" si="109"/>
        <v>0</v>
      </c>
      <c r="CG96" s="95">
        <f t="shared" si="110"/>
        <v>0</v>
      </c>
      <c r="CH96" s="7"/>
      <c r="CI96" s="93">
        <f t="shared" si="111"/>
        <v>0</v>
      </c>
      <c r="CJ96" s="7"/>
      <c r="CK96" s="93">
        <f t="shared" si="112"/>
        <v>0</v>
      </c>
      <c r="CL96" s="7"/>
      <c r="CM96" s="93">
        <f t="shared" si="113"/>
        <v>0</v>
      </c>
      <c r="CN96" s="7"/>
      <c r="CO96" s="93">
        <f t="shared" si="114"/>
        <v>0</v>
      </c>
      <c r="CP96" s="7"/>
      <c r="CQ96" s="93">
        <f t="shared" si="115"/>
        <v>0</v>
      </c>
      <c r="CR96" s="7"/>
      <c r="CS96" s="93">
        <f t="shared" si="116"/>
        <v>0</v>
      </c>
      <c r="CT96" s="7"/>
      <c r="CU96" s="93">
        <f t="shared" si="117"/>
        <v>0</v>
      </c>
      <c r="CV96" s="7"/>
      <c r="CW96" s="93">
        <f t="shared" si="118"/>
        <v>0</v>
      </c>
      <c r="CX96" s="7"/>
      <c r="CY96" s="93">
        <v>0</v>
      </c>
      <c r="CZ96" s="7"/>
      <c r="DA96" s="93">
        <v>0</v>
      </c>
      <c r="DB96" s="7"/>
      <c r="DC96" s="93">
        <v>0</v>
      </c>
      <c r="DD96" s="7"/>
      <c r="DE96" s="93">
        <v>0</v>
      </c>
      <c r="DF96" s="97">
        <f t="shared" si="104"/>
        <v>0</v>
      </c>
      <c r="DG96" s="98">
        <f t="shared" si="119"/>
        <v>0</v>
      </c>
      <c r="DH96" s="79"/>
      <c r="DI96" s="79">
        <v>0</v>
      </c>
      <c r="DJ96" s="154"/>
      <c r="DK96" s="212">
        <f t="shared" si="122"/>
        <v>0</v>
      </c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99">
        <f t="shared" si="120"/>
        <v>0</v>
      </c>
      <c r="EG96" s="99">
        <f t="shared" si="121"/>
        <v>0</v>
      </c>
    </row>
    <row r="97" spans="1:137" ht="20.100000000000001" customHeight="1">
      <c r="A97" s="63">
        <v>78</v>
      </c>
      <c r="B97" s="63" t="s">
        <v>80</v>
      </c>
      <c r="C97" s="63" t="s">
        <v>17</v>
      </c>
      <c r="D97" s="63"/>
      <c r="E97" s="63">
        <v>0.75</v>
      </c>
      <c r="F97" s="63"/>
      <c r="G97" s="63"/>
      <c r="H97" s="7"/>
      <c r="I97" s="93"/>
      <c r="J97" s="7"/>
      <c r="K97" s="93"/>
      <c r="L97" s="7"/>
      <c r="M97" s="93"/>
      <c r="N97" s="7"/>
      <c r="O97" s="93"/>
      <c r="P97" s="7"/>
      <c r="Q97" s="93"/>
      <c r="R97" s="7"/>
      <c r="S97" s="93"/>
      <c r="T97" s="7"/>
      <c r="U97" s="93"/>
      <c r="V97" s="7"/>
      <c r="W97" s="93"/>
      <c r="X97" s="7"/>
      <c r="Y97" s="93"/>
      <c r="Z97" s="7"/>
      <c r="AA97" s="93"/>
      <c r="AB97" s="7"/>
      <c r="AC97" s="93"/>
      <c r="AD97" s="7"/>
      <c r="AE97" s="93"/>
      <c r="AF97" s="94">
        <f t="shared" si="105"/>
        <v>0</v>
      </c>
      <c r="AG97" s="95">
        <f t="shared" si="106"/>
        <v>0</v>
      </c>
      <c r="AH97" s="7"/>
      <c r="AI97" s="93"/>
      <c r="AJ97" s="7"/>
      <c r="AK97" s="93"/>
      <c r="AL97" s="7"/>
      <c r="AM97" s="93"/>
      <c r="AN97" s="7"/>
      <c r="AO97" s="93"/>
      <c r="AP97" s="7"/>
      <c r="AQ97" s="93"/>
      <c r="AR97" s="7"/>
      <c r="AS97" s="93"/>
      <c r="AT97" s="7"/>
      <c r="AU97" s="93"/>
      <c r="AV97" s="7"/>
      <c r="AW97" s="93"/>
      <c r="AX97" s="7"/>
      <c r="AY97" s="93"/>
      <c r="AZ97" s="7"/>
      <c r="BA97" s="93"/>
      <c r="BB97" s="7"/>
      <c r="BC97" s="93"/>
      <c r="BD97" s="7"/>
      <c r="BE97" s="93"/>
      <c r="BF97" s="94">
        <f t="shared" si="107"/>
        <v>0</v>
      </c>
      <c r="BG97" s="95">
        <f t="shared" si="108"/>
        <v>0</v>
      </c>
      <c r="BH97" s="7"/>
      <c r="BI97" s="93"/>
      <c r="BJ97" s="7"/>
      <c r="BK97" s="93"/>
      <c r="BL97" s="7"/>
      <c r="BM97" s="93"/>
      <c r="BN97" s="7"/>
      <c r="BO97" s="93"/>
      <c r="BP97" s="7"/>
      <c r="BQ97" s="93"/>
      <c r="BR97" s="7"/>
      <c r="BS97" s="93"/>
      <c r="BT97" s="7"/>
      <c r="BU97" s="93"/>
      <c r="BV97" s="7"/>
      <c r="BW97" s="93"/>
      <c r="BX97" s="7"/>
      <c r="BY97" s="93"/>
      <c r="BZ97" s="7"/>
      <c r="CA97" s="93"/>
      <c r="CB97" s="7"/>
      <c r="CC97" s="93"/>
      <c r="CD97" s="7"/>
      <c r="CE97" s="93"/>
      <c r="CF97" s="94">
        <f t="shared" si="109"/>
        <v>0</v>
      </c>
      <c r="CG97" s="95">
        <f t="shared" si="110"/>
        <v>0</v>
      </c>
      <c r="CH97" s="7"/>
      <c r="CI97" s="93">
        <f t="shared" si="111"/>
        <v>0</v>
      </c>
      <c r="CJ97" s="7"/>
      <c r="CK97" s="93">
        <f t="shared" si="112"/>
        <v>0</v>
      </c>
      <c r="CL97" s="7"/>
      <c r="CM97" s="93">
        <f t="shared" si="113"/>
        <v>0</v>
      </c>
      <c r="CN97" s="7"/>
      <c r="CO97" s="93">
        <f t="shared" si="114"/>
        <v>0</v>
      </c>
      <c r="CP97" s="7"/>
      <c r="CQ97" s="93">
        <f t="shared" si="115"/>
        <v>0</v>
      </c>
      <c r="CR97" s="7"/>
      <c r="CS97" s="93">
        <f t="shared" si="116"/>
        <v>0</v>
      </c>
      <c r="CT97" s="7"/>
      <c r="CU97" s="93">
        <f t="shared" si="117"/>
        <v>0</v>
      </c>
      <c r="CV97" s="7"/>
      <c r="CW97" s="93">
        <f t="shared" si="118"/>
        <v>0</v>
      </c>
      <c r="CX97" s="7"/>
      <c r="CY97" s="93">
        <v>0</v>
      </c>
      <c r="CZ97" s="7"/>
      <c r="DA97" s="93">
        <v>0</v>
      </c>
      <c r="DB97" s="7"/>
      <c r="DC97" s="93">
        <v>0</v>
      </c>
      <c r="DD97" s="7"/>
      <c r="DE97" s="93">
        <v>0</v>
      </c>
      <c r="DF97" s="97">
        <f t="shared" si="104"/>
        <v>0</v>
      </c>
      <c r="DG97" s="98">
        <f t="shared" si="119"/>
        <v>0</v>
      </c>
      <c r="DH97" s="79"/>
      <c r="DI97" s="79">
        <v>0</v>
      </c>
      <c r="DJ97" s="154"/>
      <c r="DK97" s="212">
        <f t="shared" si="122"/>
        <v>0</v>
      </c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99">
        <f t="shared" si="120"/>
        <v>0</v>
      </c>
      <c r="EG97" s="99">
        <f t="shared" si="121"/>
        <v>0</v>
      </c>
    </row>
    <row r="98" spans="1:137" ht="20.100000000000001" customHeight="1">
      <c r="A98" s="63">
        <v>79</v>
      </c>
      <c r="B98" s="63" t="s">
        <v>80</v>
      </c>
      <c r="C98" s="63" t="s">
        <v>197</v>
      </c>
      <c r="D98" s="63"/>
      <c r="E98" s="63">
        <v>0.6</v>
      </c>
      <c r="F98" s="63" t="s">
        <v>205</v>
      </c>
      <c r="G98" s="109">
        <v>800</v>
      </c>
      <c r="H98" s="7"/>
      <c r="I98" s="93"/>
      <c r="J98" s="7"/>
      <c r="K98" s="93"/>
      <c r="L98" s="7"/>
      <c r="M98" s="93"/>
      <c r="N98" s="7"/>
      <c r="O98" s="93"/>
      <c r="P98" s="7"/>
      <c r="Q98" s="93"/>
      <c r="R98" s="7"/>
      <c r="S98" s="93"/>
      <c r="T98" s="7"/>
      <c r="U98" s="93"/>
      <c r="V98" s="7"/>
      <c r="W98" s="93"/>
      <c r="X98" s="7"/>
      <c r="Y98" s="93"/>
      <c r="Z98" s="7"/>
      <c r="AA98" s="93"/>
      <c r="AB98" s="7"/>
      <c r="AC98" s="93"/>
      <c r="AD98" s="7"/>
      <c r="AE98" s="93"/>
      <c r="AF98" s="94">
        <f t="shared" si="105"/>
        <v>0</v>
      </c>
      <c r="AG98" s="95">
        <f t="shared" si="106"/>
        <v>0</v>
      </c>
      <c r="AH98" s="92"/>
      <c r="AI98" s="93"/>
      <c r="AJ98" s="92"/>
      <c r="AK98" s="93"/>
      <c r="AL98" s="92"/>
      <c r="AM98" s="93"/>
      <c r="AN98" s="92"/>
      <c r="AO98" s="93"/>
      <c r="AP98" s="92"/>
      <c r="AQ98" s="93"/>
      <c r="AR98" s="92"/>
      <c r="AS98" s="93"/>
      <c r="AT98" s="92"/>
      <c r="AU98" s="93"/>
      <c r="AV98" s="92"/>
      <c r="AW98" s="93"/>
      <c r="AX98" s="92"/>
      <c r="AY98" s="93"/>
      <c r="AZ98" s="92"/>
      <c r="BA98" s="93"/>
      <c r="BB98" s="92"/>
      <c r="BC98" s="93"/>
      <c r="BD98" s="92"/>
      <c r="BE98" s="93">
        <f t="shared" ref="BE98:BE99" si="138">BD98*$E98</f>
        <v>0</v>
      </c>
      <c r="BF98" s="94">
        <f t="shared" si="107"/>
        <v>0</v>
      </c>
      <c r="BG98" s="95">
        <f t="shared" si="108"/>
        <v>0</v>
      </c>
      <c r="BH98" s="92"/>
      <c r="BI98" s="93">
        <f t="shared" ref="BI98:BI99" si="139">BH98*$E98</f>
        <v>0</v>
      </c>
      <c r="BJ98" s="92"/>
      <c r="BK98" s="93">
        <f t="shared" ref="BK98:BK99" si="140">BJ98*$E98</f>
        <v>0</v>
      </c>
      <c r="BL98" s="92"/>
      <c r="BM98" s="93">
        <f t="shared" ref="BM98:BM99" si="141">BL98*$E98</f>
        <v>0</v>
      </c>
      <c r="BN98" s="92"/>
      <c r="BO98" s="93">
        <f t="shared" ref="BO98:BO99" si="142">BN98*$E98</f>
        <v>0</v>
      </c>
      <c r="BP98" s="92"/>
      <c r="BQ98" s="93">
        <f t="shared" ref="BQ98:BQ99" si="143">BP98*$E98</f>
        <v>0</v>
      </c>
      <c r="BR98" s="92"/>
      <c r="BS98" s="93">
        <f t="shared" ref="BS98:BS99" si="144">BR98*$E98</f>
        <v>0</v>
      </c>
      <c r="BT98" s="92"/>
      <c r="BU98" s="93">
        <f t="shared" ref="BU98:BU99" si="145">BT98*$E98</f>
        <v>0</v>
      </c>
      <c r="BV98" s="92"/>
      <c r="BW98" s="93">
        <f t="shared" ref="BW98:BW99" si="146">BV98*$E98</f>
        <v>0</v>
      </c>
      <c r="BX98" s="7"/>
      <c r="BY98" s="93">
        <f t="shared" ref="BY98:BY99" si="147">BX98*$E98</f>
        <v>0</v>
      </c>
      <c r="BZ98" s="7"/>
      <c r="CA98" s="93">
        <f t="shared" ref="CA98:CA99" si="148">BZ98*$E98</f>
        <v>0</v>
      </c>
      <c r="CB98" s="7"/>
      <c r="CC98" s="93">
        <f t="shared" ref="CC98:CC99" si="149">CB98*$E98</f>
        <v>0</v>
      </c>
      <c r="CD98" s="7"/>
      <c r="CE98" s="93">
        <f t="shared" ref="CE98:CE99" si="150">CD98*$E98</f>
        <v>0</v>
      </c>
      <c r="CF98" s="94">
        <f t="shared" si="109"/>
        <v>0</v>
      </c>
      <c r="CG98" s="95">
        <f t="shared" si="110"/>
        <v>0</v>
      </c>
      <c r="CH98" s="7"/>
      <c r="CI98" s="93">
        <f t="shared" si="111"/>
        <v>0</v>
      </c>
      <c r="CJ98" s="7"/>
      <c r="CK98" s="93">
        <f t="shared" si="112"/>
        <v>0</v>
      </c>
      <c r="CL98" s="7"/>
      <c r="CM98" s="93">
        <f t="shared" si="113"/>
        <v>0</v>
      </c>
      <c r="CN98" s="7"/>
      <c r="CO98" s="93">
        <f t="shared" si="114"/>
        <v>0</v>
      </c>
      <c r="CP98" s="7"/>
      <c r="CQ98" s="93">
        <f t="shared" si="115"/>
        <v>0</v>
      </c>
      <c r="CR98" s="7">
        <v>6432</v>
      </c>
      <c r="CS98" s="93">
        <f t="shared" si="116"/>
        <v>3859.2</v>
      </c>
      <c r="CT98" s="7">
        <v>3024</v>
      </c>
      <c r="CU98" s="93">
        <f t="shared" si="117"/>
        <v>1814.3999999999999</v>
      </c>
      <c r="CV98" s="7">
        <v>1764</v>
      </c>
      <c r="CW98" s="93">
        <f t="shared" si="118"/>
        <v>1058.3999999999999</v>
      </c>
      <c r="CX98" s="7">
        <v>1188</v>
      </c>
      <c r="CY98" s="93">
        <v>712.8</v>
      </c>
      <c r="CZ98" s="7">
        <v>192</v>
      </c>
      <c r="DA98" s="93">
        <v>115.19999999999999</v>
      </c>
      <c r="DB98" s="7">
        <v>528</v>
      </c>
      <c r="DC98" s="93">
        <v>316.8</v>
      </c>
      <c r="DD98" s="7">
        <v>732</v>
      </c>
      <c r="DE98" s="93">
        <v>439.2</v>
      </c>
      <c r="DF98" s="97">
        <f t="shared" si="104"/>
        <v>13860</v>
      </c>
      <c r="DG98" s="98">
        <f t="shared" si="119"/>
        <v>8316</v>
      </c>
      <c r="DH98" s="79">
        <v>648</v>
      </c>
      <c r="DI98" s="79">
        <v>388.8</v>
      </c>
      <c r="DJ98" s="154">
        <v>588</v>
      </c>
      <c r="DK98" s="212">
        <f t="shared" si="122"/>
        <v>352.8</v>
      </c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99">
        <f t="shared" si="120"/>
        <v>1236</v>
      </c>
      <c r="EG98" s="99">
        <f t="shared" si="121"/>
        <v>741.6</v>
      </c>
    </row>
    <row r="99" spans="1:137" ht="20.100000000000001" customHeight="1">
      <c r="A99" s="63">
        <v>80</v>
      </c>
      <c r="B99" s="63" t="s">
        <v>80</v>
      </c>
      <c r="C99" s="63" t="s">
        <v>14</v>
      </c>
      <c r="D99" s="63"/>
      <c r="E99" s="63">
        <v>0.64</v>
      </c>
      <c r="F99" s="63" t="s">
        <v>24</v>
      </c>
      <c r="G99" s="63">
        <v>800</v>
      </c>
      <c r="H99" s="7"/>
      <c r="I99" s="93">
        <f t="shared" ref="I99" si="151">H99*$E99</f>
        <v>0</v>
      </c>
      <c r="J99" s="7"/>
      <c r="K99" s="93">
        <f t="shared" ref="K99" si="152">J99*$E99</f>
        <v>0</v>
      </c>
      <c r="L99" s="7"/>
      <c r="M99" s="93">
        <f t="shared" ref="M99" si="153">L99*$E99</f>
        <v>0</v>
      </c>
      <c r="N99" s="7"/>
      <c r="O99" s="93">
        <f t="shared" ref="O99" si="154">N99*$E99</f>
        <v>0</v>
      </c>
      <c r="P99" s="7"/>
      <c r="Q99" s="93">
        <f t="shared" ref="Q99" si="155">P99*$E99</f>
        <v>0</v>
      </c>
      <c r="R99" s="7"/>
      <c r="S99" s="93">
        <f t="shared" ref="S99" si="156">R99*$E99</f>
        <v>0</v>
      </c>
      <c r="T99" s="7"/>
      <c r="U99" s="93">
        <f t="shared" ref="U99" si="157">T99*$E99</f>
        <v>0</v>
      </c>
      <c r="V99" s="7"/>
      <c r="W99" s="93">
        <f t="shared" ref="W99" si="158">V99*$E99</f>
        <v>0</v>
      </c>
      <c r="X99" s="7"/>
      <c r="Y99" s="93">
        <f t="shared" ref="Y99" si="159">X99*$E99</f>
        <v>0</v>
      </c>
      <c r="Z99" s="7"/>
      <c r="AA99" s="93">
        <f t="shared" ref="AA99" si="160">Z99*$E99</f>
        <v>0</v>
      </c>
      <c r="AB99" s="7"/>
      <c r="AC99" s="93">
        <f t="shared" ref="AC99" si="161">AB99*$E99</f>
        <v>0</v>
      </c>
      <c r="AD99" s="7"/>
      <c r="AE99" s="93">
        <f t="shared" ref="AE99" si="162">AD99*$E99</f>
        <v>0</v>
      </c>
      <c r="AF99" s="94">
        <f t="shared" si="105"/>
        <v>0</v>
      </c>
      <c r="AG99" s="95">
        <f t="shared" si="106"/>
        <v>0</v>
      </c>
      <c r="AH99" s="7"/>
      <c r="AI99" s="93">
        <f t="shared" ref="AI99" si="163">AH99*$E99</f>
        <v>0</v>
      </c>
      <c r="AJ99" s="7"/>
      <c r="AK99" s="93">
        <f t="shared" ref="AK99" si="164">AJ99*$E99</f>
        <v>0</v>
      </c>
      <c r="AL99" s="7"/>
      <c r="AM99" s="93">
        <f t="shared" ref="AM99" si="165">AL99*$E99</f>
        <v>0</v>
      </c>
      <c r="AN99" s="7">
        <v>5029</v>
      </c>
      <c r="AO99" s="93">
        <f t="shared" ref="AO99" si="166">AN99*$E99</f>
        <v>3218.56</v>
      </c>
      <c r="AP99" s="7">
        <v>520</v>
      </c>
      <c r="AQ99" s="93">
        <f t="shared" ref="AQ99" si="167">AP99*$E99</f>
        <v>332.8</v>
      </c>
      <c r="AR99" s="7">
        <v>192</v>
      </c>
      <c r="AS99" s="93">
        <f t="shared" ref="AS99" si="168">AR99*$E99</f>
        <v>122.88</v>
      </c>
      <c r="AT99" s="7">
        <v>192</v>
      </c>
      <c r="AU99" s="93">
        <f t="shared" ref="AU99" si="169">AT99*$E99</f>
        <v>122.88</v>
      </c>
      <c r="AV99" s="7">
        <v>72</v>
      </c>
      <c r="AW99" s="93">
        <f t="shared" ref="AW99" si="170">AV99*$E99</f>
        <v>46.08</v>
      </c>
      <c r="AX99" s="7">
        <v>576</v>
      </c>
      <c r="AY99" s="93">
        <f t="shared" ref="AY99" si="171">AX99*$E99</f>
        <v>368.64</v>
      </c>
      <c r="AZ99" s="7">
        <v>24</v>
      </c>
      <c r="BA99" s="93">
        <f t="shared" ref="BA99" si="172">AZ99*$E99</f>
        <v>15.36</v>
      </c>
      <c r="BB99" s="7">
        <v>264</v>
      </c>
      <c r="BC99" s="93">
        <f t="shared" ref="BC99" si="173">BB99*$E99</f>
        <v>168.96</v>
      </c>
      <c r="BD99" s="7">
        <v>120</v>
      </c>
      <c r="BE99" s="93">
        <f t="shared" si="138"/>
        <v>76.8</v>
      </c>
      <c r="BF99" s="94">
        <f t="shared" si="107"/>
        <v>6989</v>
      </c>
      <c r="BG99" s="95">
        <f t="shared" si="108"/>
        <v>4472.96</v>
      </c>
      <c r="BH99" s="7"/>
      <c r="BI99" s="93">
        <f t="shared" si="139"/>
        <v>0</v>
      </c>
      <c r="BJ99" s="7">
        <v>144</v>
      </c>
      <c r="BK99" s="93">
        <f t="shared" si="140"/>
        <v>92.16</v>
      </c>
      <c r="BL99" s="7">
        <v>4149</v>
      </c>
      <c r="BM99" s="93">
        <f t="shared" si="141"/>
        <v>2655.36</v>
      </c>
      <c r="BN99" s="7">
        <v>18550</v>
      </c>
      <c r="BO99" s="93">
        <f t="shared" si="142"/>
        <v>11872</v>
      </c>
      <c r="BP99" s="7">
        <v>20986</v>
      </c>
      <c r="BQ99" s="93">
        <f t="shared" si="143"/>
        <v>13431.04</v>
      </c>
      <c r="BR99" s="7">
        <v>17002</v>
      </c>
      <c r="BS99" s="93">
        <f t="shared" si="144"/>
        <v>10881.28</v>
      </c>
      <c r="BT99" s="7">
        <v>21224</v>
      </c>
      <c r="BU99" s="93">
        <f t="shared" si="145"/>
        <v>13583.36</v>
      </c>
      <c r="BV99" s="7">
        <v>18204</v>
      </c>
      <c r="BW99" s="93">
        <f t="shared" si="146"/>
        <v>11650.56</v>
      </c>
      <c r="BX99" s="7">
        <v>17136</v>
      </c>
      <c r="BY99" s="93">
        <f t="shared" si="147"/>
        <v>10967.04</v>
      </c>
      <c r="BZ99" s="7">
        <v>20256</v>
      </c>
      <c r="CA99" s="93">
        <f t="shared" si="148"/>
        <v>12963.84</v>
      </c>
      <c r="CB99" s="7">
        <v>18185</v>
      </c>
      <c r="CC99" s="93">
        <f t="shared" si="149"/>
        <v>11638.4</v>
      </c>
      <c r="CD99" s="7">
        <v>11232</v>
      </c>
      <c r="CE99" s="93">
        <f t="shared" si="150"/>
        <v>7188.4800000000005</v>
      </c>
      <c r="CF99" s="94">
        <f t="shared" si="109"/>
        <v>167068</v>
      </c>
      <c r="CG99" s="95">
        <f t="shared" si="110"/>
        <v>106923.52</v>
      </c>
      <c r="CH99" s="7">
        <v>14112</v>
      </c>
      <c r="CI99" s="93">
        <f t="shared" si="111"/>
        <v>9031.68</v>
      </c>
      <c r="CJ99" s="7">
        <v>17376</v>
      </c>
      <c r="CK99" s="93">
        <f t="shared" si="112"/>
        <v>11120.64</v>
      </c>
      <c r="CL99" s="7">
        <v>20266</v>
      </c>
      <c r="CM99" s="93">
        <f t="shared" si="113"/>
        <v>12970.24</v>
      </c>
      <c r="CN99" s="7">
        <v>21648</v>
      </c>
      <c r="CO99" s="93">
        <f t="shared" si="114"/>
        <v>13854.720000000001</v>
      </c>
      <c r="CP99" s="7">
        <v>31114</v>
      </c>
      <c r="CQ99" s="93">
        <f t="shared" si="115"/>
        <v>19912.96</v>
      </c>
      <c r="CR99" s="7">
        <v>13233</v>
      </c>
      <c r="CS99" s="93">
        <f t="shared" si="116"/>
        <v>8469.1200000000008</v>
      </c>
      <c r="CT99" s="7">
        <v>11904</v>
      </c>
      <c r="CU99" s="93">
        <f t="shared" si="117"/>
        <v>7618.56</v>
      </c>
      <c r="CV99" s="7">
        <v>10783</v>
      </c>
      <c r="CW99" s="93">
        <f t="shared" si="118"/>
        <v>6901.12</v>
      </c>
      <c r="CX99" s="7">
        <v>10296</v>
      </c>
      <c r="CY99" s="93">
        <v>6589.4400000000005</v>
      </c>
      <c r="CZ99" s="7">
        <v>10992</v>
      </c>
      <c r="DA99" s="93">
        <v>7034.88</v>
      </c>
      <c r="DB99" s="7">
        <v>13176</v>
      </c>
      <c r="DC99" s="93">
        <v>8432.64</v>
      </c>
      <c r="DD99" s="7">
        <v>10536</v>
      </c>
      <c r="DE99" s="93">
        <v>6743.04</v>
      </c>
      <c r="DF99" s="97">
        <f t="shared" si="104"/>
        <v>185436</v>
      </c>
      <c r="DG99" s="98">
        <f t="shared" si="119"/>
        <v>118679.04000000001</v>
      </c>
      <c r="DH99" s="79">
        <v>8179</v>
      </c>
      <c r="DI99" s="79">
        <v>5234.5600000000004</v>
      </c>
      <c r="DJ99" s="154">
        <v>6409</v>
      </c>
      <c r="DK99" s="212">
        <f t="shared" si="122"/>
        <v>4101.76</v>
      </c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99">
        <f t="shared" si="120"/>
        <v>14588</v>
      </c>
      <c r="EG99" s="99">
        <f t="shared" si="121"/>
        <v>9336.32</v>
      </c>
    </row>
    <row r="100" spans="1:137" ht="20.100000000000001" customHeight="1">
      <c r="A100" s="63"/>
      <c r="B100" s="63"/>
      <c r="C100" s="63"/>
      <c r="D100" s="63"/>
      <c r="E100" s="63"/>
      <c r="F100" s="63"/>
      <c r="G100" s="63"/>
      <c r="H100" s="7"/>
      <c r="I100" s="93"/>
      <c r="J100" s="7"/>
      <c r="K100" s="93"/>
      <c r="L100" s="7"/>
      <c r="M100" s="93"/>
      <c r="N100" s="7"/>
      <c r="O100" s="93"/>
      <c r="P100" s="7"/>
      <c r="Q100" s="93"/>
      <c r="R100" s="7"/>
      <c r="S100" s="93"/>
      <c r="T100" s="7"/>
      <c r="U100" s="93"/>
      <c r="V100" s="7"/>
      <c r="W100" s="93"/>
      <c r="X100" s="7"/>
      <c r="Y100" s="93"/>
      <c r="Z100" s="7"/>
      <c r="AA100" s="93"/>
      <c r="AB100" s="7"/>
      <c r="AC100" s="93"/>
      <c r="AD100" s="7"/>
      <c r="AE100" s="93"/>
      <c r="AF100" s="94">
        <f t="shared" si="105"/>
        <v>0</v>
      </c>
      <c r="AG100" s="95">
        <f t="shared" si="106"/>
        <v>0</v>
      </c>
      <c r="AH100" s="92"/>
      <c r="AI100" s="93"/>
      <c r="AJ100" s="92"/>
      <c r="AK100" s="93"/>
      <c r="AL100" s="92"/>
      <c r="AM100" s="93"/>
      <c r="AN100" s="92"/>
      <c r="AO100" s="93"/>
      <c r="AP100" s="92"/>
      <c r="AQ100" s="93"/>
      <c r="AR100" s="92"/>
      <c r="AS100" s="93"/>
      <c r="AT100" s="92"/>
      <c r="AU100" s="93"/>
      <c r="AV100" s="92"/>
      <c r="AW100" s="93"/>
      <c r="AX100" s="92"/>
      <c r="AY100" s="93"/>
      <c r="AZ100" s="92"/>
      <c r="BA100" s="93"/>
      <c r="BB100" s="92"/>
      <c r="BC100" s="93"/>
      <c r="BD100" s="92"/>
      <c r="BE100" s="93"/>
      <c r="BF100" s="94">
        <f t="shared" si="107"/>
        <v>0</v>
      </c>
      <c r="BG100" s="95">
        <f t="shared" si="108"/>
        <v>0</v>
      </c>
      <c r="BH100" s="7"/>
      <c r="BI100" s="93"/>
      <c r="BJ100" s="7"/>
      <c r="BK100" s="93"/>
      <c r="BL100" s="7"/>
      <c r="BM100" s="93"/>
      <c r="BN100" s="7"/>
      <c r="BO100" s="93"/>
      <c r="BP100" s="7"/>
      <c r="BQ100" s="93"/>
      <c r="BR100" s="7"/>
      <c r="BS100" s="93"/>
      <c r="BT100" s="7"/>
      <c r="BU100" s="93"/>
      <c r="BV100" s="7"/>
      <c r="BW100" s="93"/>
      <c r="BX100" s="7"/>
      <c r="BY100" s="93"/>
      <c r="BZ100" s="7"/>
      <c r="CA100" s="93"/>
      <c r="CB100" s="7"/>
      <c r="CC100" s="93"/>
      <c r="CD100" s="7"/>
      <c r="CE100" s="93"/>
      <c r="CF100" s="94">
        <f t="shared" si="109"/>
        <v>0</v>
      </c>
      <c r="CG100" s="95">
        <f t="shared" si="110"/>
        <v>0</v>
      </c>
      <c r="CH100" s="7"/>
      <c r="CI100" s="93">
        <f t="shared" si="111"/>
        <v>0</v>
      </c>
      <c r="CJ100" s="7"/>
      <c r="CK100" s="93">
        <f t="shared" si="112"/>
        <v>0</v>
      </c>
      <c r="CL100" s="7"/>
      <c r="CM100" s="93">
        <f t="shared" si="113"/>
        <v>0</v>
      </c>
      <c r="CN100" s="7"/>
      <c r="CO100" s="93">
        <f t="shared" si="114"/>
        <v>0</v>
      </c>
      <c r="CP100" s="7"/>
      <c r="CQ100" s="93">
        <f t="shared" si="115"/>
        <v>0</v>
      </c>
      <c r="CR100" s="7"/>
      <c r="CS100" s="93">
        <f t="shared" si="116"/>
        <v>0</v>
      </c>
      <c r="CT100" s="7"/>
      <c r="CU100" s="93">
        <f t="shared" si="117"/>
        <v>0</v>
      </c>
      <c r="CV100" s="7"/>
      <c r="CW100" s="93">
        <f t="shared" si="118"/>
        <v>0</v>
      </c>
      <c r="CX100" s="7"/>
      <c r="CY100" s="93">
        <v>0</v>
      </c>
      <c r="CZ100" s="7"/>
      <c r="DA100" s="93">
        <v>0</v>
      </c>
      <c r="DB100" s="7"/>
      <c r="DC100" s="93">
        <v>0</v>
      </c>
      <c r="DD100" s="7"/>
      <c r="DE100" s="93">
        <v>0</v>
      </c>
      <c r="DF100" s="97">
        <f t="shared" si="104"/>
        <v>0</v>
      </c>
      <c r="DG100" s="98">
        <f t="shared" si="119"/>
        <v>0</v>
      </c>
      <c r="DH100" s="79"/>
      <c r="DI100" s="79">
        <v>0</v>
      </c>
      <c r="DJ100" s="154"/>
      <c r="DK100" s="212">
        <f t="shared" si="122"/>
        <v>0</v>
      </c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99">
        <f t="shared" si="120"/>
        <v>0</v>
      </c>
      <c r="EG100" s="99">
        <f t="shared" si="121"/>
        <v>0</v>
      </c>
    </row>
    <row r="101" spans="1:137" ht="20.100000000000001" customHeight="1">
      <c r="A101" s="63">
        <v>81</v>
      </c>
      <c r="B101" s="63" t="s">
        <v>81</v>
      </c>
      <c r="C101" s="63" t="s">
        <v>14</v>
      </c>
      <c r="D101" s="63"/>
      <c r="E101" s="63">
        <v>0.64</v>
      </c>
      <c r="F101" s="63" t="s">
        <v>82</v>
      </c>
      <c r="G101" s="63"/>
      <c r="H101" s="7"/>
      <c r="I101" s="93">
        <f>H101*$E101</f>
        <v>0</v>
      </c>
      <c r="J101" s="7"/>
      <c r="K101" s="93">
        <f>J101*$E101</f>
        <v>0</v>
      </c>
      <c r="L101" s="7"/>
      <c r="M101" s="93">
        <f>L101*$E101</f>
        <v>0</v>
      </c>
      <c r="N101" s="7"/>
      <c r="O101" s="93">
        <f>N101*$E101</f>
        <v>0</v>
      </c>
      <c r="P101" s="7"/>
      <c r="Q101" s="93">
        <f>P101*$E101</f>
        <v>0</v>
      </c>
      <c r="R101" s="7"/>
      <c r="S101" s="93">
        <f>R101*$E101</f>
        <v>0</v>
      </c>
      <c r="T101" s="7"/>
      <c r="U101" s="93">
        <f>T101*$E101</f>
        <v>0</v>
      </c>
      <c r="V101" s="7"/>
      <c r="W101" s="93">
        <f>V101*$E101</f>
        <v>0</v>
      </c>
      <c r="X101" s="7"/>
      <c r="Y101" s="93">
        <f>X101*$E101</f>
        <v>0</v>
      </c>
      <c r="Z101" s="7"/>
      <c r="AA101" s="93">
        <f>Z101*$E101</f>
        <v>0</v>
      </c>
      <c r="AB101" s="7"/>
      <c r="AC101" s="93">
        <f>AB101*$E101</f>
        <v>0</v>
      </c>
      <c r="AD101" s="7"/>
      <c r="AE101" s="93">
        <f>AD101*$E101</f>
        <v>0</v>
      </c>
      <c r="AF101" s="94">
        <f t="shared" si="105"/>
        <v>0</v>
      </c>
      <c r="AG101" s="95">
        <f t="shared" si="106"/>
        <v>0</v>
      </c>
      <c r="AH101" s="7"/>
      <c r="AI101" s="93">
        <f>AH101*$E101</f>
        <v>0</v>
      </c>
      <c r="AJ101" s="7"/>
      <c r="AK101" s="93">
        <f>AJ101*$E101</f>
        <v>0</v>
      </c>
      <c r="AL101" s="7"/>
      <c r="AM101" s="93">
        <f>AL101*$E101</f>
        <v>0</v>
      </c>
      <c r="AN101" s="7"/>
      <c r="AO101" s="93">
        <f>AN101*$E101</f>
        <v>0</v>
      </c>
      <c r="AP101" s="7"/>
      <c r="AQ101" s="93">
        <f>AP101*$E101</f>
        <v>0</v>
      </c>
      <c r="AR101" s="7"/>
      <c r="AS101" s="93">
        <f>AR101*$E101</f>
        <v>0</v>
      </c>
      <c r="AT101" s="7"/>
      <c r="AU101" s="93">
        <f>AT101*$E101</f>
        <v>0</v>
      </c>
      <c r="AV101" s="7"/>
      <c r="AW101" s="93">
        <f>AV101*$E101</f>
        <v>0</v>
      </c>
      <c r="AX101" s="7"/>
      <c r="AY101" s="93">
        <f>AX101*$E101</f>
        <v>0</v>
      </c>
      <c r="AZ101" s="7"/>
      <c r="BA101" s="93">
        <f>AZ101*$E101</f>
        <v>0</v>
      </c>
      <c r="BB101" s="7"/>
      <c r="BC101" s="93">
        <f>BB101*$E101</f>
        <v>0</v>
      </c>
      <c r="BD101" s="7"/>
      <c r="BE101" s="93">
        <f>BD101*$E101</f>
        <v>0</v>
      </c>
      <c r="BF101" s="94">
        <f t="shared" si="107"/>
        <v>0</v>
      </c>
      <c r="BG101" s="95">
        <f t="shared" si="108"/>
        <v>0</v>
      </c>
      <c r="BH101" s="7"/>
      <c r="BI101" s="93">
        <f>BH101*$E101</f>
        <v>0</v>
      </c>
      <c r="BJ101" s="7"/>
      <c r="BK101" s="93">
        <f>BJ101*$E101</f>
        <v>0</v>
      </c>
      <c r="BL101" s="7"/>
      <c r="BM101" s="93">
        <f>BL101*$E101</f>
        <v>0</v>
      </c>
      <c r="BN101" s="7"/>
      <c r="BO101" s="93">
        <f>BN101*$E101</f>
        <v>0</v>
      </c>
      <c r="BP101" s="7"/>
      <c r="BQ101" s="93">
        <f>BP101*$E101</f>
        <v>0</v>
      </c>
      <c r="BR101" s="7"/>
      <c r="BS101" s="93">
        <f>BR101*$E101</f>
        <v>0</v>
      </c>
      <c r="BT101" s="7"/>
      <c r="BU101" s="93">
        <f>BT101*$E101</f>
        <v>0</v>
      </c>
      <c r="BV101" s="7"/>
      <c r="BW101" s="93">
        <f>BV101*$E101</f>
        <v>0</v>
      </c>
      <c r="BX101" s="7"/>
      <c r="BY101" s="93">
        <f>BX101*$E101</f>
        <v>0</v>
      </c>
      <c r="BZ101" s="7"/>
      <c r="CA101" s="93">
        <f>BZ101*$E101</f>
        <v>0</v>
      </c>
      <c r="CB101" s="7"/>
      <c r="CC101" s="93">
        <f>CB101*$E101</f>
        <v>0</v>
      </c>
      <c r="CD101" s="7"/>
      <c r="CE101" s="93">
        <f>CD101*$E101</f>
        <v>0</v>
      </c>
      <c r="CF101" s="94">
        <f t="shared" si="109"/>
        <v>0</v>
      </c>
      <c r="CG101" s="95">
        <f t="shared" si="110"/>
        <v>0</v>
      </c>
      <c r="CH101" s="7"/>
      <c r="CI101" s="93">
        <f t="shared" si="111"/>
        <v>0</v>
      </c>
      <c r="CJ101" s="7"/>
      <c r="CK101" s="93">
        <f t="shared" si="112"/>
        <v>0</v>
      </c>
      <c r="CL101" s="7"/>
      <c r="CM101" s="93">
        <f t="shared" si="113"/>
        <v>0</v>
      </c>
      <c r="CN101" s="7"/>
      <c r="CO101" s="93">
        <f t="shared" si="114"/>
        <v>0</v>
      </c>
      <c r="CP101" s="7"/>
      <c r="CQ101" s="93">
        <f t="shared" si="115"/>
        <v>0</v>
      </c>
      <c r="CR101" s="7"/>
      <c r="CS101" s="93">
        <f t="shared" si="116"/>
        <v>0</v>
      </c>
      <c r="CT101" s="7"/>
      <c r="CU101" s="93">
        <f t="shared" si="117"/>
        <v>0</v>
      </c>
      <c r="CV101" s="7"/>
      <c r="CW101" s="93">
        <f t="shared" si="118"/>
        <v>0</v>
      </c>
      <c r="CX101" s="7"/>
      <c r="CY101" s="93">
        <v>0</v>
      </c>
      <c r="CZ101" s="7"/>
      <c r="DA101" s="93">
        <v>0</v>
      </c>
      <c r="DB101" s="7"/>
      <c r="DC101" s="93">
        <v>0</v>
      </c>
      <c r="DD101" s="7"/>
      <c r="DE101" s="93">
        <v>0</v>
      </c>
      <c r="DF101" s="97">
        <f t="shared" si="104"/>
        <v>0</v>
      </c>
      <c r="DG101" s="98">
        <f t="shared" si="119"/>
        <v>0</v>
      </c>
      <c r="DH101" s="79"/>
      <c r="DI101" s="79">
        <v>0</v>
      </c>
      <c r="DJ101" s="154"/>
      <c r="DK101" s="212">
        <f t="shared" si="122"/>
        <v>0</v>
      </c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99">
        <f t="shared" si="120"/>
        <v>0</v>
      </c>
      <c r="EG101" s="99">
        <f t="shared" si="121"/>
        <v>0</v>
      </c>
    </row>
    <row r="102" spans="1:137" ht="20.100000000000001" customHeight="1">
      <c r="A102" s="63">
        <v>82</v>
      </c>
      <c r="B102" s="63" t="s">
        <v>83</v>
      </c>
      <c r="C102" s="63" t="s">
        <v>17</v>
      </c>
      <c r="D102" s="63"/>
      <c r="E102" s="63">
        <v>1</v>
      </c>
      <c r="F102" s="63" t="s">
        <v>38</v>
      </c>
      <c r="G102" s="63"/>
      <c r="H102" s="7"/>
      <c r="I102" s="93"/>
      <c r="J102" s="7"/>
      <c r="K102" s="93"/>
      <c r="L102" s="7"/>
      <c r="M102" s="93"/>
      <c r="N102" s="7"/>
      <c r="O102" s="93"/>
      <c r="P102" s="7"/>
      <c r="Q102" s="93"/>
      <c r="R102" s="7"/>
      <c r="S102" s="93"/>
      <c r="T102" s="7"/>
      <c r="U102" s="93"/>
      <c r="V102" s="7"/>
      <c r="W102" s="93"/>
      <c r="X102" s="7"/>
      <c r="Y102" s="93"/>
      <c r="Z102" s="7"/>
      <c r="AA102" s="93"/>
      <c r="AB102" s="7"/>
      <c r="AC102" s="93"/>
      <c r="AD102" s="7"/>
      <c r="AE102" s="93"/>
      <c r="AF102" s="94">
        <f t="shared" si="105"/>
        <v>0</v>
      </c>
      <c r="AG102" s="95">
        <f t="shared" si="106"/>
        <v>0</v>
      </c>
      <c r="AH102" s="7"/>
      <c r="AI102" s="93"/>
      <c r="AJ102" s="7"/>
      <c r="AK102" s="93"/>
      <c r="AL102" s="7"/>
      <c r="AM102" s="93"/>
      <c r="AN102" s="7"/>
      <c r="AO102" s="93"/>
      <c r="AP102" s="7"/>
      <c r="AQ102" s="93"/>
      <c r="AR102" s="7"/>
      <c r="AS102" s="93"/>
      <c r="AT102" s="7"/>
      <c r="AU102" s="93"/>
      <c r="AV102" s="7"/>
      <c r="AW102" s="93"/>
      <c r="AX102" s="7"/>
      <c r="AY102" s="93"/>
      <c r="AZ102" s="7"/>
      <c r="BA102" s="93"/>
      <c r="BB102" s="7"/>
      <c r="BC102" s="93"/>
      <c r="BD102" s="7"/>
      <c r="BE102" s="93"/>
      <c r="BF102" s="94">
        <f t="shared" si="107"/>
        <v>0</v>
      </c>
      <c r="BG102" s="95">
        <f t="shared" si="108"/>
        <v>0</v>
      </c>
      <c r="BH102" s="7"/>
      <c r="BI102" s="93"/>
      <c r="BJ102" s="7"/>
      <c r="BK102" s="93"/>
      <c r="BL102" s="7"/>
      <c r="BM102" s="93"/>
      <c r="BN102" s="7"/>
      <c r="BO102" s="93"/>
      <c r="BP102" s="7"/>
      <c r="BQ102" s="93"/>
      <c r="BR102" s="7"/>
      <c r="BS102" s="93"/>
      <c r="BT102" s="7"/>
      <c r="BU102" s="93"/>
      <c r="BV102" s="7"/>
      <c r="BW102" s="93"/>
      <c r="BX102" s="7"/>
      <c r="BY102" s="93"/>
      <c r="BZ102" s="7"/>
      <c r="CA102" s="93"/>
      <c r="CB102" s="7"/>
      <c r="CC102" s="93"/>
      <c r="CD102" s="7"/>
      <c r="CE102" s="93"/>
      <c r="CF102" s="94">
        <f t="shared" si="109"/>
        <v>0</v>
      </c>
      <c r="CG102" s="95">
        <f t="shared" si="110"/>
        <v>0</v>
      </c>
      <c r="CH102" s="7"/>
      <c r="CI102" s="93">
        <f t="shared" si="111"/>
        <v>0</v>
      </c>
      <c r="CJ102" s="7"/>
      <c r="CK102" s="93">
        <f t="shared" si="112"/>
        <v>0</v>
      </c>
      <c r="CL102" s="7"/>
      <c r="CM102" s="93">
        <f t="shared" si="113"/>
        <v>0</v>
      </c>
      <c r="CN102" s="7"/>
      <c r="CO102" s="93">
        <f t="shared" si="114"/>
        <v>0</v>
      </c>
      <c r="CP102" s="7"/>
      <c r="CQ102" s="93">
        <f t="shared" si="115"/>
        <v>0</v>
      </c>
      <c r="CR102" s="7"/>
      <c r="CS102" s="93">
        <f t="shared" si="116"/>
        <v>0</v>
      </c>
      <c r="CT102" s="7"/>
      <c r="CU102" s="93">
        <f t="shared" si="117"/>
        <v>0</v>
      </c>
      <c r="CV102" s="7"/>
      <c r="CW102" s="93">
        <f t="shared" si="118"/>
        <v>0</v>
      </c>
      <c r="CX102" s="7"/>
      <c r="CY102" s="93">
        <v>0</v>
      </c>
      <c r="CZ102" s="7"/>
      <c r="DA102" s="93">
        <v>0</v>
      </c>
      <c r="DB102" s="7"/>
      <c r="DC102" s="93">
        <v>0</v>
      </c>
      <c r="DD102" s="7"/>
      <c r="DE102" s="93">
        <v>0</v>
      </c>
      <c r="DF102" s="97">
        <f t="shared" si="104"/>
        <v>0</v>
      </c>
      <c r="DG102" s="98">
        <f t="shared" si="119"/>
        <v>0</v>
      </c>
      <c r="DH102" s="79"/>
      <c r="DI102" s="79">
        <v>0</v>
      </c>
      <c r="DJ102" s="154"/>
      <c r="DK102" s="212">
        <f t="shared" si="122"/>
        <v>0</v>
      </c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99">
        <f t="shared" si="120"/>
        <v>0</v>
      </c>
      <c r="EG102" s="99">
        <f t="shared" si="121"/>
        <v>0</v>
      </c>
    </row>
    <row r="103" spans="1:137" ht="20.100000000000001" customHeight="1">
      <c r="A103" s="63">
        <v>83</v>
      </c>
      <c r="B103" s="63" t="s">
        <v>83</v>
      </c>
      <c r="C103" s="63" t="s">
        <v>17</v>
      </c>
      <c r="D103" s="63"/>
      <c r="E103" s="63">
        <v>0.6</v>
      </c>
      <c r="F103" s="63" t="s">
        <v>38</v>
      </c>
      <c r="G103" s="63"/>
      <c r="H103" s="7"/>
      <c r="I103" s="93"/>
      <c r="J103" s="7"/>
      <c r="K103" s="93"/>
      <c r="L103" s="7"/>
      <c r="M103" s="93"/>
      <c r="N103" s="7"/>
      <c r="O103" s="93"/>
      <c r="P103" s="7"/>
      <c r="Q103" s="93"/>
      <c r="R103" s="7"/>
      <c r="S103" s="93"/>
      <c r="T103" s="7"/>
      <c r="U103" s="93"/>
      <c r="V103" s="7"/>
      <c r="W103" s="93"/>
      <c r="X103" s="7"/>
      <c r="Y103" s="93"/>
      <c r="Z103" s="7"/>
      <c r="AA103" s="93"/>
      <c r="AB103" s="7"/>
      <c r="AC103" s="93"/>
      <c r="AD103" s="7"/>
      <c r="AE103" s="93"/>
      <c r="AF103" s="94">
        <f t="shared" si="105"/>
        <v>0</v>
      </c>
      <c r="AG103" s="95">
        <f t="shared" si="106"/>
        <v>0</v>
      </c>
      <c r="AH103" s="7"/>
      <c r="AI103" s="93"/>
      <c r="AJ103" s="7"/>
      <c r="AK103" s="93"/>
      <c r="AL103" s="7"/>
      <c r="AM103" s="93"/>
      <c r="AN103" s="7"/>
      <c r="AO103" s="93"/>
      <c r="AP103" s="7"/>
      <c r="AQ103" s="93"/>
      <c r="AR103" s="7"/>
      <c r="AS103" s="93"/>
      <c r="AT103" s="7"/>
      <c r="AU103" s="93"/>
      <c r="AV103" s="7"/>
      <c r="AW103" s="93"/>
      <c r="AX103" s="7"/>
      <c r="AY103" s="93"/>
      <c r="AZ103" s="7"/>
      <c r="BA103" s="93"/>
      <c r="BB103" s="7"/>
      <c r="BC103" s="93"/>
      <c r="BD103" s="7"/>
      <c r="BE103" s="93"/>
      <c r="BF103" s="94">
        <f t="shared" si="107"/>
        <v>0</v>
      </c>
      <c r="BG103" s="95">
        <f t="shared" si="108"/>
        <v>0</v>
      </c>
      <c r="BH103" s="7"/>
      <c r="BI103" s="93"/>
      <c r="BJ103" s="7"/>
      <c r="BK103" s="93"/>
      <c r="BL103" s="7"/>
      <c r="BM103" s="93"/>
      <c r="BN103" s="7"/>
      <c r="BO103" s="93"/>
      <c r="BP103" s="7"/>
      <c r="BQ103" s="93"/>
      <c r="BR103" s="7"/>
      <c r="BS103" s="93"/>
      <c r="BT103" s="7"/>
      <c r="BU103" s="93"/>
      <c r="BV103" s="7"/>
      <c r="BW103" s="93"/>
      <c r="BX103" s="7"/>
      <c r="BY103" s="93"/>
      <c r="BZ103" s="7"/>
      <c r="CA103" s="93"/>
      <c r="CB103" s="7"/>
      <c r="CC103" s="93"/>
      <c r="CD103" s="7"/>
      <c r="CE103" s="93"/>
      <c r="CF103" s="94">
        <f t="shared" si="109"/>
        <v>0</v>
      </c>
      <c r="CG103" s="95">
        <f t="shared" si="110"/>
        <v>0</v>
      </c>
      <c r="CH103" s="7"/>
      <c r="CI103" s="93">
        <f t="shared" si="111"/>
        <v>0</v>
      </c>
      <c r="CJ103" s="7"/>
      <c r="CK103" s="93">
        <f t="shared" si="112"/>
        <v>0</v>
      </c>
      <c r="CL103" s="7"/>
      <c r="CM103" s="93">
        <f t="shared" si="113"/>
        <v>0</v>
      </c>
      <c r="CN103" s="7"/>
      <c r="CO103" s="93">
        <f t="shared" si="114"/>
        <v>0</v>
      </c>
      <c r="CP103" s="7"/>
      <c r="CQ103" s="93">
        <f t="shared" si="115"/>
        <v>0</v>
      </c>
      <c r="CR103" s="7"/>
      <c r="CS103" s="93">
        <f t="shared" si="116"/>
        <v>0</v>
      </c>
      <c r="CT103" s="7"/>
      <c r="CU103" s="93">
        <f t="shared" si="117"/>
        <v>0</v>
      </c>
      <c r="CV103" s="7"/>
      <c r="CW103" s="93">
        <f t="shared" si="118"/>
        <v>0</v>
      </c>
      <c r="CX103" s="7"/>
      <c r="CY103" s="93">
        <v>0</v>
      </c>
      <c r="CZ103" s="7"/>
      <c r="DA103" s="93">
        <v>0</v>
      </c>
      <c r="DB103" s="7"/>
      <c r="DC103" s="93">
        <v>0</v>
      </c>
      <c r="DD103" s="7"/>
      <c r="DE103" s="93">
        <v>0</v>
      </c>
      <c r="DF103" s="97">
        <f t="shared" si="104"/>
        <v>0</v>
      </c>
      <c r="DG103" s="98">
        <f t="shared" si="119"/>
        <v>0</v>
      </c>
      <c r="DH103" s="79"/>
      <c r="DI103" s="79">
        <v>0</v>
      </c>
      <c r="DJ103" s="154"/>
      <c r="DK103" s="212">
        <f t="shared" si="122"/>
        <v>0</v>
      </c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99">
        <f t="shared" si="120"/>
        <v>0</v>
      </c>
      <c r="EG103" s="99">
        <f t="shared" si="121"/>
        <v>0</v>
      </c>
    </row>
    <row r="104" spans="1:137" ht="20.100000000000001" customHeight="1">
      <c r="A104" s="63"/>
      <c r="B104" s="63"/>
      <c r="C104" s="63"/>
      <c r="D104" s="63"/>
      <c r="E104" s="63"/>
      <c r="F104" s="63"/>
      <c r="G104" s="63"/>
      <c r="H104" s="7"/>
      <c r="I104" s="93"/>
      <c r="J104" s="7"/>
      <c r="K104" s="93"/>
      <c r="L104" s="7"/>
      <c r="M104" s="93"/>
      <c r="N104" s="7"/>
      <c r="O104" s="93"/>
      <c r="P104" s="7"/>
      <c r="Q104" s="93"/>
      <c r="R104" s="7"/>
      <c r="S104" s="93"/>
      <c r="T104" s="7"/>
      <c r="U104" s="93"/>
      <c r="V104" s="7"/>
      <c r="W104" s="93"/>
      <c r="X104" s="7"/>
      <c r="Y104" s="93"/>
      <c r="Z104" s="7"/>
      <c r="AA104" s="93"/>
      <c r="AB104" s="7"/>
      <c r="AC104" s="93"/>
      <c r="AD104" s="7"/>
      <c r="AE104" s="93"/>
      <c r="AF104" s="94">
        <f t="shared" si="105"/>
        <v>0</v>
      </c>
      <c r="AG104" s="95">
        <f t="shared" si="106"/>
        <v>0</v>
      </c>
      <c r="AH104" s="7"/>
      <c r="AI104" s="93"/>
      <c r="AJ104" s="7"/>
      <c r="AK104" s="93"/>
      <c r="AL104" s="7"/>
      <c r="AM104" s="93"/>
      <c r="AN104" s="7"/>
      <c r="AO104" s="93"/>
      <c r="AP104" s="7"/>
      <c r="AQ104" s="93"/>
      <c r="AR104" s="7"/>
      <c r="AS104" s="93"/>
      <c r="AT104" s="7"/>
      <c r="AU104" s="93"/>
      <c r="AV104" s="7"/>
      <c r="AW104" s="93"/>
      <c r="AX104" s="7"/>
      <c r="AY104" s="93"/>
      <c r="AZ104" s="7"/>
      <c r="BA104" s="93"/>
      <c r="BB104" s="7"/>
      <c r="BC104" s="93"/>
      <c r="BD104" s="7"/>
      <c r="BE104" s="93"/>
      <c r="BF104" s="94">
        <f t="shared" si="107"/>
        <v>0</v>
      </c>
      <c r="BG104" s="95">
        <f t="shared" si="108"/>
        <v>0</v>
      </c>
      <c r="BH104" s="7"/>
      <c r="BI104" s="93"/>
      <c r="BJ104" s="7"/>
      <c r="BK104" s="93"/>
      <c r="BL104" s="7"/>
      <c r="BM104" s="93"/>
      <c r="BN104" s="7"/>
      <c r="BO104" s="93"/>
      <c r="BP104" s="7"/>
      <c r="BQ104" s="93"/>
      <c r="BR104" s="7"/>
      <c r="BS104" s="93"/>
      <c r="BT104" s="7"/>
      <c r="BU104" s="93"/>
      <c r="BV104" s="7"/>
      <c r="BW104" s="93"/>
      <c r="BX104" s="7"/>
      <c r="BY104" s="93"/>
      <c r="BZ104" s="7"/>
      <c r="CA104" s="93"/>
      <c r="CB104" s="7"/>
      <c r="CC104" s="93"/>
      <c r="CD104" s="7"/>
      <c r="CE104" s="93"/>
      <c r="CF104" s="94">
        <f t="shared" si="109"/>
        <v>0</v>
      </c>
      <c r="CG104" s="95">
        <f t="shared" si="110"/>
        <v>0</v>
      </c>
      <c r="CH104" s="7"/>
      <c r="CI104" s="93">
        <f t="shared" si="111"/>
        <v>0</v>
      </c>
      <c r="CJ104" s="7"/>
      <c r="CK104" s="93">
        <f t="shared" si="112"/>
        <v>0</v>
      </c>
      <c r="CL104" s="7"/>
      <c r="CM104" s="93">
        <f t="shared" si="113"/>
        <v>0</v>
      </c>
      <c r="CN104" s="7"/>
      <c r="CO104" s="93">
        <f t="shared" si="114"/>
        <v>0</v>
      </c>
      <c r="CP104" s="7"/>
      <c r="CQ104" s="93">
        <f t="shared" si="115"/>
        <v>0</v>
      </c>
      <c r="CR104" s="7"/>
      <c r="CS104" s="93">
        <f t="shared" si="116"/>
        <v>0</v>
      </c>
      <c r="CT104" s="7"/>
      <c r="CU104" s="93">
        <f t="shared" si="117"/>
        <v>0</v>
      </c>
      <c r="CV104" s="7"/>
      <c r="CW104" s="93">
        <f t="shared" si="118"/>
        <v>0</v>
      </c>
      <c r="CX104" s="7"/>
      <c r="CY104" s="93">
        <v>0</v>
      </c>
      <c r="CZ104" s="7"/>
      <c r="DA104" s="93">
        <v>0</v>
      </c>
      <c r="DB104" s="7"/>
      <c r="DC104" s="93">
        <v>0</v>
      </c>
      <c r="DD104" s="7"/>
      <c r="DE104" s="93">
        <v>0</v>
      </c>
      <c r="DF104" s="97">
        <f t="shared" si="104"/>
        <v>0</v>
      </c>
      <c r="DG104" s="98">
        <f t="shared" si="119"/>
        <v>0</v>
      </c>
      <c r="DH104" s="79"/>
      <c r="DI104" s="79">
        <v>0</v>
      </c>
      <c r="DJ104" s="154"/>
      <c r="DK104" s="212">
        <f t="shared" si="122"/>
        <v>0</v>
      </c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99">
        <f t="shared" si="120"/>
        <v>0</v>
      </c>
      <c r="EG104" s="99">
        <f t="shared" si="121"/>
        <v>0</v>
      </c>
    </row>
    <row r="105" spans="1:137" ht="20.100000000000001" customHeight="1">
      <c r="A105" s="63">
        <v>84</v>
      </c>
      <c r="B105" s="63" t="s">
        <v>84</v>
      </c>
      <c r="C105" s="63" t="s">
        <v>17</v>
      </c>
      <c r="D105" s="63"/>
      <c r="E105" s="63">
        <v>1</v>
      </c>
      <c r="F105" s="63" t="s">
        <v>38</v>
      </c>
      <c r="G105" s="63"/>
      <c r="H105" s="7"/>
      <c r="I105" s="93">
        <f>H105*$E105</f>
        <v>0</v>
      </c>
      <c r="J105" s="7"/>
      <c r="K105" s="93">
        <f>J105*$E105</f>
        <v>0</v>
      </c>
      <c r="L105" s="7"/>
      <c r="M105" s="93">
        <f>L105*$E105</f>
        <v>0</v>
      </c>
      <c r="N105" s="7"/>
      <c r="O105" s="93">
        <f>N105*$E105</f>
        <v>0</v>
      </c>
      <c r="P105" s="7"/>
      <c r="Q105" s="93">
        <f>P105*$E105</f>
        <v>0</v>
      </c>
      <c r="R105" s="7"/>
      <c r="S105" s="93">
        <f>R105*$E105</f>
        <v>0</v>
      </c>
      <c r="T105" s="7"/>
      <c r="U105" s="93">
        <f>T105*$E105</f>
        <v>0</v>
      </c>
      <c r="V105" s="7"/>
      <c r="W105" s="93">
        <f>V105*$E105</f>
        <v>0</v>
      </c>
      <c r="X105" s="7"/>
      <c r="Y105" s="93">
        <f>X105*$E105</f>
        <v>0</v>
      </c>
      <c r="Z105" s="7"/>
      <c r="AA105" s="93">
        <f>Z105*$E105</f>
        <v>0</v>
      </c>
      <c r="AB105" s="7"/>
      <c r="AC105" s="93">
        <f>AB105*$E105</f>
        <v>0</v>
      </c>
      <c r="AD105" s="7"/>
      <c r="AE105" s="93">
        <f>AD105*$E105</f>
        <v>0</v>
      </c>
      <c r="AF105" s="94">
        <f t="shared" si="105"/>
        <v>0</v>
      </c>
      <c r="AG105" s="95">
        <f t="shared" si="106"/>
        <v>0</v>
      </c>
      <c r="AH105" s="7"/>
      <c r="AI105" s="93">
        <f>AH105*$E105</f>
        <v>0</v>
      </c>
      <c r="AJ105" s="7"/>
      <c r="AK105" s="93">
        <f>AJ105*$E105</f>
        <v>0</v>
      </c>
      <c r="AL105" s="7"/>
      <c r="AM105" s="93">
        <f>AL105*$E105</f>
        <v>0</v>
      </c>
      <c r="AN105" s="7"/>
      <c r="AO105" s="93">
        <f>AN105*$E105</f>
        <v>0</v>
      </c>
      <c r="AP105" s="7"/>
      <c r="AQ105" s="93">
        <f>AP105*$E105</f>
        <v>0</v>
      </c>
      <c r="AR105" s="7"/>
      <c r="AS105" s="93">
        <f>AR105*$E105</f>
        <v>0</v>
      </c>
      <c r="AT105" s="7"/>
      <c r="AU105" s="93">
        <f>AT105*$E105</f>
        <v>0</v>
      </c>
      <c r="AV105" s="7"/>
      <c r="AW105" s="93">
        <f>AV105*$E105</f>
        <v>0</v>
      </c>
      <c r="AX105" s="7"/>
      <c r="AY105" s="93">
        <f>AX105*$E105</f>
        <v>0</v>
      </c>
      <c r="AZ105" s="7"/>
      <c r="BA105" s="93">
        <f>AZ105*$E105</f>
        <v>0</v>
      </c>
      <c r="BB105" s="7"/>
      <c r="BC105" s="93">
        <f>BB105*$E105</f>
        <v>0</v>
      </c>
      <c r="BD105" s="7"/>
      <c r="BE105" s="93">
        <f>BD105*$E105</f>
        <v>0</v>
      </c>
      <c r="BF105" s="94">
        <f t="shared" si="107"/>
        <v>0</v>
      </c>
      <c r="BG105" s="95">
        <f t="shared" si="108"/>
        <v>0</v>
      </c>
      <c r="BH105" s="7"/>
      <c r="BI105" s="93">
        <f>BH105*$E105</f>
        <v>0</v>
      </c>
      <c r="BJ105" s="7"/>
      <c r="BK105" s="93">
        <f>BJ105*$E105</f>
        <v>0</v>
      </c>
      <c r="BL105" s="7"/>
      <c r="BM105" s="93">
        <f>BL105*$E105</f>
        <v>0</v>
      </c>
      <c r="BN105" s="7"/>
      <c r="BO105" s="93">
        <f>BN105*$E105</f>
        <v>0</v>
      </c>
      <c r="BP105" s="7"/>
      <c r="BQ105" s="93">
        <f>BP105*$E105</f>
        <v>0</v>
      </c>
      <c r="BR105" s="7"/>
      <c r="BS105" s="93">
        <f>BR105*$E105</f>
        <v>0</v>
      </c>
      <c r="BT105" s="7"/>
      <c r="BU105" s="93">
        <f>BT105*$E105</f>
        <v>0</v>
      </c>
      <c r="BV105" s="7"/>
      <c r="BW105" s="93">
        <f>BV105*$E105</f>
        <v>0</v>
      </c>
      <c r="BX105" s="7"/>
      <c r="BY105" s="93">
        <f>BX105*$E105</f>
        <v>0</v>
      </c>
      <c r="BZ105" s="7"/>
      <c r="CA105" s="93">
        <f>BZ105*$E105</f>
        <v>0</v>
      </c>
      <c r="CB105" s="7"/>
      <c r="CC105" s="93">
        <f>CB105*$E105</f>
        <v>0</v>
      </c>
      <c r="CD105" s="7"/>
      <c r="CE105" s="93">
        <f>CD105*$E105</f>
        <v>0</v>
      </c>
      <c r="CF105" s="94">
        <f t="shared" si="109"/>
        <v>0</v>
      </c>
      <c r="CG105" s="95">
        <f t="shared" si="110"/>
        <v>0</v>
      </c>
      <c r="CH105" s="7"/>
      <c r="CI105" s="93">
        <f t="shared" si="111"/>
        <v>0</v>
      </c>
      <c r="CJ105" s="7"/>
      <c r="CK105" s="93">
        <f t="shared" si="112"/>
        <v>0</v>
      </c>
      <c r="CL105" s="7"/>
      <c r="CM105" s="93">
        <f t="shared" si="113"/>
        <v>0</v>
      </c>
      <c r="CN105" s="7"/>
      <c r="CO105" s="93">
        <f t="shared" si="114"/>
        <v>0</v>
      </c>
      <c r="CP105" s="7"/>
      <c r="CQ105" s="93">
        <f t="shared" si="115"/>
        <v>0</v>
      </c>
      <c r="CR105" s="7"/>
      <c r="CS105" s="93">
        <f t="shared" si="116"/>
        <v>0</v>
      </c>
      <c r="CT105" s="7"/>
      <c r="CU105" s="93">
        <f t="shared" si="117"/>
        <v>0</v>
      </c>
      <c r="CV105" s="7"/>
      <c r="CW105" s="93">
        <f t="shared" si="118"/>
        <v>0</v>
      </c>
      <c r="CX105" s="7"/>
      <c r="CY105" s="93">
        <v>0</v>
      </c>
      <c r="CZ105" s="7"/>
      <c r="DA105" s="93">
        <v>0</v>
      </c>
      <c r="DB105" s="7"/>
      <c r="DC105" s="93">
        <v>0</v>
      </c>
      <c r="DD105" s="7"/>
      <c r="DE105" s="93">
        <v>0</v>
      </c>
      <c r="DF105" s="97">
        <f t="shared" si="104"/>
        <v>0</v>
      </c>
      <c r="DG105" s="98">
        <f t="shared" si="119"/>
        <v>0</v>
      </c>
      <c r="DH105" s="79"/>
      <c r="DI105" s="79">
        <v>0</v>
      </c>
      <c r="DJ105" s="154"/>
      <c r="DK105" s="212">
        <f t="shared" si="122"/>
        <v>0</v>
      </c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99">
        <f t="shared" si="120"/>
        <v>0</v>
      </c>
      <c r="EG105" s="99">
        <f t="shared" si="121"/>
        <v>0</v>
      </c>
    </row>
    <row r="106" spans="1:137" ht="20.100000000000001" customHeight="1">
      <c r="A106" s="63">
        <v>85</v>
      </c>
      <c r="B106" s="63" t="s">
        <v>84</v>
      </c>
      <c r="C106" s="63" t="s">
        <v>14</v>
      </c>
      <c r="D106" s="63"/>
      <c r="E106" s="63">
        <v>0.64</v>
      </c>
      <c r="F106" s="63" t="s">
        <v>25</v>
      </c>
      <c r="G106" s="63"/>
      <c r="H106" s="7"/>
      <c r="I106" s="93">
        <f>H106*$E106</f>
        <v>0</v>
      </c>
      <c r="J106" s="7"/>
      <c r="K106" s="93">
        <f>J106*$E106</f>
        <v>0</v>
      </c>
      <c r="L106" s="7"/>
      <c r="M106" s="93">
        <f>L106*$E106</f>
        <v>0</v>
      </c>
      <c r="N106" s="7"/>
      <c r="O106" s="93">
        <f>N106*$E106</f>
        <v>0</v>
      </c>
      <c r="P106" s="7"/>
      <c r="Q106" s="93">
        <f>P106*$E106</f>
        <v>0</v>
      </c>
      <c r="R106" s="7"/>
      <c r="S106" s="93">
        <f>R106*$E106</f>
        <v>0</v>
      </c>
      <c r="T106" s="7"/>
      <c r="U106" s="93">
        <f>T106*$E106</f>
        <v>0</v>
      </c>
      <c r="V106" s="7"/>
      <c r="W106" s="93">
        <f>V106*$E106</f>
        <v>0</v>
      </c>
      <c r="X106" s="7"/>
      <c r="Y106" s="93">
        <f>X106*$E106</f>
        <v>0</v>
      </c>
      <c r="Z106" s="7"/>
      <c r="AA106" s="93">
        <f>Z106*$E106</f>
        <v>0</v>
      </c>
      <c r="AB106" s="7"/>
      <c r="AC106" s="93">
        <f>AB106*$E106</f>
        <v>0</v>
      </c>
      <c r="AD106" s="7"/>
      <c r="AE106" s="93">
        <f>AD106*$E106</f>
        <v>0</v>
      </c>
      <c r="AF106" s="94">
        <f t="shared" si="105"/>
        <v>0</v>
      </c>
      <c r="AG106" s="95">
        <f t="shared" si="106"/>
        <v>0</v>
      </c>
      <c r="AH106" s="7"/>
      <c r="AI106" s="93">
        <f>AH106*$E106</f>
        <v>0</v>
      </c>
      <c r="AJ106" s="7"/>
      <c r="AK106" s="93">
        <f>AJ106*$E106</f>
        <v>0</v>
      </c>
      <c r="AL106" s="7"/>
      <c r="AM106" s="93">
        <f>AL106*$E106</f>
        <v>0</v>
      </c>
      <c r="AN106" s="7"/>
      <c r="AO106" s="93">
        <f>AN106*$E106</f>
        <v>0</v>
      </c>
      <c r="AP106" s="7"/>
      <c r="AQ106" s="93">
        <f>AP106*$E106</f>
        <v>0</v>
      </c>
      <c r="AR106" s="7"/>
      <c r="AS106" s="93">
        <f>AR106*$E106</f>
        <v>0</v>
      </c>
      <c r="AT106" s="7"/>
      <c r="AU106" s="93">
        <f>AT106*$E106</f>
        <v>0</v>
      </c>
      <c r="AV106" s="7"/>
      <c r="AW106" s="93">
        <f>AV106*$E106</f>
        <v>0</v>
      </c>
      <c r="AX106" s="7"/>
      <c r="AY106" s="93">
        <f>AX106*$E106</f>
        <v>0</v>
      </c>
      <c r="AZ106" s="7"/>
      <c r="BA106" s="93">
        <f>AZ106*$E106</f>
        <v>0</v>
      </c>
      <c r="BB106" s="7"/>
      <c r="BC106" s="93">
        <f>BB106*$E106</f>
        <v>0</v>
      </c>
      <c r="BD106" s="7"/>
      <c r="BE106" s="93">
        <f>BD106*$E106</f>
        <v>0</v>
      </c>
      <c r="BF106" s="94">
        <f t="shared" si="107"/>
        <v>0</v>
      </c>
      <c r="BG106" s="95">
        <f t="shared" si="108"/>
        <v>0</v>
      </c>
      <c r="BH106" s="7"/>
      <c r="BI106" s="93">
        <f>BH106*$E106</f>
        <v>0</v>
      </c>
      <c r="BJ106" s="7"/>
      <c r="BK106" s="93">
        <f>BJ106*$E106</f>
        <v>0</v>
      </c>
      <c r="BL106" s="7"/>
      <c r="BM106" s="93">
        <f>BL106*$E106</f>
        <v>0</v>
      </c>
      <c r="BN106" s="7"/>
      <c r="BO106" s="93">
        <f>BN106*$E106</f>
        <v>0</v>
      </c>
      <c r="BP106" s="7"/>
      <c r="BQ106" s="93">
        <f>BP106*$E106</f>
        <v>0</v>
      </c>
      <c r="BR106" s="7"/>
      <c r="BS106" s="93">
        <f>BR106*$E106</f>
        <v>0</v>
      </c>
      <c r="BT106" s="7"/>
      <c r="BU106" s="93">
        <f>BT106*$E106</f>
        <v>0</v>
      </c>
      <c r="BV106" s="7"/>
      <c r="BW106" s="93">
        <f>BV106*$E106</f>
        <v>0</v>
      </c>
      <c r="BX106" s="7"/>
      <c r="BY106" s="93">
        <f>BX106*$E106</f>
        <v>0</v>
      </c>
      <c r="BZ106" s="7"/>
      <c r="CA106" s="93">
        <f>BZ106*$E106</f>
        <v>0</v>
      </c>
      <c r="CB106" s="7"/>
      <c r="CC106" s="93">
        <f>CB106*$E106</f>
        <v>0</v>
      </c>
      <c r="CD106" s="7"/>
      <c r="CE106" s="93">
        <f>CD106*$E106</f>
        <v>0</v>
      </c>
      <c r="CF106" s="94">
        <f t="shared" si="109"/>
        <v>0</v>
      </c>
      <c r="CG106" s="95">
        <f t="shared" si="110"/>
        <v>0</v>
      </c>
      <c r="CH106" s="7"/>
      <c r="CI106" s="93">
        <f t="shared" si="111"/>
        <v>0</v>
      </c>
      <c r="CJ106" s="7"/>
      <c r="CK106" s="93">
        <f t="shared" si="112"/>
        <v>0</v>
      </c>
      <c r="CL106" s="7"/>
      <c r="CM106" s="93">
        <f t="shared" si="113"/>
        <v>0</v>
      </c>
      <c r="CN106" s="7"/>
      <c r="CO106" s="93">
        <f t="shared" si="114"/>
        <v>0</v>
      </c>
      <c r="CP106" s="7"/>
      <c r="CQ106" s="93">
        <f t="shared" si="115"/>
        <v>0</v>
      </c>
      <c r="CR106" s="7"/>
      <c r="CS106" s="93">
        <f t="shared" si="116"/>
        <v>0</v>
      </c>
      <c r="CT106" s="7"/>
      <c r="CU106" s="93">
        <f t="shared" si="117"/>
        <v>0</v>
      </c>
      <c r="CV106" s="7"/>
      <c r="CW106" s="93">
        <f t="shared" si="118"/>
        <v>0</v>
      </c>
      <c r="CX106" s="7"/>
      <c r="CY106" s="93">
        <v>0</v>
      </c>
      <c r="CZ106" s="7"/>
      <c r="DA106" s="93">
        <v>0</v>
      </c>
      <c r="DB106" s="7"/>
      <c r="DC106" s="93">
        <v>0</v>
      </c>
      <c r="DD106" s="7"/>
      <c r="DE106" s="93">
        <v>0</v>
      </c>
      <c r="DF106" s="97">
        <f t="shared" si="104"/>
        <v>0</v>
      </c>
      <c r="DG106" s="98">
        <f t="shared" si="119"/>
        <v>0</v>
      </c>
      <c r="DH106" s="79"/>
      <c r="DI106" s="79">
        <v>0</v>
      </c>
      <c r="DJ106" s="154"/>
      <c r="DK106" s="212">
        <f t="shared" si="122"/>
        <v>0</v>
      </c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99">
        <f t="shared" si="120"/>
        <v>0</v>
      </c>
      <c r="EG106" s="99">
        <f t="shared" si="121"/>
        <v>0</v>
      </c>
    </row>
    <row r="107" spans="1:137" ht="20.100000000000001" customHeight="1">
      <c r="A107" s="63">
        <v>86</v>
      </c>
      <c r="B107" s="63" t="s">
        <v>84</v>
      </c>
      <c r="C107" s="63" t="s">
        <v>17</v>
      </c>
      <c r="D107" s="63"/>
      <c r="E107" s="63">
        <v>0.6</v>
      </c>
      <c r="F107" s="63" t="s">
        <v>38</v>
      </c>
      <c r="G107" s="63"/>
      <c r="H107" s="7"/>
      <c r="I107" s="93"/>
      <c r="J107" s="7"/>
      <c r="K107" s="93"/>
      <c r="L107" s="7"/>
      <c r="M107" s="93"/>
      <c r="N107" s="7"/>
      <c r="O107" s="93"/>
      <c r="P107" s="7"/>
      <c r="Q107" s="93"/>
      <c r="R107" s="7"/>
      <c r="S107" s="93"/>
      <c r="T107" s="7"/>
      <c r="U107" s="93"/>
      <c r="V107" s="7"/>
      <c r="W107" s="93"/>
      <c r="X107" s="7"/>
      <c r="Y107" s="93"/>
      <c r="Z107" s="7"/>
      <c r="AA107" s="93"/>
      <c r="AB107" s="7"/>
      <c r="AC107" s="93"/>
      <c r="AD107" s="7"/>
      <c r="AE107" s="93"/>
      <c r="AF107" s="94">
        <f t="shared" si="105"/>
        <v>0</v>
      </c>
      <c r="AG107" s="95">
        <f t="shared" si="106"/>
        <v>0</v>
      </c>
      <c r="AH107" s="7"/>
      <c r="AI107" s="93"/>
      <c r="AJ107" s="7"/>
      <c r="AK107" s="93"/>
      <c r="AL107" s="7"/>
      <c r="AM107" s="93"/>
      <c r="AN107" s="7"/>
      <c r="AO107" s="93"/>
      <c r="AP107" s="7"/>
      <c r="AQ107" s="93"/>
      <c r="AR107" s="7"/>
      <c r="AS107" s="93"/>
      <c r="AT107" s="7"/>
      <c r="AU107" s="93"/>
      <c r="AV107" s="7"/>
      <c r="AW107" s="93"/>
      <c r="AX107" s="7"/>
      <c r="AY107" s="93"/>
      <c r="AZ107" s="7"/>
      <c r="BA107" s="93"/>
      <c r="BB107" s="7"/>
      <c r="BC107" s="93"/>
      <c r="BD107" s="7"/>
      <c r="BE107" s="93"/>
      <c r="BF107" s="94">
        <f t="shared" si="107"/>
        <v>0</v>
      </c>
      <c r="BG107" s="95">
        <f t="shared" si="108"/>
        <v>0</v>
      </c>
      <c r="BH107" s="7"/>
      <c r="BI107" s="93"/>
      <c r="BJ107" s="7"/>
      <c r="BK107" s="93"/>
      <c r="BL107" s="7"/>
      <c r="BM107" s="93"/>
      <c r="BN107" s="7"/>
      <c r="BO107" s="93"/>
      <c r="BP107" s="7"/>
      <c r="BQ107" s="93"/>
      <c r="BR107" s="7"/>
      <c r="BS107" s="93"/>
      <c r="BT107" s="7"/>
      <c r="BU107" s="93"/>
      <c r="BV107" s="7"/>
      <c r="BW107" s="93"/>
      <c r="BX107" s="7"/>
      <c r="BY107" s="93"/>
      <c r="BZ107" s="7"/>
      <c r="CA107" s="93"/>
      <c r="CB107" s="7"/>
      <c r="CC107" s="93"/>
      <c r="CD107" s="7"/>
      <c r="CE107" s="93"/>
      <c r="CF107" s="94">
        <f t="shared" si="109"/>
        <v>0</v>
      </c>
      <c r="CG107" s="95">
        <f t="shared" si="110"/>
        <v>0</v>
      </c>
      <c r="CH107" s="7"/>
      <c r="CI107" s="93">
        <f t="shared" si="111"/>
        <v>0</v>
      </c>
      <c r="CJ107" s="7"/>
      <c r="CK107" s="93">
        <f t="shared" si="112"/>
        <v>0</v>
      </c>
      <c r="CL107" s="7"/>
      <c r="CM107" s="93">
        <f t="shared" si="113"/>
        <v>0</v>
      </c>
      <c r="CN107" s="7"/>
      <c r="CO107" s="93">
        <f t="shared" si="114"/>
        <v>0</v>
      </c>
      <c r="CP107" s="7"/>
      <c r="CQ107" s="93">
        <f t="shared" si="115"/>
        <v>0</v>
      </c>
      <c r="CR107" s="7"/>
      <c r="CS107" s="93">
        <f t="shared" si="116"/>
        <v>0</v>
      </c>
      <c r="CT107" s="7"/>
      <c r="CU107" s="93">
        <f t="shared" si="117"/>
        <v>0</v>
      </c>
      <c r="CV107" s="7"/>
      <c r="CW107" s="93">
        <f t="shared" si="118"/>
        <v>0</v>
      </c>
      <c r="CX107" s="7"/>
      <c r="CY107" s="93">
        <v>0</v>
      </c>
      <c r="CZ107" s="7"/>
      <c r="DA107" s="93">
        <v>0</v>
      </c>
      <c r="DB107" s="7"/>
      <c r="DC107" s="93">
        <v>0</v>
      </c>
      <c r="DD107" s="7"/>
      <c r="DE107" s="93">
        <v>0</v>
      </c>
      <c r="DF107" s="97">
        <f t="shared" si="104"/>
        <v>0</v>
      </c>
      <c r="DG107" s="98">
        <f t="shared" si="119"/>
        <v>0</v>
      </c>
      <c r="DH107" s="79"/>
      <c r="DI107" s="79">
        <v>0</v>
      </c>
      <c r="DJ107" s="154"/>
      <c r="DK107" s="212">
        <f t="shared" si="122"/>
        <v>0</v>
      </c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99">
        <f t="shared" si="120"/>
        <v>0</v>
      </c>
      <c r="EG107" s="99">
        <f t="shared" si="121"/>
        <v>0</v>
      </c>
    </row>
    <row r="108" spans="1:137" ht="20.100000000000001" customHeight="1">
      <c r="A108" s="63"/>
      <c r="B108" s="63"/>
      <c r="C108" s="63"/>
      <c r="D108" s="63"/>
      <c r="E108" s="63"/>
      <c r="F108" s="63"/>
      <c r="G108" s="63"/>
      <c r="H108" s="7"/>
      <c r="I108" s="93"/>
      <c r="J108" s="7"/>
      <c r="K108" s="93"/>
      <c r="L108" s="7"/>
      <c r="M108" s="93"/>
      <c r="N108" s="7"/>
      <c r="O108" s="93"/>
      <c r="P108" s="7"/>
      <c r="Q108" s="93"/>
      <c r="R108" s="7"/>
      <c r="S108" s="93"/>
      <c r="T108" s="7"/>
      <c r="U108" s="93"/>
      <c r="V108" s="7"/>
      <c r="W108" s="93"/>
      <c r="X108" s="7"/>
      <c r="Y108" s="93"/>
      <c r="Z108" s="7"/>
      <c r="AA108" s="93"/>
      <c r="AB108" s="7"/>
      <c r="AC108" s="93"/>
      <c r="AD108" s="7"/>
      <c r="AE108" s="93"/>
      <c r="AF108" s="94">
        <f t="shared" si="105"/>
        <v>0</v>
      </c>
      <c r="AG108" s="95">
        <f t="shared" si="106"/>
        <v>0</v>
      </c>
      <c r="AH108" s="7"/>
      <c r="AI108" s="93"/>
      <c r="AJ108" s="7"/>
      <c r="AK108" s="93"/>
      <c r="AL108" s="7"/>
      <c r="AM108" s="93"/>
      <c r="AN108" s="7"/>
      <c r="AO108" s="93"/>
      <c r="AP108" s="7"/>
      <c r="AQ108" s="93"/>
      <c r="AR108" s="7"/>
      <c r="AS108" s="93"/>
      <c r="AT108" s="7"/>
      <c r="AU108" s="93"/>
      <c r="AV108" s="7"/>
      <c r="AW108" s="93"/>
      <c r="AX108" s="7"/>
      <c r="AY108" s="93"/>
      <c r="AZ108" s="7"/>
      <c r="BA108" s="93"/>
      <c r="BB108" s="7"/>
      <c r="BC108" s="93"/>
      <c r="BD108" s="7"/>
      <c r="BE108" s="93"/>
      <c r="BF108" s="94">
        <f t="shared" si="107"/>
        <v>0</v>
      </c>
      <c r="BG108" s="95">
        <f t="shared" si="108"/>
        <v>0</v>
      </c>
      <c r="BH108" s="7"/>
      <c r="BI108" s="93"/>
      <c r="BJ108" s="7"/>
      <c r="BK108" s="93"/>
      <c r="BL108" s="7"/>
      <c r="BM108" s="93"/>
      <c r="BN108" s="7"/>
      <c r="BO108" s="93"/>
      <c r="BP108" s="7"/>
      <c r="BQ108" s="93"/>
      <c r="BR108" s="7"/>
      <c r="BS108" s="93"/>
      <c r="BT108" s="7"/>
      <c r="BU108" s="93"/>
      <c r="BV108" s="7"/>
      <c r="BW108" s="93"/>
      <c r="BX108" s="7"/>
      <c r="BY108" s="93"/>
      <c r="BZ108" s="7"/>
      <c r="CA108" s="93"/>
      <c r="CB108" s="7"/>
      <c r="CC108" s="93"/>
      <c r="CD108" s="7"/>
      <c r="CE108" s="93"/>
      <c r="CF108" s="94">
        <f t="shared" si="109"/>
        <v>0</v>
      </c>
      <c r="CG108" s="95">
        <f t="shared" si="110"/>
        <v>0</v>
      </c>
      <c r="CH108" s="7"/>
      <c r="CI108" s="93">
        <f t="shared" si="111"/>
        <v>0</v>
      </c>
      <c r="CJ108" s="7"/>
      <c r="CK108" s="93">
        <f t="shared" si="112"/>
        <v>0</v>
      </c>
      <c r="CL108" s="7"/>
      <c r="CM108" s="93">
        <f t="shared" si="113"/>
        <v>0</v>
      </c>
      <c r="CN108" s="7"/>
      <c r="CO108" s="93">
        <f t="shared" si="114"/>
        <v>0</v>
      </c>
      <c r="CP108" s="7"/>
      <c r="CQ108" s="93">
        <f t="shared" si="115"/>
        <v>0</v>
      </c>
      <c r="CR108" s="7"/>
      <c r="CS108" s="93">
        <f t="shared" si="116"/>
        <v>0</v>
      </c>
      <c r="CT108" s="7"/>
      <c r="CU108" s="93">
        <f t="shared" si="117"/>
        <v>0</v>
      </c>
      <c r="CV108" s="7"/>
      <c r="CW108" s="93">
        <f t="shared" si="118"/>
        <v>0</v>
      </c>
      <c r="CX108" s="7"/>
      <c r="CY108" s="93">
        <v>0</v>
      </c>
      <c r="CZ108" s="7"/>
      <c r="DA108" s="93">
        <v>0</v>
      </c>
      <c r="DB108" s="7"/>
      <c r="DC108" s="93">
        <v>0</v>
      </c>
      <c r="DD108" s="7"/>
      <c r="DE108" s="93">
        <v>0</v>
      </c>
      <c r="DF108" s="97">
        <f t="shared" si="104"/>
        <v>0</v>
      </c>
      <c r="DG108" s="98">
        <f t="shared" si="119"/>
        <v>0</v>
      </c>
      <c r="DH108" s="79"/>
      <c r="DI108" s="79">
        <v>0</v>
      </c>
      <c r="DJ108" s="154"/>
      <c r="DK108" s="212">
        <f t="shared" si="122"/>
        <v>0</v>
      </c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99">
        <f t="shared" si="120"/>
        <v>0</v>
      </c>
      <c r="EG108" s="99">
        <f t="shared" si="121"/>
        <v>0</v>
      </c>
    </row>
    <row r="109" spans="1:137" ht="20.100000000000001" customHeight="1">
      <c r="A109" s="63">
        <v>87</v>
      </c>
      <c r="B109" s="63" t="s">
        <v>85</v>
      </c>
      <c r="C109" s="63" t="s">
        <v>17</v>
      </c>
      <c r="D109" s="63"/>
      <c r="E109" s="63">
        <v>0.6</v>
      </c>
      <c r="F109" s="63" t="s">
        <v>38</v>
      </c>
      <c r="G109" s="63"/>
      <c r="H109" s="7"/>
      <c r="I109" s="93"/>
      <c r="J109" s="7"/>
      <c r="K109" s="93"/>
      <c r="L109" s="7"/>
      <c r="M109" s="93"/>
      <c r="N109" s="7"/>
      <c r="O109" s="93"/>
      <c r="P109" s="7"/>
      <c r="Q109" s="93"/>
      <c r="R109" s="7"/>
      <c r="S109" s="93"/>
      <c r="T109" s="7"/>
      <c r="U109" s="93"/>
      <c r="V109" s="7"/>
      <c r="W109" s="93"/>
      <c r="X109" s="7"/>
      <c r="Y109" s="93"/>
      <c r="Z109" s="7"/>
      <c r="AA109" s="93"/>
      <c r="AB109" s="7"/>
      <c r="AC109" s="93"/>
      <c r="AD109" s="7"/>
      <c r="AE109" s="93"/>
      <c r="AF109" s="94">
        <f t="shared" si="105"/>
        <v>0</v>
      </c>
      <c r="AG109" s="95">
        <f t="shared" si="106"/>
        <v>0</v>
      </c>
      <c r="AH109" s="7"/>
      <c r="AI109" s="93"/>
      <c r="AJ109" s="7"/>
      <c r="AK109" s="93"/>
      <c r="AL109" s="7"/>
      <c r="AM109" s="93"/>
      <c r="AN109" s="7"/>
      <c r="AO109" s="93"/>
      <c r="AP109" s="7"/>
      <c r="AQ109" s="93"/>
      <c r="AR109" s="7"/>
      <c r="AS109" s="93"/>
      <c r="AT109" s="7"/>
      <c r="AU109" s="93"/>
      <c r="AV109" s="7"/>
      <c r="AW109" s="93"/>
      <c r="AX109" s="7"/>
      <c r="AY109" s="93"/>
      <c r="AZ109" s="7"/>
      <c r="BA109" s="93"/>
      <c r="BB109" s="7"/>
      <c r="BC109" s="93"/>
      <c r="BD109" s="7"/>
      <c r="BE109" s="93"/>
      <c r="BF109" s="94">
        <f t="shared" si="107"/>
        <v>0</v>
      </c>
      <c r="BG109" s="95">
        <f t="shared" si="108"/>
        <v>0</v>
      </c>
      <c r="BH109" s="7"/>
      <c r="BI109" s="93"/>
      <c r="BJ109" s="7"/>
      <c r="BK109" s="93"/>
      <c r="BL109" s="7"/>
      <c r="BM109" s="93"/>
      <c r="BN109" s="7"/>
      <c r="BO109" s="93"/>
      <c r="BP109" s="7"/>
      <c r="BQ109" s="93"/>
      <c r="BR109" s="7"/>
      <c r="BS109" s="93"/>
      <c r="BT109" s="7"/>
      <c r="BU109" s="93"/>
      <c r="BV109" s="7"/>
      <c r="BW109" s="93"/>
      <c r="BX109" s="7"/>
      <c r="BY109" s="93"/>
      <c r="BZ109" s="7"/>
      <c r="CA109" s="93"/>
      <c r="CB109" s="7"/>
      <c r="CC109" s="93"/>
      <c r="CD109" s="7"/>
      <c r="CE109" s="93"/>
      <c r="CF109" s="94">
        <f t="shared" si="109"/>
        <v>0</v>
      </c>
      <c r="CG109" s="95">
        <f t="shared" si="110"/>
        <v>0</v>
      </c>
      <c r="CH109" s="7"/>
      <c r="CI109" s="93">
        <f t="shared" si="111"/>
        <v>0</v>
      </c>
      <c r="CJ109" s="7"/>
      <c r="CK109" s="93">
        <f t="shared" si="112"/>
        <v>0</v>
      </c>
      <c r="CL109" s="7"/>
      <c r="CM109" s="93">
        <f t="shared" si="113"/>
        <v>0</v>
      </c>
      <c r="CN109" s="7"/>
      <c r="CO109" s="93">
        <f t="shared" si="114"/>
        <v>0</v>
      </c>
      <c r="CP109" s="7"/>
      <c r="CQ109" s="93">
        <f t="shared" si="115"/>
        <v>0</v>
      </c>
      <c r="CR109" s="7"/>
      <c r="CS109" s="93">
        <f t="shared" si="116"/>
        <v>0</v>
      </c>
      <c r="CT109" s="7"/>
      <c r="CU109" s="93">
        <f t="shared" si="117"/>
        <v>0</v>
      </c>
      <c r="CV109" s="7"/>
      <c r="CW109" s="93">
        <f t="shared" si="118"/>
        <v>0</v>
      </c>
      <c r="CX109" s="7"/>
      <c r="CY109" s="93">
        <v>0</v>
      </c>
      <c r="CZ109" s="7"/>
      <c r="DA109" s="93">
        <v>0</v>
      </c>
      <c r="DB109" s="7"/>
      <c r="DC109" s="93">
        <v>0</v>
      </c>
      <c r="DD109" s="7"/>
      <c r="DE109" s="93">
        <v>0</v>
      </c>
      <c r="DF109" s="97">
        <f t="shared" si="104"/>
        <v>0</v>
      </c>
      <c r="DG109" s="98">
        <f t="shared" si="119"/>
        <v>0</v>
      </c>
      <c r="DH109" s="79"/>
      <c r="DI109" s="79">
        <v>0</v>
      </c>
      <c r="DJ109" s="154"/>
      <c r="DK109" s="212">
        <f t="shared" si="122"/>
        <v>0</v>
      </c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99">
        <f t="shared" si="120"/>
        <v>0</v>
      </c>
      <c r="EG109" s="99">
        <f t="shared" si="121"/>
        <v>0</v>
      </c>
    </row>
    <row r="110" spans="1:137" ht="20.100000000000001" customHeight="1">
      <c r="A110" s="63">
        <v>88</v>
      </c>
      <c r="B110" s="63" t="s">
        <v>85</v>
      </c>
      <c r="C110" s="63" t="s">
        <v>17</v>
      </c>
      <c r="D110" s="63"/>
      <c r="E110" s="63">
        <v>1</v>
      </c>
      <c r="F110" s="63" t="s">
        <v>38</v>
      </c>
      <c r="G110" s="63"/>
      <c r="H110" s="7"/>
      <c r="I110" s="93"/>
      <c r="J110" s="7"/>
      <c r="K110" s="93"/>
      <c r="L110" s="7"/>
      <c r="M110" s="93"/>
      <c r="N110" s="7"/>
      <c r="O110" s="93"/>
      <c r="P110" s="7"/>
      <c r="Q110" s="93"/>
      <c r="R110" s="7"/>
      <c r="S110" s="93"/>
      <c r="T110" s="7"/>
      <c r="U110" s="93"/>
      <c r="V110" s="7"/>
      <c r="W110" s="93"/>
      <c r="X110" s="7"/>
      <c r="Y110" s="93"/>
      <c r="Z110" s="7"/>
      <c r="AA110" s="93"/>
      <c r="AB110" s="7"/>
      <c r="AC110" s="93"/>
      <c r="AD110" s="7"/>
      <c r="AE110" s="93"/>
      <c r="AF110" s="94">
        <f t="shared" si="105"/>
        <v>0</v>
      </c>
      <c r="AG110" s="95">
        <f t="shared" si="106"/>
        <v>0</v>
      </c>
      <c r="AH110" s="7"/>
      <c r="AI110" s="93"/>
      <c r="AJ110" s="7"/>
      <c r="AK110" s="93"/>
      <c r="AL110" s="7"/>
      <c r="AM110" s="93"/>
      <c r="AN110" s="7"/>
      <c r="AO110" s="93"/>
      <c r="AP110" s="7"/>
      <c r="AQ110" s="93"/>
      <c r="AR110" s="7"/>
      <c r="AS110" s="93"/>
      <c r="AT110" s="7"/>
      <c r="AU110" s="93"/>
      <c r="AV110" s="7"/>
      <c r="AW110" s="93"/>
      <c r="AX110" s="7"/>
      <c r="AY110" s="93"/>
      <c r="AZ110" s="7"/>
      <c r="BA110" s="93"/>
      <c r="BB110" s="7"/>
      <c r="BC110" s="93"/>
      <c r="BD110" s="7"/>
      <c r="BE110" s="93"/>
      <c r="BF110" s="94">
        <f t="shared" si="107"/>
        <v>0</v>
      </c>
      <c r="BG110" s="95">
        <f t="shared" si="108"/>
        <v>0</v>
      </c>
      <c r="BH110" s="7"/>
      <c r="BI110" s="93"/>
      <c r="BJ110" s="7"/>
      <c r="BK110" s="93"/>
      <c r="BL110" s="7"/>
      <c r="BM110" s="93"/>
      <c r="BN110" s="7"/>
      <c r="BO110" s="93"/>
      <c r="BP110" s="7"/>
      <c r="BQ110" s="93"/>
      <c r="BR110" s="7"/>
      <c r="BS110" s="93"/>
      <c r="BT110" s="7"/>
      <c r="BU110" s="93"/>
      <c r="BV110" s="7"/>
      <c r="BW110" s="93"/>
      <c r="BX110" s="7"/>
      <c r="BY110" s="93"/>
      <c r="BZ110" s="7"/>
      <c r="CA110" s="93"/>
      <c r="CB110" s="7"/>
      <c r="CC110" s="93"/>
      <c r="CD110" s="7"/>
      <c r="CE110" s="93"/>
      <c r="CF110" s="94">
        <f t="shared" si="109"/>
        <v>0</v>
      </c>
      <c r="CG110" s="95">
        <f t="shared" si="110"/>
        <v>0</v>
      </c>
      <c r="CH110" s="7"/>
      <c r="CI110" s="93">
        <f t="shared" si="111"/>
        <v>0</v>
      </c>
      <c r="CJ110" s="7"/>
      <c r="CK110" s="93">
        <f t="shared" si="112"/>
        <v>0</v>
      </c>
      <c r="CL110" s="7"/>
      <c r="CM110" s="93">
        <f t="shared" si="113"/>
        <v>0</v>
      </c>
      <c r="CN110" s="7"/>
      <c r="CO110" s="93">
        <f t="shared" si="114"/>
        <v>0</v>
      </c>
      <c r="CP110" s="7"/>
      <c r="CQ110" s="93">
        <f t="shared" si="115"/>
        <v>0</v>
      </c>
      <c r="CR110" s="7"/>
      <c r="CS110" s="93">
        <f t="shared" si="116"/>
        <v>0</v>
      </c>
      <c r="CT110" s="7"/>
      <c r="CU110" s="93">
        <f t="shared" si="117"/>
        <v>0</v>
      </c>
      <c r="CV110" s="7"/>
      <c r="CW110" s="93">
        <f t="shared" si="118"/>
        <v>0</v>
      </c>
      <c r="CX110" s="7"/>
      <c r="CY110" s="93">
        <v>0</v>
      </c>
      <c r="CZ110" s="7"/>
      <c r="DA110" s="93">
        <v>0</v>
      </c>
      <c r="DB110" s="7"/>
      <c r="DC110" s="93">
        <v>0</v>
      </c>
      <c r="DD110" s="7"/>
      <c r="DE110" s="93">
        <v>0</v>
      </c>
      <c r="DF110" s="97">
        <f t="shared" si="104"/>
        <v>0</v>
      </c>
      <c r="DG110" s="98">
        <f t="shared" si="119"/>
        <v>0</v>
      </c>
      <c r="DH110" s="79"/>
      <c r="DI110" s="79">
        <v>0</v>
      </c>
      <c r="DJ110" s="154"/>
      <c r="DK110" s="212">
        <f t="shared" si="122"/>
        <v>0</v>
      </c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99">
        <f t="shared" si="120"/>
        <v>0</v>
      </c>
      <c r="EG110" s="99">
        <f t="shared" si="121"/>
        <v>0</v>
      </c>
    </row>
    <row r="111" spans="1:137" ht="20.100000000000001" customHeight="1">
      <c r="A111" s="63">
        <v>89</v>
      </c>
      <c r="B111" s="63" t="s">
        <v>85</v>
      </c>
      <c r="C111" s="63" t="s">
        <v>14</v>
      </c>
      <c r="D111" s="63"/>
      <c r="E111" s="63">
        <v>0.64</v>
      </c>
      <c r="F111" s="63" t="s">
        <v>25</v>
      </c>
      <c r="G111" s="63"/>
      <c r="H111" s="7"/>
      <c r="I111" s="93">
        <f>H111*$E111</f>
        <v>0</v>
      </c>
      <c r="J111" s="7"/>
      <c r="K111" s="93">
        <f>J111*$E111</f>
        <v>0</v>
      </c>
      <c r="L111" s="7"/>
      <c r="M111" s="93">
        <f>L111*$E111</f>
        <v>0</v>
      </c>
      <c r="N111" s="7"/>
      <c r="O111" s="93">
        <f>N111*$E111</f>
        <v>0</v>
      </c>
      <c r="P111" s="7"/>
      <c r="Q111" s="93">
        <f>P111*$E111</f>
        <v>0</v>
      </c>
      <c r="R111" s="7"/>
      <c r="S111" s="93">
        <f>R111*$E111</f>
        <v>0</v>
      </c>
      <c r="T111" s="7"/>
      <c r="U111" s="93">
        <f>T111*$E111</f>
        <v>0</v>
      </c>
      <c r="V111" s="7"/>
      <c r="W111" s="93">
        <f>V111*$E111</f>
        <v>0</v>
      </c>
      <c r="X111" s="7"/>
      <c r="Y111" s="93">
        <f>X111*$E111</f>
        <v>0</v>
      </c>
      <c r="Z111" s="7"/>
      <c r="AA111" s="93">
        <f>Z111*$E111</f>
        <v>0</v>
      </c>
      <c r="AB111" s="7"/>
      <c r="AC111" s="93">
        <f>AB111*$E111</f>
        <v>0</v>
      </c>
      <c r="AD111" s="7"/>
      <c r="AE111" s="93">
        <f>AD111*$E111</f>
        <v>0</v>
      </c>
      <c r="AF111" s="94">
        <f t="shared" si="105"/>
        <v>0</v>
      </c>
      <c r="AG111" s="95">
        <f t="shared" si="106"/>
        <v>0</v>
      </c>
      <c r="AH111" s="7"/>
      <c r="AI111" s="93">
        <f>AH111*$E111</f>
        <v>0</v>
      </c>
      <c r="AJ111" s="7"/>
      <c r="AK111" s="93">
        <f>AJ111*$E111</f>
        <v>0</v>
      </c>
      <c r="AL111" s="7"/>
      <c r="AM111" s="93">
        <f>AL111*$E111</f>
        <v>0</v>
      </c>
      <c r="AN111" s="7"/>
      <c r="AO111" s="93">
        <f>AN111*$E111</f>
        <v>0</v>
      </c>
      <c r="AP111" s="7"/>
      <c r="AQ111" s="93">
        <f>AP111*$E111</f>
        <v>0</v>
      </c>
      <c r="AR111" s="7"/>
      <c r="AS111" s="93">
        <f>AR111*$E111</f>
        <v>0</v>
      </c>
      <c r="AT111" s="7"/>
      <c r="AU111" s="93">
        <f>AT111*$E111</f>
        <v>0</v>
      </c>
      <c r="AV111" s="7"/>
      <c r="AW111" s="93">
        <f>AV111*$E111</f>
        <v>0</v>
      </c>
      <c r="AX111" s="7"/>
      <c r="AY111" s="93">
        <f>AX111*$E111</f>
        <v>0</v>
      </c>
      <c r="AZ111" s="7"/>
      <c r="BA111" s="93">
        <f>AZ111*$E111</f>
        <v>0</v>
      </c>
      <c r="BB111" s="7"/>
      <c r="BC111" s="93">
        <f>BB111*$E111</f>
        <v>0</v>
      </c>
      <c r="BD111" s="7"/>
      <c r="BE111" s="93">
        <f>BD111*$E111</f>
        <v>0</v>
      </c>
      <c r="BF111" s="94">
        <f t="shared" si="107"/>
        <v>0</v>
      </c>
      <c r="BG111" s="95">
        <f t="shared" si="108"/>
        <v>0</v>
      </c>
      <c r="BH111" s="7"/>
      <c r="BI111" s="93">
        <f>BH111*$E111</f>
        <v>0</v>
      </c>
      <c r="BJ111" s="7"/>
      <c r="BK111" s="93">
        <f>BJ111*$E111</f>
        <v>0</v>
      </c>
      <c r="BL111" s="7"/>
      <c r="BM111" s="93">
        <f>BL111*$E111</f>
        <v>0</v>
      </c>
      <c r="BN111" s="7"/>
      <c r="BO111" s="93">
        <f>BN111*$E111</f>
        <v>0</v>
      </c>
      <c r="BP111" s="7"/>
      <c r="BQ111" s="93">
        <f>BP111*$E111</f>
        <v>0</v>
      </c>
      <c r="BR111" s="7"/>
      <c r="BS111" s="93">
        <f>BR111*$E111</f>
        <v>0</v>
      </c>
      <c r="BT111" s="7"/>
      <c r="BU111" s="93">
        <f>BT111*$E111</f>
        <v>0</v>
      </c>
      <c r="BV111" s="7"/>
      <c r="BW111" s="93">
        <f>BV111*$E111</f>
        <v>0</v>
      </c>
      <c r="BX111" s="7"/>
      <c r="BY111" s="93">
        <f>BX111*$E111</f>
        <v>0</v>
      </c>
      <c r="BZ111" s="7"/>
      <c r="CA111" s="93">
        <f>BZ111*$E111</f>
        <v>0</v>
      </c>
      <c r="CB111" s="7"/>
      <c r="CC111" s="93">
        <f>CB111*$E111</f>
        <v>0</v>
      </c>
      <c r="CD111" s="7"/>
      <c r="CE111" s="93">
        <f>CD111*$E111</f>
        <v>0</v>
      </c>
      <c r="CF111" s="94">
        <f t="shared" si="109"/>
        <v>0</v>
      </c>
      <c r="CG111" s="95">
        <f t="shared" si="110"/>
        <v>0</v>
      </c>
      <c r="CH111" s="7"/>
      <c r="CI111" s="93">
        <f t="shared" si="111"/>
        <v>0</v>
      </c>
      <c r="CJ111" s="7"/>
      <c r="CK111" s="93">
        <f t="shared" si="112"/>
        <v>0</v>
      </c>
      <c r="CL111" s="7"/>
      <c r="CM111" s="93">
        <f t="shared" si="113"/>
        <v>0</v>
      </c>
      <c r="CN111" s="7"/>
      <c r="CO111" s="93">
        <f t="shared" si="114"/>
        <v>0</v>
      </c>
      <c r="CP111" s="7"/>
      <c r="CQ111" s="93">
        <f t="shared" si="115"/>
        <v>0</v>
      </c>
      <c r="CR111" s="7"/>
      <c r="CS111" s="93">
        <f t="shared" si="116"/>
        <v>0</v>
      </c>
      <c r="CT111" s="7"/>
      <c r="CU111" s="93">
        <f t="shared" si="117"/>
        <v>0</v>
      </c>
      <c r="CV111" s="7"/>
      <c r="CW111" s="93">
        <f t="shared" si="118"/>
        <v>0</v>
      </c>
      <c r="CX111" s="7"/>
      <c r="CY111" s="93">
        <v>0</v>
      </c>
      <c r="CZ111" s="7"/>
      <c r="DA111" s="93">
        <v>0</v>
      </c>
      <c r="DB111" s="7"/>
      <c r="DC111" s="93">
        <v>0</v>
      </c>
      <c r="DD111" s="7"/>
      <c r="DE111" s="93">
        <v>0</v>
      </c>
      <c r="DF111" s="97">
        <f t="shared" si="104"/>
        <v>0</v>
      </c>
      <c r="DG111" s="98">
        <f t="shared" si="119"/>
        <v>0</v>
      </c>
      <c r="DH111" s="79"/>
      <c r="DI111" s="79">
        <v>0</v>
      </c>
      <c r="DJ111" s="154"/>
      <c r="DK111" s="212">
        <f t="shared" si="122"/>
        <v>0</v>
      </c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99">
        <f t="shared" si="120"/>
        <v>0</v>
      </c>
      <c r="EG111" s="99">
        <f t="shared" si="121"/>
        <v>0</v>
      </c>
    </row>
    <row r="112" spans="1:137" ht="20.100000000000001" customHeight="1">
      <c r="A112" s="63"/>
      <c r="B112" s="63"/>
      <c r="C112" s="63"/>
      <c r="D112" s="63"/>
      <c r="E112" s="63"/>
      <c r="F112" s="63"/>
      <c r="G112" s="63"/>
      <c r="H112" s="7"/>
      <c r="I112" s="93"/>
      <c r="J112" s="7"/>
      <c r="K112" s="93"/>
      <c r="L112" s="7"/>
      <c r="M112" s="93"/>
      <c r="N112" s="7"/>
      <c r="O112" s="93"/>
      <c r="P112" s="7"/>
      <c r="Q112" s="93"/>
      <c r="R112" s="7"/>
      <c r="S112" s="93"/>
      <c r="T112" s="7"/>
      <c r="U112" s="93"/>
      <c r="V112" s="7"/>
      <c r="W112" s="93"/>
      <c r="X112" s="7"/>
      <c r="Y112" s="93"/>
      <c r="Z112" s="7"/>
      <c r="AA112" s="93"/>
      <c r="AB112" s="7"/>
      <c r="AC112" s="93"/>
      <c r="AD112" s="7"/>
      <c r="AE112" s="93"/>
      <c r="AF112" s="94">
        <f t="shared" si="105"/>
        <v>0</v>
      </c>
      <c r="AG112" s="95">
        <f t="shared" si="106"/>
        <v>0</v>
      </c>
      <c r="AH112" s="7"/>
      <c r="AI112" s="93"/>
      <c r="AJ112" s="7"/>
      <c r="AK112" s="93"/>
      <c r="AL112" s="7"/>
      <c r="AM112" s="93"/>
      <c r="AN112" s="7"/>
      <c r="AO112" s="93"/>
      <c r="AP112" s="7"/>
      <c r="AQ112" s="93"/>
      <c r="AR112" s="7"/>
      <c r="AS112" s="93"/>
      <c r="AT112" s="7"/>
      <c r="AU112" s="93"/>
      <c r="AV112" s="7"/>
      <c r="AW112" s="93"/>
      <c r="AX112" s="7"/>
      <c r="AY112" s="93"/>
      <c r="AZ112" s="7"/>
      <c r="BA112" s="93"/>
      <c r="BB112" s="7"/>
      <c r="BC112" s="93"/>
      <c r="BD112" s="7"/>
      <c r="BE112" s="93"/>
      <c r="BF112" s="94">
        <f t="shared" si="107"/>
        <v>0</v>
      </c>
      <c r="BG112" s="95">
        <f t="shared" si="108"/>
        <v>0</v>
      </c>
      <c r="BH112" s="7"/>
      <c r="BI112" s="93"/>
      <c r="BJ112" s="7"/>
      <c r="BK112" s="93"/>
      <c r="BL112" s="7"/>
      <c r="BM112" s="93"/>
      <c r="BN112" s="7"/>
      <c r="BO112" s="93"/>
      <c r="BP112" s="7"/>
      <c r="BQ112" s="93"/>
      <c r="BR112" s="7"/>
      <c r="BS112" s="93"/>
      <c r="BT112" s="7"/>
      <c r="BU112" s="93"/>
      <c r="BV112" s="7"/>
      <c r="BW112" s="93"/>
      <c r="BX112" s="7"/>
      <c r="BY112" s="93"/>
      <c r="BZ112" s="7"/>
      <c r="CA112" s="93"/>
      <c r="CB112" s="7"/>
      <c r="CC112" s="93"/>
      <c r="CD112" s="7"/>
      <c r="CE112" s="93"/>
      <c r="CF112" s="94">
        <f t="shared" si="109"/>
        <v>0</v>
      </c>
      <c r="CG112" s="95">
        <f t="shared" si="110"/>
        <v>0</v>
      </c>
      <c r="CH112" s="7"/>
      <c r="CI112" s="93">
        <f t="shared" si="111"/>
        <v>0</v>
      </c>
      <c r="CJ112" s="7"/>
      <c r="CK112" s="93">
        <f t="shared" si="112"/>
        <v>0</v>
      </c>
      <c r="CL112" s="7"/>
      <c r="CM112" s="93">
        <f t="shared" si="113"/>
        <v>0</v>
      </c>
      <c r="CN112" s="7"/>
      <c r="CO112" s="93">
        <f t="shared" si="114"/>
        <v>0</v>
      </c>
      <c r="CP112" s="7"/>
      <c r="CQ112" s="93">
        <f t="shared" si="115"/>
        <v>0</v>
      </c>
      <c r="CR112" s="7"/>
      <c r="CS112" s="93">
        <f t="shared" si="116"/>
        <v>0</v>
      </c>
      <c r="CT112" s="7"/>
      <c r="CU112" s="93">
        <f t="shared" si="117"/>
        <v>0</v>
      </c>
      <c r="CV112" s="7"/>
      <c r="CW112" s="93">
        <f t="shared" si="118"/>
        <v>0</v>
      </c>
      <c r="CX112" s="7"/>
      <c r="CY112" s="93">
        <v>0</v>
      </c>
      <c r="CZ112" s="7"/>
      <c r="DA112" s="93">
        <v>0</v>
      </c>
      <c r="DB112" s="7"/>
      <c r="DC112" s="93">
        <v>0</v>
      </c>
      <c r="DD112" s="7"/>
      <c r="DE112" s="93">
        <v>0</v>
      </c>
      <c r="DF112" s="97">
        <f t="shared" si="104"/>
        <v>0</v>
      </c>
      <c r="DG112" s="98">
        <f t="shared" si="119"/>
        <v>0</v>
      </c>
      <c r="DH112" s="79"/>
      <c r="DI112" s="79">
        <v>0</v>
      </c>
      <c r="DJ112" s="154"/>
      <c r="DK112" s="212">
        <f t="shared" si="122"/>
        <v>0</v>
      </c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99">
        <f t="shared" si="120"/>
        <v>0</v>
      </c>
      <c r="EG112" s="99">
        <f t="shared" si="121"/>
        <v>0</v>
      </c>
    </row>
    <row r="113" spans="1:137" ht="20.100000000000001" customHeight="1">
      <c r="A113" s="63">
        <v>90</v>
      </c>
      <c r="B113" s="63" t="s">
        <v>86</v>
      </c>
      <c r="C113" s="63" t="s">
        <v>14</v>
      </c>
      <c r="D113" s="63"/>
      <c r="E113" s="63">
        <v>0.7</v>
      </c>
      <c r="F113" s="63" t="s">
        <v>15</v>
      </c>
      <c r="G113" s="63">
        <v>3600</v>
      </c>
      <c r="H113" s="92">
        <v>404</v>
      </c>
      <c r="I113" s="93">
        <f t="shared" ref="I113:K134" si="174">H113*$E113</f>
        <v>282.79999999999995</v>
      </c>
      <c r="J113" s="92">
        <v>592</v>
      </c>
      <c r="K113" s="93">
        <f t="shared" si="174"/>
        <v>414.4</v>
      </c>
      <c r="L113" s="92">
        <v>866</v>
      </c>
      <c r="M113" s="93">
        <f t="shared" ref="M113:M115" si="175">L113*$E113</f>
        <v>606.19999999999993</v>
      </c>
      <c r="N113" s="92">
        <v>636</v>
      </c>
      <c r="O113" s="93">
        <f t="shared" ref="O113:O115" si="176">N113*$E113</f>
        <v>445.2</v>
      </c>
      <c r="P113" s="92">
        <v>977</v>
      </c>
      <c r="Q113" s="93">
        <f t="shared" ref="Q113:Q115" si="177">P113*$E113</f>
        <v>683.9</v>
      </c>
      <c r="R113" s="92">
        <v>468</v>
      </c>
      <c r="S113" s="93">
        <f t="shared" ref="S113:S115" si="178">R113*$E113</f>
        <v>327.59999999999997</v>
      </c>
      <c r="T113" s="92">
        <v>96</v>
      </c>
      <c r="U113" s="93">
        <f t="shared" ref="U113:U115" si="179">T113*$E113</f>
        <v>67.199999999999989</v>
      </c>
      <c r="V113" s="92">
        <v>396</v>
      </c>
      <c r="W113" s="93">
        <f t="shared" ref="W113:W115" si="180">V113*$E113</f>
        <v>277.2</v>
      </c>
      <c r="X113" s="92">
        <v>24</v>
      </c>
      <c r="Y113" s="93">
        <f t="shared" ref="Y113:Y115" si="181">X113*$E113</f>
        <v>16.799999999999997</v>
      </c>
      <c r="Z113" s="92">
        <v>845</v>
      </c>
      <c r="AA113" s="93">
        <f t="shared" ref="AA113:AA115" si="182">Z113*$E113</f>
        <v>591.5</v>
      </c>
      <c r="AB113" s="92">
        <v>1146</v>
      </c>
      <c r="AC113" s="93">
        <f t="shared" ref="AC113:AC115" si="183">AB113*$E113</f>
        <v>802.19999999999993</v>
      </c>
      <c r="AD113" s="92">
        <v>759</v>
      </c>
      <c r="AE113" s="93">
        <f t="shared" ref="AE113:AE115" si="184">AD113*$E113</f>
        <v>531.29999999999995</v>
      </c>
      <c r="AF113" s="94">
        <f t="shared" si="105"/>
        <v>7209</v>
      </c>
      <c r="AG113" s="95">
        <f t="shared" si="106"/>
        <v>5046.2999999999993</v>
      </c>
      <c r="AH113" s="92">
        <v>910</v>
      </c>
      <c r="AI113" s="93">
        <f t="shared" ref="AI113:AI134" si="185">AH113*$E113</f>
        <v>637</v>
      </c>
      <c r="AJ113" s="92">
        <v>517</v>
      </c>
      <c r="AK113" s="93">
        <f t="shared" ref="AK113:AK134" si="186">AJ113*$E113</f>
        <v>361.9</v>
      </c>
      <c r="AL113" s="92">
        <v>250</v>
      </c>
      <c r="AM113" s="93">
        <f t="shared" ref="AM113:AM134" si="187">AL113*$E113</f>
        <v>175</v>
      </c>
      <c r="AN113" s="92">
        <v>515</v>
      </c>
      <c r="AO113" s="93">
        <f t="shared" ref="AO113:AO134" si="188">AN113*$E113</f>
        <v>360.5</v>
      </c>
      <c r="AP113" s="92">
        <v>738</v>
      </c>
      <c r="AQ113" s="93">
        <f t="shared" ref="AQ113:AQ134" si="189">AP113*$E113</f>
        <v>516.6</v>
      </c>
      <c r="AR113" s="92">
        <v>352</v>
      </c>
      <c r="AS113" s="93">
        <f t="shared" ref="AS113:AS134" si="190">AR113*$E113</f>
        <v>246.39999999999998</v>
      </c>
      <c r="AT113" s="92">
        <v>415</v>
      </c>
      <c r="AU113" s="93">
        <f t="shared" ref="AU113:AU134" si="191">AT113*$E113</f>
        <v>290.5</v>
      </c>
      <c r="AV113" s="92">
        <v>305</v>
      </c>
      <c r="AW113" s="93">
        <f t="shared" ref="AW113:AW134" si="192">AV113*$E113</f>
        <v>213.5</v>
      </c>
      <c r="AX113" s="92">
        <v>840</v>
      </c>
      <c r="AY113" s="93">
        <f t="shared" ref="AY113:AY134" si="193">AX113*$E113</f>
        <v>588</v>
      </c>
      <c r="AZ113" s="92">
        <v>446</v>
      </c>
      <c r="BA113" s="93">
        <f t="shared" ref="BA113:BA134" si="194">AZ113*$E113</f>
        <v>312.2</v>
      </c>
      <c r="BB113" s="92">
        <v>180</v>
      </c>
      <c r="BC113" s="93">
        <f t="shared" ref="BC113:BC134" si="195">BB113*$E113</f>
        <v>125.99999999999999</v>
      </c>
      <c r="BD113" s="92">
        <v>1272</v>
      </c>
      <c r="BE113" s="93">
        <f t="shared" ref="BE113:BE134" si="196">BD113*$E113</f>
        <v>890.4</v>
      </c>
      <c r="BF113" s="94">
        <f t="shared" si="107"/>
        <v>6740</v>
      </c>
      <c r="BG113" s="95">
        <f t="shared" si="108"/>
        <v>4718</v>
      </c>
      <c r="BH113" s="92">
        <v>372</v>
      </c>
      <c r="BI113" s="93">
        <f t="shared" ref="BI113:BI134" si="197">BH113*$E113</f>
        <v>260.39999999999998</v>
      </c>
      <c r="BJ113" s="92">
        <v>1045</v>
      </c>
      <c r="BK113" s="93">
        <f t="shared" ref="BK113:BK134" si="198">BJ113*$E113</f>
        <v>731.5</v>
      </c>
      <c r="BL113" s="92">
        <v>2335</v>
      </c>
      <c r="BM113" s="93">
        <f t="shared" ref="BM113:CA115" si="199">BL113*$E113</f>
        <v>1634.5</v>
      </c>
      <c r="BN113" s="92">
        <v>252</v>
      </c>
      <c r="BO113" s="93">
        <f t="shared" si="199"/>
        <v>176.39999999999998</v>
      </c>
      <c r="BP113" s="92">
        <v>870</v>
      </c>
      <c r="BQ113" s="93">
        <f t="shared" si="199"/>
        <v>609</v>
      </c>
      <c r="BR113" s="92">
        <v>448</v>
      </c>
      <c r="BS113" s="93">
        <f t="shared" si="199"/>
        <v>313.59999999999997</v>
      </c>
      <c r="BT113" s="92">
        <v>2144</v>
      </c>
      <c r="BU113" s="93">
        <f t="shared" si="199"/>
        <v>1500.8</v>
      </c>
      <c r="BV113" s="92">
        <v>1209</v>
      </c>
      <c r="BW113" s="93">
        <f t="shared" si="199"/>
        <v>846.3</v>
      </c>
      <c r="BX113" s="92">
        <v>324</v>
      </c>
      <c r="BY113" s="93">
        <f t="shared" si="199"/>
        <v>226.79999999999998</v>
      </c>
      <c r="BZ113" s="92">
        <v>772</v>
      </c>
      <c r="CA113" s="93">
        <f t="shared" si="199"/>
        <v>540.4</v>
      </c>
      <c r="CB113" s="92">
        <v>948</v>
      </c>
      <c r="CC113" s="93">
        <f t="shared" ref="CC113:CE115" si="200">CB113*$E113</f>
        <v>663.59999999999991</v>
      </c>
      <c r="CD113" s="7">
        <v>12</v>
      </c>
      <c r="CE113" s="93">
        <f t="shared" si="200"/>
        <v>8.3999999999999986</v>
      </c>
      <c r="CF113" s="94">
        <f t="shared" si="109"/>
        <v>10731</v>
      </c>
      <c r="CG113" s="95">
        <f t="shared" si="110"/>
        <v>7511.7</v>
      </c>
      <c r="CH113" s="7">
        <v>121</v>
      </c>
      <c r="CI113" s="93">
        <f t="shared" si="111"/>
        <v>84.699999999999989</v>
      </c>
      <c r="CJ113" s="7">
        <v>141</v>
      </c>
      <c r="CK113" s="93">
        <f t="shared" si="112"/>
        <v>98.699999999999989</v>
      </c>
      <c r="CL113" s="7">
        <v>234</v>
      </c>
      <c r="CM113" s="93">
        <f t="shared" si="113"/>
        <v>163.79999999999998</v>
      </c>
      <c r="CN113" s="7">
        <v>51</v>
      </c>
      <c r="CO113" s="93">
        <f t="shared" si="114"/>
        <v>35.699999999999996</v>
      </c>
      <c r="CP113" s="7">
        <v>540</v>
      </c>
      <c r="CQ113" s="93">
        <f t="shared" si="115"/>
        <v>378</v>
      </c>
      <c r="CR113" s="7">
        <v>314</v>
      </c>
      <c r="CS113" s="93">
        <f t="shared" si="116"/>
        <v>219.79999999999998</v>
      </c>
      <c r="CT113" s="7">
        <v>546</v>
      </c>
      <c r="CU113" s="93">
        <f t="shared" si="117"/>
        <v>382.2</v>
      </c>
      <c r="CV113" s="7">
        <v>435</v>
      </c>
      <c r="CW113" s="93">
        <f t="shared" si="118"/>
        <v>304.5</v>
      </c>
      <c r="CX113" s="7">
        <v>78</v>
      </c>
      <c r="CY113" s="93">
        <v>54.599999999999994</v>
      </c>
      <c r="CZ113" s="7">
        <v>240</v>
      </c>
      <c r="DA113" s="93">
        <v>168</v>
      </c>
      <c r="DB113" s="7">
        <v>300</v>
      </c>
      <c r="DC113" s="93">
        <v>210</v>
      </c>
      <c r="DD113" s="7">
        <v>300</v>
      </c>
      <c r="DE113" s="93">
        <v>210</v>
      </c>
      <c r="DF113" s="97">
        <f t="shared" si="104"/>
        <v>3300</v>
      </c>
      <c r="DG113" s="98">
        <f t="shared" si="119"/>
        <v>2310</v>
      </c>
      <c r="DH113" s="79">
        <v>120</v>
      </c>
      <c r="DI113" s="79">
        <v>84</v>
      </c>
      <c r="DJ113" s="154"/>
      <c r="DK113" s="212">
        <f>DJ113*$E113</f>
        <v>0</v>
      </c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99">
        <f t="shared" si="120"/>
        <v>120</v>
      </c>
      <c r="EG113" s="99">
        <f t="shared" si="121"/>
        <v>84</v>
      </c>
    </row>
    <row r="114" spans="1:137" ht="20.100000000000001" customHeight="1">
      <c r="A114" s="63">
        <v>91</v>
      </c>
      <c r="B114" s="63" t="s">
        <v>87</v>
      </c>
      <c r="C114" s="63" t="s">
        <v>14</v>
      </c>
      <c r="D114" s="63"/>
      <c r="E114" s="63">
        <v>0.35</v>
      </c>
      <c r="F114" s="63" t="s">
        <v>24</v>
      </c>
      <c r="G114" s="63">
        <v>2100</v>
      </c>
      <c r="H114" s="92"/>
      <c r="I114" s="93">
        <f t="shared" si="174"/>
        <v>0</v>
      </c>
      <c r="J114" s="92"/>
      <c r="K114" s="93">
        <f t="shared" si="174"/>
        <v>0</v>
      </c>
      <c r="L114" s="92"/>
      <c r="M114" s="93">
        <f t="shared" si="175"/>
        <v>0</v>
      </c>
      <c r="N114" s="92"/>
      <c r="O114" s="93">
        <f t="shared" si="176"/>
        <v>0</v>
      </c>
      <c r="P114" s="92"/>
      <c r="Q114" s="93">
        <f t="shared" si="177"/>
        <v>0</v>
      </c>
      <c r="R114" s="92"/>
      <c r="S114" s="93">
        <f t="shared" si="178"/>
        <v>0</v>
      </c>
      <c r="T114" s="92"/>
      <c r="U114" s="93">
        <f t="shared" si="179"/>
        <v>0</v>
      </c>
      <c r="V114" s="92">
        <v>372</v>
      </c>
      <c r="W114" s="93">
        <f t="shared" si="180"/>
        <v>130.19999999999999</v>
      </c>
      <c r="X114" s="92"/>
      <c r="Y114" s="93">
        <f t="shared" si="181"/>
        <v>0</v>
      </c>
      <c r="Z114" s="92">
        <v>1379</v>
      </c>
      <c r="AA114" s="93">
        <f t="shared" si="182"/>
        <v>482.65</v>
      </c>
      <c r="AB114" s="92">
        <v>476</v>
      </c>
      <c r="AC114" s="93">
        <f t="shared" si="183"/>
        <v>166.6</v>
      </c>
      <c r="AD114" s="92">
        <v>427</v>
      </c>
      <c r="AE114" s="93">
        <f t="shared" si="184"/>
        <v>149.44999999999999</v>
      </c>
      <c r="AF114" s="94">
        <f t="shared" si="105"/>
        <v>2654</v>
      </c>
      <c r="AG114" s="95">
        <f t="shared" si="106"/>
        <v>928.9</v>
      </c>
      <c r="AH114" s="92">
        <v>339</v>
      </c>
      <c r="AI114" s="93">
        <f t="shared" si="185"/>
        <v>118.64999999999999</v>
      </c>
      <c r="AJ114" s="92">
        <v>98</v>
      </c>
      <c r="AK114" s="93">
        <f t="shared" si="186"/>
        <v>34.299999999999997</v>
      </c>
      <c r="AL114" s="92">
        <v>185</v>
      </c>
      <c r="AM114" s="93">
        <f t="shared" si="187"/>
        <v>64.75</v>
      </c>
      <c r="AN114" s="92">
        <v>65</v>
      </c>
      <c r="AO114" s="93">
        <f t="shared" si="188"/>
        <v>22.75</v>
      </c>
      <c r="AP114" s="92">
        <v>67</v>
      </c>
      <c r="AQ114" s="93">
        <f t="shared" si="189"/>
        <v>23.45</v>
      </c>
      <c r="AR114" s="92">
        <v>34</v>
      </c>
      <c r="AS114" s="93">
        <f t="shared" si="190"/>
        <v>11.899999999999999</v>
      </c>
      <c r="AT114" s="92">
        <v>39</v>
      </c>
      <c r="AU114" s="93">
        <f t="shared" si="191"/>
        <v>13.649999999999999</v>
      </c>
      <c r="AV114" s="92">
        <v>30</v>
      </c>
      <c r="AW114" s="93">
        <f t="shared" si="192"/>
        <v>10.5</v>
      </c>
      <c r="AX114" s="92">
        <v>195</v>
      </c>
      <c r="AY114" s="93">
        <f t="shared" si="193"/>
        <v>68.25</v>
      </c>
      <c r="AZ114" s="92">
        <v>30</v>
      </c>
      <c r="BA114" s="93">
        <f t="shared" si="194"/>
        <v>10.5</v>
      </c>
      <c r="BB114" s="92">
        <v>60</v>
      </c>
      <c r="BC114" s="93">
        <f t="shared" si="195"/>
        <v>21</v>
      </c>
      <c r="BD114" s="92">
        <v>342</v>
      </c>
      <c r="BE114" s="93">
        <f t="shared" si="196"/>
        <v>119.69999999999999</v>
      </c>
      <c r="BF114" s="94">
        <f t="shared" si="107"/>
        <v>1484</v>
      </c>
      <c r="BG114" s="95">
        <f t="shared" si="108"/>
        <v>519.4</v>
      </c>
      <c r="BH114" s="92">
        <v>24</v>
      </c>
      <c r="BI114" s="93">
        <f t="shared" si="197"/>
        <v>8.3999999999999986</v>
      </c>
      <c r="BJ114" s="92">
        <v>234</v>
      </c>
      <c r="BK114" s="93">
        <f t="shared" si="198"/>
        <v>81.899999999999991</v>
      </c>
      <c r="BL114" s="92">
        <v>474</v>
      </c>
      <c r="BM114" s="93">
        <f t="shared" si="199"/>
        <v>165.89999999999998</v>
      </c>
      <c r="BN114" s="92">
        <v>412</v>
      </c>
      <c r="BO114" s="93">
        <f t="shared" si="199"/>
        <v>144.19999999999999</v>
      </c>
      <c r="BP114" s="92">
        <v>510</v>
      </c>
      <c r="BQ114" s="93">
        <f t="shared" si="199"/>
        <v>178.5</v>
      </c>
      <c r="BR114" s="92">
        <v>399</v>
      </c>
      <c r="BS114" s="93">
        <f t="shared" si="199"/>
        <v>139.64999999999998</v>
      </c>
      <c r="BT114" s="92">
        <v>1270</v>
      </c>
      <c r="BU114" s="93">
        <f t="shared" si="199"/>
        <v>444.5</v>
      </c>
      <c r="BV114" s="92">
        <v>966</v>
      </c>
      <c r="BW114" s="93">
        <f t="shared" si="199"/>
        <v>338.09999999999997</v>
      </c>
      <c r="BX114" s="92">
        <v>330</v>
      </c>
      <c r="BY114" s="93">
        <f t="shared" si="199"/>
        <v>115.49999999999999</v>
      </c>
      <c r="BZ114" s="92">
        <v>899</v>
      </c>
      <c r="CA114" s="93">
        <f t="shared" si="199"/>
        <v>314.64999999999998</v>
      </c>
      <c r="CB114" s="92">
        <v>810</v>
      </c>
      <c r="CC114" s="93">
        <f t="shared" si="200"/>
        <v>283.5</v>
      </c>
      <c r="CD114" s="7">
        <v>12</v>
      </c>
      <c r="CE114" s="93">
        <f t="shared" si="200"/>
        <v>4.1999999999999993</v>
      </c>
      <c r="CF114" s="94">
        <f t="shared" si="109"/>
        <v>6340</v>
      </c>
      <c r="CG114" s="95">
        <f t="shared" si="110"/>
        <v>2219</v>
      </c>
      <c r="CH114" s="7">
        <v>26</v>
      </c>
      <c r="CI114" s="93">
        <f t="shared" si="111"/>
        <v>9.1</v>
      </c>
      <c r="CJ114" s="7">
        <v>90</v>
      </c>
      <c r="CK114" s="93">
        <f t="shared" si="112"/>
        <v>31.499999999999996</v>
      </c>
      <c r="CL114" s="7">
        <v>264</v>
      </c>
      <c r="CM114" s="93">
        <f t="shared" si="113"/>
        <v>92.399999999999991</v>
      </c>
      <c r="CN114" s="7">
        <v>481</v>
      </c>
      <c r="CO114" s="93">
        <f t="shared" si="114"/>
        <v>168.35</v>
      </c>
      <c r="CP114" s="7">
        <v>331</v>
      </c>
      <c r="CQ114" s="93">
        <f t="shared" si="115"/>
        <v>115.85</v>
      </c>
      <c r="CR114" s="7">
        <v>1260</v>
      </c>
      <c r="CS114" s="93">
        <f t="shared" si="116"/>
        <v>441</v>
      </c>
      <c r="CT114" s="7">
        <v>521</v>
      </c>
      <c r="CU114" s="93">
        <f t="shared" si="117"/>
        <v>182.35</v>
      </c>
      <c r="CV114" s="7">
        <v>42</v>
      </c>
      <c r="CW114" s="93">
        <f t="shared" si="118"/>
        <v>14.7</v>
      </c>
      <c r="CX114" s="7">
        <v>60</v>
      </c>
      <c r="CY114" s="93">
        <v>21</v>
      </c>
      <c r="CZ114" s="7"/>
      <c r="DA114" s="93">
        <v>0</v>
      </c>
      <c r="DB114" s="7"/>
      <c r="DC114" s="93">
        <v>0</v>
      </c>
      <c r="DD114" s="7"/>
      <c r="DE114" s="93">
        <v>0</v>
      </c>
      <c r="DF114" s="97">
        <f t="shared" si="104"/>
        <v>3075</v>
      </c>
      <c r="DG114" s="98">
        <f t="shared" si="119"/>
        <v>1076.25</v>
      </c>
      <c r="DH114" s="79"/>
      <c r="DI114" s="79">
        <v>0</v>
      </c>
      <c r="DJ114" s="154"/>
      <c r="DK114" s="212">
        <f>DJ114*$E114</f>
        <v>0</v>
      </c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99">
        <f t="shared" si="120"/>
        <v>0</v>
      </c>
      <c r="EG114" s="99">
        <f t="shared" si="121"/>
        <v>0</v>
      </c>
    </row>
    <row r="115" spans="1:137" ht="20.100000000000001" customHeight="1">
      <c r="A115" s="63"/>
      <c r="B115" s="63"/>
      <c r="C115" s="63"/>
      <c r="D115" s="63"/>
      <c r="E115" s="63"/>
      <c r="F115" s="63"/>
      <c r="G115" s="63"/>
      <c r="H115" s="7"/>
      <c r="I115" s="93">
        <f t="shared" si="174"/>
        <v>0</v>
      </c>
      <c r="J115" s="7"/>
      <c r="K115" s="93">
        <f t="shared" si="174"/>
        <v>0</v>
      </c>
      <c r="L115" s="7"/>
      <c r="M115" s="93">
        <f t="shared" si="175"/>
        <v>0</v>
      </c>
      <c r="N115" s="7"/>
      <c r="O115" s="93">
        <f t="shared" si="176"/>
        <v>0</v>
      </c>
      <c r="P115" s="7"/>
      <c r="Q115" s="93">
        <f t="shared" si="177"/>
        <v>0</v>
      </c>
      <c r="R115" s="7"/>
      <c r="S115" s="93">
        <f t="shared" si="178"/>
        <v>0</v>
      </c>
      <c r="T115" s="7"/>
      <c r="U115" s="93">
        <f t="shared" si="179"/>
        <v>0</v>
      </c>
      <c r="V115" s="7"/>
      <c r="W115" s="93">
        <f t="shared" si="180"/>
        <v>0</v>
      </c>
      <c r="X115" s="7"/>
      <c r="Y115" s="93">
        <f t="shared" si="181"/>
        <v>0</v>
      </c>
      <c r="Z115" s="7"/>
      <c r="AA115" s="93">
        <f t="shared" si="182"/>
        <v>0</v>
      </c>
      <c r="AB115" s="7"/>
      <c r="AC115" s="93">
        <f t="shared" si="183"/>
        <v>0</v>
      </c>
      <c r="AD115" s="7"/>
      <c r="AE115" s="93">
        <f t="shared" si="184"/>
        <v>0</v>
      </c>
      <c r="AF115" s="94">
        <f t="shared" si="105"/>
        <v>0</v>
      </c>
      <c r="AG115" s="95">
        <f t="shared" si="106"/>
        <v>0</v>
      </c>
      <c r="AH115" s="7"/>
      <c r="AI115" s="93">
        <f t="shared" si="185"/>
        <v>0</v>
      </c>
      <c r="AJ115" s="7"/>
      <c r="AK115" s="93">
        <f t="shared" si="186"/>
        <v>0</v>
      </c>
      <c r="AL115" s="7"/>
      <c r="AM115" s="93">
        <f t="shared" si="187"/>
        <v>0</v>
      </c>
      <c r="AN115" s="7"/>
      <c r="AO115" s="93">
        <f t="shared" si="188"/>
        <v>0</v>
      </c>
      <c r="AP115" s="7"/>
      <c r="AQ115" s="93">
        <f t="shared" si="189"/>
        <v>0</v>
      </c>
      <c r="AR115" s="7"/>
      <c r="AS115" s="93">
        <f t="shared" si="190"/>
        <v>0</v>
      </c>
      <c r="AT115" s="7"/>
      <c r="AU115" s="93">
        <f t="shared" si="191"/>
        <v>0</v>
      </c>
      <c r="AV115" s="7"/>
      <c r="AW115" s="93">
        <f t="shared" si="192"/>
        <v>0</v>
      </c>
      <c r="AX115" s="7"/>
      <c r="AY115" s="93">
        <f t="shared" si="193"/>
        <v>0</v>
      </c>
      <c r="AZ115" s="7"/>
      <c r="BA115" s="93">
        <f t="shared" si="194"/>
        <v>0</v>
      </c>
      <c r="BB115" s="7"/>
      <c r="BC115" s="93">
        <f t="shared" si="195"/>
        <v>0</v>
      </c>
      <c r="BD115" s="7"/>
      <c r="BE115" s="93">
        <f t="shared" si="196"/>
        <v>0</v>
      </c>
      <c r="BF115" s="94">
        <f t="shared" si="107"/>
        <v>0</v>
      </c>
      <c r="BG115" s="95">
        <f t="shared" si="108"/>
        <v>0</v>
      </c>
      <c r="BH115" s="7"/>
      <c r="BI115" s="93">
        <f t="shared" si="197"/>
        <v>0</v>
      </c>
      <c r="BJ115" s="7"/>
      <c r="BK115" s="93">
        <f t="shared" si="198"/>
        <v>0</v>
      </c>
      <c r="BL115" s="7"/>
      <c r="BM115" s="93">
        <f t="shared" si="199"/>
        <v>0</v>
      </c>
      <c r="BN115" s="7"/>
      <c r="BO115" s="93">
        <f t="shared" si="199"/>
        <v>0</v>
      </c>
      <c r="BP115" s="7"/>
      <c r="BQ115" s="93">
        <f t="shared" si="199"/>
        <v>0</v>
      </c>
      <c r="BR115" s="7"/>
      <c r="BS115" s="93">
        <f t="shared" si="199"/>
        <v>0</v>
      </c>
      <c r="BT115" s="7"/>
      <c r="BU115" s="93">
        <f t="shared" si="199"/>
        <v>0</v>
      </c>
      <c r="BV115" s="7"/>
      <c r="BW115" s="93">
        <f t="shared" si="199"/>
        <v>0</v>
      </c>
      <c r="BX115" s="7"/>
      <c r="BY115" s="93">
        <f t="shared" si="199"/>
        <v>0</v>
      </c>
      <c r="BZ115" s="7"/>
      <c r="CA115" s="93">
        <f t="shared" si="199"/>
        <v>0</v>
      </c>
      <c r="CB115" s="7"/>
      <c r="CC115" s="93">
        <f t="shared" si="200"/>
        <v>0</v>
      </c>
      <c r="CD115" s="7"/>
      <c r="CE115" s="93">
        <f t="shared" si="200"/>
        <v>0</v>
      </c>
      <c r="CF115" s="94">
        <f t="shared" si="109"/>
        <v>0</v>
      </c>
      <c r="CG115" s="95">
        <f t="shared" si="110"/>
        <v>0</v>
      </c>
      <c r="CH115" s="7"/>
      <c r="CI115" s="93">
        <f t="shared" si="111"/>
        <v>0</v>
      </c>
      <c r="CJ115" s="7"/>
      <c r="CK115" s="93">
        <f t="shared" si="112"/>
        <v>0</v>
      </c>
      <c r="CL115" s="7"/>
      <c r="CM115" s="93">
        <f t="shared" si="113"/>
        <v>0</v>
      </c>
      <c r="CN115" s="7"/>
      <c r="CO115" s="93">
        <f t="shared" si="114"/>
        <v>0</v>
      </c>
      <c r="CP115" s="7"/>
      <c r="CQ115" s="93">
        <f t="shared" si="115"/>
        <v>0</v>
      </c>
      <c r="CR115" s="7"/>
      <c r="CS115" s="93">
        <f t="shared" si="116"/>
        <v>0</v>
      </c>
      <c r="CT115" s="7"/>
      <c r="CU115" s="93">
        <f t="shared" si="117"/>
        <v>0</v>
      </c>
      <c r="CV115" s="7"/>
      <c r="CW115" s="93">
        <f t="shared" si="118"/>
        <v>0</v>
      </c>
      <c r="CX115" s="7"/>
      <c r="CY115" s="93">
        <v>0</v>
      </c>
      <c r="CZ115" s="7"/>
      <c r="DA115" s="93">
        <v>0</v>
      </c>
      <c r="DB115" s="7"/>
      <c r="DC115" s="93">
        <v>0</v>
      </c>
      <c r="DD115" s="7"/>
      <c r="DE115" s="93">
        <v>0</v>
      </c>
      <c r="DF115" s="97">
        <f t="shared" si="104"/>
        <v>0</v>
      </c>
      <c r="DG115" s="98">
        <f t="shared" si="119"/>
        <v>0</v>
      </c>
      <c r="DH115" s="79"/>
      <c r="DI115" s="79">
        <v>0</v>
      </c>
      <c r="DJ115" s="154"/>
      <c r="DK115" s="212">
        <f t="shared" ref="DK115:DK139" si="201">DJ115*$E115</f>
        <v>0</v>
      </c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99">
        <f t="shared" si="120"/>
        <v>0</v>
      </c>
      <c r="EG115" s="99">
        <f t="shared" si="121"/>
        <v>0</v>
      </c>
    </row>
    <row r="116" spans="1:137" ht="20.100000000000001" customHeight="1">
      <c r="A116" s="63">
        <v>92</v>
      </c>
      <c r="B116" s="63" t="s">
        <v>198</v>
      </c>
      <c r="C116" s="63" t="s">
        <v>197</v>
      </c>
      <c r="D116" s="63"/>
      <c r="E116" s="63">
        <v>0.75</v>
      </c>
      <c r="F116" s="63" t="s">
        <v>15</v>
      </c>
      <c r="G116" s="63"/>
      <c r="H116" s="7"/>
      <c r="I116" s="93"/>
      <c r="J116" s="7"/>
      <c r="K116" s="93"/>
      <c r="L116" s="7"/>
      <c r="M116" s="93"/>
      <c r="N116" s="7"/>
      <c r="O116" s="93"/>
      <c r="P116" s="7"/>
      <c r="Q116" s="93"/>
      <c r="R116" s="7"/>
      <c r="S116" s="93"/>
      <c r="T116" s="7"/>
      <c r="U116" s="93"/>
      <c r="V116" s="7"/>
      <c r="W116" s="93"/>
      <c r="X116" s="7"/>
      <c r="Y116" s="93"/>
      <c r="Z116" s="7"/>
      <c r="AA116" s="93"/>
      <c r="AB116" s="7"/>
      <c r="AC116" s="93"/>
      <c r="AD116" s="7"/>
      <c r="AE116" s="93"/>
      <c r="AF116" s="94">
        <f t="shared" si="105"/>
        <v>0</v>
      </c>
      <c r="AG116" s="95">
        <f t="shared" si="106"/>
        <v>0</v>
      </c>
      <c r="AH116" s="7"/>
      <c r="AI116" s="93"/>
      <c r="AJ116" s="7"/>
      <c r="AK116" s="93"/>
      <c r="AL116" s="7"/>
      <c r="AM116" s="93"/>
      <c r="AN116" s="7"/>
      <c r="AO116" s="93"/>
      <c r="AP116" s="7"/>
      <c r="AQ116" s="93"/>
      <c r="AR116" s="7"/>
      <c r="AS116" s="93"/>
      <c r="AT116" s="7"/>
      <c r="AU116" s="93"/>
      <c r="AV116" s="7"/>
      <c r="AW116" s="93"/>
      <c r="AX116" s="7"/>
      <c r="AY116" s="93"/>
      <c r="AZ116" s="7"/>
      <c r="BA116" s="93"/>
      <c r="BB116" s="7"/>
      <c r="BC116" s="93"/>
      <c r="BD116" s="7"/>
      <c r="BE116" s="93"/>
      <c r="BF116" s="94">
        <f t="shared" si="107"/>
        <v>0</v>
      </c>
      <c r="BG116" s="95">
        <f t="shared" si="108"/>
        <v>0</v>
      </c>
      <c r="BH116" s="7"/>
      <c r="BI116" s="93"/>
      <c r="BJ116" s="7"/>
      <c r="BK116" s="93"/>
      <c r="BL116" s="7"/>
      <c r="BM116" s="93"/>
      <c r="BN116" s="7"/>
      <c r="BO116" s="93"/>
      <c r="BP116" s="7"/>
      <c r="BQ116" s="93"/>
      <c r="BR116" s="7"/>
      <c r="BS116" s="93"/>
      <c r="BT116" s="7"/>
      <c r="BU116" s="93"/>
      <c r="BV116" s="7"/>
      <c r="BW116" s="93"/>
      <c r="BX116" s="7"/>
      <c r="BY116" s="93"/>
      <c r="BZ116" s="7"/>
      <c r="CA116" s="93"/>
      <c r="CB116" s="7"/>
      <c r="CC116" s="93"/>
      <c r="CD116" s="7"/>
      <c r="CE116" s="93"/>
      <c r="CF116" s="94">
        <f t="shared" si="109"/>
        <v>0</v>
      </c>
      <c r="CG116" s="95">
        <f t="shared" si="110"/>
        <v>0</v>
      </c>
      <c r="CH116" s="7"/>
      <c r="CI116" s="93">
        <f t="shared" si="111"/>
        <v>0</v>
      </c>
      <c r="CJ116" s="7"/>
      <c r="CK116" s="93">
        <f t="shared" si="112"/>
        <v>0</v>
      </c>
      <c r="CL116" s="7"/>
      <c r="CM116" s="93">
        <f t="shared" si="113"/>
        <v>0</v>
      </c>
      <c r="CN116" s="7"/>
      <c r="CO116" s="93">
        <f t="shared" si="114"/>
        <v>0</v>
      </c>
      <c r="CP116" s="7"/>
      <c r="CQ116" s="93">
        <f t="shared" si="115"/>
        <v>0</v>
      </c>
      <c r="CR116" s="7"/>
      <c r="CS116" s="93">
        <f t="shared" si="116"/>
        <v>0</v>
      </c>
      <c r="CT116" s="7"/>
      <c r="CU116" s="93">
        <f t="shared" si="117"/>
        <v>0</v>
      </c>
      <c r="CV116" s="7"/>
      <c r="CW116" s="93">
        <f t="shared" si="118"/>
        <v>0</v>
      </c>
      <c r="CX116" s="7"/>
      <c r="CY116" s="93">
        <v>0</v>
      </c>
      <c r="CZ116" s="7"/>
      <c r="DA116" s="93">
        <v>0</v>
      </c>
      <c r="DB116" s="7"/>
      <c r="DC116" s="93">
        <v>0</v>
      </c>
      <c r="DD116" s="7"/>
      <c r="DE116" s="93">
        <v>0</v>
      </c>
      <c r="DF116" s="97">
        <f t="shared" si="104"/>
        <v>0</v>
      </c>
      <c r="DG116" s="98">
        <f t="shared" si="119"/>
        <v>0</v>
      </c>
      <c r="DH116" s="79"/>
      <c r="DI116" s="79">
        <v>0</v>
      </c>
      <c r="DJ116" s="154"/>
      <c r="DK116" s="212">
        <f t="shared" si="201"/>
        <v>0</v>
      </c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99">
        <f t="shared" si="120"/>
        <v>0</v>
      </c>
      <c r="EG116" s="99">
        <f t="shared" si="121"/>
        <v>0</v>
      </c>
    </row>
    <row r="117" spans="1:137" ht="20.100000000000001" customHeight="1">
      <c r="A117" s="63">
        <v>93</v>
      </c>
      <c r="B117" s="63" t="s">
        <v>198</v>
      </c>
      <c r="C117" s="63" t="s">
        <v>197</v>
      </c>
      <c r="D117" s="63"/>
      <c r="E117" s="63">
        <v>0.6</v>
      </c>
      <c r="F117" s="63" t="s">
        <v>15</v>
      </c>
      <c r="G117" s="63">
        <v>800</v>
      </c>
      <c r="H117" s="7"/>
      <c r="I117" s="93"/>
      <c r="J117" s="7"/>
      <c r="K117" s="93"/>
      <c r="L117" s="7"/>
      <c r="M117" s="93"/>
      <c r="N117" s="7"/>
      <c r="O117" s="93"/>
      <c r="P117" s="7"/>
      <c r="Q117" s="93"/>
      <c r="R117" s="7"/>
      <c r="S117" s="93"/>
      <c r="T117" s="7"/>
      <c r="U117" s="93"/>
      <c r="V117" s="7"/>
      <c r="W117" s="93"/>
      <c r="X117" s="7"/>
      <c r="Y117" s="93"/>
      <c r="Z117" s="7"/>
      <c r="AA117" s="93"/>
      <c r="AB117" s="7"/>
      <c r="AC117" s="93"/>
      <c r="AD117" s="7"/>
      <c r="AE117" s="93"/>
      <c r="AF117" s="94">
        <f t="shared" si="105"/>
        <v>0</v>
      </c>
      <c r="AG117" s="95">
        <f t="shared" si="106"/>
        <v>0</v>
      </c>
      <c r="AH117" s="7"/>
      <c r="AI117" s="93"/>
      <c r="AJ117" s="7"/>
      <c r="AK117" s="93"/>
      <c r="AL117" s="7"/>
      <c r="AM117" s="93"/>
      <c r="AN117" s="7"/>
      <c r="AO117" s="93"/>
      <c r="AP117" s="7"/>
      <c r="AQ117" s="93"/>
      <c r="AR117" s="7"/>
      <c r="AS117" s="93"/>
      <c r="AT117" s="7"/>
      <c r="AU117" s="93"/>
      <c r="AV117" s="7"/>
      <c r="AW117" s="93"/>
      <c r="AX117" s="7"/>
      <c r="AY117" s="93"/>
      <c r="AZ117" s="7"/>
      <c r="BA117" s="93"/>
      <c r="BB117" s="7"/>
      <c r="BC117" s="93"/>
      <c r="BD117" s="7"/>
      <c r="BE117" s="93"/>
      <c r="BF117" s="94">
        <f t="shared" si="107"/>
        <v>0</v>
      </c>
      <c r="BG117" s="95">
        <f t="shared" si="108"/>
        <v>0</v>
      </c>
      <c r="BH117" s="7"/>
      <c r="BI117" s="93"/>
      <c r="BJ117" s="7"/>
      <c r="BK117" s="93"/>
      <c r="BL117" s="7"/>
      <c r="BM117" s="93"/>
      <c r="BN117" s="7"/>
      <c r="BO117" s="93"/>
      <c r="BP117" s="7"/>
      <c r="BQ117" s="93"/>
      <c r="BR117" s="7"/>
      <c r="BS117" s="93"/>
      <c r="BT117" s="7"/>
      <c r="BU117" s="93"/>
      <c r="BV117" s="7"/>
      <c r="BW117" s="93"/>
      <c r="BX117" s="7"/>
      <c r="BY117" s="93"/>
      <c r="BZ117" s="7"/>
      <c r="CA117" s="93"/>
      <c r="CB117" s="7"/>
      <c r="CC117" s="93"/>
      <c r="CD117" s="7"/>
      <c r="CE117" s="93"/>
      <c r="CF117" s="94">
        <f t="shared" si="109"/>
        <v>0</v>
      </c>
      <c r="CG117" s="95">
        <f t="shared" si="110"/>
        <v>0</v>
      </c>
      <c r="CH117" s="7"/>
      <c r="CI117" s="93">
        <f t="shared" si="111"/>
        <v>0</v>
      </c>
      <c r="CJ117" s="7"/>
      <c r="CK117" s="93">
        <f t="shared" si="112"/>
        <v>0</v>
      </c>
      <c r="CL117" s="7"/>
      <c r="CM117" s="93">
        <f t="shared" si="113"/>
        <v>0</v>
      </c>
      <c r="CN117" s="7"/>
      <c r="CO117" s="93">
        <f t="shared" si="114"/>
        <v>0</v>
      </c>
      <c r="CP117" s="7"/>
      <c r="CQ117" s="93">
        <f t="shared" si="115"/>
        <v>0</v>
      </c>
      <c r="CR117" s="7">
        <v>6144</v>
      </c>
      <c r="CS117" s="93">
        <f t="shared" si="116"/>
        <v>3686.3999999999996</v>
      </c>
      <c r="CT117" s="7">
        <v>4080</v>
      </c>
      <c r="CU117" s="93">
        <f t="shared" si="117"/>
        <v>2448</v>
      </c>
      <c r="CV117" s="7">
        <v>1485</v>
      </c>
      <c r="CW117" s="93">
        <f t="shared" si="118"/>
        <v>891</v>
      </c>
      <c r="CX117" s="7">
        <v>2172</v>
      </c>
      <c r="CY117" s="93">
        <v>1303.2</v>
      </c>
      <c r="CZ117" s="7">
        <v>312</v>
      </c>
      <c r="DA117" s="93">
        <v>187.2</v>
      </c>
      <c r="DB117" s="7">
        <v>1488</v>
      </c>
      <c r="DC117" s="93">
        <v>892.8</v>
      </c>
      <c r="DD117" s="7">
        <v>780</v>
      </c>
      <c r="DE117" s="93">
        <v>468</v>
      </c>
      <c r="DF117" s="97">
        <f t="shared" si="104"/>
        <v>16461</v>
      </c>
      <c r="DG117" s="98">
        <f t="shared" si="119"/>
        <v>9876.6</v>
      </c>
      <c r="DH117" s="79">
        <v>1044</v>
      </c>
      <c r="DI117" s="79">
        <v>626.4</v>
      </c>
      <c r="DJ117" s="154">
        <v>1008</v>
      </c>
      <c r="DK117" s="212">
        <f t="shared" si="201"/>
        <v>604.79999999999995</v>
      </c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99">
        <f t="shared" si="120"/>
        <v>2052</v>
      </c>
      <c r="EG117" s="99">
        <f t="shared" si="121"/>
        <v>1231.1999999999998</v>
      </c>
    </row>
    <row r="118" spans="1:137" ht="20.100000000000001" customHeight="1">
      <c r="A118" s="63">
        <v>94</v>
      </c>
      <c r="B118" s="63" t="s">
        <v>198</v>
      </c>
      <c r="C118" s="63" t="s">
        <v>14</v>
      </c>
      <c r="D118" s="63"/>
      <c r="E118" s="63">
        <v>0.64</v>
      </c>
      <c r="F118" s="63" t="s">
        <v>25</v>
      </c>
      <c r="G118" s="63">
        <v>830</v>
      </c>
      <c r="H118" s="7"/>
      <c r="I118" s="93"/>
      <c r="J118" s="7"/>
      <c r="K118" s="93"/>
      <c r="L118" s="7"/>
      <c r="M118" s="93"/>
      <c r="N118" s="7"/>
      <c r="O118" s="93"/>
      <c r="P118" s="7"/>
      <c r="Q118" s="93"/>
      <c r="R118" s="7"/>
      <c r="S118" s="93"/>
      <c r="T118" s="7"/>
      <c r="U118" s="93"/>
      <c r="V118" s="7"/>
      <c r="W118" s="93"/>
      <c r="X118" s="7"/>
      <c r="Y118" s="93"/>
      <c r="Z118" s="7"/>
      <c r="AA118" s="93"/>
      <c r="AB118" s="7"/>
      <c r="AC118" s="93"/>
      <c r="AD118" s="7"/>
      <c r="AE118" s="93"/>
      <c r="AF118" s="94">
        <f t="shared" si="105"/>
        <v>0</v>
      </c>
      <c r="AG118" s="95">
        <f t="shared" si="106"/>
        <v>0</v>
      </c>
      <c r="AH118" s="7"/>
      <c r="AI118" s="93"/>
      <c r="AJ118" s="7"/>
      <c r="AK118" s="93"/>
      <c r="AL118" s="7"/>
      <c r="AM118" s="93"/>
      <c r="AN118" s="7"/>
      <c r="AO118" s="93"/>
      <c r="AP118" s="7"/>
      <c r="AQ118" s="93"/>
      <c r="AR118" s="7"/>
      <c r="AS118" s="93"/>
      <c r="AT118" s="7"/>
      <c r="AU118" s="93"/>
      <c r="AV118" s="7"/>
      <c r="AW118" s="93"/>
      <c r="AX118" s="7"/>
      <c r="AY118" s="93"/>
      <c r="AZ118" s="7"/>
      <c r="BA118" s="93"/>
      <c r="BB118" s="7"/>
      <c r="BC118" s="93"/>
      <c r="BD118" s="7"/>
      <c r="BE118" s="93"/>
      <c r="BF118" s="94">
        <f t="shared" si="107"/>
        <v>0</v>
      </c>
      <c r="BG118" s="95">
        <f t="shared" si="108"/>
        <v>0</v>
      </c>
      <c r="BH118" s="7"/>
      <c r="BI118" s="93"/>
      <c r="BJ118" s="7"/>
      <c r="BK118" s="93"/>
      <c r="BL118" s="7"/>
      <c r="BM118" s="93"/>
      <c r="BN118" s="7"/>
      <c r="BO118" s="93"/>
      <c r="BP118" s="7"/>
      <c r="BQ118" s="93"/>
      <c r="BR118" s="7"/>
      <c r="BS118" s="93"/>
      <c r="BT118" s="7"/>
      <c r="BU118" s="93"/>
      <c r="BV118" s="7"/>
      <c r="BW118" s="93"/>
      <c r="BX118" s="7"/>
      <c r="BY118" s="93"/>
      <c r="BZ118" s="7"/>
      <c r="CA118" s="93"/>
      <c r="CB118" s="7"/>
      <c r="CC118" s="93"/>
      <c r="CD118" s="7"/>
      <c r="CE118" s="93"/>
      <c r="CF118" s="94">
        <f t="shared" si="109"/>
        <v>0</v>
      </c>
      <c r="CG118" s="95">
        <f t="shared" si="110"/>
        <v>0</v>
      </c>
      <c r="CH118" s="7"/>
      <c r="CI118" s="93">
        <f t="shared" si="111"/>
        <v>0</v>
      </c>
      <c r="CJ118" s="7"/>
      <c r="CK118" s="93">
        <f t="shared" si="112"/>
        <v>0</v>
      </c>
      <c r="CL118" s="7"/>
      <c r="CM118" s="93">
        <f t="shared" si="113"/>
        <v>0</v>
      </c>
      <c r="CN118" s="7">
        <v>4158</v>
      </c>
      <c r="CO118" s="93">
        <f t="shared" si="114"/>
        <v>2661.12</v>
      </c>
      <c r="CP118" s="7">
        <v>10876</v>
      </c>
      <c r="CQ118" s="93">
        <f t="shared" si="115"/>
        <v>6960.64</v>
      </c>
      <c r="CR118" s="7">
        <v>10206</v>
      </c>
      <c r="CS118" s="93">
        <f t="shared" si="116"/>
        <v>6531.84</v>
      </c>
      <c r="CT118" s="7">
        <v>13566</v>
      </c>
      <c r="CU118" s="93">
        <f t="shared" si="117"/>
        <v>8682.24</v>
      </c>
      <c r="CV118" s="7">
        <v>8414</v>
      </c>
      <c r="CW118" s="93">
        <f t="shared" si="118"/>
        <v>5384.96</v>
      </c>
      <c r="CX118" s="7">
        <v>7784</v>
      </c>
      <c r="CY118" s="93">
        <v>4981.76</v>
      </c>
      <c r="CZ118" s="7">
        <v>7994</v>
      </c>
      <c r="DA118" s="93">
        <v>5116.16</v>
      </c>
      <c r="DB118" s="7">
        <v>5334</v>
      </c>
      <c r="DC118" s="93">
        <v>3413.76</v>
      </c>
      <c r="DD118" s="7">
        <v>6454</v>
      </c>
      <c r="DE118" s="93">
        <v>4130.5600000000004</v>
      </c>
      <c r="DF118" s="97">
        <f t="shared" si="104"/>
        <v>74786</v>
      </c>
      <c r="DG118" s="98">
        <f t="shared" si="119"/>
        <v>47863.040000000001</v>
      </c>
      <c r="DH118" s="79">
        <v>5418</v>
      </c>
      <c r="DI118" s="79">
        <v>3467.52</v>
      </c>
      <c r="DJ118" s="154">
        <v>5768</v>
      </c>
      <c r="DK118" s="212">
        <f t="shared" si="201"/>
        <v>3691.52</v>
      </c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99">
        <f t="shared" si="120"/>
        <v>11186</v>
      </c>
      <c r="EG118" s="99">
        <f t="shared" si="121"/>
        <v>7159.04</v>
      </c>
    </row>
    <row r="119" spans="1:137" ht="20.100000000000001" customHeight="1">
      <c r="A119" s="63"/>
      <c r="B119" s="63"/>
      <c r="C119" s="63"/>
      <c r="D119" s="63"/>
      <c r="E119" s="63"/>
      <c r="F119" s="63"/>
      <c r="G119" s="63"/>
      <c r="H119" s="7"/>
      <c r="I119" s="93"/>
      <c r="J119" s="7"/>
      <c r="K119" s="93"/>
      <c r="L119" s="7"/>
      <c r="M119" s="93"/>
      <c r="N119" s="7"/>
      <c r="O119" s="93"/>
      <c r="P119" s="7"/>
      <c r="Q119" s="93"/>
      <c r="R119" s="7"/>
      <c r="S119" s="93"/>
      <c r="T119" s="7"/>
      <c r="U119" s="93"/>
      <c r="V119" s="7"/>
      <c r="W119" s="93"/>
      <c r="X119" s="7"/>
      <c r="Y119" s="93"/>
      <c r="Z119" s="7"/>
      <c r="AA119" s="93"/>
      <c r="AB119" s="7"/>
      <c r="AC119" s="93"/>
      <c r="AD119" s="7"/>
      <c r="AE119" s="93"/>
      <c r="AF119" s="94">
        <f t="shared" si="105"/>
        <v>0</v>
      </c>
      <c r="AG119" s="95">
        <f t="shared" si="106"/>
        <v>0</v>
      </c>
      <c r="AH119" s="7"/>
      <c r="AI119" s="93"/>
      <c r="AJ119" s="7"/>
      <c r="AK119" s="93"/>
      <c r="AL119" s="7"/>
      <c r="AM119" s="93"/>
      <c r="AN119" s="7"/>
      <c r="AO119" s="93"/>
      <c r="AP119" s="7"/>
      <c r="AQ119" s="93"/>
      <c r="AR119" s="7"/>
      <c r="AS119" s="93"/>
      <c r="AT119" s="7"/>
      <c r="AU119" s="93"/>
      <c r="AV119" s="7"/>
      <c r="AW119" s="93"/>
      <c r="AX119" s="7"/>
      <c r="AY119" s="93"/>
      <c r="AZ119" s="7"/>
      <c r="BA119" s="93"/>
      <c r="BB119" s="7"/>
      <c r="BC119" s="93"/>
      <c r="BD119" s="7"/>
      <c r="BE119" s="93"/>
      <c r="BF119" s="94">
        <f t="shared" si="107"/>
        <v>0</v>
      </c>
      <c r="BG119" s="95">
        <f t="shared" si="108"/>
        <v>0</v>
      </c>
      <c r="BH119" s="7"/>
      <c r="BI119" s="93"/>
      <c r="BJ119" s="7"/>
      <c r="BK119" s="93"/>
      <c r="BL119" s="7"/>
      <c r="BM119" s="93"/>
      <c r="BN119" s="7"/>
      <c r="BO119" s="93"/>
      <c r="BP119" s="7"/>
      <c r="BQ119" s="93"/>
      <c r="BR119" s="7"/>
      <c r="BS119" s="93"/>
      <c r="BT119" s="7"/>
      <c r="BU119" s="93"/>
      <c r="BV119" s="7"/>
      <c r="BW119" s="93"/>
      <c r="BX119" s="7"/>
      <c r="BY119" s="93"/>
      <c r="BZ119" s="7"/>
      <c r="CA119" s="93"/>
      <c r="CB119" s="7"/>
      <c r="CC119" s="93"/>
      <c r="CD119" s="7"/>
      <c r="CE119" s="93"/>
      <c r="CF119" s="94">
        <f t="shared" si="109"/>
        <v>0</v>
      </c>
      <c r="CG119" s="95">
        <f t="shared" si="110"/>
        <v>0</v>
      </c>
      <c r="CH119" s="7"/>
      <c r="CI119" s="93">
        <f t="shared" si="111"/>
        <v>0</v>
      </c>
      <c r="CJ119" s="7"/>
      <c r="CK119" s="93">
        <f t="shared" si="112"/>
        <v>0</v>
      </c>
      <c r="CL119" s="7"/>
      <c r="CM119" s="93">
        <f t="shared" si="113"/>
        <v>0</v>
      </c>
      <c r="CN119" s="7"/>
      <c r="CO119" s="93">
        <f t="shared" si="114"/>
        <v>0</v>
      </c>
      <c r="CP119" s="7"/>
      <c r="CQ119" s="93">
        <f t="shared" si="115"/>
        <v>0</v>
      </c>
      <c r="CR119" s="7"/>
      <c r="CS119" s="93">
        <f t="shared" si="116"/>
        <v>0</v>
      </c>
      <c r="CT119" s="7"/>
      <c r="CU119" s="93">
        <f t="shared" si="117"/>
        <v>0</v>
      </c>
      <c r="CV119" s="7"/>
      <c r="CW119" s="93">
        <f t="shared" si="118"/>
        <v>0</v>
      </c>
      <c r="CX119" s="7"/>
      <c r="CY119" s="93">
        <v>0</v>
      </c>
      <c r="CZ119" s="7"/>
      <c r="DA119" s="93">
        <v>0</v>
      </c>
      <c r="DB119" s="7"/>
      <c r="DC119" s="93">
        <v>0</v>
      </c>
      <c r="DD119" s="7"/>
      <c r="DE119" s="93">
        <v>0</v>
      </c>
      <c r="DF119" s="97">
        <f t="shared" si="104"/>
        <v>0</v>
      </c>
      <c r="DG119" s="98">
        <f t="shared" si="119"/>
        <v>0</v>
      </c>
      <c r="DH119" s="79"/>
      <c r="DI119" s="79">
        <v>0</v>
      </c>
      <c r="DJ119" s="154"/>
      <c r="DK119" s="212">
        <f t="shared" si="201"/>
        <v>0</v>
      </c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99">
        <f t="shared" si="120"/>
        <v>0</v>
      </c>
      <c r="EG119" s="99">
        <f t="shared" si="121"/>
        <v>0</v>
      </c>
    </row>
    <row r="120" spans="1:137" ht="20.100000000000001" customHeight="1">
      <c r="A120" s="63">
        <v>95</v>
      </c>
      <c r="B120" s="63" t="s">
        <v>93</v>
      </c>
      <c r="C120" s="63" t="s">
        <v>14</v>
      </c>
      <c r="D120" s="63">
        <v>10</v>
      </c>
      <c r="E120" s="63">
        <v>0.64</v>
      </c>
      <c r="F120" s="63" t="s">
        <v>25</v>
      </c>
      <c r="G120" s="63">
        <v>1330</v>
      </c>
      <c r="H120" s="7">
        <v>20902</v>
      </c>
      <c r="I120" s="93">
        <v>13377.28</v>
      </c>
      <c r="J120" s="7">
        <v>17052</v>
      </c>
      <c r="K120" s="93">
        <v>10913.28</v>
      </c>
      <c r="L120" s="7">
        <v>20062</v>
      </c>
      <c r="M120" s="93">
        <v>12839.68</v>
      </c>
      <c r="N120" s="7">
        <v>15960</v>
      </c>
      <c r="O120" s="93">
        <v>10214.4</v>
      </c>
      <c r="P120" s="7">
        <v>20048</v>
      </c>
      <c r="Q120" s="93">
        <v>12830.720000000001</v>
      </c>
      <c r="R120" s="7">
        <v>16450</v>
      </c>
      <c r="S120" s="93">
        <v>10528</v>
      </c>
      <c r="T120" s="7">
        <v>17010</v>
      </c>
      <c r="U120" s="93">
        <v>10886.4</v>
      </c>
      <c r="V120" s="7">
        <v>15974</v>
      </c>
      <c r="W120" s="93">
        <v>10223.36</v>
      </c>
      <c r="X120" s="7">
        <v>13356</v>
      </c>
      <c r="Y120" s="93">
        <v>8547.84</v>
      </c>
      <c r="Z120" s="7">
        <v>19488</v>
      </c>
      <c r="AA120" s="93">
        <v>12472.32</v>
      </c>
      <c r="AB120" s="7">
        <v>11046</v>
      </c>
      <c r="AC120" s="93">
        <v>7069.4400000000005</v>
      </c>
      <c r="AD120" s="7">
        <v>23226</v>
      </c>
      <c r="AE120" s="93">
        <v>14864.64</v>
      </c>
      <c r="AF120" s="94">
        <v>210574</v>
      </c>
      <c r="AG120" s="95">
        <v>134767.36000000002</v>
      </c>
      <c r="AH120" s="7">
        <v>15862</v>
      </c>
      <c r="AI120" s="93">
        <v>10151.68</v>
      </c>
      <c r="AJ120" s="7">
        <v>16128</v>
      </c>
      <c r="AK120" s="93">
        <v>10321.92</v>
      </c>
      <c r="AL120" s="7">
        <v>15082</v>
      </c>
      <c r="AM120" s="93">
        <v>9652.48</v>
      </c>
      <c r="AN120" s="7">
        <v>17766</v>
      </c>
      <c r="AO120" s="93">
        <v>11370.24</v>
      </c>
      <c r="AP120" s="7">
        <v>11270</v>
      </c>
      <c r="AQ120" s="93">
        <v>7212.8</v>
      </c>
      <c r="AR120" s="7">
        <v>17654</v>
      </c>
      <c r="AS120" s="93">
        <v>11298.56</v>
      </c>
      <c r="AT120" s="7">
        <v>16464</v>
      </c>
      <c r="AU120" s="93">
        <v>10536.960000000001</v>
      </c>
      <c r="AV120" s="7">
        <v>14602</v>
      </c>
      <c r="AW120" s="93">
        <v>9345.2800000000007</v>
      </c>
      <c r="AX120" s="7">
        <v>16268</v>
      </c>
      <c r="AY120" s="93">
        <v>10411.52</v>
      </c>
      <c r="AZ120" s="7">
        <v>14196</v>
      </c>
      <c r="BA120" s="93">
        <v>9085.44</v>
      </c>
      <c r="BB120" s="7">
        <v>11200</v>
      </c>
      <c r="BC120" s="93">
        <v>7168</v>
      </c>
      <c r="BD120" s="7">
        <v>25116</v>
      </c>
      <c r="BE120" s="93">
        <v>16074.24</v>
      </c>
      <c r="BF120" s="94">
        <v>191608</v>
      </c>
      <c r="BG120" s="95">
        <v>122629.12</v>
      </c>
      <c r="BH120" s="7">
        <v>18844</v>
      </c>
      <c r="BI120" s="93">
        <v>12060.16</v>
      </c>
      <c r="BJ120" s="7">
        <v>11788</v>
      </c>
      <c r="BK120" s="93">
        <v>7544.32</v>
      </c>
      <c r="BL120" s="7">
        <v>16646</v>
      </c>
      <c r="BM120" s="93">
        <v>10653.44</v>
      </c>
      <c r="BN120" s="7">
        <v>15669</v>
      </c>
      <c r="BO120" s="93">
        <v>10028.16</v>
      </c>
      <c r="BP120" s="7">
        <v>14661</v>
      </c>
      <c r="BQ120" s="93">
        <v>9383.0400000000009</v>
      </c>
      <c r="BR120" s="7">
        <v>16002</v>
      </c>
      <c r="BS120" s="93">
        <v>10241.280000000001</v>
      </c>
      <c r="BT120" s="7">
        <v>18228</v>
      </c>
      <c r="BU120" s="93">
        <v>11665.92</v>
      </c>
      <c r="BV120" s="7">
        <v>16450</v>
      </c>
      <c r="BW120" s="93">
        <v>10528</v>
      </c>
      <c r="BX120" s="7">
        <v>15610</v>
      </c>
      <c r="BY120" s="93">
        <v>9990.4</v>
      </c>
      <c r="BZ120" s="7">
        <v>16590</v>
      </c>
      <c r="CA120" s="93">
        <v>10617.6</v>
      </c>
      <c r="CB120" s="7">
        <v>17080</v>
      </c>
      <c r="CC120" s="93">
        <v>10931.2</v>
      </c>
      <c r="CD120" s="7">
        <v>20748</v>
      </c>
      <c r="CE120" s="93">
        <v>13278.720000000001</v>
      </c>
      <c r="CF120" s="94">
        <v>198316</v>
      </c>
      <c r="CG120" s="95">
        <v>126922.24000000001</v>
      </c>
      <c r="CH120" s="7">
        <v>16170</v>
      </c>
      <c r="CI120" s="93">
        <v>10348.800000000001</v>
      </c>
      <c r="CJ120" s="7">
        <v>16310</v>
      </c>
      <c r="CK120" s="93">
        <v>10438.4</v>
      </c>
      <c r="CL120" s="7">
        <v>17892</v>
      </c>
      <c r="CM120" s="93">
        <v>11450.880000000001</v>
      </c>
      <c r="CN120" s="7">
        <v>24304</v>
      </c>
      <c r="CO120" s="93">
        <v>15554.56</v>
      </c>
      <c r="CP120" s="7">
        <v>12362</v>
      </c>
      <c r="CQ120" s="93">
        <v>7911.68</v>
      </c>
      <c r="CR120" s="7">
        <v>16254</v>
      </c>
      <c r="CS120" s="93">
        <v>10402.56</v>
      </c>
      <c r="CT120" s="7">
        <v>13622</v>
      </c>
      <c r="CU120" s="93">
        <v>8718.08</v>
      </c>
      <c r="CV120" s="7">
        <v>15515</v>
      </c>
      <c r="CW120" s="93">
        <v>9929.6</v>
      </c>
      <c r="CX120" s="7">
        <v>13034</v>
      </c>
      <c r="CY120" s="93">
        <v>8341.76</v>
      </c>
      <c r="CZ120" s="7">
        <v>16534</v>
      </c>
      <c r="DA120" s="93">
        <v>10581.76</v>
      </c>
      <c r="DB120" s="7">
        <v>13832</v>
      </c>
      <c r="DC120" s="93">
        <v>8852.48</v>
      </c>
      <c r="DD120" s="7">
        <v>17178</v>
      </c>
      <c r="DE120" s="93">
        <v>10993.92</v>
      </c>
      <c r="DF120" s="97">
        <v>193007</v>
      </c>
      <c r="DG120" s="98">
        <v>123524.48</v>
      </c>
      <c r="DH120" s="79">
        <v>20006</v>
      </c>
      <c r="DI120" s="79">
        <v>12803.84</v>
      </c>
      <c r="DJ120" s="154">
        <v>17220</v>
      </c>
      <c r="DK120" s="212">
        <f>DJ120*E120</f>
        <v>11020.800000000001</v>
      </c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99">
        <f t="shared" si="120"/>
        <v>37226</v>
      </c>
      <c r="EG120" s="99">
        <f t="shared" si="121"/>
        <v>23824.639999999999</v>
      </c>
    </row>
    <row r="121" spans="1:137" ht="20.100000000000001" customHeight="1">
      <c r="A121" s="63">
        <v>96</v>
      </c>
      <c r="B121" s="63" t="s">
        <v>93</v>
      </c>
      <c r="C121" s="63" t="s">
        <v>197</v>
      </c>
      <c r="D121" s="63"/>
      <c r="E121" s="63">
        <v>1</v>
      </c>
      <c r="F121" s="63"/>
      <c r="G121" s="63"/>
      <c r="H121" s="7"/>
      <c r="I121" s="93"/>
      <c r="J121" s="7"/>
      <c r="K121" s="93"/>
      <c r="L121" s="7"/>
      <c r="M121" s="93"/>
      <c r="N121" s="7"/>
      <c r="O121" s="93"/>
      <c r="P121" s="7"/>
      <c r="Q121" s="93"/>
      <c r="R121" s="7"/>
      <c r="S121" s="93"/>
      <c r="T121" s="7"/>
      <c r="U121" s="93"/>
      <c r="V121" s="7"/>
      <c r="W121" s="93"/>
      <c r="X121" s="7"/>
      <c r="Y121" s="93"/>
      <c r="Z121" s="7"/>
      <c r="AA121" s="93"/>
      <c r="AB121" s="7"/>
      <c r="AC121" s="93"/>
      <c r="AD121" s="7"/>
      <c r="AE121" s="93"/>
      <c r="AF121" s="94"/>
      <c r="AG121" s="95"/>
      <c r="AH121" s="7"/>
      <c r="AI121" s="93"/>
      <c r="AJ121" s="7"/>
      <c r="AK121" s="93"/>
      <c r="AL121" s="7"/>
      <c r="AM121" s="93"/>
      <c r="AN121" s="7"/>
      <c r="AO121" s="93"/>
      <c r="AP121" s="7"/>
      <c r="AQ121" s="93"/>
      <c r="AR121" s="7"/>
      <c r="AS121" s="93"/>
      <c r="AT121" s="7"/>
      <c r="AU121" s="93"/>
      <c r="AV121" s="7"/>
      <c r="AW121" s="93"/>
      <c r="AX121" s="7"/>
      <c r="AY121" s="93"/>
      <c r="AZ121" s="7"/>
      <c r="BA121" s="93"/>
      <c r="BB121" s="7"/>
      <c r="BC121" s="93"/>
      <c r="BD121" s="7"/>
      <c r="BE121" s="93"/>
      <c r="BF121" s="94"/>
      <c r="BG121" s="95"/>
      <c r="BH121" s="7"/>
      <c r="BI121" s="93"/>
      <c r="BJ121" s="7"/>
      <c r="BK121" s="93"/>
      <c r="BL121" s="7"/>
      <c r="BM121" s="93"/>
      <c r="BN121" s="7"/>
      <c r="BO121" s="93"/>
      <c r="BP121" s="7"/>
      <c r="BQ121" s="93"/>
      <c r="BR121" s="7"/>
      <c r="BS121" s="93"/>
      <c r="BT121" s="7"/>
      <c r="BU121" s="93"/>
      <c r="BV121" s="7"/>
      <c r="BW121" s="93"/>
      <c r="BX121" s="7"/>
      <c r="BY121" s="93"/>
      <c r="BZ121" s="7"/>
      <c r="CA121" s="93"/>
      <c r="CB121" s="7"/>
      <c r="CC121" s="93"/>
      <c r="CD121" s="7"/>
      <c r="CE121" s="93"/>
      <c r="CF121" s="94"/>
      <c r="CG121" s="95"/>
      <c r="CH121" s="7"/>
      <c r="CI121" s="93"/>
      <c r="CJ121" s="7"/>
      <c r="CK121" s="93"/>
      <c r="CL121" s="7"/>
      <c r="CM121" s="93"/>
      <c r="CN121" s="7"/>
      <c r="CO121" s="93"/>
      <c r="CP121" s="7"/>
      <c r="CQ121" s="93"/>
      <c r="CR121" s="7"/>
      <c r="CS121" s="93"/>
      <c r="CT121" s="7"/>
      <c r="CU121" s="93"/>
      <c r="CV121" s="7"/>
      <c r="CW121" s="93"/>
      <c r="CX121" s="7"/>
      <c r="CY121" s="93"/>
      <c r="CZ121" s="7"/>
      <c r="DA121" s="93"/>
      <c r="DB121" s="7"/>
      <c r="DC121" s="93"/>
      <c r="DD121" s="7"/>
      <c r="DE121" s="93"/>
      <c r="DF121" s="97"/>
      <c r="DG121" s="98"/>
      <c r="DH121" s="79"/>
      <c r="DI121" s="79">
        <v>0</v>
      </c>
      <c r="DJ121" s="154"/>
      <c r="DK121" s="212">
        <v>0</v>
      </c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99">
        <f t="shared" si="120"/>
        <v>0</v>
      </c>
      <c r="EG121" s="99">
        <f t="shared" si="121"/>
        <v>0</v>
      </c>
    </row>
    <row r="122" spans="1:137" ht="20.100000000000001" customHeight="1">
      <c r="A122" s="63"/>
      <c r="B122" s="63"/>
      <c r="C122" s="63"/>
      <c r="D122" s="63"/>
      <c r="E122" s="63"/>
      <c r="F122" s="63"/>
      <c r="G122" s="63"/>
      <c r="H122" s="7"/>
      <c r="I122" s="93"/>
      <c r="J122" s="7"/>
      <c r="K122" s="93"/>
      <c r="L122" s="7"/>
      <c r="M122" s="93"/>
      <c r="N122" s="7"/>
      <c r="O122" s="93"/>
      <c r="P122" s="7"/>
      <c r="Q122" s="93"/>
      <c r="R122" s="7"/>
      <c r="S122" s="93"/>
      <c r="T122" s="7"/>
      <c r="U122" s="93"/>
      <c r="V122" s="7"/>
      <c r="W122" s="93"/>
      <c r="X122" s="7"/>
      <c r="Y122" s="93"/>
      <c r="Z122" s="7"/>
      <c r="AA122" s="93"/>
      <c r="AB122" s="7"/>
      <c r="AC122" s="93"/>
      <c r="AD122" s="7"/>
      <c r="AE122" s="93"/>
      <c r="AF122" s="94"/>
      <c r="AG122" s="95"/>
      <c r="AH122" s="7"/>
      <c r="AI122" s="93"/>
      <c r="AJ122" s="7"/>
      <c r="AK122" s="93"/>
      <c r="AL122" s="7"/>
      <c r="AM122" s="93"/>
      <c r="AN122" s="7"/>
      <c r="AO122" s="93"/>
      <c r="AP122" s="7"/>
      <c r="AQ122" s="93"/>
      <c r="AR122" s="7"/>
      <c r="AS122" s="93"/>
      <c r="AT122" s="7"/>
      <c r="AU122" s="93"/>
      <c r="AV122" s="7"/>
      <c r="AW122" s="93"/>
      <c r="AX122" s="7"/>
      <c r="AY122" s="93"/>
      <c r="AZ122" s="7"/>
      <c r="BA122" s="93"/>
      <c r="BB122" s="7"/>
      <c r="BC122" s="93"/>
      <c r="BD122" s="7"/>
      <c r="BE122" s="93"/>
      <c r="BF122" s="94"/>
      <c r="BG122" s="95"/>
      <c r="BH122" s="7"/>
      <c r="BI122" s="93"/>
      <c r="BJ122" s="7"/>
      <c r="BK122" s="93"/>
      <c r="BL122" s="7"/>
      <c r="BM122" s="93"/>
      <c r="BN122" s="7"/>
      <c r="BO122" s="93"/>
      <c r="BP122" s="7"/>
      <c r="BQ122" s="93"/>
      <c r="BR122" s="7"/>
      <c r="BS122" s="93"/>
      <c r="BT122" s="7"/>
      <c r="BU122" s="93"/>
      <c r="BV122" s="7"/>
      <c r="BW122" s="93"/>
      <c r="BX122" s="7"/>
      <c r="BY122" s="93"/>
      <c r="BZ122" s="7"/>
      <c r="CA122" s="93"/>
      <c r="CB122" s="7"/>
      <c r="CC122" s="93"/>
      <c r="CD122" s="7"/>
      <c r="CE122" s="93"/>
      <c r="CF122" s="94"/>
      <c r="CG122" s="95"/>
      <c r="CH122" s="7"/>
      <c r="CI122" s="93"/>
      <c r="CJ122" s="7"/>
      <c r="CK122" s="93"/>
      <c r="CL122" s="7"/>
      <c r="CM122" s="93"/>
      <c r="CN122" s="7"/>
      <c r="CO122" s="93"/>
      <c r="CP122" s="7"/>
      <c r="CQ122" s="93"/>
      <c r="CR122" s="7"/>
      <c r="CS122" s="93"/>
      <c r="CT122" s="7"/>
      <c r="CU122" s="93"/>
      <c r="CV122" s="7"/>
      <c r="CW122" s="93"/>
      <c r="CX122" s="7"/>
      <c r="CY122" s="93"/>
      <c r="CZ122" s="7"/>
      <c r="DA122" s="93"/>
      <c r="DB122" s="7"/>
      <c r="DC122" s="93"/>
      <c r="DD122" s="7"/>
      <c r="DE122" s="93"/>
      <c r="DF122" s="97"/>
      <c r="DG122" s="98"/>
      <c r="DH122" s="79"/>
      <c r="DI122" s="79">
        <v>0</v>
      </c>
      <c r="DJ122" s="154"/>
      <c r="DK122" s="212">
        <v>0</v>
      </c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99">
        <f t="shared" si="120"/>
        <v>0</v>
      </c>
      <c r="EG122" s="99">
        <f t="shared" si="121"/>
        <v>0</v>
      </c>
    </row>
    <row r="123" spans="1:137" ht="20.100000000000001" customHeight="1">
      <c r="A123" s="63">
        <v>97</v>
      </c>
      <c r="B123" s="63" t="s">
        <v>210</v>
      </c>
      <c r="C123" s="63" t="s">
        <v>197</v>
      </c>
      <c r="D123" s="63"/>
      <c r="E123" s="63">
        <v>1</v>
      </c>
      <c r="F123" s="63" t="s">
        <v>90</v>
      </c>
      <c r="G123" s="63"/>
      <c r="H123" s="7"/>
      <c r="I123" s="93"/>
      <c r="J123" s="7"/>
      <c r="K123" s="93"/>
      <c r="L123" s="7"/>
      <c r="M123" s="93"/>
      <c r="N123" s="7"/>
      <c r="O123" s="93"/>
      <c r="P123" s="7"/>
      <c r="Q123" s="93"/>
      <c r="R123" s="7"/>
      <c r="S123" s="93"/>
      <c r="T123" s="7"/>
      <c r="U123" s="93"/>
      <c r="V123" s="7"/>
      <c r="W123" s="93"/>
      <c r="X123" s="7"/>
      <c r="Y123" s="93"/>
      <c r="Z123" s="7"/>
      <c r="AA123" s="93"/>
      <c r="AB123" s="7"/>
      <c r="AC123" s="93"/>
      <c r="AD123" s="7"/>
      <c r="AE123" s="93"/>
      <c r="AF123" s="94"/>
      <c r="AG123" s="95"/>
      <c r="AH123" s="7"/>
      <c r="AI123" s="93"/>
      <c r="AJ123" s="7"/>
      <c r="AK123" s="93"/>
      <c r="AL123" s="7"/>
      <c r="AM123" s="93"/>
      <c r="AN123" s="7"/>
      <c r="AO123" s="93"/>
      <c r="AP123" s="7"/>
      <c r="AQ123" s="93"/>
      <c r="AR123" s="7"/>
      <c r="AS123" s="93"/>
      <c r="AT123" s="7"/>
      <c r="AU123" s="93"/>
      <c r="AV123" s="7"/>
      <c r="AW123" s="93"/>
      <c r="AX123" s="7"/>
      <c r="AY123" s="93"/>
      <c r="AZ123" s="7"/>
      <c r="BA123" s="93"/>
      <c r="BB123" s="7"/>
      <c r="BC123" s="93"/>
      <c r="BD123" s="7"/>
      <c r="BE123" s="93"/>
      <c r="BF123" s="94"/>
      <c r="BG123" s="95"/>
      <c r="BH123" s="7"/>
      <c r="BI123" s="93"/>
      <c r="BJ123" s="7"/>
      <c r="BK123" s="93"/>
      <c r="BL123" s="7"/>
      <c r="BM123" s="93"/>
      <c r="BN123" s="7"/>
      <c r="BO123" s="93"/>
      <c r="BP123" s="7"/>
      <c r="BQ123" s="93"/>
      <c r="BR123" s="7"/>
      <c r="BS123" s="93"/>
      <c r="BT123" s="7"/>
      <c r="BU123" s="93"/>
      <c r="BV123" s="7"/>
      <c r="BW123" s="93"/>
      <c r="BX123" s="7"/>
      <c r="BY123" s="93"/>
      <c r="BZ123" s="7"/>
      <c r="CA123" s="93"/>
      <c r="CB123" s="7"/>
      <c r="CC123" s="93"/>
      <c r="CD123" s="7"/>
      <c r="CE123" s="93"/>
      <c r="CF123" s="94"/>
      <c r="CG123" s="95"/>
      <c r="CH123" s="7"/>
      <c r="CI123" s="93"/>
      <c r="CJ123" s="7"/>
      <c r="CK123" s="93"/>
      <c r="CL123" s="7"/>
      <c r="CM123" s="93"/>
      <c r="CN123" s="7"/>
      <c r="CO123" s="93"/>
      <c r="CP123" s="7"/>
      <c r="CQ123" s="93"/>
      <c r="CR123" s="7"/>
      <c r="CS123" s="93"/>
      <c r="CT123" s="7"/>
      <c r="CU123" s="93"/>
      <c r="CV123" s="7"/>
      <c r="CW123" s="93"/>
      <c r="CX123" s="7"/>
      <c r="CY123" s="93"/>
      <c r="CZ123" s="7"/>
      <c r="DA123" s="93"/>
      <c r="DB123" s="7"/>
      <c r="DC123" s="93">
        <v>0</v>
      </c>
      <c r="DD123" s="7"/>
      <c r="DE123" s="93">
        <v>0</v>
      </c>
      <c r="DF123" s="97">
        <f t="shared" si="104"/>
        <v>0</v>
      </c>
      <c r="DG123" s="98">
        <f t="shared" si="119"/>
        <v>0</v>
      </c>
      <c r="DH123" s="79"/>
      <c r="DI123" s="79">
        <v>0</v>
      </c>
      <c r="DJ123" s="154"/>
      <c r="DK123" s="212">
        <v>0</v>
      </c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99">
        <f t="shared" si="120"/>
        <v>0</v>
      </c>
      <c r="EG123" s="99">
        <f t="shared" si="121"/>
        <v>0</v>
      </c>
    </row>
    <row r="124" spans="1:137" ht="20.100000000000001" customHeight="1">
      <c r="A124" s="63">
        <v>98</v>
      </c>
      <c r="B124" s="63" t="s">
        <v>210</v>
      </c>
      <c r="C124" s="63" t="s">
        <v>197</v>
      </c>
      <c r="D124" s="63"/>
      <c r="E124" s="63"/>
      <c r="F124" s="63" t="s">
        <v>215</v>
      </c>
      <c r="G124" s="63"/>
      <c r="H124" s="7"/>
      <c r="I124" s="93"/>
      <c r="J124" s="7"/>
      <c r="K124" s="93"/>
      <c r="L124" s="7"/>
      <c r="M124" s="93"/>
      <c r="N124" s="7"/>
      <c r="O124" s="93"/>
      <c r="P124" s="7"/>
      <c r="Q124" s="93"/>
      <c r="R124" s="7"/>
      <c r="S124" s="93"/>
      <c r="T124" s="7"/>
      <c r="U124" s="93"/>
      <c r="V124" s="7"/>
      <c r="W124" s="93"/>
      <c r="X124" s="7"/>
      <c r="Y124" s="93"/>
      <c r="Z124" s="7"/>
      <c r="AA124" s="93"/>
      <c r="AB124" s="7"/>
      <c r="AC124" s="93"/>
      <c r="AD124" s="7"/>
      <c r="AE124" s="93"/>
      <c r="AF124" s="94"/>
      <c r="AG124" s="95"/>
      <c r="AH124" s="7"/>
      <c r="AI124" s="93"/>
      <c r="AJ124" s="7"/>
      <c r="AK124" s="93"/>
      <c r="AL124" s="7"/>
      <c r="AM124" s="93"/>
      <c r="AN124" s="7"/>
      <c r="AO124" s="93"/>
      <c r="AP124" s="7"/>
      <c r="AQ124" s="93"/>
      <c r="AR124" s="7"/>
      <c r="AS124" s="93"/>
      <c r="AT124" s="7"/>
      <c r="AU124" s="93"/>
      <c r="AV124" s="7"/>
      <c r="AW124" s="93"/>
      <c r="AX124" s="7"/>
      <c r="AY124" s="93"/>
      <c r="AZ124" s="7"/>
      <c r="BA124" s="93"/>
      <c r="BB124" s="7"/>
      <c r="BC124" s="93"/>
      <c r="BD124" s="7"/>
      <c r="BE124" s="93"/>
      <c r="BF124" s="94"/>
      <c r="BG124" s="95"/>
      <c r="BH124" s="7"/>
      <c r="BI124" s="93"/>
      <c r="BJ124" s="7"/>
      <c r="BK124" s="93"/>
      <c r="BL124" s="7"/>
      <c r="BM124" s="93"/>
      <c r="BN124" s="7"/>
      <c r="BO124" s="93"/>
      <c r="BP124" s="7"/>
      <c r="BQ124" s="93"/>
      <c r="BR124" s="7"/>
      <c r="BS124" s="93"/>
      <c r="BT124" s="7"/>
      <c r="BU124" s="93"/>
      <c r="BV124" s="7"/>
      <c r="BW124" s="93"/>
      <c r="BX124" s="7"/>
      <c r="BY124" s="93"/>
      <c r="BZ124" s="7"/>
      <c r="CA124" s="93"/>
      <c r="CB124" s="7"/>
      <c r="CC124" s="93"/>
      <c r="CD124" s="7"/>
      <c r="CE124" s="93"/>
      <c r="CF124" s="94"/>
      <c r="CG124" s="95"/>
      <c r="CH124" s="7"/>
      <c r="CI124" s="93"/>
      <c r="CJ124" s="7"/>
      <c r="CK124" s="93"/>
      <c r="CL124" s="7"/>
      <c r="CM124" s="93"/>
      <c r="CN124" s="7"/>
      <c r="CO124" s="93"/>
      <c r="CP124" s="7"/>
      <c r="CQ124" s="93"/>
      <c r="CR124" s="7"/>
      <c r="CS124" s="93"/>
      <c r="CT124" s="7"/>
      <c r="CU124" s="93"/>
      <c r="CV124" s="7"/>
      <c r="CW124" s="93"/>
      <c r="CX124" s="7"/>
      <c r="CY124" s="93"/>
      <c r="CZ124" s="7"/>
      <c r="DA124" s="93"/>
      <c r="DB124" s="7"/>
      <c r="DC124" s="93">
        <v>0</v>
      </c>
      <c r="DD124" s="7"/>
      <c r="DE124" s="93">
        <v>0</v>
      </c>
      <c r="DF124" s="97">
        <f t="shared" si="104"/>
        <v>0</v>
      </c>
      <c r="DG124" s="98">
        <f t="shared" si="119"/>
        <v>0</v>
      </c>
      <c r="DH124" s="79"/>
      <c r="DI124" s="79">
        <v>0</v>
      </c>
      <c r="DJ124" s="154"/>
      <c r="DK124" s="212">
        <f t="shared" si="201"/>
        <v>0</v>
      </c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99">
        <f t="shared" si="120"/>
        <v>0</v>
      </c>
      <c r="EG124" s="99">
        <f t="shared" si="121"/>
        <v>0</v>
      </c>
    </row>
    <row r="125" spans="1:137" ht="20.100000000000001" customHeight="1">
      <c r="A125" s="63">
        <v>99</v>
      </c>
      <c r="B125" s="63" t="s">
        <v>238</v>
      </c>
      <c r="C125" s="63"/>
      <c r="D125" s="63"/>
      <c r="E125" s="63"/>
      <c r="F125" s="63"/>
      <c r="G125" s="63"/>
      <c r="H125" s="7"/>
      <c r="I125" s="93"/>
      <c r="J125" s="7"/>
      <c r="K125" s="93"/>
      <c r="L125" s="7"/>
      <c r="M125" s="93"/>
      <c r="N125" s="7"/>
      <c r="O125" s="93"/>
      <c r="P125" s="7"/>
      <c r="Q125" s="93"/>
      <c r="R125" s="7"/>
      <c r="S125" s="93"/>
      <c r="T125" s="7"/>
      <c r="U125" s="93"/>
      <c r="V125" s="7"/>
      <c r="W125" s="93"/>
      <c r="X125" s="7"/>
      <c r="Y125" s="93"/>
      <c r="Z125" s="7"/>
      <c r="AA125" s="93"/>
      <c r="AB125" s="7"/>
      <c r="AC125" s="93"/>
      <c r="AD125" s="7"/>
      <c r="AE125" s="93"/>
      <c r="AF125" s="94"/>
      <c r="AG125" s="95"/>
      <c r="AH125" s="7"/>
      <c r="AI125" s="93"/>
      <c r="AJ125" s="7"/>
      <c r="AK125" s="93"/>
      <c r="AL125" s="7"/>
      <c r="AM125" s="93"/>
      <c r="AN125" s="7"/>
      <c r="AO125" s="93"/>
      <c r="AP125" s="7"/>
      <c r="AQ125" s="93"/>
      <c r="AR125" s="7"/>
      <c r="AS125" s="93"/>
      <c r="AT125" s="7"/>
      <c r="AU125" s="93"/>
      <c r="AV125" s="7"/>
      <c r="AW125" s="93"/>
      <c r="AX125" s="7"/>
      <c r="AY125" s="93"/>
      <c r="AZ125" s="7"/>
      <c r="BA125" s="93"/>
      <c r="BB125" s="7"/>
      <c r="BC125" s="93"/>
      <c r="BD125" s="7"/>
      <c r="BE125" s="93"/>
      <c r="BF125" s="94"/>
      <c r="BG125" s="95"/>
      <c r="BH125" s="7"/>
      <c r="BI125" s="93"/>
      <c r="BJ125" s="7"/>
      <c r="BK125" s="93"/>
      <c r="BL125" s="7"/>
      <c r="BM125" s="93"/>
      <c r="BN125" s="7"/>
      <c r="BO125" s="93"/>
      <c r="BP125" s="7"/>
      <c r="BQ125" s="93"/>
      <c r="BR125" s="7"/>
      <c r="BS125" s="93"/>
      <c r="BT125" s="7"/>
      <c r="BU125" s="93"/>
      <c r="BV125" s="7"/>
      <c r="BW125" s="93"/>
      <c r="BX125" s="7"/>
      <c r="BY125" s="93"/>
      <c r="BZ125" s="7"/>
      <c r="CA125" s="93"/>
      <c r="CB125" s="7"/>
      <c r="CC125" s="93"/>
      <c r="CD125" s="7"/>
      <c r="CE125" s="93"/>
      <c r="CF125" s="94"/>
      <c r="CG125" s="95"/>
      <c r="CH125" s="7"/>
      <c r="CI125" s="93"/>
      <c r="CJ125" s="7"/>
      <c r="CK125" s="93"/>
      <c r="CL125" s="7"/>
      <c r="CM125" s="93"/>
      <c r="CN125" s="7"/>
      <c r="CO125" s="93"/>
      <c r="CP125" s="7"/>
      <c r="CQ125" s="93"/>
      <c r="CR125" s="7"/>
      <c r="CS125" s="93"/>
      <c r="CT125" s="7"/>
      <c r="CU125" s="93"/>
      <c r="CV125" s="7"/>
      <c r="CW125" s="93"/>
      <c r="CX125" s="7"/>
      <c r="CY125" s="93"/>
      <c r="CZ125" s="7"/>
      <c r="DA125" s="93"/>
      <c r="DB125" s="7"/>
      <c r="DC125" s="93"/>
      <c r="DD125" s="7"/>
      <c r="DE125" s="93"/>
      <c r="DF125" s="97"/>
      <c r="DG125" s="98"/>
      <c r="DH125" s="79"/>
      <c r="DI125" s="79"/>
      <c r="DJ125" s="154"/>
      <c r="DK125" s="212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99"/>
      <c r="EG125" s="99"/>
    </row>
    <row r="126" spans="1:137" ht="20.100000000000001" customHeight="1">
      <c r="A126" s="63">
        <v>100</v>
      </c>
      <c r="B126" s="63" t="s">
        <v>239</v>
      </c>
      <c r="C126" s="63"/>
      <c r="D126" s="63"/>
      <c r="E126" s="63"/>
      <c r="F126" s="63"/>
      <c r="G126" s="63"/>
      <c r="H126" s="7"/>
      <c r="I126" s="93"/>
      <c r="J126" s="7"/>
      <c r="K126" s="93"/>
      <c r="L126" s="7"/>
      <c r="M126" s="93"/>
      <c r="N126" s="7"/>
      <c r="O126" s="93"/>
      <c r="P126" s="7"/>
      <c r="Q126" s="93"/>
      <c r="R126" s="7"/>
      <c r="S126" s="93"/>
      <c r="T126" s="7"/>
      <c r="U126" s="93"/>
      <c r="V126" s="7"/>
      <c r="W126" s="93"/>
      <c r="X126" s="7"/>
      <c r="Y126" s="93"/>
      <c r="Z126" s="7"/>
      <c r="AA126" s="93"/>
      <c r="AB126" s="7"/>
      <c r="AC126" s="93"/>
      <c r="AD126" s="7"/>
      <c r="AE126" s="93"/>
      <c r="AF126" s="94"/>
      <c r="AG126" s="95"/>
      <c r="AH126" s="7"/>
      <c r="AI126" s="93"/>
      <c r="AJ126" s="7"/>
      <c r="AK126" s="93"/>
      <c r="AL126" s="7"/>
      <c r="AM126" s="93"/>
      <c r="AN126" s="7"/>
      <c r="AO126" s="93"/>
      <c r="AP126" s="7"/>
      <c r="AQ126" s="93"/>
      <c r="AR126" s="7"/>
      <c r="AS126" s="93"/>
      <c r="AT126" s="7"/>
      <c r="AU126" s="93"/>
      <c r="AV126" s="7"/>
      <c r="AW126" s="93"/>
      <c r="AX126" s="7"/>
      <c r="AY126" s="93"/>
      <c r="AZ126" s="7"/>
      <c r="BA126" s="93"/>
      <c r="BB126" s="7"/>
      <c r="BC126" s="93"/>
      <c r="BD126" s="7"/>
      <c r="BE126" s="93"/>
      <c r="BF126" s="94"/>
      <c r="BG126" s="95"/>
      <c r="BH126" s="7"/>
      <c r="BI126" s="93"/>
      <c r="BJ126" s="7"/>
      <c r="BK126" s="93"/>
      <c r="BL126" s="7"/>
      <c r="BM126" s="93"/>
      <c r="BN126" s="7"/>
      <c r="BO126" s="93"/>
      <c r="BP126" s="7"/>
      <c r="BQ126" s="93"/>
      <c r="BR126" s="7"/>
      <c r="BS126" s="93"/>
      <c r="BT126" s="7"/>
      <c r="BU126" s="93"/>
      <c r="BV126" s="7"/>
      <c r="BW126" s="93"/>
      <c r="BX126" s="7"/>
      <c r="BY126" s="93"/>
      <c r="BZ126" s="7"/>
      <c r="CA126" s="93"/>
      <c r="CB126" s="7"/>
      <c r="CC126" s="93"/>
      <c r="CD126" s="7"/>
      <c r="CE126" s="93"/>
      <c r="CF126" s="94"/>
      <c r="CG126" s="95"/>
      <c r="CH126" s="7"/>
      <c r="CI126" s="93"/>
      <c r="CJ126" s="7"/>
      <c r="CK126" s="93"/>
      <c r="CL126" s="7"/>
      <c r="CM126" s="93"/>
      <c r="CN126" s="7"/>
      <c r="CO126" s="93"/>
      <c r="CP126" s="7"/>
      <c r="CQ126" s="93"/>
      <c r="CR126" s="7"/>
      <c r="CS126" s="93"/>
      <c r="CT126" s="7"/>
      <c r="CU126" s="93"/>
      <c r="CV126" s="7"/>
      <c r="CW126" s="93"/>
      <c r="CX126" s="7"/>
      <c r="CY126" s="93"/>
      <c r="CZ126" s="7"/>
      <c r="DA126" s="93"/>
      <c r="DB126" s="7"/>
      <c r="DC126" s="93"/>
      <c r="DD126" s="7"/>
      <c r="DE126" s="93"/>
      <c r="DF126" s="97"/>
      <c r="DG126" s="98"/>
      <c r="DH126" s="79"/>
      <c r="DI126" s="79"/>
      <c r="DJ126" s="154"/>
      <c r="DK126" s="212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99"/>
      <c r="EG126" s="99"/>
    </row>
    <row r="127" spans="1:137" ht="20.100000000000001" customHeight="1">
      <c r="A127" s="63">
        <v>101</v>
      </c>
      <c r="B127" s="63" t="s">
        <v>211</v>
      </c>
      <c r="C127" s="63" t="s">
        <v>197</v>
      </c>
      <c r="D127" s="63"/>
      <c r="E127" s="63">
        <v>1</v>
      </c>
      <c r="F127" s="63" t="s">
        <v>38</v>
      </c>
      <c r="G127" s="63">
        <v>1600</v>
      </c>
      <c r="H127" s="7"/>
      <c r="I127" s="93"/>
      <c r="J127" s="7"/>
      <c r="K127" s="93"/>
      <c r="L127" s="7"/>
      <c r="M127" s="93"/>
      <c r="N127" s="7"/>
      <c r="O127" s="93"/>
      <c r="P127" s="7"/>
      <c r="Q127" s="93"/>
      <c r="R127" s="7"/>
      <c r="S127" s="93"/>
      <c r="T127" s="7"/>
      <c r="U127" s="93"/>
      <c r="V127" s="7"/>
      <c r="W127" s="93"/>
      <c r="X127" s="7"/>
      <c r="Y127" s="93"/>
      <c r="Z127" s="7"/>
      <c r="AA127" s="93"/>
      <c r="AB127" s="7"/>
      <c r="AC127" s="93"/>
      <c r="AD127" s="7"/>
      <c r="AE127" s="93"/>
      <c r="AF127" s="94"/>
      <c r="AG127" s="95"/>
      <c r="AH127" s="7"/>
      <c r="AI127" s="93"/>
      <c r="AJ127" s="7"/>
      <c r="AK127" s="93"/>
      <c r="AL127" s="7"/>
      <c r="AM127" s="93"/>
      <c r="AN127" s="7"/>
      <c r="AO127" s="93"/>
      <c r="AP127" s="7"/>
      <c r="AQ127" s="93"/>
      <c r="AR127" s="7"/>
      <c r="AS127" s="93"/>
      <c r="AT127" s="7"/>
      <c r="AU127" s="93"/>
      <c r="AV127" s="7"/>
      <c r="AW127" s="93"/>
      <c r="AX127" s="7"/>
      <c r="AY127" s="93"/>
      <c r="AZ127" s="7"/>
      <c r="BA127" s="93"/>
      <c r="BB127" s="7"/>
      <c r="BC127" s="93"/>
      <c r="BD127" s="7"/>
      <c r="BE127" s="93"/>
      <c r="BF127" s="94"/>
      <c r="BG127" s="95"/>
      <c r="BH127" s="7"/>
      <c r="BI127" s="93"/>
      <c r="BJ127" s="7"/>
      <c r="BK127" s="93"/>
      <c r="BL127" s="7"/>
      <c r="BM127" s="93"/>
      <c r="BN127" s="7"/>
      <c r="BO127" s="93"/>
      <c r="BP127" s="7"/>
      <c r="BQ127" s="93"/>
      <c r="BR127" s="7"/>
      <c r="BS127" s="93"/>
      <c r="BT127" s="7"/>
      <c r="BU127" s="93"/>
      <c r="BV127" s="7"/>
      <c r="BW127" s="93"/>
      <c r="BX127" s="7"/>
      <c r="BY127" s="93"/>
      <c r="BZ127" s="7"/>
      <c r="CA127" s="93"/>
      <c r="CB127" s="7"/>
      <c r="CC127" s="93"/>
      <c r="CD127" s="7"/>
      <c r="CE127" s="93"/>
      <c r="CF127" s="94"/>
      <c r="CG127" s="95"/>
      <c r="CH127" s="7"/>
      <c r="CI127" s="93"/>
      <c r="CJ127" s="7"/>
      <c r="CK127" s="93"/>
      <c r="CL127" s="7"/>
      <c r="CM127" s="93"/>
      <c r="CN127" s="7"/>
      <c r="CO127" s="93"/>
      <c r="CP127" s="7"/>
      <c r="CQ127" s="93"/>
      <c r="CR127" s="7"/>
      <c r="CS127" s="93"/>
      <c r="CT127" s="7"/>
      <c r="CU127" s="93"/>
      <c r="CV127" s="7"/>
      <c r="CW127" s="93"/>
      <c r="CX127" s="7"/>
      <c r="CY127" s="93"/>
      <c r="CZ127" s="7">
        <v>447</v>
      </c>
      <c r="DA127" s="93">
        <v>447</v>
      </c>
      <c r="DB127" s="7">
        <v>1195</v>
      </c>
      <c r="DC127" s="93">
        <v>1195</v>
      </c>
      <c r="DD127" s="7">
        <v>396</v>
      </c>
      <c r="DE127" s="93">
        <v>396</v>
      </c>
      <c r="DF127" s="97">
        <f t="shared" si="104"/>
        <v>2038</v>
      </c>
      <c r="DG127" s="98">
        <f t="shared" si="119"/>
        <v>2038</v>
      </c>
      <c r="DH127" s="79">
        <v>1044</v>
      </c>
      <c r="DI127" s="79">
        <v>1044</v>
      </c>
      <c r="DJ127" s="154">
        <v>48</v>
      </c>
      <c r="DK127" s="212">
        <f t="shared" si="201"/>
        <v>48</v>
      </c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99">
        <f t="shared" si="120"/>
        <v>1092</v>
      </c>
      <c r="EG127" s="99">
        <f t="shared" si="121"/>
        <v>1092</v>
      </c>
    </row>
    <row r="128" spans="1:137" ht="20.100000000000001" customHeight="1">
      <c r="A128" s="63">
        <v>102</v>
      </c>
      <c r="B128" s="63" t="s">
        <v>211</v>
      </c>
      <c r="C128" s="63" t="s">
        <v>14</v>
      </c>
      <c r="D128" s="63"/>
      <c r="E128" s="63">
        <v>0.68</v>
      </c>
      <c r="F128" s="63" t="s">
        <v>15</v>
      </c>
      <c r="G128" s="63"/>
      <c r="H128" s="7"/>
      <c r="I128" s="93"/>
      <c r="J128" s="7"/>
      <c r="K128" s="93"/>
      <c r="L128" s="7"/>
      <c r="M128" s="93"/>
      <c r="N128" s="7"/>
      <c r="O128" s="93"/>
      <c r="P128" s="7"/>
      <c r="Q128" s="93"/>
      <c r="R128" s="7"/>
      <c r="S128" s="93"/>
      <c r="T128" s="7"/>
      <c r="U128" s="93"/>
      <c r="V128" s="7"/>
      <c r="W128" s="93"/>
      <c r="X128" s="7"/>
      <c r="Y128" s="93"/>
      <c r="Z128" s="7"/>
      <c r="AA128" s="93"/>
      <c r="AB128" s="7"/>
      <c r="AC128" s="93"/>
      <c r="AD128" s="7"/>
      <c r="AE128" s="93"/>
      <c r="AF128" s="94"/>
      <c r="AG128" s="95"/>
      <c r="AH128" s="7"/>
      <c r="AI128" s="93"/>
      <c r="AJ128" s="7"/>
      <c r="AK128" s="93"/>
      <c r="AL128" s="7"/>
      <c r="AM128" s="93"/>
      <c r="AN128" s="7"/>
      <c r="AO128" s="93"/>
      <c r="AP128" s="7"/>
      <c r="AQ128" s="93"/>
      <c r="AR128" s="7"/>
      <c r="AS128" s="93"/>
      <c r="AT128" s="7"/>
      <c r="AU128" s="93"/>
      <c r="AV128" s="7"/>
      <c r="AW128" s="93"/>
      <c r="AX128" s="7"/>
      <c r="AY128" s="93"/>
      <c r="AZ128" s="7"/>
      <c r="BA128" s="93"/>
      <c r="BB128" s="7"/>
      <c r="BC128" s="93"/>
      <c r="BD128" s="7"/>
      <c r="BE128" s="93"/>
      <c r="BF128" s="94"/>
      <c r="BG128" s="95"/>
      <c r="BH128" s="7"/>
      <c r="BI128" s="93"/>
      <c r="BJ128" s="7"/>
      <c r="BK128" s="93"/>
      <c r="BL128" s="7"/>
      <c r="BM128" s="93"/>
      <c r="BN128" s="7"/>
      <c r="BO128" s="93"/>
      <c r="BP128" s="7"/>
      <c r="BQ128" s="93"/>
      <c r="BR128" s="7"/>
      <c r="BS128" s="93"/>
      <c r="BT128" s="7"/>
      <c r="BU128" s="93"/>
      <c r="BV128" s="7"/>
      <c r="BW128" s="93"/>
      <c r="BX128" s="7"/>
      <c r="BY128" s="93"/>
      <c r="BZ128" s="7"/>
      <c r="CA128" s="93"/>
      <c r="CB128" s="7"/>
      <c r="CC128" s="93"/>
      <c r="CD128" s="7"/>
      <c r="CE128" s="93"/>
      <c r="CF128" s="94"/>
      <c r="CG128" s="95"/>
      <c r="CH128" s="7"/>
      <c r="CI128" s="93"/>
      <c r="CJ128" s="7"/>
      <c r="CK128" s="93"/>
      <c r="CL128" s="7"/>
      <c r="CM128" s="93"/>
      <c r="CN128" s="7"/>
      <c r="CO128" s="93"/>
      <c r="CP128" s="7"/>
      <c r="CQ128" s="93"/>
      <c r="CR128" s="7"/>
      <c r="CS128" s="93"/>
      <c r="CT128" s="7"/>
      <c r="CU128" s="93"/>
      <c r="CV128" s="7"/>
      <c r="CW128" s="93"/>
      <c r="CX128" s="7"/>
      <c r="CY128" s="93"/>
      <c r="CZ128" s="7"/>
      <c r="DA128" s="93">
        <v>0</v>
      </c>
      <c r="DB128" s="7"/>
      <c r="DC128" s="93">
        <v>0</v>
      </c>
      <c r="DD128" s="7"/>
      <c r="DE128" s="93">
        <v>0</v>
      </c>
      <c r="DF128" s="97">
        <f t="shared" si="104"/>
        <v>0</v>
      </c>
      <c r="DG128" s="98">
        <f t="shared" si="119"/>
        <v>0</v>
      </c>
      <c r="DH128" s="79"/>
      <c r="DI128" s="79">
        <v>0</v>
      </c>
      <c r="DJ128" s="154"/>
      <c r="DK128" s="212">
        <f t="shared" si="201"/>
        <v>0</v>
      </c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99">
        <f t="shared" si="120"/>
        <v>0</v>
      </c>
      <c r="EG128" s="99">
        <f t="shared" si="121"/>
        <v>0</v>
      </c>
    </row>
    <row r="129" spans="1:137" ht="20.100000000000001" customHeight="1">
      <c r="A129" s="63">
        <v>103</v>
      </c>
      <c r="B129" s="63" t="s">
        <v>211</v>
      </c>
      <c r="C129" s="63" t="s">
        <v>14</v>
      </c>
      <c r="D129" s="63"/>
      <c r="E129" s="63">
        <v>0.64</v>
      </c>
      <c r="F129" s="63" t="s">
        <v>217</v>
      </c>
      <c r="G129" s="63">
        <v>1500</v>
      </c>
      <c r="H129" s="7"/>
      <c r="I129" s="93"/>
      <c r="J129" s="7"/>
      <c r="K129" s="93"/>
      <c r="L129" s="7"/>
      <c r="M129" s="93"/>
      <c r="N129" s="7"/>
      <c r="O129" s="93"/>
      <c r="P129" s="7"/>
      <c r="Q129" s="93"/>
      <c r="R129" s="7"/>
      <c r="S129" s="93"/>
      <c r="T129" s="7"/>
      <c r="U129" s="93"/>
      <c r="V129" s="7"/>
      <c r="W129" s="93"/>
      <c r="X129" s="7"/>
      <c r="Y129" s="93"/>
      <c r="Z129" s="7"/>
      <c r="AA129" s="93"/>
      <c r="AB129" s="7"/>
      <c r="AC129" s="93"/>
      <c r="AD129" s="7"/>
      <c r="AE129" s="93"/>
      <c r="AF129" s="94"/>
      <c r="AG129" s="95"/>
      <c r="AH129" s="7"/>
      <c r="AI129" s="93"/>
      <c r="AJ129" s="7"/>
      <c r="AK129" s="93"/>
      <c r="AL129" s="7"/>
      <c r="AM129" s="93"/>
      <c r="AN129" s="7"/>
      <c r="AO129" s="93"/>
      <c r="AP129" s="7"/>
      <c r="AQ129" s="93"/>
      <c r="AR129" s="7"/>
      <c r="AS129" s="93"/>
      <c r="AT129" s="7"/>
      <c r="AU129" s="93"/>
      <c r="AV129" s="7"/>
      <c r="AW129" s="93"/>
      <c r="AX129" s="7"/>
      <c r="AY129" s="93"/>
      <c r="AZ129" s="7"/>
      <c r="BA129" s="93"/>
      <c r="BB129" s="7"/>
      <c r="BC129" s="93"/>
      <c r="BD129" s="7"/>
      <c r="BE129" s="93"/>
      <c r="BF129" s="94"/>
      <c r="BG129" s="95"/>
      <c r="BH129" s="7"/>
      <c r="BI129" s="93"/>
      <c r="BJ129" s="7"/>
      <c r="BK129" s="93"/>
      <c r="BL129" s="7"/>
      <c r="BM129" s="93"/>
      <c r="BN129" s="7"/>
      <c r="BO129" s="93"/>
      <c r="BP129" s="7"/>
      <c r="BQ129" s="93"/>
      <c r="BR129" s="7"/>
      <c r="BS129" s="93"/>
      <c r="BT129" s="7"/>
      <c r="BU129" s="93"/>
      <c r="BV129" s="7"/>
      <c r="BW129" s="93"/>
      <c r="BX129" s="7"/>
      <c r="BY129" s="93"/>
      <c r="BZ129" s="7"/>
      <c r="CA129" s="93"/>
      <c r="CB129" s="7"/>
      <c r="CC129" s="93"/>
      <c r="CD129" s="7"/>
      <c r="CE129" s="93"/>
      <c r="CF129" s="94"/>
      <c r="CG129" s="95"/>
      <c r="CH129" s="7"/>
      <c r="CI129" s="93"/>
      <c r="CJ129" s="7"/>
      <c r="CK129" s="93"/>
      <c r="CL129" s="7"/>
      <c r="CM129" s="93"/>
      <c r="CN129" s="7"/>
      <c r="CO129" s="93"/>
      <c r="CP129" s="7"/>
      <c r="CQ129" s="93"/>
      <c r="CR129" s="7"/>
      <c r="CS129" s="93"/>
      <c r="CT129" s="7"/>
      <c r="CU129" s="93"/>
      <c r="CV129" s="7"/>
      <c r="CW129" s="93"/>
      <c r="CX129" s="7"/>
      <c r="CY129" s="93"/>
      <c r="CZ129" s="7">
        <v>97</v>
      </c>
      <c r="DA129" s="93">
        <v>62.08</v>
      </c>
      <c r="DB129" s="7">
        <v>28</v>
      </c>
      <c r="DC129" s="93">
        <v>17.920000000000002</v>
      </c>
      <c r="DD129" s="7"/>
      <c r="DE129" s="93">
        <v>0</v>
      </c>
      <c r="DF129" s="97">
        <f t="shared" si="104"/>
        <v>125</v>
      </c>
      <c r="DG129" s="98">
        <f t="shared" si="119"/>
        <v>80</v>
      </c>
      <c r="DH129" s="79"/>
      <c r="DI129" s="79">
        <v>0</v>
      </c>
      <c r="DJ129" s="154"/>
      <c r="DK129" s="212">
        <f t="shared" si="201"/>
        <v>0</v>
      </c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99">
        <f t="shared" si="120"/>
        <v>0</v>
      </c>
      <c r="EG129" s="99">
        <f t="shared" si="121"/>
        <v>0</v>
      </c>
    </row>
    <row r="130" spans="1:137" ht="20.100000000000001" customHeight="1">
      <c r="A130" s="63">
        <v>104</v>
      </c>
      <c r="B130" s="63" t="s">
        <v>89</v>
      </c>
      <c r="C130" s="63" t="s">
        <v>17</v>
      </c>
      <c r="D130" s="63">
        <f t="shared" ref="D130:D137" si="202">RANK(DF130,$DF$4:$DF$144)</f>
        <v>35</v>
      </c>
      <c r="E130" s="63">
        <v>1</v>
      </c>
      <c r="F130" s="63" t="s">
        <v>90</v>
      </c>
      <c r="G130" s="63"/>
      <c r="H130" s="7"/>
      <c r="I130" s="93">
        <f t="shared" si="174"/>
        <v>0</v>
      </c>
      <c r="J130" s="7"/>
      <c r="K130" s="93">
        <f t="shared" si="174"/>
        <v>0</v>
      </c>
      <c r="L130" s="7"/>
      <c r="M130" s="93">
        <f t="shared" ref="M130:M134" si="203">L130*$E130</f>
        <v>0</v>
      </c>
      <c r="N130" s="7"/>
      <c r="O130" s="93">
        <f t="shared" ref="O130:O134" si="204">N130*$E130</f>
        <v>0</v>
      </c>
      <c r="P130" s="7"/>
      <c r="Q130" s="93">
        <f t="shared" ref="Q130:Q134" si="205">P130*$E130</f>
        <v>0</v>
      </c>
      <c r="R130" s="7"/>
      <c r="S130" s="93">
        <f t="shared" ref="S130:S134" si="206">R130*$E130</f>
        <v>0</v>
      </c>
      <c r="T130" s="7"/>
      <c r="U130" s="93">
        <f t="shared" ref="U130:U134" si="207">T130*$E130</f>
        <v>0</v>
      </c>
      <c r="V130" s="7"/>
      <c r="W130" s="93">
        <f t="shared" ref="W130:W134" si="208">V130*$E130</f>
        <v>0</v>
      </c>
      <c r="X130" s="7"/>
      <c r="Y130" s="93">
        <f t="shared" ref="Y130:Y134" si="209">X130*$E130</f>
        <v>0</v>
      </c>
      <c r="Z130" s="7"/>
      <c r="AA130" s="93">
        <f t="shared" ref="AA130:AA134" si="210">Z130*$E130</f>
        <v>0</v>
      </c>
      <c r="AB130" s="7"/>
      <c r="AC130" s="93">
        <f t="shared" ref="AC130:AC134" si="211">AB130*$E130</f>
        <v>0</v>
      </c>
      <c r="AD130" s="7"/>
      <c r="AE130" s="93">
        <f t="shared" ref="AE130:AE134" si="212">AD130*$E130</f>
        <v>0</v>
      </c>
      <c r="AF130" s="94">
        <f t="shared" si="105"/>
        <v>0</v>
      </c>
      <c r="AG130" s="95">
        <f t="shared" si="106"/>
        <v>0</v>
      </c>
      <c r="AH130" s="7"/>
      <c r="AI130" s="93">
        <f t="shared" si="185"/>
        <v>0</v>
      </c>
      <c r="AJ130" s="7"/>
      <c r="AK130" s="93">
        <f t="shared" si="186"/>
        <v>0</v>
      </c>
      <c r="AL130" s="7"/>
      <c r="AM130" s="93">
        <f t="shared" si="187"/>
        <v>0</v>
      </c>
      <c r="AN130" s="7"/>
      <c r="AO130" s="93">
        <f t="shared" si="188"/>
        <v>0</v>
      </c>
      <c r="AP130" s="7"/>
      <c r="AQ130" s="93">
        <f t="shared" si="189"/>
        <v>0</v>
      </c>
      <c r="AR130" s="7"/>
      <c r="AS130" s="93">
        <f t="shared" si="190"/>
        <v>0</v>
      </c>
      <c r="AT130" s="7"/>
      <c r="AU130" s="93">
        <f t="shared" si="191"/>
        <v>0</v>
      </c>
      <c r="AV130" s="7"/>
      <c r="AW130" s="93">
        <f t="shared" si="192"/>
        <v>0</v>
      </c>
      <c r="AX130" s="7"/>
      <c r="AY130" s="93">
        <f t="shared" si="193"/>
        <v>0</v>
      </c>
      <c r="AZ130" s="7"/>
      <c r="BA130" s="93">
        <f t="shared" si="194"/>
        <v>0</v>
      </c>
      <c r="BB130" s="7"/>
      <c r="BC130" s="93">
        <f t="shared" si="195"/>
        <v>0</v>
      </c>
      <c r="BD130" s="7"/>
      <c r="BE130" s="93">
        <f t="shared" si="196"/>
        <v>0</v>
      </c>
      <c r="BF130" s="94">
        <f t="shared" si="107"/>
        <v>0</v>
      </c>
      <c r="BG130" s="95">
        <f t="shared" si="108"/>
        <v>0</v>
      </c>
      <c r="BH130" s="7"/>
      <c r="BI130" s="93">
        <f t="shared" si="197"/>
        <v>0</v>
      </c>
      <c r="BJ130" s="7"/>
      <c r="BK130" s="93">
        <f t="shared" si="198"/>
        <v>0</v>
      </c>
      <c r="BL130" s="7"/>
      <c r="BM130" s="93">
        <f t="shared" ref="BM130:CA134" si="213">BL130*$E130</f>
        <v>0</v>
      </c>
      <c r="BN130" s="7"/>
      <c r="BO130" s="93">
        <f t="shared" si="213"/>
        <v>0</v>
      </c>
      <c r="BP130" s="7"/>
      <c r="BQ130" s="93">
        <f t="shared" si="213"/>
        <v>0</v>
      </c>
      <c r="BR130" s="7"/>
      <c r="BS130" s="93">
        <f t="shared" si="213"/>
        <v>0</v>
      </c>
      <c r="BT130" s="7"/>
      <c r="BU130" s="93">
        <f t="shared" si="213"/>
        <v>0</v>
      </c>
      <c r="BV130" s="7"/>
      <c r="BW130" s="93">
        <f t="shared" si="213"/>
        <v>0</v>
      </c>
      <c r="BX130" s="7"/>
      <c r="BY130" s="93">
        <f t="shared" si="213"/>
        <v>0</v>
      </c>
      <c r="BZ130" s="7"/>
      <c r="CA130" s="93">
        <f t="shared" si="213"/>
        <v>0</v>
      </c>
      <c r="CB130" s="7"/>
      <c r="CC130" s="93">
        <f t="shared" ref="CC130:CE134" si="214">CB130*$E130</f>
        <v>0</v>
      </c>
      <c r="CD130" s="7"/>
      <c r="CE130" s="93">
        <f t="shared" si="214"/>
        <v>0</v>
      </c>
      <c r="CF130" s="94">
        <f t="shared" si="109"/>
        <v>0</v>
      </c>
      <c r="CG130" s="95">
        <f t="shared" si="110"/>
        <v>0</v>
      </c>
      <c r="CH130" s="7"/>
      <c r="CI130" s="93">
        <f t="shared" si="111"/>
        <v>0</v>
      </c>
      <c r="CJ130" s="7"/>
      <c r="CK130" s="93">
        <f t="shared" si="112"/>
        <v>0</v>
      </c>
      <c r="CL130" s="7"/>
      <c r="CM130" s="93">
        <f t="shared" si="113"/>
        <v>0</v>
      </c>
      <c r="CN130" s="7"/>
      <c r="CO130" s="93">
        <f t="shared" si="114"/>
        <v>0</v>
      </c>
      <c r="CP130" s="7"/>
      <c r="CQ130" s="93">
        <f t="shared" si="115"/>
        <v>0</v>
      </c>
      <c r="CR130" s="7"/>
      <c r="CS130" s="93">
        <f t="shared" si="116"/>
        <v>0</v>
      </c>
      <c r="CT130" s="7"/>
      <c r="CU130" s="93">
        <f t="shared" si="117"/>
        <v>0</v>
      </c>
      <c r="CV130" s="7"/>
      <c r="CW130" s="93">
        <f t="shared" si="118"/>
        <v>0</v>
      </c>
      <c r="CX130" s="7"/>
      <c r="CY130" s="93">
        <v>0</v>
      </c>
      <c r="CZ130" s="7"/>
      <c r="DA130" s="93">
        <v>0</v>
      </c>
      <c r="DB130" s="7"/>
      <c r="DC130" s="93">
        <v>0</v>
      </c>
      <c r="DD130" s="7"/>
      <c r="DE130" s="93">
        <v>0</v>
      </c>
      <c r="DF130" s="97">
        <f t="shared" si="104"/>
        <v>0</v>
      </c>
      <c r="DG130" s="98">
        <f t="shared" si="119"/>
        <v>0</v>
      </c>
      <c r="DH130" s="79"/>
      <c r="DI130" s="79">
        <v>0</v>
      </c>
      <c r="DJ130" s="154"/>
      <c r="DK130" s="212">
        <f t="shared" si="201"/>
        <v>0</v>
      </c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99">
        <f t="shared" si="120"/>
        <v>0</v>
      </c>
      <c r="EG130" s="99">
        <f t="shared" si="121"/>
        <v>0</v>
      </c>
    </row>
    <row r="131" spans="1:137" ht="20.100000000000001" customHeight="1">
      <c r="A131" s="63">
        <v>105</v>
      </c>
      <c r="B131" s="63" t="s">
        <v>91</v>
      </c>
      <c r="C131" s="63" t="s">
        <v>17</v>
      </c>
      <c r="D131" s="63">
        <f t="shared" si="202"/>
        <v>35</v>
      </c>
      <c r="E131" s="63">
        <v>1</v>
      </c>
      <c r="F131" s="63" t="s">
        <v>24</v>
      </c>
      <c r="G131" s="63"/>
      <c r="H131" s="7"/>
      <c r="I131" s="93">
        <f t="shared" si="174"/>
        <v>0</v>
      </c>
      <c r="J131" s="7"/>
      <c r="K131" s="93">
        <f t="shared" si="174"/>
        <v>0</v>
      </c>
      <c r="L131" s="7"/>
      <c r="M131" s="93">
        <f t="shared" si="203"/>
        <v>0</v>
      </c>
      <c r="N131" s="7"/>
      <c r="O131" s="93">
        <f t="shared" si="204"/>
        <v>0</v>
      </c>
      <c r="P131" s="7"/>
      <c r="Q131" s="93">
        <f t="shared" si="205"/>
        <v>0</v>
      </c>
      <c r="R131" s="7"/>
      <c r="S131" s="93">
        <f t="shared" si="206"/>
        <v>0</v>
      </c>
      <c r="T131" s="7"/>
      <c r="U131" s="93">
        <f t="shared" si="207"/>
        <v>0</v>
      </c>
      <c r="V131" s="7"/>
      <c r="W131" s="93">
        <f t="shared" si="208"/>
        <v>0</v>
      </c>
      <c r="X131" s="7"/>
      <c r="Y131" s="93">
        <f t="shared" si="209"/>
        <v>0</v>
      </c>
      <c r="Z131" s="7"/>
      <c r="AA131" s="93">
        <f t="shared" si="210"/>
        <v>0</v>
      </c>
      <c r="AB131" s="7"/>
      <c r="AC131" s="93">
        <f t="shared" si="211"/>
        <v>0</v>
      </c>
      <c r="AD131" s="7"/>
      <c r="AE131" s="93">
        <f t="shared" si="212"/>
        <v>0</v>
      </c>
      <c r="AF131" s="94">
        <f t="shared" si="105"/>
        <v>0</v>
      </c>
      <c r="AG131" s="95">
        <f t="shared" si="106"/>
        <v>0</v>
      </c>
      <c r="AH131" s="7"/>
      <c r="AI131" s="93">
        <f t="shared" si="185"/>
        <v>0</v>
      </c>
      <c r="AJ131" s="7"/>
      <c r="AK131" s="93">
        <f t="shared" si="186"/>
        <v>0</v>
      </c>
      <c r="AL131" s="7"/>
      <c r="AM131" s="93">
        <f t="shared" si="187"/>
        <v>0</v>
      </c>
      <c r="AN131" s="7"/>
      <c r="AO131" s="93">
        <f t="shared" si="188"/>
        <v>0</v>
      </c>
      <c r="AP131" s="7"/>
      <c r="AQ131" s="93">
        <f t="shared" si="189"/>
        <v>0</v>
      </c>
      <c r="AR131" s="7"/>
      <c r="AS131" s="93">
        <f t="shared" si="190"/>
        <v>0</v>
      </c>
      <c r="AT131" s="7"/>
      <c r="AU131" s="93">
        <f t="shared" si="191"/>
        <v>0</v>
      </c>
      <c r="AV131" s="7"/>
      <c r="AW131" s="93">
        <f t="shared" si="192"/>
        <v>0</v>
      </c>
      <c r="AX131" s="7"/>
      <c r="AY131" s="93">
        <f t="shared" si="193"/>
        <v>0</v>
      </c>
      <c r="AZ131" s="7"/>
      <c r="BA131" s="93">
        <f t="shared" si="194"/>
        <v>0</v>
      </c>
      <c r="BB131" s="7"/>
      <c r="BC131" s="93">
        <f t="shared" si="195"/>
        <v>0</v>
      </c>
      <c r="BD131" s="7"/>
      <c r="BE131" s="93">
        <f t="shared" si="196"/>
        <v>0</v>
      </c>
      <c r="BF131" s="94">
        <f t="shared" si="107"/>
        <v>0</v>
      </c>
      <c r="BG131" s="95">
        <f t="shared" si="108"/>
        <v>0</v>
      </c>
      <c r="BH131" s="7"/>
      <c r="BI131" s="93">
        <f t="shared" si="197"/>
        <v>0</v>
      </c>
      <c r="BJ131" s="7"/>
      <c r="BK131" s="93">
        <f t="shared" si="198"/>
        <v>0</v>
      </c>
      <c r="BL131" s="7"/>
      <c r="BM131" s="93">
        <f t="shared" si="213"/>
        <v>0</v>
      </c>
      <c r="BN131" s="7"/>
      <c r="BO131" s="93">
        <f t="shared" si="213"/>
        <v>0</v>
      </c>
      <c r="BP131" s="7"/>
      <c r="BQ131" s="93">
        <f t="shared" si="213"/>
        <v>0</v>
      </c>
      <c r="BR131" s="7"/>
      <c r="BS131" s="93">
        <f t="shared" si="213"/>
        <v>0</v>
      </c>
      <c r="BT131" s="7"/>
      <c r="BU131" s="93">
        <f t="shared" si="213"/>
        <v>0</v>
      </c>
      <c r="BV131" s="7"/>
      <c r="BW131" s="93">
        <f t="shared" si="213"/>
        <v>0</v>
      </c>
      <c r="BX131" s="7"/>
      <c r="BY131" s="93">
        <f t="shared" si="213"/>
        <v>0</v>
      </c>
      <c r="BZ131" s="7"/>
      <c r="CA131" s="93">
        <f t="shared" si="213"/>
        <v>0</v>
      </c>
      <c r="CB131" s="7"/>
      <c r="CC131" s="93">
        <f t="shared" si="214"/>
        <v>0</v>
      </c>
      <c r="CD131" s="7"/>
      <c r="CE131" s="93">
        <f t="shared" si="214"/>
        <v>0</v>
      </c>
      <c r="CF131" s="94">
        <f t="shared" si="109"/>
        <v>0</v>
      </c>
      <c r="CG131" s="95">
        <f t="shared" si="110"/>
        <v>0</v>
      </c>
      <c r="CH131" s="7"/>
      <c r="CI131" s="93">
        <f t="shared" si="111"/>
        <v>0</v>
      </c>
      <c r="CJ131" s="7"/>
      <c r="CK131" s="93">
        <f t="shared" si="112"/>
        <v>0</v>
      </c>
      <c r="CL131" s="7"/>
      <c r="CM131" s="93">
        <f t="shared" si="113"/>
        <v>0</v>
      </c>
      <c r="CN131" s="7"/>
      <c r="CO131" s="93">
        <f t="shared" si="114"/>
        <v>0</v>
      </c>
      <c r="CP131" s="7"/>
      <c r="CQ131" s="93">
        <f t="shared" si="115"/>
        <v>0</v>
      </c>
      <c r="CR131" s="7"/>
      <c r="CS131" s="93">
        <f t="shared" si="116"/>
        <v>0</v>
      </c>
      <c r="CT131" s="7"/>
      <c r="CU131" s="93">
        <f t="shared" si="117"/>
        <v>0</v>
      </c>
      <c r="CV131" s="7"/>
      <c r="CW131" s="93">
        <f t="shared" si="118"/>
        <v>0</v>
      </c>
      <c r="CX131" s="7"/>
      <c r="CY131" s="93">
        <v>0</v>
      </c>
      <c r="CZ131" s="7"/>
      <c r="DA131" s="93">
        <v>0</v>
      </c>
      <c r="DB131" s="7"/>
      <c r="DC131" s="93">
        <v>0</v>
      </c>
      <c r="DD131" s="7"/>
      <c r="DE131" s="93">
        <v>0</v>
      </c>
      <c r="DF131" s="97">
        <f t="shared" si="104"/>
        <v>0</v>
      </c>
      <c r="DG131" s="98">
        <f t="shared" si="119"/>
        <v>0</v>
      </c>
      <c r="DH131" s="79"/>
      <c r="DI131" s="79">
        <v>0</v>
      </c>
      <c r="DJ131" s="154"/>
      <c r="DK131" s="212">
        <f t="shared" si="201"/>
        <v>0</v>
      </c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99">
        <f t="shared" si="120"/>
        <v>0</v>
      </c>
      <c r="EG131" s="99">
        <f t="shared" si="121"/>
        <v>0</v>
      </c>
    </row>
    <row r="132" spans="1:137" ht="20.100000000000001" customHeight="1">
      <c r="A132" s="63">
        <v>106</v>
      </c>
      <c r="B132" s="63" t="s">
        <v>92</v>
      </c>
      <c r="C132" s="63" t="s">
        <v>14</v>
      </c>
      <c r="D132" s="63">
        <f t="shared" si="202"/>
        <v>1</v>
      </c>
      <c r="E132" s="63">
        <v>0.64</v>
      </c>
      <c r="F132" s="63" t="s">
        <v>24</v>
      </c>
      <c r="G132" s="63">
        <v>1330</v>
      </c>
      <c r="H132" s="92">
        <v>201961</v>
      </c>
      <c r="I132" s="93">
        <f t="shared" si="174"/>
        <v>129255.04000000001</v>
      </c>
      <c r="J132" s="92">
        <v>171588</v>
      </c>
      <c r="K132" s="93">
        <f t="shared" si="174"/>
        <v>109816.32000000001</v>
      </c>
      <c r="L132" s="92">
        <v>193632</v>
      </c>
      <c r="M132" s="93">
        <f t="shared" si="203"/>
        <v>123924.48</v>
      </c>
      <c r="N132" s="92">
        <v>167880</v>
      </c>
      <c r="O132" s="93">
        <f t="shared" si="204"/>
        <v>107443.2</v>
      </c>
      <c r="P132" s="92">
        <v>178684</v>
      </c>
      <c r="Q132" s="93">
        <f t="shared" si="205"/>
        <v>114357.76000000001</v>
      </c>
      <c r="R132" s="92">
        <v>175704</v>
      </c>
      <c r="S132" s="93">
        <f t="shared" si="206"/>
        <v>112450.56</v>
      </c>
      <c r="T132" s="92">
        <v>171550</v>
      </c>
      <c r="U132" s="93">
        <f t="shared" si="207"/>
        <v>109792</v>
      </c>
      <c r="V132" s="92">
        <v>188352</v>
      </c>
      <c r="W132" s="93">
        <f t="shared" si="208"/>
        <v>120545.28</v>
      </c>
      <c r="X132" s="92">
        <v>185043</v>
      </c>
      <c r="Y132" s="93">
        <f t="shared" si="209"/>
        <v>118427.52</v>
      </c>
      <c r="Z132" s="92">
        <v>197568</v>
      </c>
      <c r="AA132" s="93">
        <f t="shared" si="210"/>
        <v>126443.52</v>
      </c>
      <c r="AB132" s="92">
        <v>212496</v>
      </c>
      <c r="AC132" s="93">
        <f t="shared" si="211"/>
        <v>135997.44</v>
      </c>
      <c r="AD132" s="92">
        <v>210283</v>
      </c>
      <c r="AE132" s="93">
        <f t="shared" si="212"/>
        <v>134581.12</v>
      </c>
      <c r="AF132" s="94">
        <f t="shared" si="105"/>
        <v>2254741</v>
      </c>
      <c r="AG132" s="95">
        <f t="shared" si="106"/>
        <v>1443034.24</v>
      </c>
      <c r="AH132" s="92">
        <v>186336</v>
      </c>
      <c r="AI132" s="93">
        <f t="shared" si="185"/>
        <v>119255.04000000001</v>
      </c>
      <c r="AJ132" s="92">
        <v>172130</v>
      </c>
      <c r="AK132" s="93">
        <f t="shared" si="186"/>
        <v>110163.2</v>
      </c>
      <c r="AL132" s="92">
        <v>170904</v>
      </c>
      <c r="AM132" s="93">
        <f t="shared" si="187"/>
        <v>109378.56</v>
      </c>
      <c r="AN132" s="92">
        <v>168240</v>
      </c>
      <c r="AO132" s="93">
        <f t="shared" si="188"/>
        <v>107673.60000000001</v>
      </c>
      <c r="AP132" s="92">
        <v>135120</v>
      </c>
      <c r="AQ132" s="93">
        <f t="shared" si="189"/>
        <v>86476.800000000003</v>
      </c>
      <c r="AR132" s="92">
        <v>178344</v>
      </c>
      <c r="AS132" s="93">
        <f t="shared" si="190"/>
        <v>114140.16</v>
      </c>
      <c r="AT132" s="92">
        <v>180288</v>
      </c>
      <c r="AU132" s="93">
        <f t="shared" si="191"/>
        <v>115384.32000000001</v>
      </c>
      <c r="AV132" s="92">
        <v>190538</v>
      </c>
      <c r="AW132" s="93">
        <f t="shared" si="192"/>
        <v>121944.32000000001</v>
      </c>
      <c r="AX132" s="92">
        <v>179088</v>
      </c>
      <c r="AY132" s="93">
        <f t="shared" si="193"/>
        <v>114616.32000000001</v>
      </c>
      <c r="AZ132" s="92">
        <v>213576</v>
      </c>
      <c r="BA132" s="93">
        <f t="shared" si="194"/>
        <v>136688.64000000001</v>
      </c>
      <c r="BB132" s="92">
        <v>201456</v>
      </c>
      <c r="BC132" s="93">
        <f t="shared" si="195"/>
        <v>128931.84</v>
      </c>
      <c r="BD132" s="92">
        <v>221976</v>
      </c>
      <c r="BE132" s="93">
        <f t="shared" si="196"/>
        <v>142064.64000000001</v>
      </c>
      <c r="BF132" s="94">
        <f t="shared" si="107"/>
        <v>2197996</v>
      </c>
      <c r="BG132" s="95">
        <f t="shared" si="108"/>
        <v>1406717.44</v>
      </c>
      <c r="BH132" s="92">
        <v>205104</v>
      </c>
      <c r="BI132" s="93">
        <f t="shared" si="197"/>
        <v>131266.56</v>
      </c>
      <c r="BJ132" s="92">
        <v>188737</v>
      </c>
      <c r="BK132" s="93">
        <f t="shared" si="198"/>
        <v>120791.68000000001</v>
      </c>
      <c r="BL132" s="92">
        <v>178271</v>
      </c>
      <c r="BM132" s="93">
        <f t="shared" si="213"/>
        <v>114093.44</v>
      </c>
      <c r="BN132" s="92">
        <v>172056</v>
      </c>
      <c r="BO132" s="93">
        <f t="shared" si="213"/>
        <v>110115.84</v>
      </c>
      <c r="BP132" s="92">
        <v>191772</v>
      </c>
      <c r="BQ132" s="93">
        <f t="shared" si="213"/>
        <v>122734.08</v>
      </c>
      <c r="BR132" s="92">
        <v>175896</v>
      </c>
      <c r="BS132" s="93">
        <f t="shared" si="213"/>
        <v>112573.44</v>
      </c>
      <c r="BT132" s="92">
        <v>189492</v>
      </c>
      <c r="BU132" s="93">
        <f t="shared" si="213"/>
        <v>121274.88</v>
      </c>
      <c r="BV132" s="92">
        <v>192528</v>
      </c>
      <c r="BW132" s="93">
        <f t="shared" si="213"/>
        <v>123217.92</v>
      </c>
      <c r="BX132" s="92">
        <v>203688</v>
      </c>
      <c r="BY132" s="93">
        <f t="shared" si="213"/>
        <v>130360.32000000001</v>
      </c>
      <c r="BZ132" s="92">
        <v>209141</v>
      </c>
      <c r="CA132" s="93">
        <f t="shared" si="213"/>
        <v>133850.23999999999</v>
      </c>
      <c r="CB132" s="92">
        <v>227352</v>
      </c>
      <c r="CC132" s="93">
        <f t="shared" si="214"/>
        <v>145505.28</v>
      </c>
      <c r="CD132" s="7">
        <v>225907</v>
      </c>
      <c r="CE132" s="93">
        <f t="shared" si="214"/>
        <v>144580.48000000001</v>
      </c>
      <c r="CF132" s="94">
        <f t="shared" si="109"/>
        <v>2359944</v>
      </c>
      <c r="CG132" s="95">
        <f t="shared" si="110"/>
        <v>1510364.1599999999</v>
      </c>
      <c r="CH132" s="7">
        <v>209448</v>
      </c>
      <c r="CI132" s="93">
        <f t="shared" si="111"/>
        <v>134046.72</v>
      </c>
      <c r="CJ132" s="7">
        <v>178916</v>
      </c>
      <c r="CK132" s="93">
        <f t="shared" si="112"/>
        <v>114506.24000000001</v>
      </c>
      <c r="CL132" s="7">
        <v>223786</v>
      </c>
      <c r="CM132" s="93">
        <f t="shared" si="113"/>
        <v>143223.04000000001</v>
      </c>
      <c r="CN132" s="7">
        <v>178440</v>
      </c>
      <c r="CO132" s="93">
        <f t="shared" si="114"/>
        <v>114201.60000000001</v>
      </c>
      <c r="CP132" s="7">
        <v>177984</v>
      </c>
      <c r="CQ132" s="93">
        <f t="shared" si="115"/>
        <v>113909.76000000001</v>
      </c>
      <c r="CR132" s="7">
        <v>190848</v>
      </c>
      <c r="CS132" s="93">
        <f t="shared" si="116"/>
        <v>122142.72</v>
      </c>
      <c r="CT132" s="7">
        <v>194876</v>
      </c>
      <c r="CU132" s="93">
        <f t="shared" si="117"/>
        <v>124720.64</v>
      </c>
      <c r="CV132" s="7">
        <v>182424</v>
      </c>
      <c r="CW132" s="93">
        <f t="shared" si="118"/>
        <v>116751.36</v>
      </c>
      <c r="CX132" s="7">
        <v>185736</v>
      </c>
      <c r="CY132" s="93">
        <v>118871.04000000001</v>
      </c>
      <c r="CZ132" s="7">
        <v>201648</v>
      </c>
      <c r="DA132" s="93">
        <v>129054.72</v>
      </c>
      <c r="DB132" s="7">
        <v>191328</v>
      </c>
      <c r="DC132" s="93">
        <v>122449.92</v>
      </c>
      <c r="DD132" s="7">
        <v>201648</v>
      </c>
      <c r="DE132" s="93">
        <v>129054.72</v>
      </c>
      <c r="DF132" s="97">
        <f t="shared" si="104"/>
        <v>2317082</v>
      </c>
      <c r="DG132" s="98">
        <f t="shared" si="119"/>
        <v>1482932.48</v>
      </c>
      <c r="DH132" s="79">
        <v>185568</v>
      </c>
      <c r="DI132" s="79">
        <v>118763.52</v>
      </c>
      <c r="DJ132" s="154">
        <v>169680</v>
      </c>
      <c r="DK132" s="212">
        <f t="shared" si="201"/>
        <v>108595.2</v>
      </c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99">
        <f t="shared" si="120"/>
        <v>355248</v>
      </c>
      <c r="EG132" s="99">
        <f t="shared" si="121"/>
        <v>227358.72</v>
      </c>
    </row>
    <row r="133" spans="1:137" ht="20.100000000000001" customHeight="1">
      <c r="A133" s="63">
        <v>107</v>
      </c>
      <c r="B133" s="63" t="s">
        <v>94</v>
      </c>
      <c r="C133" s="63" t="s">
        <v>14</v>
      </c>
      <c r="D133" s="63">
        <f t="shared" si="202"/>
        <v>15</v>
      </c>
      <c r="E133" s="63">
        <v>0.64</v>
      </c>
      <c r="F133" s="63" t="s">
        <v>25</v>
      </c>
      <c r="G133" s="63">
        <v>1330</v>
      </c>
      <c r="H133" s="92">
        <v>8544</v>
      </c>
      <c r="I133" s="93">
        <f t="shared" si="174"/>
        <v>5468.16</v>
      </c>
      <c r="J133" s="92">
        <v>9480</v>
      </c>
      <c r="K133" s="93">
        <f t="shared" si="174"/>
        <v>6067.2</v>
      </c>
      <c r="L133" s="92">
        <v>11496</v>
      </c>
      <c r="M133" s="93">
        <f t="shared" si="203"/>
        <v>7357.4400000000005</v>
      </c>
      <c r="N133" s="92">
        <v>7848</v>
      </c>
      <c r="O133" s="93">
        <f t="shared" si="204"/>
        <v>5022.72</v>
      </c>
      <c r="P133" s="92">
        <v>7464</v>
      </c>
      <c r="Q133" s="93">
        <f t="shared" si="205"/>
        <v>4776.96</v>
      </c>
      <c r="R133" s="92">
        <v>8832</v>
      </c>
      <c r="S133" s="93">
        <f t="shared" si="206"/>
        <v>5652.4800000000005</v>
      </c>
      <c r="T133" s="92">
        <v>10368</v>
      </c>
      <c r="U133" s="93">
        <f t="shared" si="207"/>
        <v>6635.52</v>
      </c>
      <c r="V133" s="92">
        <v>10296</v>
      </c>
      <c r="W133" s="93">
        <f t="shared" si="208"/>
        <v>6589.4400000000005</v>
      </c>
      <c r="X133" s="92">
        <v>8378</v>
      </c>
      <c r="Y133" s="93">
        <f t="shared" si="209"/>
        <v>5361.92</v>
      </c>
      <c r="Z133" s="92">
        <v>10320</v>
      </c>
      <c r="AA133" s="93">
        <f t="shared" si="210"/>
        <v>6604.8</v>
      </c>
      <c r="AB133" s="92">
        <v>5712</v>
      </c>
      <c r="AC133" s="93">
        <f t="shared" si="211"/>
        <v>3655.6800000000003</v>
      </c>
      <c r="AD133" s="92">
        <v>10464</v>
      </c>
      <c r="AE133" s="93">
        <f t="shared" si="212"/>
        <v>6696.96</v>
      </c>
      <c r="AF133" s="94">
        <f t="shared" si="105"/>
        <v>109202</v>
      </c>
      <c r="AG133" s="95">
        <f t="shared" si="106"/>
        <v>69889.279999999999</v>
      </c>
      <c r="AH133" s="92">
        <v>13608</v>
      </c>
      <c r="AI133" s="93">
        <f t="shared" si="185"/>
        <v>8709.1200000000008</v>
      </c>
      <c r="AJ133" s="92">
        <v>8376</v>
      </c>
      <c r="AK133" s="93">
        <f t="shared" si="186"/>
        <v>5360.64</v>
      </c>
      <c r="AL133" s="92">
        <v>5904</v>
      </c>
      <c r="AM133" s="93">
        <f t="shared" si="187"/>
        <v>3778.56</v>
      </c>
      <c r="AN133" s="92">
        <v>7968</v>
      </c>
      <c r="AO133" s="93">
        <f t="shared" si="188"/>
        <v>5099.5200000000004</v>
      </c>
      <c r="AP133" s="92">
        <v>6480</v>
      </c>
      <c r="AQ133" s="93">
        <f t="shared" si="189"/>
        <v>4147.2</v>
      </c>
      <c r="AR133" s="92">
        <v>8280</v>
      </c>
      <c r="AS133" s="93">
        <f t="shared" si="190"/>
        <v>5299.2</v>
      </c>
      <c r="AT133" s="92">
        <v>9480</v>
      </c>
      <c r="AU133" s="93">
        <f t="shared" si="191"/>
        <v>6067.2</v>
      </c>
      <c r="AV133" s="92">
        <v>7728</v>
      </c>
      <c r="AW133" s="93">
        <f t="shared" si="192"/>
        <v>4945.92</v>
      </c>
      <c r="AX133" s="92">
        <v>9840</v>
      </c>
      <c r="AY133" s="93">
        <f t="shared" si="193"/>
        <v>6297.6</v>
      </c>
      <c r="AZ133" s="92">
        <v>5688</v>
      </c>
      <c r="BA133" s="93">
        <f t="shared" si="194"/>
        <v>3640.32</v>
      </c>
      <c r="BB133" s="92">
        <v>3552</v>
      </c>
      <c r="BC133" s="93">
        <f t="shared" si="195"/>
        <v>2273.2800000000002</v>
      </c>
      <c r="BD133" s="92">
        <v>6360</v>
      </c>
      <c r="BE133" s="93">
        <f t="shared" si="196"/>
        <v>4070.4</v>
      </c>
      <c r="BF133" s="94">
        <f t="shared" si="107"/>
        <v>93264</v>
      </c>
      <c r="BG133" s="95">
        <f t="shared" si="108"/>
        <v>59688.959999999999</v>
      </c>
      <c r="BH133" s="92">
        <v>8088</v>
      </c>
      <c r="BI133" s="93">
        <f t="shared" si="197"/>
        <v>5176.32</v>
      </c>
      <c r="BJ133" s="92">
        <v>4320</v>
      </c>
      <c r="BK133" s="93">
        <f t="shared" si="198"/>
        <v>2764.8</v>
      </c>
      <c r="BL133" s="92">
        <v>7296</v>
      </c>
      <c r="BM133" s="93">
        <f t="shared" si="213"/>
        <v>4669.4400000000005</v>
      </c>
      <c r="BN133" s="92">
        <v>5184</v>
      </c>
      <c r="BO133" s="93">
        <f t="shared" si="213"/>
        <v>3317.76</v>
      </c>
      <c r="BP133" s="92">
        <v>6432</v>
      </c>
      <c r="BQ133" s="93">
        <f t="shared" si="213"/>
        <v>4116.4800000000005</v>
      </c>
      <c r="BR133" s="92">
        <v>6576</v>
      </c>
      <c r="BS133" s="93">
        <f t="shared" si="213"/>
        <v>4208.6400000000003</v>
      </c>
      <c r="BT133" s="92">
        <v>7464</v>
      </c>
      <c r="BU133" s="93">
        <f t="shared" si="213"/>
        <v>4776.96</v>
      </c>
      <c r="BV133" s="92">
        <v>5064</v>
      </c>
      <c r="BW133" s="93">
        <f t="shared" si="213"/>
        <v>3240.96</v>
      </c>
      <c r="BX133" s="92">
        <v>5832</v>
      </c>
      <c r="BY133" s="93">
        <f t="shared" si="213"/>
        <v>3732.48</v>
      </c>
      <c r="BZ133" s="92">
        <v>5952</v>
      </c>
      <c r="CA133" s="93">
        <f t="shared" si="213"/>
        <v>3809.28</v>
      </c>
      <c r="CB133" s="92">
        <v>6744</v>
      </c>
      <c r="CC133" s="93">
        <f t="shared" si="214"/>
        <v>4316.16</v>
      </c>
      <c r="CD133" s="7">
        <v>7800</v>
      </c>
      <c r="CE133" s="93">
        <f t="shared" si="214"/>
        <v>4992</v>
      </c>
      <c r="CF133" s="94">
        <f t="shared" si="109"/>
        <v>76752</v>
      </c>
      <c r="CG133" s="95">
        <f t="shared" si="110"/>
        <v>49121.279999999999</v>
      </c>
      <c r="CH133" s="7">
        <v>6552</v>
      </c>
      <c r="CI133" s="93">
        <f t="shared" si="111"/>
        <v>4193.28</v>
      </c>
      <c r="CJ133" s="7">
        <v>6624</v>
      </c>
      <c r="CK133" s="93">
        <f t="shared" si="112"/>
        <v>4239.3599999999997</v>
      </c>
      <c r="CL133" s="7">
        <v>9072</v>
      </c>
      <c r="CM133" s="93">
        <f t="shared" si="113"/>
        <v>5806.08</v>
      </c>
      <c r="CN133" s="7">
        <v>4824</v>
      </c>
      <c r="CO133" s="93">
        <f t="shared" si="114"/>
        <v>3087.36</v>
      </c>
      <c r="CP133" s="7">
        <v>7032</v>
      </c>
      <c r="CQ133" s="93">
        <f t="shared" si="115"/>
        <v>4500.4800000000005</v>
      </c>
      <c r="CR133" s="7">
        <v>4800</v>
      </c>
      <c r="CS133" s="93">
        <f t="shared" si="116"/>
        <v>3072</v>
      </c>
      <c r="CT133" s="7">
        <v>6792</v>
      </c>
      <c r="CU133" s="93">
        <f t="shared" si="117"/>
        <v>4346.88</v>
      </c>
      <c r="CV133" s="7">
        <v>4968</v>
      </c>
      <c r="CW133" s="93">
        <f t="shared" si="118"/>
        <v>3179.52</v>
      </c>
      <c r="CX133" s="7">
        <v>6984</v>
      </c>
      <c r="CY133" s="93">
        <v>4469.76</v>
      </c>
      <c r="CZ133" s="7">
        <v>3744</v>
      </c>
      <c r="DA133" s="93">
        <v>2396.16</v>
      </c>
      <c r="DB133" s="7">
        <v>6432</v>
      </c>
      <c r="DC133" s="93">
        <v>4116.4800000000005</v>
      </c>
      <c r="DD133" s="7">
        <v>4632</v>
      </c>
      <c r="DE133" s="93">
        <v>2964.48</v>
      </c>
      <c r="DF133" s="97">
        <f t="shared" si="104"/>
        <v>72456</v>
      </c>
      <c r="DG133" s="98">
        <f t="shared" si="119"/>
        <v>46371.840000000004</v>
      </c>
      <c r="DH133" s="79">
        <v>7032</v>
      </c>
      <c r="DI133" s="79">
        <v>4500.4800000000005</v>
      </c>
      <c r="DJ133" s="154">
        <v>3600</v>
      </c>
      <c r="DK133" s="212">
        <f t="shared" si="201"/>
        <v>2304</v>
      </c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99">
        <f t="shared" si="120"/>
        <v>10632</v>
      </c>
      <c r="EG133" s="99">
        <f t="shared" si="121"/>
        <v>6804.4800000000005</v>
      </c>
    </row>
    <row r="134" spans="1:137" ht="20.100000000000001" customHeight="1">
      <c r="A134" s="63">
        <v>108</v>
      </c>
      <c r="B134" s="63" t="s">
        <v>95</v>
      </c>
      <c r="C134" s="63" t="s">
        <v>14</v>
      </c>
      <c r="D134" s="63">
        <f t="shared" si="202"/>
        <v>18</v>
      </c>
      <c r="E134" s="63">
        <v>0.64</v>
      </c>
      <c r="F134" s="63" t="s">
        <v>25</v>
      </c>
      <c r="G134" s="63">
        <v>1330</v>
      </c>
      <c r="H134" s="92">
        <v>6050</v>
      </c>
      <c r="I134" s="93">
        <f t="shared" si="174"/>
        <v>3872</v>
      </c>
      <c r="J134" s="92">
        <v>4746</v>
      </c>
      <c r="K134" s="93">
        <f t="shared" si="174"/>
        <v>3037.44</v>
      </c>
      <c r="L134" s="92">
        <v>5572</v>
      </c>
      <c r="M134" s="93">
        <f t="shared" si="203"/>
        <v>3566.08</v>
      </c>
      <c r="N134" s="92">
        <v>5418</v>
      </c>
      <c r="O134" s="93">
        <f t="shared" si="204"/>
        <v>3467.52</v>
      </c>
      <c r="P134" s="92">
        <v>4564</v>
      </c>
      <c r="Q134" s="93">
        <f t="shared" si="205"/>
        <v>2920.96</v>
      </c>
      <c r="R134" s="92">
        <v>5320</v>
      </c>
      <c r="S134" s="93">
        <f t="shared" si="206"/>
        <v>3404.8</v>
      </c>
      <c r="T134" s="92">
        <v>5754</v>
      </c>
      <c r="U134" s="93">
        <f t="shared" si="207"/>
        <v>3682.56</v>
      </c>
      <c r="V134" s="92">
        <v>6328</v>
      </c>
      <c r="W134" s="93">
        <f t="shared" si="208"/>
        <v>4049.92</v>
      </c>
      <c r="X134" s="92">
        <v>3976</v>
      </c>
      <c r="Y134" s="93">
        <f t="shared" si="209"/>
        <v>2544.64</v>
      </c>
      <c r="Z134" s="92">
        <v>5222</v>
      </c>
      <c r="AA134" s="93">
        <f t="shared" si="210"/>
        <v>3342.08</v>
      </c>
      <c r="AB134" s="92">
        <v>5026</v>
      </c>
      <c r="AC134" s="93">
        <f t="shared" si="211"/>
        <v>3216.64</v>
      </c>
      <c r="AD134" s="92">
        <v>5992</v>
      </c>
      <c r="AE134" s="93">
        <f t="shared" si="212"/>
        <v>3834.88</v>
      </c>
      <c r="AF134" s="94">
        <f t="shared" si="105"/>
        <v>63968</v>
      </c>
      <c r="AG134" s="95">
        <f t="shared" si="106"/>
        <v>40939.520000000004</v>
      </c>
      <c r="AH134" s="92">
        <v>5348</v>
      </c>
      <c r="AI134" s="93">
        <f t="shared" si="185"/>
        <v>3422.7200000000003</v>
      </c>
      <c r="AJ134" s="92">
        <v>4774</v>
      </c>
      <c r="AK134" s="93">
        <f t="shared" si="186"/>
        <v>3055.36</v>
      </c>
      <c r="AL134" s="92">
        <v>4704</v>
      </c>
      <c r="AM134" s="93">
        <f t="shared" si="187"/>
        <v>3010.56</v>
      </c>
      <c r="AN134" s="92">
        <v>3710</v>
      </c>
      <c r="AO134" s="93">
        <f t="shared" si="188"/>
        <v>2374.4</v>
      </c>
      <c r="AP134" s="92">
        <v>3836</v>
      </c>
      <c r="AQ134" s="93">
        <f t="shared" si="189"/>
        <v>2455.04</v>
      </c>
      <c r="AR134" s="92">
        <v>3766</v>
      </c>
      <c r="AS134" s="93">
        <f t="shared" si="190"/>
        <v>2410.2400000000002</v>
      </c>
      <c r="AT134" s="92">
        <v>3766</v>
      </c>
      <c r="AU134" s="93">
        <f t="shared" si="191"/>
        <v>2410.2400000000002</v>
      </c>
      <c r="AV134" s="92">
        <v>4438</v>
      </c>
      <c r="AW134" s="93">
        <f t="shared" si="192"/>
        <v>2840.32</v>
      </c>
      <c r="AX134" s="92">
        <v>4200</v>
      </c>
      <c r="AY134" s="93">
        <f t="shared" si="193"/>
        <v>2688</v>
      </c>
      <c r="AZ134" s="92">
        <v>4291</v>
      </c>
      <c r="BA134" s="93">
        <f t="shared" si="194"/>
        <v>2746.2400000000002</v>
      </c>
      <c r="BB134" s="92">
        <v>2030</v>
      </c>
      <c r="BC134" s="93">
        <f t="shared" si="195"/>
        <v>1299.2</v>
      </c>
      <c r="BD134" s="92">
        <v>5082</v>
      </c>
      <c r="BE134" s="93">
        <f t="shared" si="196"/>
        <v>3252.48</v>
      </c>
      <c r="BF134" s="94">
        <f t="shared" si="107"/>
        <v>49945</v>
      </c>
      <c r="BG134" s="95">
        <f t="shared" si="108"/>
        <v>31964.799999999999</v>
      </c>
      <c r="BH134" s="92">
        <v>5096</v>
      </c>
      <c r="BI134" s="93">
        <f t="shared" si="197"/>
        <v>3261.44</v>
      </c>
      <c r="BJ134" s="92">
        <v>3948</v>
      </c>
      <c r="BK134" s="93">
        <f t="shared" si="198"/>
        <v>2526.7200000000003</v>
      </c>
      <c r="BL134" s="92">
        <v>4368</v>
      </c>
      <c r="BM134" s="93">
        <f t="shared" si="213"/>
        <v>2795.52</v>
      </c>
      <c r="BN134" s="92">
        <v>3262</v>
      </c>
      <c r="BO134" s="93">
        <f t="shared" si="213"/>
        <v>2087.6799999999998</v>
      </c>
      <c r="BP134" s="92">
        <v>5068</v>
      </c>
      <c r="BQ134" s="93">
        <f t="shared" si="213"/>
        <v>3243.52</v>
      </c>
      <c r="BR134" s="92">
        <v>3430</v>
      </c>
      <c r="BS134" s="93">
        <f t="shared" si="213"/>
        <v>2195.2000000000003</v>
      </c>
      <c r="BT134" s="92">
        <v>4102</v>
      </c>
      <c r="BU134" s="93">
        <f t="shared" si="213"/>
        <v>2625.28</v>
      </c>
      <c r="BV134" s="92">
        <v>2912</v>
      </c>
      <c r="BW134" s="93">
        <f t="shared" si="213"/>
        <v>1863.68</v>
      </c>
      <c r="BX134" s="92">
        <v>3024</v>
      </c>
      <c r="BY134" s="93">
        <f t="shared" si="213"/>
        <v>1935.3600000000001</v>
      </c>
      <c r="BZ134" s="92">
        <v>3850</v>
      </c>
      <c r="CA134" s="93">
        <f t="shared" si="213"/>
        <v>2464</v>
      </c>
      <c r="CB134" s="92">
        <v>3150</v>
      </c>
      <c r="CC134" s="93">
        <f t="shared" si="214"/>
        <v>2016</v>
      </c>
      <c r="CD134" s="7">
        <v>5110</v>
      </c>
      <c r="CE134" s="93">
        <f t="shared" si="214"/>
        <v>3270.4</v>
      </c>
      <c r="CF134" s="94">
        <f t="shared" si="109"/>
        <v>47320</v>
      </c>
      <c r="CG134" s="95">
        <f t="shared" si="110"/>
        <v>30284.799999999999</v>
      </c>
      <c r="CH134" s="7">
        <v>4690</v>
      </c>
      <c r="CI134" s="93">
        <f t="shared" si="111"/>
        <v>3001.6</v>
      </c>
      <c r="CJ134" s="7">
        <v>5292</v>
      </c>
      <c r="CK134" s="93">
        <f t="shared" si="112"/>
        <v>3386.88</v>
      </c>
      <c r="CL134" s="7">
        <v>2982</v>
      </c>
      <c r="CM134" s="93">
        <f t="shared" si="113"/>
        <v>1908.48</v>
      </c>
      <c r="CN134" s="7">
        <v>4060</v>
      </c>
      <c r="CO134" s="93">
        <f t="shared" si="114"/>
        <v>2598.4</v>
      </c>
      <c r="CP134" s="7">
        <v>2884</v>
      </c>
      <c r="CQ134" s="93">
        <f t="shared" si="115"/>
        <v>1845.76</v>
      </c>
      <c r="CR134" s="7">
        <v>3486</v>
      </c>
      <c r="CS134" s="93">
        <f t="shared" si="116"/>
        <v>2231.04</v>
      </c>
      <c r="CT134" s="7">
        <v>3444</v>
      </c>
      <c r="CU134" s="93">
        <f t="shared" si="117"/>
        <v>2204.16</v>
      </c>
      <c r="CV134" s="7">
        <v>3668</v>
      </c>
      <c r="CW134" s="93">
        <f t="shared" si="118"/>
        <v>2347.52</v>
      </c>
      <c r="CX134" s="7">
        <v>3710</v>
      </c>
      <c r="CY134" s="93">
        <v>2374.4</v>
      </c>
      <c r="CZ134" s="7">
        <v>2940</v>
      </c>
      <c r="DA134" s="93">
        <v>1881.6000000000001</v>
      </c>
      <c r="DB134" s="7">
        <v>4466</v>
      </c>
      <c r="DC134" s="93">
        <v>2858.2400000000002</v>
      </c>
      <c r="DD134" s="7">
        <v>3514</v>
      </c>
      <c r="DE134" s="93">
        <v>2248.96</v>
      </c>
      <c r="DF134" s="97">
        <f t="shared" si="104"/>
        <v>45136</v>
      </c>
      <c r="DG134" s="98">
        <f t="shared" si="119"/>
        <v>28887.040000000001</v>
      </c>
      <c r="DH134" s="79">
        <v>3626</v>
      </c>
      <c r="DI134" s="79">
        <v>2320.64</v>
      </c>
      <c r="DJ134" s="154">
        <v>7392</v>
      </c>
      <c r="DK134" s="212">
        <f t="shared" si="201"/>
        <v>4730.88</v>
      </c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99">
        <f t="shared" si="120"/>
        <v>11018</v>
      </c>
      <c r="EG134" s="99">
        <f t="shared" si="121"/>
        <v>7051.52</v>
      </c>
    </row>
    <row r="135" spans="1:137" ht="20.100000000000001" customHeight="1">
      <c r="A135" s="63">
        <v>109</v>
      </c>
      <c r="B135" s="63" t="s">
        <v>96</v>
      </c>
      <c r="C135" s="63" t="s">
        <v>14</v>
      </c>
      <c r="D135" s="63">
        <f t="shared" si="202"/>
        <v>35</v>
      </c>
      <c r="E135" s="63">
        <v>0.64</v>
      </c>
      <c r="F135" s="63" t="s">
        <v>25</v>
      </c>
      <c r="G135" s="63"/>
      <c r="H135" s="7"/>
      <c r="I135" s="93">
        <f>H135*$E135</f>
        <v>0</v>
      </c>
      <c r="J135" s="7"/>
      <c r="K135" s="93">
        <f>J135*$E135</f>
        <v>0</v>
      </c>
      <c r="L135" s="7"/>
      <c r="M135" s="93">
        <f>L135*$E135</f>
        <v>0</v>
      </c>
      <c r="N135" s="7"/>
      <c r="O135" s="93">
        <f>N135*$E135</f>
        <v>0</v>
      </c>
      <c r="P135" s="7"/>
      <c r="Q135" s="93">
        <f>P135*$E135</f>
        <v>0</v>
      </c>
      <c r="R135" s="7"/>
      <c r="S135" s="93">
        <f>R135*$E135</f>
        <v>0</v>
      </c>
      <c r="T135" s="7"/>
      <c r="U135" s="93">
        <f>T135*$E135</f>
        <v>0</v>
      </c>
      <c r="V135" s="7"/>
      <c r="W135" s="93">
        <f>V135*$E135</f>
        <v>0</v>
      </c>
      <c r="X135" s="7"/>
      <c r="Y135" s="93">
        <f>X135*$E135</f>
        <v>0</v>
      </c>
      <c r="Z135" s="7"/>
      <c r="AA135" s="93">
        <f>Z135*$E135</f>
        <v>0</v>
      </c>
      <c r="AB135" s="7"/>
      <c r="AC135" s="93">
        <f>AB135*$E135</f>
        <v>0</v>
      </c>
      <c r="AD135" s="7"/>
      <c r="AE135" s="93">
        <f>AD135*$E135</f>
        <v>0</v>
      </c>
      <c r="AF135" s="94">
        <f t="shared" si="105"/>
        <v>0</v>
      </c>
      <c r="AG135" s="95">
        <f t="shared" si="106"/>
        <v>0</v>
      </c>
      <c r="AH135" s="7"/>
      <c r="AI135" s="93">
        <f>AH135*$E135</f>
        <v>0</v>
      </c>
      <c r="AJ135" s="7"/>
      <c r="AK135" s="93">
        <f>AJ135*$E135</f>
        <v>0</v>
      </c>
      <c r="AL135" s="7"/>
      <c r="AM135" s="93">
        <f>AL135*$E135</f>
        <v>0</v>
      </c>
      <c r="AN135" s="7"/>
      <c r="AO135" s="93">
        <f>AN135*$E135</f>
        <v>0</v>
      </c>
      <c r="AP135" s="7"/>
      <c r="AQ135" s="93">
        <f>AP135*$E135</f>
        <v>0</v>
      </c>
      <c r="AR135" s="7"/>
      <c r="AS135" s="93">
        <f>AR135*$E135</f>
        <v>0</v>
      </c>
      <c r="AT135" s="7"/>
      <c r="AU135" s="93">
        <f>AT135*$E135</f>
        <v>0</v>
      </c>
      <c r="AV135" s="7"/>
      <c r="AW135" s="93">
        <f>AV135*$E135</f>
        <v>0</v>
      </c>
      <c r="AX135" s="7"/>
      <c r="AY135" s="93">
        <f>AX135*$E135</f>
        <v>0</v>
      </c>
      <c r="AZ135" s="7"/>
      <c r="BA135" s="93">
        <f>AZ135*$E135</f>
        <v>0</v>
      </c>
      <c r="BB135" s="7"/>
      <c r="BC135" s="93">
        <f>BB135*$E135</f>
        <v>0</v>
      </c>
      <c r="BD135" s="7"/>
      <c r="BE135" s="93">
        <f>BD135*$E135</f>
        <v>0</v>
      </c>
      <c r="BF135" s="94">
        <f t="shared" si="107"/>
        <v>0</v>
      </c>
      <c r="BG135" s="95">
        <f t="shared" si="108"/>
        <v>0</v>
      </c>
      <c r="BH135" s="7"/>
      <c r="BI135" s="93">
        <f>BH135*$E135</f>
        <v>0</v>
      </c>
      <c r="BJ135" s="7"/>
      <c r="BK135" s="93">
        <f>BJ135*$E135</f>
        <v>0</v>
      </c>
      <c r="BL135" s="7"/>
      <c r="BM135" s="93">
        <f>BL135*$E135</f>
        <v>0</v>
      </c>
      <c r="BN135" s="7"/>
      <c r="BO135" s="93">
        <f>BN135*$E135</f>
        <v>0</v>
      </c>
      <c r="BP135" s="7"/>
      <c r="BQ135" s="93">
        <f>BP135*$E135</f>
        <v>0</v>
      </c>
      <c r="BR135" s="7"/>
      <c r="BS135" s="93">
        <f>BR135*$E135</f>
        <v>0</v>
      </c>
      <c r="BT135" s="7"/>
      <c r="BU135" s="93">
        <f>BT135*$E135</f>
        <v>0</v>
      </c>
      <c r="BV135" s="7"/>
      <c r="BW135" s="93">
        <f>BV135*$E135</f>
        <v>0</v>
      </c>
      <c r="BX135" s="7"/>
      <c r="BY135" s="93">
        <f>BX135*$E135</f>
        <v>0</v>
      </c>
      <c r="BZ135" s="7"/>
      <c r="CA135" s="93">
        <f>BZ135*$E135</f>
        <v>0</v>
      </c>
      <c r="CB135" s="7"/>
      <c r="CC135" s="93">
        <f>CB135*$E135</f>
        <v>0</v>
      </c>
      <c r="CD135" s="7"/>
      <c r="CE135" s="93">
        <f>CD135*$E135</f>
        <v>0</v>
      </c>
      <c r="CF135" s="94">
        <f t="shared" si="109"/>
        <v>0</v>
      </c>
      <c r="CG135" s="95">
        <f t="shared" si="110"/>
        <v>0</v>
      </c>
      <c r="CH135" s="7"/>
      <c r="CI135" s="93">
        <f t="shared" si="111"/>
        <v>0</v>
      </c>
      <c r="CJ135" s="7"/>
      <c r="CK135" s="93">
        <f t="shared" si="112"/>
        <v>0</v>
      </c>
      <c r="CL135" s="7"/>
      <c r="CM135" s="93">
        <f t="shared" si="113"/>
        <v>0</v>
      </c>
      <c r="CN135" s="7"/>
      <c r="CO135" s="93">
        <f t="shared" si="114"/>
        <v>0</v>
      </c>
      <c r="CP135" s="7"/>
      <c r="CQ135" s="93">
        <f t="shared" si="115"/>
        <v>0</v>
      </c>
      <c r="CR135" s="7"/>
      <c r="CS135" s="93">
        <f t="shared" si="116"/>
        <v>0</v>
      </c>
      <c r="CT135" s="7"/>
      <c r="CU135" s="93">
        <f t="shared" si="117"/>
        <v>0</v>
      </c>
      <c r="CV135" s="7"/>
      <c r="CW135" s="93">
        <f t="shared" si="118"/>
        <v>0</v>
      </c>
      <c r="CX135" s="7"/>
      <c r="CY135" s="93">
        <v>0</v>
      </c>
      <c r="CZ135" s="7"/>
      <c r="DA135" s="93">
        <v>0</v>
      </c>
      <c r="DB135" s="7"/>
      <c r="DC135" s="93">
        <v>0</v>
      </c>
      <c r="DD135" s="7"/>
      <c r="DE135" s="93">
        <v>0</v>
      </c>
      <c r="DF135" s="97">
        <f t="shared" si="104"/>
        <v>0</v>
      </c>
      <c r="DG135" s="98">
        <f t="shared" si="119"/>
        <v>0</v>
      </c>
      <c r="DH135" s="79"/>
      <c r="DI135" s="79">
        <v>0</v>
      </c>
      <c r="DJ135" s="154"/>
      <c r="DK135" s="212">
        <f t="shared" si="201"/>
        <v>0</v>
      </c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99">
        <f t="shared" ref="EF135:EF146" si="215">SUM(DH135,DJ135,DL135,DN135,DP135,DR135,DT135,DV135,DX135,DZ135,EB135,ED135)</f>
        <v>0</v>
      </c>
      <c r="EG135" s="99">
        <f t="shared" ref="EG135:EG146" si="216">SUM(DI135,DK135,DM135,DO135,DQ135,DS135,DU135,DW135,DY135,EA135,EC135,EE135)</f>
        <v>0</v>
      </c>
    </row>
    <row r="136" spans="1:137" ht="20.100000000000001" customHeight="1">
      <c r="A136" s="63">
        <v>110</v>
      </c>
      <c r="B136" s="63" t="s">
        <v>97</v>
      </c>
      <c r="C136" s="63" t="s">
        <v>14</v>
      </c>
      <c r="D136" s="63">
        <f t="shared" si="202"/>
        <v>35</v>
      </c>
      <c r="E136" s="63">
        <v>0.64</v>
      </c>
      <c r="F136" s="63" t="s">
        <v>25</v>
      </c>
      <c r="G136" s="63"/>
      <c r="H136" s="7"/>
      <c r="I136" s="93">
        <f t="shared" ref="I136:K143" si="217">H136*$E136</f>
        <v>0</v>
      </c>
      <c r="J136" s="7"/>
      <c r="K136" s="93">
        <f t="shared" si="217"/>
        <v>0</v>
      </c>
      <c r="L136" s="7"/>
      <c r="M136" s="93">
        <f t="shared" ref="M136:M137" si="218">L136*$E136</f>
        <v>0</v>
      </c>
      <c r="N136" s="7"/>
      <c r="O136" s="93">
        <f t="shared" ref="O136:O137" si="219">N136*$E136</f>
        <v>0</v>
      </c>
      <c r="P136" s="7"/>
      <c r="Q136" s="93">
        <f t="shared" ref="Q136:Q137" si="220">P136*$E136</f>
        <v>0</v>
      </c>
      <c r="R136" s="7"/>
      <c r="S136" s="93">
        <f t="shared" ref="S136:S137" si="221">R136*$E136</f>
        <v>0</v>
      </c>
      <c r="T136" s="7"/>
      <c r="U136" s="93">
        <f t="shared" ref="U136:U137" si="222">T136*$E136</f>
        <v>0</v>
      </c>
      <c r="V136" s="7"/>
      <c r="W136" s="93">
        <f t="shared" ref="W136:W137" si="223">V136*$E136</f>
        <v>0</v>
      </c>
      <c r="X136" s="7"/>
      <c r="Y136" s="93">
        <f t="shared" ref="Y136:Y137" si="224">X136*$E136</f>
        <v>0</v>
      </c>
      <c r="Z136" s="7"/>
      <c r="AA136" s="93">
        <f t="shared" ref="AA136:AA137" si="225">Z136*$E136</f>
        <v>0</v>
      </c>
      <c r="AB136" s="7"/>
      <c r="AC136" s="93">
        <f t="shared" ref="AC136:AC137" si="226">AB136*$E136</f>
        <v>0</v>
      </c>
      <c r="AD136" s="7"/>
      <c r="AE136" s="93">
        <f t="shared" ref="AE136:AE137" si="227">AD136*$E136</f>
        <v>0</v>
      </c>
      <c r="AF136" s="94">
        <f t="shared" si="105"/>
        <v>0</v>
      </c>
      <c r="AG136" s="95">
        <f t="shared" si="106"/>
        <v>0</v>
      </c>
      <c r="AH136" s="7"/>
      <c r="AI136" s="93">
        <f t="shared" ref="AI136:AI143" si="228">AH136*$E136</f>
        <v>0</v>
      </c>
      <c r="AJ136" s="7"/>
      <c r="AK136" s="93">
        <f t="shared" ref="AK136:AK143" si="229">AJ136*$E136</f>
        <v>0</v>
      </c>
      <c r="AL136" s="7"/>
      <c r="AM136" s="93">
        <f t="shared" ref="AM136:AM143" si="230">AL136*$E136</f>
        <v>0</v>
      </c>
      <c r="AN136" s="7"/>
      <c r="AO136" s="93">
        <f t="shared" ref="AO136:AO143" si="231">AN136*$E136</f>
        <v>0</v>
      </c>
      <c r="AP136" s="7"/>
      <c r="AQ136" s="93">
        <f t="shared" ref="AQ136:AQ143" si="232">AP136*$E136</f>
        <v>0</v>
      </c>
      <c r="AR136" s="7"/>
      <c r="AS136" s="93">
        <f t="shared" ref="AS136:AS143" si="233">AR136*$E136</f>
        <v>0</v>
      </c>
      <c r="AT136" s="7"/>
      <c r="AU136" s="93">
        <f t="shared" ref="AU136:AU143" si="234">AT136*$E136</f>
        <v>0</v>
      </c>
      <c r="AV136" s="7"/>
      <c r="AW136" s="93">
        <f t="shared" ref="AW136:AW143" si="235">AV136*$E136</f>
        <v>0</v>
      </c>
      <c r="AX136" s="7"/>
      <c r="AY136" s="93">
        <f t="shared" ref="AY136:AY143" si="236">AX136*$E136</f>
        <v>0</v>
      </c>
      <c r="AZ136" s="7"/>
      <c r="BA136" s="93">
        <f t="shared" ref="BA136:BA143" si="237">AZ136*$E136</f>
        <v>0</v>
      </c>
      <c r="BB136" s="7"/>
      <c r="BC136" s="93">
        <f t="shared" ref="BC136:BC143" si="238">BB136*$E136</f>
        <v>0</v>
      </c>
      <c r="BD136" s="7"/>
      <c r="BE136" s="93">
        <f t="shared" ref="BE136:BE143" si="239">BD136*$E136</f>
        <v>0</v>
      </c>
      <c r="BF136" s="94">
        <f t="shared" si="107"/>
        <v>0</v>
      </c>
      <c r="BG136" s="95">
        <f t="shared" si="108"/>
        <v>0</v>
      </c>
      <c r="BH136" s="7"/>
      <c r="BI136" s="93">
        <f t="shared" ref="BI136:BI143" si="240">BH136*$E136</f>
        <v>0</v>
      </c>
      <c r="BJ136" s="7"/>
      <c r="BK136" s="93">
        <f t="shared" ref="BK136:BK143" si="241">BJ136*$E136</f>
        <v>0</v>
      </c>
      <c r="BL136" s="7"/>
      <c r="BM136" s="93">
        <f t="shared" ref="BM136:CA137" si="242">BL136*$E136</f>
        <v>0</v>
      </c>
      <c r="BN136" s="7"/>
      <c r="BO136" s="93">
        <f t="shared" si="242"/>
        <v>0</v>
      </c>
      <c r="BP136" s="7"/>
      <c r="BQ136" s="93">
        <f t="shared" si="242"/>
        <v>0</v>
      </c>
      <c r="BR136" s="7"/>
      <c r="BS136" s="93">
        <f t="shared" si="242"/>
        <v>0</v>
      </c>
      <c r="BT136" s="7"/>
      <c r="BU136" s="93">
        <f t="shared" si="242"/>
        <v>0</v>
      </c>
      <c r="BV136" s="7"/>
      <c r="BW136" s="93">
        <f t="shared" si="242"/>
        <v>0</v>
      </c>
      <c r="BX136" s="7"/>
      <c r="BY136" s="93">
        <f t="shared" si="242"/>
        <v>0</v>
      </c>
      <c r="BZ136" s="7"/>
      <c r="CA136" s="93">
        <f t="shared" si="242"/>
        <v>0</v>
      </c>
      <c r="CB136" s="7"/>
      <c r="CC136" s="93">
        <f t="shared" ref="CC136:CE137" si="243">CB136*$E136</f>
        <v>0</v>
      </c>
      <c r="CD136" s="7"/>
      <c r="CE136" s="93">
        <f t="shared" si="243"/>
        <v>0</v>
      </c>
      <c r="CF136" s="94">
        <f t="shared" si="109"/>
        <v>0</v>
      </c>
      <c r="CG136" s="95">
        <f t="shared" si="110"/>
        <v>0</v>
      </c>
      <c r="CH136" s="7"/>
      <c r="CI136" s="93">
        <f t="shared" si="111"/>
        <v>0</v>
      </c>
      <c r="CJ136" s="7"/>
      <c r="CK136" s="93">
        <f t="shared" si="112"/>
        <v>0</v>
      </c>
      <c r="CL136" s="7"/>
      <c r="CM136" s="93">
        <f t="shared" si="113"/>
        <v>0</v>
      </c>
      <c r="CN136" s="7"/>
      <c r="CO136" s="93">
        <f t="shared" si="114"/>
        <v>0</v>
      </c>
      <c r="CP136" s="7"/>
      <c r="CQ136" s="93">
        <f t="shared" si="115"/>
        <v>0</v>
      </c>
      <c r="CR136" s="7"/>
      <c r="CS136" s="93">
        <f t="shared" si="116"/>
        <v>0</v>
      </c>
      <c r="CT136" s="7"/>
      <c r="CU136" s="93">
        <f t="shared" si="117"/>
        <v>0</v>
      </c>
      <c r="CV136" s="7"/>
      <c r="CW136" s="93">
        <f t="shared" si="118"/>
        <v>0</v>
      </c>
      <c r="CX136" s="7"/>
      <c r="CY136" s="93">
        <v>0</v>
      </c>
      <c r="CZ136" s="7"/>
      <c r="DA136" s="93">
        <v>0</v>
      </c>
      <c r="DB136" s="7"/>
      <c r="DC136" s="93">
        <v>0</v>
      </c>
      <c r="DD136" s="7"/>
      <c r="DE136" s="93">
        <v>0</v>
      </c>
      <c r="DF136" s="97">
        <f t="shared" si="104"/>
        <v>0</v>
      </c>
      <c r="DG136" s="98">
        <f t="shared" si="119"/>
        <v>0</v>
      </c>
      <c r="DH136" s="79"/>
      <c r="DI136" s="79">
        <v>0</v>
      </c>
      <c r="DJ136" s="154"/>
      <c r="DK136" s="212">
        <f t="shared" si="201"/>
        <v>0</v>
      </c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99">
        <f t="shared" si="215"/>
        <v>0</v>
      </c>
      <c r="EG136" s="99">
        <f t="shared" si="216"/>
        <v>0</v>
      </c>
    </row>
    <row r="137" spans="1:137" ht="20.100000000000001" customHeight="1">
      <c r="A137" s="63">
        <v>111</v>
      </c>
      <c r="B137" s="63" t="s">
        <v>98</v>
      </c>
      <c r="C137" s="63" t="s">
        <v>14</v>
      </c>
      <c r="D137" s="63">
        <f t="shared" si="202"/>
        <v>35</v>
      </c>
      <c r="E137" s="63">
        <v>0.64</v>
      </c>
      <c r="F137" s="63" t="s">
        <v>24</v>
      </c>
      <c r="G137" s="63"/>
      <c r="H137" s="7"/>
      <c r="I137" s="93">
        <f t="shared" si="217"/>
        <v>0</v>
      </c>
      <c r="J137" s="7"/>
      <c r="K137" s="93">
        <f t="shared" si="217"/>
        <v>0</v>
      </c>
      <c r="L137" s="7"/>
      <c r="M137" s="93">
        <f t="shared" si="218"/>
        <v>0</v>
      </c>
      <c r="N137" s="7"/>
      <c r="O137" s="93">
        <f t="shared" si="219"/>
        <v>0</v>
      </c>
      <c r="P137" s="7"/>
      <c r="Q137" s="93">
        <f t="shared" si="220"/>
        <v>0</v>
      </c>
      <c r="R137" s="7"/>
      <c r="S137" s="93">
        <f t="shared" si="221"/>
        <v>0</v>
      </c>
      <c r="T137" s="7"/>
      <c r="U137" s="93">
        <f t="shared" si="222"/>
        <v>0</v>
      </c>
      <c r="V137" s="7"/>
      <c r="W137" s="93">
        <f t="shared" si="223"/>
        <v>0</v>
      </c>
      <c r="X137" s="7"/>
      <c r="Y137" s="93">
        <f t="shared" si="224"/>
        <v>0</v>
      </c>
      <c r="Z137" s="7"/>
      <c r="AA137" s="93">
        <f t="shared" si="225"/>
        <v>0</v>
      </c>
      <c r="AB137" s="7"/>
      <c r="AC137" s="93">
        <f t="shared" si="226"/>
        <v>0</v>
      </c>
      <c r="AD137" s="7"/>
      <c r="AE137" s="93">
        <f t="shared" si="227"/>
        <v>0</v>
      </c>
      <c r="AF137" s="94">
        <f t="shared" si="105"/>
        <v>0</v>
      </c>
      <c r="AG137" s="95">
        <f t="shared" si="106"/>
        <v>0</v>
      </c>
      <c r="AH137" s="7"/>
      <c r="AI137" s="93">
        <f t="shared" si="228"/>
        <v>0</v>
      </c>
      <c r="AJ137" s="7"/>
      <c r="AK137" s="93">
        <f t="shared" si="229"/>
        <v>0</v>
      </c>
      <c r="AL137" s="7"/>
      <c r="AM137" s="93">
        <f t="shared" si="230"/>
        <v>0</v>
      </c>
      <c r="AN137" s="7"/>
      <c r="AO137" s="93">
        <f t="shared" si="231"/>
        <v>0</v>
      </c>
      <c r="AP137" s="7"/>
      <c r="AQ137" s="93">
        <f t="shared" si="232"/>
        <v>0</v>
      </c>
      <c r="AR137" s="7"/>
      <c r="AS137" s="93">
        <f t="shared" si="233"/>
        <v>0</v>
      </c>
      <c r="AT137" s="7"/>
      <c r="AU137" s="93">
        <f t="shared" si="234"/>
        <v>0</v>
      </c>
      <c r="AV137" s="7"/>
      <c r="AW137" s="93">
        <f t="shared" si="235"/>
        <v>0</v>
      </c>
      <c r="AX137" s="7"/>
      <c r="AY137" s="93">
        <f t="shared" si="236"/>
        <v>0</v>
      </c>
      <c r="AZ137" s="7"/>
      <c r="BA137" s="93">
        <f t="shared" si="237"/>
        <v>0</v>
      </c>
      <c r="BB137" s="7"/>
      <c r="BC137" s="93">
        <f t="shared" si="238"/>
        <v>0</v>
      </c>
      <c r="BD137" s="7"/>
      <c r="BE137" s="93">
        <f t="shared" si="239"/>
        <v>0</v>
      </c>
      <c r="BF137" s="94">
        <f t="shared" si="107"/>
        <v>0</v>
      </c>
      <c r="BG137" s="95">
        <f t="shared" si="108"/>
        <v>0</v>
      </c>
      <c r="BH137" s="7"/>
      <c r="BI137" s="93">
        <f t="shared" si="240"/>
        <v>0</v>
      </c>
      <c r="BJ137" s="7"/>
      <c r="BK137" s="93">
        <f t="shared" si="241"/>
        <v>0</v>
      </c>
      <c r="BL137" s="7"/>
      <c r="BM137" s="93">
        <f t="shared" si="242"/>
        <v>0</v>
      </c>
      <c r="BN137" s="7"/>
      <c r="BO137" s="93">
        <f t="shared" si="242"/>
        <v>0</v>
      </c>
      <c r="BP137" s="7"/>
      <c r="BQ137" s="93">
        <f t="shared" si="242"/>
        <v>0</v>
      </c>
      <c r="BR137" s="7"/>
      <c r="BS137" s="93">
        <f t="shared" si="242"/>
        <v>0</v>
      </c>
      <c r="BT137" s="7"/>
      <c r="BU137" s="93">
        <f t="shared" si="242"/>
        <v>0</v>
      </c>
      <c r="BV137" s="7"/>
      <c r="BW137" s="93">
        <f t="shared" si="242"/>
        <v>0</v>
      </c>
      <c r="BX137" s="7"/>
      <c r="BY137" s="93">
        <f t="shared" si="242"/>
        <v>0</v>
      </c>
      <c r="BZ137" s="7"/>
      <c r="CA137" s="93">
        <f t="shared" si="242"/>
        <v>0</v>
      </c>
      <c r="CB137" s="7"/>
      <c r="CC137" s="93">
        <f t="shared" si="243"/>
        <v>0</v>
      </c>
      <c r="CD137" s="7"/>
      <c r="CE137" s="93">
        <f t="shared" si="243"/>
        <v>0</v>
      </c>
      <c r="CF137" s="94">
        <f t="shared" si="109"/>
        <v>0</v>
      </c>
      <c r="CG137" s="95">
        <f t="shared" si="110"/>
        <v>0</v>
      </c>
      <c r="CH137" s="7"/>
      <c r="CI137" s="93">
        <f t="shared" si="111"/>
        <v>0</v>
      </c>
      <c r="CJ137" s="7"/>
      <c r="CK137" s="93">
        <f t="shared" si="112"/>
        <v>0</v>
      </c>
      <c r="CL137" s="7"/>
      <c r="CM137" s="93">
        <f t="shared" si="113"/>
        <v>0</v>
      </c>
      <c r="CN137" s="7"/>
      <c r="CO137" s="93">
        <f t="shared" si="114"/>
        <v>0</v>
      </c>
      <c r="CP137" s="7"/>
      <c r="CQ137" s="93">
        <f t="shared" si="115"/>
        <v>0</v>
      </c>
      <c r="CR137" s="7"/>
      <c r="CS137" s="93">
        <f t="shared" si="116"/>
        <v>0</v>
      </c>
      <c r="CT137" s="7"/>
      <c r="CU137" s="93">
        <f t="shared" si="117"/>
        <v>0</v>
      </c>
      <c r="CV137" s="7"/>
      <c r="CW137" s="93">
        <f t="shared" si="118"/>
        <v>0</v>
      </c>
      <c r="CX137" s="7"/>
      <c r="CY137" s="93">
        <v>0</v>
      </c>
      <c r="CZ137" s="7"/>
      <c r="DA137" s="93">
        <v>0</v>
      </c>
      <c r="DB137" s="7"/>
      <c r="DC137" s="93">
        <v>0</v>
      </c>
      <c r="DD137" s="7"/>
      <c r="DE137" s="93">
        <v>0</v>
      </c>
      <c r="DF137" s="97">
        <f t="shared" si="104"/>
        <v>0</v>
      </c>
      <c r="DG137" s="98">
        <f t="shared" si="119"/>
        <v>0</v>
      </c>
      <c r="DH137" s="79"/>
      <c r="DI137" s="79">
        <v>0</v>
      </c>
      <c r="DJ137" s="154"/>
      <c r="DK137" s="212">
        <f t="shared" si="201"/>
        <v>0</v>
      </c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99">
        <f t="shared" si="215"/>
        <v>0</v>
      </c>
      <c r="EG137" s="99">
        <f t="shared" si="216"/>
        <v>0</v>
      </c>
    </row>
    <row r="138" spans="1:137" ht="20.100000000000001" customHeight="1">
      <c r="A138" s="63">
        <v>112</v>
      </c>
      <c r="B138" s="63" t="s">
        <v>99</v>
      </c>
      <c r="C138" s="63"/>
      <c r="D138" s="63"/>
      <c r="E138" s="63">
        <v>0.64</v>
      </c>
      <c r="F138" s="63"/>
      <c r="G138" s="63"/>
      <c r="H138" s="7"/>
      <c r="I138" s="93"/>
      <c r="J138" s="7"/>
      <c r="K138" s="93"/>
      <c r="L138" s="7"/>
      <c r="M138" s="93"/>
      <c r="N138" s="7"/>
      <c r="O138" s="93"/>
      <c r="P138" s="7"/>
      <c r="Q138" s="93"/>
      <c r="R138" s="7"/>
      <c r="S138" s="93"/>
      <c r="T138" s="7"/>
      <c r="U138" s="93"/>
      <c r="V138" s="7"/>
      <c r="W138" s="93"/>
      <c r="X138" s="7"/>
      <c r="Y138" s="93"/>
      <c r="Z138" s="7"/>
      <c r="AA138" s="93"/>
      <c r="AB138" s="7"/>
      <c r="AC138" s="93"/>
      <c r="AD138" s="7"/>
      <c r="AE138" s="93"/>
      <c r="AF138" s="94">
        <f t="shared" si="105"/>
        <v>0</v>
      </c>
      <c r="AG138" s="95">
        <f t="shared" si="106"/>
        <v>0</v>
      </c>
      <c r="AH138" s="7"/>
      <c r="AI138" s="93"/>
      <c r="AJ138" s="7"/>
      <c r="AK138" s="93"/>
      <c r="AL138" s="7"/>
      <c r="AM138" s="93"/>
      <c r="AN138" s="7"/>
      <c r="AO138" s="93"/>
      <c r="AP138" s="7"/>
      <c r="AQ138" s="93"/>
      <c r="AR138" s="7"/>
      <c r="AS138" s="93"/>
      <c r="AT138" s="7"/>
      <c r="AU138" s="93"/>
      <c r="AV138" s="7"/>
      <c r="AW138" s="93"/>
      <c r="AX138" s="7"/>
      <c r="AY138" s="93"/>
      <c r="AZ138" s="7"/>
      <c r="BA138" s="93"/>
      <c r="BB138" s="7"/>
      <c r="BC138" s="93"/>
      <c r="BD138" s="7"/>
      <c r="BE138" s="93"/>
      <c r="BF138" s="94">
        <f t="shared" si="107"/>
        <v>0</v>
      </c>
      <c r="BG138" s="95">
        <f t="shared" si="108"/>
        <v>0</v>
      </c>
      <c r="BH138" s="7"/>
      <c r="BI138" s="93"/>
      <c r="BJ138" s="7"/>
      <c r="BK138" s="93"/>
      <c r="BL138" s="7"/>
      <c r="BM138" s="93"/>
      <c r="BN138" s="7"/>
      <c r="BO138" s="93"/>
      <c r="BP138" s="7"/>
      <c r="BQ138" s="93"/>
      <c r="BR138" s="7"/>
      <c r="BS138" s="93"/>
      <c r="BT138" s="7"/>
      <c r="BU138" s="93"/>
      <c r="BV138" s="7"/>
      <c r="BW138" s="93"/>
      <c r="BX138" s="7"/>
      <c r="BY138" s="93"/>
      <c r="BZ138" s="7"/>
      <c r="CA138" s="93"/>
      <c r="CB138" s="7"/>
      <c r="CC138" s="93"/>
      <c r="CD138" s="7"/>
      <c r="CE138" s="93"/>
      <c r="CF138" s="94">
        <f t="shared" si="109"/>
        <v>0</v>
      </c>
      <c r="CG138" s="95">
        <f t="shared" si="110"/>
        <v>0</v>
      </c>
      <c r="CH138" s="7"/>
      <c r="CI138" s="93">
        <f t="shared" si="111"/>
        <v>0</v>
      </c>
      <c r="CJ138" s="7"/>
      <c r="CK138" s="93">
        <f t="shared" si="112"/>
        <v>0</v>
      </c>
      <c r="CL138" s="7"/>
      <c r="CM138" s="93">
        <f t="shared" si="113"/>
        <v>0</v>
      </c>
      <c r="CN138" s="7"/>
      <c r="CO138" s="93">
        <f t="shared" si="114"/>
        <v>0</v>
      </c>
      <c r="CP138" s="7"/>
      <c r="CQ138" s="93">
        <f t="shared" si="115"/>
        <v>0</v>
      </c>
      <c r="CR138" s="7"/>
      <c r="CS138" s="93">
        <f t="shared" si="116"/>
        <v>0</v>
      </c>
      <c r="CT138" s="7"/>
      <c r="CU138" s="93">
        <f t="shared" si="117"/>
        <v>0</v>
      </c>
      <c r="CV138" s="7"/>
      <c r="CW138" s="93">
        <f t="shared" si="118"/>
        <v>0</v>
      </c>
      <c r="CX138" s="7"/>
      <c r="CY138" s="93">
        <v>0</v>
      </c>
      <c r="CZ138" s="7"/>
      <c r="DA138" s="93">
        <v>0</v>
      </c>
      <c r="DB138" s="7"/>
      <c r="DC138" s="93">
        <v>0</v>
      </c>
      <c r="DD138" s="7"/>
      <c r="DE138" s="93">
        <v>0</v>
      </c>
      <c r="DF138" s="97">
        <f t="shared" si="104"/>
        <v>0</v>
      </c>
      <c r="DG138" s="98">
        <f t="shared" si="119"/>
        <v>0</v>
      </c>
      <c r="DH138" s="79"/>
      <c r="DI138" s="79">
        <v>0</v>
      </c>
      <c r="DJ138" s="154"/>
      <c r="DK138" s="212">
        <f t="shared" si="201"/>
        <v>0</v>
      </c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99">
        <f t="shared" si="215"/>
        <v>0</v>
      </c>
      <c r="EG138" s="99">
        <f t="shared" si="216"/>
        <v>0</v>
      </c>
    </row>
    <row r="139" spans="1:137" ht="20.100000000000001" customHeight="1">
      <c r="A139" s="63">
        <v>113</v>
      </c>
      <c r="B139" s="63" t="s">
        <v>100</v>
      </c>
      <c r="C139" s="63"/>
      <c r="D139" s="63">
        <f>RANK(DF139,$DF$4:$DF$144)</f>
        <v>35</v>
      </c>
      <c r="E139" s="63">
        <v>0.64</v>
      </c>
      <c r="F139" s="63" t="s">
        <v>101</v>
      </c>
      <c r="G139" s="63"/>
      <c r="H139" s="92">
        <v>1360</v>
      </c>
      <c r="I139" s="93">
        <f t="shared" si="217"/>
        <v>870.4</v>
      </c>
      <c r="J139" s="92">
        <v>782</v>
      </c>
      <c r="K139" s="93">
        <f t="shared" si="217"/>
        <v>500.48</v>
      </c>
      <c r="L139" s="92">
        <v>748</v>
      </c>
      <c r="M139" s="93">
        <f t="shared" ref="M139" si="244">L139*$E139</f>
        <v>478.72</v>
      </c>
      <c r="N139" s="92">
        <v>1292</v>
      </c>
      <c r="O139" s="93">
        <f t="shared" ref="O139" si="245">N139*$E139</f>
        <v>826.88</v>
      </c>
      <c r="P139" s="92">
        <v>714</v>
      </c>
      <c r="Q139" s="93">
        <f t="shared" ref="Q139" si="246">P139*$E139</f>
        <v>456.96000000000004</v>
      </c>
      <c r="R139" s="92">
        <v>748</v>
      </c>
      <c r="S139" s="93">
        <f t="shared" ref="S139" si="247">R139*$E139</f>
        <v>478.72</v>
      </c>
      <c r="T139" s="92">
        <v>748</v>
      </c>
      <c r="U139" s="93">
        <f t="shared" ref="U139" si="248">T139*$E139</f>
        <v>478.72</v>
      </c>
      <c r="V139" s="92">
        <v>1326</v>
      </c>
      <c r="W139" s="93">
        <f t="shared" ref="W139" si="249">V139*$E139</f>
        <v>848.64</v>
      </c>
      <c r="X139" s="92">
        <v>510</v>
      </c>
      <c r="Y139" s="93">
        <f t="shared" ref="Y139" si="250">X139*$E139</f>
        <v>326.40000000000003</v>
      </c>
      <c r="Z139" s="92">
        <v>612</v>
      </c>
      <c r="AA139" s="93">
        <f t="shared" ref="AA139" si="251">Z139*$E139</f>
        <v>391.68</v>
      </c>
      <c r="AB139" s="92">
        <v>1224</v>
      </c>
      <c r="AC139" s="93">
        <f t="shared" ref="AC139" si="252">AB139*$E139</f>
        <v>783.36</v>
      </c>
      <c r="AD139" s="92">
        <v>68</v>
      </c>
      <c r="AE139" s="93">
        <f t="shared" ref="AE139" si="253">AD139*$E139</f>
        <v>43.52</v>
      </c>
      <c r="AF139" s="94">
        <f t="shared" si="105"/>
        <v>10132</v>
      </c>
      <c r="AG139" s="95">
        <f t="shared" si="106"/>
        <v>6484.4800000000005</v>
      </c>
      <c r="AH139" s="92">
        <v>680</v>
      </c>
      <c r="AI139" s="93">
        <f t="shared" si="228"/>
        <v>435.2</v>
      </c>
      <c r="AJ139" s="92">
        <v>612</v>
      </c>
      <c r="AK139" s="93">
        <f t="shared" si="229"/>
        <v>391.68</v>
      </c>
      <c r="AL139" s="92">
        <v>612</v>
      </c>
      <c r="AM139" s="93">
        <f t="shared" si="230"/>
        <v>391.68</v>
      </c>
      <c r="AN139" s="92">
        <v>646</v>
      </c>
      <c r="AO139" s="93">
        <f t="shared" si="231"/>
        <v>413.44</v>
      </c>
      <c r="AP139" s="92"/>
      <c r="AQ139" s="93">
        <f t="shared" si="232"/>
        <v>0</v>
      </c>
      <c r="AR139" s="92"/>
      <c r="AS139" s="93">
        <f t="shared" si="233"/>
        <v>0</v>
      </c>
      <c r="AT139" s="92"/>
      <c r="AU139" s="93">
        <f t="shared" si="234"/>
        <v>0</v>
      </c>
      <c r="AV139" s="92"/>
      <c r="AW139" s="93">
        <f t="shared" si="235"/>
        <v>0</v>
      </c>
      <c r="AX139" s="92"/>
      <c r="AY139" s="93">
        <f t="shared" si="236"/>
        <v>0</v>
      </c>
      <c r="AZ139" s="92"/>
      <c r="BA139" s="93">
        <f t="shared" si="237"/>
        <v>0</v>
      </c>
      <c r="BB139" s="92"/>
      <c r="BC139" s="93">
        <f t="shared" si="238"/>
        <v>0</v>
      </c>
      <c r="BD139" s="92"/>
      <c r="BE139" s="93">
        <f t="shared" si="239"/>
        <v>0</v>
      </c>
      <c r="BF139" s="94">
        <f t="shared" si="107"/>
        <v>2550</v>
      </c>
      <c r="BG139" s="95">
        <f t="shared" si="108"/>
        <v>1632</v>
      </c>
      <c r="BH139" s="7"/>
      <c r="BI139" s="93">
        <f t="shared" si="240"/>
        <v>0</v>
      </c>
      <c r="BJ139" s="7"/>
      <c r="BK139" s="93">
        <f t="shared" si="241"/>
        <v>0</v>
      </c>
      <c r="BL139" s="7"/>
      <c r="BM139" s="93">
        <f t="shared" ref="BM139:CA139" si="254">BL139*$E139</f>
        <v>0</v>
      </c>
      <c r="BN139" s="7"/>
      <c r="BO139" s="93">
        <f t="shared" si="254"/>
        <v>0</v>
      </c>
      <c r="BP139" s="7"/>
      <c r="BQ139" s="93">
        <f t="shared" si="254"/>
        <v>0</v>
      </c>
      <c r="BR139" s="7"/>
      <c r="BS139" s="93">
        <f t="shared" si="254"/>
        <v>0</v>
      </c>
      <c r="BT139" s="7"/>
      <c r="BU139" s="93">
        <f t="shared" si="254"/>
        <v>0</v>
      </c>
      <c r="BV139" s="7"/>
      <c r="BW139" s="93">
        <f t="shared" si="254"/>
        <v>0</v>
      </c>
      <c r="BX139" s="7"/>
      <c r="BY139" s="93">
        <f t="shared" si="254"/>
        <v>0</v>
      </c>
      <c r="BZ139" s="7"/>
      <c r="CA139" s="93">
        <f t="shared" si="254"/>
        <v>0</v>
      </c>
      <c r="CB139" s="7"/>
      <c r="CC139" s="93">
        <f t="shared" ref="CC139:CE139" si="255">CB139*$E139</f>
        <v>0</v>
      </c>
      <c r="CD139" s="7"/>
      <c r="CE139" s="93">
        <f t="shared" si="255"/>
        <v>0</v>
      </c>
      <c r="CF139" s="94">
        <f t="shared" si="109"/>
        <v>0</v>
      </c>
      <c r="CG139" s="95">
        <f t="shared" si="110"/>
        <v>0</v>
      </c>
      <c r="CH139" s="7"/>
      <c r="CI139" s="93">
        <f t="shared" si="111"/>
        <v>0</v>
      </c>
      <c r="CJ139" s="7"/>
      <c r="CK139" s="93">
        <f t="shared" si="112"/>
        <v>0</v>
      </c>
      <c r="CL139" s="7"/>
      <c r="CM139" s="93">
        <f t="shared" si="113"/>
        <v>0</v>
      </c>
      <c r="CN139" s="7"/>
      <c r="CO139" s="93">
        <f t="shared" si="114"/>
        <v>0</v>
      </c>
      <c r="CP139" s="7"/>
      <c r="CQ139" s="93">
        <f t="shared" si="115"/>
        <v>0</v>
      </c>
      <c r="CR139" s="7"/>
      <c r="CS139" s="93">
        <f t="shared" si="116"/>
        <v>0</v>
      </c>
      <c r="CT139" s="7"/>
      <c r="CU139" s="93">
        <f t="shared" si="117"/>
        <v>0</v>
      </c>
      <c r="CV139" s="7"/>
      <c r="CW139" s="93">
        <f t="shared" si="118"/>
        <v>0</v>
      </c>
      <c r="CX139" s="7"/>
      <c r="CY139" s="93">
        <v>0</v>
      </c>
      <c r="CZ139" s="7"/>
      <c r="DA139" s="93">
        <v>0</v>
      </c>
      <c r="DB139" s="7"/>
      <c r="DC139" s="93">
        <v>0</v>
      </c>
      <c r="DD139" s="7"/>
      <c r="DE139" s="93">
        <v>0</v>
      </c>
      <c r="DF139" s="97">
        <f t="shared" si="104"/>
        <v>0</v>
      </c>
      <c r="DG139" s="98">
        <f t="shared" si="119"/>
        <v>0</v>
      </c>
      <c r="DH139" s="79"/>
      <c r="DI139" s="79">
        <v>0</v>
      </c>
      <c r="DJ139" s="7"/>
      <c r="DK139" s="93">
        <f t="shared" si="201"/>
        <v>0</v>
      </c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99">
        <f t="shared" si="215"/>
        <v>0</v>
      </c>
      <c r="EG139" s="99">
        <f t="shared" si="216"/>
        <v>0</v>
      </c>
    </row>
    <row r="140" spans="1:137" ht="20.100000000000001" customHeight="1">
      <c r="A140" s="63">
        <v>114</v>
      </c>
      <c r="B140" s="63" t="s">
        <v>236</v>
      </c>
      <c r="C140" s="63"/>
      <c r="D140" s="63"/>
      <c r="E140" s="63"/>
      <c r="F140" s="63"/>
      <c r="G140" s="63"/>
      <c r="H140" s="92"/>
      <c r="I140" s="93"/>
      <c r="J140" s="92"/>
      <c r="K140" s="93"/>
      <c r="L140" s="92"/>
      <c r="M140" s="93"/>
      <c r="N140" s="92"/>
      <c r="O140" s="93"/>
      <c r="P140" s="92"/>
      <c r="Q140" s="93"/>
      <c r="R140" s="92"/>
      <c r="S140" s="93"/>
      <c r="T140" s="92"/>
      <c r="U140" s="93"/>
      <c r="V140" s="92"/>
      <c r="W140" s="93"/>
      <c r="X140" s="92"/>
      <c r="Y140" s="93"/>
      <c r="Z140" s="92"/>
      <c r="AA140" s="93"/>
      <c r="AB140" s="92"/>
      <c r="AC140" s="93"/>
      <c r="AD140" s="92"/>
      <c r="AE140" s="93"/>
      <c r="AF140" s="94"/>
      <c r="AG140" s="95"/>
      <c r="AH140" s="92"/>
      <c r="AI140" s="93"/>
      <c r="AJ140" s="92"/>
      <c r="AK140" s="93"/>
      <c r="AL140" s="92"/>
      <c r="AM140" s="93"/>
      <c r="AN140" s="92"/>
      <c r="AO140" s="93"/>
      <c r="AP140" s="92"/>
      <c r="AQ140" s="93"/>
      <c r="AR140" s="92"/>
      <c r="AS140" s="93"/>
      <c r="AT140" s="92"/>
      <c r="AU140" s="93"/>
      <c r="AV140" s="92"/>
      <c r="AW140" s="93"/>
      <c r="AX140" s="92"/>
      <c r="AY140" s="93"/>
      <c r="AZ140" s="92"/>
      <c r="BA140" s="93"/>
      <c r="BB140" s="92"/>
      <c r="BC140" s="93"/>
      <c r="BD140" s="92"/>
      <c r="BE140" s="93"/>
      <c r="BF140" s="94"/>
      <c r="BG140" s="95"/>
      <c r="BH140" s="7"/>
      <c r="BI140" s="93"/>
      <c r="BJ140" s="7"/>
      <c r="BK140" s="93"/>
      <c r="BL140" s="7"/>
      <c r="BM140" s="93"/>
      <c r="BN140" s="7"/>
      <c r="BO140" s="93"/>
      <c r="BP140" s="7"/>
      <c r="BQ140" s="93"/>
      <c r="BR140" s="7"/>
      <c r="BS140" s="93"/>
      <c r="BT140" s="7"/>
      <c r="BU140" s="93"/>
      <c r="BV140" s="7"/>
      <c r="BW140" s="93"/>
      <c r="BX140" s="7"/>
      <c r="BY140" s="93"/>
      <c r="BZ140" s="7"/>
      <c r="CA140" s="93"/>
      <c r="CB140" s="7"/>
      <c r="CC140" s="93"/>
      <c r="CD140" s="7"/>
      <c r="CE140" s="93"/>
      <c r="CF140" s="94"/>
      <c r="CG140" s="95"/>
      <c r="CH140" s="7"/>
      <c r="CI140" s="93"/>
      <c r="CJ140" s="7"/>
      <c r="CK140" s="93"/>
      <c r="CL140" s="7"/>
      <c r="CM140" s="93"/>
      <c r="CN140" s="7"/>
      <c r="CO140" s="93"/>
      <c r="CP140" s="7"/>
      <c r="CQ140" s="93"/>
      <c r="CR140" s="7"/>
      <c r="CS140" s="93"/>
      <c r="CT140" s="7"/>
      <c r="CU140" s="93"/>
      <c r="CV140" s="7"/>
      <c r="CW140" s="93"/>
      <c r="CX140" s="7"/>
      <c r="CY140" s="93"/>
      <c r="CZ140" s="7"/>
      <c r="DA140" s="93"/>
      <c r="DB140" s="7"/>
      <c r="DC140" s="93"/>
      <c r="DD140" s="7"/>
      <c r="DE140" s="93"/>
      <c r="DF140" s="97"/>
      <c r="DG140" s="98"/>
      <c r="DH140" s="79"/>
      <c r="DI140" s="79"/>
      <c r="DJ140" s="7"/>
      <c r="DK140" s="93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99"/>
      <c r="EG140" s="99"/>
    </row>
    <row r="141" spans="1:137" ht="20.100000000000001" customHeight="1">
      <c r="A141" s="63">
        <v>115</v>
      </c>
      <c r="B141" s="63" t="s">
        <v>237</v>
      </c>
      <c r="C141" s="63"/>
      <c r="D141" s="63"/>
      <c r="E141" s="63"/>
      <c r="F141" s="100"/>
      <c r="G141" s="100"/>
      <c r="H141" s="7"/>
      <c r="I141" s="93"/>
      <c r="J141" s="7"/>
      <c r="K141" s="93"/>
      <c r="L141" s="7"/>
      <c r="M141" s="93"/>
      <c r="N141" s="7"/>
      <c r="O141" s="93"/>
      <c r="P141" s="7"/>
      <c r="Q141" s="93"/>
      <c r="R141" s="7"/>
      <c r="S141" s="93"/>
      <c r="T141" s="7"/>
      <c r="U141" s="93"/>
      <c r="V141" s="7"/>
      <c r="W141" s="93"/>
      <c r="X141" s="7"/>
      <c r="Y141" s="93"/>
      <c r="Z141" s="7"/>
      <c r="AA141" s="93"/>
      <c r="AB141" s="7"/>
      <c r="AC141" s="93"/>
      <c r="AD141" s="7"/>
      <c r="AE141" s="93"/>
      <c r="AF141" s="94">
        <f t="shared" si="105"/>
        <v>0</v>
      </c>
      <c r="AG141" s="95">
        <f t="shared" si="106"/>
        <v>0</v>
      </c>
      <c r="AH141" s="92"/>
      <c r="AI141" s="93"/>
      <c r="AJ141" s="92"/>
      <c r="AK141" s="93"/>
      <c r="AL141" s="92"/>
      <c r="AM141" s="93"/>
      <c r="AN141" s="92"/>
      <c r="AO141" s="93"/>
      <c r="AP141" s="92"/>
      <c r="AQ141" s="93"/>
      <c r="AR141" s="92"/>
      <c r="AS141" s="93"/>
      <c r="AT141" s="92"/>
      <c r="AU141" s="93"/>
      <c r="AV141" s="92"/>
      <c r="AW141" s="93"/>
      <c r="AX141" s="92"/>
      <c r="AY141" s="93"/>
      <c r="AZ141" s="92"/>
      <c r="BA141" s="93"/>
      <c r="BB141" s="92"/>
      <c r="BC141" s="93"/>
      <c r="BD141" s="92"/>
      <c r="BE141" s="93"/>
      <c r="BF141" s="94">
        <f t="shared" si="107"/>
        <v>0</v>
      </c>
      <c r="BG141" s="95">
        <f t="shared" si="108"/>
        <v>0</v>
      </c>
      <c r="BH141" s="92"/>
      <c r="BI141" s="93"/>
      <c r="BJ141" s="92"/>
      <c r="BK141" s="93"/>
      <c r="BL141" s="92"/>
      <c r="BM141" s="93"/>
      <c r="BN141" s="92"/>
      <c r="BO141" s="93"/>
      <c r="BP141" s="92"/>
      <c r="BQ141" s="93"/>
      <c r="BR141" s="92"/>
      <c r="BS141" s="93"/>
      <c r="BT141" s="92"/>
      <c r="BU141" s="93"/>
      <c r="BV141" s="92"/>
      <c r="BW141" s="93"/>
      <c r="BX141" s="92"/>
      <c r="BY141" s="93"/>
      <c r="BZ141" s="92"/>
      <c r="CA141" s="93"/>
      <c r="CB141" s="92"/>
      <c r="CC141" s="93"/>
      <c r="CD141" s="92"/>
      <c r="CE141" s="93"/>
      <c r="CF141" s="94">
        <f t="shared" si="109"/>
        <v>0</v>
      </c>
      <c r="CG141" s="95">
        <f t="shared" si="110"/>
        <v>0</v>
      </c>
      <c r="CH141" s="7"/>
      <c r="CI141" s="93">
        <f t="shared" si="111"/>
        <v>0</v>
      </c>
      <c r="CJ141" s="7"/>
      <c r="CK141" s="93">
        <f t="shared" si="112"/>
        <v>0</v>
      </c>
      <c r="CL141" s="7"/>
      <c r="CM141" s="93">
        <f t="shared" si="113"/>
        <v>0</v>
      </c>
      <c r="CN141" s="7"/>
      <c r="CO141" s="93">
        <f t="shared" si="114"/>
        <v>0</v>
      </c>
      <c r="CP141" s="7"/>
      <c r="CQ141" s="93">
        <f t="shared" si="115"/>
        <v>0</v>
      </c>
      <c r="CR141" s="7"/>
      <c r="CS141" s="93">
        <f t="shared" si="116"/>
        <v>0</v>
      </c>
      <c r="CT141" s="7"/>
      <c r="CU141" s="93">
        <f t="shared" si="117"/>
        <v>0</v>
      </c>
      <c r="CV141" s="7"/>
      <c r="CW141" s="93">
        <f t="shared" si="118"/>
        <v>0</v>
      </c>
      <c r="CX141" s="7"/>
      <c r="CY141" s="93"/>
      <c r="CZ141" s="7"/>
      <c r="DA141" s="93"/>
      <c r="DB141" s="7"/>
      <c r="DC141" s="93"/>
      <c r="DD141" s="7"/>
      <c r="DE141" s="93"/>
      <c r="DF141" s="97">
        <f t="shared" si="104"/>
        <v>0</v>
      </c>
      <c r="DG141" s="98">
        <f t="shared" si="119"/>
        <v>0</v>
      </c>
      <c r="DH141" s="79"/>
      <c r="DI141" s="79"/>
      <c r="DJ141" s="7"/>
      <c r="DK141" s="93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99">
        <f t="shared" si="215"/>
        <v>0</v>
      </c>
      <c r="EG141" s="99">
        <f t="shared" si="216"/>
        <v>0</v>
      </c>
    </row>
    <row r="142" spans="1:137" ht="20.100000000000001" customHeight="1">
      <c r="A142" s="63">
        <v>116</v>
      </c>
      <c r="B142" s="63" t="s">
        <v>102</v>
      </c>
      <c r="C142" s="63" t="s">
        <v>14</v>
      </c>
      <c r="D142" s="63">
        <f>RANK(DF142,$DF$4:$DF$144)</f>
        <v>35</v>
      </c>
      <c r="E142" s="63">
        <v>0.7</v>
      </c>
      <c r="F142" s="63" t="s">
        <v>15</v>
      </c>
      <c r="G142" s="63"/>
      <c r="H142" s="7"/>
      <c r="I142" s="93">
        <f t="shared" si="217"/>
        <v>0</v>
      </c>
      <c r="J142" s="7"/>
      <c r="K142" s="93">
        <f t="shared" si="217"/>
        <v>0</v>
      </c>
      <c r="L142" s="7"/>
      <c r="M142" s="93">
        <f t="shared" ref="M142:M143" si="256">L142*$E142</f>
        <v>0</v>
      </c>
      <c r="N142" s="7"/>
      <c r="O142" s="93">
        <f t="shared" ref="O142:O143" si="257">N142*$E142</f>
        <v>0</v>
      </c>
      <c r="P142" s="7"/>
      <c r="Q142" s="93">
        <f t="shared" ref="Q142:Q143" si="258">P142*$E142</f>
        <v>0</v>
      </c>
      <c r="R142" s="7"/>
      <c r="S142" s="93">
        <f t="shared" ref="S142:S143" si="259">R142*$E142</f>
        <v>0</v>
      </c>
      <c r="T142" s="7"/>
      <c r="U142" s="93">
        <f t="shared" ref="U142:U143" si="260">T142*$E142</f>
        <v>0</v>
      </c>
      <c r="V142" s="7"/>
      <c r="W142" s="93">
        <f t="shared" ref="W142:W143" si="261">V142*$E142</f>
        <v>0</v>
      </c>
      <c r="X142" s="7"/>
      <c r="Y142" s="93">
        <f t="shared" ref="Y142:Y143" si="262">X142*$E142</f>
        <v>0</v>
      </c>
      <c r="Z142" s="7"/>
      <c r="AA142" s="93">
        <f t="shared" ref="AA142:AA143" si="263">Z142*$E142</f>
        <v>0</v>
      </c>
      <c r="AB142" s="7"/>
      <c r="AC142" s="93">
        <f t="shared" ref="AC142:AC143" si="264">AB142*$E142</f>
        <v>0</v>
      </c>
      <c r="AD142" s="7"/>
      <c r="AE142" s="93">
        <f t="shared" ref="AE142:AE143" si="265">AD142*$E142</f>
        <v>0</v>
      </c>
      <c r="AF142" s="94">
        <f t="shared" si="105"/>
        <v>0</v>
      </c>
      <c r="AG142" s="95">
        <f t="shared" si="106"/>
        <v>0</v>
      </c>
      <c r="AH142" s="7"/>
      <c r="AI142" s="93">
        <f t="shared" si="228"/>
        <v>0</v>
      </c>
      <c r="AJ142" s="7"/>
      <c r="AK142" s="93">
        <f t="shared" si="229"/>
        <v>0</v>
      </c>
      <c r="AL142" s="7"/>
      <c r="AM142" s="93">
        <f t="shared" si="230"/>
        <v>0</v>
      </c>
      <c r="AN142" s="7"/>
      <c r="AO142" s="93">
        <f t="shared" si="231"/>
        <v>0</v>
      </c>
      <c r="AP142" s="7"/>
      <c r="AQ142" s="93">
        <f t="shared" si="232"/>
        <v>0</v>
      </c>
      <c r="AR142" s="7"/>
      <c r="AS142" s="93">
        <f t="shared" si="233"/>
        <v>0</v>
      </c>
      <c r="AT142" s="7"/>
      <c r="AU142" s="93">
        <f t="shared" si="234"/>
        <v>0</v>
      </c>
      <c r="AV142" s="7"/>
      <c r="AW142" s="93">
        <f t="shared" si="235"/>
        <v>0</v>
      </c>
      <c r="AX142" s="7"/>
      <c r="AY142" s="93">
        <f t="shared" si="236"/>
        <v>0</v>
      </c>
      <c r="AZ142" s="7"/>
      <c r="BA142" s="93">
        <f t="shared" si="237"/>
        <v>0</v>
      </c>
      <c r="BB142" s="7"/>
      <c r="BC142" s="93">
        <f t="shared" si="238"/>
        <v>0</v>
      </c>
      <c r="BD142" s="7"/>
      <c r="BE142" s="93">
        <f t="shared" si="239"/>
        <v>0</v>
      </c>
      <c r="BF142" s="94">
        <f t="shared" si="107"/>
        <v>0</v>
      </c>
      <c r="BG142" s="95">
        <f t="shared" si="108"/>
        <v>0</v>
      </c>
      <c r="BH142" s="7"/>
      <c r="BI142" s="93">
        <f t="shared" si="240"/>
        <v>0</v>
      </c>
      <c r="BJ142" s="7"/>
      <c r="BK142" s="93">
        <f t="shared" si="241"/>
        <v>0</v>
      </c>
      <c r="BL142" s="7"/>
      <c r="BM142" s="93">
        <f t="shared" ref="BM142:CA143" si="266">BL142*$E142</f>
        <v>0</v>
      </c>
      <c r="BN142" s="7"/>
      <c r="BO142" s="93">
        <f t="shared" si="266"/>
        <v>0</v>
      </c>
      <c r="BP142" s="7"/>
      <c r="BQ142" s="93">
        <f t="shared" si="266"/>
        <v>0</v>
      </c>
      <c r="BR142" s="7"/>
      <c r="BS142" s="93">
        <f t="shared" si="266"/>
        <v>0</v>
      </c>
      <c r="BT142" s="7"/>
      <c r="BU142" s="93">
        <f t="shared" si="266"/>
        <v>0</v>
      </c>
      <c r="BV142" s="7"/>
      <c r="BW142" s="93">
        <f t="shared" si="266"/>
        <v>0</v>
      </c>
      <c r="BX142" s="7"/>
      <c r="BY142" s="93">
        <f t="shared" si="266"/>
        <v>0</v>
      </c>
      <c r="BZ142" s="7"/>
      <c r="CA142" s="93">
        <f t="shared" si="266"/>
        <v>0</v>
      </c>
      <c r="CB142" s="7"/>
      <c r="CC142" s="93">
        <f t="shared" ref="CC142:CE143" si="267">CB142*$E142</f>
        <v>0</v>
      </c>
      <c r="CD142" s="7"/>
      <c r="CE142" s="93">
        <f t="shared" si="267"/>
        <v>0</v>
      </c>
      <c r="CF142" s="94">
        <f t="shared" si="109"/>
        <v>0</v>
      </c>
      <c r="CG142" s="95">
        <f t="shared" si="110"/>
        <v>0</v>
      </c>
      <c r="CH142" s="7"/>
      <c r="CI142" s="93">
        <f t="shared" si="111"/>
        <v>0</v>
      </c>
      <c r="CJ142" s="7"/>
      <c r="CK142" s="93">
        <f t="shared" si="112"/>
        <v>0</v>
      </c>
      <c r="CL142" s="7"/>
      <c r="CM142" s="93">
        <f t="shared" si="113"/>
        <v>0</v>
      </c>
      <c r="CN142" s="7"/>
      <c r="CO142" s="93">
        <f t="shared" si="114"/>
        <v>0</v>
      </c>
      <c r="CP142" s="7"/>
      <c r="CQ142" s="93">
        <f t="shared" si="115"/>
        <v>0</v>
      </c>
      <c r="CR142" s="7"/>
      <c r="CS142" s="93">
        <f t="shared" si="116"/>
        <v>0</v>
      </c>
      <c r="CT142" s="7"/>
      <c r="CU142" s="93">
        <f t="shared" si="117"/>
        <v>0</v>
      </c>
      <c r="CV142" s="7"/>
      <c r="CW142" s="93">
        <f t="shared" si="118"/>
        <v>0</v>
      </c>
      <c r="CX142" s="7"/>
      <c r="CY142" s="93">
        <v>0</v>
      </c>
      <c r="CZ142" s="7"/>
      <c r="DA142" s="93">
        <v>0</v>
      </c>
      <c r="DB142" s="7"/>
      <c r="DC142" s="93">
        <v>0</v>
      </c>
      <c r="DD142" s="7"/>
      <c r="DE142" s="93">
        <v>0</v>
      </c>
      <c r="DF142" s="97">
        <f t="shared" ref="DF142:DF144" si="268">SUM(CH142,CJ142,CL142,CN142,CP142,CR142,CT142,CV142,CX142,CZ142,DB142,DD142)</f>
        <v>0</v>
      </c>
      <c r="DG142" s="98">
        <f t="shared" si="119"/>
        <v>0</v>
      </c>
      <c r="DH142" s="79"/>
      <c r="DI142" s="79">
        <v>0</v>
      </c>
      <c r="DJ142" s="7"/>
      <c r="DK142" s="93">
        <f t="shared" ref="DK142:DK143" si="269">DJ142*$E142</f>
        <v>0</v>
      </c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99">
        <f t="shared" si="215"/>
        <v>0</v>
      </c>
      <c r="EG142" s="99">
        <f t="shared" si="216"/>
        <v>0</v>
      </c>
    </row>
    <row r="143" spans="1:137" ht="20.100000000000001" customHeight="1">
      <c r="A143" s="63">
        <v>117</v>
      </c>
      <c r="B143" s="63" t="s">
        <v>103</v>
      </c>
      <c r="C143" s="63"/>
      <c r="D143" s="63">
        <f>RANK(DF143,$DF$4:$DF$144)</f>
        <v>35</v>
      </c>
      <c r="E143" s="63">
        <v>20</v>
      </c>
      <c r="F143" s="63">
        <v>1</v>
      </c>
      <c r="G143" s="63"/>
      <c r="H143" s="7"/>
      <c r="I143" s="93">
        <f t="shared" si="217"/>
        <v>0</v>
      </c>
      <c r="J143" s="7"/>
      <c r="K143" s="93">
        <f t="shared" si="217"/>
        <v>0</v>
      </c>
      <c r="L143" s="7"/>
      <c r="M143" s="93">
        <f t="shared" si="256"/>
        <v>0</v>
      </c>
      <c r="N143" s="7"/>
      <c r="O143" s="93">
        <f t="shared" si="257"/>
        <v>0</v>
      </c>
      <c r="P143" s="7"/>
      <c r="Q143" s="93">
        <f t="shared" si="258"/>
        <v>0</v>
      </c>
      <c r="R143" s="7"/>
      <c r="S143" s="93">
        <f t="shared" si="259"/>
        <v>0</v>
      </c>
      <c r="T143" s="7"/>
      <c r="U143" s="93">
        <f t="shared" si="260"/>
        <v>0</v>
      </c>
      <c r="V143" s="7"/>
      <c r="W143" s="93">
        <f t="shared" si="261"/>
        <v>0</v>
      </c>
      <c r="X143" s="7"/>
      <c r="Y143" s="93">
        <f t="shared" si="262"/>
        <v>0</v>
      </c>
      <c r="Z143" s="7"/>
      <c r="AA143" s="93">
        <f t="shared" si="263"/>
        <v>0</v>
      </c>
      <c r="AB143" s="7"/>
      <c r="AC143" s="93">
        <f t="shared" si="264"/>
        <v>0</v>
      </c>
      <c r="AD143" s="7"/>
      <c r="AE143" s="93">
        <f t="shared" si="265"/>
        <v>0</v>
      </c>
      <c r="AF143" s="94">
        <f t="shared" ref="AF143:AF144" si="270">(AD143+AB143+Z143+X143+V143+T143+R143+P143+N143+L143+J143+H143)/1</f>
        <v>0</v>
      </c>
      <c r="AG143" s="95">
        <f t="shared" ref="AG143:AG144" si="271">AF143*$E143</f>
        <v>0</v>
      </c>
      <c r="AH143" s="7"/>
      <c r="AI143" s="93">
        <f t="shared" si="228"/>
        <v>0</v>
      </c>
      <c r="AJ143" s="7"/>
      <c r="AK143" s="93">
        <f t="shared" si="229"/>
        <v>0</v>
      </c>
      <c r="AL143" s="7"/>
      <c r="AM143" s="93">
        <f t="shared" si="230"/>
        <v>0</v>
      </c>
      <c r="AN143" s="7"/>
      <c r="AO143" s="93">
        <f t="shared" si="231"/>
        <v>0</v>
      </c>
      <c r="AP143" s="7"/>
      <c r="AQ143" s="93">
        <f t="shared" si="232"/>
        <v>0</v>
      </c>
      <c r="AR143" s="7"/>
      <c r="AS143" s="93">
        <f t="shared" si="233"/>
        <v>0</v>
      </c>
      <c r="AT143" s="7"/>
      <c r="AU143" s="93">
        <f t="shared" si="234"/>
        <v>0</v>
      </c>
      <c r="AV143" s="7"/>
      <c r="AW143" s="93">
        <f t="shared" si="235"/>
        <v>0</v>
      </c>
      <c r="AX143" s="7"/>
      <c r="AY143" s="93">
        <f t="shared" si="236"/>
        <v>0</v>
      </c>
      <c r="AZ143" s="7"/>
      <c r="BA143" s="93">
        <f t="shared" si="237"/>
        <v>0</v>
      </c>
      <c r="BB143" s="7"/>
      <c r="BC143" s="93">
        <f t="shared" si="238"/>
        <v>0</v>
      </c>
      <c r="BD143" s="7"/>
      <c r="BE143" s="93">
        <f t="shared" si="239"/>
        <v>0</v>
      </c>
      <c r="BF143" s="94">
        <f t="shared" ref="BF143:BF144" si="272">(BD143+BB143+AZ143+AX143+AV143+AT143+AR143+AP143+AN143+AL143+AJ143+AH143)/1</f>
        <v>0</v>
      </c>
      <c r="BG143" s="95">
        <f t="shared" ref="BG143:BG144" si="273">BF143*$E143</f>
        <v>0</v>
      </c>
      <c r="BH143" s="7"/>
      <c r="BI143" s="93">
        <f t="shared" si="240"/>
        <v>0</v>
      </c>
      <c r="BJ143" s="7"/>
      <c r="BK143" s="93">
        <f t="shared" si="241"/>
        <v>0</v>
      </c>
      <c r="BL143" s="7"/>
      <c r="BM143" s="93">
        <f t="shared" si="266"/>
        <v>0</v>
      </c>
      <c r="BN143" s="7"/>
      <c r="BO143" s="93">
        <f t="shared" si="266"/>
        <v>0</v>
      </c>
      <c r="BP143" s="7"/>
      <c r="BQ143" s="93">
        <f t="shared" si="266"/>
        <v>0</v>
      </c>
      <c r="BR143" s="7"/>
      <c r="BS143" s="93">
        <f t="shared" si="266"/>
        <v>0</v>
      </c>
      <c r="BT143" s="7"/>
      <c r="BU143" s="93">
        <f t="shared" si="266"/>
        <v>0</v>
      </c>
      <c r="BV143" s="7"/>
      <c r="BW143" s="93">
        <f t="shared" si="266"/>
        <v>0</v>
      </c>
      <c r="BX143" s="7"/>
      <c r="BY143" s="93">
        <f t="shared" si="266"/>
        <v>0</v>
      </c>
      <c r="BZ143" s="7"/>
      <c r="CA143" s="93">
        <f t="shared" si="266"/>
        <v>0</v>
      </c>
      <c r="CB143" s="7"/>
      <c r="CC143" s="93">
        <f t="shared" si="267"/>
        <v>0</v>
      </c>
      <c r="CD143" s="7"/>
      <c r="CE143" s="93">
        <f t="shared" si="267"/>
        <v>0</v>
      </c>
      <c r="CF143" s="94">
        <f t="shared" ref="CF143:CF144" si="274">(CD143+CB143+BZ143+BX143+BV143+BT143+BR143+BP143+BN143+BL143+BJ143+BH143)/1</f>
        <v>0</v>
      </c>
      <c r="CG143" s="95">
        <f t="shared" ref="CG143:CG144" si="275">CF143*$E143</f>
        <v>0</v>
      </c>
      <c r="CH143" s="7"/>
      <c r="CI143" s="93">
        <f t="shared" ref="CI143:CI144" si="276">CH143*$E143</f>
        <v>0</v>
      </c>
      <c r="CJ143" s="7"/>
      <c r="CK143" s="93">
        <f t="shared" ref="CK143:CK144" si="277">CJ143*$E143</f>
        <v>0</v>
      </c>
      <c r="CL143" s="7"/>
      <c r="CM143" s="93">
        <f t="shared" ref="CM143:CM144" si="278">CL143*$E143</f>
        <v>0</v>
      </c>
      <c r="CN143" s="7"/>
      <c r="CO143" s="93">
        <f t="shared" ref="CO143:CO144" si="279">CN143*$E143</f>
        <v>0</v>
      </c>
      <c r="CP143" s="7"/>
      <c r="CQ143" s="93">
        <f t="shared" ref="CQ143:CQ144" si="280">CP143*$E143</f>
        <v>0</v>
      </c>
      <c r="CR143" s="7"/>
      <c r="CS143" s="93">
        <f t="shared" ref="CS143:CS144" si="281">CR143*$E143</f>
        <v>0</v>
      </c>
      <c r="CT143" s="7"/>
      <c r="CU143" s="93">
        <f t="shared" ref="CU143:CU144" si="282">CT143*$E143</f>
        <v>0</v>
      </c>
      <c r="CV143" s="7"/>
      <c r="CW143" s="93">
        <f t="shared" ref="CW143:CW144" si="283">CV143*$E143</f>
        <v>0</v>
      </c>
      <c r="CX143" s="7"/>
      <c r="CY143" s="93">
        <v>0</v>
      </c>
      <c r="CZ143" s="7"/>
      <c r="DA143" s="93">
        <v>0</v>
      </c>
      <c r="DB143" s="7"/>
      <c r="DC143" s="93">
        <v>0</v>
      </c>
      <c r="DD143" s="7"/>
      <c r="DE143" s="93">
        <v>0</v>
      </c>
      <c r="DF143" s="97">
        <f t="shared" si="268"/>
        <v>0</v>
      </c>
      <c r="DG143" s="98">
        <f t="shared" ref="DG143:DG144" si="284">DF143*$E143</f>
        <v>0</v>
      </c>
      <c r="DH143" s="79"/>
      <c r="DI143" s="79">
        <v>0</v>
      </c>
      <c r="DJ143" s="7"/>
      <c r="DK143" s="93">
        <f t="shared" si="269"/>
        <v>0</v>
      </c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99">
        <f t="shared" si="215"/>
        <v>0</v>
      </c>
      <c r="EG143" s="99">
        <f t="shared" si="216"/>
        <v>0</v>
      </c>
    </row>
    <row r="144" spans="1:137" ht="20.100000000000001" customHeight="1">
      <c r="A144" s="63">
        <v>118</v>
      </c>
      <c r="B144" s="63" t="s">
        <v>230</v>
      </c>
      <c r="C144" s="63"/>
      <c r="D144" s="63"/>
      <c r="E144" s="63"/>
      <c r="F144" s="63"/>
      <c r="G144" s="63"/>
      <c r="H144" s="7"/>
      <c r="I144" s="93"/>
      <c r="J144" s="7"/>
      <c r="K144" s="93"/>
      <c r="L144" s="7"/>
      <c r="M144" s="93"/>
      <c r="N144" s="7"/>
      <c r="O144" s="93"/>
      <c r="P144" s="7"/>
      <c r="Q144" s="93"/>
      <c r="R144" s="7"/>
      <c r="S144" s="93"/>
      <c r="T144" s="7"/>
      <c r="U144" s="93"/>
      <c r="V144" s="7"/>
      <c r="W144" s="93"/>
      <c r="X144" s="7"/>
      <c r="Y144" s="93"/>
      <c r="Z144" s="7"/>
      <c r="AA144" s="93"/>
      <c r="AB144" s="7"/>
      <c r="AC144" s="93"/>
      <c r="AD144" s="7"/>
      <c r="AE144" s="93"/>
      <c r="AF144" s="94">
        <f t="shared" si="270"/>
        <v>0</v>
      </c>
      <c r="AG144" s="95">
        <f t="shared" si="271"/>
        <v>0</v>
      </c>
      <c r="AH144" s="7"/>
      <c r="AI144" s="93"/>
      <c r="AJ144" s="7"/>
      <c r="AK144" s="93"/>
      <c r="AL144" s="7"/>
      <c r="AM144" s="93"/>
      <c r="AN144" s="7"/>
      <c r="AO144" s="93"/>
      <c r="AP144" s="7"/>
      <c r="AQ144" s="93"/>
      <c r="AR144" s="7"/>
      <c r="AS144" s="93"/>
      <c r="AT144" s="7"/>
      <c r="AU144" s="93"/>
      <c r="AV144" s="7"/>
      <c r="AW144" s="93"/>
      <c r="AX144" s="7"/>
      <c r="AY144" s="93"/>
      <c r="AZ144" s="7"/>
      <c r="BA144" s="93"/>
      <c r="BB144" s="7"/>
      <c r="BC144" s="93"/>
      <c r="BD144" s="7"/>
      <c r="BE144" s="93"/>
      <c r="BF144" s="94">
        <f t="shared" si="272"/>
        <v>0</v>
      </c>
      <c r="BG144" s="95">
        <f t="shared" si="273"/>
        <v>0</v>
      </c>
      <c r="BH144" s="7"/>
      <c r="BI144" s="93"/>
      <c r="BJ144" s="7"/>
      <c r="BK144" s="93"/>
      <c r="BL144" s="7"/>
      <c r="BM144" s="93"/>
      <c r="BN144" s="7"/>
      <c r="BO144" s="93"/>
      <c r="BP144" s="7"/>
      <c r="BQ144" s="93"/>
      <c r="BR144" s="7"/>
      <c r="BS144" s="93"/>
      <c r="BT144" s="7"/>
      <c r="BU144" s="93"/>
      <c r="BV144" s="7"/>
      <c r="BW144" s="93"/>
      <c r="BX144" s="7"/>
      <c r="BY144" s="93"/>
      <c r="BZ144" s="7"/>
      <c r="CA144" s="93"/>
      <c r="CB144" s="7"/>
      <c r="CC144" s="93"/>
      <c r="CD144" s="7"/>
      <c r="CE144" s="93"/>
      <c r="CF144" s="94">
        <f t="shared" si="274"/>
        <v>0</v>
      </c>
      <c r="CG144" s="95">
        <f t="shared" si="275"/>
        <v>0</v>
      </c>
      <c r="CH144" s="7"/>
      <c r="CI144" s="93">
        <f t="shared" si="276"/>
        <v>0</v>
      </c>
      <c r="CJ144" s="7"/>
      <c r="CK144" s="93">
        <f t="shared" si="277"/>
        <v>0</v>
      </c>
      <c r="CL144" s="7"/>
      <c r="CM144" s="93">
        <f t="shared" si="278"/>
        <v>0</v>
      </c>
      <c r="CN144" s="7"/>
      <c r="CO144" s="93">
        <f t="shared" si="279"/>
        <v>0</v>
      </c>
      <c r="CP144" s="7"/>
      <c r="CQ144" s="93">
        <f t="shared" si="280"/>
        <v>0</v>
      </c>
      <c r="CR144" s="7"/>
      <c r="CS144" s="93">
        <f t="shared" si="281"/>
        <v>0</v>
      </c>
      <c r="CT144" s="7"/>
      <c r="CU144" s="93">
        <f t="shared" si="282"/>
        <v>0</v>
      </c>
      <c r="CV144" s="7"/>
      <c r="CW144" s="93">
        <f t="shared" si="283"/>
        <v>0</v>
      </c>
      <c r="CX144" s="7"/>
      <c r="CY144" s="93"/>
      <c r="CZ144" s="7"/>
      <c r="DA144" s="93"/>
      <c r="DB144" s="7"/>
      <c r="DC144" s="93"/>
      <c r="DD144" s="7"/>
      <c r="DE144" s="93"/>
      <c r="DF144" s="97">
        <f t="shared" si="268"/>
        <v>0</v>
      </c>
      <c r="DG144" s="98">
        <f t="shared" si="284"/>
        <v>0</v>
      </c>
      <c r="DH144" s="79"/>
      <c r="DI144" s="79"/>
      <c r="DJ144" s="154"/>
      <c r="DK144" s="213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99">
        <f t="shared" si="215"/>
        <v>0</v>
      </c>
      <c r="EG144" s="99">
        <f t="shared" si="216"/>
        <v>0</v>
      </c>
    </row>
    <row r="145" spans="1:137" ht="20.100000000000001" customHeight="1">
      <c r="A145" s="63"/>
      <c r="B145" s="63"/>
      <c r="C145" s="63"/>
      <c r="D145" s="63"/>
      <c r="E145" s="63"/>
      <c r="F145" s="63"/>
      <c r="G145" s="63"/>
      <c r="H145" s="7"/>
      <c r="I145" s="93"/>
      <c r="J145" s="7"/>
      <c r="K145" s="93"/>
      <c r="L145" s="7"/>
      <c r="M145" s="93"/>
      <c r="N145" s="7"/>
      <c r="O145" s="93"/>
      <c r="P145" s="7"/>
      <c r="Q145" s="93"/>
      <c r="R145" s="7"/>
      <c r="S145" s="93"/>
      <c r="T145" s="7"/>
      <c r="U145" s="93"/>
      <c r="V145" s="7"/>
      <c r="W145" s="93"/>
      <c r="X145" s="7"/>
      <c r="Y145" s="93"/>
      <c r="Z145" s="7"/>
      <c r="AA145" s="93"/>
      <c r="AB145" s="7"/>
      <c r="AC145" s="93"/>
      <c r="AD145" s="7"/>
      <c r="AE145" s="93"/>
      <c r="AF145" s="94"/>
      <c r="AG145" s="95"/>
      <c r="AH145" s="7"/>
      <c r="AI145" s="93"/>
      <c r="AJ145" s="7"/>
      <c r="AK145" s="93"/>
      <c r="AL145" s="7"/>
      <c r="AM145" s="93"/>
      <c r="AN145" s="7"/>
      <c r="AO145" s="93"/>
      <c r="AP145" s="7"/>
      <c r="AQ145" s="93"/>
      <c r="AR145" s="7"/>
      <c r="AS145" s="93"/>
      <c r="AT145" s="7"/>
      <c r="AU145" s="93"/>
      <c r="AV145" s="7"/>
      <c r="AW145" s="93"/>
      <c r="AX145" s="7"/>
      <c r="AY145" s="93"/>
      <c r="AZ145" s="7"/>
      <c r="BA145" s="93"/>
      <c r="BB145" s="7"/>
      <c r="BC145" s="93"/>
      <c r="BD145" s="7"/>
      <c r="BE145" s="93"/>
      <c r="BF145" s="94"/>
      <c r="BG145" s="95"/>
      <c r="BH145" s="7"/>
      <c r="BI145" s="93"/>
      <c r="BJ145" s="7"/>
      <c r="BK145" s="93"/>
      <c r="BL145" s="7"/>
      <c r="BM145" s="93"/>
      <c r="BN145" s="7"/>
      <c r="BO145" s="93"/>
      <c r="BP145" s="7"/>
      <c r="BQ145" s="93"/>
      <c r="BR145" s="7"/>
      <c r="BS145" s="93"/>
      <c r="BT145" s="7"/>
      <c r="BU145" s="93"/>
      <c r="BV145" s="7"/>
      <c r="BW145" s="93"/>
      <c r="BX145" s="7"/>
      <c r="BY145" s="93"/>
      <c r="BZ145" s="7"/>
      <c r="CA145" s="93"/>
      <c r="CB145" s="7"/>
      <c r="CC145" s="93"/>
      <c r="CD145" s="7"/>
      <c r="CE145" s="93"/>
      <c r="CF145" s="94"/>
      <c r="CG145" s="95"/>
      <c r="CH145" s="7"/>
      <c r="CI145" s="93"/>
      <c r="CJ145" s="7"/>
      <c r="CK145" s="93"/>
      <c r="CL145" s="7"/>
      <c r="CM145" s="93"/>
      <c r="CN145" s="7"/>
      <c r="CO145" s="93"/>
      <c r="CP145" s="7"/>
      <c r="CQ145" s="93"/>
      <c r="CR145" s="7"/>
      <c r="CS145" s="93"/>
      <c r="CT145" s="7"/>
      <c r="CU145" s="93"/>
      <c r="CV145" s="7"/>
      <c r="CW145" s="93"/>
      <c r="CX145" s="7"/>
      <c r="CY145" s="93"/>
      <c r="CZ145" s="7"/>
      <c r="DA145" s="93"/>
      <c r="DB145" s="7"/>
      <c r="DC145" s="93"/>
      <c r="DD145" s="7"/>
      <c r="DE145" s="93"/>
      <c r="DF145" s="97"/>
      <c r="DG145" s="98"/>
      <c r="DH145" s="79"/>
      <c r="DI145" s="79"/>
      <c r="DJ145" s="154"/>
      <c r="DK145" s="213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99">
        <f t="shared" si="215"/>
        <v>0</v>
      </c>
      <c r="EG145" s="99">
        <f t="shared" si="216"/>
        <v>0</v>
      </c>
    </row>
    <row r="146" spans="1:137" ht="20.100000000000001" customHeight="1">
      <c r="A146" s="63"/>
      <c r="B146" s="63"/>
      <c r="C146" s="63"/>
      <c r="D146" s="63"/>
      <c r="E146" s="63"/>
      <c r="F146" s="63"/>
      <c r="G146" s="63"/>
      <c r="H146" s="7"/>
      <c r="I146" s="93"/>
      <c r="J146" s="7"/>
      <c r="K146" s="93"/>
      <c r="L146" s="7"/>
      <c r="M146" s="93"/>
      <c r="N146" s="7"/>
      <c r="O146" s="93"/>
      <c r="P146" s="7"/>
      <c r="Q146" s="93"/>
      <c r="R146" s="7"/>
      <c r="S146" s="93"/>
      <c r="T146" s="7"/>
      <c r="U146" s="93"/>
      <c r="V146" s="7"/>
      <c r="W146" s="93"/>
      <c r="X146" s="7"/>
      <c r="Y146" s="93"/>
      <c r="Z146" s="7"/>
      <c r="AA146" s="93"/>
      <c r="AB146" s="7"/>
      <c r="AC146" s="93"/>
      <c r="AD146" s="7"/>
      <c r="AE146" s="93"/>
      <c r="AF146" s="94"/>
      <c r="AG146" s="95"/>
      <c r="AH146" s="7"/>
      <c r="AI146" s="93"/>
      <c r="AJ146" s="7"/>
      <c r="AK146" s="93"/>
      <c r="AL146" s="7"/>
      <c r="AM146" s="93"/>
      <c r="AN146" s="7"/>
      <c r="AO146" s="93"/>
      <c r="AP146" s="7"/>
      <c r="AQ146" s="93"/>
      <c r="AR146" s="7"/>
      <c r="AS146" s="93"/>
      <c r="AT146" s="7"/>
      <c r="AU146" s="93"/>
      <c r="AV146" s="7"/>
      <c r="AW146" s="93"/>
      <c r="AX146" s="7"/>
      <c r="AY146" s="93"/>
      <c r="AZ146" s="7"/>
      <c r="BA146" s="93"/>
      <c r="BB146" s="7"/>
      <c r="BC146" s="93"/>
      <c r="BD146" s="7"/>
      <c r="BE146" s="93"/>
      <c r="BF146" s="94"/>
      <c r="BG146" s="95"/>
      <c r="BH146" s="7"/>
      <c r="BI146" s="93"/>
      <c r="BJ146" s="7"/>
      <c r="BK146" s="93"/>
      <c r="BL146" s="7"/>
      <c r="BM146" s="93"/>
      <c r="BN146" s="7"/>
      <c r="BO146" s="93"/>
      <c r="BP146" s="7"/>
      <c r="BQ146" s="93"/>
      <c r="BR146" s="7"/>
      <c r="BS146" s="93"/>
      <c r="BT146" s="7"/>
      <c r="BU146" s="93"/>
      <c r="BV146" s="7"/>
      <c r="BW146" s="93"/>
      <c r="BX146" s="7"/>
      <c r="BY146" s="93"/>
      <c r="BZ146" s="7"/>
      <c r="CA146" s="93"/>
      <c r="CB146" s="7"/>
      <c r="CC146" s="93"/>
      <c r="CD146" s="7"/>
      <c r="CE146" s="93"/>
      <c r="CF146" s="94"/>
      <c r="CG146" s="95"/>
      <c r="CH146" s="7"/>
      <c r="CI146" s="93"/>
      <c r="CJ146" s="7"/>
      <c r="CK146" s="93"/>
      <c r="CL146" s="7"/>
      <c r="CM146" s="93"/>
      <c r="CN146" s="7"/>
      <c r="CO146" s="93"/>
      <c r="CP146" s="7"/>
      <c r="CQ146" s="93"/>
      <c r="CR146" s="7"/>
      <c r="CS146" s="93"/>
      <c r="CT146" s="7"/>
      <c r="CU146" s="93"/>
      <c r="CV146" s="7"/>
      <c r="CW146" s="93"/>
      <c r="CX146" s="7"/>
      <c r="CY146" s="93"/>
      <c r="CZ146" s="7"/>
      <c r="DA146" s="93"/>
      <c r="DB146" s="7"/>
      <c r="DC146" s="93"/>
      <c r="DD146" s="7"/>
      <c r="DE146" s="93"/>
      <c r="DF146" s="97"/>
      <c r="DG146" s="98"/>
      <c r="DH146" s="79"/>
      <c r="DI146" s="79"/>
      <c r="DJ146" s="154"/>
      <c r="DK146" s="213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99">
        <f t="shared" si="215"/>
        <v>0</v>
      </c>
      <c r="EG146" s="99">
        <f t="shared" si="216"/>
        <v>0</v>
      </c>
    </row>
    <row r="147" spans="1:137" ht="20.100000000000001" customHeight="1">
      <c r="A147" s="66"/>
      <c r="B147" s="11" t="s">
        <v>104</v>
      </c>
      <c r="C147" s="11"/>
      <c r="D147" s="11"/>
      <c r="E147" s="12"/>
      <c r="F147" s="110"/>
      <c r="G147" s="110"/>
      <c r="H147" s="101">
        <f t="shared" ref="H147:AM147" si="285">SUM(H4:H144)</f>
        <v>798573</v>
      </c>
      <c r="I147" s="102">
        <f t="shared" si="285"/>
        <v>517485.54</v>
      </c>
      <c r="J147" s="101">
        <f t="shared" si="285"/>
        <v>761500</v>
      </c>
      <c r="K147" s="102">
        <f t="shared" si="285"/>
        <v>492129.52</v>
      </c>
      <c r="L147" s="101">
        <f t="shared" si="285"/>
        <v>873994</v>
      </c>
      <c r="M147" s="102">
        <f t="shared" si="285"/>
        <v>567669.15999999992</v>
      </c>
      <c r="N147" s="101">
        <f t="shared" si="285"/>
        <v>671845</v>
      </c>
      <c r="O147" s="102">
        <f t="shared" si="285"/>
        <v>435727.06000000011</v>
      </c>
      <c r="P147" s="101">
        <f t="shared" si="285"/>
        <v>693667</v>
      </c>
      <c r="Q147" s="102">
        <f t="shared" si="285"/>
        <v>447894.94000000012</v>
      </c>
      <c r="R147" s="101">
        <f t="shared" si="285"/>
        <v>793060</v>
      </c>
      <c r="S147" s="102">
        <f t="shared" si="285"/>
        <v>511380.87999999989</v>
      </c>
      <c r="T147" s="101">
        <f t="shared" si="285"/>
        <v>775218</v>
      </c>
      <c r="U147" s="102">
        <f t="shared" si="285"/>
        <v>501101.64000000007</v>
      </c>
      <c r="V147" s="101">
        <f t="shared" si="285"/>
        <v>841044</v>
      </c>
      <c r="W147" s="102">
        <f t="shared" si="285"/>
        <v>545230.62</v>
      </c>
      <c r="X147" s="101">
        <f t="shared" si="285"/>
        <v>762200</v>
      </c>
      <c r="Y147" s="102">
        <f t="shared" si="285"/>
        <v>491813.12000000011</v>
      </c>
      <c r="Z147" s="101">
        <f t="shared" si="285"/>
        <v>752404</v>
      </c>
      <c r="AA147" s="102">
        <f t="shared" si="285"/>
        <v>485261.91000000003</v>
      </c>
      <c r="AB147" s="101">
        <f t="shared" si="285"/>
        <v>825151</v>
      </c>
      <c r="AC147" s="102">
        <f t="shared" si="285"/>
        <v>533743.92000000016</v>
      </c>
      <c r="AD147" s="101">
        <f t="shared" si="285"/>
        <v>885399</v>
      </c>
      <c r="AE147" s="102">
        <f t="shared" si="285"/>
        <v>571252.50999999989</v>
      </c>
      <c r="AF147" s="103">
        <f t="shared" si="285"/>
        <v>9434055</v>
      </c>
      <c r="AG147" s="104">
        <f t="shared" si="285"/>
        <v>6100690.8200000012</v>
      </c>
      <c r="AH147" s="101">
        <f t="shared" si="285"/>
        <v>868076</v>
      </c>
      <c r="AI147" s="102">
        <f t="shared" si="285"/>
        <v>561000.52999999991</v>
      </c>
      <c r="AJ147" s="101">
        <f t="shared" si="285"/>
        <v>703567</v>
      </c>
      <c r="AK147" s="102">
        <f t="shared" si="285"/>
        <v>453398.52</v>
      </c>
      <c r="AL147" s="101">
        <f t="shared" si="285"/>
        <v>700409</v>
      </c>
      <c r="AM147" s="102">
        <f t="shared" si="285"/>
        <v>453549.18999999994</v>
      </c>
      <c r="AN147" s="101">
        <f t="shared" ref="AN147:BS147" si="286">SUM(AN4:AN144)</f>
        <v>687993</v>
      </c>
      <c r="AO147" s="102">
        <f t="shared" si="286"/>
        <v>445211.09</v>
      </c>
      <c r="AP147" s="101">
        <f t="shared" si="286"/>
        <v>596933</v>
      </c>
      <c r="AQ147" s="102">
        <f t="shared" si="286"/>
        <v>387230.60999999993</v>
      </c>
      <c r="AR147" s="101">
        <f t="shared" si="286"/>
        <v>727689</v>
      </c>
      <c r="AS147" s="102">
        <f t="shared" si="286"/>
        <v>471066.70000000013</v>
      </c>
      <c r="AT147" s="101">
        <f t="shared" si="286"/>
        <v>786996</v>
      </c>
      <c r="AU147" s="102">
        <f t="shared" si="286"/>
        <v>509609.91000000003</v>
      </c>
      <c r="AV147" s="101">
        <f t="shared" si="286"/>
        <v>788661</v>
      </c>
      <c r="AW147" s="102">
        <f t="shared" si="286"/>
        <v>508896.12000000005</v>
      </c>
      <c r="AX147" s="101">
        <f t="shared" si="286"/>
        <v>748311</v>
      </c>
      <c r="AY147" s="102">
        <f t="shared" si="286"/>
        <v>484025.73000000004</v>
      </c>
      <c r="AZ147" s="101">
        <f t="shared" si="286"/>
        <v>831736</v>
      </c>
      <c r="BA147" s="102">
        <f t="shared" si="286"/>
        <v>536759.69999999995</v>
      </c>
      <c r="BB147" s="101">
        <f t="shared" si="286"/>
        <v>828638</v>
      </c>
      <c r="BC147" s="102">
        <f t="shared" si="286"/>
        <v>537132.14</v>
      </c>
      <c r="BD147" s="101">
        <f t="shared" si="286"/>
        <v>1032520</v>
      </c>
      <c r="BE147" s="102">
        <f t="shared" si="286"/>
        <v>667591.06000000006</v>
      </c>
      <c r="BF147" s="103">
        <f t="shared" si="286"/>
        <v>9301529</v>
      </c>
      <c r="BG147" s="104">
        <f t="shared" si="286"/>
        <v>6015471.2999999989</v>
      </c>
      <c r="BH147" s="101">
        <f t="shared" si="286"/>
        <v>949178</v>
      </c>
      <c r="BI147" s="102">
        <f t="shared" si="286"/>
        <v>613512.19999999995</v>
      </c>
      <c r="BJ147" s="101">
        <f t="shared" si="286"/>
        <v>773779</v>
      </c>
      <c r="BK147" s="102">
        <f t="shared" si="286"/>
        <v>500548.67999999993</v>
      </c>
      <c r="BL147" s="101">
        <f t="shared" si="286"/>
        <v>794108</v>
      </c>
      <c r="BM147" s="102">
        <f t="shared" si="286"/>
        <v>512919.13999999996</v>
      </c>
      <c r="BN147" s="101">
        <f t="shared" si="286"/>
        <v>749078</v>
      </c>
      <c r="BO147" s="102">
        <f t="shared" si="286"/>
        <v>486537.00000000006</v>
      </c>
      <c r="BP147" s="101">
        <f t="shared" si="286"/>
        <v>840592</v>
      </c>
      <c r="BQ147" s="102">
        <f t="shared" si="286"/>
        <v>541215.05999999994</v>
      </c>
      <c r="BR147" s="101">
        <f t="shared" si="286"/>
        <v>820396</v>
      </c>
      <c r="BS147" s="102">
        <f t="shared" si="286"/>
        <v>529836.97000000009</v>
      </c>
      <c r="BT147" s="101">
        <f t="shared" ref="BT147:CQ147" si="287">SUM(BT4:BT144)</f>
        <v>868137</v>
      </c>
      <c r="BU147" s="102">
        <f t="shared" si="287"/>
        <v>561678.61999999988</v>
      </c>
      <c r="BV147" s="101">
        <f t="shared" si="287"/>
        <v>864657</v>
      </c>
      <c r="BW147" s="102">
        <f t="shared" si="287"/>
        <v>560913.68000000005</v>
      </c>
      <c r="BX147" s="101">
        <f t="shared" si="287"/>
        <v>901641</v>
      </c>
      <c r="BY147" s="102">
        <f t="shared" si="287"/>
        <v>583965.25999999989</v>
      </c>
      <c r="BZ147" s="101">
        <f t="shared" si="287"/>
        <v>946416</v>
      </c>
      <c r="CA147" s="102">
        <f t="shared" si="287"/>
        <v>615351.65000000014</v>
      </c>
      <c r="CB147" s="101">
        <f t="shared" si="287"/>
        <v>917030</v>
      </c>
      <c r="CC147" s="102">
        <f t="shared" si="287"/>
        <v>595835.02</v>
      </c>
      <c r="CD147" s="101">
        <f t="shared" si="287"/>
        <v>1013431</v>
      </c>
      <c r="CE147" s="102">
        <f t="shared" si="287"/>
        <v>662153.44000000006</v>
      </c>
      <c r="CF147" s="103">
        <f t="shared" si="287"/>
        <v>10438443</v>
      </c>
      <c r="CG147" s="104">
        <f t="shared" si="287"/>
        <v>6764466.7200000007</v>
      </c>
      <c r="CH147" s="101">
        <f t="shared" si="287"/>
        <v>965752</v>
      </c>
      <c r="CI147" s="102">
        <f t="shared" si="287"/>
        <v>631832.88</v>
      </c>
      <c r="CJ147" s="101">
        <f t="shared" si="287"/>
        <v>818851</v>
      </c>
      <c r="CK147" s="102">
        <f t="shared" si="287"/>
        <v>532828.4800000001</v>
      </c>
      <c r="CL147" s="101">
        <f t="shared" si="287"/>
        <v>1020554</v>
      </c>
      <c r="CM147" s="102">
        <f t="shared" si="287"/>
        <v>677348.72</v>
      </c>
      <c r="CN147" s="101">
        <f t="shared" si="287"/>
        <v>803099</v>
      </c>
      <c r="CO147" s="102">
        <f t="shared" si="287"/>
        <v>524612.25</v>
      </c>
      <c r="CP147" s="101">
        <f t="shared" si="287"/>
        <v>888740</v>
      </c>
      <c r="CQ147" s="102">
        <f t="shared" si="287"/>
        <v>583181.49</v>
      </c>
      <c r="CR147" s="101">
        <v>884247</v>
      </c>
      <c r="CS147" s="102">
        <f>SUM(CS4:CS144)</f>
        <v>578612.40000000014</v>
      </c>
      <c r="CT147" s="101">
        <f>SUM(CT4:CT144)</f>
        <v>863703</v>
      </c>
      <c r="CU147" s="102">
        <f>SUM(CU4:CU144)</f>
        <v>571258.19000000006</v>
      </c>
      <c r="CV147" s="101">
        <v>848693</v>
      </c>
      <c r="CW147" s="102">
        <f>SUM(CW4:CW144)</f>
        <v>558733.8400000002</v>
      </c>
      <c r="CX147" s="101">
        <v>866201</v>
      </c>
      <c r="CY147" s="102">
        <v>583840.04</v>
      </c>
      <c r="CZ147" s="101">
        <v>899036</v>
      </c>
      <c r="DA147" s="102">
        <v>603753.98</v>
      </c>
      <c r="DB147" s="101">
        <v>928681</v>
      </c>
      <c r="DC147" s="102">
        <v>616783.96</v>
      </c>
      <c r="DD147" s="101">
        <v>956796</v>
      </c>
      <c r="DE147" s="102">
        <v>636981.12</v>
      </c>
      <c r="DF147" s="101">
        <f>SUM(DF4:DF144)</f>
        <v>10744353</v>
      </c>
      <c r="DG147" s="102">
        <f>SUM(DG4:DG144)</f>
        <v>7099767.3499999987</v>
      </c>
      <c r="DH147" s="214">
        <v>822987</v>
      </c>
      <c r="DI147" s="214">
        <v>549147.60000000009</v>
      </c>
      <c r="DJ147" s="101">
        <f t="shared" ref="DJ147:DK147" si="288">SUM(DJ4:DJ144)</f>
        <v>729741</v>
      </c>
      <c r="DK147" s="102">
        <f t="shared" si="288"/>
        <v>486294.32</v>
      </c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99">
        <f>SUM(EF4:EF146)</f>
        <v>1552728</v>
      </c>
      <c r="EG147" s="99">
        <f>SUM(EG4:EG146)</f>
        <v>1035441.9199999999</v>
      </c>
    </row>
    <row r="148" spans="1:137" ht="20.100000000000001" customHeight="1">
      <c r="A148" s="68"/>
      <c r="B148" s="8"/>
      <c r="C148" s="8"/>
      <c r="D148" s="8"/>
      <c r="E148" s="8"/>
      <c r="F148" s="100"/>
      <c r="G148" s="100"/>
      <c r="H148" s="7"/>
      <c r="I148" s="93"/>
      <c r="J148" s="7"/>
      <c r="K148" s="93"/>
      <c r="L148" s="7"/>
      <c r="M148" s="93"/>
      <c r="N148" s="7"/>
      <c r="O148" s="93"/>
      <c r="P148" s="7"/>
      <c r="Q148" s="93"/>
      <c r="R148" s="7"/>
      <c r="S148" s="93"/>
      <c r="T148" s="7"/>
      <c r="U148" s="93"/>
      <c r="V148" s="7"/>
      <c r="W148" s="93"/>
      <c r="X148" s="7"/>
      <c r="Y148" s="93"/>
      <c r="Z148" s="7"/>
      <c r="AA148" s="93"/>
      <c r="AB148" s="7"/>
      <c r="AC148" s="93"/>
      <c r="AD148" s="7"/>
      <c r="AE148" s="93"/>
      <c r="AF148" s="94"/>
      <c r="AG148" s="95"/>
      <c r="AH148" s="7"/>
      <c r="AI148" s="93"/>
      <c r="AJ148" s="7"/>
      <c r="AK148" s="93"/>
      <c r="AL148" s="7"/>
      <c r="AM148" s="93"/>
      <c r="AN148" s="7"/>
      <c r="AO148" s="93"/>
      <c r="AP148" s="7"/>
      <c r="AQ148" s="93"/>
      <c r="AR148" s="7"/>
      <c r="AS148" s="93"/>
      <c r="AT148" s="7"/>
      <c r="AU148" s="93"/>
      <c r="AV148" s="7"/>
      <c r="AW148" s="93"/>
      <c r="AX148" s="7"/>
      <c r="AY148" s="93"/>
      <c r="AZ148" s="7"/>
      <c r="BA148" s="93"/>
      <c r="BB148" s="7"/>
      <c r="BC148" s="93"/>
      <c r="BD148" s="7"/>
      <c r="BE148" s="93"/>
      <c r="BF148" s="94"/>
      <c r="BG148" s="95"/>
      <c r="BH148" s="7"/>
      <c r="BI148" s="93"/>
      <c r="BJ148" s="7"/>
      <c r="BK148" s="93"/>
      <c r="BL148" s="7"/>
      <c r="BM148" s="93"/>
      <c r="BN148" s="7"/>
      <c r="BO148" s="93"/>
      <c r="BP148" s="7"/>
      <c r="BQ148" s="93"/>
      <c r="BR148" s="7"/>
      <c r="BS148" s="93"/>
      <c r="BT148" s="7"/>
      <c r="BU148" s="93"/>
      <c r="BV148" s="7"/>
      <c r="BW148" s="93"/>
      <c r="BX148" s="7"/>
      <c r="BY148" s="93"/>
      <c r="BZ148" s="7"/>
      <c r="CA148" s="93"/>
      <c r="CB148" s="7"/>
      <c r="CC148" s="93"/>
      <c r="CD148" s="7"/>
      <c r="CE148" s="93"/>
      <c r="CF148" s="94"/>
      <c r="CG148" s="95"/>
      <c r="CH148" s="7"/>
      <c r="CI148" s="93"/>
      <c r="CJ148" s="7"/>
      <c r="CK148" s="93"/>
      <c r="CL148" s="7"/>
      <c r="CM148" s="93"/>
      <c r="CN148" s="7"/>
      <c r="CO148" s="93"/>
      <c r="CP148" s="7"/>
      <c r="CQ148" s="93"/>
      <c r="CR148" s="7"/>
      <c r="CS148" s="93"/>
      <c r="CT148" s="7"/>
      <c r="CU148" s="93"/>
      <c r="CV148" s="7"/>
      <c r="CW148" s="93"/>
      <c r="CX148" s="7"/>
      <c r="CY148" s="93"/>
      <c r="CZ148" s="7"/>
      <c r="DA148" s="93"/>
      <c r="DB148" s="7"/>
      <c r="DC148" s="93"/>
      <c r="DD148" s="7"/>
      <c r="DE148" s="93"/>
      <c r="DF148" s="97"/>
      <c r="DG148" s="98"/>
      <c r="DH148" s="79"/>
      <c r="DI148" s="79"/>
      <c r="DJ148" s="154"/>
      <c r="DK148" s="213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</row>
    <row r="149" spans="1:137" ht="20.100000000000001" customHeight="1">
      <c r="A149" s="63">
        <v>119</v>
      </c>
      <c r="B149" s="63" t="s">
        <v>105</v>
      </c>
      <c r="C149" s="63" t="s">
        <v>14</v>
      </c>
      <c r="D149" s="63">
        <f t="shared" ref="D149:D156" si="289">RANK(DF149,$DF$148:$DF$163)</f>
        <v>6</v>
      </c>
      <c r="E149" s="63">
        <v>0.7</v>
      </c>
      <c r="F149" s="63" t="s">
        <v>15</v>
      </c>
      <c r="G149" s="63">
        <v>4000</v>
      </c>
      <c r="H149" s="7">
        <v>360</v>
      </c>
      <c r="I149" s="93">
        <f t="shared" ref="I149:I162" si="290">H149*$E149</f>
        <v>251.99999999999997</v>
      </c>
      <c r="J149" s="7">
        <v>221</v>
      </c>
      <c r="K149" s="93">
        <f t="shared" ref="K149:K162" si="291">J149*$E149</f>
        <v>154.69999999999999</v>
      </c>
      <c r="L149" s="7">
        <v>718</v>
      </c>
      <c r="M149" s="93">
        <f t="shared" ref="M149:M162" si="292">L149*$E149</f>
        <v>502.59999999999997</v>
      </c>
      <c r="N149" s="7">
        <v>566</v>
      </c>
      <c r="O149" s="93">
        <f t="shared" ref="O149:O162" si="293">N149*$E149</f>
        <v>396.2</v>
      </c>
      <c r="P149" s="7">
        <v>240</v>
      </c>
      <c r="Q149" s="93">
        <f t="shared" ref="Q149:Q162" si="294">P149*$E149</f>
        <v>168</v>
      </c>
      <c r="R149" s="7">
        <v>69</v>
      </c>
      <c r="S149" s="93">
        <f t="shared" ref="S149:S162" si="295">R149*$E149</f>
        <v>48.3</v>
      </c>
      <c r="T149" s="7">
        <v>195</v>
      </c>
      <c r="U149" s="93">
        <f t="shared" ref="U149:U162" si="296">T149*$E149</f>
        <v>136.5</v>
      </c>
      <c r="V149" s="7">
        <v>131</v>
      </c>
      <c r="W149" s="93">
        <f t="shared" ref="W149:W162" si="297">V149*$E149</f>
        <v>91.699999999999989</v>
      </c>
      <c r="X149" s="7">
        <v>84</v>
      </c>
      <c r="Y149" s="93">
        <f t="shared" ref="Y149:Y162" si="298">X149*$E149</f>
        <v>58.8</v>
      </c>
      <c r="Z149" s="7">
        <v>81</v>
      </c>
      <c r="AA149" s="93">
        <f t="shared" ref="AA149:AA162" si="299">Z149*$E149</f>
        <v>56.699999999999996</v>
      </c>
      <c r="AB149" s="7">
        <v>95</v>
      </c>
      <c r="AC149" s="93">
        <f t="shared" ref="AC149:AC162" si="300">AB149*$E149</f>
        <v>66.5</v>
      </c>
      <c r="AD149" s="7">
        <v>432</v>
      </c>
      <c r="AE149" s="93">
        <f t="shared" ref="AE149:AE162" si="301">AD149*$E149</f>
        <v>302.39999999999998</v>
      </c>
      <c r="AF149" s="94">
        <f t="shared" ref="AF149" si="302">(AD149+AB149+Z149+X149+V149+T149+R149+P149+N149+L149+J149+H149)/1</f>
        <v>3192</v>
      </c>
      <c r="AG149" s="95">
        <f t="shared" ref="AG149" si="303">AF149*$E149</f>
        <v>2234.3999999999996</v>
      </c>
      <c r="AH149" s="7">
        <v>209</v>
      </c>
      <c r="AI149" s="93">
        <f t="shared" ref="AI149:AI162" si="304">AH149*$E149</f>
        <v>146.29999999999998</v>
      </c>
      <c r="AJ149" s="7">
        <v>392</v>
      </c>
      <c r="AK149" s="93">
        <f t="shared" ref="AK149:AK162" si="305">AJ149*$E149</f>
        <v>274.39999999999998</v>
      </c>
      <c r="AL149" s="7">
        <v>72</v>
      </c>
      <c r="AM149" s="93">
        <f t="shared" ref="AM149:AM162" si="306">AL149*$E149</f>
        <v>50.4</v>
      </c>
      <c r="AN149" s="7">
        <v>128</v>
      </c>
      <c r="AO149" s="93">
        <f t="shared" ref="AO149:AO162" si="307">AN149*$E149</f>
        <v>89.6</v>
      </c>
      <c r="AP149" s="7">
        <v>49</v>
      </c>
      <c r="AQ149" s="93">
        <f t="shared" ref="AQ149:AQ162" si="308">AP149*$E149</f>
        <v>34.299999999999997</v>
      </c>
      <c r="AR149" s="7">
        <v>311</v>
      </c>
      <c r="AS149" s="93">
        <f t="shared" ref="AS149:AS162" si="309">AR149*$E149</f>
        <v>217.7</v>
      </c>
      <c r="AT149" s="7">
        <v>71</v>
      </c>
      <c r="AU149" s="93">
        <f t="shared" ref="AU149:AU162" si="310">AT149*$E149</f>
        <v>49.699999999999996</v>
      </c>
      <c r="AV149" s="7">
        <v>60</v>
      </c>
      <c r="AW149" s="93">
        <f t="shared" ref="AW149:AW162" si="311">AV149*$E149</f>
        <v>42</v>
      </c>
      <c r="AX149" s="7">
        <v>33</v>
      </c>
      <c r="AY149" s="93">
        <f t="shared" ref="AY149:AY162" si="312">AX149*$E149</f>
        <v>23.099999999999998</v>
      </c>
      <c r="AZ149" s="7">
        <v>75</v>
      </c>
      <c r="BA149" s="93">
        <f t="shared" ref="BA149:BA162" si="313">AZ149*$E149</f>
        <v>52.5</v>
      </c>
      <c r="BB149" s="7">
        <v>18</v>
      </c>
      <c r="BC149" s="93">
        <f t="shared" ref="BC149:BC162" si="314">BB149*$E149</f>
        <v>12.6</v>
      </c>
      <c r="BD149" s="7">
        <v>54</v>
      </c>
      <c r="BE149" s="93">
        <f t="shared" ref="BE149:BE162" si="315">BD149*$E149</f>
        <v>37.799999999999997</v>
      </c>
      <c r="BF149" s="94">
        <f t="shared" ref="BF149" si="316">(BD149+BB149+AZ149+AX149+AV149+AT149+AR149+AP149+AN149+AL149+AJ149+AH149)/1</f>
        <v>1472</v>
      </c>
      <c r="BG149" s="95">
        <f t="shared" ref="BG149" si="317">BF149*$E149</f>
        <v>1030.3999999999999</v>
      </c>
      <c r="BH149" s="7">
        <v>36</v>
      </c>
      <c r="BI149" s="93">
        <f t="shared" ref="BI149:BI162" si="318">BH149*$E149</f>
        <v>25.2</v>
      </c>
      <c r="BJ149" s="7">
        <v>24</v>
      </c>
      <c r="BK149" s="93">
        <f t="shared" ref="BK149:BK162" si="319">BJ149*$E149</f>
        <v>16.799999999999997</v>
      </c>
      <c r="BL149" s="7">
        <v>48</v>
      </c>
      <c r="BM149" s="93">
        <f t="shared" ref="BM149:BM161" si="320">BL149*$E149</f>
        <v>33.599999999999994</v>
      </c>
      <c r="BN149" s="7"/>
      <c r="BO149" s="93">
        <f t="shared" ref="BO149:BO161" si="321">BN149*$E149</f>
        <v>0</v>
      </c>
      <c r="BP149" s="7"/>
      <c r="BQ149" s="93">
        <f t="shared" ref="BQ149:BQ161" si="322">BP149*$E149</f>
        <v>0</v>
      </c>
      <c r="BR149" s="7"/>
      <c r="BS149" s="93">
        <f t="shared" ref="BS149:BS161" si="323">BR149*$E149</f>
        <v>0</v>
      </c>
      <c r="BT149" s="7">
        <v>1</v>
      </c>
      <c r="BU149" s="93">
        <f t="shared" ref="BU149:BU161" si="324">BT149*$E149</f>
        <v>0.7</v>
      </c>
      <c r="BV149" s="7">
        <v>27</v>
      </c>
      <c r="BW149" s="93">
        <f t="shared" ref="BW149:BW161" si="325">BV149*$E149</f>
        <v>18.899999999999999</v>
      </c>
      <c r="BX149" s="7">
        <v>1</v>
      </c>
      <c r="BY149" s="93">
        <f t="shared" ref="BY149:BY161" si="326">BX149*$E149</f>
        <v>0.7</v>
      </c>
      <c r="BZ149" s="7">
        <v>1</v>
      </c>
      <c r="CA149" s="93">
        <f t="shared" ref="CA149:CA161" si="327">BZ149*$E149</f>
        <v>0.7</v>
      </c>
      <c r="CB149" s="7">
        <v>4</v>
      </c>
      <c r="CC149" s="93">
        <f t="shared" ref="CC149:CC161" si="328">CB149*$E149</f>
        <v>2.8</v>
      </c>
      <c r="CD149" s="7">
        <v>1</v>
      </c>
      <c r="CE149" s="93">
        <f t="shared" ref="BM149:CE163" si="329">CD149*$E149</f>
        <v>0.7</v>
      </c>
      <c r="CF149" s="94">
        <f t="shared" ref="CF149" si="330">(CD149+CB149+BZ149+BX149+BV149+BT149+BR149+BP149+BN149+BL149+BJ149+BH149)/1</f>
        <v>143</v>
      </c>
      <c r="CG149" s="95">
        <f t="shared" ref="CG149" si="331">CF149*$E149</f>
        <v>100.1</v>
      </c>
      <c r="CH149" s="7"/>
      <c r="CI149" s="93">
        <f t="shared" ref="CI149:CI163" si="332">CH149*$E149</f>
        <v>0</v>
      </c>
      <c r="CJ149" s="7"/>
      <c r="CK149" s="93">
        <f t="shared" ref="CK149:CK163" si="333">CJ149*$E149</f>
        <v>0</v>
      </c>
      <c r="CL149" s="7"/>
      <c r="CM149" s="93">
        <f t="shared" ref="CM149:CM163" si="334">CL149*$E149</f>
        <v>0</v>
      </c>
      <c r="CN149" s="7"/>
      <c r="CO149" s="93">
        <f t="shared" ref="CO149:CO163" si="335">CN149*$E149</f>
        <v>0</v>
      </c>
      <c r="CP149" s="7"/>
      <c r="CQ149" s="93">
        <f t="shared" ref="CQ149:CQ163" si="336">CP149*$E149</f>
        <v>0</v>
      </c>
      <c r="CR149" s="7"/>
      <c r="CS149" s="93">
        <f t="shared" ref="CS149:CS163" si="337">CR149*$E149</f>
        <v>0</v>
      </c>
      <c r="CT149" s="7"/>
      <c r="CU149" s="93">
        <f t="shared" ref="CU149:CU163" si="338">CT149*$E149</f>
        <v>0</v>
      </c>
      <c r="CV149" s="7"/>
      <c r="CW149" s="93">
        <f t="shared" ref="CW149:CW163" si="339">CV149*$E149</f>
        <v>0</v>
      </c>
      <c r="CX149" s="7"/>
      <c r="CY149" s="93">
        <v>0</v>
      </c>
      <c r="CZ149" s="7">
        <v>12</v>
      </c>
      <c r="DA149" s="93">
        <v>8.3999999999999986</v>
      </c>
      <c r="DB149" s="7"/>
      <c r="DC149" s="93">
        <v>0</v>
      </c>
      <c r="DD149" s="7"/>
      <c r="DE149" s="93">
        <v>0</v>
      </c>
      <c r="DF149" s="97">
        <f t="shared" ref="DF149:DF163" si="340">SUM(CH149,CJ149,CL149,CN149,CP149,CR149,CT149,CV149,CX149,CZ149,DB149,DD149)</f>
        <v>12</v>
      </c>
      <c r="DG149" s="98">
        <f t="shared" ref="DG149:DG163" si="341">DF149*$E149</f>
        <v>8.3999999999999986</v>
      </c>
      <c r="DH149" s="79"/>
      <c r="DI149" s="79">
        <v>0</v>
      </c>
      <c r="DJ149" s="154"/>
      <c r="DK149" s="212">
        <f t="shared" ref="DK149:DK162" si="342">DJ149*$E149</f>
        <v>0</v>
      </c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99">
        <f>SUM(DH149,DJ149,DL149,DN149,DP149,DR149,DT149,DV149,DX149,DZ149,EB149,ED149)</f>
        <v>0</v>
      </c>
      <c r="EG149" s="99">
        <f>SUM(DI149,DK149,DM149,DO149,DQ149,DS149,DU149,DW149,DY149,EA149,EC149,EE149)</f>
        <v>0</v>
      </c>
    </row>
    <row r="150" spans="1:137" ht="20.100000000000001" customHeight="1">
      <c r="A150" s="63">
        <v>120</v>
      </c>
      <c r="B150" s="63" t="s">
        <v>106</v>
      </c>
      <c r="C150" s="63" t="s">
        <v>14</v>
      </c>
      <c r="D150" s="63">
        <f t="shared" si="289"/>
        <v>7</v>
      </c>
      <c r="E150" s="63">
        <v>0.35</v>
      </c>
      <c r="F150" s="63" t="s">
        <v>24</v>
      </c>
      <c r="G150" s="63">
        <v>2000</v>
      </c>
      <c r="H150" s="7">
        <v>72</v>
      </c>
      <c r="I150" s="93">
        <f t="shared" si="290"/>
        <v>25.2</v>
      </c>
      <c r="J150" s="7">
        <v>6</v>
      </c>
      <c r="K150" s="93">
        <f t="shared" si="291"/>
        <v>2.0999999999999996</v>
      </c>
      <c r="L150" s="7"/>
      <c r="M150" s="93">
        <f t="shared" si="292"/>
        <v>0</v>
      </c>
      <c r="N150" s="7">
        <v>144</v>
      </c>
      <c r="O150" s="93">
        <f t="shared" si="293"/>
        <v>50.4</v>
      </c>
      <c r="P150" s="7">
        <v>34</v>
      </c>
      <c r="Q150" s="93">
        <f t="shared" si="294"/>
        <v>11.899999999999999</v>
      </c>
      <c r="R150" s="7">
        <v>6</v>
      </c>
      <c r="S150" s="93">
        <f t="shared" si="295"/>
        <v>2.0999999999999996</v>
      </c>
      <c r="T150" s="7">
        <v>24</v>
      </c>
      <c r="U150" s="93">
        <f t="shared" si="296"/>
        <v>8.3999999999999986</v>
      </c>
      <c r="V150" s="7">
        <v>48</v>
      </c>
      <c r="W150" s="93">
        <f t="shared" si="297"/>
        <v>16.799999999999997</v>
      </c>
      <c r="X150" s="7">
        <v>24</v>
      </c>
      <c r="Y150" s="93">
        <f t="shared" si="298"/>
        <v>8.3999999999999986</v>
      </c>
      <c r="Z150" s="7"/>
      <c r="AA150" s="93">
        <f t="shared" si="299"/>
        <v>0</v>
      </c>
      <c r="AB150" s="7"/>
      <c r="AC150" s="93">
        <f t="shared" si="300"/>
        <v>0</v>
      </c>
      <c r="AD150" s="7"/>
      <c r="AE150" s="93">
        <f t="shared" si="301"/>
        <v>0</v>
      </c>
      <c r="AF150" s="94">
        <f t="shared" ref="AF150:AF162" si="343">(AD150+AB150+Z150+X150+V150+T150+R150+P150+N150+L150+J150+H150)/1</f>
        <v>358</v>
      </c>
      <c r="AG150" s="95">
        <f t="shared" ref="AG150:AG162" si="344">AF150*$E150</f>
        <v>125.3</v>
      </c>
      <c r="AH150" s="7">
        <v>102</v>
      </c>
      <c r="AI150" s="93">
        <f t="shared" si="304"/>
        <v>35.699999999999996</v>
      </c>
      <c r="AJ150" s="7">
        <v>6</v>
      </c>
      <c r="AK150" s="93">
        <f t="shared" si="305"/>
        <v>2.0999999999999996</v>
      </c>
      <c r="AL150" s="7"/>
      <c r="AM150" s="93">
        <f t="shared" si="306"/>
        <v>0</v>
      </c>
      <c r="AN150" s="7">
        <v>1</v>
      </c>
      <c r="AO150" s="93">
        <f t="shared" si="307"/>
        <v>0.35</v>
      </c>
      <c r="AP150" s="7"/>
      <c r="AQ150" s="93">
        <f t="shared" si="308"/>
        <v>0</v>
      </c>
      <c r="AR150" s="7"/>
      <c r="AS150" s="93">
        <f t="shared" si="309"/>
        <v>0</v>
      </c>
      <c r="AT150" s="7"/>
      <c r="AU150" s="93">
        <f t="shared" si="310"/>
        <v>0</v>
      </c>
      <c r="AV150" s="7"/>
      <c r="AW150" s="93">
        <f t="shared" si="311"/>
        <v>0</v>
      </c>
      <c r="AX150" s="7"/>
      <c r="AY150" s="93">
        <f t="shared" si="312"/>
        <v>0</v>
      </c>
      <c r="AZ150" s="7">
        <v>12</v>
      </c>
      <c r="BA150" s="93">
        <f t="shared" si="313"/>
        <v>4.1999999999999993</v>
      </c>
      <c r="BB150" s="7">
        <v>12</v>
      </c>
      <c r="BC150" s="93">
        <f t="shared" si="314"/>
        <v>4.1999999999999993</v>
      </c>
      <c r="BD150" s="7">
        <v>48</v>
      </c>
      <c r="BE150" s="93">
        <f t="shared" si="315"/>
        <v>16.799999999999997</v>
      </c>
      <c r="BF150" s="94">
        <f t="shared" ref="BF150:BF162" si="345">(BD150+BB150+AZ150+AX150+AV150+AT150+AR150+AP150+AN150+AL150+AJ150+AH150)/1</f>
        <v>181</v>
      </c>
      <c r="BG150" s="95">
        <f t="shared" ref="BG150:BG162" si="346">BF150*$E150</f>
        <v>63.349999999999994</v>
      </c>
      <c r="BH150" s="7">
        <v>48</v>
      </c>
      <c r="BI150" s="93">
        <f t="shared" si="318"/>
        <v>16.799999999999997</v>
      </c>
      <c r="BJ150" s="7">
        <v>28</v>
      </c>
      <c r="BK150" s="93">
        <f t="shared" si="319"/>
        <v>9.7999999999999989</v>
      </c>
      <c r="BL150" s="7">
        <v>112</v>
      </c>
      <c r="BM150" s="93">
        <f t="shared" si="320"/>
        <v>39.199999999999996</v>
      </c>
      <c r="BN150" s="7"/>
      <c r="BO150" s="93">
        <f t="shared" si="321"/>
        <v>0</v>
      </c>
      <c r="BP150" s="7"/>
      <c r="BQ150" s="93">
        <f t="shared" si="322"/>
        <v>0</v>
      </c>
      <c r="BR150" s="7"/>
      <c r="BS150" s="93">
        <f t="shared" si="323"/>
        <v>0</v>
      </c>
      <c r="BT150" s="7"/>
      <c r="BU150" s="93">
        <f t="shared" si="324"/>
        <v>0</v>
      </c>
      <c r="BV150" s="7">
        <v>48</v>
      </c>
      <c r="BW150" s="93">
        <f t="shared" si="325"/>
        <v>16.799999999999997</v>
      </c>
      <c r="BX150" s="7"/>
      <c r="BY150" s="93">
        <f t="shared" si="326"/>
        <v>0</v>
      </c>
      <c r="BZ150" s="7"/>
      <c r="CA150" s="93">
        <f t="shared" si="327"/>
        <v>0</v>
      </c>
      <c r="CB150" s="7">
        <v>1</v>
      </c>
      <c r="CC150" s="93">
        <f t="shared" si="328"/>
        <v>0.35</v>
      </c>
      <c r="CD150" s="7">
        <v>10</v>
      </c>
      <c r="CE150" s="93">
        <f t="shared" si="329"/>
        <v>3.5</v>
      </c>
      <c r="CF150" s="94">
        <f t="shared" ref="CF150:CF162" si="347">(CD150+CB150+BZ150+BX150+BV150+BT150+BR150+BP150+BN150+BL150+BJ150+BH150)/1</f>
        <v>247</v>
      </c>
      <c r="CG150" s="95">
        <f t="shared" ref="CG150:CG162" si="348">CF150*$E150</f>
        <v>86.449999999999989</v>
      </c>
      <c r="CH150" s="7"/>
      <c r="CI150" s="93">
        <f t="shared" si="332"/>
        <v>0</v>
      </c>
      <c r="CJ150" s="7"/>
      <c r="CK150" s="93">
        <f t="shared" si="333"/>
        <v>0</v>
      </c>
      <c r="CL150" s="7"/>
      <c r="CM150" s="93">
        <f t="shared" si="334"/>
        <v>0</v>
      </c>
      <c r="CN150" s="7"/>
      <c r="CO150" s="93">
        <f t="shared" si="335"/>
        <v>0</v>
      </c>
      <c r="CP150" s="7"/>
      <c r="CQ150" s="93">
        <f t="shared" si="336"/>
        <v>0</v>
      </c>
      <c r="CR150" s="7">
        <v>3</v>
      </c>
      <c r="CS150" s="93">
        <f t="shared" si="337"/>
        <v>1.0499999999999998</v>
      </c>
      <c r="CT150" s="7">
        <v>3</v>
      </c>
      <c r="CU150" s="93">
        <f t="shared" si="338"/>
        <v>1.0499999999999998</v>
      </c>
      <c r="CV150" s="7"/>
      <c r="CW150" s="93">
        <f t="shared" si="339"/>
        <v>0</v>
      </c>
      <c r="CX150" s="7"/>
      <c r="CY150" s="93">
        <v>0</v>
      </c>
      <c r="CZ150" s="7"/>
      <c r="DA150" s="93">
        <v>0</v>
      </c>
      <c r="DB150" s="7"/>
      <c r="DC150" s="93">
        <v>0</v>
      </c>
      <c r="DD150" s="7"/>
      <c r="DE150" s="93">
        <v>0</v>
      </c>
      <c r="DF150" s="97">
        <f t="shared" si="340"/>
        <v>6</v>
      </c>
      <c r="DG150" s="98">
        <f t="shared" si="341"/>
        <v>2.0999999999999996</v>
      </c>
      <c r="DH150" s="79"/>
      <c r="DI150" s="79">
        <v>0</v>
      </c>
      <c r="DJ150" s="154"/>
      <c r="DK150" s="212">
        <f t="shared" si="342"/>
        <v>0</v>
      </c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99">
        <f t="shared" ref="EF150:EF163" si="349">SUM(DH150,DJ150,DL150,DN150,DP150,DR150,DT150,DV150,DX150,DZ150,EB150,ED150)</f>
        <v>0</v>
      </c>
      <c r="EG150" s="99">
        <f t="shared" ref="EG150:EG163" si="350">SUM(DI150,DK150,DM150,DO150,DQ150,DS150,DU150,DW150,DY150,EA150,EC150,EE150)</f>
        <v>0</v>
      </c>
    </row>
    <row r="151" spans="1:137" ht="20.100000000000001" customHeight="1">
      <c r="A151" s="63">
        <v>121</v>
      </c>
      <c r="B151" s="63" t="s">
        <v>107</v>
      </c>
      <c r="C151" s="63" t="s">
        <v>14</v>
      </c>
      <c r="D151" s="63">
        <f t="shared" si="289"/>
        <v>8</v>
      </c>
      <c r="E151" s="63">
        <v>0.17499999999999999</v>
      </c>
      <c r="F151" s="63" t="s">
        <v>108</v>
      </c>
      <c r="G151" s="63">
        <v>1100</v>
      </c>
      <c r="H151" s="7"/>
      <c r="I151" s="93">
        <f t="shared" si="290"/>
        <v>0</v>
      </c>
      <c r="J151" s="7"/>
      <c r="K151" s="93">
        <f t="shared" si="291"/>
        <v>0</v>
      </c>
      <c r="L151" s="7"/>
      <c r="M151" s="93">
        <f t="shared" si="292"/>
        <v>0</v>
      </c>
      <c r="N151" s="7"/>
      <c r="O151" s="93">
        <f t="shared" si="293"/>
        <v>0</v>
      </c>
      <c r="P151" s="7"/>
      <c r="Q151" s="93">
        <f t="shared" si="294"/>
        <v>0</v>
      </c>
      <c r="R151" s="7"/>
      <c r="S151" s="93">
        <f t="shared" si="295"/>
        <v>0</v>
      </c>
      <c r="T151" s="7"/>
      <c r="U151" s="93">
        <f t="shared" si="296"/>
        <v>0</v>
      </c>
      <c r="V151" s="7"/>
      <c r="W151" s="93">
        <f t="shared" si="297"/>
        <v>0</v>
      </c>
      <c r="X151" s="7"/>
      <c r="Y151" s="93">
        <f t="shared" si="298"/>
        <v>0</v>
      </c>
      <c r="Z151" s="7"/>
      <c r="AA151" s="93">
        <f t="shared" si="299"/>
        <v>0</v>
      </c>
      <c r="AB151" s="7"/>
      <c r="AC151" s="93">
        <f t="shared" si="300"/>
        <v>0</v>
      </c>
      <c r="AD151" s="7"/>
      <c r="AE151" s="93">
        <f t="shared" si="301"/>
        <v>0</v>
      </c>
      <c r="AF151" s="94">
        <f t="shared" si="343"/>
        <v>0</v>
      </c>
      <c r="AG151" s="95">
        <f t="shared" si="344"/>
        <v>0</v>
      </c>
      <c r="AH151" s="7"/>
      <c r="AI151" s="93">
        <f t="shared" si="304"/>
        <v>0</v>
      </c>
      <c r="AJ151" s="7"/>
      <c r="AK151" s="93">
        <f t="shared" si="305"/>
        <v>0</v>
      </c>
      <c r="AL151" s="7"/>
      <c r="AM151" s="93">
        <f t="shared" si="306"/>
        <v>0</v>
      </c>
      <c r="AN151" s="7"/>
      <c r="AO151" s="93">
        <f t="shared" si="307"/>
        <v>0</v>
      </c>
      <c r="AP151" s="7"/>
      <c r="AQ151" s="93">
        <f t="shared" si="308"/>
        <v>0</v>
      </c>
      <c r="AR151" s="7"/>
      <c r="AS151" s="93">
        <f t="shared" si="309"/>
        <v>0</v>
      </c>
      <c r="AT151" s="7"/>
      <c r="AU151" s="93">
        <f t="shared" si="310"/>
        <v>0</v>
      </c>
      <c r="AV151" s="7"/>
      <c r="AW151" s="93">
        <f t="shared" si="311"/>
        <v>0</v>
      </c>
      <c r="AX151" s="7"/>
      <c r="AY151" s="93">
        <f t="shared" si="312"/>
        <v>0</v>
      </c>
      <c r="AZ151" s="7"/>
      <c r="BA151" s="93">
        <f t="shared" si="313"/>
        <v>0</v>
      </c>
      <c r="BB151" s="7"/>
      <c r="BC151" s="93">
        <f t="shared" si="314"/>
        <v>0</v>
      </c>
      <c r="BD151" s="7"/>
      <c r="BE151" s="93">
        <f t="shared" si="315"/>
        <v>0</v>
      </c>
      <c r="BF151" s="94">
        <f t="shared" si="345"/>
        <v>0</v>
      </c>
      <c r="BG151" s="95">
        <f t="shared" si="346"/>
        <v>0</v>
      </c>
      <c r="BH151" s="7"/>
      <c r="BI151" s="93">
        <f t="shared" si="318"/>
        <v>0</v>
      </c>
      <c r="BJ151" s="7">
        <v>55</v>
      </c>
      <c r="BK151" s="93">
        <f t="shared" si="319"/>
        <v>9.625</v>
      </c>
      <c r="BL151" s="7">
        <v>270</v>
      </c>
      <c r="BM151" s="93">
        <f t="shared" si="320"/>
        <v>47.25</v>
      </c>
      <c r="BN151" s="7"/>
      <c r="BO151" s="93">
        <f t="shared" si="321"/>
        <v>0</v>
      </c>
      <c r="BP151" s="7"/>
      <c r="BQ151" s="93">
        <f t="shared" si="322"/>
        <v>0</v>
      </c>
      <c r="BR151" s="7"/>
      <c r="BS151" s="93">
        <f t="shared" si="323"/>
        <v>0</v>
      </c>
      <c r="BT151" s="7"/>
      <c r="BU151" s="93">
        <f t="shared" si="324"/>
        <v>0</v>
      </c>
      <c r="BV151" s="7"/>
      <c r="BW151" s="93">
        <f t="shared" si="325"/>
        <v>0</v>
      </c>
      <c r="BX151" s="7"/>
      <c r="BY151" s="93">
        <f t="shared" si="326"/>
        <v>0</v>
      </c>
      <c r="BZ151" s="7"/>
      <c r="CA151" s="93">
        <f t="shared" si="327"/>
        <v>0</v>
      </c>
      <c r="CB151" s="7"/>
      <c r="CC151" s="93">
        <f t="shared" si="328"/>
        <v>0</v>
      </c>
      <c r="CD151" s="7"/>
      <c r="CE151" s="93">
        <f t="shared" si="329"/>
        <v>0</v>
      </c>
      <c r="CF151" s="94">
        <f t="shared" si="347"/>
        <v>325</v>
      </c>
      <c r="CG151" s="95">
        <f t="shared" si="348"/>
        <v>56.874999999999993</v>
      </c>
      <c r="CH151" s="7"/>
      <c r="CI151" s="93">
        <f t="shared" si="332"/>
        <v>0</v>
      </c>
      <c r="CJ151" s="7"/>
      <c r="CK151" s="93">
        <f t="shared" si="333"/>
        <v>0</v>
      </c>
      <c r="CL151" s="7"/>
      <c r="CM151" s="93">
        <f t="shared" si="334"/>
        <v>0</v>
      </c>
      <c r="CN151" s="7"/>
      <c r="CO151" s="93">
        <f t="shared" si="335"/>
        <v>0</v>
      </c>
      <c r="CP151" s="7"/>
      <c r="CQ151" s="93">
        <f t="shared" si="336"/>
        <v>0</v>
      </c>
      <c r="CR151" s="7"/>
      <c r="CS151" s="93">
        <f t="shared" si="337"/>
        <v>0</v>
      </c>
      <c r="CT151" s="7"/>
      <c r="CU151" s="93">
        <f t="shared" si="338"/>
        <v>0</v>
      </c>
      <c r="CV151" s="7"/>
      <c r="CW151" s="93">
        <f t="shared" si="339"/>
        <v>0</v>
      </c>
      <c r="CX151" s="7"/>
      <c r="CY151" s="93">
        <v>0</v>
      </c>
      <c r="CZ151" s="7"/>
      <c r="DA151" s="93">
        <v>0</v>
      </c>
      <c r="DB151" s="7"/>
      <c r="DC151" s="93">
        <v>0</v>
      </c>
      <c r="DD151" s="7"/>
      <c r="DE151" s="93">
        <v>0</v>
      </c>
      <c r="DF151" s="97">
        <f t="shared" si="340"/>
        <v>0</v>
      </c>
      <c r="DG151" s="98">
        <f t="shared" si="341"/>
        <v>0</v>
      </c>
      <c r="DH151" s="79"/>
      <c r="DI151" s="79">
        <v>0</v>
      </c>
      <c r="DJ151" s="154"/>
      <c r="DK151" s="212">
        <f t="shared" si="342"/>
        <v>0</v>
      </c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99">
        <f t="shared" si="349"/>
        <v>0</v>
      </c>
      <c r="EG151" s="99">
        <f t="shared" si="350"/>
        <v>0</v>
      </c>
    </row>
    <row r="152" spans="1:137" ht="20.100000000000001" customHeight="1">
      <c r="A152" s="63">
        <v>122</v>
      </c>
      <c r="B152" s="63" t="s">
        <v>109</v>
      </c>
      <c r="C152" s="63" t="s">
        <v>14</v>
      </c>
      <c r="D152" s="63">
        <f t="shared" si="289"/>
        <v>4</v>
      </c>
      <c r="E152" s="63">
        <v>0.7</v>
      </c>
      <c r="F152" s="63" t="s">
        <v>15</v>
      </c>
      <c r="G152" s="63">
        <v>5200</v>
      </c>
      <c r="H152" s="7">
        <v>8306</v>
      </c>
      <c r="I152" s="93">
        <f t="shared" si="290"/>
        <v>5814.2</v>
      </c>
      <c r="J152" s="7">
        <v>1847</v>
      </c>
      <c r="K152" s="93">
        <f t="shared" si="291"/>
        <v>1292.8999999999999</v>
      </c>
      <c r="L152" s="7">
        <v>2348</v>
      </c>
      <c r="M152" s="93">
        <f t="shared" si="292"/>
        <v>1643.6</v>
      </c>
      <c r="N152" s="7">
        <v>5341</v>
      </c>
      <c r="O152" s="93">
        <f t="shared" si="293"/>
        <v>3738.7</v>
      </c>
      <c r="P152" s="7">
        <v>1829</v>
      </c>
      <c r="Q152" s="93">
        <f t="shared" si="294"/>
        <v>1280.3</v>
      </c>
      <c r="R152" s="7">
        <v>1932</v>
      </c>
      <c r="S152" s="93">
        <f t="shared" si="295"/>
        <v>1352.3999999999999</v>
      </c>
      <c r="T152" s="7">
        <v>2389</v>
      </c>
      <c r="U152" s="93">
        <f t="shared" si="296"/>
        <v>1672.3</v>
      </c>
      <c r="V152" s="7">
        <v>1652</v>
      </c>
      <c r="W152" s="93">
        <f t="shared" si="297"/>
        <v>1156.3999999999999</v>
      </c>
      <c r="X152" s="7">
        <v>906</v>
      </c>
      <c r="Y152" s="93">
        <f t="shared" si="298"/>
        <v>634.19999999999993</v>
      </c>
      <c r="Z152" s="7">
        <v>977</v>
      </c>
      <c r="AA152" s="93">
        <f t="shared" si="299"/>
        <v>683.9</v>
      </c>
      <c r="AB152" s="7">
        <v>1059</v>
      </c>
      <c r="AC152" s="93">
        <f t="shared" si="300"/>
        <v>741.3</v>
      </c>
      <c r="AD152" s="7">
        <v>1318</v>
      </c>
      <c r="AE152" s="93">
        <f t="shared" si="301"/>
        <v>922.59999999999991</v>
      </c>
      <c r="AF152" s="94">
        <f t="shared" si="343"/>
        <v>29904</v>
      </c>
      <c r="AG152" s="95">
        <f t="shared" si="344"/>
        <v>20932.8</v>
      </c>
      <c r="AH152" s="7">
        <v>1243</v>
      </c>
      <c r="AI152" s="93">
        <f t="shared" si="304"/>
        <v>870.09999999999991</v>
      </c>
      <c r="AJ152" s="7">
        <v>972</v>
      </c>
      <c r="AK152" s="93">
        <f t="shared" si="305"/>
        <v>680.4</v>
      </c>
      <c r="AL152" s="7">
        <v>910</v>
      </c>
      <c r="AM152" s="93">
        <f t="shared" si="306"/>
        <v>637</v>
      </c>
      <c r="AN152" s="7">
        <v>759</v>
      </c>
      <c r="AO152" s="93">
        <f t="shared" si="307"/>
        <v>531.29999999999995</v>
      </c>
      <c r="AP152" s="7">
        <v>837</v>
      </c>
      <c r="AQ152" s="93">
        <f t="shared" si="308"/>
        <v>585.9</v>
      </c>
      <c r="AR152" s="7">
        <v>559</v>
      </c>
      <c r="AS152" s="93">
        <f t="shared" si="309"/>
        <v>391.29999999999995</v>
      </c>
      <c r="AT152" s="7">
        <v>616</v>
      </c>
      <c r="AU152" s="93">
        <f t="shared" si="310"/>
        <v>431.2</v>
      </c>
      <c r="AV152" s="7">
        <v>671</v>
      </c>
      <c r="AW152" s="93">
        <f t="shared" si="311"/>
        <v>469.7</v>
      </c>
      <c r="AX152" s="7">
        <v>625</v>
      </c>
      <c r="AY152" s="93">
        <f t="shared" si="312"/>
        <v>437.5</v>
      </c>
      <c r="AZ152" s="7">
        <v>439</v>
      </c>
      <c r="BA152" s="93">
        <f t="shared" si="313"/>
        <v>307.29999999999995</v>
      </c>
      <c r="BB152" s="7">
        <v>471</v>
      </c>
      <c r="BC152" s="93">
        <f t="shared" si="314"/>
        <v>329.7</v>
      </c>
      <c r="BD152" s="7">
        <v>1158</v>
      </c>
      <c r="BE152" s="93">
        <f t="shared" si="315"/>
        <v>810.59999999999991</v>
      </c>
      <c r="BF152" s="94">
        <f t="shared" si="345"/>
        <v>9260</v>
      </c>
      <c r="BG152" s="95">
        <f t="shared" si="346"/>
        <v>6482</v>
      </c>
      <c r="BH152" s="7">
        <v>588</v>
      </c>
      <c r="BI152" s="93">
        <f t="shared" si="318"/>
        <v>411.59999999999997</v>
      </c>
      <c r="BJ152" s="7">
        <v>956</v>
      </c>
      <c r="BK152" s="93">
        <f t="shared" si="319"/>
        <v>669.19999999999993</v>
      </c>
      <c r="BL152" s="7">
        <v>967</v>
      </c>
      <c r="BM152" s="93">
        <f t="shared" si="320"/>
        <v>676.9</v>
      </c>
      <c r="BN152" s="7">
        <v>516</v>
      </c>
      <c r="BO152" s="93">
        <f t="shared" si="321"/>
        <v>361.2</v>
      </c>
      <c r="BP152" s="7">
        <v>220</v>
      </c>
      <c r="BQ152" s="93">
        <f t="shared" si="322"/>
        <v>154</v>
      </c>
      <c r="BR152" s="7">
        <v>623</v>
      </c>
      <c r="BS152" s="93">
        <f t="shared" si="323"/>
        <v>436.09999999999997</v>
      </c>
      <c r="BT152" s="7">
        <v>657</v>
      </c>
      <c r="BU152" s="93">
        <f t="shared" si="324"/>
        <v>459.9</v>
      </c>
      <c r="BV152" s="7">
        <v>291</v>
      </c>
      <c r="BW152" s="93">
        <f t="shared" si="325"/>
        <v>203.7</v>
      </c>
      <c r="BX152" s="7">
        <v>228</v>
      </c>
      <c r="BY152" s="93">
        <f t="shared" si="326"/>
        <v>159.6</v>
      </c>
      <c r="BZ152" s="7">
        <v>450</v>
      </c>
      <c r="CA152" s="93">
        <f t="shared" si="327"/>
        <v>315</v>
      </c>
      <c r="CB152" s="7">
        <v>234</v>
      </c>
      <c r="CC152" s="93">
        <f t="shared" si="328"/>
        <v>163.79999999999998</v>
      </c>
      <c r="CD152" s="7">
        <v>90</v>
      </c>
      <c r="CE152" s="93">
        <f t="shared" si="329"/>
        <v>62.999999999999993</v>
      </c>
      <c r="CF152" s="94">
        <f t="shared" si="347"/>
        <v>5820</v>
      </c>
      <c r="CG152" s="95">
        <f t="shared" si="348"/>
        <v>4073.9999999999995</v>
      </c>
      <c r="CH152" s="7">
        <v>61</v>
      </c>
      <c r="CI152" s="93">
        <f t="shared" si="332"/>
        <v>42.699999999999996</v>
      </c>
      <c r="CJ152" s="7">
        <v>78</v>
      </c>
      <c r="CK152" s="93">
        <f t="shared" si="333"/>
        <v>54.599999999999994</v>
      </c>
      <c r="CL152" s="7">
        <v>12</v>
      </c>
      <c r="CM152" s="93">
        <f t="shared" si="334"/>
        <v>8.3999999999999986</v>
      </c>
      <c r="CN152" s="7">
        <v>54</v>
      </c>
      <c r="CO152" s="93">
        <f t="shared" si="335"/>
        <v>37.799999999999997</v>
      </c>
      <c r="CP152" s="7">
        <v>42</v>
      </c>
      <c r="CQ152" s="93">
        <f t="shared" si="336"/>
        <v>29.4</v>
      </c>
      <c r="CR152" s="7">
        <v>26</v>
      </c>
      <c r="CS152" s="93">
        <f t="shared" si="337"/>
        <v>18.2</v>
      </c>
      <c r="CT152" s="7">
        <v>75</v>
      </c>
      <c r="CU152" s="93">
        <f t="shared" si="338"/>
        <v>52.5</v>
      </c>
      <c r="CV152" s="7">
        <v>21</v>
      </c>
      <c r="CW152" s="93">
        <f t="shared" si="339"/>
        <v>14.7</v>
      </c>
      <c r="CX152" s="7"/>
      <c r="CY152" s="93">
        <v>0</v>
      </c>
      <c r="CZ152" s="7">
        <v>96</v>
      </c>
      <c r="DA152" s="93">
        <v>67.199999999999989</v>
      </c>
      <c r="DB152" s="7"/>
      <c r="DC152" s="93">
        <v>0</v>
      </c>
      <c r="DD152" s="7"/>
      <c r="DE152" s="93">
        <v>0</v>
      </c>
      <c r="DF152" s="97">
        <f t="shared" si="340"/>
        <v>465</v>
      </c>
      <c r="DG152" s="98">
        <f t="shared" si="341"/>
        <v>325.5</v>
      </c>
      <c r="DH152" s="79">
        <v>36</v>
      </c>
      <c r="DI152" s="79">
        <v>25.2</v>
      </c>
      <c r="DJ152" s="154"/>
      <c r="DK152" s="212">
        <f t="shared" si="342"/>
        <v>0</v>
      </c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99">
        <f t="shared" si="349"/>
        <v>36</v>
      </c>
      <c r="EG152" s="99">
        <f t="shared" si="350"/>
        <v>25.2</v>
      </c>
    </row>
    <row r="153" spans="1:137" ht="20.100000000000001" customHeight="1">
      <c r="A153" s="63">
        <v>123</v>
      </c>
      <c r="B153" s="63" t="s">
        <v>110</v>
      </c>
      <c r="C153" s="63" t="s">
        <v>14</v>
      </c>
      <c r="D153" s="63">
        <f t="shared" si="289"/>
        <v>2</v>
      </c>
      <c r="E153" s="63">
        <v>0.35</v>
      </c>
      <c r="F153" s="63" t="s">
        <v>24</v>
      </c>
      <c r="G153" s="63">
        <v>2600</v>
      </c>
      <c r="H153" s="7">
        <v>8074</v>
      </c>
      <c r="I153" s="93">
        <f t="shared" si="290"/>
        <v>2825.8999999999996</v>
      </c>
      <c r="J153" s="7">
        <v>3737</v>
      </c>
      <c r="K153" s="93">
        <f t="shared" si="291"/>
        <v>1307.9499999999998</v>
      </c>
      <c r="L153" s="7">
        <v>3229</v>
      </c>
      <c r="M153" s="93">
        <f t="shared" si="292"/>
        <v>1130.1499999999999</v>
      </c>
      <c r="N153" s="7">
        <v>15733</v>
      </c>
      <c r="O153" s="93">
        <f t="shared" si="293"/>
        <v>5506.5499999999993</v>
      </c>
      <c r="P153" s="7">
        <v>2024</v>
      </c>
      <c r="Q153" s="93">
        <f t="shared" si="294"/>
        <v>708.4</v>
      </c>
      <c r="R153" s="7">
        <v>2233</v>
      </c>
      <c r="S153" s="93">
        <f t="shared" si="295"/>
        <v>781.55</v>
      </c>
      <c r="T153" s="7">
        <v>3481</v>
      </c>
      <c r="U153" s="93">
        <f t="shared" si="296"/>
        <v>1218.3499999999999</v>
      </c>
      <c r="V153" s="7">
        <v>1781</v>
      </c>
      <c r="W153" s="93">
        <f t="shared" si="297"/>
        <v>623.34999999999991</v>
      </c>
      <c r="X153" s="7">
        <v>1002</v>
      </c>
      <c r="Y153" s="93">
        <f t="shared" si="298"/>
        <v>350.7</v>
      </c>
      <c r="Z153" s="7">
        <v>1282</v>
      </c>
      <c r="AA153" s="93">
        <f t="shared" si="299"/>
        <v>448.7</v>
      </c>
      <c r="AB153" s="7">
        <v>1233</v>
      </c>
      <c r="AC153" s="93">
        <f t="shared" si="300"/>
        <v>431.54999999999995</v>
      </c>
      <c r="AD153" s="7">
        <v>2318</v>
      </c>
      <c r="AE153" s="93">
        <f t="shared" si="301"/>
        <v>811.3</v>
      </c>
      <c r="AF153" s="94">
        <f t="shared" si="343"/>
        <v>46127</v>
      </c>
      <c r="AG153" s="95">
        <f t="shared" si="344"/>
        <v>16144.449999999999</v>
      </c>
      <c r="AH153" s="7">
        <v>2052</v>
      </c>
      <c r="AI153" s="93">
        <f t="shared" si="304"/>
        <v>718.19999999999993</v>
      </c>
      <c r="AJ153" s="7">
        <v>1638</v>
      </c>
      <c r="AK153" s="93">
        <f t="shared" si="305"/>
        <v>573.29999999999995</v>
      </c>
      <c r="AL153" s="7">
        <v>925</v>
      </c>
      <c r="AM153" s="93">
        <f t="shared" si="306"/>
        <v>323.75</v>
      </c>
      <c r="AN153" s="7">
        <v>1689</v>
      </c>
      <c r="AO153" s="93">
        <f t="shared" si="307"/>
        <v>591.15</v>
      </c>
      <c r="AP153" s="7">
        <v>873</v>
      </c>
      <c r="AQ153" s="93">
        <f t="shared" si="308"/>
        <v>305.54999999999995</v>
      </c>
      <c r="AR153" s="7">
        <v>858</v>
      </c>
      <c r="AS153" s="93">
        <f t="shared" si="309"/>
        <v>300.29999999999995</v>
      </c>
      <c r="AT153" s="7">
        <v>644</v>
      </c>
      <c r="AU153" s="93">
        <f t="shared" si="310"/>
        <v>225.39999999999998</v>
      </c>
      <c r="AV153" s="7">
        <v>1074</v>
      </c>
      <c r="AW153" s="93">
        <f t="shared" si="311"/>
        <v>375.9</v>
      </c>
      <c r="AX153" s="7">
        <v>944</v>
      </c>
      <c r="AY153" s="93">
        <f t="shared" si="312"/>
        <v>330.4</v>
      </c>
      <c r="AZ153" s="7">
        <v>821</v>
      </c>
      <c r="BA153" s="93">
        <f t="shared" si="313"/>
        <v>287.34999999999997</v>
      </c>
      <c r="BB153" s="7">
        <v>688</v>
      </c>
      <c r="BC153" s="93">
        <f t="shared" si="314"/>
        <v>240.79999999999998</v>
      </c>
      <c r="BD153" s="7">
        <v>1560</v>
      </c>
      <c r="BE153" s="93">
        <f t="shared" si="315"/>
        <v>546</v>
      </c>
      <c r="BF153" s="94">
        <f t="shared" si="345"/>
        <v>13766</v>
      </c>
      <c r="BG153" s="95">
        <f t="shared" si="346"/>
        <v>4818.0999999999995</v>
      </c>
      <c r="BH153" s="7">
        <v>792</v>
      </c>
      <c r="BI153" s="93">
        <f t="shared" si="318"/>
        <v>277.2</v>
      </c>
      <c r="BJ153" s="7">
        <v>647</v>
      </c>
      <c r="BK153" s="93">
        <f t="shared" si="319"/>
        <v>226.45</v>
      </c>
      <c r="BL153" s="7">
        <v>1040</v>
      </c>
      <c r="BM153" s="93">
        <f t="shared" si="320"/>
        <v>364</v>
      </c>
      <c r="BN153" s="7">
        <v>691</v>
      </c>
      <c r="BO153" s="93">
        <f t="shared" si="321"/>
        <v>241.85</v>
      </c>
      <c r="BP153" s="7">
        <v>386</v>
      </c>
      <c r="BQ153" s="93">
        <f t="shared" si="322"/>
        <v>135.1</v>
      </c>
      <c r="BR153" s="7">
        <v>428</v>
      </c>
      <c r="BS153" s="93">
        <f t="shared" si="323"/>
        <v>149.79999999999998</v>
      </c>
      <c r="BT153" s="7">
        <v>749</v>
      </c>
      <c r="BU153" s="93">
        <f t="shared" si="324"/>
        <v>262.14999999999998</v>
      </c>
      <c r="BV153" s="7">
        <v>888</v>
      </c>
      <c r="BW153" s="93">
        <f t="shared" si="325"/>
        <v>310.79999999999995</v>
      </c>
      <c r="BX153" s="7">
        <v>684</v>
      </c>
      <c r="BY153" s="93">
        <f t="shared" si="326"/>
        <v>239.39999999999998</v>
      </c>
      <c r="BZ153" s="7">
        <v>1092</v>
      </c>
      <c r="CA153" s="93">
        <f t="shared" si="327"/>
        <v>382.2</v>
      </c>
      <c r="CB153" s="7">
        <v>936</v>
      </c>
      <c r="CC153" s="93">
        <f t="shared" si="328"/>
        <v>327.59999999999997</v>
      </c>
      <c r="CD153" s="7">
        <v>288</v>
      </c>
      <c r="CE153" s="93">
        <f t="shared" si="329"/>
        <v>100.8</v>
      </c>
      <c r="CF153" s="94">
        <f t="shared" si="347"/>
        <v>8621</v>
      </c>
      <c r="CG153" s="95">
        <f t="shared" si="348"/>
        <v>3017.35</v>
      </c>
      <c r="CH153" s="7">
        <v>96</v>
      </c>
      <c r="CI153" s="93">
        <f t="shared" si="332"/>
        <v>33.599999999999994</v>
      </c>
      <c r="CJ153" s="7">
        <v>432</v>
      </c>
      <c r="CK153" s="93">
        <f t="shared" si="333"/>
        <v>151.19999999999999</v>
      </c>
      <c r="CL153" s="7">
        <v>168</v>
      </c>
      <c r="CM153" s="93">
        <f t="shared" si="334"/>
        <v>58.8</v>
      </c>
      <c r="CN153" s="7">
        <v>244</v>
      </c>
      <c r="CO153" s="93">
        <f t="shared" si="335"/>
        <v>85.399999999999991</v>
      </c>
      <c r="CP153" s="7">
        <v>246</v>
      </c>
      <c r="CQ153" s="93">
        <f t="shared" si="336"/>
        <v>86.1</v>
      </c>
      <c r="CR153" s="7">
        <v>162</v>
      </c>
      <c r="CS153" s="93">
        <f t="shared" si="337"/>
        <v>56.699999999999996</v>
      </c>
      <c r="CT153" s="7">
        <v>276</v>
      </c>
      <c r="CU153" s="93">
        <f t="shared" si="338"/>
        <v>96.6</v>
      </c>
      <c r="CV153" s="7">
        <v>234</v>
      </c>
      <c r="CW153" s="93">
        <f t="shared" si="339"/>
        <v>81.899999999999991</v>
      </c>
      <c r="CX153" s="7">
        <v>48</v>
      </c>
      <c r="CY153" s="93">
        <v>16.799999999999997</v>
      </c>
      <c r="CZ153" s="7"/>
      <c r="DA153" s="93">
        <v>0</v>
      </c>
      <c r="DB153" s="7"/>
      <c r="DC153" s="93">
        <v>0</v>
      </c>
      <c r="DD153" s="7"/>
      <c r="DE153" s="93">
        <v>0</v>
      </c>
      <c r="DF153" s="97">
        <f t="shared" si="340"/>
        <v>1906</v>
      </c>
      <c r="DG153" s="98">
        <f t="shared" si="341"/>
        <v>667.09999999999991</v>
      </c>
      <c r="DH153" s="79"/>
      <c r="DI153" s="79">
        <v>0</v>
      </c>
      <c r="DJ153" s="154"/>
      <c r="DK153" s="212">
        <f t="shared" si="342"/>
        <v>0</v>
      </c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99">
        <f t="shared" si="349"/>
        <v>0</v>
      </c>
      <c r="EG153" s="99">
        <f t="shared" si="350"/>
        <v>0</v>
      </c>
    </row>
    <row r="154" spans="1:137" ht="20.100000000000001" customHeight="1">
      <c r="A154" s="63">
        <v>124</v>
      </c>
      <c r="B154" s="63" t="s">
        <v>111</v>
      </c>
      <c r="C154" s="63" t="s">
        <v>14</v>
      </c>
      <c r="D154" s="63">
        <f t="shared" si="289"/>
        <v>3</v>
      </c>
      <c r="E154" s="63">
        <v>0.17499999999999999</v>
      </c>
      <c r="F154" s="63" t="s">
        <v>108</v>
      </c>
      <c r="G154" s="63">
        <v>1450</v>
      </c>
      <c r="H154" s="7">
        <v>2394</v>
      </c>
      <c r="I154" s="93">
        <f t="shared" si="290"/>
        <v>418.95</v>
      </c>
      <c r="J154" s="7">
        <v>970</v>
      </c>
      <c r="K154" s="93">
        <f t="shared" si="291"/>
        <v>169.75</v>
      </c>
      <c r="L154" s="7">
        <v>814</v>
      </c>
      <c r="M154" s="93">
        <f t="shared" si="292"/>
        <v>142.44999999999999</v>
      </c>
      <c r="N154" s="7">
        <v>10591</v>
      </c>
      <c r="O154" s="93">
        <f t="shared" si="293"/>
        <v>1853.425</v>
      </c>
      <c r="P154" s="7">
        <v>948</v>
      </c>
      <c r="Q154" s="93">
        <f t="shared" si="294"/>
        <v>165.89999999999998</v>
      </c>
      <c r="R154" s="7">
        <v>1330</v>
      </c>
      <c r="S154" s="93">
        <f t="shared" si="295"/>
        <v>232.74999999999997</v>
      </c>
      <c r="T154" s="7">
        <v>703</v>
      </c>
      <c r="U154" s="93">
        <f t="shared" si="296"/>
        <v>123.02499999999999</v>
      </c>
      <c r="V154" s="7">
        <v>542</v>
      </c>
      <c r="W154" s="93">
        <f t="shared" si="297"/>
        <v>94.85</v>
      </c>
      <c r="X154" s="7">
        <v>357</v>
      </c>
      <c r="Y154" s="93">
        <f t="shared" si="298"/>
        <v>62.474999999999994</v>
      </c>
      <c r="Z154" s="7">
        <v>429</v>
      </c>
      <c r="AA154" s="93">
        <f t="shared" si="299"/>
        <v>75.074999999999989</v>
      </c>
      <c r="AB154" s="7">
        <v>370</v>
      </c>
      <c r="AC154" s="93">
        <f t="shared" si="300"/>
        <v>64.75</v>
      </c>
      <c r="AD154" s="7">
        <v>335</v>
      </c>
      <c r="AE154" s="93">
        <f t="shared" si="301"/>
        <v>58.624999999999993</v>
      </c>
      <c r="AF154" s="94">
        <f t="shared" si="343"/>
        <v>19783</v>
      </c>
      <c r="AG154" s="95">
        <f t="shared" si="344"/>
        <v>3462.0249999999996</v>
      </c>
      <c r="AH154" s="7">
        <v>838</v>
      </c>
      <c r="AI154" s="93">
        <f t="shared" si="304"/>
        <v>146.64999999999998</v>
      </c>
      <c r="AJ154" s="7">
        <v>532</v>
      </c>
      <c r="AK154" s="93">
        <f t="shared" si="305"/>
        <v>93.1</v>
      </c>
      <c r="AL154" s="7">
        <v>158</v>
      </c>
      <c r="AM154" s="93">
        <f t="shared" si="306"/>
        <v>27.65</v>
      </c>
      <c r="AN154" s="7">
        <v>492</v>
      </c>
      <c r="AO154" s="93">
        <f t="shared" si="307"/>
        <v>86.1</v>
      </c>
      <c r="AP154" s="7">
        <v>227</v>
      </c>
      <c r="AQ154" s="93">
        <f t="shared" si="308"/>
        <v>39.724999999999994</v>
      </c>
      <c r="AR154" s="7">
        <v>272</v>
      </c>
      <c r="AS154" s="93">
        <f t="shared" si="309"/>
        <v>47.599999999999994</v>
      </c>
      <c r="AT154" s="7">
        <v>245</v>
      </c>
      <c r="AU154" s="93">
        <f t="shared" si="310"/>
        <v>42.875</v>
      </c>
      <c r="AV154" s="7">
        <v>197</v>
      </c>
      <c r="AW154" s="93">
        <f t="shared" si="311"/>
        <v>34.474999999999994</v>
      </c>
      <c r="AX154" s="7">
        <v>392</v>
      </c>
      <c r="AY154" s="93">
        <f t="shared" si="312"/>
        <v>68.599999999999994</v>
      </c>
      <c r="AZ154" s="7">
        <v>940</v>
      </c>
      <c r="BA154" s="93">
        <f t="shared" si="313"/>
        <v>164.5</v>
      </c>
      <c r="BB154" s="7">
        <v>160</v>
      </c>
      <c r="BC154" s="93">
        <f t="shared" si="314"/>
        <v>28</v>
      </c>
      <c r="BD154" s="7">
        <v>2595</v>
      </c>
      <c r="BE154" s="93">
        <f t="shared" si="315"/>
        <v>454.12499999999994</v>
      </c>
      <c r="BF154" s="94">
        <f t="shared" si="345"/>
        <v>7048</v>
      </c>
      <c r="BG154" s="95">
        <f t="shared" si="346"/>
        <v>1233.3999999999999</v>
      </c>
      <c r="BH154" s="7">
        <v>48</v>
      </c>
      <c r="BI154" s="93">
        <f t="shared" si="318"/>
        <v>8.3999999999999986</v>
      </c>
      <c r="BJ154" s="7">
        <v>268</v>
      </c>
      <c r="BK154" s="93">
        <f t="shared" si="319"/>
        <v>46.9</v>
      </c>
      <c r="BL154" s="7">
        <v>520</v>
      </c>
      <c r="BM154" s="93">
        <f t="shared" si="320"/>
        <v>91</v>
      </c>
      <c r="BN154" s="7">
        <v>526</v>
      </c>
      <c r="BO154" s="93">
        <f t="shared" si="321"/>
        <v>92.05</v>
      </c>
      <c r="BP154" s="7">
        <v>234</v>
      </c>
      <c r="BQ154" s="93">
        <f t="shared" si="322"/>
        <v>40.949999999999996</v>
      </c>
      <c r="BR154" s="7">
        <v>437</v>
      </c>
      <c r="BS154" s="93">
        <f t="shared" si="323"/>
        <v>76.474999999999994</v>
      </c>
      <c r="BT154" s="7">
        <v>118</v>
      </c>
      <c r="BU154" s="93">
        <f t="shared" si="324"/>
        <v>20.65</v>
      </c>
      <c r="BV154" s="7">
        <v>612</v>
      </c>
      <c r="BW154" s="93">
        <f t="shared" si="325"/>
        <v>107.1</v>
      </c>
      <c r="BX154" s="7">
        <v>294</v>
      </c>
      <c r="BY154" s="93">
        <f t="shared" si="326"/>
        <v>51.449999999999996</v>
      </c>
      <c r="BZ154" s="7">
        <v>237</v>
      </c>
      <c r="CA154" s="93">
        <f t="shared" si="327"/>
        <v>41.474999999999994</v>
      </c>
      <c r="CB154" s="7">
        <v>258</v>
      </c>
      <c r="CC154" s="93">
        <f t="shared" si="328"/>
        <v>45.15</v>
      </c>
      <c r="CD154" s="7">
        <v>12</v>
      </c>
      <c r="CE154" s="93">
        <f t="shared" si="329"/>
        <v>2.0999999999999996</v>
      </c>
      <c r="CF154" s="94">
        <f t="shared" si="347"/>
        <v>3564</v>
      </c>
      <c r="CG154" s="95">
        <f t="shared" si="348"/>
        <v>623.69999999999993</v>
      </c>
      <c r="CH154" s="7">
        <v>240</v>
      </c>
      <c r="CI154" s="93">
        <f t="shared" si="332"/>
        <v>42</v>
      </c>
      <c r="CJ154" s="7">
        <v>30</v>
      </c>
      <c r="CK154" s="93">
        <f t="shared" si="333"/>
        <v>5.25</v>
      </c>
      <c r="CL154" s="7"/>
      <c r="CM154" s="93">
        <f t="shared" si="334"/>
        <v>0</v>
      </c>
      <c r="CN154" s="7">
        <v>22</v>
      </c>
      <c r="CO154" s="93">
        <f t="shared" si="335"/>
        <v>3.8499999999999996</v>
      </c>
      <c r="CP154" s="7">
        <v>211</v>
      </c>
      <c r="CQ154" s="93">
        <f t="shared" si="336"/>
        <v>36.924999999999997</v>
      </c>
      <c r="CR154" s="7">
        <v>79</v>
      </c>
      <c r="CS154" s="93">
        <f t="shared" si="337"/>
        <v>13.824999999999999</v>
      </c>
      <c r="CT154" s="7">
        <v>156</v>
      </c>
      <c r="CU154" s="93">
        <f t="shared" si="338"/>
        <v>27.299999999999997</v>
      </c>
      <c r="CV154" s="7">
        <v>30</v>
      </c>
      <c r="CW154" s="93">
        <f t="shared" si="339"/>
        <v>5.25</v>
      </c>
      <c r="CX154" s="7"/>
      <c r="CY154" s="93">
        <v>0</v>
      </c>
      <c r="CZ154" s="7"/>
      <c r="DA154" s="93">
        <v>0</v>
      </c>
      <c r="DB154" s="7">
        <v>10</v>
      </c>
      <c r="DC154" s="93">
        <v>1.75</v>
      </c>
      <c r="DD154" s="7"/>
      <c r="DE154" s="93">
        <v>0</v>
      </c>
      <c r="DF154" s="97">
        <f t="shared" si="340"/>
        <v>778</v>
      </c>
      <c r="DG154" s="98">
        <f t="shared" si="341"/>
        <v>136.14999999999998</v>
      </c>
      <c r="DH154" s="79"/>
      <c r="DI154" s="79">
        <v>0</v>
      </c>
      <c r="DJ154" s="154">
        <v>12</v>
      </c>
      <c r="DK154" s="212">
        <f t="shared" si="342"/>
        <v>2.0999999999999996</v>
      </c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99">
        <f t="shared" si="349"/>
        <v>12</v>
      </c>
      <c r="EG154" s="99">
        <f t="shared" si="350"/>
        <v>2.0999999999999996</v>
      </c>
    </row>
    <row r="155" spans="1:137" ht="20.100000000000001" customHeight="1">
      <c r="A155" s="63">
        <v>125</v>
      </c>
      <c r="B155" s="63" t="s">
        <v>112</v>
      </c>
      <c r="C155" s="63" t="s">
        <v>14</v>
      </c>
      <c r="D155" s="63">
        <f t="shared" si="289"/>
        <v>8</v>
      </c>
      <c r="E155" s="63">
        <v>0.7</v>
      </c>
      <c r="F155" s="63" t="s">
        <v>15</v>
      </c>
      <c r="G155" s="63"/>
      <c r="H155" s="7">
        <v>10</v>
      </c>
      <c r="I155" s="93">
        <f t="shared" si="290"/>
        <v>7</v>
      </c>
      <c r="J155" s="7"/>
      <c r="K155" s="93">
        <f t="shared" si="291"/>
        <v>0</v>
      </c>
      <c r="L155" s="7">
        <v>60</v>
      </c>
      <c r="M155" s="93">
        <f t="shared" si="292"/>
        <v>42</v>
      </c>
      <c r="N155" s="7">
        <v>60</v>
      </c>
      <c r="O155" s="93">
        <f t="shared" si="293"/>
        <v>42</v>
      </c>
      <c r="P155" s="7"/>
      <c r="Q155" s="93">
        <f t="shared" si="294"/>
        <v>0</v>
      </c>
      <c r="R155" s="7">
        <v>60</v>
      </c>
      <c r="S155" s="93">
        <f t="shared" si="295"/>
        <v>42</v>
      </c>
      <c r="T155" s="7">
        <v>38</v>
      </c>
      <c r="U155" s="93">
        <f t="shared" si="296"/>
        <v>26.599999999999998</v>
      </c>
      <c r="V155" s="7">
        <v>180</v>
      </c>
      <c r="W155" s="93">
        <f t="shared" si="297"/>
        <v>125.99999999999999</v>
      </c>
      <c r="X155" s="7"/>
      <c r="Y155" s="93">
        <f t="shared" si="298"/>
        <v>0</v>
      </c>
      <c r="Z155" s="7">
        <v>60</v>
      </c>
      <c r="AA155" s="93">
        <f t="shared" si="299"/>
        <v>42</v>
      </c>
      <c r="AB155" s="7">
        <v>132</v>
      </c>
      <c r="AC155" s="93">
        <f t="shared" si="300"/>
        <v>92.399999999999991</v>
      </c>
      <c r="AD155" s="7">
        <v>156</v>
      </c>
      <c r="AE155" s="93">
        <f t="shared" si="301"/>
        <v>109.19999999999999</v>
      </c>
      <c r="AF155" s="94">
        <f t="shared" si="343"/>
        <v>756</v>
      </c>
      <c r="AG155" s="95">
        <f t="shared" si="344"/>
        <v>529.19999999999993</v>
      </c>
      <c r="AH155" s="7">
        <v>84</v>
      </c>
      <c r="AI155" s="93">
        <f t="shared" si="304"/>
        <v>58.8</v>
      </c>
      <c r="AJ155" s="7">
        <v>216</v>
      </c>
      <c r="AK155" s="93">
        <f t="shared" si="305"/>
        <v>151.19999999999999</v>
      </c>
      <c r="AL155" s="7">
        <v>36</v>
      </c>
      <c r="AM155" s="93">
        <f t="shared" si="306"/>
        <v>25.2</v>
      </c>
      <c r="AN155" s="7">
        <v>96</v>
      </c>
      <c r="AO155" s="93">
        <f t="shared" si="307"/>
        <v>67.199999999999989</v>
      </c>
      <c r="AP155" s="7">
        <v>96</v>
      </c>
      <c r="AQ155" s="93">
        <f t="shared" si="308"/>
        <v>67.199999999999989</v>
      </c>
      <c r="AR155" s="7">
        <v>96</v>
      </c>
      <c r="AS155" s="93">
        <f t="shared" si="309"/>
        <v>67.199999999999989</v>
      </c>
      <c r="AT155" s="7">
        <v>156</v>
      </c>
      <c r="AU155" s="93">
        <f t="shared" si="310"/>
        <v>109.19999999999999</v>
      </c>
      <c r="AV155" s="7">
        <v>120</v>
      </c>
      <c r="AW155" s="93">
        <f t="shared" si="311"/>
        <v>84</v>
      </c>
      <c r="AX155" s="7">
        <v>228</v>
      </c>
      <c r="AY155" s="93">
        <f t="shared" si="312"/>
        <v>159.6</v>
      </c>
      <c r="AZ155" s="7">
        <v>180</v>
      </c>
      <c r="BA155" s="93">
        <f t="shared" si="313"/>
        <v>125.99999999999999</v>
      </c>
      <c r="BB155" s="7">
        <v>216</v>
      </c>
      <c r="BC155" s="93">
        <f t="shared" si="314"/>
        <v>151.19999999999999</v>
      </c>
      <c r="BD155" s="7">
        <v>540</v>
      </c>
      <c r="BE155" s="93">
        <f t="shared" si="315"/>
        <v>378</v>
      </c>
      <c r="BF155" s="94">
        <f t="shared" si="345"/>
        <v>2064</v>
      </c>
      <c r="BG155" s="95">
        <f t="shared" si="346"/>
        <v>1444.8</v>
      </c>
      <c r="BH155" s="7">
        <v>240</v>
      </c>
      <c r="BI155" s="93">
        <f t="shared" si="318"/>
        <v>168</v>
      </c>
      <c r="BJ155" s="7">
        <v>228</v>
      </c>
      <c r="BK155" s="93">
        <f t="shared" si="319"/>
        <v>159.6</v>
      </c>
      <c r="BL155" s="7">
        <v>384</v>
      </c>
      <c r="BM155" s="93">
        <f t="shared" si="320"/>
        <v>268.79999999999995</v>
      </c>
      <c r="BN155" s="7">
        <v>180</v>
      </c>
      <c r="BO155" s="93">
        <f t="shared" si="321"/>
        <v>125.99999999999999</v>
      </c>
      <c r="BP155" s="7">
        <v>228</v>
      </c>
      <c r="BQ155" s="93">
        <f t="shared" si="322"/>
        <v>159.6</v>
      </c>
      <c r="BR155" s="7">
        <v>144</v>
      </c>
      <c r="BS155" s="93">
        <f t="shared" si="323"/>
        <v>100.8</v>
      </c>
      <c r="BT155" s="7">
        <v>504</v>
      </c>
      <c r="BU155" s="93">
        <f t="shared" si="324"/>
        <v>352.79999999999995</v>
      </c>
      <c r="BV155" s="7">
        <v>408</v>
      </c>
      <c r="BW155" s="93">
        <f t="shared" si="325"/>
        <v>285.59999999999997</v>
      </c>
      <c r="BX155" s="7"/>
      <c r="BY155" s="93">
        <f t="shared" si="326"/>
        <v>0</v>
      </c>
      <c r="BZ155" s="7"/>
      <c r="CA155" s="93">
        <f t="shared" si="327"/>
        <v>0</v>
      </c>
      <c r="CB155" s="7"/>
      <c r="CC155" s="93">
        <f t="shared" si="328"/>
        <v>0</v>
      </c>
      <c r="CD155" s="7"/>
      <c r="CE155" s="93">
        <f t="shared" si="329"/>
        <v>0</v>
      </c>
      <c r="CF155" s="94">
        <f t="shared" si="347"/>
        <v>2316</v>
      </c>
      <c r="CG155" s="95">
        <f t="shared" si="348"/>
        <v>1621.1999999999998</v>
      </c>
      <c r="CH155" s="7"/>
      <c r="CI155" s="93">
        <f t="shared" si="332"/>
        <v>0</v>
      </c>
      <c r="CJ155" s="7"/>
      <c r="CK155" s="93">
        <f t="shared" si="333"/>
        <v>0</v>
      </c>
      <c r="CL155" s="7"/>
      <c r="CM155" s="93">
        <f t="shared" si="334"/>
        <v>0</v>
      </c>
      <c r="CN155" s="7"/>
      <c r="CO155" s="93">
        <f t="shared" si="335"/>
        <v>0</v>
      </c>
      <c r="CP155" s="7"/>
      <c r="CQ155" s="93">
        <f t="shared" si="336"/>
        <v>0</v>
      </c>
      <c r="CR155" s="7"/>
      <c r="CS155" s="93">
        <f t="shared" si="337"/>
        <v>0</v>
      </c>
      <c r="CT155" s="7"/>
      <c r="CU155" s="93">
        <f t="shared" si="338"/>
        <v>0</v>
      </c>
      <c r="CV155" s="7"/>
      <c r="CW155" s="93">
        <f t="shared" si="339"/>
        <v>0</v>
      </c>
      <c r="CX155" s="7"/>
      <c r="CY155" s="93">
        <v>0</v>
      </c>
      <c r="CZ155" s="7"/>
      <c r="DA155" s="93">
        <v>0</v>
      </c>
      <c r="DB155" s="7"/>
      <c r="DC155" s="93"/>
      <c r="DD155" s="7"/>
      <c r="DE155" s="93">
        <v>0</v>
      </c>
      <c r="DF155" s="97">
        <f t="shared" si="340"/>
        <v>0</v>
      </c>
      <c r="DG155" s="98">
        <f t="shared" si="341"/>
        <v>0</v>
      </c>
      <c r="DH155" s="79"/>
      <c r="DI155" s="79">
        <v>0</v>
      </c>
      <c r="DJ155" s="154"/>
      <c r="DK155" s="212">
        <f t="shared" si="342"/>
        <v>0</v>
      </c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99">
        <f t="shared" si="349"/>
        <v>0</v>
      </c>
      <c r="EG155" s="99">
        <f t="shared" si="350"/>
        <v>0</v>
      </c>
    </row>
    <row r="156" spans="1:137" ht="20.100000000000001" customHeight="1">
      <c r="A156" s="63">
        <v>126</v>
      </c>
      <c r="B156" s="63" t="s">
        <v>213</v>
      </c>
      <c r="C156" s="63" t="s">
        <v>14</v>
      </c>
      <c r="D156" s="63">
        <f t="shared" si="289"/>
        <v>1</v>
      </c>
      <c r="E156" s="63">
        <v>0.7</v>
      </c>
      <c r="F156" s="63" t="s">
        <v>209</v>
      </c>
      <c r="G156" s="63">
        <v>5000</v>
      </c>
      <c r="H156" s="7"/>
      <c r="I156" s="93"/>
      <c r="J156" s="7"/>
      <c r="K156" s="93"/>
      <c r="L156" s="7"/>
      <c r="M156" s="93"/>
      <c r="N156" s="7"/>
      <c r="O156" s="93"/>
      <c r="P156" s="7"/>
      <c r="Q156" s="93"/>
      <c r="R156" s="7"/>
      <c r="S156" s="93"/>
      <c r="T156" s="7"/>
      <c r="U156" s="93"/>
      <c r="V156" s="7"/>
      <c r="W156" s="93"/>
      <c r="X156" s="7"/>
      <c r="Y156" s="93"/>
      <c r="Z156" s="7"/>
      <c r="AA156" s="93"/>
      <c r="AB156" s="7"/>
      <c r="AC156" s="93"/>
      <c r="AD156" s="7"/>
      <c r="AE156" s="93"/>
      <c r="AF156" s="94"/>
      <c r="AG156" s="95"/>
      <c r="AH156" s="7"/>
      <c r="AI156" s="93"/>
      <c r="AJ156" s="7"/>
      <c r="AK156" s="93"/>
      <c r="AL156" s="7"/>
      <c r="AM156" s="93"/>
      <c r="AN156" s="7"/>
      <c r="AO156" s="93"/>
      <c r="AP156" s="7"/>
      <c r="AQ156" s="93"/>
      <c r="AR156" s="7"/>
      <c r="AS156" s="93"/>
      <c r="AT156" s="7"/>
      <c r="AU156" s="93"/>
      <c r="AV156" s="7"/>
      <c r="AW156" s="93"/>
      <c r="AX156" s="7"/>
      <c r="AY156" s="93"/>
      <c r="AZ156" s="7"/>
      <c r="BA156" s="93"/>
      <c r="BB156" s="7"/>
      <c r="BC156" s="93"/>
      <c r="BD156" s="7"/>
      <c r="BE156" s="93"/>
      <c r="BF156" s="94"/>
      <c r="BG156" s="95"/>
      <c r="BH156" s="7"/>
      <c r="BI156" s="93"/>
      <c r="BJ156" s="7"/>
      <c r="BK156" s="93"/>
      <c r="BL156" s="7"/>
      <c r="BM156" s="93"/>
      <c r="BN156" s="7"/>
      <c r="BO156" s="93"/>
      <c r="BP156" s="7"/>
      <c r="BQ156" s="93"/>
      <c r="BR156" s="7"/>
      <c r="BS156" s="93"/>
      <c r="BT156" s="7"/>
      <c r="BU156" s="93"/>
      <c r="BV156" s="7"/>
      <c r="BW156" s="93"/>
      <c r="BX156" s="7"/>
      <c r="BY156" s="93"/>
      <c r="BZ156" s="7"/>
      <c r="CA156" s="93"/>
      <c r="CB156" s="7"/>
      <c r="CC156" s="93"/>
      <c r="CD156" s="7"/>
      <c r="CE156" s="93"/>
      <c r="CF156" s="94"/>
      <c r="CG156" s="95"/>
      <c r="CH156" s="7"/>
      <c r="CI156" s="93"/>
      <c r="CJ156" s="7"/>
      <c r="CK156" s="93"/>
      <c r="CL156" s="7"/>
      <c r="CM156" s="93"/>
      <c r="CN156" s="7"/>
      <c r="CO156" s="93"/>
      <c r="CP156" s="7"/>
      <c r="CQ156" s="93"/>
      <c r="CR156" s="7"/>
      <c r="CS156" s="93"/>
      <c r="CT156" s="7">
        <v>27</v>
      </c>
      <c r="CU156" s="93">
        <f t="shared" si="338"/>
        <v>18.899999999999999</v>
      </c>
      <c r="CV156" s="7">
        <v>361</v>
      </c>
      <c r="CW156" s="93">
        <f t="shared" si="339"/>
        <v>252.7</v>
      </c>
      <c r="CX156" s="7">
        <v>1076</v>
      </c>
      <c r="CY156" s="93">
        <v>753.19999999999993</v>
      </c>
      <c r="CZ156" s="7">
        <v>1406</v>
      </c>
      <c r="DA156" s="93">
        <v>984.19999999999993</v>
      </c>
      <c r="DB156" s="7">
        <v>800</v>
      </c>
      <c r="DC156" s="93">
        <v>560</v>
      </c>
      <c r="DD156" s="7">
        <v>1147</v>
      </c>
      <c r="DE156" s="93">
        <v>802.9</v>
      </c>
      <c r="DF156" s="97">
        <f t="shared" si="340"/>
        <v>4817</v>
      </c>
      <c r="DG156" s="98">
        <f t="shared" si="341"/>
        <v>3371.8999999999996</v>
      </c>
      <c r="DH156" s="79">
        <v>792</v>
      </c>
      <c r="DI156" s="79">
        <v>554.4</v>
      </c>
      <c r="DJ156" s="154">
        <v>636</v>
      </c>
      <c r="DK156" s="212">
        <f t="shared" si="342"/>
        <v>445.2</v>
      </c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99">
        <f t="shared" si="349"/>
        <v>1428</v>
      </c>
      <c r="EG156" s="99">
        <f t="shared" si="350"/>
        <v>999.59999999999991</v>
      </c>
    </row>
    <row r="157" spans="1:137" ht="20.100000000000001" customHeight="1">
      <c r="A157" s="63">
        <v>127</v>
      </c>
      <c r="B157" s="63" t="s">
        <v>214</v>
      </c>
      <c r="C157" s="63"/>
      <c r="D157" s="63"/>
      <c r="E157" s="63"/>
      <c r="F157" s="63"/>
      <c r="G157" s="63"/>
      <c r="H157" s="7"/>
      <c r="I157" s="93"/>
      <c r="J157" s="7"/>
      <c r="K157" s="93"/>
      <c r="L157" s="7"/>
      <c r="M157" s="93"/>
      <c r="N157" s="7"/>
      <c r="O157" s="93"/>
      <c r="P157" s="7"/>
      <c r="Q157" s="93"/>
      <c r="R157" s="7"/>
      <c r="S157" s="93"/>
      <c r="T157" s="7"/>
      <c r="U157" s="93"/>
      <c r="V157" s="7"/>
      <c r="W157" s="93"/>
      <c r="X157" s="7"/>
      <c r="Y157" s="93"/>
      <c r="Z157" s="7"/>
      <c r="AA157" s="93"/>
      <c r="AB157" s="7"/>
      <c r="AC157" s="93"/>
      <c r="AD157" s="7"/>
      <c r="AE157" s="93"/>
      <c r="AF157" s="94"/>
      <c r="AG157" s="95"/>
      <c r="AH157" s="7"/>
      <c r="AI157" s="93"/>
      <c r="AJ157" s="7"/>
      <c r="AK157" s="93"/>
      <c r="AL157" s="7"/>
      <c r="AM157" s="93"/>
      <c r="AN157" s="7"/>
      <c r="AO157" s="93"/>
      <c r="AP157" s="7"/>
      <c r="AQ157" s="93"/>
      <c r="AR157" s="7"/>
      <c r="AS157" s="93"/>
      <c r="AT157" s="7"/>
      <c r="AU157" s="93"/>
      <c r="AV157" s="7"/>
      <c r="AW157" s="93"/>
      <c r="AX157" s="7"/>
      <c r="AY157" s="93"/>
      <c r="AZ157" s="7"/>
      <c r="BA157" s="93"/>
      <c r="BB157" s="7"/>
      <c r="BC157" s="93"/>
      <c r="BD157" s="7"/>
      <c r="BE157" s="93"/>
      <c r="BF157" s="94"/>
      <c r="BG157" s="95"/>
      <c r="BH157" s="7"/>
      <c r="BI157" s="93"/>
      <c r="BJ157" s="7"/>
      <c r="BK157" s="93"/>
      <c r="BL157" s="7"/>
      <c r="BM157" s="93"/>
      <c r="BN157" s="7"/>
      <c r="BO157" s="93"/>
      <c r="BP157" s="7"/>
      <c r="BQ157" s="93"/>
      <c r="BR157" s="7"/>
      <c r="BS157" s="93"/>
      <c r="BT157" s="7"/>
      <c r="BU157" s="93"/>
      <c r="BV157" s="7"/>
      <c r="BW157" s="93"/>
      <c r="BX157" s="7"/>
      <c r="BY157" s="93"/>
      <c r="BZ157" s="7"/>
      <c r="CA157" s="93"/>
      <c r="CB157" s="7"/>
      <c r="CC157" s="93"/>
      <c r="CD157" s="7"/>
      <c r="CE157" s="93"/>
      <c r="CF157" s="94"/>
      <c r="CG157" s="95"/>
      <c r="CH157" s="7"/>
      <c r="CI157" s="93"/>
      <c r="CJ157" s="7"/>
      <c r="CK157" s="93"/>
      <c r="CL157" s="7"/>
      <c r="CM157" s="93"/>
      <c r="CN157" s="7"/>
      <c r="CO157" s="93"/>
      <c r="CP157" s="7"/>
      <c r="CQ157" s="93"/>
      <c r="CR157" s="7"/>
      <c r="CS157" s="93"/>
      <c r="CT157" s="7"/>
      <c r="CU157" s="93"/>
      <c r="CV157" s="7"/>
      <c r="CW157" s="93"/>
      <c r="CX157" s="7"/>
      <c r="CY157" s="93"/>
      <c r="CZ157" s="7"/>
      <c r="DA157" s="93"/>
      <c r="DB157" s="7"/>
      <c r="DC157" s="93"/>
      <c r="DD157" s="7"/>
      <c r="DE157" s="93"/>
      <c r="DF157" s="97"/>
      <c r="DG157" s="98"/>
      <c r="DH157" s="79"/>
      <c r="DI157" s="79">
        <v>0</v>
      </c>
      <c r="DJ157" s="154"/>
      <c r="DK157" s="212">
        <f t="shared" si="342"/>
        <v>0</v>
      </c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99">
        <f t="shared" si="349"/>
        <v>0</v>
      </c>
      <c r="EG157" s="99">
        <f t="shared" si="350"/>
        <v>0</v>
      </c>
    </row>
    <row r="158" spans="1:137" ht="20.100000000000001" customHeight="1">
      <c r="A158" s="63">
        <v>128</v>
      </c>
      <c r="B158" s="63" t="s">
        <v>113</v>
      </c>
      <c r="C158" s="63" t="s">
        <v>14</v>
      </c>
      <c r="D158" s="63">
        <f>RANK(DF158,$DF$148:$DF$163)</f>
        <v>8</v>
      </c>
      <c r="E158" s="63">
        <v>0.7</v>
      </c>
      <c r="F158" s="63" t="s">
        <v>15</v>
      </c>
      <c r="G158" s="63"/>
      <c r="H158" s="7"/>
      <c r="I158" s="93">
        <f t="shared" si="290"/>
        <v>0</v>
      </c>
      <c r="J158" s="7"/>
      <c r="K158" s="93">
        <f t="shared" si="291"/>
        <v>0</v>
      </c>
      <c r="L158" s="7"/>
      <c r="M158" s="93">
        <f t="shared" si="292"/>
        <v>0</v>
      </c>
      <c r="N158" s="7"/>
      <c r="O158" s="93">
        <f t="shared" si="293"/>
        <v>0</v>
      </c>
      <c r="P158" s="7"/>
      <c r="Q158" s="93">
        <f t="shared" si="294"/>
        <v>0</v>
      </c>
      <c r="R158" s="7"/>
      <c r="S158" s="93">
        <f t="shared" si="295"/>
        <v>0</v>
      </c>
      <c r="T158" s="7"/>
      <c r="U158" s="93">
        <f t="shared" si="296"/>
        <v>0</v>
      </c>
      <c r="V158" s="7"/>
      <c r="W158" s="93">
        <f t="shared" si="297"/>
        <v>0</v>
      </c>
      <c r="X158" s="7"/>
      <c r="Y158" s="93">
        <f t="shared" si="298"/>
        <v>0</v>
      </c>
      <c r="Z158" s="7"/>
      <c r="AA158" s="93">
        <f t="shared" si="299"/>
        <v>0</v>
      </c>
      <c r="AB158" s="7"/>
      <c r="AC158" s="93">
        <f t="shared" si="300"/>
        <v>0</v>
      </c>
      <c r="AD158" s="7"/>
      <c r="AE158" s="93">
        <f t="shared" si="301"/>
        <v>0</v>
      </c>
      <c r="AF158" s="94">
        <f t="shared" si="343"/>
        <v>0</v>
      </c>
      <c r="AG158" s="95">
        <f t="shared" si="344"/>
        <v>0</v>
      </c>
      <c r="AH158" s="7"/>
      <c r="AI158" s="93">
        <f t="shared" si="304"/>
        <v>0</v>
      </c>
      <c r="AJ158" s="7"/>
      <c r="AK158" s="93">
        <f t="shared" si="305"/>
        <v>0</v>
      </c>
      <c r="AL158" s="7"/>
      <c r="AM158" s="93">
        <f t="shared" si="306"/>
        <v>0</v>
      </c>
      <c r="AN158" s="7"/>
      <c r="AO158" s="93">
        <f t="shared" si="307"/>
        <v>0</v>
      </c>
      <c r="AP158" s="7"/>
      <c r="AQ158" s="93">
        <f t="shared" si="308"/>
        <v>0</v>
      </c>
      <c r="AR158" s="7"/>
      <c r="AS158" s="93">
        <f t="shared" si="309"/>
        <v>0</v>
      </c>
      <c r="AT158" s="7"/>
      <c r="AU158" s="93">
        <f t="shared" si="310"/>
        <v>0</v>
      </c>
      <c r="AV158" s="7"/>
      <c r="AW158" s="93">
        <f t="shared" si="311"/>
        <v>0</v>
      </c>
      <c r="AX158" s="7"/>
      <c r="AY158" s="93">
        <f t="shared" si="312"/>
        <v>0</v>
      </c>
      <c r="AZ158" s="7"/>
      <c r="BA158" s="93">
        <f t="shared" si="313"/>
        <v>0</v>
      </c>
      <c r="BB158" s="7"/>
      <c r="BC158" s="93">
        <f t="shared" si="314"/>
        <v>0</v>
      </c>
      <c r="BD158" s="7"/>
      <c r="BE158" s="93">
        <f t="shared" si="315"/>
        <v>0</v>
      </c>
      <c r="BF158" s="94">
        <f t="shared" si="345"/>
        <v>0</v>
      </c>
      <c r="BG158" s="95">
        <f t="shared" si="346"/>
        <v>0</v>
      </c>
      <c r="BH158" s="7"/>
      <c r="BI158" s="93">
        <f t="shared" si="318"/>
        <v>0</v>
      </c>
      <c r="BJ158" s="7"/>
      <c r="BK158" s="93">
        <f t="shared" si="319"/>
        <v>0</v>
      </c>
      <c r="BL158" s="7"/>
      <c r="BM158" s="93">
        <f t="shared" si="320"/>
        <v>0</v>
      </c>
      <c r="BN158" s="7"/>
      <c r="BO158" s="93">
        <f t="shared" si="321"/>
        <v>0</v>
      </c>
      <c r="BP158" s="7"/>
      <c r="BQ158" s="93">
        <f t="shared" si="322"/>
        <v>0</v>
      </c>
      <c r="BR158" s="7"/>
      <c r="BS158" s="93">
        <f t="shared" si="323"/>
        <v>0</v>
      </c>
      <c r="BT158" s="7"/>
      <c r="BU158" s="93">
        <f t="shared" si="324"/>
        <v>0</v>
      </c>
      <c r="BV158" s="7"/>
      <c r="BW158" s="93">
        <f t="shared" si="325"/>
        <v>0</v>
      </c>
      <c r="BX158" s="7"/>
      <c r="BY158" s="93">
        <f t="shared" si="326"/>
        <v>0</v>
      </c>
      <c r="BZ158" s="7"/>
      <c r="CA158" s="93">
        <f t="shared" si="327"/>
        <v>0</v>
      </c>
      <c r="CB158" s="7"/>
      <c r="CC158" s="93">
        <f t="shared" si="328"/>
        <v>0</v>
      </c>
      <c r="CD158" s="7"/>
      <c r="CE158" s="93">
        <f t="shared" si="329"/>
        <v>0</v>
      </c>
      <c r="CF158" s="94">
        <f t="shared" si="347"/>
        <v>0</v>
      </c>
      <c r="CG158" s="95">
        <f t="shared" si="348"/>
        <v>0</v>
      </c>
      <c r="CH158" s="7"/>
      <c r="CI158" s="93">
        <f t="shared" si="332"/>
        <v>0</v>
      </c>
      <c r="CJ158" s="7"/>
      <c r="CK158" s="93">
        <f t="shared" si="333"/>
        <v>0</v>
      </c>
      <c r="CL158" s="7"/>
      <c r="CM158" s="93">
        <f t="shared" si="334"/>
        <v>0</v>
      </c>
      <c r="CN158" s="7"/>
      <c r="CO158" s="93">
        <f t="shared" si="335"/>
        <v>0</v>
      </c>
      <c r="CP158" s="7"/>
      <c r="CQ158" s="93">
        <f t="shared" si="336"/>
        <v>0</v>
      </c>
      <c r="CR158" s="7"/>
      <c r="CS158" s="93">
        <f t="shared" si="337"/>
        <v>0</v>
      </c>
      <c r="CT158" s="7"/>
      <c r="CU158" s="93">
        <f t="shared" si="338"/>
        <v>0</v>
      </c>
      <c r="CV158" s="7"/>
      <c r="CW158" s="93">
        <f t="shared" si="339"/>
        <v>0</v>
      </c>
      <c r="CX158" s="7"/>
      <c r="CY158" s="93">
        <v>0</v>
      </c>
      <c r="CZ158" s="7"/>
      <c r="DA158" s="93">
        <v>0</v>
      </c>
      <c r="DB158" s="7"/>
      <c r="DC158" s="93">
        <v>0</v>
      </c>
      <c r="DD158" s="7"/>
      <c r="DE158" s="93">
        <v>0</v>
      </c>
      <c r="DF158" s="97">
        <f t="shared" si="340"/>
        <v>0</v>
      </c>
      <c r="DG158" s="98">
        <f t="shared" si="341"/>
        <v>0</v>
      </c>
      <c r="DH158" s="79"/>
      <c r="DI158" s="79">
        <v>0</v>
      </c>
      <c r="DJ158" s="154"/>
      <c r="DK158" s="212">
        <f t="shared" si="342"/>
        <v>0</v>
      </c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99">
        <f t="shared" si="349"/>
        <v>0</v>
      </c>
      <c r="EG158" s="99">
        <f t="shared" si="350"/>
        <v>0</v>
      </c>
    </row>
    <row r="159" spans="1:137" ht="20.100000000000001" customHeight="1">
      <c r="A159" s="63">
        <v>129</v>
      </c>
      <c r="B159" s="63" t="s">
        <v>114</v>
      </c>
      <c r="C159" s="63" t="s">
        <v>14</v>
      </c>
      <c r="D159" s="63">
        <f>RANK(DF159,$DF$148:$DF$163)</f>
        <v>8</v>
      </c>
      <c r="E159" s="63">
        <v>0.35</v>
      </c>
      <c r="F159" s="63" t="s">
        <v>24</v>
      </c>
      <c r="G159" s="63"/>
      <c r="H159" s="7"/>
      <c r="I159" s="93">
        <f t="shared" si="290"/>
        <v>0</v>
      </c>
      <c r="J159" s="7"/>
      <c r="K159" s="93">
        <f t="shared" si="291"/>
        <v>0</v>
      </c>
      <c r="L159" s="7"/>
      <c r="M159" s="93">
        <f t="shared" si="292"/>
        <v>0</v>
      </c>
      <c r="N159" s="7"/>
      <c r="O159" s="93">
        <f t="shared" si="293"/>
        <v>0</v>
      </c>
      <c r="P159" s="7"/>
      <c r="Q159" s="93">
        <f t="shared" si="294"/>
        <v>0</v>
      </c>
      <c r="R159" s="7"/>
      <c r="S159" s="93">
        <f t="shared" si="295"/>
        <v>0</v>
      </c>
      <c r="T159" s="7"/>
      <c r="U159" s="93">
        <f t="shared" si="296"/>
        <v>0</v>
      </c>
      <c r="V159" s="7"/>
      <c r="W159" s="93">
        <f t="shared" si="297"/>
        <v>0</v>
      </c>
      <c r="X159" s="7"/>
      <c r="Y159" s="93">
        <f t="shared" si="298"/>
        <v>0</v>
      </c>
      <c r="Z159" s="7"/>
      <c r="AA159" s="93">
        <f t="shared" si="299"/>
        <v>0</v>
      </c>
      <c r="AB159" s="7"/>
      <c r="AC159" s="93">
        <f t="shared" si="300"/>
        <v>0</v>
      </c>
      <c r="AD159" s="7"/>
      <c r="AE159" s="93">
        <f t="shared" si="301"/>
        <v>0</v>
      </c>
      <c r="AF159" s="94">
        <f t="shared" si="343"/>
        <v>0</v>
      </c>
      <c r="AG159" s="95">
        <f t="shared" si="344"/>
        <v>0</v>
      </c>
      <c r="AH159" s="7"/>
      <c r="AI159" s="93">
        <f t="shared" si="304"/>
        <v>0</v>
      </c>
      <c r="AJ159" s="7"/>
      <c r="AK159" s="93">
        <f t="shared" si="305"/>
        <v>0</v>
      </c>
      <c r="AL159" s="7"/>
      <c r="AM159" s="93">
        <f t="shared" si="306"/>
        <v>0</v>
      </c>
      <c r="AN159" s="7"/>
      <c r="AO159" s="93">
        <f t="shared" si="307"/>
        <v>0</v>
      </c>
      <c r="AP159" s="7"/>
      <c r="AQ159" s="93">
        <f t="shared" si="308"/>
        <v>0</v>
      </c>
      <c r="AR159" s="7"/>
      <c r="AS159" s="93">
        <f t="shared" si="309"/>
        <v>0</v>
      </c>
      <c r="AT159" s="7"/>
      <c r="AU159" s="93">
        <f t="shared" si="310"/>
        <v>0</v>
      </c>
      <c r="AV159" s="7"/>
      <c r="AW159" s="93">
        <f t="shared" si="311"/>
        <v>0</v>
      </c>
      <c r="AX159" s="7"/>
      <c r="AY159" s="93">
        <f t="shared" si="312"/>
        <v>0</v>
      </c>
      <c r="AZ159" s="7"/>
      <c r="BA159" s="93">
        <f t="shared" si="313"/>
        <v>0</v>
      </c>
      <c r="BB159" s="7"/>
      <c r="BC159" s="93">
        <f t="shared" si="314"/>
        <v>0</v>
      </c>
      <c r="BD159" s="7"/>
      <c r="BE159" s="93">
        <f t="shared" si="315"/>
        <v>0</v>
      </c>
      <c r="BF159" s="94">
        <f t="shared" si="345"/>
        <v>0</v>
      </c>
      <c r="BG159" s="95">
        <f t="shared" si="346"/>
        <v>0</v>
      </c>
      <c r="BH159" s="7"/>
      <c r="BI159" s="93">
        <f t="shared" si="318"/>
        <v>0</v>
      </c>
      <c r="BJ159" s="7"/>
      <c r="BK159" s="93">
        <f t="shared" si="319"/>
        <v>0</v>
      </c>
      <c r="BL159" s="7"/>
      <c r="BM159" s="93">
        <f t="shared" si="320"/>
        <v>0</v>
      </c>
      <c r="BN159" s="7"/>
      <c r="BO159" s="93">
        <f t="shared" si="321"/>
        <v>0</v>
      </c>
      <c r="BP159" s="7"/>
      <c r="BQ159" s="93">
        <f t="shared" si="322"/>
        <v>0</v>
      </c>
      <c r="BR159" s="7"/>
      <c r="BS159" s="93">
        <f t="shared" si="323"/>
        <v>0</v>
      </c>
      <c r="BT159" s="7"/>
      <c r="BU159" s="93">
        <f t="shared" si="324"/>
        <v>0</v>
      </c>
      <c r="BV159" s="7"/>
      <c r="BW159" s="93">
        <f t="shared" si="325"/>
        <v>0</v>
      </c>
      <c r="BX159" s="7"/>
      <c r="BY159" s="93">
        <f t="shared" si="326"/>
        <v>0</v>
      </c>
      <c r="BZ159" s="7"/>
      <c r="CA159" s="93">
        <f t="shared" si="327"/>
        <v>0</v>
      </c>
      <c r="CB159" s="7"/>
      <c r="CC159" s="93">
        <f t="shared" si="328"/>
        <v>0</v>
      </c>
      <c r="CD159" s="7"/>
      <c r="CE159" s="93">
        <f t="shared" si="329"/>
        <v>0</v>
      </c>
      <c r="CF159" s="94">
        <f t="shared" si="347"/>
        <v>0</v>
      </c>
      <c r="CG159" s="95">
        <f t="shared" si="348"/>
        <v>0</v>
      </c>
      <c r="CH159" s="7"/>
      <c r="CI159" s="93">
        <f t="shared" si="332"/>
        <v>0</v>
      </c>
      <c r="CJ159" s="7"/>
      <c r="CK159" s="93">
        <f t="shared" si="333"/>
        <v>0</v>
      </c>
      <c r="CL159" s="7"/>
      <c r="CM159" s="93">
        <f t="shared" si="334"/>
        <v>0</v>
      </c>
      <c r="CN159" s="7"/>
      <c r="CO159" s="93">
        <f t="shared" si="335"/>
        <v>0</v>
      </c>
      <c r="CP159" s="7"/>
      <c r="CQ159" s="93">
        <f t="shared" si="336"/>
        <v>0</v>
      </c>
      <c r="CR159" s="7"/>
      <c r="CS159" s="93">
        <f t="shared" si="337"/>
        <v>0</v>
      </c>
      <c r="CT159" s="7"/>
      <c r="CU159" s="93">
        <f t="shared" si="338"/>
        <v>0</v>
      </c>
      <c r="CV159" s="7"/>
      <c r="CW159" s="93">
        <f t="shared" si="339"/>
        <v>0</v>
      </c>
      <c r="CX159" s="7"/>
      <c r="CY159" s="93">
        <v>0</v>
      </c>
      <c r="CZ159" s="7"/>
      <c r="DA159" s="93">
        <v>0</v>
      </c>
      <c r="DB159" s="7"/>
      <c r="DC159" s="93">
        <v>0</v>
      </c>
      <c r="DD159" s="7"/>
      <c r="DE159" s="93">
        <v>0</v>
      </c>
      <c r="DF159" s="97">
        <f t="shared" si="340"/>
        <v>0</v>
      </c>
      <c r="DG159" s="98">
        <f t="shared" si="341"/>
        <v>0</v>
      </c>
      <c r="DH159" s="79"/>
      <c r="DI159" s="79">
        <v>0</v>
      </c>
      <c r="DJ159" s="154"/>
      <c r="DK159" s="212">
        <f t="shared" si="342"/>
        <v>0</v>
      </c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99">
        <f t="shared" si="349"/>
        <v>0</v>
      </c>
      <c r="EG159" s="99">
        <f t="shared" si="350"/>
        <v>0</v>
      </c>
    </row>
    <row r="160" spans="1:137" ht="20.100000000000001" customHeight="1">
      <c r="A160" s="63">
        <v>130</v>
      </c>
      <c r="B160" s="63" t="s">
        <v>115</v>
      </c>
      <c r="C160" s="63" t="s">
        <v>14</v>
      </c>
      <c r="D160" s="63">
        <f>RANK(DF160,$DF$148:$DF$163)</f>
        <v>8</v>
      </c>
      <c r="E160" s="63">
        <v>0.7</v>
      </c>
      <c r="F160" s="63" t="s">
        <v>15</v>
      </c>
      <c r="G160" s="63"/>
      <c r="H160" s="7"/>
      <c r="I160" s="93">
        <f t="shared" si="290"/>
        <v>0</v>
      </c>
      <c r="J160" s="7"/>
      <c r="K160" s="93">
        <f t="shared" si="291"/>
        <v>0</v>
      </c>
      <c r="L160" s="7"/>
      <c r="M160" s="93">
        <f t="shared" si="292"/>
        <v>0</v>
      </c>
      <c r="N160" s="7"/>
      <c r="O160" s="93">
        <f t="shared" si="293"/>
        <v>0</v>
      </c>
      <c r="P160" s="7"/>
      <c r="Q160" s="93">
        <f t="shared" si="294"/>
        <v>0</v>
      </c>
      <c r="R160" s="7"/>
      <c r="S160" s="93">
        <f t="shared" si="295"/>
        <v>0</v>
      </c>
      <c r="T160" s="7"/>
      <c r="U160" s="93">
        <f t="shared" si="296"/>
        <v>0</v>
      </c>
      <c r="V160" s="7"/>
      <c r="W160" s="93">
        <f t="shared" si="297"/>
        <v>0</v>
      </c>
      <c r="X160" s="7"/>
      <c r="Y160" s="93">
        <f t="shared" si="298"/>
        <v>0</v>
      </c>
      <c r="Z160" s="7"/>
      <c r="AA160" s="93">
        <f t="shared" si="299"/>
        <v>0</v>
      </c>
      <c r="AB160" s="7"/>
      <c r="AC160" s="93">
        <f t="shared" si="300"/>
        <v>0</v>
      </c>
      <c r="AD160" s="7"/>
      <c r="AE160" s="93">
        <f t="shared" si="301"/>
        <v>0</v>
      </c>
      <c r="AF160" s="94">
        <f t="shared" si="343"/>
        <v>0</v>
      </c>
      <c r="AG160" s="95">
        <f t="shared" si="344"/>
        <v>0</v>
      </c>
      <c r="AH160" s="7"/>
      <c r="AI160" s="93">
        <f t="shared" si="304"/>
        <v>0</v>
      </c>
      <c r="AJ160" s="7"/>
      <c r="AK160" s="93">
        <f t="shared" si="305"/>
        <v>0</v>
      </c>
      <c r="AL160" s="7"/>
      <c r="AM160" s="93">
        <f t="shared" si="306"/>
        <v>0</v>
      </c>
      <c r="AN160" s="7"/>
      <c r="AO160" s="93">
        <f t="shared" si="307"/>
        <v>0</v>
      </c>
      <c r="AP160" s="7"/>
      <c r="AQ160" s="93">
        <f t="shared" si="308"/>
        <v>0</v>
      </c>
      <c r="AR160" s="7"/>
      <c r="AS160" s="93">
        <f t="shared" si="309"/>
        <v>0</v>
      </c>
      <c r="AT160" s="7"/>
      <c r="AU160" s="93">
        <f t="shared" si="310"/>
        <v>0</v>
      </c>
      <c r="AV160" s="7"/>
      <c r="AW160" s="93">
        <f t="shared" si="311"/>
        <v>0</v>
      </c>
      <c r="AX160" s="7"/>
      <c r="AY160" s="93">
        <f t="shared" si="312"/>
        <v>0</v>
      </c>
      <c r="AZ160" s="7"/>
      <c r="BA160" s="93">
        <f t="shared" si="313"/>
        <v>0</v>
      </c>
      <c r="BB160" s="7"/>
      <c r="BC160" s="93">
        <f t="shared" si="314"/>
        <v>0</v>
      </c>
      <c r="BD160" s="7"/>
      <c r="BE160" s="93">
        <f t="shared" si="315"/>
        <v>0</v>
      </c>
      <c r="BF160" s="94">
        <f t="shared" si="345"/>
        <v>0</v>
      </c>
      <c r="BG160" s="95">
        <f t="shared" si="346"/>
        <v>0</v>
      </c>
      <c r="BH160" s="7"/>
      <c r="BI160" s="93">
        <f t="shared" si="318"/>
        <v>0</v>
      </c>
      <c r="BJ160" s="7"/>
      <c r="BK160" s="93">
        <f t="shared" si="319"/>
        <v>0</v>
      </c>
      <c r="BL160" s="7"/>
      <c r="BM160" s="93">
        <f t="shared" si="320"/>
        <v>0</v>
      </c>
      <c r="BN160" s="7"/>
      <c r="BO160" s="93">
        <f t="shared" si="321"/>
        <v>0</v>
      </c>
      <c r="BP160" s="7"/>
      <c r="BQ160" s="93">
        <f t="shared" si="322"/>
        <v>0</v>
      </c>
      <c r="BR160" s="7"/>
      <c r="BS160" s="93">
        <f t="shared" si="323"/>
        <v>0</v>
      </c>
      <c r="BT160" s="7"/>
      <c r="BU160" s="93">
        <f t="shared" si="324"/>
        <v>0</v>
      </c>
      <c r="BV160" s="7"/>
      <c r="BW160" s="93">
        <f t="shared" si="325"/>
        <v>0</v>
      </c>
      <c r="BX160" s="7"/>
      <c r="BY160" s="93">
        <f t="shared" si="326"/>
        <v>0</v>
      </c>
      <c r="BZ160" s="7"/>
      <c r="CA160" s="93">
        <f t="shared" si="327"/>
        <v>0</v>
      </c>
      <c r="CB160" s="7">
        <v>9</v>
      </c>
      <c r="CC160" s="93">
        <f t="shared" si="328"/>
        <v>6.3</v>
      </c>
      <c r="CD160" s="7"/>
      <c r="CE160" s="93">
        <f t="shared" si="329"/>
        <v>0</v>
      </c>
      <c r="CF160" s="94">
        <f t="shared" si="347"/>
        <v>9</v>
      </c>
      <c r="CG160" s="95">
        <f t="shared" si="348"/>
        <v>6.3</v>
      </c>
      <c r="CH160" s="7"/>
      <c r="CI160" s="93">
        <f t="shared" si="332"/>
        <v>0</v>
      </c>
      <c r="CJ160" s="7"/>
      <c r="CK160" s="93">
        <f t="shared" si="333"/>
        <v>0</v>
      </c>
      <c r="CL160" s="7"/>
      <c r="CM160" s="93">
        <f t="shared" si="334"/>
        <v>0</v>
      </c>
      <c r="CN160" s="7"/>
      <c r="CO160" s="93">
        <f t="shared" si="335"/>
        <v>0</v>
      </c>
      <c r="CP160" s="7"/>
      <c r="CQ160" s="93">
        <f t="shared" si="336"/>
        <v>0</v>
      </c>
      <c r="CR160" s="7"/>
      <c r="CS160" s="93">
        <f t="shared" si="337"/>
        <v>0</v>
      </c>
      <c r="CT160" s="7"/>
      <c r="CU160" s="93">
        <f t="shared" si="338"/>
        <v>0</v>
      </c>
      <c r="CV160" s="7"/>
      <c r="CW160" s="93">
        <f t="shared" si="339"/>
        <v>0</v>
      </c>
      <c r="CX160" s="7"/>
      <c r="CY160" s="93">
        <v>0</v>
      </c>
      <c r="CZ160" s="7"/>
      <c r="DA160" s="93">
        <v>0</v>
      </c>
      <c r="DB160" s="7"/>
      <c r="DC160" s="93">
        <v>0</v>
      </c>
      <c r="DD160" s="7"/>
      <c r="DE160" s="93">
        <v>0</v>
      </c>
      <c r="DF160" s="97">
        <f t="shared" si="340"/>
        <v>0</v>
      </c>
      <c r="DG160" s="98">
        <f t="shared" si="341"/>
        <v>0</v>
      </c>
      <c r="DH160" s="79"/>
      <c r="DI160" s="79">
        <v>0</v>
      </c>
      <c r="DJ160" s="154"/>
      <c r="DK160" s="212">
        <f t="shared" si="342"/>
        <v>0</v>
      </c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99">
        <f t="shared" si="349"/>
        <v>0</v>
      </c>
      <c r="EG160" s="99">
        <f t="shared" si="350"/>
        <v>0</v>
      </c>
    </row>
    <row r="161" spans="1:137" ht="20.100000000000001" customHeight="1">
      <c r="A161" s="63">
        <v>131</v>
      </c>
      <c r="B161" s="63" t="s">
        <v>116</v>
      </c>
      <c r="C161" s="63" t="s">
        <v>14</v>
      </c>
      <c r="D161" s="63">
        <f>RANK(DF161,$DF$148:$DF$163)</f>
        <v>5</v>
      </c>
      <c r="E161" s="63">
        <v>0.35</v>
      </c>
      <c r="F161" s="63" t="s">
        <v>24</v>
      </c>
      <c r="G161" s="63"/>
      <c r="H161" s="7"/>
      <c r="I161" s="93">
        <f t="shared" si="290"/>
        <v>0</v>
      </c>
      <c r="J161" s="7"/>
      <c r="K161" s="93">
        <f t="shared" si="291"/>
        <v>0</v>
      </c>
      <c r="L161" s="7"/>
      <c r="M161" s="93">
        <f t="shared" si="292"/>
        <v>0</v>
      </c>
      <c r="N161" s="7"/>
      <c r="O161" s="93">
        <f t="shared" si="293"/>
        <v>0</v>
      </c>
      <c r="P161" s="7"/>
      <c r="Q161" s="93">
        <f t="shared" si="294"/>
        <v>0</v>
      </c>
      <c r="R161" s="7"/>
      <c r="S161" s="93">
        <f t="shared" si="295"/>
        <v>0</v>
      </c>
      <c r="T161" s="7"/>
      <c r="U161" s="93">
        <f t="shared" si="296"/>
        <v>0</v>
      </c>
      <c r="V161" s="7"/>
      <c r="W161" s="93">
        <f t="shared" si="297"/>
        <v>0</v>
      </c>
      <c r="X161" s="7"/>
      <c r="Y161" s="93">
        <f t="shared" si="298"/>
        <v>0</v>
      </c>
      <c r="Z161" s="7"/>
      <c r="AA161" s="93">
        <f t="shared" si="299"/>
        <v>0</v>
      </c>
      <c r="AB161" s="7"/>
      <c r="AC161" s="93">
        <f t="shared" si="300"/>
        <v>0</v>
      </c>
      <c r="AD161" s="7"/>
      <c r="AE161" s="93">
        <f t="shared" si="301"/>
        <v>0</v>
      </c>
      <c r="AF161" s="94">
        <f t="shared" si="343"/>
        <v>0</v>
      </c>
      <c r="AG161" s="95">
        <f t="shared" si="344"/>
        <v>0</v>
      </c>
      <c r="AH161" s="7"/>
      <c r="AI161" s="93">
        <f t="shared" si="304"/>
        <v>0</v>
      </c>
      <c r="AJ161" s="7"/>
      <c r="AK161" s="93">
        <f t="shared" si="305"/>
        <v>0</v>
      </c>
      <c r="AL161" s="7"/>
      <c r="AM161" s="93">
        <f t="shared" si="306"/>
        <v>0</v>
      </c>
      <c r="AN161" s="7"/>
      <c r="AO161" s="93">
        <f t="shared" si="307"/>
        <v>0</v>
      </c>
      <c r="AP161" s="7"/>
      <c r="AQ161" s="93">
        <f t="shared" si="308"/>
        <v>0</v>
      </c>
      <c r="AR161" s="7"/>
      <c r="AS161" s="93">
        <f t="shared" si="309"/>
        <v>0</v>
      </c>
      <c r="AT161" s="7"/>
      <c r="AU161" s="93">
        <f t="shared" si="310"/>
        <v>0</v>
      </c>
      <c r="AV161" s="7"/>
      <c r="AW161" s="93">
        <f t="shared" si="311"/>
        <v>0</v>
      </c>
      <c r="AX161" s="7"/>
      <c r="AY161" s="93">
        <f t="shared" si="312"/>
        <v>0</v>
      </c>
      <c r="AZ161" s="7"/>
      <c r="BA161" s="93">
        <f t="shared" si="313"/>
        <v>0</v>
      </c>
      <c r="BB161" s="7"/>
      <c r="BC161" s="93">
        <f t="shared" si="314"/>
        <v>0</v>
      </c>
      <c r="BD161" s="7"/>
      <c r="BE161" s="93">
        <f t="shared" si="315"/>
        <v>0</v>
      </c>
      <c r="BF161" s="94">
        <f t="shared" si="345"/>
        <v>0</v>
      </c>
      <c r="BG161" s="95">
        <f t="shared" si="346"/>
        <v>0</v>
      </c>
      <c r="BH161" s="7"/>
      <c r="BI161" s="93">
        <f t="shared" si="318"/>
        <v>0</v>
      </c>
      <c r="BJ161" s="7"/>
      <c r="BK161" s="93">
        <f t="shared" si="319"/>
        <v>0</v>
      </c>
      <c r="BL161" s="7"/>
      <c r="BM161" s="93">
        <f t="shared" si="320"/>
        <v>0</v>
      </c>
      <c r="BN161" s="7"/>
      <c r="BO161" s="93">
        <f t="shared" si="321"/>
        <v>0</v>
      </c>
      <c r="BP161" s="7"/>
      <c r="BQ161" s="93">
        <f t="shared" si="322"/>
        <v>0</v>
      </c>
      <c r="BR161" s="7"/>
      <c r="BS161" s="93">
        <f t="shared" si="323"/>
        <v>0</v>
      </c>
      <c r="BT161" s="7"/>
      <c r="BU161" s="93">
        <f t="shared" si="324"/>
        <v>0</v>
      </c>
      <c r="BV161" s="7"/>
      <c r="BW161" s="93">
        <f t="shared" si="325"/>
        <v>0</v>
      </c>
      <c r="BX161" s="7"/>
      <c r="BY161" s="93">
        <f t="shared" si="326"/>
        <v>0</v>
      </c>
      <c r="BZ161" s="7"/>
      <c r="CA161" s="93">
        <f t="shared" si="327"/>
        <v>0</v>
      </c>
      <c r="CB161" s="7">
        <v>76</v>
      </c>
      <c r="CC161" s="93">
        <f t="shared" si="328"/>
        <v>26.599999999999998</v>
      </c>
      <c r="CD161" s="7"/>
      <c r="CE161" s="93">
        <f t="shared" si="329"/>
        <v>0</v>
      </c>
      <c r="CF161" s="94">
        <f t="shared" si="347"/>
        <v>76</v>
      </c>
      <c r="CG161" s="95">
        <f t="shared" si="348"/>
        <v>26.599999999999998</v>
      </c>
      <c r="CH161" s="7"/>
      <c r="CI161" s="93">
        <f t="shared" si="332"/>
        <v>0</v>
      </c>
      <c r="CJ161" s="7"/>
      <c r="CK161" s="93">
        <f t="shared" si="333"/>
        <v>0</v>
      </c>
      <c r="CL161" s="7"/>
      <c r="CM161" s="93">
        <f t="shared" si="334"/>
        <v>0</v>
      </c>
      <c r="CN161" s="7"/>
      <c r="CO161" s="93">
        <f t="shared" si="335"/>
        <v>0</v>
      </c>
      <c r="CP161" s="7"/>
      <c r="CQ161" s="93">
        <f t="shared" si="336"/>
        <v>0</v>
      </c>
      <c r="CR161" s="7"/>
      <c r="CS161" s="93">
        <f t="shared" si="337"/>
        <v>0</v>
      </c>
      <c r="CT161" s="7"/>
      <c r="CU161" s="93">
        <f t="shared" si="338"/>
        <v>0</v>
      </c>
      <c r="CV161" s="7"/>
      <c r="CW161" s="93">
        <f t="shared" si="339"/>
        <v>0</v>
      </c>
      <c r="CX161" s="7"/>
      <c r="CY161" s="93">
        <v>0</v>
      </c>
      <c r="CZ161" s="7"/>
      <c r="DA161" s="93">
        <v>0</v>
      </c>
      <c r="DB161" s="7">
        <v>120</v>
      </c>
      <c r="DC161" s="93">
        <v>42</v>
      </c>
      <c r="DD161" s="7"/>
      <c r="DE161" s="93">
        <v>0</v>
      </c>
      <c r="DF161" s="97">
        <f t="shared" si="340"/>
        <v>120</v>
      </c>
      <c r="DG161" s="98">
        <f t="shared" si="341"/>
        <v>42</v>
      </c>
      <c r="DH161" s="79"/>
      <c r="DI161" s="79">
        <v>0</v>
      </c>
      <c r="DJ161" s="154"/>
      <c r="DK161" s="212">
        <f t="shared" si="342"/>
        <v>0</v>
      </c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99">
        <f t="shared" si="349"/>
        <v>0</v>
      </c>
      <c r="EG161" s="99">
        <f t="shared" si="350"/>
        <v>0</v>
      </c>
    </row>
    <row r="162" spans="1:137" ht="20.100000000000001" customHeight="1">
      <c r="A162" s="63">
        <v>132</v>
      </c>
      <c r="B162" s="8" t="s">
        <v>117</v>
      </c>
      <c r="C162" s="8" t="s">
        <v>14</v>
      </c>
      <c r="D162" s="63">
        <f>RANK(DF162,$DF$148:$DF$163)</f>
        <v>8</v>
      </c>
      <c r="E162" s="63">
        <v>0.7</v>
      </c>
      <c r="F162" s="69" t="s">
        <v>118</v>
      </c>
      <c r="G162" s="100"/>
      <c r="H162" s="7"/>
      <c r="I162" s="93">
        <f t="shared" si="290"/>
        <v>0</v>
      </c>
      <c r="J162" s="7"/>
      <c r="K162" s="93">
        <f t="shared" si="291"/>
        <v>0</v>
      </c>
      <c r="L162" s="7"/>
      <c r="M162" s="93">
        <f t="shared" si="292"/>
        <v>0</v>
      </c>
      <c r="N162" s="7"/>
      <c r="O162" s="93">
        <f t="shared" si="293"/>
        <v>0</v>
      </c>
      <c r="P162" s="7"/>
      <c r="Q162" s="93">
        <f t="shared" si="294"/>
        <v>0</v>
      </c>
      <c r="R162" s="7"/>
      <c r="S162" s="93">
        <f t="shared" si="295"/>
        <v>0</v>
      </c>
      <c r="T162" s="7"/>
      <c r="U162" s="93">
        <f t="shared" si="296"/>
        <v>0</v>
      </c>
      <c r="V162" s="7"/>
      <c r="W162" s="93">
        <f t="shared" si="297"/>
        <v>0</v>
      </c>
      <c r="X162" s="7"/>
      <c r="Y162" s="93">
        <f t="shared" si="298"/>
        <v>0</v>
      </c>
      <c r="Z162" s="7"/>
      <c r="AA162" s="93">
        <f t="shared" si="299"/>
        <v>0</v>
      </c>
      <c r="AB162" s="7"/>
      <c r="AC162" s="93">
        <f t="shared" si="300"/>
        <v>0</v>
      </c>
      <c r="AD162" s="7"/>
      <c r="AE162" s="93">
        <f t="shared" si="301"/>
        <v>0</v>
      </c>
      <c r="AF162" s="94">
        <f t="shared" si="343"/>
        <v>0</v>
      </c>
      <c r="AG162" s="95">
        <f t="shared" si="344"/>
        <v>0</v>
      </c>
      <c r="AH162" s="7"/>
      <c r="AI162" s="93">
        <f t="shared" si="304"/>
        <v>0</v>
      </c>
      <c r="AJ162" s="7"/>
      <c r="AK162" s="93">
        <f t="shared" si="305"/>
        <v>0</v>
      </c>
      <c r="AL162" s="7"/>
      <c r="AM162" s="93">
        <f t="shared" si="306"/>
        <v>0</v>
      </c>
      <c r="AN162" s="7"/>
      <c r="AO162" s="93">
        <f t="shared" si="307"/>
        <v>0</v>
      </c>
      <c r="AP162" s="7"/>
      <c r="AQ162" s="93">
        <f t="shared" si="308"/>
        <v>0</v>
      </c>
      <c r="AR162" s="7"/>
      <c r="AS162" s="93">
        <f t="shared" si="309"/>
        <v>0</v>
      </c>
      <c r="AT162" s="7"/>
      <c r="AU162" s="93">
        <f t="shared" si="310"/>
        <v>0</v>
      </c>
      <c r="AV162" s="7"/>
      <c r="AW162" s="93">
        <f t="shared" si="311"/>
        <v>0</v>
      </c>
      <c r="AX162" s="7"/>
      <c r="AY162" s="93">
        <f t="shared" si="312"/>
        <v>0</v>
      </c>
      <c r="AZ162" s="7"/>
      <c r="BA162" s="93">
        <f t="shared" si="313"/>
        <v>0</v>
      </c>
      <c r="BB162" s="7"/>
      <c r="BC162" s="93">
        <f t="shared" si="314"/>
        <v>0</v>
      </c>
      <c r="BD162" s="7"/>
      <c r="BE162" s="93">
        <f t="shared" si="315"/>
        <v>0</v>
      </c>
      <c r="BF162" s="94">
        <f t="shared" si="345"/>
        <v>0</v>
      </c>
      <c r="BG162" s="95">
        <f t="shared" si="346"/>
        <v>0</v>
      </c>
      <c r="BH162" s="7"/>
      <c r="BI162" s="93">
        <f t="shared" si="318"/>
        <v>0</v>
      </c>
      <c r="BJ162" s="7"/>
      <c r="BK162" s="93">
        <f t="shared" si="319"/>
        <v>0</v>
      </c>
      <c r="BL162" s="7"/>
      <c r="BM162" s="93">
        <f t="shared" si="329"/>
        <v>0</v>
      </c>
      <c r="BN162" s="7"/>
      <c r="BO162" s="93">
        <f t="shared" si="329"/>
        <v>0</v>
      </c>
      <c r="BP162" s="7"/>
      <c r="BQ162" s="93">
        <f t="shared" si="329"/>
        <v>0</v>
      </c>
      <c r="BR162" s="7"/>
      <c r="BS162" s="93">
        <f t="shared" si="329"/>
        <v>0</v>
      </c>
      <c r="BT162" s="7"/>
      <c r="BU162" s="93">
        <f t="shared" si="329"/>
        <v>0</v>
      </c>
      <c r="BV162" s="7"/>
      <c r="BW162" s="93">
        <f t="shared" si="329"/>
        <v>0</v>
      </c>
      <c r="BX162" s="7"/>
      <c r="BY162" s="93">
        <f t="shared" si="329"/>
        <v>0</v>
      </c>
      <c r="BZ162" s="7"/>
      <c r="CA162" s="93">
        <f t="shared" si="329"/>
        <v>0</v>
      </c>
      <c r="CB162" s="7"/>
      <c r="CC162" s="93">
        <f t="shared" si="329"/>
        <v>0</v>
      </c>
      <c r="CD162" s="7"/>
      <c r="CE162" s="93">
        <f t="shared" si="329"/>
        <v>0</v>
      </c>
      <c r="CF162" s="94">
        <f t="shared" si="347"/>
        <v>0</v>
      </c>
      <c r="CG162" s="95">
        <f t="shared" si="348"/>
        <v>0</v>
      </c>
      <c r="CH162" s="7"/>
      <c r="CI162" s="93">
        <f t="shared" si="332"/>
        <v>0</v>
      </c>
      <c r="CJ162" s="7"/>
      <c r="CK162" s="93">
        <f t="shared" si="333"/>
        <v>0</v>
      </c>
      <c r="CL162" s="7"/>
      <c r="CM162" s="93">
        <f t="shared" si="334"/>
        <v>0</v>
      </c>
      <c r="CN162" s="7"/>
      <c r="CO162" s="93">
        <f t="shared" si="335"/>
        <v>0</v>
      </c>
      <c r="CP162" s="7"/>
      <c r="CQ162" s="93">
        <f t="shared" si="336"/>
        <v>0</v>
      </c>
      <c r="CR162" s="7"/>
      <c r="CS162" s="93">
        <f t="shared" si="337"/>
        <v>0</v>
      </c>
      <c r="CT162" s="7"/>
      <c r="CU162" s="93">
        <f t="shared" si="338"/>
        <v>0</v>
      </c>
      <c r="CV162" s="7"/>
      <c r="CW162" s="93">
        <f t="shared" si="339"/>
        <v>0</v>
      </c>
      <c r="CX162" s="7"/>
      <c r="CY162" s="93">
        <v>0</v>
      </c>
      <c r="CZ162" s="7"/>
      <c r="DA162" s="93">
        <v>0</v>
      </c>
      <c r="DB162" s="7"/>
      <c r="DC162" s="93">
        <v>0</v>
      </c>
      <c r="DD162" s="7"/>
      <c r="DE162" s="93">
        <v>0</v>
      </c>
      <c r="DF162" s="97">
        <f t="shared" si="340"/>
        <v>0</v>
      </c>
      <c r="DG162" s="98">
        <f t="shared" si="341"/>
        <v>0</v>
      </c>
      <c r="DH162" s="79"/>
      <c r="DI162" s="79">
        <v>0</v>
      </c>
      <c r="DJ162" s="7"/>
      <c r="DK162" s="93">
        <f t="shared" si="342"/>
        <v>0</v>
      </c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99">
        <f t="shared" si="349"/>
        <v>0</v>
      </c>
      <c r="EG162" s="99">
        <f t="shared" si="350"/>
        <v>0</v>
      </c>
    </row>
    <row r="163" spans="1:137" ht="20.100000000000001" customHeight="1">
      <c r="A163" s="8"/>
      <c r="B163" s="8"/>
      <c r="C163" s="8"/>
      <c r="D163" s="63"/>
      <c r="E163" s="8"/>
      <c r="F163" s="100"/>
      <c r="G163" s="100"/>
      <c r="H163" s="7"/>
      <c r="I163" s="93"/>
      <c r="J163" s="7"/>
      <c r="K163" s="93"/>
      <c r="L163" s="7"/>
      <c r="M163" s="93"/>
      <c r="N163" s="7"/>
      <c r="O163" s="93"/>
      <c r="P163" s="7"/>
      <c r="Q163" s="93"/>
      <c r="R163" s="7"/>
      <c r="S163" s="93"/>
      <c r="T163" s="7"/>
      <c r="U163" s="93"/>
      <c r="V163" s="7"/>
      <c r="W163" s="93"/>
      <c r="X163" s="7"/>
      <c r="Y163" s="93"/>
      <c r="Z163" s="7"/>
      <c r="AA163" s="93"/>
      <c r="AB163" s="7"/>
      <c r="AC163" s="93"/>
      <c r="AD163" s="7"/>
      <c r="AE163" s="93"/>
      <c r="AF163" s="94"/>
      <c r="AG163" s="95"/>
      <c r="AH163" s="7"/>
      <c r="AI163" s="93"/>
      <c r="AJ163" s="7"/>
      <c r="AK163" s="93"/>
      <c r="AL163" s="7"/>
      <c r="AM163" s="93"/>
      <c r="AN163" s="7"/>
      <c r="AO163" s="93"/>
      <c r="AP163" s="7"/>
      <c r="AQ163" s="93"/>
      <c r="AR163" s="7"/>
      <c r="AS163" s="93"/>
      <c r="AT163" s="7"/>
      <c r="AU163" s="93"/>
      <c r="AV163" s="7"/>
      <c r="AW163" s="93"/>
      <c r="AX163" s="7"/>
      <c r="AY163" s="93"/>
      <c r="AZ163" s="7"/>
      <c r="BA163" s="93"/>
      <c r="BB163" s="7"/>
      <c r="BC163" s="93"/>
      <c r="BD163" s="7"/>
      <c r="BE163" s="93"/>
      <c r="BF163" s="94"/>
      <c r="BG163" s="95"/>
      <c r="BH163" s="7"/>
      <c r="BI163" s="93"/>
      <c r="BJ163" s="7"/>
      <c r="BK163" s="93"/>
      <c r="BL163" s="7"/>
      <c r="BM163" s="93"/>
      <c r="BN163" s="7"/>
      <c r="BO163" s="93"/>
      <c r="BP163" s="7"/>
      <c r="BQ163" s="93"/>
      <c r="BR163" s="7"/>
      <c r="BS163" s="93"/>
      <c r="BT163" s="7"/>
      <c r="BU163" s="93"/>
      <c r="BV163" s="7"/>
      <c r="BW163" s="93"/>
      <c r="BX163" s="7"/>
      <c r="BY163" s="93"/>
      <c r="BZ163" s="7"/>
      <c r="CA163" s="93"/>
      <c r="CB163" s="7"/>
      <c r="CC163" s="93"/>
      <c r="CD163" s="7"/>
      <c r="CE163" s="93">
        <f t="shared" si="329"/>
        <v>0</v>
      </c>
      <c r="CF163" s="94"/>
      <c r="CG163" s="95"/>
      <c r="CH163" s="7"/>
      <c r="CI163" s="93">
        <f t="shared" si="332"/>
        <v>0</v>
      </c>
      <c r="CJ163" s="7"/>
      <c r="CK163" s="93">
        <f t="shared" si="333"/>
        <v>0</v>
      </c>
      <c r="CL163" s="7"/>
      <c r="CM163" s="93">
        <f t="shared" si="334"/>
        <v>0</v>
      </c>
      <c r="CN163" s="7"/>
      <c r="CO163" s="93">
        <f t="shared" si="335"/>
        <v>0</v>
      </c>
      <c r="CP163" s="7"/>
      <c r="CQ163" s="93">
        <f t="shared" si="336"/>
        <v>0</v>
      </c>
      <c r="CR163" s="7"/>
      <c r="CS163" s="93">
        <f t="shared" si="337"/>
        <v>0</v>
      </c>
      <c r="CT163" s="7"/>
      <c r="CU163" s="93">
        <f t="shared" si="338"/>
        <v>0</v>
      </c>
      <c r="CV163" s="7"/>
      <c r="CW163" s="93">
        <f t="shared" si="339"/>
        <v>0</v>
      </c>
      <c r="CX163" s="7"/>
      <c r="CY163" s="93"/>
      <c r="CZ163" s="7"/>
      <c r="DA163" s="93"/>
      <c r="DB163" s="7"/>
      <c r="DC163" s="93"/>
      <c r="DD163" s="7"/>
      <c r="DE163" s="93"/>
      <c r="DF163" s="97">
        <f t="shared" si="340"/>
        <v>0</v>
      </c>
      <c r="DG163" s="98">
        <f t="shared" si="341"/>
        <v>0</v>
      </c>
      <c r="DH163" s="79"/>
      <c r="DI163" s="79"/>
      <c r="DJ163" s="154"/>
      <c r="DK163" s="213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99">
        <f t="shared" si="349"/>
        <v>0</v>
      </c>
      <c r="EG163" s="99">
        <f t="shared" si="350"/>
        <v>0</v>
      </c>
    </row>
    <row r="164" spans="1:137" ht="20.100000000000001" customHeight="1">
      <c r="A164" s="70"/>
      <c r="B164" s="11" t="s">
        <v>119</v>
      </c>
      <c r="C164" s="11"/>
      <c r="D164" s="11"/>
      <c r="E164" s="11"/>
      <c r="F164" s="110"/>
      <c r="G164" s="110"/>
      <c r="H164" s="101">
        <f t="shared" ref="H164:BS164" si="351">SUM(H148:H163)</f>
        <v>19216</v>
      </c>
      <c r="I164" s="102">
        <f t="shared" si="351"/>
        <v>9343.25</v>
      </c>
      <c r="J164" s="101">
        <f t="shared" si="351"/>
        <v>6781</v>
      </c>
      <c r="K164" s="102">
        <f t="shared" si="351"/>
        <v>2927.3999999999996</v>
      </c>
      <c r="L164" s="101">
        <f t="shared" si="351"/>
        <v>7169</v>
      </c>
      <c r="M164" s="102">
        <f t="shared" si="351"/>
        <v>3460.7999999999993</v>
      </c>
      <c r="N164" s="101">
        <f t="shared" si="351"/>
        <v>32435</v>
      </c>
      <c r="O164" s="102">
        <f t="shared" si="351"/>
        <v>11587.274999999998</v>
      </c>
      <c r="P164" s="101">
        <f t="shared" si="351"/>
        <v>5075</v>
      </c>
      <c r="Q164" s="102">
        <f t="shared" si="351"/>
        <v>2334.5</v>
      </c>
      <c r="R164" s="101">
        <f t="shared" si="351"/>
        <v>5630</v>
      </c>
      <c r="S164" s="102">
        <f t="shared" si="351"/>
        <v>2459.1</v>
      </c>
      <c r="T164" s="101">
        <f t="shared" si="351"/>
        <v>6830</v>
      </c>
      <c r="U164" s="102">
        <f t="shared" si="351"/>
        <v>3185.1750000000002</v>
      </c>
      <c r="V164" s="101">
        <f t="shared" si="351"/>
        <v>4334</v>
      </c>
      <c r="W164" s="102">
        <f t="shared" si="351"/>
        <v>2109.0999999999995</v>
      </c>
      <c r="X164" s="101">
        <f t="shared" si="351"/>
        <v>2373</v>
      </c>
      <c r="Y164" s="102">
        <f t="shared" si="351"/>
        <v>1114.5749999999998</v>
      </c>
      <c r="Z164" s="101">
        <f t="shared" si="351"/>
        <v>2829</v>
      </c>
      <c r="AA164" s="102">
        <f t="shared" si="351"/>
        <v>1306.375</v>
      </c>
      <c r="AB164" s="101">
        <f t="shared" si="351"/>
        <v>2889</v>
      </c>
      <c r="AC164" s="102">
        <f t="shared" si="351"/>
        <v>1396.5</v>
      </c>
      <c r="AD164" s="101">
        <f t="shared" si="351"/>
        <v>4559</v>
      </c>
      <c r="AE164" s="102">
        <f t="shared" si="351"/>
        <v>2204.1249999999995</v>
      </c>
      <c r="AF164" s="103">
        <f t="shared" si="351"/>
        <v>100120</v>
      </c>
      <c r="AG164" s="104">
        <f t="shared" si="351"/>
        <v>43428.174999999996</v>
      </c>
      <c r="AH164" s="101">
        <f t="shared" si="351"/>
        <v>4528</v>
      </c>
      <c r="AI164" s="102">
        <f t="shared" si="351"/>
        <v>1975.7499999999998</v>
      </c>
      <c r="AJ164" s="101">
        <f t="shared" si="351"/>
        <v>3756</v>
      </c>
      <c r="AK164" s="102">
        <f t="shared" si="351"/>
        <v>1774.4999999999998</v>
      </c>
      <c r="AL164" s="101">
        <f t="shared" si="351"/>
        <v>2101</v>
      </c>
      <c r="AM164" s="102">
        <f t="shared" si="351"/>
        <v>1064</v>
      </c>
      <c r="AN164" s="101">
        <f t="shared" si="351"/>
        <v>3165</v>
      </c>
      <c r="AO164" s="102">
        <f t="shared" si="351"/>
        <v>1365.7</v>
      </c>
      <c r="AP164" s="101">
        <f t="shared" si="351"/>
        <v>2082</v>
      </c>
      <c r="AQ164" s="102">
        <f t="shared" si="351"/>
        <v>1032.675</v>
      </c>
      <c r="AR164" s="101">
        <f t="shared" si="351"/>
        <v>2096</v>
      </c>
      <c r="AS164" s="102">
        <f t="shared" si="351"/>
        <v>1024.0999999999999</v>
      </c>
      <c r="AT164" s="101">
        <f t="shared" si="351"/>
        <v>1732</v>
      </c>
      <c r="AU164" s="102">
        <f t="shared" si="351"/>
        <v>858.375</v>
      </c>
      <c r="AV164" s="101">
        <f t="shared" si="351"/>
        <v>2122</v>
      </c>
      <c r="AW164" s="102">
        <f t="shared" si="351"/>
        <v>1006.0749999999999</v>
      </c>
      <c r="AX164" s="101">
        <f t="shared" si="351"/>
        <v>2222</v>
      </c>
      <c r="AY164" s="102">
        <f t="shared" si="351"/>
        <v>1019.2</v>
      </c>
      <c r="AZ164" s="101">
        <f t="shared" si="351"/>
        <v>2467</v>
      </c>
      <c r="BA164" s="102">
        <f t="shared" si="351"/>
        <v>941.84999999999991</v>
      </c>
      <c r="BB164" s="101">
        <f t="shared" si="351"/>
        <v>1565</v>
      </c>
      <c r="BC164" s="102">
        <f t="shared" si="351"/>
        <v>766.5</v>
      </c>
      <c r="BD164" s="101">
        <f t="shared" si="351"/>
        <v>5955</v>
      </c>
      <c r="BE164" s="102">
        <f t="shared" si="351"/>
        <v>2243.3249999999998</v>
      </c>
      <c r="BF164" s="103">
        <f t="shared" si="351"/>
        <v>33791</v>
      </c>
      <c r="BG164" s="104">
        <f t="shared" si="351"/>
        <v>15072.049999999997</v>
      </c>
      <c r="BH164" s="101">
        <f t="shared" si="351"/>
        <v>1752</v>
      </c>
      <c r="BI164" s="102">
        <f t="shared" si="351"/>
        <v>907.19999999999993</v>
      </c>
      <c r="BJ164" s="101">
        <f t="shared" si="351"/>
        <v>2206</v>
      </c>
      <c r="BK164" s="102">
        <f t="shared" si="351"/>
        <v>1138.375</v>
      </c>
      <c r="BL164" s="101">
        <f t="shared" si="351"/>
        <v>3341</v>
      </c>
      <c r="BM164" s="102">
        <f t="shared" si="351"/>
        <v>1520.7499999999998</v>
      </c>
      <c r="BN164" s="101">
        <f t="shared" si="351"/>
        <v>1913</v>
      </c>
      <c r="BO164" s="102">
        <f t="shared" si="351"/>
        <v>821.09999999999991</v>
      </c>
      <c r="BP164" s="101">
        <f t="shared" si="351"/>
        <v>1068</v>
      </c>
      <c r="BQ164" s="102">
        <f t="shared" si="351"/>
        <v>489.65</v>
      </c>
      <c r="BR164" s="101">
        <f t="shared" si="351"/>
        <v>1632</v>
      </c>
      <c r="BS164" s="102">
        <f t="shared" si="351"/>
        <v>763.17499999999995</v>
      </c>
      <c r="BT164" s="101">
        <f t="shared" ref="BT164:DG164" si="352">SUM(BT148:BT163)</f>
        <v>2029</v>
      </c>
      <c r="BU164" s="102">
        <f t="shared" si="352"/>
        <v>1096.1999999999998</v>
      </c>
      <c r="BV164" s="101">
        <f t="shared" si="352"/>
        <v>2274</v>
      </c>
      <c r="BW164" s="102">
        <f t="shared" si="352"/>
        <v>942.89999999999986</v>
      </c>
      <c r="BX164" s="101">
        <f t="shared" si="352"/>
        <v>1207</v>
      </c>
      <c r="BY164" s="102">
        <f t="shared" si="352"/>
        <v>451.14999999999992</v>
      </c>
      <c r="BZ164" s="101">
        <f t="shared" si="352"/>
        <v>1780</v>
      </c>
      <c r="CA164" s="102">
        <f t="shared" si="352"/>
        <v>739.375</v>
      </c>
      <c r="CB164" s="101">
        <f t="shared" si="352"/>
        <v>1518</v>
      </c>
      <c r="CC164" s="102">
        <f t="shared" si="352"/>
        <v>572.59999999999991</v>
      </c>
      <c r="CD164" s="101">
        <f t="shared" si="352"/>
        <v>401</v>
      </c>
      <c r="CE164" s="102">
        <f t="shared" si="352"/>
        <v>170.1</v>
      </c>
      <c r="CF164" s="103">
        <f t="shared" si="352"/>
        <v>21121</v>
      </c>
      <c r="CG164" s="104">
        <f t="shared" si="352"/>
        <v>9612.5749999999989</v>
      </c>
      <c r="CH164" s="101">
        <f t="shared" si="352"/>
        <v>397</v>
      </c>
      <c r="CI164" s="102">
        <f t="shared" si="352"/>
        <v>118.29999999999998</v>
      </c>
      <c r="CJ164" s="101">
        <f t="shared" si="352"/>
        <v>540</v>
      </c>
      <c r="CK164" s="102">
        <f t="shared" si="352"/>
        <v>211.04999999999998</v>
      </c>
      <c r="CL164" s="101">
        <f t="shared" si="352"/>
        <v>180</v>
      </c>
      <c r="CM164" s="102">
        <f t="shared" si="352"/>
        <v>67.199999999999989</v>
      </c>
      <c r="CN164" s="101">
        <f t="shared" si="352"/>
        <v>320</v>
      </c>
      <c r="CO164" s="102">
        <f t="shared" si="352"/>
        <v>127.04999999999998</v>
      </c>
      <c r="CP164" s="101">
        <f t="shared" si="352"/>
        <v>499</v>
      </c>
      <c r="CQ164" s="102">
        <f t="shared" si="352"/>
        <v>152.42500000000001</v>
      </c>
      <c r="CR164" s="101">
        <v>270</v>
      </c>
      <c r="CS164" s="102">
        <f t="shared" si="352"/>
        <v>89.774999999999991</v>
      </c>
      <c r="CT164" s="101">
        <f t="shared" si="352"/>
        <v>537</v>
      </c>
      <c r="CU164" s="102">
        <f t="shared" si="352"/>
        <v>196.35</v>
      </c>
      <c r="CV164" s="101">
        <v>646</v>
      </c>
      <c r="CW164" s="102">
        <f t="shared" si="352"/>
        <v>354.54999999999995</v>
      </c>
      <c r="CX164" s="101">
        <v>1124</v>
      </c>
      <c r="CY164" s="102">
        <v>769.99999999999989</v>
      </c>
      <c r="CZ164" s="101">
        <v>1514</v>
      </c>
      <c r="DA164" s="102">
        <v>1059.8</v>
      </c>
      <c r="DB164" s="101">
        <v>930</v>
      </c>
      <c r="DC164" s="102">
        <v>603.75</v>
      </c>
      <c r="DD164" s="101">
        <v>1147</v>
      </c>
      <c r="DE164" s="102">
        <v>802.9</v>
      </c>
      <c r="DF164" s="101">
        <f t="shared" si="352"/>
        <v>8104</v>
      </c>
      <c r="DG164" s="102">
        <f t="shared" si="352"/>
        <v>4553.1499999999996</v>
      </c>
      <c r="DH164" s="214">
        <v>828</v>
      </c>
      <c r="DI164" s="214">
        <v>579.6</v>
      </c>
      <c r="DJ164" s="101">
        <f t="shared" ref="DJ164:DK164" si="353">SUM(DJ148:DJ163)</f>
        <v>648</v>
      </c>
      <c r="DK164" s="102">
        <f t="shared" si="353"/>
        <v>447.3</v>
      </c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99">
        <f>SUM(EF149:EF163)</f>
        <v>1476</v>
      </c>
      <c r="EG164" s="99">
        <f>SUM(EG149:EG163)</f>
        <v>1026.8999999999999</v>
      </c>
    </row>
    <row r="165" spans="1:137" ht="20.100000000000001" customHeight="1">
      <c r="A165" s="18"/>
      <c r="B165" s="12" t="s">
        <v>120</v>
      </c>
      <c r="C165" s="12"/>
      <c r="D165" s="12"/>
      <c r="E165" s="12"/>
      <c r="F165" s="12"/>
      <c r="G165" s="12"/>
      <c r="H165" s="105">
        <f t="shared" ref="H165:BS165" si="354">+H147+H164</f>
        <v>817789</v>
      </c>
      <c r="I165" s="106">
        <f t="shared" si="354"/>
        <v>526828.79</v>
      </c>
      <c r="J165" s="105">
        <f t="shared" si="354"/>
        <v>768281</v>
      </c>
      <c r="K165" s="106">
        <f t="shared" si="354"/>
        <v>495056.92000000004</v>
      </c>
      <c r="L165" s="105">
        <f t="shared" si="354"/>
        <v>881163</v>
      </c>
      <c r="M165" s="106">
        <f t="shared" si="354"/>
        <v>571129.96</v>
      </c>
      <c r="N165" s="105">
        <f t="shared" si="354"/>
        <v>704280</v>
      </c>
      <c r="O165" s="106">
        <f t="shared" si="354"/>
        <v>447314.33500000014</v>
      </c>
      <c r="P165" s="105">
        <f t="shared" si="354"/>
        <v>698742</v>
      </c>
      <c r="Q165" s="106">
        <f t="shared" si="354"/>
        <v>450229.44000000012</v>
      </c>
      <c r="R165" s="105">
        <f t="shared" si="354"/>
        <v>798690</v>
      </c>
      <c r="S165" s="106">
        <f t="shared" si="354"/>
        <v>513839.97999999986</v>
      </c>
      <c r="T165" s="105">
        <f t="shared" si="354"/>
        <v>782048</v>
      </c>
      <c r="U165" s="106">
        <f t="shared" si="354"/>
        <v>504286.81500000006</v>
      </c>
      <c r="V165" s="105">
        <f t="shared" si="354"/>
        <v>845378</v>
      </c>
      <c r="W165" s="106">
        <f t="shared" si="354"/>
        <v>547339.72</v>
      </c>
      <c r="X165" s="105">
        <f t="shared" si="354"/>
        <v>764573</v>
      </c>
      <c r="Y165" s="106">
        <f t="shared" si="354"/>
        <v>492927.69500000012</v>
      </c>
      <c r="Z165" s="105">
        <f t="shared" si="354"/>
        <v>755233</v>
      </c>
      <c r="AA165" s="106">
        <f t="shared" si="354"/>
        <v>486568.28500000003</v>
      </c>
      <c r="AB165" s="105">
        <f t="shared" si="354"/>
        <v>828040</v>
      </c>
      <c r="AC165" s="106">
        <f t="shared" si="354"/>
        <v>535140.42000000016</v>
      </c>
      <c r="AD165" s="105">
        <f t="shared" si="354"/>
        <v>889958</v>
      </c>
      <c r="AE165" s="106">
        <f t="shared" si="354"/>
        <v>573456.63499999989</v>
      </c>
      <c r="AF165" s="107">
        <f t="shared" si="354"/>
        <v>9534175</v>
      </c>
      <c r="AG165" s="104">
        <f t="shared" si="354"/>
        <v>6144118.995000001</v>
      </c>
      <c r="AH165" s="105">
        <f t="shared" si="354"/>
        <v>872604</v>
      </c>
      <c r="AI165" s="106">
        <f t="shared" si="354"/>
        <v>562976.27999999991</v>
      </c>
      <c r="AJ165" s="105">
        <f t="shared" si="354"/>
        <v>707323</v>
      </c>
      <c r="AK165" s="106">
        <f t="shared" si="354"/>
        <v>455173.02</v>
      </c>
      <c r="AL165" s="105">
        <f t="shared" si="354"/>
        <v>702510</v>
      </c>
      <c r="AM165" s="106">
        <f t="shared" si="354"/>
        <v>454613.18999999994</v>
      </c>
      <c r="AN165" s="105">
        <f t="shared" si="354"/>
        <v>691158</v>
      </c>
      <c r="AO165" s="106">
        <f t="shared" si="354"/>
        <v>446576.79000000004</v>
      </c>
      <c r="AP165" s="105">
        <f t="shared" si="354"/>
        <v>599015</v>
      </c>
      <c r="AQ165" s="106">
        <f t="shared" si="354"/>
        <v>388263.28499999992</v>
      </c>
      <c r="AR165" s="105">
        <f t="shared" si="354"/>
        <v>729785</v>
      </c>
      <c r="AS165" s="106">
        <f t="shared" si="354"/>
        <v>472090.8000000001</v>
      </c>
      <c r="AT165" s="105">
        <f t="shared" si="354"/>
        <v>788728</v>
      </c>
      <c r="AU165" s="106">
        <f t="shared" si="354"/>
        <v>510468.28500000003</v>
      </c>
      <c r="AV165" s="105">
        <f t="shared" si="354"/>
        <v>790783</v>
      </c>
      <c r="AW165" s="106">
        <f t="shared" si="354"/>
        <v>509902.19500000007</v>
      </c>
      <c r="AX165" s="105">
        <f t="shared" si="354"/>
        <v>750533</v>
      </c>
      <c r="AY165" s="106">
        <f t="shared" si="354"/>
        <v>485044.93000000005</v>
      </c>
      <c r="AZ165" s="105">
        <f t="shared" si="354"/>
        <v>834203</v>
      </c>
      <c r="BA165" s="106">
        <f t="shared" si="354"/>
        <v>537701.54999999993</v>
      </c>
      <c r="BB165" s="105">
        <f t="shared" si="354"/>
        <v>830203</v>
      </c>
      <c r="BC165" s="106">
        <f t="shared" si="354"/>
        <v>537898.64</v>
      </c>
      <c r="BD165" s="105">
        <f t="shared" si="354"/>
        <v>1038475</v>
      </c>
      <c r="BE165" s="106">
        <f t="shared" si="354"/>
        <v>669834.38500000001</v>
      </c>
      <c r="BF165" s="107">
        <f t="shared" si="354"/>
        <v>9335320</v>
      </c>
      <c r="BG165" s="104">
        <f t="shared" si="354"/>
        <v>6030543.3499999987</v>
      </c>
      <c r="BH165" s="105">
        <f t="shared" si="354"/>
        <v>950930</v>
      </c>
      <c r="BI165" s="106">
        <f t="shared" si="354"/>
        <v>614419.39999999991</v>
      </c>
      <c r="BJ165" s="105">
        <f t="shared" si="354"/>
        <v>775985</v>
      </c>
      <c r="BK165" s="106">
        <f t="shared" si="354"/>
        <v>501687.05499999993</v>
      </c>
      <c r="BL165" s="105">
        <f t="shared" si="354"/>
        <v>797449</v>
      </c>
      <c r="BM165" s="106">
        <f t="shared" si="354"/>
        <v>514439.88999999996</v>
      </c>
      <c r="BN165" s="105">
        <f t="shared" si="354"/>
        <v>750991</v>
      </c>
      <c r="BO165" s="106">
        <f t="shared" si="354"/>
        <v>487358.10000000003</v>
      </c>
      <c r="BP165" s="105">
        <f t="shared" si="354"/>
        <v>841660</v>
      </c>
      <c r="BQ165" s="106">
        <f t="shared" si="354"/>
        <v>541704.71</v>
      </c>
      <c r="BR165" s="105">
        <f t="shared" si="354"/>
        <v>822028</v>
      </c>
      <c r="BS165" s="106">
        <f t="shared" si="354"/>
        <v>530600.14500000014</v>
      </c>
      <c r="BT165" s="105">
        <f t="shared" ref="BT165:DG165" si="355">+BT147+BT164</f>
        <v>870166</v>
      </c>
      <c r="BU165" s="106">
        <f t="shared" si="355"/>
        <v>562774.81999999983</v>
      </c>
      <c r="BV165" s="105">
        <f t="shared" si="355"/>
        <v>866931</v>
      </c>
      <c r="BW165" s="106">
        <f t="shared" si="355"/>
        <v>561856.58000000007</v>
      </c>
      <c r="BX165" s="105">
        <f t="shared" si="355"/>
        <v>902848</v>
      </c>
      <c r="BY165" s="106">
        <f t="shared" si="355"/>
        <v>584416.40999999992</v>
      </c>
      <c r="BZ165" s="105">
        <f t="shared" si="355"/>
        <v>948196</v>
      </c>
      <c r="CA165" s="106">
        <f t="shared" si="355"/>
        <v>616091.02500000014</v>
      </c>
      <c r="CB165" s="105">
        <f t="shared" si="355"/>
        <v>918548</v>
      </c>
      <c r="CC165" s="106">
        <f t="shared" si="355"/>
        <v>596407.62</v>
      </c>
      <c r="CD165" s="105">
        <f t="shared" si="355"/>
        <v>1013832</v>
      </c>
      <c r="CE165" s="106">
        <f t="shared" si="355"/>
        <v>662323.54</v>
      </c>
      <c r="CF165" s="107">
        <f t="shared" si="355"/>
        <v>10459564</v>
      </c>
      <c r="CG165" s="104">
        <f t="shared" si="355"/>
        <v>6774079.2950000009</v>
      </c>
      <c r="CH165" s="108">
        <f t="shared" si="355"/>
        <v>966149</v>
      </c>
      <c r="CI165" s="106">
        <f t="shared" si="355"/>
        <v>631951.18000000005</v>
      </c>
      <c r="CJ165" s="108">
        <f t="shared" si="355"/>
        <v>819391</v>
      </c>
      <c r="CK165" s="106">
        <f t="shared" si="355"/>
        <v>533039.53000000014</v>
      </c>
      <c r="CL165" s="108">
        <f t="shared" si="355"/>
        <v>1020734</v>
      </c>
      <c r="CM165" s="106">
        <f t="shared" si="355"/>
        <v>677415.91999999993</v>
      </c>
      <c r="CN165" s="105">
        <f t="shared" si="355"/>
        <v>803419</v>
      </c>
      <c r="CO165" s="106">
        <f t="shared" si="355"/>
        <v>524739.30000000005</v>
      </c>
      <c r="CP165" s="105">
        <f t="shared" si="355"/>
        <v>889239</v>
      </c>
      <c r="CQ165" s="106">
        <f t="shared" si="355"/>
        <v>583333.91500000004</v>
      </c>
      <c r="CR165" s="105">
        <v>884517</v>
      </c>
      <c r="CS165" s="106">
        <f t="shared" si="355"/>
        <v>578702.17500000016</v>
      </c>
      <c r="CT165" s="105">
        <f t="shared" si="355"/>
        <v>864240</v>
      </c>
      <c r="CU165" s="106">
        <f t="shared" si="355"/>
        <v>571454.54</v>
      </c>
      <c r="CV165" s="105">
        <v>849339</v>
      </c>
      <c r="CW165" s="106">
        <f t="shared" si="355"/>
        <v>559088.39000000025</v>
      </c>
      <c r="CX165" s="105">
        <v>867325</v>
      </c>
      <c r="CY165" s="106">
        <v>584610.04</v>
      </c>
      <c r="CZ165" s="105">
        <v>900550</v>
      </c>
      <c r="DA165" s="106">
        <v>604813.78</v>
      </c>
      <c r="DB165" s="105">
        <v>929611</v>
      </c>
      <c r="DC165" s="106">
        <v>617387.71</v>
      </c>
      <c r="DD165" s="105">
        <v>957943</v>
      </c>
      <c r="DE165" s="106">
        <v>637784.02</v>
      </c>
      <c r="DF165" s="105">
        <f t="shared" si="355"/>
        <v>10752457</v>
      </c>
      <c r="DG165" s="106">
        <f t="shared" si="355"/>
        <v>7104320.4999999991</v>
      </c>
      <c r="DH165" s="169">
        <v>823815</v>
      </c>
      <c r="DI165" s="169">
        <v>549727.20000000007</v>
      </c>
      <c r="DJ165" s="105">
        <f t="shared" ref="DJ165:DK165" si="356">+DJ147+DJ164</f>
        <v>730389</v>
      </c>
      <c r="DK165" s="106">
        <f t="shared" si="356"/>
        <v>486741.62</v>
      </c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99">
        <f>EF147+EF164</f>
        <v>1554204</v>
      </c>
      <c r="EG165" s="99">
        <f>EG147+EG164</f>
        <v>1036468.82</v>
      </c>
    </row>
    <row r="166" spans="1:137" ht="21.75" customHeight="1">
      <c r="AF166" s="19">
        <f>+AF165*12</f>
        <v>114410100</v>
      </c>
      <c r="BF166" s="19">
        <f>+BF165*12</f>
        <v>112023840</v>
      </c>
      <c r="CF166" s="19">
        <f>+CF165*12</f>
        <v>125514768</v>
      </c>
    </row>
    <row r="167" spans="1:137" ht="21.75" customHeight="1"/>
    <row r="168" spans="1:137">
      <c r="CJ168" s="22"/>
      <c r="CK168" s="23"/>
      <c r="CL168" s="22"/>
      <c r="CN168" s="22"/>
      <c r="CO168" s="23"/>
      <c r="CP168" s="22"/>
      <c r="CQ168" s="23"/>
      <c r="CT168" s="24"/>
      <c r="CU168" s="25"/>
      <c r="CV168" s="22"/>
      <c r="CW168" s="23"/>
    </row>
    <row r="169" spans="1:137">
      <c r="CZ169" s="22"/>
      <c r="DA169" s="23"/>
    </row>
    <row r="170" spans="1:137" ht="21.75" customHeight="1"/>
    <row r="171" spans="1:137" ht="21.75" customHeight="1"/>
    <row r="172" spans="1:137" ht="21.75" customHeight="1"/>
    <row r="173" spans="1:137" ht="21.75" customHeight="1"/>
    <row r="174" spans="1:137" ht="21.75" customHeight="1"/>
    <row r="175" spans="1:137" ht="21.75" customHeight="1"/>
    <row r="176" spans="1:137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</sheetData>
  <mergeCells count="74">
    <mergeCell ref="EB2:EC2"/>
    <mergeCell ref="ED2:EE2"/>
    <mergeCell ref="EF2:EG2"/>
    <mergeCell ref="DR2:DS2"/>
    <mergeCell ref="DT2:DU2"/>
    <mergeCell ref="DV2:DW2"/>
    <mergeCell ref="DX2:DY2"/>
    <mergeCell ref="DZ2:EA2"/>
    <mergeCell ref="DH2:DI2"/>
    <mergeCell ref="DJ2:DK2"/>
    <mergeCell ref="DL2:DM2"/>
    <mergeCell ref="DN2:DO2"/>
    <mergeCell ref="DP2:DQ2"/>
    <mergeCell ref="DB2:DC2"/>
    <mergeCell ref="DD2:DE2"/>
    <mergeCell ref="DF2:DG2"/>
    <mergeCell ref="CP2:CQ2"/>
    <mergeCell ref="CR2:CS2"/>
    <mergeCell ref="CT2:CU2"/>
    <mergeCell ref="CV2:CW2"/>
    <mergeCell ref="CX2:CY2"/>
    <mergeCell ref="CZ2:DA2"/>
    <mergeCell ref="CN2:CO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BP2:B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</mergeCells>
  <pageMargins left="0" right="0" top="0" bottom="0" header="0.3" footer="0.3"/>
  <pageSetup paperSize="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10" workbookViewId="0">
      <selection activeCell="K16" sqref="K16"/>
    </sheetView>
  </sheetViews>
  <sheetFormatPr defaultRowHeight="21.75"/>
  <cols>
    <col min="1" max="1" width="4.42578125" style="26" bestFit="1" customWidth="1"/>
    <col min="2" max="2" width="27.28515625" style="26" bestFit="1" customWidth="1"/>
    <col min="3" max="6" width="11.85546875" style="26" bestFit="1" customWidth="1"/>
    <col min="7" max="7" width="13.140625" style="26" bestFit="1" customWidth="1"/>
    <col min="8" max="8" width="11.85546875" style="26" bestFit="1" customWidth="1"/>
    <col min="9" max="9" width="13.42578125" style="26" customWidth="1"/>
    <col min="10" max="12" width="13.140625" style="26" customWidth="1"/>
    <col min="13" max="14" width="13.140625" style="26" bestFit="1" customWidth="1"/>
    <col min="15" max="16384" width="9.140625" style="26"/>
  </cols>
  <sheetData>
    <row r="1" spans="1:14" ht="40.5" customHeight="1">
      <c r="A1" s="245" t="s">
        <v>186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14" ht="36.75" customHeight="1">
      <c r="A2" s="246" t="s">
        <v>122</v>
      </c>
      <c r="B2" s="246" t="s">
        <v>123</v>
      </c>
      <c r="C2" s="248" t="s">
        <v>124</v>
      </c>
      <c r="D2" s="249"/>
      <c r="E2" s="248" t="s">
        <v>125</v>
      </c>
      <c r="F2" s="249"/>
      <c r="G2" s="248" t="s">
        <v>126</v>
      </c>
      <c r="H2" s="249"/>
      <c r="I2" s="248" t="s">
        <v>127</v>
      </c>
      <c r="J2" s="249"/>
      <c r="K2" s="248" t="s">
        <v>232</v>
      </c>
      <c r="L2" s="249"/>
      <c r="M2" s="250" t="s">
        <v>128</v>
      </c>
      <c r="N2" s="250"/>
    </row>
    <row r="3" spans="1:14" ht="27.75" customHeight="1">
      <c r="A3" s="247"/>
      <c r="B3" s="247"/>
      <c r="C3" s="123" t="s">
        <v>129</v>
      </c>
      <c r="D3" s="124" t="s">
        <v>130</v>
      </c>
      <c r="E3" s="123" t="s">
        <v>129</v>
      </c>
      <c r="F3" s="124" t="s">
        <v>130</v>
      </c>
      <c r="G3" s="123" t="s">
        <v>129</v>
      </c>
      <c r="H3" s="124" t="s">
        <v>130</v>
      </c>
      <c r="I3" s="123" t="s">
        <v>129</v>
      </c>
      <c r="J3" s="124" t="s">
        <v>130</v>
      </c>
      <c r="K3" s="123" t="s">
        <v>129</v>
      </c>
      <c r="L3" s="124" t="s">
        <v>130</v>
      </c>
      <c r="M3" s="123" t="s">
        <v>129</v>
      </c>
      <c r="N3" s="124" t="s">
        <v>130</v>
      </c>
    </row>
    <row r="4" spans="1:14" ht="20.100000000000001" customHeight="1">
      <c r="A4" s="125">
        <v>1</v>
      </c>
      <c r="B4" s="126" t="s">
        <v>131</v>
      </c>
      <c r="C4" s="80">
        <f>+'7-MTL'!H147</f>
        <v>798573</v>
      </c>
      <c r="D4" s="127">
        <f>+'7-MTL'!I147</f>
        <v>517485.54</v>
      </c>
      <c r="E4" s="80">
        <f>+'7-MTL'!AH147</f>
        <v>868076</v>
      </c>
      <c r="F4" s="127">
        <f>+'7-MTL'!AI147</f>
        <v>561000.52999999991</v>
      </c>
      <c r="G4" s="80">
        <f>+'7-MTL'!BH147</f>
        <v>949178</v>
      </c>
      <c r="H4" s="127">
        <f>+'7-MTL'!BI147</f>
        <v>613512.19999999995</v>
      </c>
      <c r="I4" s="128">
        <f>+'7-MTL'!CH147</f>
        <v>965752</v>
      </c>
      <c r="J4" s="127">
        <f>+'7-MTL'!CI147</f>
        <v>631832.88</v>
      </c>
      <c r="K4" s="129">
        <f>'MTL-26'!G147</f>
        <v>822987</v>
      </c>
      <c r="L4" s="130">
        <f>'MTL-26'!H147</f>
        <v>549147.60000000009</v>
      </c>
      <c r="M4" s="131">
        <f t="shared" ref="M4:M16" si="0">C4+E4+G4+I4</f>
        <v>3581579</v>
      </c>
      <c r="N4" s="132">
        <f t="shared" ref="N4:N16" si="1">D4+F4+H4+J4</f>
        <v>2323831.15</v>
      </c>
    </row>
    <row r="5" spans="1:14" ht="20.100000000000001" customHeight="1">
      <c r="A5" s="125">
        <v>2</v>
      </c>
      <c r="B5" s="126" t="s">
        <v>132</v>
      </c>
      <c r="C5" s="80">
        <f>+'7-MTL'!J147</f>
        <v>761500</v>
      </c>
      <c r="D5" s="127">
        <f>+'7-MTL'!K147</f>
        <v>492129.52</v>
      </c>
      <c r="E5" s="80">
        <f>+'7-MTL'!AJ147</f>
        <v>703567</v>
      </c>
      <c r="F5" s="127">
        <f>+'7-MTL'!AK147</f>
        <v>453398.52</v>
      </c>
      <c r="G5" s="80">
        <f>+'7-MTL'!BJ147</f>
        <v>773779</v>
      </c>
      <c r="H5" s="127">
        <f>+'7-MTL'!BK147</f>
        <v>500548.67999999993</v>
      </c>
      <c r="I5" s="128">
        <f>+'7-MTL'!CJ147</f>
        <v>818851</v>
      </c>
      <c r="J5" s="127">
        <f>+'7-MTL'!CK147</f>
        <v>532828.4800000001</v>
      </c>
      <c r="K5" s="129">
        <f>'MTL-26'!I147</f>
        <v>729741</v>
      </c>
      <c r="L5" s="130">
        <f>'MTL-26'!J147</f>
        <v>486294.32</v>
      </c>
      <c r="M5" s="131">
        <f t="shared" si="0"/>
        <v>3057697</v>
      </c>
      <c r="N5" s="132">
        <f t="shared" si="1"/>
        <v>1978905.2000000002</v>
      </c>
    </row>
    <row r="6" spans="1:14" ht="20.100000000000001" customHeight="1">
      <c r="A6" s="125">
        <v>3</v>
      </c>
      <c r="B6" s="126" t="s">
        <v>133</v>
      </c>
      <c r="C6" s="80">
        <f>+'7-MTL'!L147</f>
        <v>873994</v>
      </c>
      <c r="D6" s="127">
        <f>+'7-MTL'!M147</f>
        <v>567669.15999999992</v>
      </c>
      <c r="E6" s="80">
        <f>+'7-MTL'!AL147</f>
        <v>700409</v>
      </c>
      <c r="F6" s="127">
        <f>+'7-MTL'!AM147</f>
        <v>453549.18999999994</v>
      </c>
      <c r="G6" s="80">
        <f>+'7-MTL'!BL147</f>
        <v>794108</v>
      </c>
      <c r="H6" s="127">
        <f>+'7-MTL'!BM147</f>
        <v>512919.13999999996</v>
      </c>
      <c r="I6" s="128">
        <f>+'7-MTL'!CL147</f>
        <v>1020554</v>
      </c>
      <c r="J6" s="127">
        <f>+'7-MTL'!CM147</f>
        <v>677348.72</v>
      </c>
      <c r="K6" s="129"/>
      <c r="L6" s="130"/>
      <c r="M6" s="131">
        <f t="shared" si="0"/>
        <v>3389065</v>
      </c>
      <c r="N6" s="132">
        <f t="shared" si="1"/>
        <v>2211486.21</v>
      </c>
    </row>
    <row r="7" spans="1:14" ht="20.100000000000001" customHeight="1">
      <c r="A7" s="125">
        <v>4</v>
      </c>
      <c r="B7" s="126" t="s">
        <v>134</v>
      </c>
      <c r="C7" s="80">
        <f>+'7-MTL'!N147</f>
        <v>671845</v>
      </c>
      <c r="D7" s="127">
        <f>+'7-MTL'!O147</f>
        <v>435727.06000000011</v>
      </c>
      <c r="E7" s="80">
        <f>+'7-MTL'!AN147</f>
        <v>687993</v>
      </c>
      <c r="F7" s="127">
        <f>+'7-MTL'!AO147</f>
        <v>445211.09</v>
      </c>
      <c r="G7" s="80">
        <f>+'7-MTL'!BN147</f>
        <v>749078</v>
      </c>
      <c r="H7" s="127">
        <f>+'7-MTL'!BO147</f>
        <v>486537.00000000006</v>
      </c>
      <c r="I7" s="128">
        <f>'MTL-25'!M140</f>
        <v>803099</v>
      </c>
      <c r="J7" s="127">
        <f>'MTL-25'!N140</f>
        <v>524612.25</v>
      </c>
      <c r="K7" s="129"/>
      <c r="L7" s="130"/>
      <c r="M7" s="131">
        <f t="shared" si="0"/>
        <v>2912015</v>
      </c>
      <c r="N7" s="132">
        <f t="shared" si="1"/>
        <v>1892087.4000000001</v>
      </c>
    </row>
    <row r="8" spans="1:14" ht="20.100000000000001" customHeight="1">
      <c r="A8" s="125">
        <v>5</v>
      </c>
      <c r="B8" s="126" t="s">
        <v>135</v>
      </c>
      <c r="C8" s="80">
        <f>+'7-MTL'!P147</f>
        <v>693667</v>
      </c>
      <c r="D8" s="127">
        <f>+'7-MTL'!Q147</f>
        <v>447894.94000000012</v>
      </c>
      <c r="E8" s="80">
        <f>+'7-MTL'!AP147</f>
        <v>596933</v>
      </c>
      <c r="F8" s="127">
        <f>+'7-MTL'!AQ147</f>
        <v>387230.60999999993</v>
      </c>
      <c r="G8" s="80">
        <f>+'7-MTL'!BP147</f>
        <v>840592</v>
      </c>
      <c r="H8" s="127">
        <f>+'7-MTL'!BQ147</f>
        <v>541215.05999999994</v>
      </c>
      <c r="I8" s="128">
        <f>'7-MTL'!CP147</f>
        <v>888740</v>
      </c>
      <c r="J8" s="127">
        <f>'7-MTL'!CQ147</f>
        <v>583181.49</v>
      </c>
      <c r="K8" s="129"/>
      <c r="L8" s="130"/>
      <c r="M8" s="131">
        <f t="shared" si="0"/>
        <v>3019932</v>
      </c>
      <c r="N8" s="132">
        <f t="shared" si="1"/>
        <v>1959522.0999999999</v>
      </c>
    </row>
    <row r="9" spans="1:14" ht="20.100000000000001" customHeight="1">
      <c r="A9" s="125">
        <v>6</v>
      </c>
      <c r="B9" s="126" t="s">
        <v>136</v>
      </c>
      <c r="C9" s="80">
        <f>+'7-MTL'!R147</f>
        <v>793060</v>
      </c>
      <c r="D9" s="127">
        <f>+'7-MTL'!S147</f>
        <v>511380.87999999989</v>
      </c>
      <c r="E9" s="80">
        <f>+'7-MTL'!AR147</f>
        <v>727689</v>
      </c>
      <c r="F9" s="127">
        <f>+'7-MTL'!AS147</f>
        <v>471066.70000000013</v>
      </c>
      <c r="G9" s="80">
        <f>+'7-MTL'!BR147</f>
        <v>820396</v>
      </c>
      <c r="H9" s="127">
        <f>+'7-MTL'!BS147</f>
        <v>529836.97000000009</v>
      </c>
      <c r="I9" s="128">
        <f>'MTL-25'!Q140</f>
        <v>884247</v>
      </c>
      <c r="J9" s="127">
        <f>'MTL-25'!R140</f>
        <v>578612.40000000014</v>
      </c>
      <c r="K9" s="129"/>
      <c r="L9" s="130"/>
      <c r="M9" s="131">
        <f t="shared" si="0"/>
        <v>3225392</v>
      </c>
      <c r="N9" s="132">
        <f t="shared" si="1"/>
        <v>2090896.9500000004</v>
      </c>
    </row>
    <row r="10" spans="1:14" ht="20.100000000000001" customHeight="1">
      <c r="A10" s="125">
        <v>7</v>
      </c>
      <c r="B10" s="126" t="s">
        <v>137</v>
      </c>
      <c r="C10" s="80">
        <f>+'7-MTL'!T147</f>
        <v>775218</v>
      </c>
      <c r="D10" s="127">
        <f>+'7-MTL'!U147</f>
        <v>501101.64000000007</v>
      </c>
      <c r="E10" s="80">
        <f>+'7-MTL'!AT147</f>
        <v>786996</v>
      </c>
      <c r="F10" s="127">
        <f>+'7-MTL'!AU147</f>
        <v>509609.91000000003</v>
      </c>
      <c r="G10" s="80">
        <f>+'7-MTL'!BT147</f>
        <v>868137</v>
      </c>
      <c r="H10" s="127">
        <f>+'7-MTL'!BU147</f>
        <v>561678.61999999988</v>
      </c>
      <c r="I10" s="128">
        <f>'MTL-25'!S140</f>
        <v>863703</v>
      </c>
      <c r="J10" s="127">
        <f>'MTL-25'!T140</f>
        <v>571258.19000000006</v>
      </c>
      <c r="K10" s="129"/>
      <c r="L10" s="130"/>
      <c r="M10" s="131">
        <f t="shared" si="0"/>
        <v>3294054</v>
      </c>
      <c r="N10" s="132">
        <f t="shared" si="1"/>
        <v>2143648.36</v>
      </c>
    </row>
    <row r="11" spans="1:14" ht="20.100000000000001" customHeight="1">
      <c r="A11" s="125">
        <v>8</v>
      </c>
      <c r="B11" s="126" t="s">
        <v>138</v>
      </c>
      <c r="C11" s="80">
        <f>+'7-MTL'!V147</f>
        <v>841044</v>
      </c>
      <c r="D11" s="127">
        <f>+'7-MTL'!W147</f>
        <v>545230.62</v>
      </c>
      <c r="E11" s="80">
        <f>+'7-MTL'!AV147</f>
        <v>788661</v>
      </c>
      <c r="F11" s="127">
        <f>+'7-MTL'!AW147</f>
        <v>508896.12000000005</v>
      </c>
      <c r="G11" s="80">
        <f>+'7-MTL'!BV147</f>
        <v>864657</v>
      </c>
      <c r="H11" s="127">
        <f>+'7-MTL'!BW147</f>
        <v>560913.68000000005</v>
      </c>
      <c r="I11" s="128">
        <f>'MTL-25'!U140</f>
        <v>848693</v>
      </c>
      <c r="J11" s="127">
        <f>'MTL-25'!V140</f>
        <v>558733.8400000002</v>
      </c>
      <c r="K11" s="129"/>
      <c r="L11" s="130"/>
      <c r="M11" s="131">
        <f t="shared" si="0"/>
        <v>3343055</v>
      </c>
      <c r="N11" s="132">
        <f t="shared" si="1"/>
        <v>2173774.2600000002</v>
      </c>
    </row>
    <row r="12" spans="1:14" ht="20.100000000000001" customHeight="1">
      <c r="A12" s="125">
        <v>9</v>
      </c>
      <c r="B12" s="126" t="s">
        <v>139</v>
      </c>
      <c r="C12" s="80">
        <f>+'7-MTL'!X147</f>
        <v>762200</v>
      </c>
      <c r="D12" s="127">
        <f>+'7-MTL'!Y147</f>
        <v>491813.12000000011</v>
      </c>
      <c r="E12" s="80">
        <f>+'7-MTL'!AX147</f>
        <v>748311</v>
      </c>
      <c r="F12" s="127">
        <f>+'7-MTL'!AY147</f>
        <v>484025.73000000004</v>
      </c>
      <c r="G12" s="80">
        <f>+'7-MTL'!BX147</f>
        <v>901641</v>
      </c>
      <c r="H12" s="127">
        <f>+'7-MTL'!BY147</f>
        <v>583965.25999999989</v>
      </c>
      <c r="I12" s="128">
        <f>'MTL-25'!W140</f>
        <v>866201</v>
      </c>
      <c r="J12" s="127">
        <f>'MTL-25'!X140</f>
        <v>583840.04</v>
      </c>
      <c r="K12" s="129"/>
      <c r="L12" s="130"/>
      <c r="M12" s="131">
        <f t="shared" si="0"/>
        <v>3278353</v>
      </c>
      <c r="N12" s="132">
        <f t="shared" si="1"/>
        <v>2143644.15</v>
      </c>
    </row>
    <row r="13" spans="1:14" ht="20.100000000000001" customHeight="1">
      <c r="A13" s="125">
        <v>10</v>
      </c>
      <c r="B13" s="126" t="s">
        <v>140</v>
      </c>
      <c r="C13" s="80">
        <f>+'7-MTL'!Z147</f>
        <v>752404</v>
      </c>
      <c r="D13" s="127">
        <f>+'7-MTL'!AA147</f>
        <v>485261.91000000003</v>
      </c>
      <c r="E13" s="80">
        <f>+'7-MTL'!AZ147</f>
        <v>831736</v>
      </c>
      <c r="F13" s="127">
        <f>+'7-MTL'!BA147</f>
        <v>536759.69999999995</v>
      </c>
      <c r="G13" s="80">
        <f>+'7-MTL'!BZ147</f>
        <v>946416</v>
      </c>
      <c r="H13" s="127">
        <f>+'7-MTL'!CA147</f>
        <v>615351.65000000014</v>
      </c>
      <c r="I13" s="128">
        <f>'MTL-25'!Y140</f>
        <v>899036</v>
      </c>
      <c r="J13" s="127">
        <f>'MTL-25'!Z140</f>
        <v>603753.98</v>
      </c>
      <c r="K13" s="129"/>
      <c r="L13" s="130"/>
      <c r="M13" s="131">
        <f t="shared" si="0"/>
        <v>3429592</v>
      </c>
      <c r="N13" s="132">
        <f t="shared" si="1"/>
        <v>2241127.2400000002</v>
      </c>
    </row>
    <row r="14" spans="1:14" ht="20.100000000000001" customHeight="1">
      <c r="A14" s="125">
        <v>11</v>
      </c>
      <c r="B14" s="126" t="s">
        <v>141</v>
      </c>
      <c r="C14" s="80">
        <f>+'7-MTL'!AB147</f>
        <v>825151</v>
      </c>
      <c r="D14" s="127">
        <f>+'7-MTL'!AC147</f>
        <v>533743.92000000016</v>
      </c>
      <c r="E14" s="80">
        <f>+'7-MTL'!BB147</f>
        <v>828638</v>
      </c>
      <c r="F14" s="127">
        <f>+'7-MTL'!BC147</f>
        <v>537132.14</v>
      </c>
      <c r="G14" s="80">
        <f>+'7-MTL'!CB147</f>
        <v>917030</v>
      </c>
      <c r="H14" s="127">
        <f>+'7-MTL'!CC147</f>
        <v>595835.02</v>
      </c>
      <c r="I14" s="128">
        <f>'MTL-25'!AA140</f>
        <v>928681</v>
      </c>
      <c r="J14" s="127">
        <f>'MTL-25'!AB140</f>
        <v>616783.96</v>
      </c>
      <c r="K14" s="129"/>
      <c r="L14" s="130"/>
      <c r="M14" s="131">
        <f t="shared" si="0"/>
        <v>3499500</v>
      </c>
      <c r="N14" s="132">
        <f t="shared" si="1"/>
        <v>2283495.04</v>
      </c>
    </row>
    <row r="15" spans="1:14" ht="20.100000000000001" customHeight="1">
      <c r="A15" s="125">
        <v>12</v>
      </c>
      <c r="B15" s="126" t="s">
        <v>142</v>
      </c>
      <c r="C15" s="80">
        <f>+'7-MTL'!AD147</f>
        <v>885399</v>
      </c>
      <c r="D15" s="127">
        <f>+'7-MTL'!AE147</f>
        <v>571252.50999999989</v>
      </c>
      <c r="E15" s="80">
        <f>+'7-MTL'!BD147</f>
        <v>1032520</v>
      </c>
      <c r="F15" s="127">
        <f>+'7-MTL'!BE147</f>
        <v>667591.06000000006</v>
      </c>
      <c r="G15" s="80">
        <f>+'7-MTL'!CD147</f>
        <v>1013431</v>
      </c>
      <c r="H15" s="127">
        <f>+'7-MTL'!CE147</f>
        <v>662153.44000000006</v>
      </c>
      <c r="I15" s="128">
        <f>'MTL-25'!AC140</f>
        <v>956796</v>
      </c>
      <c r="J15" s="127">
        <f>'MTL-25'!AD140</f>
        <v>636981.12</v>
      </c>
      <c r="K15" s="129"/>
      <c r="L15" s="130"/>
      <c r="M15" s="131">
        <f t="shared" si="0"/>
        <v>3888146</v>
      </c>
      <c r="N15" s="132">
        <f t="shared" si="1"/>
        <v>2537978.13</v>
      </c>
    </row>
    <row r="16" spans="1:14" ht="20.100000000000001" customHeight="1">
      <c r="A16" s="133"/>
      <c r="B16" s="134" t="s">
        <v>143</v>
      </c>
      <c r="C16" s="135">
        <f>'[3]MTL-FOC -22'!AB38</f>
        <v>3713</v>
      </c>
      <c r="D16" s="136">
        <f>'[3]MTL-FOC -22'!AC38</f>
        <v>2651.18</v>
      </c>
      <c r="E16" s="135">
        <f>'[3]MTL-FOC-23'!AB38</f>
        <v>9598</v>
      </c>
      <c r="F16" s="136">
        <f>'[3]MTL-FOC-23'!AC38</f>
        <v>6344.73</v>
      </c>
      <c r="G16" s="135">
        <f>'[3]MTL-FOC-24'!AB38</f>
        <v>8806</v>
      </c>
      <c r="H16" s="136">
        <f>'[3]MTL-FOC-24'!AC38</f>
        <v>6150.47</v>
      </c>
      <c r="I16" s="137">
        <f>'MTL-25FOC'!AE142</f>
        <v>34533</v>
      </c>
      <c r="J16" s="136">
        <f>'MTL-25FOC'!AF142</f>
        <v>26760.160000000003</v>
      </c>
      <c r="K16" s="138">
        <f>'MTL-26FOC'!AE148</f>
        <v>1653</v>
      </c>
      <c r="L16" s="114">
        <f>'MTL-26FOC'!AF148</f>
        <v>1145.1600000000001</v>
      </c>
      <c r="M16" s="131">
        <f t="shared" si="0"/>
        <v>56650</v>
      </c>
      <c r="N16" s="132">
        <f t="shared" si="1"/>
        <v>41906.540000000008</v>
      </c>
    </row>
    <row r="17" spans="1:14" ht="35.1" customHeight="1">
      <c r="A17" s="39"/>
      <c r="B17" s="40"/>
      <c r="C17" s="41"/>
      <c r="D17" s="42"/>
      <c r="E17" s="41"/>
      <c r="F17" s="46"/>
      <c r="G17" s="41"/>
      <c r="H17" s="42"/>
      <c r="I17" s="42"/>
      <c r="J17" s="42"/>
      <c r="K17" s="53"/>
      <c r="L17" s="53"/>
      <c r="M17" s="44"/>
      <c r="N17" s="45"/>
    </row>
    <row r="18" spans="1:14" ht="35.1" customHeight="1">
      <c r="A18" s="27"/>
      <c r="B18" s="28" t="s">
        <v>128</v>
      </c>
      <c r="C18" s="29">
        <f t="shared" ref="C18:L18" si="2">SUM(C4:C15)</f>
        <v>9434055</v>
      </c>
      <c r="D18" s="29">
        <f t="shared" si="2"/>
        <v>6100690.8200000003</v>
      </c>
      <c r="E18" s="29">
        <f t="shared" si="2"/>
        <v>9301529</v>
      </c>
      <c r="F18" s="30">
        <f t="shared" si="2"/>
        <v>6015471.3000000007</v>
      </c>
      <c r="G18" s="29">
        <f t="shared" si="2"/>
        <v>10438443</v>
      </c>
      <c r="H18" s="30">
        <f t="shared" si="2"/>
        <v>6764466.7199999997</v>
      </c>
      <c r="I18" s="31">
        <f t="shared" si="2"/>
        <v>10744353</v>
      </c>
      <c r="J18" s="30">
        <f t="shared" si="2"/>
        <v>7099767.3500000015</v>
      </c>
      <c r="K18" s="30">
        <f t="shared" si="2"/>
        <v>1552728</v>
      </c>
      <c r="L18" s="30">
        <f t="shared" si="2"/>
        <v>1035441.9200000002</v>
      </c>
      <c r="M18" s="32">
        <f>SUM(M4:M15)</f>
        <v>39918380</v>
      </c>
      <c r="N18" s="32">
        <f>SUM(N4:N15)</f>
        <v>25980396.189999994</v>
      </c>
    </row>
    <row r="19" spans="1:14">
      <c r="C19" s="38">
        <f>+C18-'7-MTL'!AF147</f>
        <v>0</v>
      </c>
      <c r="D19" s="38">
        <f>+D18-'7-MTL'!AG147</f>
        <v>0</v>
      </c>
      <c r="E19" s="38">
        <f>+E18-'7-MTL'!BF147</f>
        <v>0</v>
      </c>
      <c r="F19" s="38">
        <f>+F18-'7-MTL'!BG147</f>
        <v>0</v>
      </c>
      <c r="G19" s="38">
        <f>+G18-'7-MTL'!CF147</f>
        <v>0</v>
      </c>
      <c r="H19" s="38">
        <f>+H18-'7-MTL'!CG147</f>
        <v>0</v>
      </c>
      <c r="I19" s="38">
        <f>+I18-'7-MTL'!DF147</f>
        <v>0</v>
      </c>
      <c r="J19" s="38">
        <f>+J18-'7-MTL'!DG147</f>
        <v>0</v>
      </c>
      <c r="K19" s="38"/>
      <c r="L19" s="38"/>
    </row>
    <row r="21" spans="1:14" ht="24.75">
      <c r="A21" s="245" t="s">
        <v>191</v>
      </c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</row>
    <row r="22" spans="1:14">
      <c r="A22" s="246" t="s">
        <v>122</v>
      </c>
      <c r="B22" s="246" t="s">
        <v>123</v>
      </c>
      <c r="C22" s="248" t="s">
        <v>192</v>
      </c>
      <c r="D22" s="249"/>
      <c r="E22" s="248" t="s">
        <v>193</v>
      </c>
      <c r="F22" s="249"/>
      <c r="G22" s="248" t="s">
        <v>194</v>
      </c>
      <c r="H22" s="249"/>
      <c r="I22" s="248" t="s">
        <v>195</v>
      </c>
      <c r="J22" s="249"/>
      <c r="K22" s="248" t="s">
        <v>233</v>
      </c>
      <c r="L22" s="249"/>
      <c r="M22" s="250" t="s">
        <v>128</v>
      </c>
      <c r="N22" s="250"/>
    </row>
    <row r="23" spans="1:14">
      <c r="A23" s="247"/>
      <c r="B23" s="247"/>
      <c r="C23" s="123" t="s">
        <v>129</v>
      </c>
      <c r="D23" s="124" t="s">
        <v>130</v>
      </c>
      <c r="E23" s="123" t="s">
        <v>129</v>
      </c>
      <c r="F23" s="124" t="s">
        <v>130</v>
      </c>
      <c r="G23" s="123" t="s">
        <v>129</v>
      </c>
      <c r="H23" s="124" t="s">
        <v>130</v>
      </c>
      <c r="I23" s="123" t="s">
        <v>129</v>
      </c>
      <c r="J23" s="124" t="s">
        <v>130</v>
      </c>
      <c r="K23" s="123" t="s">
        <v>129</v>
      </c>
      <c r="L23" s="124" t="s">
        <v>130</v>
      </c>
      <c r="M23" s="123" t="s">
        <v>129</v>
      </c>
      <c r="N23" s="124" t="s">
        <v>130</v>
      </c>
    </row>
    <row r="24" spans="1:14" ht="20.100000000000001" customHeight="1">
      <c r="A24" s="39">
        <v>1</v>
      </c>
      <c r="B24" s="40" t="s">
        <v>27</v>
      </c>
      <c r="C24" s="41">
        <f>+'7-MTL'!AF16</f>
        <v>117774</v>
      </c>
      <c r="D24" s="42">
        <f>+'7-MTL'!AG16</f>
        <v>117774</v>
      </c>
      <c r="E24" s="41">
        <f>+'7-MTL'!BF16</f>
        <v>151633</v>
      </c>
      <c r="F24" s="42">
        <f>+'7-MTL'!BG16</f>
        <v>151633</v>
      </c>
      <c r="G24" s="41">
        <f>+'7-MTL'!CF16</f>
        <v>232824</v>
      </c>
      <c r="H24" s="42">
        <f>+'7-MTL'!CG16</f>
        <v>232824</v>
      </c>
      <c r="I24" s="43">
        <f>+'7-MTL'!DF16</f>
        <v>474402</v>
      </c>
      <c r="J24" s="42">
        <f>+'7-MTL'!DG16</f>
        <v>474402</v>
      </c>
      <c r="K24" s="53">
        <f>'MTL-26'!AE16</f>
        <v>94058</v>
      </c>
      <c r="L24" s="53">
        <f>'MTL-26'!AF16</f>
        <v>94058</v>
      </c>
      <c r="M24" s="44">
        <f>C24+E24+G24+I24</f>
        <v>976633</v>
      </c>
      <c r="N24" s="45">
        <f>D24+F24+H24+J24</f>
        <v>976633</v>
      </c>
    </row>
    <row r="25" spans="1:14" ht="20.100000000000001" customHeight="1">
      <c r="A25" s="39">
        <v>2</v>
      </c>
      <c r="B25" s="40" t="s">
        <v>28</v>
      </c>
      <c r="C25" s="41">
        <f>+'7-MTL'!AF17</f>
        <v>0</v>
      </c>
      <c r="D25" s="42">
        <f>+'7-MTL'!AG17</f>
        <v>0</v>
      </c>
      <c r="E25" s="41">
        <f>+'7-MTL'!BF17</f>
        <v>0</v>
      </c>
      <c r="F25" s="42">
        <f>+'7-MTL'!BG17</f>
        <v>0</v>
      </c>
      <c r="G25" s="41">
        <f>+'7-MTL'!CF17</f>
        <v>0</v>
      </c>
      <c r="H25" s="42">
        <f>+'7-MTL'!CG17</f>
        <v>0</v>
      </c>
      <c r="I25" s="43">
        <f>+'7-MTL'!DF17</f>
        <v>0</v>
      </c>
      <c r="J25" s="42">
        <f>+'7-MTL'!DG17</f>
        <v>0</v>
      </c>
      <c r="K25" s="53">
        <f>'MTL-26'!AE17</f>
        <v>0</v>
      </c>
      <c r="L25" s="53">
        <f>'MTL-26'!AF17</f>
        <v>0</v>
      </c>
      <c r="M25" s="44">
        <f t="shared" ref="M25:M32" si="3">C25+E25+G25+I25</f>
        <v>0</v>
      </c>
      <c r="N25" s="45">
        <f t="shared" ref="N25:N32" si="4">D25+F25+H25+J25</f>
        <v>0</v>
      </c>
    </row>
    <row r="26" spans="1:14" ht="20.100000000000001" customHeight="1">
      <c r="A26" s="39">
        <v>3</v>
      </c>
      <c r="B26" s="40" t="s">
        <v>29</v>
      </c>
      <c r="C26" s="41">
        <f>+'7-MTL'!AF18</f>
        <v>17232</v>
      </c>
      <c r="D26" s="42">
        <f>+'7-MTL'!AG18</f>
        <v>10339.199999999999</v>
      </c>
      <c r="E26" s="41">
        <f>+'7-MTL'!BF18</f>
        <v>8532</v>
      </c>
      <c r="F26" s="42">
        <f>+'7-MTL'!BG18</f>
        <v>5119.2</v>
      </c>
      <c r="G26" s="41">
        <f>+'7-MTL'!CF18</f>
        <v>8280</v>
      </c>
      <c r="H26" s="42">
        <f>+'7-MTL'!CG18</f>
        <v>4968</v>
      </c>
      <c r="I26" s="43">
        <f>+'7-MTL'!DF18</f>
        <v>7572</v>
      </c>
      <c r="J26" s="42">
        <f>+'7-MTL'!DG18</f>
        <v>4543.2</v>
      </c>
      <c r="K26" s="53">
        <f>'MTL-26'!AE18</f>
        <v>216</v>
      </c>
      <c r="L26" s="53">
        <f>'MTL-26'!AF18</f>
        <v>129.6</v>
      </c>
      <c r="M26" s="44">
        <f t="shared" si="3"/>
        <v>41616</v>
      </c>
      <c r="N26" s="45">
        <f t="shared" si="4"/>
        <v>24969.599999999999</v>
      </c>
    </row>
    <row r="27" spans="1:14" ht="20.100000000000001" customHeight="1">
      <c r="A27" s="39">
        <v>4</v>
      </c>
      <c r="B27" s="40" t="s">
        <v>30</v>
      </c>
      <c r="C27" s="41">
        <f>+'7-MTL'!AF19</f>
        <v>0</v>
      </c>
      <c r="D27" s="42">
        <f>+'7-MTL'!AG19</f>
        <v>0</v>
      </c>
      <c r="E27" s="41">
        <f>+'7-MTL'!BF19</f>
        <v>0</v>
      </c>
      <c r="F27" s="42">
        <f>+'7-MTL'!BG19</f>
        <v>0</v>
      </c>
      <c r="G27" s="41">
        <f>+'7-MTL'!CF19</f>
        <v>0</v>
      </c>
      <c r="H27" s="42">
        <f>+'7-MTL'!CG19</f>
        <v>0</v>
      </c>
      <c r="I27" s="43">
        <f>+'7-MTL'!DF19</f>
        <v>0</v>
      </c>
      <c r="J27" s="42">
        <f>+'7-MTL'!DG19</f>
        <v>0</v>
      </c>
      <c r="K27" s="53">
        <f>'MTL-26'!AE19</f>
        <v>0</v>
      </c>
      <c r="L27" s="53">
        <f>'MTL-26'!AF19</f>
        <v>0</v>
      </c>
      <c r="M27" s="44">
        <f t="shared" si="3"/>
        <v>0</v>
      </c>
      <c r="N27" s="45">
        <f t="shared" si="4"/>
        <v>0</v>
      </c>
    </row>
    <row r="28" spans="1:14" ht="20.100000000000001" customHeight="1">
      <c r="A28" s="39">
        <v>5</v>
      </c>
      <c r="B28" s="40" t="s">
        <v>31</v>
      </c>
      <c r="C28" s="41">
        <f>+'7-MTL'!AF20</f>
        <v>0</v>
      </c>
      <c r="D28" s="42">
        <f>+'7-MTL'!AG20</f>
        <v>0</v>
      </c>
      <c r="E28" s="41">
        <f>+'7-MTL'!BF20</f>
        <v>0</v>
      </c>
      <c r="F28" s="42">
        <f>+'7-MTL'!BG20</f>
        <v>0</v>
      </c>
      <c r="G28" s="41">
        <f>+'7-MTL'!CF20</f>
        <v>0</v>
      </c>
      <c r="H28" s="42">
        <f>+'7-MTL'!CG20</f>
        <v>0</v>
      </c>
      <c r="I28" s="43">
        <f>+'7-MTL'!DF20</f>
        <v>0</v>
      </c>
      <c r="J28" s="42">
        <f>+'7-MTL'!DG20</f>
        <v>0</v>
      </c>
      <c r="K28" s="53">
        <f>'MTL-26'!AE20</f>
        <v>0</v>
      </c>
      <c r="L28" s="53">
        <f>'MTL-26'!AF20</f>
        <v>0</v>
      </c>
      <c r="M28" s="44">
        <f t="shared" si="3"/>
        <v>0</v>
      </c>
      <c r="N28" s="45">
        <f t="shared" si="4"/>
        <v>0</v>
      </c>
    </row>
    <row r="29" spans="1:14" ht="20.100000000000001" customHeight="1">
      <c r="A29" s="39">
        <v>6</v>
      </c>
      <c r="B29" s="40" t="s">
        <v>32</v>
      </c>
      <c r="C29" s="41">
        <f>+'7-MTL'!AF21</f>
        <v>0</v>
      </c>
      <c r="D29" s="42">
        <f>+'7-MTL'!AG21</f>
        <v>0</v>
      </c>
      <c r="E29" s="41">
        <f>+'7-MTL'!BF21</f>
        <v>0</v>
      </c>
      <c r="F29" s="42">
        <f>+'7-MTL'!BG21</f>
        <v>0</v>
      </c>
      <c r="G29" s="41">
        <f>+'7-MTL'!CF21</f>
        <v>0</v>
      </c>
      <c r="H29" s="42">
        <f>+'7-MTL'!CG21</f>
        <v>0</v>
      </c>
      <c r="I29" s="43">
        <f>+'7-MTL'!DF21</f>
        <v>0</v>
      </c>
      <c r="J29" s="42">
        <f>+'7-MTL'!DG21</f>
        <v>0</v>
      </c>
      <c r="K29" s="53">
        <f>'MTL-26'!AE21</f>
        <v>0</v>
      </c>
      <c r="L29" s="53">
        <f>'MTL-26'!AF21</f>
        <v>0</v>
      </c>
      <c r="M29" s="44">
        <f t="shared" si="3"/>
        <v>0</v>
      </c>
      <c r="N29" s="45">
        <f t="shared" si="4"/>
        <v>0</v>
      </c>
    </row>
    <row r="30" spans="1:14" ht="20.100000000000001" customHeight="1">
      <c r="A30" s="39">
        <v>7</v>
      </c>
      <c r="B30" s="40" t="s">
        <v>33</v>
      </c>
      <c r="C30" s="41">
        <f>+'7-MTL'!AF22</f>
        <v>784749</v>
      </c>
      <c r="D30" s="42">
        <f>+'7-MTL'!AG22</f>
        <v>502239.36</v>
      </c>
      <c r="E30" s="41">
        <f>+'7-MTL'!BF22</f>
        <v>770842</v>
      </c>
      <c r="F30" s="42">
        <f>+'7-MTL'!BG22</f>
        <v>493338.88</v>
      </c>
      <c r="G30" s="41">
        <f>+'7-MTL'!CF22</f>
        <v>822263</v>
      </c>
      <c r="H30" s="42">
        <f>+'7-MTL'!CG22</f>
        <v>526248.32000000007</v>
      </c>
      <c r="I30" s="43">
        <f>+'7-MTL'!DF22</f>
        <v>766073</v>
      </c>
      <c r="J30" s="42">
        <f>+'7-MTL'!DG22</f>
        <v>490286.72000000003</v>
      </c>
      <c r="K30" s="53">
        <f>'MTL-26'!AE22</f>
        <v>113750</v>
      </c>
      <c r="L30" s="53">
        <f>'MTL-26'!AF22</f>
        <v>72800</v>
      </c>
      <c r="M30" s="44">
        <f t="shared" si="3"/>
        <v>3143927</v>
      </c>
      <c r="N30" s="45">
        <f t="shared" si="4"/>
        <v>2012113.28</v>
      </c>
    </row>
    <row r="31" spans="1:14" ht="20.100000000000001" customHeight="1">
      <c r="A31" s="39">
        <v>8</v>
      </c>
      <c r="B31" s="40" t="s">
        <v>34</v>
      </c>
      <c r="C31" s="41">
        <f>+'7-MTL'!AF23</f>
        <v>0</v>
      </c>
      <c r="D31" s="42">
        <f>+'7-MTL'!AG23</f>
        <v>0</v>
      </c>
      <c r="E31" s="41">
        <f>+'7-MTL'!BF23</f>
        <v>0</v>
      </c>
      <c r="F31" s="42">
        <f>+'7-MTL'!BG23</f>
        <v>0</v>
      </c>
      <c r="G31" s="41">
        <f>+'7-MTL'!CF23</f>
        <v>0</v>
      </c>
      <c r="H31" s="42">
        <f>+'7-MTL'!CG23</f>
        <v>0</v>
      </c>
      <c r="I31" s="43">
        <f>+'7-MTL'!DF23</f>
        <v>0</v>
      </c>
      <c r="J31" s="42">
        <f>+'7-MTL'!DG23</f>
        <v>0</v>
      </c>
      <c r="K31" s="53">
        <f>'MTL-26'!AE23</f>
        <v>0</v>
      </c>
      <c r="L31" s="53">
        <f>'MTL-26'!AF23</f>
        <v>0</v>
      </c>
      <c r="M31" s="44">
        <f t="shared" si="3"/>
        <v>0</v>
      </c>
      <c r="N31" s="45">
        <f t="shared" si="4"/>
        <v>0</v>
      </c>
    </row>
    <row r="32" spans="1:14" ht="20.100000000000001" customHeight="1">
      <c r="A32" s="39">
        <v>9</v>
      </c>
      <c r="B32" s="40" t="s">
        <v>35</v>
      </c>
      <c r="C32" s="41">
        <f>+'7-MTL'!AF24</f>
        <v>0</v>
      </c>
      <c r="D32" s="42">
        <f>+'7-MTL'!AG24</f>
        <v>0</v>
      </c>
      <c r="E32" s="41">
        <f>+'7-MTL'!BF24</f>
        <v>0</v>
      </c>
      <c r="F32" s="42">
        <f>+'7-MTL'!BG24</f>
        <v>0</v>
      </c>
      <c r="G32" s="41">
        <f>+'7-MTL'!CF24</f>
        <v>0</v>
      </c>
      <c r="H32" s="42">
        <f>+'7-MTL'!CG24</f>
        <v>0</v>
      </c>
      <c r="I32" s="43">
        <f>+'7-MTL'!DF24</f>
        <v>0</v>
      </c>
      <c r="J32" s="42">
        <f>+'7-MTL'!DG24</f>
        <v>0</v>
      </c>
      <c r="K32" s="53">
        <f>'MTL-26'!AE24</f>
        <v>0</v>
      </c>
      <c r="L32" s="53">
        <f>'MTL-26'!AF24</f>
        <v>0</v>
      </c>
      <c r="M32" s="44">
        <f t="shared" si="3"/>
        <v>0</v>
      </c>
      <c r="N32" s="45">
        <f t="shared" si="4"/>
        <v>0</v>
      </c>
    </row>
    <row r="33" spans="1:14" ht="20.100000000000001" customHeight="1">
      <c r="A33" s="39"/>
      <c r="B33" s="40"/>
      <c r="C33" s="41"/>
      <c r="D33" s="42"/>
      <c r="E33" s="41"/>
      <c r="F33" s="46"/>
      <c r="G33" s="41"/>
      <c r="H33" s="42"/>
      <c r="I33" s="42"/>
      <c r="J33" s="42"/>
      <c r="K33" s="53"/>
      <c r="L33" s="53"/>
      <c r="M33" s="44"/>
      <c r="N33" s="45"/>
    </row>
    <row r="34" spans="1:14" ht="20.100000000000001" customHeight="1">
      <c r="A34" s="27"/>
      <c r="B34" s="28" t="s">
        <v>128</v>
      </c>
      <c r="C34" s="29">
        <f t="shared" ref="C34:N34" si="5">SUM(C24:C32)</f>
        <v>919755</v>
      </c>
      <c r="D34" s="29">
        <f t="shared" si="5"/>
        <v>630352.55999999994</v>
      </c>
      <c r="E34" s="29">
        <f t="shared" si="5"/>
        <v>931007</v>
      </c>
      <c r="F34" s="30">
        <f t="shared" si="5"/>
        <v>650091.08000000007</v>
      </c>
      <c r="G34" s="29">
        <f t="shared" si="5"/>
        <v>1063367</v>
      </c>
      <c r="H34" s="30">
        <f t="shared" si="5"/>
        <v>764040.32000000007</v>
      </c>
      <c r="I34" s="31">
        <f t="shared" si="5"/>
        <v>1248047</v>
      </c>
      <c r="J34" s="30">
        <f t="shared" si="5"/>
        <v>969231.92</v>
      </c>
      <c r="K34" s="30">
        <f t="shared" si="5"/>
        <v>208024</v>
      </c>
      <c r="L34" s="30">
        <f t="shared" si="5"/>
        <v>166987.6</v>
      </c>
      <c r="M34" s="32">
        <f t="shared" si="5"/>
        <v>4162176</v>
      </c>
      <c r="N34" s="32">
        <f t="shared" si="5"/>
        <v>3013715.88</v>
      </c>
    </row>
  </sheetData>
  <mergeCells count="18">
    <mergeCell ref="I2:J2"/>
    <mergeCell ref="M2:N2"/>
    <mergeCell ref="A1:N1"/>
    <mergeCell ref="A2:A3"/>
    <mergeCell ref="B2:B3"/>
    <mergeCell ref="C2:D2"/>
    <mergeCell ref="E2:F2"/>
    <mergeCell ref="G2:H2"/>
    <mergeCell ref="K2:L2"/>
    <mergeCell ref="A21:N21"/>
    <mergeCell ref="A22:A23"/>
    <mergeCell ref="B22:B23"/>
    <mergeCell ref="C22:D22"/>
    <mergeCell ref="E22:F22"/>
    <mergeCell ref="G22:H22"/>
    <mergeCell ref="I22:J22"/>
    <mergeCell ref="M22:N22"/>
    <mergeCell ref="K22:L2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5"/>
  <sheetViews>
    <sheetView topLeftCell="D1" workbookViewId="0">
      <selection activeCell="H9" sqref="H9"/>
    </sheetView>
  </sheetViews>
  <sheetFormatPr defaultRowHeight="21"/>
  <cols>
    <col min="2" max="2" width="27" customWidth="1"/>
  </cols>
  <sheetData>
    <row r="1" spans="1:31" ht="24.75">
      <c r="A1" s="251" t="s">
        <v>0</v>
      </c>
      <c r="B1" s="251"/>
      <c r="C1" s="251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44562</v>
      </c>
      <c r="G2" s="253"/>
      <c r="H2" s="252">
        <v>44593</v>
      </c>
      <c r="I2" s="253"/>
      <c r="J2" s="252">
        <v>44621</v>
      </c>
      <c r="K2" s="253"/>
      <c r="L2" s="252">
        <v>44652</v>
      </c>
      <c r="M2" s="253"/>
      <c r="N2" s="252">
        <v>44682</v>
      </c>
      <c r="O2" s="253"/>
      <c r="P2" s="252">
        <v>44713</v>
      </c>
      <c r="Q2" s="253"/>
      <c r="R2" s="252">
        <v>44743</v>
      </c>
      <c r="S2" s="253"/>
      <c r="T2" s="252">
        <v>44774</v>
      </c>
      <c r="U2" s="253"/>
      <c r="V2" s="252">
        <v>44805</v>
      </c>
      <c r="W2" s="253"/>
      <c r="X2" s="252">
        <v>44835</v>
      </c>
      <c r="Y2" s="253"/>
      <c r="Z2" s="252">
        <v>44866</v>
      </c>
      <c r="AA2" s="253"/>
      <c r="AB2" s="252">
        <v>44896</v>
      </c>
      <c r="AC2" s="253"/>
      <c r="AD2" s="256" t="s">
        <v>7</v>
      </c>
      <c r="AE2" s="257"/>
    </row>
    <row r="3" spans="1:31">
      <c r="A3" s="238"/>
      <c r="B3" s="238"/>
      <c r="C3" s="238"/>
      <c r="D3" s="240"/>
      <c r="E3" s="240"/>
      <c r="F3" s="55" t="s">
        <v>11</v>
      </c>
      <c r="G3" s="56" t="s">
        <v>12</v>
      </c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83" t="s">
        <v>11</v>
      </c>
      <c r="AE3" s="84" t="s">
        <v>12</v>
      </c>
    </row>
    <row r="4" spans="1:31" ht="20.100000000000001" customHeight="1">
      <c r="A4" s="2">
        <v>1</v>
      </c>
      <c r="B4" s="3" t="s">
        <v>13</v>
      </c>
      <c r="C4" s="3" t="s">
        <v>14</v>
      </c>
      <c r="D4" s="2">
        <v>0.7</v>
      </c>
      <c r="E4" s="2" t="s">
        <v>15</v>
      </c>
      <c r="F4" s="111">
        <v>19961</v>
      </c>
      <c r="G4" s="112">
        <f t="shared" ref="G4:I19" si="0">F4*$D4</f>
        <v>13972.699999999999</v>
      </c>
      <c r="H4" s="111">
        <v>12844</v>
      </c>
      <c r="I4" s="112">
        <f t="shared" ref="I4" si="1">H4*$D4</f>
        <v>8990.7999999999993</v>
      </c>
      <c r="J4" s="111">
        <v>22152</v>
      </c>
      <c r="K4" s="112">
        <f t="shared" ref="K4:K60" si="2">J4*$D4</f>
        <v>15506.4</v>
      </c>
      <c r="L4" s="111">
        <v>13368</v>
      </c>
      <c r="M4" s="112">
        <f t="shared" ref="M4:M60" si="3">L4*$D4</f>
        <v>9357.5999999999985</v>
      </c>
      <c r="N4" s="111">
        <v>13720</v>
      </c>
      <c r="O4" s="112">
        <f t="shared" ref="O4:O60" si="4">N4*$D4</f>
        <v>9604</v>
      </c>
      <c r="P4" s="111">
        <v>8880</v>
      </c>
      <c r="Q4" s="112">
        <f t="shared" ref="Q4:Q60" si="5">P4*$D4</f>
        <v>6216</v>
      </c>
      <c r="R4" s="111">
        <v>8208</v>
      </c>
      <c r="S4" s="112">
        <f t="shared" ref="S4:S60" si="6">R4*$D4</f>
        <v>5745.5999999999995</v>
      </c>
      <c r="T4" s="111">
        <v>14127</v>
      </c>
      <c r="U4" s="112">
        <f t="shared" ref="U4:U60" si="7">T4*$D4</f>
        <v>9888.9</v>
      </c>
      <c r="V4" s="111">
        <v>6948</v>
      </c>
      <c r="W4" s="112">
        <f t="shared" ref="W4:W60" si="8">V4*$D4</f>
        <v>4863.5999999999995</v>
      </c>
      <c r="X4" s="111">
        <v>3876</v>
      </c>
      <c r="Y4" s="112">
        <f t="shared" ref="Y4:Y60" si="9">X4*$D4</f>
        <v>2713.2</v>
      </c>
      <c r="Z4" s="111">
        <v>5580</v>
      </c>
      <c r="AA4" s="112">
        <f t="shared" ref="AA4:AA60" si="10">Z4*$D4</f>
        <v>3905.9999999999995</v>
      </c>
      <c r="AB4" s="111">
        <v>4932</v>
      </c>
      <c r="AC4" s="112">
        <f t="shared" ref="AC4:AC60" si="11">AB4*$D4</f>
        <v>3452.3999999999996</v>
      </c>
      <c r="AD4" s="113">
        <f>(AB4+Z4+X4+V4+T4+R4+P4+N4+L4+J4+H4+F4)</f>
        <v>134596</v>
      </c>
      <c r="AE4" s="114">
        <f t="shared" ref="AE4:AE67" si="12">AD4*$D4</f>
        <v>94217.2</v>
      </c>
    </row>
    <row r="5" spans="1:31" ht="20.100000000000001" customHeight="1">
      <c r="A5" s="2"/>
      <c r="B5" s="3"/>
      <c r="C5" s="3"/>
      <c r="D5" s="2"/>
      <c r="E5" s="2"/>
      <c r="F5" s="115"/>
      <c r="G5" s="112">
        <f t="shared" si="0"/>
        <v>0</v>
      </c>
      <c r="H5" s="115"/>
      <c r="I5" s="112">
        <f t="shared" si="0"/>
        <v>0</v>
      </c>
      <c r="J5" s="115"/>
      <c r="K5" s="112">
        <f t="shared" si="2"/>
        <v>0</v>
      </c>
      <c r="L5" s="115"/>
      <c r="M5" s="112">
        <f t="shared" si="3"/>
        <v>0</v>
      </c>
      <c r="N5" s="115"/>
      <c r="O5" s="112">
        <f t="shared" si="4"/>
        <v>0</v>
      </c>
      <c r="P5" s="115"/>
      <c r="Q5" s="112">
        <f t="shared" si="5"/>
        <v>0</v>
      </c>
      <c r="R5" s="115"/>
      <c r="S5" s="112">
        <f t="shared" si="6"/>
        <v>0</v>
      </c>
      <c r="T5" s="115"/>
      <c r="U5" s="112">
        <f t="shared" si="7"/>
        <v>0</v>
      </c>
      <c r="V5" s="115"/>
      <c r="W5" s="112">
        <f t="shared" si="8"/>
        <v>0</v>
      </c>
      <c r="X5" s="115"/>
      <c r="Y5" s="112">
        <f t="shared" si="9"/>
        <v>0</v>
      </c>
      <c r="Z5" s="115"/>
      <c r="AA5" s="112">
        <f t="shared" si="10"/>
        <v>0</v>
      </c>
      <c r="AB5" s="115"/>
      <c r="AC5" s="112">
        <f t="shared" si="11"/>
        <v>0</v>
      </c>
      <c r="AD5" s="113">
        <f t="shared" ref="AD5:AD64" si="13">(AB5+Z5+X5+V5+T5+R5+P5+N5+L5+J5+H5+F5)</f>
        <v>0</v>
      </c>
      <c r="AE5" s="114">
        <f t="shared" si="12"/>
        <v>0</v>
      </c>
    </row>
    <row r="6" spans="1:31" ht="20.100000000000001" customHeight="1">
      <c r="A6" s="2">
        <v>2</v>
      </c>
      <c r="B6" s="3" t="s">
        <v>16</v>
      </c>
      <c r="C6" s="3" t="s">
        <v>17</v>
      </c>
      <c r="D6" s="2">
        <v>1</v>
      </c>
      <c r="E6" s="2" t="s">
        <v>15</v>
      </c>
      <c r="F6" s="115"/>
      <c r="G6" s="112">
        <f t="shared" si="0"/>
        <v>0</v>
      </c>
      <c r="H6" s="115"/>
      <c r="I6" s="112">
        <f t="shared" si="0"/>
        <v>0</v>
      </c>
      <c r="J6" s="115"/>
      <c r="K6" s="112">
        <f t="shared" si="2"/>
        <v>0</v>
      </c>
      <c r="L6" s="115"/>
      <c r="M6" s="112">
        <f t="shared" si="3"/>
        <v>0</v>
      </c>
      <c r="N6" s="115"/>
      <c r="O6" s="112">
        <f t="shared" si="4"/>
        <v>0</v>
      </c>
      <c r="P6" s="115"/>
      <c r="Q6" s="112">
        <f t="shared" si="5"/>
        <v>0</v>
      </c>
      <c r="R6" s="115"/>
      <c r="S6" s="112">
        <f t="shared" si="6"/>
        <v>0</v>
      </c>
      <c r="T6" s="115"/>
      <c r="U6" s="112">
        <f t="shared" si="7"/>
        <v>0</v>
      </c>
      <c r="V6" s="115"/>
      <c r="W6" s="112">
        <f t="shared" si="8"/>
        <v>0</v>
      </c>
      <c r="X6" s="115"/>
      <c r="Y6" s="112">
        <f t="shared" si="9"/>
        <v>0</v>
      </c>
      <c r="Z6" s="115"/>
      <c r="AA6" s="112">
        <f t="shared" si="10"/>
        <v>0</v>
      </c>
      <c r="AB6" s="115"/>
      <c r="AC6" s="112">
        <f t="shared" si="11"/>
        <v>0</v>
      </c>
      <c r="AD6" s="113">
        <f t="shared" si="13"/>
        <v>0</v>
      </c>
      <c r="AE6" s="114">
        <f t="shared" si="12"/>
        <v>0</v>
      </c>
    </row>
    <row r="7" spans="1:31" ht="20.100000000000001" customHeight="1">
      <c r="A7" s="2">
        <v>3</v>
      </c>
      <c r="B7" s="3" t="s">
        <v>18</v>
      </c>
      <c r="C7" s="3" t="s">
        <v>17</v>
      </c>
      <c r="D7" s="2">
        <v>1</v>
      </c>
      <c r="E7" s="2" t="s">
        <v>15</v>
      </c>
      <c r="F7" s="111">
        <v>972</v>
      </c>
      <c r="G7" s="112">
        <f t="shared" si="0"/>
        <v>972</v>
      </c>
      <c r="H7" s="111">
        <v>468</v>
      </c>
      <c r="I7" s="112">
        <f t="shared" si="0"/>
        <v>468</v>
      </c>
      <c r="J7" s="111"/>
      <c r="K7" s="112">
        <f t="shared" si="2"/>
        <v>0</v>
      </c>
      <c r="L7" s="111">
        <v>420</v>
      </c>
      <c r="M7" s="112">
        <f t="shared" si="3"/>
        <v>420</v>
      </c>
      <c r="N7" s="111">
        <v>600</v>
      </c>
      <c r="O7" s="112">
        <f t="shared" si="4"/>
        <v>600</v>
      </c>
      <c r="P7" s="111"/>
      <c r="Q7" s="112">
        <f t="shared" si="5"/>
        <v>0</v>
      </c>
      <c r="R7" s="111"/>
      <c r="S7" s="112">
        <f t="shared" si="6"/>
        <v>0</v>
      </c>
      <c r="T7" s="111">
        <v>420</v>
      </c>
      <c r="U7" s="112">
        <f t="shared" si="7"/>
        <v>420</v>
      </c>
      <c r="V7" s="111">
        <v>288</v>
      </c>
      <c r="W7" s="112">
        <f t="shared" si="8"/>
        <v>288</v>
      </c>
      <c r="X7" s="111">
        <v>180</v>
      </c>
      <c r="Y7" s="112">
        <f t="shared" si="9"/>
        <v>180</v>
      </c>
      <c r="Z7" s="111"/>
      <c r="AA7" s="112">
        <f t="shared" si="10"/>
        <v>0</v>
      </c>
      <c r="AB7" s="111">
        <v>120</v>
      </c>
      <c r="AC7" s="112">
        <f t="shared" si="11"/>
        <v>120</v>
      </c>
      <c r="AD7" s="113">
        <f t="shared" si="13"/>
        <v>3468</v>
      </c>
      <c r="AE7" s="114">
        <f t="shared" si="12"/>
        <v>3468</v>
      </c>
    </row>
    <row r="8" spans="1:31" ht="20.100000000000001" customHeight="1">
      <c r="A8" s="2">
        <v>4</v>
      </c>
      <c r="B8" s="3" t="s">
        <v>19</v>
      </c>
      <c r="C8" s="3" t="s">
        <v>17</v>
      </c>
      <c r="D8" s="2">
        <v>0.6</v>
      </c>
      <c r="E8" s="2" t="s">
        <v>15</v>
      </c>
      <c r="F8" s="111"/>
      <c r="G8" s="112">
        <f t="shared" si="0"/>
        <v>0</v>
      </c>
      <c r="H8" s="111"/>
      <c r="I8" s="112">
        <f t="shared" si="0"/>
        <v>0</v>
      </c>
      <c r="J8" s="111"/>
      <c r="K8" s="112">
        <f t="shared" si="2"/>
        <v>0</v>
      </c>
      <c r="L8" s="111"/>
      <c r="M8" s="112">
        <f t="shared" si="3"/>
        <v>0</v>
      </c>
      <c r="N8" s="111">
        <v>84</v>
      </c>
      <c r="O8" s="112">
        <f t="shared" si="4"/>
        <v>50.4</v>
      </c>
      <c r="P8" s="111">
        <v>720</v>
      </c>
      <c r="Q8" s="112">
        <f t="shared" si="5"/>
        <v>432</v>
      </c>
      <c r="R8" s="111"/>
      <c r="S8" s="112">
        <f t="shared" si="6"/>
        <v>0</v>
      </c>
      <c r="T8" s="111">
        <v>24</v>
      </c>
      <c r="U8" s="112">
        <f t="shared" si="7"/>
        <v>14.399999999999999</v>
      </c>
      <c r="V8" s="111"/>
      <c r="W8" s="112">
        <f t="shared" si="8"/>
        <v>0</v>
      </c>
      <c r="X8" s="111"/>
      <c r="Y8" s="112">
        <f t="shared" si="9"/>
        <v>0</v>
      </c>
      <c r="Z8" s="111"/>
      <c r="AA8" s="112">
        <f t="shared" si="10"/>
        <v>0</v>
      </c>
      <c r="AB8" s="111"/>
      <c r="AC8" s="112">
        <f t="shared" si="11"/>
        <v>0</v>
      </c>
      <c r="AD8" s="113">
        <f t="shared" si="13"/>
        <v>828</v>
      </c>
      <c r="AE8" s="114">
        <f t="shared" si="12"/>
        <v>496.79999999999995</v>
      </c>
    </row>
    <row r="9" spans="1:31" ht="20.100000000000001" customHeight="1">
      <c r="A9" s="2">
        <v>5</v>
      </c>
      <c r="B9" s="3" t="s">
        <v>20</v>
      </c>
      <c r="C9" s="3" t="s">
        <v>17</v>
      </c>
      <c r="D9" s="2">
        <v>0.35</v>
      </c>
      <c r="E9" s="2" t="s">
        <v>21</v>
      </c>
      <c r="F9" s="115"/>
      <c r="G9" s="112">
        <f t="shared" si="0"/>
        <v>0</v>
      </c>
      <c r="H9" s="115"/>
      <c r="I9" s="112">
        <f t="shared" si="0"/>
        <v>0</v>
      </c>
      <c r="J9" s="115"/>
      <c r="K9" s="112">
        <f t="shared" si="2"/>
        <v>0</v>
      </c>
      <c r="L9" s="115"/>
      <c r="M9" s="112">
        <f t="shared" si="3"/>
        <v>0</v>
      </c>
      <c r="N9" s="115"/>
      <c r="O9" s="112">
        <f t="shared" si="4"/>
        <v>0</v>
      </c>
      <c r="P9" s="115"/>
      <c r="Q9" s="112">
        <f t="shared" si="5"/>
        <v>0</v>
      </c>
      <c r="R9" s="115"/>
      <c r="S9" s="112">
        <f t="shared" si="6"/>
        <v>0</v>
      </c>
      <c r="T9" s="115"/>
      <c r="U9" s="112">
        <f t="shared" si="7"/>
        <v>0</v>
      </c>
      <c r="V9" s="115"/>
      <c r="W9" s="112">
        <f t="shared" si="8"/>
        <v>0</v>
      </c>
      <c r="X9" s="115"/>
      <c r="Y9" s="112">
        <f t="shared" si="9"/>
        <v>0</v>
      </c>
      <c r="Z9" s="115"/>
      <c r="AA9" s="112">
        <f t="shared" si="10"/>
        <v>0</v>
      </c>
      <c r="AB9" s="115"/>
      <c r="AC9" s="112">
        <f t="shared" si="11"/>
        <v>0</v>
      </c>
      <c r="AD9" s="113">
        <f t="shared" si="13"/>
        <v>0</v>
      </c>
      <c r="AE9" s="114">
        <f t="shared" si="12"/>
        <v>0</v>
      </c>
    </row>
    <row r="10" spans="1:31" ht="20.100000000000001" customHeight="1">
      <c r="A10" s="2">
        <v>6</v>
      </c>
      <c r="B10" s="3" t="s">
        <v>22</v>
      </c>
      <c r="C10" s="3" t="s">
        <v>14</v>
      </c>
      <c r="D10" s="2">
        <v>0.7</v>
      </c>
      <c r="E10" s="2" t="s">
        <v>15</v>
      </c>
      <c r="F10" s="115"/>
      <c r="G10" s="112">
        <f t="shared" si="0"/>
        <v>0</v>
      </c>
      <c r="H10" s="115"/>
      <c r="I10" s="112">
        <f t="shared" si="0"/>
        <v>0</v>
      </c>
      <c r="J10" s="115"/>
      <c r="K10" s="112">
        <f t="shared" si="2"/>
        <v>0</v>
      </c>
      <c r="L10" s="115"/>
      <c r="M10" s="112">
        <f t="shared" si="3"/>
        <v>0</v>
      </c>
      <c r="N10" s="115"/>
      <c r="O10" s="112">
        <f t="shared" si="4"/>
        <v>0</v>
      </c>
      <c r="P10" s="115"/>
      <c r="Q10" s="112">
        <f t="shared" si="5"/>
        <v>0</v>
      </c>
      <c r="R10" s="115"/>
      <c r="S10" s="112">
        <f t="shared" si="6"/>
        <v>0</v>
      </c>
      <c r="T10" s="115"/>
      <c r="U10" s="112">
        <f t="shared" si="7"/>
        <v>0</v>
      </c>
      <c r="V10" s="115"/>
      <c r="W10" s="112">
        <f t="shared" si="8"/>
        <v>0</v>
      </c>
      <c r="X10" s="115"/>
      <c r="Y10" s="112">
        <f t="shared" si="9"/>
        <v>0</v>
      </c>
      <c r="Z10" s="115"/>
      <c r="AA10" s="112">
        <f t="shared" si="10"/>
        <v>0</v>
      </c>
      <c r="AB10" s="115"/>
      <c r="AC10" s="112">
        <f t="shared" si="11"/>
        <v>0</v>
      </c>
      <c r="AD10" s="113">
        <f t="shared" si="13"/>
        <v>0</v>
      </c>
      <c r="AE10" s="114">
        <f t="shared" si="12"/>
        <v>0</v>
      </c>
    </row>
    <row r="11" spans="1:31" ht="20.100000000000001" customHeight="1">
      <c r="A11" s="2">
        <v>7</v>
      </c>
      <c r="B11" s="3" t="s">
        <v>23</v>
      </c>
      <c r="C11" s="3" t="s">
        <v>14</v>
      </c>
      <c r="D11" s="2">
        <v>0.64</v>
      </c>
      <c r="E11" s="2" t="s">
        <v>24</v>
      </c>
      <c r="F11" s="115"/>
      <c r="G11" s="112">
        <f t="shared" si="0"/>
        <v>0</v>
      </c>
      <c r="H11" s="115"/>
      <c r="I11" s="112">
        <f t="shared" si="0"/>
        <v>0</v>
      </c>
      <c r="J11" s="115"/>
      <c r="K11" s="112">
        <f t="shared" si="2"/>
        <v>0</v>
      </c>
      <c r="L11" s="115"/>
      <c r="M11" s="112">
        <f t="shared" si="3"/>
        <v>0</v>
      </c>
      <c r="N11" s="115"/>
      <c r="O11" s="112">
        <f t="shared" si="4"/>
        <v>0</v>
      </c>
      <c r="P11" s="115"/>
      <c r="Q11" s="112">
        <f t="shared" si="5"/>
        <v>0</v>
      </c>
      <c r="R11" s="115"/>
      <c r="S11" s="112">
        <f t="shared" si="6"/>
        <v>0</v>
      </c>
      <c r="T11" s="115"/>
      <c r="U11" s="112">
        <f t="shared" si="7"/>
        <v>0</v>
      </c>
      <c r="V11" s="115"/>
      <c r="W11" s="112">
        <f t="shared" si="8"/>
        <v>0</v>
      </c>
      <c r="X11" s="115"/>
      <c r="Y11" s="112">
        <f t="shared" si="9"/>
        <v>0</v>
      </c>
      <c r="Z11" s="115"/>
      <c r="AA11" s="112">
        <f t="shared" si="10"/>
        <v>0</v>
      </c>
      <c r="AB11" s="115"/>
      <c r="AC11" s="112">
        <f t="shared" si="11"/>
        <v>0</v>
      </c>
      <c r="AD11" s="113">
        <f t="shared" si="13"/>
        <v>0</v>
      </c>
      <c r="AE11" s="114">
        <f t="shared" si="12"/>
        <v>0</v>
      </c>
    </row>
    <row r="12" spans="1:31" ht="20.100000000000001" customHeight="1">
      <c r="A12" s="2">
        <v>8</v>
      </c>
      <c r="B12" s="3" t="s">
        <v>23</v>
      </c>
      <c r="C12" s="3" t="s">
        <v>14</v>
      </c>
      <c r="D12" s="2">
        <v>0.64</v>
      </c>
      <c r="E12" s="2" t="s">
        <v>25</v>
      </c>
      <c r="F12" s="111">
        <v>143122</v>
      </c>
      <c r="G12" s="112">
        <f t="shared" si="0"/>
        <v>91598.080000000002</v>
      </c>
      <c r="H12" s="111">
        <v>132174</v>
      </c>
      <c r="I12" s="112">
        <f t="shared" si="0"/>
        <v>84591.360000000001</v>
      </c>
      <c r="J12" s="111">
        <v>157940</v>
      </c>
      <c r="K12" s="112">
        <f t="shared" si="2"/>
        <v>101081.60000000001</v>
      </c>
      <c r="L12" s="111">
        <v>137970</v>
      </c>
      <c r="M12" s="112">
        <f t="shared" si="3"/>
        <v>88300.800000000003</v>
      </c>
      <c r="N12" s="111">
        <v>133700</v>
      </c>
      <c r="O12" s="112">
        <f t="shared" si="4"/>
        <v>85568</v>
      </c>
      <c r="P12" s="111">
        <v>144732</v>
      </c>
      <c r="Q12" s="112">
        <f t="shared" si="5"/>
        <v>92628.479999999996</v>
      </c>
      <c r="R12" s="111">
        <v>133392</v>
      </c>
      <c r="S12" s="112">
        <f t="shared" si="6"/>
        <v>85370.880000000005</v>
      </c>
      <c r="T12" s="111">
        <v>124475</v>
      </c>
      <c r="U12" s="112">
        <f t="shared" si="7"/>
        <v>79664</v>
      </c>
      <c r="V12" s="111">
        <v>130676</v>
      </c>
      <c r="W12" s="112">
        <f t="shared" si="8"/>
        <v>83632.639999999999</v>
      </c>
      <c r="X12" s="111">
        <v>155238</v>
      </c>
      <c r="Y12" s="112">
        <f t="shared" si="9"/>
        <v>99352.320000000007</v>
      </c>
      <c r="Z12" s="111">
        <v>159313</v>
      </c>
      <c r="AA12" s="112">
        <f t="shared" si="10"/>
        <v>101960.32000000001</v>
      </c>
      <c r="AB12" s="111">
        <v>163240</v>
      </c>
      <c r="AC12" s="112">
        <f t="shared" si="11"/>
        <v>104473.60000000001</v>
      </c>
      <c r="AD12" s="113">
        <f t="shared" si="13"/>
        <v>1715972</v>
      </c>
      <c r="AE12" s="114">
        <f t="shared" si="12"/>
        <v>1098222.0800000001</v>
      </c>
    </row>
    <row r="13" spans="1:31" ht="20.100000000000001" customHeight="1">
      <c r="A13" s="2">
        <v>9</v>
      </c>
      <c r="B13" s="3" t="s">
        <v>23</v>
      </c>
      <c r="C13" s="3" t="s">
        <v>14</v>
      </c>
      <c r="D13" s="2">
        <v>0.64</v>
      </c>
      <c r="E13" s="2" t="s">
        <v>15</v>
      </c>
      <c r="F13" s="115"/>
      <c r="G13" s="112">
        <f t="shared" si="0"/>
        <v>0</v>
      </c>
      <c r="H13" s="115"/>
      <c r="I13" s="112">
        <f t="shared" si="0"/>
        <v>0</v>
      </c>
      <c r="J13" s="115"/>
      <c r="K13" s="112">
        <f t="shared" si="2"/>
        <v>0</v>
      </c>
      <c r="L13" s="115"/>
      <c r="M13" s="112">
        <f t="shared" si="3"/>
        <v>0</v>
      </c>
      <c r="N13" s="115"/>
      <c r="O13" s="112">
        <f t="shared" si="4"/>
        <v>0</v>
      </c>
      <c r="P13" s="115"/>
      <c r="Q13" s="112">
        <f t="shared" si="5"/>
        <v>0</v>
      </c>
      <c r="R13" s="115"/>
      <c r="S13" s="112">
        <f t="shared" si="6"/>
        <v>0</v>
      </c>
      <c r="T13" s="115"/>
      <c r="U13" s="112">
        <f t="shared" si="7"/>
        <v>0</v>
      </c>
      <c r="V13" s="115"/>
      <c r="W13" s="112">
        <f t="shared" si="8"/>
        <v>0</v>
      </c>
      <c r="X13" s="115"/>
      <c r="Y13" s="112">
        <f t="shared" si="9"/>
        <v>0</v>
      </c>
      <c r="Z13" s="115"/>
      <c r="AA13" s="112">
        <f t="shared" si="10"/>
        <v>0</v>
      </c>
      <c r="AB13" s="115"/>
      <c r="AC13" s="112">
        <f t="shared" si="11"/>
        <v>0</v>
      </c>
      <c r="AD13" s="113">
        <f t="shared" si="13"/>
        <v>0</v>
      </c>
      <c r="AE13" s="114">
        <f t="shared" si="12"/>
        <v>0</v>
      </c>
    </row>
    <row r="14" spans="1:31" ht="20.100000000000001" customHeight="1">
      <c r="A14" s="2">
        <v>10</v>
      </c>
      <c r="B14" s="3" t="s">
        <v>26</v>
      </c>
      <c r="C14" s="3" t="s">
        <v>14</v>
      </c>
      <c r="D14" s="2">
        <v>0.64</v>
      </c>
      <c r="E14" s="2" t="s">
        <v>25</v>
      </c>
      <c r="F14" s="115"/>
      <c r="G14" s="112">
        <f t="shared" si="0"/>
        <v>0</v>
      </c>
      <c r="H14" s="115"/>
      <c r="I14" s="112">
        <f t="shared" si="0"/>
        <v>0</v>
      </c>
      <c r="J14" s="115"/>
      <c r="K14" s="112">
        <f t="shared" si="2"/>
        <v>0</v>
      </c>
      <c r="L14" s="115"/>
      <c r="M14" s="112">
        <f t="shared" si="3"/>
        <v>0</v>
      </c>
      <c r="N14" s="115"/>
      <c r="O14" s="112">
        <f t="shared" si="4"/>
        <v>0</v>
      </c>
      <c r="P14" s="115"/>
      <c r="Q14" s="112">
        <f t="shared" si="5"/>
        <v>0</v>
      </c>
      <c r="R14" s="115"/>
      <c r="S14" s="112">
        <f t="shared" si="6"/>
        <v>0</v>
      </c>
      <c r="T14" s="115"/>
      <c r="U14" s="112">
        <f t="shared" si="7"/>
        <v>0</v>
      </c>
      <c r="V14" s="115"/>
      <c r="W14" s="112">
        <f t="shared" si="8"/>
        <v>0</v>
      </c>
      <c r="X14" s="115"/>
      <c r="Y14" s="112">
        <f t="shared" si="9"/>
        <v>0</v>
      </c>
      <c r="Z14" s="115"/>
      <c r="AA14" s="112">
        <f t="shared" si="10"/>
        <v>0</v>
      </c>
      <c r="AB14" s="115"/>
      <c r="AC14" s="112">
        <f t="shared" si="11"/>
        <v>0</v>
      </c>
      <c r="AD14" s="113">
        <f t="shared" si="13"/>
        <v>0</v>
      </c>
      <c r="AE14" s="114">
        <f t="shared" si="12"/>
        <v>0</v>
      </c>
    </row>
    <row r="15" spans="1:31" ht="20.100000000000001" customHeight="1">
      <c r="A15" s="2"/>
      <c r="B15" s="3"/>
      <c r="C15" s="3"/>
      <c r="D15" s="2"/>
      <c r="E15" s="2"/>
      <c r="F15" s="115"/>
      <c r="G15" s="112">
        <f t="shared" si="0"/>
        <v>0</v>
      </c>
      <c r="H15" s="115"/>
      <c r="I15" s="112">
        <f t="shared" si="0"/>
        <v>0</v>
      </c>
      <c r="J15" s="115"/>
      <c r="K15" s="112">
        <f t="shared" si="2"/>
        <v>0</v>
      </c>
      <c r="L15" s="115"/>
      <c r="M15" s="112">
        <f t="shared" si="3"/>
        <v>0</v>
      </c>
      <c r="N15" s="115"/>
      <c r="O15" s="112">
        <f t="shared" si="4"/>
        <v>0</v>
      </c>
      <c r="P15" s="115"/>
      <c r="Q15" s="112">
        <f t="shared" si="5"/>
        <v>0</v>
      </c>
      <c r="R15" s="115"/>
      <c r="S15" s="112">
        <f t="shared" si="6"/>
        <v>0</v>
      </c>
      <c r="T15" s="115"/>
      <c r="U15" s="112">
        <f t="shared" si="7"/>
        <v>0</v>
      </c>
      <c r="V15" s="115"/>
      <c r="W15" s="112">
        <f t="shared" si="8"/>
        <v>0</v>
      </c>
      <c r="X15" s="115"/>
      <c r="Y15" s="112">
        <f t="shared" si="9"/>
        <v>0</v>
      </c>
      <c r="Z15" s="115"/>
      <c r="AA15" s="112">
        <f t="shared" si="10"/>
        <v>0</v>
      </c>
      <c r="AB15" s="115"/>
      <c r="AC15" s="112">
        <f t="shared" si="11"/>
        <v>0</v>
      </c>
      <c r="AD15" s="113">
        <f t="shared" si="13"/>
        <v>0</v>
      </c>
      <c r="AE15" s="114">
        <f t="shared" si="12"/>
        <v>0</v>
      </c>
    </row>
    <row r="16" spans="1:31" ht="20.100000000000001" customHeight="1">
      <c r="A16" s="2">
        <v>11</v>
      </c>
      <c r="B16" s="3" t="s">
        <v>27</v>
      </c>
      <c r="C16" s="3" t="s">
        <v>17</v>
      </c>
      <c r="D16" s="2">
        <v>1</v>
      </c>
      <c r="E16" s="2" t="s">
        <v>15</v>
      </c>
      <c r="F16" s="111">
        <v>8475</v>
      </c>
      <c r="G16" s="112">
        <f t="shared" si="0"/>
        <v>8475</v>
      </c>
      <c r="H16" s="111">
        <v>7344</v>
      </c>
      <c r="I16" s="112">
        <f t="shared" si="0"/>
        <v>7344</v>
      </c>
      <c r="J16" s="111">
        <v>14040</v>
      </c>
      <c r="K16" s="112">
        <f t="shared" si="2"/>
        <v>14040</v>
      </c>
      <c r="L16" s="111">
        <v>10788</v>
      </c>
      <c r="M16" s="112">
        <f t="shared" si="3"/>
        <v>10788</v>
      </c>
      <c r="N16" s="111">
        <v>5844</v>
      </c>
      <c r="O16" s="112">
        <f t="shared" si="4"/>
        <v>5844</v>
      </c>
      <c r="P16" s="111">
        <v>7104</v>
      </c>
      <c r="Q16" s="112">
        <f t="shared" si="5"/>
        <v>7104</v>
      </c>
      <c r="R16" s="111">
        <v>10047</v>
      </c>
      <c r="S16" s="112">
        <f t="shared" si="6"/>
        <v>10047</v>
      </c>
      <c r="T16" s="111">
        <v>12900</v>
      </c>
      <c r="U16" s="112">
        <f t="shared" si="7"/>
        <v>12900</v>
      </c>
      <c r="V16" s="111">
        <v>8244</v>
      </c>
      <c r="W16" s="112">
        <f t="shared" si="8"/>
        <v>8244</v>
      </c>
      <c r="X16" s="111">
        <v>9120</v>
      </c>
      <c r="Y16" s="112">
        <f t="shared" si="9"/>
        <v>9120</v>
      </c>
      <c r="Z16" s="111">
        <v>13236</v>
      </c>
      <c r="AA16" s="112">
        <f t="shared" si="10"/>
        <v>13236</v>
      </c>
      <c r="AB16" s="111">
        <v>10632</v>
      </c>
      <c r="AC16" s="112">
        <f t="shared" si="11"/>
        <v>10632</v>
      </c>
      <c r="AD16" s="113">
        <f t="shared" si="13"/>
        <v>117774</v>
      </c>
      <c r="AE16" s="114">
        <f t="shared" si="12"/>
        <v>117774</v>
      </c>
    </row>
    <row r="17" spans="1:31" ht="20.100000000000001" customHeight="1">
      <c r="A17" s="2">
        <v>12</v>
      </c>
      <c r="B17" s="3" t="s">
        <v>28</v>
      </c>
      <c r="C17" s="3" t="s">
        <v>17</v>
      </c>
      <c r="D17" s="2">
        <v>1</v>
      </c>
      <c r="E17" s="2" t="s">
        <v>15</v>
      </c>
      <c r="F17" s="115"/>
      <c r="G17" s="112">
        <f t="shared" si="0"/>
        <v>0</v>
      </c>
      <c r="H17" s="115"/>
      <c r="I17" s="112">
        <f t="shared" si="0"/>
        <v>0</v>
      </c>
      <c r="J17" s="115"/>
      <c r="K17" s="112">
        <f t="shared" si="2"/>
        <v>0</v>
      </c>
      <c r="L17" s="115"/>
      <c r="M17" s="112">
        <f t="shared" si="3"/>
        <v>0</v>
      </c>
      <c r="N17" s="115"/>
      <c r="O17" s="112">
        <f t="shared" si="4"/>
        <v>0</v>
      </c>
      <c r="P17" s="115"/>
      <c r="Q17" s="112">
        <f t="shared" si="5"/>
        <v>0</v>
      </c>
      <c r="R17" s="115"/>
      <c r="S17" s="112">
        <f t="shared" si="6"/>
        <v>0</v>
      </c>
      <c r="T17" s="115"/>
      <c r="U17" s="112">
        <f t="shared" si="7"/>
        <v>0</v>
      </c>
      <c r="V17" s="115"/>
      <c r="W17" s="112">
        <f t="shared" si="8"/>
        <v>0</v>
      </c>
      <c r="X17" s="115"/>
      <c r="Y17" s="112">
        <f t="shared" si="9"/>
        <v>0</v>
      </c>
      <c r="Z17" s="115"/>
      <c r="AA17" s="112">
        <f t="shared" si="10"/>
        <v>0</v>
      </c>
      <c r="AB17" s="115"/>
      <c r="AC17" s="112">
        <f t="shared" si="11"/>
        <v>0</v>
      </c>
      <c r="AD17" s="113">
        <f t="shared" si="13"/>
        <v>0</v>
      </c>
      <c r="AE17" s="114">
        <f t="shared" si="12"/>
        <v>0</v>
      </c>
    </row>
    <row r="18" spans="1:31" ht="20.100000000000001" customHeight="1">
      <c r="A18" s="2">
        <v>13</v>
      </c>
      <c r="B18" s="3" t="s">
        <v>29</v>
      </c>
      <c r="C18" s="3" t="s">
        <v>17</v>
      </c>
      <c r="D18" s="2">
        <v>0.6</v>
      </c>
      <c r="E18" s="2" t="s">
        <v>15</v>
      </c>
      <c r="F18" s="111">
        <v>1824</v>
      </c>
      <c r="G18" s="112">
        <f t="shared" si="0"/>
        <v>1094.3999999999999</v>
      </c>
      <c r="H18" s="111">
        <v>1464</v>
      </c>
      <c r="I18" s="112">
        <f t="shared" si="0"/>
        <v>878.4</v>
      </c>
      <c r="J18" s="111">
        <v>3360</v>
      </c>
      <c r="K18" s="112">
        <f t="shared" si="2"/>
        <v>2016</v>
      </c>
      <c r="L18" s="111">
        <v>3240</v>
      </c>
      <c r="M18" s="112">
        <f t="shared" si="3"/>
        <v>1944</v>
      </c>
      <c r="N18" s="111">
        <v>660</v>
      </c>
      <c r="O18" s="112">
        <f t="shared" si="4"/>
        <v>396</v>
      </c>
      <c r="P18" s="111">
        <v>720</v>
      </c>
      <c r="Q18" s="112">
        <f t="shared" si="5"/>
        <v>432</v>
      </c>
      <c r="R18" s="111">
        <v>1056</v>
      </c>
      <c r="S18" s="112">
        <f t="shared" si="6"/>
        <v>633.6</v>
      </c>
      <c r="T18" s="111">
        <v>1224</v>
      </c>
      <c r="U18" s="112">
        <f t="shared" si="7"/>
        <v>734.4</v>
      </c>
      <c r="V18" s="111">
        <v>852</v>
      </c>
      <c r="W18" s="112">
        <f t="shared" si="8"/>
        <v>511.2</v>
      </c>
      <c r="X18" s="111">
        <v>480</v>
      </c>
      <c r="Y18" s="112">
        <f t="shared" si="9"/>
        <v>288</v>
      </c>
      <c r="Z18" s="111">
        <v>744</v>
      </c>
      <c r="AA18" s="112">
        <f t="shared" si="10"/>
        <v>446.4</v>
      </c>
      <c r="AB18" s="111">
        <v>1608</v>
      </c>
      <c r="AC18" s="112">
        <f t="shared" si="11"/>
        <v>964.8</v>
      </c>
      <c r="AD18" s="113">
        <f t="shared" si="13"/>
        <v>17232</v>
      </c>
      <c r="AE18" s="114">
        <f t="shared" si="12"/>
        <v>10339.199999999999</v>
      </c>
    </row>
    <row r="19" spans="1:31" ht="20.100000000000001" customHeight="1">
      <c r="A19" s="2">
        <v>14</v>
      </c>
      <c r="B19" s="3" t="s">
        <v>30</v>
      </c>
      <c r="C19" s="3" t="s">
        <v>17</v>
      </c>
      <c r="D19" s="2">
        <v>0.6</v>
      </c>
      <c r="E19" s="2" t="s">
        <v>15</v>
      </c>
      <c r="F19" s="115"/>
      <c r="G19" s="112">
        <f t="shared" si="0"/>
        <v>0</v>
      </c>
      <c r="H19" s="115"/>
      <c r="I19" s="112">
        <f t="shared" si="0"/>
        <v>0</v>
      </c>
      <c r="J19" s="115"/>
      <c r="K19" s="112">
        <f t="shared" si="2"/>
        <v>0</v>
      </c>
      <c r="L19" s="115"/>
      <c r="M19" s="112">
        <f t="shared" si="3"/>
        <v>0</v>
      </c>
      <c r="N19" s="115"/>
      <c r="O19" s="112">
        <f t="shared" si="4"/>
        <v>0</v>
      </c>
      <c r="P19" s="115"/>
      <c r="Q19" s="112">
        <f t="shared" si="5"/>
        <v>0</v>
      </c>
      <c r="R19" s="115"/>
      <c r="S19" s="112">
        <f t="shared" si="6"/>
        <v>0</v>
      </c>
      <c r="T19" s="115"/>
      <c r="U19" s="112">
        <f t="shared" si="7"/>
        <v>0</v>
      </c>
      <c r="V19" s="115"/>
      <c r="W19" s="112">
        <f t="shared" si="8"/>
        <v>0</v>
      </c>
      <c r="X19" s="115"/>
      <c r="Y19" s="112">
        <f t="shared" si="9"/>
        <v>0</v>
      </c>
      <c r="Z19" s="115"/>
      <c r="AA19" s="112">
        <f t="shared" si="10"/>
        <v>0</v>
      </c>
      <c r="AB19" s="115"/>
      <c r="AC19" s="112">
        <f t="shared" si="11"/>
        <v>0</v>
      </c>
      <c r="AD19" s="113">
        <f t="shared" si="13"/>
        <v>0</v>
      </c>
      <c r="AE19" s="114">
        <f t="shared" si="12"/>
        <v>0</v>
      </c>
    </row>
    <row r="20" spans="1:31" ht="20.100000000000001" customHeight="1">
      <c r="A20" s="2">
        <v>15</v>
      </c>
      <c r="B20" s="3" t="s">
        <v>31</v>
      </c>
      <c r="C20" s="3" t="s">
        <v>17</v>
      </c>
      <c r="D20" s="2">
        <v>0.35</v>
      </c>
      <c r="E20" s="2" t="s">
        <v>21</v>
      </c>
      <c r="F20" s="115"/>
      <c r="G20" s="112">
        <f t="shared" ref="G20:I84" si="14">F20*$D20</f>
        <v>0</v>
      </c>
      <c r="H20" s="115"/>
      <c r="I20" s="112">
        <f t="shared" si="14"/>
        <v>0</v>
      </c>
      <c r="J20" s="115"/>
      <c r="K20" s="112">
        <f t="shared" si="2"/>
        <v>0</v>
      </c>
      <c r="L20" s="115"/>
      <c r="M20" s="112">
        <f t="shared" si="3"/>
        <v>0</v>
      </c>
      <c r="N20" s="115"/>
      <c r="O20" s="112">
        <f t="shared" si="4"/>
        <v>0</v>
      </c>
      <c r="P20" s="115"/>
      <c r="Q20" s="112">
        <f t="shared" si="5"/>
        <v>0</v>
      </c>
      <c r="R20" s="115"/>
      <c r="S20" s="112">
        <f t="shared" si="6"/>
        <v>0</v>
      </c>
      <c r="T20" s="115"/>
      <c r="U20" s="112">
        <f t="shared" si="7"/>
        <v>0</v>
      </c>
      <c r="V20" s="115"/>
      <c r="W20" s="112">
        <f t="shared" si="8"/>
        <v>0</v>
      </c>
      <c r="X20" s="115"/>
      <c r="Y20" s="112">
        <f t="shared" si="9"/>
        <v>0</v>
      </c>
      <c r="Z20" s="115"/>
      <c r="AA20" s="112">
        <f t="shared" si="10"/>
        <v>0</v>
      </c>
      <c r="AB20" s="115"/>
      <c r="AC20" s="112">
        <f t="shared" si="11"/>
        <v>0</v>
      </c>
      <c r="AD20" s="113">
        <f t="shared" si="13"/>
        <v>0</v>
      </c>
      <c r="AE20" s="114">
        <f t="shared" si="12"/>
        <v>0</v>
      </c>
    </row>
    <row r="21" spans="1:31" ht="20.100000000000001" customHeight="1">
      <c r="A21" s="2">
        <v>16</v>
      </c>
      <c r="B21" s="3" t="s">
        <v>32</v>
      </c>
      <c r="C21" s="3" t="s">
        <v>17</v>
      </c>
      <c r="D21" s="2">
        <v>0.35</v>
      </c>
      <c r="E21" s="2" t="s">
        <v>21</v>
      </c>
      <c r="F21" s="115"/>
      <c r="G21" s="112">
        <f t="shared" si="14"/>
        <v>0</v>
      </c>
      <c r="H21" s="115"/>
      <c r="I21" s="112">
        <f t="shared" si="14"/>
        <v>0</v>
      </c>
      <c r="J21" s="115"/>
      <c r="K21" s="112">
        <f t="shared" si="2"/>
        <v>0</v>
      </c>
      <c r="L21" s="115"/>
      <c r="M21" s="112">
        <f t="shared" si="3"/>
        <v>0</v>
      </c>
      <c r="N21" s="115"/>
      <c r="O21" s="112">
        <f t="shared" si="4"/>
        <v>0</v>
      </c>
      <c r="P21" s="115"/>
      <c r="Q21" s="112">
        <f t="shared" si="5"/>
        <v>0</v>
      </c>
      <c r="R21" s="115"/>
      <c r="S21" s="112">
        <f t="shared" si="6"/>
        <v>0</v>
      </c>
      <c r="T21" s="115"/>
      <c r="U21" s="112">
        <f t="shared" si="7"/>
        <v>0</v>
      </c>
      <c r="V21" s="115"/>
      <c r="W21" s="112">
        <f t="shared" si="8"/>
        <v>0</v>
      </c>
      <c r="X21" s="115"/>
      <c r="Y21" s="112">
        <f t="shared" si="9"/>
        <v>0</v>
      </c>
      <c r="Z21" s="115"/>
      <c r="AA21" s="112">
        <f t="shared" si="10"/>
        <v>0</v>
      </c>
      <c r="AB21" s="115"/>
      <c r="AC21" s="112">
        <f t="shared" si="11"/>
        <v>0</v>
      </c>
      <c r="AD21" s="113">
        <f t="shared" si="13"/>
        <v>0</v>
      </c>
      <c r="AE21" s="114">
        <f t="shared" si="12"/>
        <v>0</v>
      </c>
    </row>
    <row r="22" spans="1:31" ht="20.100000000000001" customHeight="1">
      <c r="A22" s="2">
        <v>17</v>
      </c>
      <c r="B22" s="3" t="s">
        <v>33</v>
      </c>
      <c r="C22" s="3" t="s">
        <v>14</v>
      </c>
      <c r="D22" s="2">
        <v>0.64</v>
      </c>
      <c r="E22" s="2" t="s">
        <v>25</v>
      </c>
      <c r="F22" s="111">
        <v>70658</v>
      </c>
      <c r="G22" s="112">
        <f t="shared" si="14"/>
        <v>45221.120000000003</v>
      </c>
      <c r="H22" s="111">
        <v>66416</v>
      </c>
      <c r="I22" s="112">
        <f t="shared" si="14"/>
        <v>42506.239999999998</v>
      </c>
      <c r="J22" s="111">
        <v>74508</v>
      </c>
      <c r="K22" s="112">
        <f t="shared" si="2"/>
        <v>47685.120000000003</v>
      </c>
      <c r="L22" s="111">
        <v>54532</v>
      </c>
      <c r="M22" s="112">
        <f t="shared" si="3"/>
        <v>34900.480000000003</v>
      </c>
      <c r="N22" s="111">
        <v>57792</v>
      </c>
      <c r="O22" s="112">
        <f t="shared" si="4"/>
        <v>36986.879999999997</v>
      </c>
      <c r="P22" s="111">
        <v>64400</v>
      </c>
      <c r="Q22" s="112">
        <f t="shared" si="5"/>
        <v>41216</v>
      </c>
      <c r="R22" s="111">
        <v>60830</v>
      </c>
      <c r="S22" s="112">
        <f t="shared" si="6"/>
        <v>38931.200000000004</v>
      </c>
      <c r="T22" s="111">
        <v>64428</v>
      </c>
      <c r="U22" s="112">
        <f t="shared" si="7"/>
        <v>41233.919999999998</v>
      </c>
      <c r="V22" s="111">
        <v>58705</v>
      </c>
      <c r="W22" s="112">
        <f t="shared" si="8"/>
        <v>37571.200000000004</v>
      </c>
      <c r="X22" s="111">
        <v>62384</v>
      </c>
      <c r="Y22" s="112">
        <f t="shared" si="9"/>
        <v>39925.760000000002</v>
      </c>
      <c r="Z22" s="111">
        <v>67326</v>
      </c>
      <c r="AA22" s="112">
        <f t="shared" si="10"/>
        <v>43088.639999999999</v>
      </c>
      <c r="AB22" s="111">
        <v>82770</v>
      </c>
      <c r="AC22" s="112">
        <f t="shared" si="11"/>
        <v>52972.800000000003</v>
      </c>
      <c r="AD22" s="113">
        <f t="shared" si="13"/>
        <v>784749</v>
      </c>
      <c r="AE22" s="114">
        <f t="shared" si="12"/>
        <v>502239.36</v>
      </c>
    </row>
    <row r="23" spans="1:31" ht="20.100000000000001" customHeight="1">
      <c r="A23" s="2">
        <v>18</v>
      </c>
      <c r="B23" s="3" t="s">
        <v>34</v>
      </c>
      <c r="C23" s="3" t="s">
        <v>14</v>
      </c>
      <c r="D23" s="2">
        <v>0.64</v>
      </c>
      <c r="E23" s="2" t="s">
        <v>25</v>
      </c>
      <c r="F23" s="115"/>
      <c r="G23" s="112">
        <f t="shared" si="14"/>
        <v>0</v>
      </c>
      <c r="H23" s="115"/>
      <c r="I23" s="112">
        <f t="shared" si="14"/>
        <v>0</v>
      </c>
      <c r="J23" s="115"/>
      <c r="K23" s="112">
        <f t="shared" si="2"/>
        <v>0</v>
      </c>
      <c r="L23" s="115"/>
      <c r="M23" s="112">
        <f t="shared" si="3"/>
        <v>0</v>
      </c>
      <c r="N23" s="115"/>
      <c r="O23" s="112">
        <f t="shared" si="4"/>
        <v>0</v>
      </c>
      <c r="P23" s="115"/>
      <c r="Q23" s="112">
        <f t="shared" si="5"/>
        <v>0</v>
      </c>
      <c r="R23" s="115"/>
      <c r="S23" s="112">
        <f t="shared" si="6"/>
        <v>0</v>
      </c>
      <c r="T23" s="115"/>
      <c r="U23" s="112">
        <f t="shared" si="7"/>
        <v>0</v>
      </c>
      <c r="V23" s="115"/>
      <c r="W23" s="112">
        <f t="shared" si="8"/>
        <v>0</v>
      </c>
      <c r="X23" s="115"/>
      <c r="Y23" s="112">
        <f t="shared" si="9"/>
        <v>0</v>
      </c>
      <c r="Z23" s="115"/>
      <c r="AA23" s="112">
        <f t="shared" si="10"/>
        <v>0</v>
      </c>
      <c r="AB23" s="115"/>
      <c r="AC23" s="112">
        <f t="shared" si="11"/>
        <v>0</v>
      </c>
      <c r="AD23" s="113">
        <f t="shared" si="13"/>
        <v>0</v>
      </c>
      <c r="AE23" s="114">
        <f t="shared" si="12"/>
        <v>0</v>
      </c>
    </row>
    <row r="24" spans="1:31" ht="20.100000000000001" customHeight="1">
      <c r="A24" s="2">
        <v>19</v>
      </c>
      <c r="B24" s="3" t="s">
        <v>35</v>
      </c>
      <c r="C24" s="3" t="s">
        <v>14</v>
      </c>
      <c r="D24" s="2">
        <v>0.64</v>
      </c>
      <c r="E24" s="2" t="s">
        <v>25</v>
      </c>
      <c r="F24" s="115"/>
      <c r="G24" s="112">
        <f t="shared" si="14"/>
        <v>0</v>
      </c>
      <c r="H24" s="115"/>
      <c r="I24" s="112">
        <f t="shared" si="14"/>
        <v>0</v>
      </c>
      <c r="J24" s="115"/>
      <c r="K24" s="112">
        <f t="shared" si="2"/>
        <v>0</v>
      </c>
      <c r="L24" s="115"/>
      <c r="M24" s="112">
        <f t="shared" si="3"/>
        <v>0</v>
      </c>
      <c r="N24" s="115"/>
      <c r="O24" s="112">
        <f t="shared" si="4"/>
        <v>0</v>
      </c>
      <c r="P24" s="115"/>
      <c r="Q24" s="112">
        <f t="shared" si="5"/>
        <v>0</v>
      </c>
      <c r="R24" s="115"/>
      <c r="S24" s="112">
        <f t="shared" si="6"/>
        <v>0</v>
      </c>
      <c r="T24" s="115"/>
      <c r="U24" s="112">
        <f t="shared" si="7"/>
        <v>0</v>
      </c>
      <c r="V24" s="115"/>
      <c r="W24" s="112">
        <f t="shared" si="8"/>
        <v>0</v>
      </c>
      <c r="X24" s="115"/>
      <c r="Y24" s="112">
        <f t="shared" si="9"/>
        <v>0</v>
      </c>
      <c r="Z24" s="115"/>
      <c r="AA24" s="112">
        <f t="shared" si="10"/>
        <v>0</v>
      </c>
      <c r="AB24" s="115"/>
      <c r="AC24" s="112">
        <f t="shared" si="11"/>
        <v>0</v>
      </c>
      <c r="AD24" s="113">
        <f t="shared" si="13"/>
        <v>0</v>
      </c>
      <c r="AE24" s="114">
        <f t="shared" si="12"/>
        <v>0</v>
      </c>
    </row>
    <row r="25" spans="1:31" ht="20.100000000000001" customHeight="1">
      <c r="A25" s="2"/>
      <c r="B25" s="3"/>
      <c r="C25" s="3"/>
      <c r="D25" s="2"/>
      <c r="E25" s="2"/>
      <c r="F25" s="115"/>
      <c r="G25" s="112">
        <f t="shared" si="14"/>
        <v>0</v>
      </c>
      <c r="H25" s="115"/>
      <c r="I25" s="112">
        <f t="shared" si="14"/>
        <v>0</v>
      </c>
      <c r="J25" s="115"/>
      <c r="K25" s="112">
        <f t="shared" si="2"/>
        <v>0</v>
      </c>
      <c r="L25" s="115"/>
      <c r="M25" s="112">
        <f t="shared" si="3"/>
        <v>0</v>
      </c>
      <c r="N25" s="115"/>
      <c r="O25" s="112">
        <f t="shared" si="4"/>
        <v>0</v>
      </c>
      <c r="P25" s="115"/>
      <c r="Q25" s="112">
        <f t="shared" si="5"/>
        <v>0</v>
      </c>
      <c r="R25" s="115"/>
      <c r="S25" s="112">
        <f t="shared" si="6"/>
        <v>0</v>
      </c>
      <c r="T25" s="115"/>
      <c r="U25" s="112">
        <f t="shared" si="7"/>
        <v>0</v>
      </c>
      <c r="V25" s="115"/>
      <c r="W25" s="112">
        <f t="shared" si="8"/>
        <v>0</v>
      </c>
      <c r="X25" s="115"/>
      <c r="Y25" s="112">
        <f t="shared" si="9"/>
        <v>0</v>
      </c>
      <c r="Z25" s="115"/>
      <c r="AA25" s="112">
        <f t="shared" si="10"/>
        <v>0</v>
      </c>
      <c r="AB25" s="115"/>
      <c r="AC25" s="112">
        <f t="shared" si="11"/>
        <v>0</v>
      </c>
      <c r="AD25" s="113">
        <f t="shared" si="13"/>
        <v>0</v>
      </c>
      <c r="AE25" s="114">
        <f t="shared" si="12"/>
        <v>0</v>
      </c>
    </row>
    <row r="26" spans="1:31" ht="20.100000000000001" customHeight="1">
      <c r="A26" s="2">
        <v>20</v>
      </c>
      <c r="B26" s="3" t="s">
        <v>36</v>
      </c>
      <c r="C26" s="3" t="s">
        <v>17</v>
      </c>
      <c r="D26" s="2">
        <v>1</v>
      </c>
      <c r="E26" s="2" t="s">
        <v>24</v>
      </c>
      <c r="F26" s="115"/>
      <c r="G26" s="112">
        <f t="shared" si="14"/>
        <v>0</v>
      </c>
      <c r="H26" s="115"/>
      <c r="I26" s="112">
        <f t="shared" si="14"/>
        <v>0</v>
      </c>
      <c r="J26" s="115"/>
      <c r="K26" s="112">
        <f t="shared" si="2"/>
        <v>0</v>
      </c>
      <c r="L26" s="115"/>
      <c r="M26" s="112">
        <f t="shared" si="3"/>
        <v>0</v>
      </c>
      <c r="N26" s="115"/>
      <c r="O26" s="112">
        <f t="shared" si="4"/>
        <v>0</v>
      </c>
      <c r="P26" s="115"/>
      <c r="Q26" s="112">
        <f t="shared" si="5"/>
        <v>0</v>
      </c>
      <c r="R26" s="115"/>
      <c r="S26" s="112">
        <f t="shared" si="6"/>
        <v>0</v>
      </c>
      <c r="T26" s="115"/>
      <c r="U26" s="112">
        <f t="shared" si="7"/>
        <v>0</v>
      </c>
      <c r="V26" s="115"/>
      <c r="W26" s="112">
        <f t="shared" si="8"/>
        <v>0</v>
      </c>
      <c r="X26" s="115"/>
      <c r="Y26" s="112">
        <f t="shared" si="9"/>
        <v>0</v>
      </c>
      <c r="Z26" s="115"/>
      <c r="AA26" s="112">
        <f t="shared" si="10"/>
        <v>0</v>
      </c>
      <c r="AB26" s="115"/>
      <c r="AC26" s="112">
        <f t="shared" si="11"/>
        <v>0</v>
      </c>
      <c r="AD26" s="113">
        <f t="shared" si="13"/>
        <v>0</v>
      </c>
      <c r="AE26" s="114">
        <f t="shared" si="12"/>
        <v>0</v>
      </c>
    </row>
    <row r="27" spans="1:31" ht="20.100000000000001" customHeight="1">
      <c r="A27" s="2">
        <v>21</v>
      </c>
      <c r="B27" s="3" t="s">
        <v>37</v>
      </c>
      <c r="C27" s="3" t="s">
        <v>17</v>
      </c>
      <c r="D27" s="2">
        <v>0.6</v>
      </c>
      <c r="E27" s="2" t="s">
        <v>38</v>
      </c>
      <c r="F27" s="115"/>
      <c r="G27" s="112">
        <f t="shared" si="14"/>
        <v>0</v>
      </c>
      <c r="H27" s="115"/>
      <c r="I27" s="112">
        <f t="shared" si="14"/>
        <v>0</v>
      </c>
      <c r="J27" s="115"/>
      <c r="K27" s="112">
        <f t="shared" si="2"/>
        <v>0</v>
      </c>
      <c r="L27" s="115"/>
      <c r="M27" s="112">
        <f t="shared" si="3"/>
        <v>0</v>
      </c>
      <c r="N27" s="115"/>
      <c r="O27" s="112">
        <f t="shared" si="4"/>
        <v>0</v>
      </c>
      <c r="P27" s="115"/>
      <c r="Q27" s="112">
        <f t="shared" si="5"/>
        <v>0</v>
      </c>
      <c r="R27" s="115"/>
      <c r="S27" s="112">
        <f t="shared" si="6"/>
        <v>0</v>
      </c>
      <c r="T27" s="115"/>
      <c r="U27" s="112">
        <f t="shared" si="7"/>
        <v>0</v>
      </c>
      <c r="V27" s="115"/>
      <c r="W27" s="112">
        <f t="shared" si="8"/>
        <v>0</v>
      </c>
      <c r="X27" s="115"/>
      <c r="Y27" s="112">
        <f t="shared" si="9"/>
        <v>0</v>
      </c>
      <c r="Z27" s="115"/>
      <c r="AA27" s="112">
        <f t="shared" si="10"/>
        <v>0</v>
      </c>
      <c r="AB27" s="115"/>
      <c r="AC27" s="112">
        <f t="shared" si="11"/>
        <v>0</v>
      </c>
      <c r="AD27" s="113">
        <f t="shared" si="13"/>
        <v>0</v>
      </c>
      <c r="AE27" s="114">
        <f t="shared" si="12"/>
        <v>0</v>
      </c>
    </row>
    <row r="28" spans="1:31" ht="20.100000000000001" customHeight="1">
      <c r="A28" s="2">
        <v>22</v>
      </c>
      <c r="B28" s="3" t="s">
        <v>39</v>
      </c>
      <c r="C28" s="3" t="s">
        <v>14</v>
      </c>
      <c r="D28" s="2">
        <v>0.64</v>
      </c>
      <c r="E28" s="2" t="s">
        <v>25</v>
      </c>
      <c r="F28" s="111">
        <v>19838</v>
      </c>
      <c r="G28" s="112">
        <f t="shared" si="14"/>
        <v>12696.32</v>
      </c>
      <c r="H28" s="111">
        <v>21560</v>
      </c>
      <c r="I28" s="112">
        <f t="shared" si="14"/>
        <v>13798.4</v>
      </c>
      <c r="J28" s="111">
        <v>33040</v>
      </c>
      <c r="K28" s="112">
        <f t="shared" si="2"/>
        <v>21145.600000000002</v>
      </c>
      <c r="L28" s="111">
        <v>33390</v>
      </c>
      <c r="M28" s="112">
        <f t="shared" si="3"/>
        <v>21369.600000000002</v>
      </c>
      <c r="N28" s="111">
        <v>41692</v>
      </c>
      <c r="O28" s="112">
        <f t="shared" si="4"/>
        <v>26682.880000000001</v>
      </c>
      <c r="P28" s="111">
        <v>61586</v>
      </c>
      <c r="Q28" s="112">
        <f t="shared" si="5"/>
        <v>39415.040000000001</v>
      </c>
      <c r="R28" s="111">
        <v>77210</v>
      </c>
      <c r="S28" s="112">
        <f t="shared" si="6"/>
        <v>49414.400000000001</v>
      </c>
      <c r="T28" s="111">
        <v>85148</v>
      </c>
      <c r="U28" s="112">
        <f t="shared" si="7"/>
        <v>54494.720000000001</v>
      </c>
      <c r="V28" s="111">
        <v>78722</v>
      </c>
      <c r="W28" s="112">
        <f t="shared" si="8"/>
        <v>50382.080000000002</v>
      </c>
      <c r="X28" s="111">
        <v>46494</v>
      </c>
      <c r="Y28" s="112">
        <f t="shared" si="9"/>
        <v>29756.16</v>
      </c>
      <c r="Z28" s="111">
        <v>52136</v>
      </c>
      <c r="AA28" s="112">
        <f t="shared" si="10"/>
        <v>33367.040000000001</v>
      </c>
      <c r="AB28" s="111">
        <v>53018</v>
      </c>
      <c r="AC28" s="112">
        <f t="shared" si="11"/>
        <v>33931.520000000004</v>
      </c>
      <c r="AD28" s="113">
        <f t="shared" si="13"/>
        <v>603834</v>
      </c>
      <c r="AE28" s="114">
        <f t="shared" si="12"/>
        <v>386453.76000000001</v>
      </c>
    </row>
    <row r="29" spans="1:31" ht="20.100000000000001" customHeight="1">
      <c r="A29" s="2">
        <v>23</v>
      </c>
      <c r="B29" s="3" t="s">
        <v>40</v>
      </c>
      <c r="C29" s="3" t="s">
        <v>14</v>
      </c>
      <c r="D29" s="2">
        <v>0.64</v>
      </c>
      <c r="E29" s="2" t="s">
        <v>25</v>
      </c>
      <c r="F29" s="115"/>
      <c r="G29" s="112">
        <f t="shared" si="14"/>
        <v>0</v>
      </c>
      <c r="H29" s="115"/>
      <c r="I29" s="112">
        <f t="shared" si="14"/>
        <v>0</v>
      </c>
      <c r="J29" s="115"/>
      <c r="K29" s="112">
        <f t="shared" si="2"/>
        <v>0</v>
      </c>
      <c r="L29" s="115"/>
      <c r="M29" s="112">
        <f t="shared" si="3"/>
        <v>0</v>
      </c>
      <c r="N29" s="115"/>
      <c r="O29" s="112">
        <f t="shared" si="4"/>
        <v>0</v>
      </c>
      <c r="P29" s="115"/>
      <c r="Q29" s="112">
        <f t="shared" si="5"/>
        <v>0</v>
      </c>
      <c r="R29" s="115"/>
      <c r="S29" s="112">
        <f t="shared" si="6"/>
        <v>0</v>
      </c>
      <c r="T29" s="115"/>
      <c r="U29" s="112">
        <f t="shared" si="7"/>
        <v>0</v>
      </c>
      <c r="V29" s="115"/>
      <c r="W29" s="112">
        <f t="shared" si="8"/>
        <v>0</v>
      </c>
      <c r="X29" s="115"/>
      <c r="Y29" s="112">
        <f t="shared" si="9"/>
        <v>0</v>
      </c>
      <c r="Z29" s="115"/>
      <c r="AA29" s="112">
        <f t="shared" si="10"/>
        <v>0</v>
      </c>
      <c r="AB29" s="115"/>
      <c r="AC29" s="112">
        <f t="shared" si="11"/>
        <v>0</v>
      </c>
      <c r="AD29" s="113">
        <f t="shared" si="13"/>
        <v>0</v>
      </c>
      <c r="AE29" s="114">
        <f t="shared" si="12"/>
        <v>0</v>
      </c>
    </row>
    <row r="30" spans="1:31" ht="20.100000000000001" customHeight="1">
      <c r="A30" s="2"/>
      <c r="B30" s="3"/>
      <c r="C30" s="3"/>
      <c r="D30" s="2"/>
      <c r="E30" s="2"/>
      <c r="F30" s="115"/>
      <c r="G30" s="112">
        <f t="shared" si="14"/>
        <v>0</v>
      </c>
      <c r="H30" s="115"/>
      <c r="I30" s="112">
        <f t="shared" si="14"/>
        <v>0</v>
      </c>
      <c r="J30" s="115"/>
      <c r="K30" s="112">
        <f t="shared" si="2"/>
        <v>0</v>
      </c>
      <c r="L30" s="115"/>
      <c r="M30" s="112">
        <f t="shared" si="3"/>
        <v>0</v>
      </c>
      <c r="N30" s="115"/>
      <c r="O30" s="112">
        <f t="shared" si="4"/>
        <v>0</v>
      </c>
      <c r="P30" s="115"/>
      <c r="Q30" s="112">
        <f t="shared" si="5"/>
        <v>0</v>
      </c>
      <c r="R30" s="115"/>
      <c r="S30" s="112">
        <f t="shared" si="6"/>
        <v>0</v>
      </c>
      <c r="T30" s="115"/>
      <c r="U30" s="112">
        <f t="shared" si="7"/>
        <v>0</v>
      </c>
      <c r="V30" s="115"/>
      <c r="W30" s="112">
        <f t="shared" si="8"/>
        <v>0</v>
      </c>
      <c r="X30" s="115"/>
      <c r="Y30" s="112">
        <f t="shared" si="9"/>
        <v>0</v>
      </c>
      <c r="Z30" s="115"/>
      <c r="AA30" s="112">
        <f t="shared" si="10"/>
        <v>0</v>
      </c>
      <c r="AB30" s="115"/>
      <c r="AC30" s="112">
        <f t="shared" si="11"/>
        <v>0</v>
      </c>
      <c r="AD30" s="113">
        <f t="shared" si="13"/>
        <v>0</v>
      </c>
      <c r="AE30" s="114">
        <f t="shared" si="12"/>
        <v>0</v>
      </c>
    </row>
    <row r="31" spans="1:31" ht="20.100000000000001" customHeight="1">
      <c r="A31" s="2">
        <v>24</v>
      </c>
      <c r="B31" s="3" t="s">
        <v>41</v>
      </c>
      <c r="C31" s="3" t="s">
        <v>17</v>
      </c>
      <c r="D31" s="2">
        <v>1</v>
      </c>
      <c r="E31" s="2" t="s">
        <v>15</v>
      </c>
      <c r="F31" s="111">
        <v>840</v>
      </c>
      <c r="G31" s="112">
        <f t="shared" si="14"/>
        <v>840</v>
      </c>
      <c r="H31" s="111"/>
      <c r="I31" s="112">
        <f t="shared" si="14"/>
        <v>0</v>
      </c>
      <c r="J31" s="111">
        <v>1812</v>
      </c>
      <c r="K31" s="112">
        <f t="shared" si="2"/>
        <v>1812</v>
      </c>
      <c r="L31" s="111"/>
      <c r="M31" s="112">
        <f t="shared" si="3"/>
        <v>0</v>
      </c>
      <c r="N31" s="111"/>
      <c r="O31" s="112">
        <f t="shared" si="4"/>
        <v>0</v>
      </c>
      <c r="P31" s="111"/>
      <c r="Q31" s="112">
        <f t="shared" si="5"/>
        <v>0</v>
      </c>
      <c r="R31" s="111"/>
      <c r="S31" s="112">
        <f t="shared" si="6"/>
        <v>0</v>
      </c>
      <c r="T31" s="111"/>
      <c r="U31" s="112">
        <f t="shared" si="7"/>
        <v>0</v>
      </c>
      <c r="V31" s="111"/>
      <c r="W31" s="112">
        <f t="shared" si="8"/>
        <v>0</v>
      </c>
      <c r="X31" s="111"/>
      <c r="Y31" s="112">
        <f t="shared" si="9"/>
        <v>0</v>
      </c>
      <c r="Z31" s="111"/>
      <c r="AA31" s="112">
        <f t="shared" si="10"/>
        <v>0</v>
      </c>
      <c r="AB31" s="111">
        <v>120</v>
      </c>
      <c r="AC31" s="112">
        <f t="shared" si="11"/>
        <v>120</v>
      </c>
      <c r="AD31" s="113">
        <f t="shared" si="13"/>
        <v>2772</v>
      </c>
      <c r="AE31" s="114">
        <f t="shared" si="12"/>
        <v>2772</v>
      </c>
    </row>
    <row r="32" spans="1:31" ht="20.100000000000001" customHeight="1">
      <c r="A32" s="2">
        <v>25</v>
      </c>
      <c r="B32" s="3" t="s">
        <v>42</v>
      </c>
      <c r="C32" s="3" t="s">
        <v>17</v>
      </c>
      <c r="D32" s="2">
        <v>1</v>
      </c>
      <c r="E32" s="2" t="s">
        <v>15</v>
      </c>
      <c r="F32" s="115"/>
      <c r="G32" s="112">
        <f t="shared" si="14"/>
        <v>0</v>
      </c>
      <c r="H32" s="115"/>
      <c r="I32" s="112">
        <f t="shared" si="14"/>
        <v>0</v>
      </c>
      <c r="J32" s="115"/>
      <c r="K32" s="112">
        <f t="shared" si="2"/>
        <v>0</v>
      </c>
      <c r="L32" s="115"/>
      <c r="M32" s="112">
        <f t="shared" si="3"/>
        <v>0</v>
      </c>
      <c r="N32" s="115"/>
      <c r="O32" s="112">
        <f t="shared" si="4"/>
        <v>0</v>
      </c>
      <c r="P32" s="115"/>
      <c r="Q32" s="112">
        <f t="shared" si="5"/>
        <v>0</v>
      </c>
      <c r="R32" s="115"/>
      <c r="S32" s="112">
        <f t="shared" si="6"/>
        <v>0</v>
      </c>
      <c r="T32" s="115"/>
      <c r="U32" s="112">
        <f t="shared" si="7"/>
        <v>0</v>
      </c>
      <c r="V32" s="115"/>
      <c r="W32" s="112">
        <f t="shared" si="8"/>
        <v>0</v>
      </c>
      <c r="X32" s="115"/>
      <c r="Y32" s="112">
        <f t="shared" si="9"/>
        <v>0</v>
      </c>
      <c r="Z32" s="115"/>
      <c r="AA32" s="112">
        <f t="shared" si="10"/>
        <v>0</v>
      </c>
      <c r="AB32" s="115"/>
      <c r="AC32" s="112">
        <f t="shared" si="11"/>
        <v>0</v>
      </c>
      <c r="AD32" s="113">
        <f t="shared" si="13"/>
        <v>0</v>
      </c>
      <c r="AE32" s="114">
        <f t="shared" si="12"/>
        <v>0</v>
      </c>
    </row>
    <row r="33" spans="1:31" ht="20.100000000000001" customHeight="1">
      <c r="A33" s="2">
        <v>26</v>
      </c>
      <c r="B33" s="3" t="s">
        <v>43</v>
      </c>
      <c r="C33" s="3" t="s">
        <v>17</v>
      </c>
      <c r="D33" s="2">
        <v>0.6</v>
      </c>
      <c r="E33" s="2" t="s">
        <v>15</v>
      </c>
      <c r="F33" s="115"/>
      <c r="G33" s="112">
        <f t="shared" si="14"/>
        <v>0</v>
      </c>
      <c r="H33" s="115"/>
      <c r="I33" s="112">
        <f t="shared" si="14"/>
        <v>0</v>
      </c>
      <c r="J33" s="115"/>
      <c r="K33" s="112">
        <f t="shared" si="2"/>
        <v>0</v>
      </c>
      <c r="L33" s="115"/>
      <c r="M33" s="112">
        <f t="shared" si="3"/>
        <v>0</v>
      </c>
      <c r="N33" s="115"/>
      <c r="O33" s="112">
        <f t="shared" si="4"/>
        <v>0</v>
      </c>
      <c r="P33" s="115"/>
      <c r="Q33" s="112">
        <f t="shared" si="5"/>
        <v>0</v>
      </c>
      <c r="R33" s="115"/>
      <c r="S33" s="112">
        <f t="shared" si="6"/>
        <v>0</v>
      </c>
      <c r="T33" s="115"/>
      <c r="U33" s="112">
        <f t="shared" si="7"/>
        <v>0</v>
      </c>
      <c r="V33" s="115"/>
      <c r="W33" s="112">
        <f t="shared" si="8"/>
        <v>0</v>
      </c>
      <c r="X33" s="115"/>
      <c r="Y33" s="112">
        <f t="shared" si="9"/>
        <v>0</v>
      </c>
      <c r="Z33" s="115"/>
      <c r="AA33" s="112">
        <f t="shared" si="10"/>
        <v>0</v>
      </c>
      <c r="AB33" s="115"/>
      <c r="AC33" s="112">
        <f t="shared" si="11"/>
        <v>0</v>
      </c>
      <c r="AD33" s="113">
        <f t="shared" si="13"/>
        <v>0</v>
      </c>
      <c r="AE33" s="114">
        <f t="shared" si="12"/>
        <v>0</v>
      </c>
    </row>
    <row r="34" spans="1:31" ht="20.100000000000001" customHeight="1">
      <c r="A34" s="2">
        <v>27</v>
      </c>
      <c r="B34" s="3" t="s">
        <v>44</v>
      </c>
      <c r="C34" s="3" t="s">
        <v>17</v>
      </c>
      <c r="D34" s="2">
        <v>0.6</v>
      </c>
      <c r="E34" s="2" t="s">
        <v>15</v>
      </c>
      <c r="F34" s="115"/>
      <c r="G34" s="112">
        <f t="shared" si="14"/>
        <v>0</v>
      </c>
      <c r="H34" s="115"/>
      <c r="I34" s="112">
        <f t="shared" si="14"/>
        <v>0</v>
      </c>
      <c r="J34" s="115"/>
      <c r="K34" s="112">
        <f t="shared" si="2"/>
        <v>0</v>
      </c>
      <c r="L34" s="115"/>
      <c r="M34" s="112">
        <f t="shared" si="3"/>
        <v>0</v>
      </c>
      <c r="N34" s="115"/>
      <c r="O34" s="112">
        <f t="shared" si="4"/>
        <v>0</v>
      </c>
      <c r="P34" s="115"/>
      <c r="Q34" s="112">
        <f t="shared" si="5"/>
        <v>0</v>
      </c>
      <c r="R34" s="115"/>
      <c r="S34" s="112">
        <f t="shared" si="6"/>
        <v>0</v>
      </c>
      <c r="T34" s="115"/>
      <c r="U34" s="112">
        <f t="shared" si="7"/>
        <v>0</v>
      </c>
      <c r="V34" s="115"/>
      <c r="W34" s="112">
        <f t="shared" si="8"/>
        <v>0</v>
      </c>
      <c r="X34" s="115"/>
      <c r="Y34" s="112">
        <f t="shared" si="9"/>
        <v>0</v>
      </c>
      <c r="Z34" s="115"/>
      <c r="AA34" s="112">
        <f t="shared" si="10"/>
        <v>0</v>
      </c>
      <c r="AB34" s="115"/>
      <c r="AC34" s="112">
        <f t="shared" si="11"/>
        <v>0</v>
      </c>
      <c r="AD34" s="113">
        <f t="shared" si="13"/>
        <v>0</v>
      </c>
      <c r="AE34" s="114">
        <f t="shared" si="12"/>
        <v>0</v>
      </c>
    </row>
    <row r="35" spans="1:31" ht="20.100000000000001" customHeight="1">
      <c r="A35" s="2">
        <v>28</v>
      </c>
      <c r="B35" s="3" t="s">
        <v>45</v>
      </c>
      <c r="C35" s="3" t="s">
        <v>17</v>
      </c>
      <c r="D35" s="2">
        <v>0.35</v>
      </c>
      <c r="E35" s="2" t="s">
        <v>21</v>
      </c>
      <c r="F35" s="115"/>
      <c r="G35" s="112">
        <f t="shared" si="14"/>
        <v>0</v>
      </c>
      <c r="H35" s="115"/>
      <c r="I35" s="112">
        <f t="shared" si="14"/>
        <v>0</v>
      </c>
      <c r="J35" s="115"/>
      <c r="K35" s="112">
        <f t="shared" si="2"/>
        <v>0</v>
      </c>
      <c r="L35" s="115"/>
      <c r="M35" s="112">
        <f t="shared" si="3"/>
        <v>0</v>
      </c>
      <c r="N35" s="115"/>
      <c r="O35" s="112">
        <f t="shared" si="4"/>
        <v>0</v>
      </c>
      <c r="P35" s="115"/>
      <c r="Q35" s="112">
        <f t="shared" si="5"/>
        <v>0</v>
      </c>
      <c r="R35" s="115"/>
      <c r="S35" s="112">
        <f t="shared" si="6"/>
        <v>0</v>
      </c>
      <c r="T35" s="115"/>
      <c r="U35" s="112">
        <f t="shared" si="7"/>
        <v>0</v>
      </c>
      <c r="V35" s="115"/>
      <c r="W35" s="112">
        <f t="shared" si="8"/>
        <v>0</v>
      </c>
      <c r="X35" s="115"/>
      <c r="Y35" s="112">
        <f t="shared" si="9"/>
        <v>0</v>
      </c>
      <c r="Z35" s="115"/>
      <c r="AA35" s="112">
        <f t="shared" si="10"/>
        <v>0</v>
      </c>
      <c r="AB35" s="115"/>
      <c r="AC35" s="112">
        <f t="shared" si="11"/>
        <v>0</v>
      </c>
      <c r="AD35" s="113">
        <f t="shared" si="13"/>
        <v>0</v>
      </c>
      <c r="AE35" s="114">
        <f t="shared" si="12"/>
        <v>0</v>
      </c>
    </row>
    <row r="36" spans="1:31" ht="20.100000000000001" customHeight="1">
      <c r="A36" s="2">
        <v>29</v>
      </c>
      <c r="B36" s="3" t="s">
        <v>46</v>
      </c>
      <c r="C36" s="3" t="s">
        <v>14</v>
      </c>
      <c r="D36" s="2">
        <v>0.7</v>
      </c>
      <c r="E36" s="2" t="s">
        <v>15</v>
      </c>
      <c r="F36" s="111">
        <v>25776</v>
      </c>
      <c r="G36" s="112">
        <f t="shared" si="14"/>
        <v>18043.199999999997</v>
      </c>
      <c r="H36" s="111">
        <v>20160</v>
      </c>
      <c r="I36" s="112">
        <f t="shared" si="14"/>
        <v>14112</v>
      </c>
      <c r="J36" s="111">
        <v>22660</v>
      </c>
      <c r="K36" s="112">
        <f t="shared" si="2"/>
        <v>15861.999999999998</v>
      </c>
      <c r="L36" s="111">
        <v>16679</v>
      </c>
      <c r="M36" s="112">
        <f t="shared" si="3"/>
        <v>11675.3</v>
      </c>
      <c r="N36" s="111">
        <v>12936</v>
      </c>
      <c r="O36" s="112">
        <f t="shared" si="4"/>
        <v>9055.1999999999989</v>
      </c>
      <c r="P36" s="111">
        <v>12696</v>
      </c>
      <c r="Q36" s="112">
        <f t="shared" si="5"/>
        <v>8887.1999999999989</v>
      </c>
      <c r="R36" s="111">
        <v>14820</v>
      </c>
      <c r="S36" s="112">
        <f t="shared" si="6"/>
        <v>10374</v>
      </c>
      <c r="T36" s="111">
        <v>24228</v>
      </c>
      <c r="U36" s="112">
        <f t="shared" si="7"/>
        <v>16959.599999999999</v>
      </c>
      <c r="V36" s="111">
        <v>9156</v>
      </c>
      <c r="W36" s="112">
        <f t="shared" si="8"/>
        <v>6409.2</v>
      </c>
      <c r="X36" s="111">
        <v>8520</v>
      </c>
      <c r="Y36" s="112">
        <f t="shared" si="9"/>
        <v>5964</v>
      </c>
      <c r="Z36" s="111">
        <v>10776</v>
      </c>
      <c r="AA36" s="112">
        <f t="shared" si="10"/>
        <v>7543.2</v>
      </c>
      <c r="AB36" s="111">
        <v>8832</v>
      </c>
      <c r="AC36" s="112">
        <f t="shared" si="11"/>
        <v>6182.4</v>
      </c>
      <c r="AD36" s="113">
        <f t="shared" si="13"/>
        <v>187239</v>
      </c>
      <c r="AE36" s="114">
        <f t="shared" si="12"/>
        <v>131067.29999999999</v>
      </c>
    </row>
    <row r="37" spans="1:31" ht="20.100000000000001" customHeight="1">
      <c r="A37" s="2">
        <v>30</v>
      </c>
      <c r="B37" s="3" t="s">
        <v>47</v>
      </c>
      <c r="C37" s="3" t="s">
        <v>14</v>
      </c>
      <c r="D37" s="2">
        <v>0.7</v>
      </c>
      <c r="E37" s="2" t="s">
        <v>15</v>
      </c>
      <c r="F37" s="115"/>
      <c r="G37" s="112">
        <f t="shared" si="14"/>
        <v>0</v>
      </c>
      <c r="H37" s="115"/>
      <c r="I37" s="112">
        <f t="shared" si="14"/>
        <v>0</v>
      </c>
      <c r="J37" s="115"/>
      <c r="K37" s="112">
        <f t="shared" si="2"/>
        <v>0</v>
      </c>
      <c r="L37" s="115"/>
      <c r="M37" s="112">
        <f t="shared" si="3"/>
        <v>0</v>
      </c>
      <c r="N37" s="115"/>
      <c r="O37" s="112">
        <f t="shared" si="4"/>
        <v>0</v>
      </c>
      <c r="P37" s="115"/>
      <c r="Q37" s="112">
        <f t="shared" si="5"/>
        <v>0</v>
      </c>
      <c r="R37" s="115"/>
      <c r="S37" s="112">
        <f t="shared" si="6"/>
        <v>0</v>
      </c>
      <c r="T37" s="115"/>
      <c r="U37" s="112">
        <f t="shared" si="7"/>
        <v>0</v>
      </c>
      <c r="V37" s="115"/>
      <c r="W37" s="112">
        <f t="shared" si="8"/>
        <v>0</v>
      </c>
      <c r="X37" s="115"/>
      <c r="Y37" s="112">
        <f t="shared" si="9"/>
        <v>0</v>
      </c>
      <c r="Z37" s="115"/>
      <c r="AA37" s="112">
        <f t="shared" si="10"/>
        <v>0</v>
      </c>
      <c r="AB37" s="115"/>
      <c r="AC37" s="112">
        <f t="shared" si="11"/>
        <v>0</v>
      </c>
      <c r="AD37" s="113">
        <f t="shared" si="13"/>
        <v>0</v>
      </c>
      <c r="AE37" s="114">
        <f t="shared" si="12"/>
        <v>0</v>
      </c>
    </row>
    <row r="38" spans="1:31" ht="20.100000000000001" customHeight="1">
      <c r="A38" s="2">
        <v>31</v>
      </c>
      <c r="B38" s="3" t="s">
        <v>48</v>
      </c>
      <c r="C38" s="3" t="s">
        <v>14</v>
      </c>
      <c r="D38" s="2">
        <v>0.68</v>
      </c>
      <c r="E38" s="2" t="s">
        <v>15</v>
      </c>
      <c r="F38" s="115"/>
      <c r="G38" s="112">
        <f t="shared" si="14"/>
        <v>0</v>
      </c>
      <c r="H38" s="115"/>
      <c r="I38" s="112">
        <f t="shared" si="14"/>
        <v>0</v>
      </c>
      <c r="J38" s="115"/>
      <c r="K38" s="112">
        <f t="shared" si="2"/>
        <v>0</v>
      </c>
      <c r="L38" s="115"/>
      <c r="M38" s="112">
        <f t="shared" si="3"/>
        <v>0</v>
      </c>
      <c r="N38" s="115"/>
      <c r="O38" s="112">
        <f t="shared" si="4"/>
        <v>0</v>
      </c>
      <c r="P38" s="115"/>
      <c r="Q38" s="112">
        <f t="shared" si="5"/>
        <v>0</v>
      </c>
      <c r="R38" s="115"/>
      <c r="S38" s="112">
        <f t="shared" si="6"/>
        <v>0</v>
      </c>
      <c r="T38" s="115"/>
      <c r="U38" s="112">
        <f t="shared" si="7"/>
        <v>0</v>
      </c>
      <c r="V38" s="115"/>
      <c r="W38" s="112">
        <f t="shared" si="8"/>
        <v>0</v>
      </c>
      <c r="X38" s="115"/>
      <c r="Y38" s="112">
        <f t="shared" si="9"/>
        <v>0</v>
      </c>
      <c r="Z38" s="115"/>
      <c r="AA38" s="112">
        <f t="shared" si="10"/>
        <v>0</v>
      </c>
      <c r="AB38" s="115"/>
      <c r="AC38" s="112">
        <f t="shared" si="11"/>
        <v>0</v>
      </c>
      <c r="AD38" s="113">
        <f t="shared" si="13"/>
        <v>0</v>
      </c>
      <c r="AE38" s="114">
        <f t="shared" si="12"/>
        <v>0</v>
      </c>
    </row>
    <row r="39" spans="1:31" ht="20.100000000000001" customHeight="1">
      <c r="A39" s="2">
        <v>32</v>
      </c>
      <c r="B39" s="3" t="s">
        <v>48</v>
      </c>
      <c r="C39" s="3" t="s">
        <v>14</v>
      </c>
      <c r="D39" s="2">
        <v>0.64</v>
      </c>
      <c r="E39" s="2" t="s">
        <v>15</v>
      </c>
      <c r="F39" s="115"/>
      <c r="G39" s="112">
        <f t="shared" si="14"/>
        <v>0</v>
      </c>
      <c r="H39" s="115"/>
      <c r="I39" s="112">
        <f t="shared" si="14"/>
        <v>0</v>
      </c>
      <c r="J39" s="115"/>
      <c r="K39" s="112">
        <f t="shared" si="2"/>
        <v>0</v>
      </c>
      <c r="L39" s="115"/>
      <c r="M39" s="112">
        <f t="shared" si="3"/>
        <v>0</v>
      </c>
      <c r="N39" s="115"/>
      <c r="O39" s="112">
        <f t="shared" si="4"/>
        <v>0</v>
      </c>
      <c r="P39" s="115"/>
      <c r="Q39" s="112">
        <f t="shared" si="5"/>
        <v>0</v>
      </c>
      <c r="R39" s="115"/>
      <c r="S39" s="112">
        <f t="shared" si="6"/>
        <v>0</v>
      </c>
      <c r="T39" s="115"/>
      <c r="U39" s="112">
        <f t="shared" si="7"/>
        <v>0</v>
      </c>
      <c r="V39" s="115"/>
      <c r="W39" s="112">
        <f t="shared" si="8"/>
        <v>0</v>
      </c>
      <c r="X39" s="115"/>
      <c r="Y39" s="112">
        <f t="shared" si="9"/>
        <v>0</v>
      </c>
      <c r="Z39" s="115"/>
      <c r="AA39" s="112">
        <f t="shared" si="10"/>
        <v>0</v>
      </c>
      <c r="AB39" s="115"/>
      <c r="AC39" s="112">
        <f t="shared" si="11"/>
        <v>0</v>
      </c>
      <c r="AD39" s="113">
        <f t="shared" si="13"/>
        <v>0</v>
      </c>
      <c r="AE39" s="114">
        <f t="shared" si="12"/>
        <v>0</v>
      </c>
    </row>
    <row r="40" spans="1:31" ht="20.100000000000001" customHeight="1">
      <c r="A40" s="2">
        <v>33</v>
      </c>
      <c r="B40" s="3" t="s">
        <v>49</v>
      </c>
      <c r="C40" s="3" t="s">
        <v>14</v>
      </c>
      <c r="D40" s="2">
        <v>0.64</v>
      </c>
      <c r="E40" s="2" t="s">
        <v>25</v>
      </c>
      <c r="F40" s="115"/>
      <c r="G40" s="112">
        <f t="shared" si="14"/>
        <v>0</v>
      </c>
      <c r="H40" s="115"/>
      <c r="I40" s="112">
        <f t="shared" si="14"/>
        <v>0</v>
      </c>
      <c r="J40" s="115"/>
      <c r="K40" s="112">
        <f t="shared" si="2"/>
        <v>0</v>
      </c>
      <c r="L40" s="115"/>
      <c r="M40" s="112">
        <f t="shared" si="3"/>
        <v>0</v>
      </c>
      <c r="N40" s="115"/>
      <c r="O40" s="112">
        <f t="shared" si="4"/>
        <v>0</v>
      </c>
      <c r="P40" s="115"/>
      <c r="Q40" s="112">
        <f t="shared" si="5"/>
        <v>0</v>
      </c>
      <c r="R40" s="115"/>
      <c r="S40" s="112">
        <f t="shared" si="6"/>
        <v>0</v>
      </c>
      <c r="T40" s="115"/>
      <c r="U40" s="112">
        <f t="shared" si="7"/>
        <v>0</v>
      </c>
      <c r="V40" s="115"/>
      <c r="W40" s="112">
        <f t="shared" si="8"/>
        <v>0</v>
      </c>
      <c r="X40" s="115"/>
      <c r="Y40" s="112">
        <f t="shared" si="9"/>
        <v>0</v>
      </c>
      <c r="Z40" s="115"/>
      <c r="AA40" s="112">
        <f t="shared" si="10"/>
        <v>0</v>
      </c>
      <c r="AB40" s="115"/>
      <c r="AC40" s="112">
        <f t="shared" si="11"/>
        <v>0</v>
      </c>
      <c r="AD40" s="113">
        <f t="shared" si="13"/>
        <v>0</v>
      </c>
      <c r="AE40" s="114">
        <f t="shared" si="12"/>
        <v>0</v>
      </c>
    </row>
    <row r="41" spans="1:31" ht="20.100000000000001" customHeight="1">
      <c r="A41" s="2">
        <v>34</v>
      </c>
      <c r="B41" s="3" t="s">
        <v>47</v>
      </c>
      <c r="C41" s="3" t="s">
        <v>14</v>
      </c>
      <c r="D41" s="2">
        <v>0.64</v>
      </c>
      <c r="E41" s="2" t="s">
        <v>25</v>
      </c>
      <c r="F41" s="111">
        <v>39676</v>
      </c>
      <c r="G41" s="112">
        <f t="shared" si="14"/>
        <v>25392.639999999999</v>
      </c>
      <c r="H41" s="111">
        <v>47110</v>
      </c>
      <c r="I41" s="112">
        <f t="shared" si="14"/>
        <v>30150.400000000001</v>
      </c>
      <c r="J41" s="111">
        <v>48888</v>
      </c>
      <c r="K41" s="112">
        <f t="shared" si="2"/>
        <v>31288.32</v>
      </c>
      <c r="L41" s="111">
        <v>33124</v>
      </c>
      <c r="M41" s="112">
        <f t="shared" si="3"/>
        <v>21199.360000000001</v>
      </c>
      <c r="N41" s="111">
        <v>38360</v>
      </c>
      <c r="O41" s="112">
        <f t="shared" si="4"/>
        <v>24550.400000000001</v>
      </c>
      <c r="P41" s="111">
        <v>36918</v>
      </c>
      <c r="Q41" s="112">
        <f t="shared" si="5"/>
        <v>23627.52</v>
      </c>
      <c r="R41" s="111">
        <v>42098</v>
      </c>
      <c r="S41" s="112">
        <f t="shared" si="6"/>
        <v>26942.720000000001</v>
      </c>
      <c r="T41" s="111">
        <v>45248</v>
      </c>
      <c r="U41" s="112">
        <f t="shared" si="7"/>
        <v>28958.720000000001</v>
      </c>
      <c r="V41" s="111">
        <v>37324</v>
      </c>
      <c r="W41" s="112">
        <f t="shared" si="8"/>
        <v>23887.360000000001</v>
      </c>
      <c r="X41" s="111">
        <v>43708</v>
      </c>
      <c r="Y41" s="112">
        <f t="shared" si="9"/>
        <v>27973.119999999999</v>
      </c>
      <c r="Z41" s="111">
        <v>44828</v>
      </c>
      <c r="AA41" s="112">
        <f t="shared" si="10"/>
        <v>28689.920000000002</v>
      </c>
      <c r="AB41" s="111">
        <v>54670</v>
      </c>
      <c r="AC41" s="112">
        <f t="shared" si="11"/>
        <v>34988.800000000003</v>
      </c>
      <c r="AD41" s="113">
        <f t="shared" si="13"/>
        <v>511952</v>
      </c>
      <c r="AE41" s="114">
        <f t="shared" si="12"/>
        <v>327649.28000000003</v>
      </c>
    </row>
    <row r="42" spans="1:31" ht="20.100000000000001" customHeight="1">
      <c r="A42" s="2">
        <v>35</v>
      </c>
      <c r="B42" s="3" t="s">
        <v>47</v>
      </c>
      <c r="C42" s="3" t="s">
        <v>14</v>
      </c>
      <c r="D42" s="2">
        <v>0.64</v>
      </c>
      <c r="E42" s="2" t="s">
        <v>24</v>
      </c>
      <c r="F42" s="115"/>
      <c r="G42" s="112">
        <f t="shared" si="14"/>
        <v>0</v>
      </c>
      <c r="H42" s="115"/>
      <c r="I42" s="112">
        <f t="shared" si="14"/>
        <v>0</v>
      </c>
      <c r="J42" s="115"/>
      <c r="K42" s="112">
        <f t="shared" si="2"/>
        <v>0</v>
      </c>
      <c r="L42" s="115"/>
      <c r="M42" s="112">
        <f t="shared" si="3"/>
        <v>0</v>
      </c>
      <c r="N42" s="115"/>
      <c r="O42" s="112">
        <f t="shared" si="4"/>
        <v>0</v>
      </c>
      <c r="P42" s="115"/>
      <c r="Q42" s="112">
        <f t="shared" si="5"/>
        <v>0</v>
      </c>
      <c r="R42" s="115"/>
      <c r="S42" s="112">
        <f t="shared" si="6"/>
        <v>0</v>
      </c>
      <c r="T42" s="115"/>
      <c r="U42" s="112">
        <f t="shared" si="7"/>
        <v>0</v>
      </c>
      <c r="V42" s="115"/>
      <c r="W42" s="112">
        <f t="shared" si="8"/>
        <v>0</v>
      </c>
      <c r="X42" s="115"/>
      <c r="Y42" s="112">
        <f t="shared" si="9"/>
        <v>0</v>
      </c>
      <c r="Z42" s="115"/>
      <c r="AA42" s="112">
        <f t="shared" si="10"/>
        <v>0</v>
      </c>
      <c r="AB42" s="115"/>
      <c r="AC42" s="112">
        <f t="shared" si="11"/>
        <v>0</v>
      </c>
      <c r="AD42" s="113">
        <f t="shared" si="13"/>
        <v>0</v>
      </c>
      <c r="AE42" s="114">
        <f t="shared" si="12"/>
        <v>0</v>
      </c>
    </row>
    <row r="43" spans="1:31" ht="20.100000000000001" customHeight="1">
      <c r="A43" s="2">
        <v>36</v>
      </c>
      <c r="B43" s="3" t="s">
        <v>50</v>
      </c>
      <c r="C43" s="3" t="s">
        <v>14</v>
      </c>
      <c r="D43" s="2">
        <v>0.68</v>
      </c>
      <c r="E43" s="2" t="s">
        <v>25</v>
      </c>
      <c r="F43" s="115"/>
      <c r="G43" s="112">
        <f t="shared" si="14"/>
        <v>0</v>
      </c>
      <c r="H43" s="115"/>
      <c r="I43" s="112">
        <f t="shared" si="14"/>
        <v>0</v>
      </c>
      <c r="J43" s="115"/>
      <c r="K43" s="112">
        <f t="shared" si="2"/>
        <v>0</v>
      </c>
      <c r="L43" s="115"/>
      <c r="M43" s="112">
        <f t="shared" si="3"/>
        <v>0</v>
      </c>
      <c r="N43" s="115"/>
      <c r="O43" s="112">
        <f t="shared" si="4"/>
        <v>0</v>
      </c>
      <c r="P43" s="115"/>
      <c r="Q43" s="112">
        <f t="shared" si="5"/>
        <v>0</v>
      </c>
      <c r="R43" s="115"/>
      <c r="S43" s="112">
        <f t="shared" si="6"/>
        <v>0</v>
      </c>
      <c r="T43" s="115"/>
      <c r="U43" s="112">
        <f t="shared" si="7"/>
        <v>0</v>
      </c>
      <c r="V43" s="115"/>
      <c r="W43" s="112">
        <f t="shared" si="8"/>
        <v>0</v>
      </c>
      <c r="X43" s="115"/>
      <c r="Y43" s="112">
        <f t="shared" si="9"/>
        <v>0</v>
      </c>
      <c r="Z43" s="115"/>
      <c r="AA43" s="112">
        <f t="shared" si="10"/>
        <v>0</v>
      </c>
      <c r="AB43" s="115"/>
      <c r="AC43" s="112">
        <f t="shared" si="11"/>
        <v>0</v>
      </c>
      <c r="AD43" s="113">
        <f t="shared" si="13"/>
        <v>0</v>
      </c>
      <c r="AE43" s="114">
        <f t="shared" si="12"/>
        <v>0</v>
      </c>
    </row>
    <row r="44" spans="1:31" ht="20.100000000000001" customHeight="1">
      <c r="A44" s="2">
        <v>37</v>
      </c>
      <c r="B44" s="3" t="s">
        <v>50</v>
      </c>
      <c r="C44" s="3" t="s">
        <v>14</v>
      </c>
      <c r="D44" s="2">
        <v>0.64</v>
      </c>
      <c r="E44" s="2" t="s">
        <v>25</v>
      </c>
      <c r="F44" s="115"/>
      <c r="G44" s="112">
        <f t="shared" si="14"/>
        <v>0</v>
      </c>
      <c r="H44" s="115"/>
      <c r="I44" s="112">
        <f t="shared" si="14"/>
        <v>0</v>
      </c>
      <c r="J44" s="115"/>
      <c r="K44" s="112">
        <f t="shared" si="2"/>
        <v>0</v>
      </c>
      <c r="L44" s="115"/>
      <c r="M44" s="112">
        <f t="shared" si="3"/>
        <v>0</v>
      </c>
      <c r="N44" s="115"/>
      <c r="O44" s="112">
        <f t="shared" si="4"/>
        <v>0</v>
      </c>
      <c r="P44" s="115"/>
      <c r="Q44" s="112">
        <f t="shared" si="5"/>
        <v>0</v>
      </c>
      <c r="R44" s="115"/>
      <c r="S44" s="112">
        <f t="shared" si="6"/>
        <v>0</v>
      </c>
      <c r="T44" s="115"/>
      <c r="U44" s="112">
        <f t="shared" si="7"/>
        <v>0</v>
      </c>
      <c r="V44" s="115"/>
      <c r="W44" s="112">
        <f t="shared" si="8"/>
        <v>0</v>
      </c>
      <c r="X44" s="115"/>
      <c r="Y44" s="112">
        <f t="shared" si="9"/>
        <v>0</v>
      </c>
      <c r="Z44" s="115"/>
      <c r="AA44" s="112">
        <f t="shared" si="10"/>
        <v>0</v>
      </c>
      <c r="AB44" s="115"/>
      <c r="AC44" s="112">
        <f t="shared" si="11"/>
        <v>0</v>
      </c>
      <c r="AD44" s="113">
        <f t="shared" si="13"/>
        <v>0</v>
      </c>
      <c r="AE44" s="114">
        <f t="shared" si="12"/>
        <v>0</v>
      </c>
    </row>
    <row r="45" spans="1:31" ht="20.100000000000001" customHeight="1">
      <c r="A45" s="2">
        <v>38</v>
      </c>
      <c r="B45" s="3" t="s">
        <v>51</v>
      </c>
      <c r="C45" s="3" t="s">
        <v>14</v>
      </c>
      <c r="D45" s="2">
        <v>0.64</v>
      </c>
      <c r="E45" s="2" t="s">
        <v>25</v>
      </c>
      <c r="F45" s="115"/>
      <c r="G45" s="112">
        <f t="shared" si="14"/>
        <v>0</v>
      </c>
      <c r="H45" s="115"/>
      <c r="I45" s="112">
        <f t="shared" si="14"/>
        <v>0</v>
      </c>
      <c r="J45" s="115"/>
      <c r="K45" s="112">
        <f t="shared" si="2"/>
        <v>0</v>
      </c>
      <c r="L45" s="115"/>
      <c r="M45" s="112">
        <f t="shared" si="3"/>
        <v>0</v>
      </c>
      <c r="N45" s="115"/>
      <c r="O45" s="112">
        <f t="shared" si="4"/>
        <v>0</v>
      </c>
      <c r="P45" s="115"/>
      <c r="Q45" s="112">
        <f t="shared" si="5"/>
        <v>0</v>
      </c>
      <c r="R45" s="115"/>
      <c r="S45" s="112">
        <f t="shared" si="6"/>
        <v>0</v>
      </c>
      <c r="T45" s="115"/>
      <c r="U45" s="112">
        <f t="shared" si="7"/>
        <v>0</v>
      </c>
      <c r="V45" s="115"/>
      <c r="W45" s="112">
        <f t="shared" si="8"/>
        <v>0</v>
      </c>
      <c r="X45" s="115"/>
      <c r="Y45" s="112">
        <f t="shared" si="9"/>
        <v>0</v>
      </c>
      <c r="Z45" s="115"/>
      <c r="AA45" s="112">
        <f t="shared" si="10"/>
        <v>0</v>
      </c>
      <c r="AB45" s="115"/>
      <c r="AC45" s="112">
        <f t="shared" si="11"/>
        <v>0</v>
      </c>
      <c r="AD45" s="113">
        <f t="shared" si="13"/>
        <v>0</v>
      </c>
      <c r="AE45" s="114">
        <f t="shared" si="12"/>
        <v>0</v>
      </c>
    </row>
    <row r="46" spans="1:31" ht="20.100000000000001" customHeight="1">
      <c r="A46" s="2">
        <v>39</v>
      </c>
      <c r="B46" s="3" t="s">
        <v>51</v>
      </c>
      <c r="C46" s="3" t="s">
        <v>14</v>
      </c>
      <c r="D46" s="2">
        <v>0.64</v>
      </c>
      <c r="E46" s="2" t="s">
        <v>25</v>
      </c>
      <c r="F46" s="115"/>
      <c r="G46" s="112">
        <f t="shared" si="14"/>
        <v>0</v>
      </c>
      <c r="H46" s="115"/>
      <c r="I46" s="112">
        <f t="shared" si="14"/>
        <v>0</v>
      </c>
      <c r="J46" s="115"/>
      <c r="K46" s="112">
        <f t="shared" si="2"/>
        <v>0</v>
      </c>
      <c r="L46" s="115"/>
      <c r="M46" s="112">
        <f t="shared" si="3"/>
        <v>0</v>
      </c>
      <c r="N46" s="115"/>
      <c r="O46" s="112">
        <f t="shared" si="4"/>
        <v>0</v>
      </c>
      <c r="P46" s="115"/>
      <c r="Q46" s="112">
        <f t="shared" si="5"/>
        <v>0</v>
      </c>
      <c r="R46" s="115"/>
      <c r="S46" s="112">
        <f t="shared" si="6"/>
        <v>0</v>
      </c>
      <c r="T46" s="115"/>
      <c r="U46" s="112">
        <f t="shared" si="7"/>
        <v>0</v>
      </c>
      <c r="V46" s="115"/>
      <c r="W46" s="112">
        <f t="shared" si="8"/>
        <v>0</v>
      </c>
      <c r="X46" s="115"/>
      <c r="Y46" s="112">
        <f t="shared" si="9"/>
        <v>0</v>
      </c>
      <c r="Z46" s="115"/>
      <c r="AA46" s="112">
        <f t="shared" si="10"/>
        <v>0</v>
      </c>
      <c r="AB46" s="115"/>
      <c r="AC46" s="112">
        <f t="shared" si="11"/>
        <v>0</v>
      </c>
      <c r="AD46" s="113">
        <f t="shared" si="13"/>
        <v>0</v>
      </c>
      <c r="AE46" s="114">
        <f t="shared" si="12"/>
        <v>0</v>
      </c>
    </row>
    <row r="47" spans="1:31" ht="20.100000000000001" customHeight="1">
      <c r="A47" s="2">
        <v>40</v>
      </c>
      <c r="B47" s="3" t="s">
        <v>51</v>
      </c>
      <c r="C47" s="3" t="s">
        <v>14</v>
      </c>
      <c r="D47" s="2">
        <v>0.64</v>
      </c>
      <c r="E47" s="2" t="s">
        <v>25</v>
      </c>
      <c r="F47" s="115"/>
      <c r="G47" s="112">
        <f t="shared" si="14"/>
        <v>0</v>
      </c>
      <c r="H47" s="115"/>
      <c r="I47" s="112">
        <f t="shared" si="14"/>
        <v>0</v>
      </c>
      <c r="J47" s="115"/>
      <c r="K47" s="112">
        <f t="shared" si="2"/>
        <v>0</v>
      </c>
      <c r="L47" s="115"/>
      <c r="M47" s="112">
        <f t="shared" si="3"/>
        <v>0</v>
      </c>
      <c r="N47" s="115"/>
      <c r="O47" s="112">
        <f t="shared" si="4"/>
        <v>0</v>
      </c>
      <c r="P47" s="115"/>
      <c r="Q47" s="112">
        <f t="shared" si="5"/>
        <v>0</v>
      </c>
      <c r="R47" s="115"/>
      <c r="S47" s="112">
        <f t="shared" si="6"/>
        <v>0</v>
      </c>
      <c r="T47" s="115"/>
      <c r="U47" s="112">
        <f t="shared" si="7"/>
        <v>0</v>
      </c>
      <c r="V47" s="115"/>
      <c r="W47" s="112">
        <f t="shared" si="8"/>
        <v>0</v>
      </c>
      <c r="X47" s="115"/>
      <c r="Y47" s="112">
        <f t="shared" si="9"/>
        <v>0</v>
      </c>
      <c r="Z47" s="115"/>
      <c r="AA47" s="112">
        <f t="shared" si="10"/>
        <v>0</v>
      </c>
      <c r="AB47" s="115"/>
      <c r="AC47" s="112">
        <f t="shared" si="11"/>
        <v>0</v>
      </c>
      <c r="AD47" s="113">
        <f t="shared" si="13"/>
        <v>0</v>
      </c>
      <c r="AE47" s="114">
        <f t="shared" si="12"/>
        <v>0</v>
      </c>
    </row>
    <row r="48" spans="1:31" ht="20.100000000000001" customHeight="1">
      <c r="A48" s="2"/>
      <c r="B48" s="3"/>
      <c r="C48" s="3"/>
      <c r="D48" s="2"/>
      <c r="E48" s="2"/>
      <c r="F48" s="115"/>
      <c r="G48" s="112">
        <f t="shared" si="14"/>
        <v>0</v>
      </c>
      <c r="H48" s="115"/>
      <c r="I48" s="112">
        <f t="shared" si="14"/>
        <v>0</v>
      </c>
      <c r="J48" s="115"/>
      <c r="K48" s="112">
        <f t="shared" si="2"/>
        <v>0</v>
      </c>
      <c r="L48" s="115"/>
      <c r="M48" s="112">
        <f t="shared" si="3"/>
        <v>0</v>
      </c>
      <c r="N48" s="115"/>
      <c r="O48" s="112">
        <f t="shared" si="4"/>
        <v>0</v>
      </c>
      <c r="P48" s="115"/>
      <c r="Q48" s="112">
        <f t="shared" si="5"/>
        <v>0</v>
      </c>
      <c r="R48" s="115"/>
      <c r="S48" s="112">
        <f t="shared" si="6"/>
        <v>0</v>
      </c>
      <c r="T48" s="115"/>
      <c r="U48" s="112">
        <f t="shared" si="7"/>
        <v>0</v>
      </c>
      <c r="V48" s="115"/>
      <c r="W48" s="112">
        <f t="shared" si="8"/>
        <v>0</v>
      </c>
      <c r="X48" s="115"/>
      <c r="Y48" s="112">
        <f t="shared" si="9"/>
        <v>0</v>
      </c>
      <c r="Z48" s="115"/>
      <c r="AA48" s="112">
        <f t="shared" si="10"/>
        <v>0</v>
      </c>
      <c r="AB48" s="115"/>
      <c r="AC48" s="112">
        <f t="shared" si="11"/>
        <v>0</v>
      </c>
      <c r="AD48" s="113">
        <f t="shared" si="13"/>
        <v>0</v>
      </c>
      <c r="AE48" s="114">
        <f t="shared" si="12"/>
        <v>0</v>
      </c>
    </row>
    <row r="49" spans="1:31" ht="20.100000000000001" customHeight="1">
      <c r="A49" s="2">
        <v>41</v>
      </c>
      <c r="B49" s="3" t="s">
        <v>52</v>
      </c>
      <c r="C49" s="3" t="s">
        <v>17</v>
      </c>
      <c r="D49" s="2">
        <v>1</v>
      </c>
      <c r="E49" s="2" t="s">
        <v>15</v>
      </c>
      <c r="F49" s="115"/>
      <c r="G49" s="112">
        <f t="shared" si="14"/>
        <v>0</v>
      </c>
      <c r="H49" s="115"/>
      <c r="I49" s="112">
        <f t="shared" si="14"/>
        <v>0</v>
      </c>
      <c r="J49" s="115"/>
      <c r="K49" s="112">
        <f t="shared" si="2"/>
        <v>0</v>
      </c>
      <c r="L49" s="115"/>
      <c r="M49" s="112">
        <f t="shared" si="3"/>
        <v>0</v>
      </c>
      <c r="N49" s="115"/>
      <c r="O49" s="112">
        <f t="shared" si="4"/>
        <v>0</v>
      </c>
      <c r="P49" s="115"/>
      <c r="Q49" s="112">
        <f t="shared" si="5"/>
        <v>0</v>
      </c>
      <c r="R49" s="115"/>
      <c r="S49" s="112">
        <f t="shared" si="6"/>
        <v>0</v>
      </c>
      <c r="T49" s="115"/>
      <c r="U49" s="112">
        <f t="shared" si="7"/>
        <v>0</v>
      </c>
      <c r="V49" s="115"/>
      <c r="W49" s="112">
        <f t="shared" si="8"/>
        <v>0</v>
      </c>
      <c r="X49" s="115"/>
      <c r="Y49" s="112">
        <f t="shared" si="9"/>
        <v>0</v>
      </c>
      <c r="Z49" s="115"/>
      <c r="AA49" s="112">
        <f t="shared" si="10"/>
        <v>0</v>
      </c>
      <c r="AB49" s="115"/>
      <c r="AC49" s="112">
        <f t="shared" si="11"/>
        <v>0</v>
      </c>
      <c r="AD49" s="113">
        <f t="shared" si="13"/>
        <v>0</v>
      </c>
      <c r="AE49" s="114">
        <f t="shared" si="12"/>
        <v>0</v>
      </c>
    </row>
    <row r="50" spans="1:31" ht="20.100000000000001" customHeight="1">
      <c r="A50" s="2">
        <v>42</v>
      </c>
      <c r="B50" s="3" t="s">
        <v>52</v>
      </c>
      <c r="C50" s="3" t="s">
        <v>17</v>
      </c>
      <c r="D50" s="2">
        <v>1</v>
      </c>
      <c r="E50" s="2" t="s">
        <v>24</v>
      </c>
      <c r="F50" s="115"/>
      <c r="G50" s="112">
        <f t="shared" si="14"/>
        <v>0</v>
      </c>
      <c r="H50" s="115"/>
      <c r="I50" s="112">
        <f t="shared" si="14"/>
        <v>0</v>
      </c>
      <c r="J50" s="115"/>
      <c r="K50" s="112">
        <f t="shared" si="2"/>
        <v>0</v>
      </c>
      <c r="L50" s="115"/>
      <c r="M50" s="112">
        <f t="shared" si="3"/>
        <v>0</v>
      </c>
      <c r="N50" s="115"/>
      <c r="O50" s="112">
        <f t="shared" si="4"/>
        <v>0</v>
      </c>
      <c r="P50" s="115"/>
      <c r="Q50" s="112">
        <f t="shared" si="5"/>
        <v>0</v>
      </c>
      <c r="R50" s="115"/>
      <c r="S50" s="112">
        <f t="shared" si="6"/>
        <v>0</v>
      </c>
      <c r="T50" s="115"/>
      <c r="U50" s="112">
        <f t="shared" si="7"/>
        <v>0</v>
      </c>
      <c r="V50" s="115"/>
      <c r="W50" s="112">
        <f t="shared" si="8"/>
        <v>0</v>
      </c>
      <c r="X50" s="115"/>
      <c r="Y50" s="112">
        <f t="shared" si="9"/>
        <v>0</v>
      </c>
      <c r="Z50" s="115"/>
      <c r="AA50" s="112">
        <f t="shared" si="10"/>
        <v>0</v>
      </c>
      <c r="AB50" s="115"/>
      <c r="AC50" s="112">
        <f t="shared" si="11"/>
        <v>0</v>
      </c>
      <c r="AD50" s="113">
        <f t="shared" si="13"/>
        <v>0</v>
      </c>
      <c r="AE50" s="114">
        <f t="shared" si="12"/>
        <v>0</v>
      </c>
    </row>
    <row r="51" spans="1:31" ht="20.100000000000001" customHeight="1">
      <c r="A51" s="2">
        <v>43</v>
      </c>
      <c r="B51" s="3" t="s">
        <v>53</v>
      </c>
      <c r="C51" s="3" t="s">
        <v>14</v>
      </c>
      <c r="D51" s="2">
        <v>0.64</v>
      </c>
      <c r="E51" s="2" t="s">
        <v>25</v>
      </c>
      <c r="F51" s="111">
        <v>131800</v>
      </c>
      <c r="G51" s="112">
        <f t="shared" si="14"/>
        <v>84352</v>
      </c>
      <c r="H51" s="111">
        <v>163296</v>
      </c>
      <c r="I51" s="112">
        <f t="shared" si="14"/>
        <v>104509.44</v>
      </c>
      <c r="J51" s="111">
        <v>161518</v>
      </c>
      <c r="K51" s="112">
        <f t="shared" si="2"/>
        <v>103371.52</v>
      </c>
      <c r="L51" s="111">
        <v>105252</v>
      </c>
      <c r="M51" s="112">
        <f t="shared" si="3"/>
        <v>67361.279999999999</v>
      </c>
      <c r="N51" s="111">
        <v>100870</v>
      </c>
      <c r="O51" s="112">
        <f t="shared" si="4"/>
        <v>64556.800000000003</v>
      </c>
      <c r="P51" s="111">
        <v>159208</v>
      </c>
      <c r="Q51" s="112">
        <f t="shared" si="5"/>
        <v>101893.12</v>
      </c>
      <c r="R51" s="111">
        <v>146160</v>
      </c>
      <c r="S51" s="112">
        <f t="shared" si="6"/>
        <v>93542.400000000009</v>
      </c>
      <c r="T51" s="111">
        <v>158214</v>
      </c>
      <c r="U51" s="112">
        <f t="shared" si="7"/>
        <v>101256.96000000001</v>
      </c>
      <c r="V51" s="111">
        <v>140784</v>
      </c>
      <c r="W51" s="112">
        <f t="shared" si="8"/>
        <v>90101.759999999995</v>
      </c>
      <c r="X51" s="111">
        <v>106176</v>
      </c>
      <c r="Y51" s="112">
        <f t="shared" si="9"/>
        <v>67952.639999999999</v>
      </c>
      <c r="Z51" s="111">
        <v>152852</v>
      </c>
      <c r="AA51" s="112">
        <f t="shared" si="10"/>
        <v>97825.279999999999</v>
      </c>
      <c r="AB51" s="111">
        <v>156408</v>
      </c>
      <c r="AC51" s="112">
        <f t="shared" si="11"/>
        <v>100101.12</v>
      </c>
      <c r="AD51" s="113">
        <f t="shared" si="13"/>
        <v>1682538</v>
      </c>
      <c r="AE51" s="114">
        <f t="shared" si="12"/>
        <v>1076824.32</v>
      </c>
    </row>
    <row r="52" spans="1:31" ht="20.100000000000001" customHeight="1">
      <c r="A52" s="2">
        <v>44</v>
      </c>
      <c r="B52" s="3" t="s">
        <v>53</v>
      </c>
      <c r="C52" s="3" t="s">
        <v>14</v>
      </c>
      <c r="D52" s="2">
        <v>0.64</v>
      </c>
      <c r="E52" s="2" t="s">
        <v>24</v>
      </c>
      <c r="F52" s="115"/>
      <c r="G52" s="112">
        <f t="shared" si="14"/>
        <v>0</v>
      </c>
      <c r="H52" s="115"/>
      <c r="I52" s="112">
        <f t="shared" si="14"/>
        <v>0</v>
      </c>
      <c r="J52" s="115"/>
      <c r="K52" s="112">
        <f t="shared" si="2"/>
        <v>0</v>
      </c>
      <c r="L52" s="115"/>
      <c r="M52" s="112">
        <f t="shared" si="3"/>
        <v>0</v>
      </c>
      <c r="N52" s="115"/>
      <c r="O52" s="112">
        <f t="shared" si="4"/>
        <v>0</v>
      </c>
      <c r="P52" s="115"/>
      <c r="Q52" s="112">
        <f t="shared" si="5"/>
        <v>0</v>
      </c>
      <c r="R52" s="115"/>
      <c r="S52" s="112">
        <f t="shared" si="6"/>
        <v>0</v>
      </c>
      <c r="T52" s="115"/>
      <c r="U52" s="112">
        <f t="shared" si="7"/>
        <v>0</v>
      </c>
      <c r="V52" s="115"/>
      <c r="W52" s="112">
        <f t="shared" si="8"/>
        <v>0</v>
      </c>
      <c r="X52" s="115"/>
      <c r="Y52" s="112">
        <f t="shared" si="9"/>
        <v>0</v>
      </c>
      <c r="Z52" s="115"/>
      <c r="AA52" s="112">
        <f t="shared" si="10"/>
        <v>0</v>
      </c>
      <c r="AB52" s="115"/>
      <c r="AC52" s="112">
        <f t="shared" si="11"/>
        <v>0</v>
      </c>
      <c r="AD52" s="113">
        <f t="shared" si="13"/>
        <v>0</v>
      </c>
      <c r="AE52" s="114">
        <f t="shared" si="12"/>
        <v>0</v>
      </c>
    </row>
    <row r="53" spans="1:31" ht="20.100000000000001" customHeight="1">
      <c r="A53" s="2"/>
      <c r="B53" s="3"/>
      <c r="C53" s="3"/>
      <c r="D53" s="2"/>
      <c r="E53" s="2"/>
      <c r="F53" s="115"/>
      <c r="G53" s="112">
        <f t="shared" si="14"/>
        <v>0</v>
      </c>
      <c r="H53" s="115"/>
      <c r="I53" s="112">
        <f t="shared" si="14"/>
        <v>0</v>
      </c>
      <c r="J53" s="115"/>
      <c r="K53" s="112">
        <f t="shared" si="2"/>
        <v>0</v>
      </c>
      <c r="L53" s="115"/>
      <c r="M53" s="112">
        <f t="shared" si="3"/>
        <v>0</v>
      </c>
      <c r="N53" s="115"/>
      <c r="O53" s="112">
        <f t="shared" si="4"/>
        <v>0</v>
      </c>
      <c r="P53" s="115"/>
      <c r="Q53" s="112">
        <f t="shared" si="5"/>
        <v>0</v>
      </c>
      <c r="R53" s="115"/>
      <c r="S53" s="112">
        <f t="shared" si="6"/>
        <v>0</v>
      </c>
      <c r="T53" s="115"/>
      <c r="U53" s="112">
        <f t="shared" si="7"/>
        <v>0</v>
      </c>
      <c r="V53" s="115"/>
      <c r="W53" s="112">
        <f t="shared" si="8"/>
        <v>0</v>
      </c>
      <c r="X53" s="115"/>
      <c r="Y53" s="112">
        <f t="shared" si="9"/>
        <v>0</v>
      </c>
      <c r="Z53" s="115"/>
      <c r="AA53" s="112">
        <f t="shared" si="10"/>
        <v>0</v>
      </c>
      <c r="AB53" s="115"/>
      <c r="AC53" s="112">
        <f t="shared" si="11"/>
        <v>0</v>
      </c>
      <c r="AD53" s="113">
        <f t="shared" si="13"/>
        <v>0</v>
      </c>
      <c r="AE53" s="114">
        <f t="shared" si="12"/>
        <v>0</v>
      </c>
    </row>
    <row r="54" spans="1:31" ht="20.100000000000001" customHeight="1">
      <c r="A54" s="2"/>
      <c r="B54" s="3"/>
      <c r="C54" s="3"/>
      <c r="D54" s="2"/>
      <c r="E54" s="2"/>
      <c r="F54" s="115"/>
      <c r="G54" s="112">
        <f t="shared" si="14"/>
        <v>0</v>
      </c>
      <c r="H54" s="115"/>
      <c r="I54" s="112">
        <f t="shared" si="14"/>
        <v>0</v>
      </c>
      <c r="J54" s="115"/>
      <c r="K54" s="112">
        <f t="shared" si="2"/>
        <v>0</v>
      </c>
      <c r="L54" s="115"/>
      <c r="M54" s="112">
        <f t="shared" si="3"/>
        <v>0</v>
      </c>
      <c r="N54" s="115"/>
      <c r="O54" s="112">
        <f t="shared" si="4"/>
        <v>0</v>
      </c>
      <c r="P54" s="115"/>
      <c r="Q54" s="112">
        <f t="shared" si="5"/>
        <v>0</v>
      </c>
      <c r="R54" s="115"/>
      <c r="S54" s="112">
        <f t="shared" si="6"/>
        <v>0</v>
      </c>
      <c r="T54" s="115"/>
      <c r="U54" s="112">
        <f t="shared" si="7"/>
        <v>0</v>
      </c>
      <c r="V54" s="115"/>
      <c r="W54" s="112">
        <f t="shared" si="8"/>
        <v>0</v>
      </c>
      <c r="X54" s="115"/>
      <c r="Y54" s="112">
        <f t="shared" si="9"/>
        <v>0</v>
      </c>
      <c r="Z54" s="115"/>
      <c r="AA54" s="112">
        <f t="shared" si="10"/>
        <v>0</v>
      </c>
      <c r="AB54" s="115"/>
      <c r="AC54" s="112">
        <f t="shared" si="11"/>
        <v>0</v>
      </c>
      <c r="AD54" s="113">
        <f t="shared" si="13"/>
        <v>0</v>
      </c>
      <c r="AE54" s="114">
        <f t="shared" si="12"/>
        <v>0</v>
      </c>
    </row>
    <row r="55" spans="1:31" ht="20.100000000000001" customHeight="1">
      <c r="A55" s="2">
        <v>45</v>
      </c>
      <c r="B55" s="3" t="s">
        <v>54</v>
      </c>
      <c r="C55" s="3" t="s">
        <v>17</v>
      </c>
      <c r="D55" s="2">
        <v>1</v>
      </c>
      <c r="E55" s="2" t="s">
        <v>15</v>
      </c>
      <c r="F55" s="115"/>
      <c r="G55" s="112">
        <f t="shared" si="14"/>
        <v>0</v>
      </c>
      <c r="H55" s="115"/>
      <c r="I55" s="112">
        <f t="shared" si="14"/>
        <v>0</v>
      </c>
      <c r="J55" s="115"/>
      <c r="K55" s="112">
        <f t="shared" si="2"/>
        <v>0</v>
      </c>
      <c r="L55" s="115"/>
      <c r="M55" s="112">
        <f t="shared" si="3"/>
        <v>0</v>
      </c>
      <c r="N55" s="115"/>
      <c r="O55" s="112">
        <f t="shared" si="4"/>
        <v>0</v>
      </c>
      <c r="P55" s="115"/>
      <c r="Q55" s="112">
        <f t="shared" si="5"/>
        <v>0</v>
      </c>
      <c r="R55" s="115"/>
      <c r="S55" s="112">
        <f t="shared" si="6"/>
        <v>0</v>
      </c>
      <c r="T55" s="115"/>
      <c r="U55" s="112">
        <f t="shared" si="7"/>
        <v>0</v>
      </c>
      <c r="V55" s="115"/>
      <c r="W55" s="112">
        <f t="shared" si="8"/>
        <v>0</v>
      </c>
      <c r="X55" s="115"/>
      <c r="Y55" s="112">
        <f t="shared" si="9"/>
        <v>0</v>
      </c>
      <c r="Z55" s="115"/>
      <c r="AA55" s="112">
        <f t="shared" si="10"/>
        <v>0</v>
      </c>
      <c r="AB55" s="115"/>
      <c r="AC55" s="112">
        <f t="shared" si="11"/>
        <v>0</v>
      </c>
      <c r="AD55" s="113">
        <f t="shared" si="13"/>
        <v>0</v>
      </c>
      <c r="AE55" s="114">
        <f t="shared" si="12"/>
        <v>0</v>
      </c>
    </row>
    <row r="56" spans="1:31" ht="20.100000000000001" customHeight="1">
      <c r="A56" s="2">
        <v>46</v>
      </c>
      <c r="B56" s="3" t="s">
        <v>55</v>
      </c>
      <c r="C56" s="3" t="s">
        <v>17</v>
      </c>
      <c r="D56" s="2">
        <v>0.6</v>
      </c>
      <c r="E56" s="2" t="s">
        <v>15</v>
      </c>
      <c r="F56" s="115"/>
      <c r="G56" s="112">
        <f t="shared" si="14"/>
        <v>0</v>
      </c>
      <c r="H56" s="115"/>
      <c r="I56" s="112">
        <f t="shared" si="14"/>
        <v>0</v>
      </c>
      <c r="J56" s="115"/>
      <c r="K56" s="112">
        <f t="shared" si="2"/>
        <v>0</v>
      </c>
      <c r="L56" s="115"/>
      <c r="M56" s="112">
        <f t="shared" si="3"/>
        <v>0</v>
      </c>
      <c r="N56" s="115"/>
      <c r="O56" s="112">
        <f t="shared" si="4"/>
        <v>0</v>
      </c>
      <c r="P56" s="115"/>
      <c r="Q56" s="112">
        <f t="shared" si="5"/>
        <v>0</v>
      </c>
      <c r="R56" s="115"/>
      <c r="S56" s="112">
        <f t="shared" si="6"/>
        <v>0</v>
      </c>
      <c r="T56" s="115"/>
      <c r="U56" s="112">
        <f t="shared" si="7"/>
        <v>0</v>
      </c>
      <c r="V56" s="115"/>
      <c r="W56" s="112">
        <f t="shared" si="8"/>
        <v>0</v>
      </c>
      <c r="X56" s="115"/>
      <c r="Y56" s="112">
        <f t="shared" si="9"/>
        <v>0</v>
      </c>
      <c r="Z56" s="115"/>
      <c r="AA56" s="112">
        <f t="shared" si="10"/>
        <v>0</v>
      </c>
      <c r="AB56" s="115"/>
      <c r="AC56" s="112">
        <f t="shared" si="11"/>
        <v>0</v>
      </c>
      <c r="AD56" s="113">
        <f t="shared" si="13"/>
        <v>0</v>
      </c>
      <c r="AE56" s="114">
        <f t="shared" si="12"/>
        <v>0</v>
      </c>
    </row>
    <row r="57" spans="1:31" ht="20.100000000000001" customHeight="1">
      <c r="A57" s="2">
        <v>47</v>
      </c>
      <c r="B57" s="3" t="s">
        <v>56</v>
      </c>
      <c r="C57" s="3" t="s">
        <v>14</v>
      </c>
      <c r="D57" s="2">
        <v>0.64</v>
      </c>
      <c r="E57" s="2" t="s">
        <v>25</v>
      </c>
      <c r="F57" s="111">
        <v>74970</v>
      </c>
      <c r="G57" s="112">
        <f t="shared" si="14"/>
        <v>47980.800000000003</v>
      </c>
      <c r="H57" s="111">
        <v>68278</v>
      </c>
      <c r="I57" s="112">
        <f t="shared" si="14"/>
        <v>43697.919999999998</v>
      </c>
      <c r="J57" s="111">
        <v>73962</v>
      </c>
      <c r="K57" s="112">
        <f t="shared" si="2"/>
        <v>47335.68</v>
      </c>
      <c r="L57" s="111">
        <v>48118</v>
      </c>
      <c r="M57" s="112">
        <f t="shared" si="3"/>
        <v>30795.52</v>
      </c>
      <c r="N57" s="111">
        <v>58968</v>
      </c>
      <c r="O57" s="112">
        <f t="shared" si="4"/>
        <v>37739.520000000004</v>
      </c>
      <c r="P57" s="111">
        <v>63574</v>
      </c>
      <c r="Q57" s="112">
        <f t="shared" si="5"/>
        <v>40687.360000000001</v>
      </c>
      <c r="R57" s="111">
        <v>57927</v>
      </c>
      <c r="S57" s="112">
        <f t="shared" si="6"/>
        <v>37073.279999999999</v>
      </c>
      <c r="T57" s="111">
        <v>66318</v>
      </c>
      <c r="U57" s="112">
        <f t="shared" si="7"/>
        <v>42443.520000000004</v>
      </c>
      <c r="V57" s="111">
        <v>60858</v>
      </c>
      <c r="W57" s="112">
        <f t="shared" si="8"/>
        <v>38949.120000000003</v>
      </c>
      <c r="X57" s="111">
        <v>64358</v>
      </c>
      <c r="Y57" s="112">
        <f t="shared" si="9"/>
        <v>41189.120000000003</v>
      </c>
      <c r="Z57" s="111">
        <v>66906</v>
      </c>
      <c r="AA57" s="112">
        <f t="shared" si="10"/>
        <v>42819.840000000004</v>
      </c>
      <c r="AB57" s="111">
        <v>73374</v>
      </c>
      <c r="AC57" s="112">
        <f t="shared" si="11"/>
        <v>46959.360000000001</v>
      </c>
      <c r="AD57" s="113">
        <f t="shared" si="13"/>
        <v>777611</v>
      </c>
      <c r="AE57" s="114">
        <f t="shared" si="12"/>
        <v>497671.04000000004</v>
      </c>
    </row>
    <row r="58" spans="1:31" ht="20.100000000000001" customHeight="1">
      <c r="A58" s="2">
        <v>48</v>
      </c>
      <c r="B58" s="3" t="s">
        <v>56</v>
      </c>
      <c r="C58" s="3" t="s">
        <v>14</v>
      </c>
      <c r="D58" s="2">
        <v>0.64</v>
      </c>
      <c r="E58" s="2" t="s">
        <v>24</v>
      </c>
      <c r="F58" s="115"/>
      <c r="G58" s="112">
        <f t="shared" si="14"/>
        <v>0</v>
      </c>
      <c r="H58" s="115"/>
      <c r="I58" s="112">
        <f t="shared" si="14"/>
        <v>0</v>
      </c>
      <c r="J58" s="115"/>
      <c r="K58" s="112">
        <f t="shared" si="2"/>
        <v>0</v>
      </c>
      <c r="L58" s="115"/>
      <c r="M58" s="112">
        <f t="shared" si="3"/>
        <v>0</v>
      </c>
      <c r="N58" s="115"/>
      <c r="O58" s="112">
        <f t="shared" si="4"/>
        <v>0</v>
      </c>
      <c r="P58" s="115"/>
      <c r="Q58" s="112">
        <f t="shared" si="5"/>
        <v>0</v>
      </c>
      <c r="R58" s="115"/>
      <c r="S58" s="112">
        <f t="shared" si="6"/>
        <v>0</v>
      </c>
      <c r="T58" s="115"/>
      <c r="U58" s="112">
        <f t="shared" si="7"/>
        <v>0</v>
      </c>
      <c r="V58" s="115"/>
      <c r="W58" s="112">
        <f t="shared" si="8"/>
        <v>0</v>
      </c>
      <c r="X58" s="115"/>
      <c r="Y58" s="112">
        <f t="shared" si="9"/>
        <v>0</v>
      </c>
      <c r="Z58" s="115"/>
      <c r="AA58" s="112">
        <f t="shared" si="10"/>
        <v>0</v>
      </c>
      <c r="AB58" s="115"/>
      <c r="AC58" s="112">
        <f t="shared" si="11"/>
        <v>0</v>
      </c>
      <c r="AD58" s="113">
        <f t="shared" si="13"/>
        <v>0</v>
      </c>
      <c r="AE58" s="114">
        <f t="shared" si="12"/>
        <v>0</v>
      </c>
    </row>
    <row r="59" spans="1:31" ht="20.100000000000001" customHeight="1">
      <c r="A59" s="2"/>
      <c r="B59" s="3"/>
      <c r="C59" s="3"/>
      <c r="D59" s="2"/>
      <c r="E59" s="2"/>
      <c r="F59" s="115"/>
      <c r="G59" s="112">
        <f t="shared" si="14"/>
        <v>0</v>
      </c>
      <c r="H59" s="115"/>
      <c r="I59" s="112">
        <f t="shared" si="14"/>
        <v>0</v>
      </c>
      <c r="J59" s="115"/>
      <c r="K59" s="112">
        <f t="shared" si="2"/>
        <v>0</v>
      </c>
      <c r="L59" s="115"/>
      <c r="M59" s="112">
        <f t="shared" si="3"/>
        <v>0</v>
      </c>
      <c r="N59" s="115"/>
      <c r="O59" s="112">
        <f t="shared" si="4"/>
        <v>0</v>
      </c>
      <c r="P59" s="115"/>
      <c r="Q59" s="112">
        <f t="shared" si="5"/>
        <v>0</v>
      </c>
      <c r="R59" s="115"/>
      <c r="S59" s="112">
        <f t="shared" si="6"/>
        <v>0</v>
      </c>
      <c r="T59" s="115"/>
      <c r="U59" s="112">
        <f t="shared" si="7"/>
        <v>0</v>
      </c>
      <c r="V59" s="115"/>
      <c r="W59" s="112">
        <f t="shared" si="8"/>
        <v>0</v>
      </c>
      <c r="X59" s="115"/>
      <c r="Y59" s="112">
        <f t="shared" si="9"/>
        <v>0</v>
      </c>
      <c r="Z59" s="115"/>
      <c r="AA59" s="112">
        <f t="shared" si="10"/>
        <v>0</v>
      </c>
      <c r="AB59" s="115"/>
      <c r="AC59" s="112">
        <f t="shared" si="11"/>
        <v>0</v>
      </c>
      <c r="AD59" s="113">
        <f t="shared" si="13"/>
        <v>0</v>
      </c>
      <c r="AE59" s="114">
        <f t="shared" si="12"/>
        <v>0</v>
      </c>
    </row>
    <row r="60" spans="1:31" ht="20.100000000000001" customHeight="1">
      <c r="A60" s="2">
        <v>49</v>
      </c>
      <c r="B60" s="3" t="s">
        <v>57</v>
      </c>
      <c r="C60" s="3" t="s">
        <v>17</v>
      </c>
      <c r="D60" s="2">
        <v>1</v>
      </c>
      <c r="E60" s="2" t="s">
        <v>15</v>
      </c>
      <c r="F60" s="115"/>
      <c r="G60" s="112">
        <f t="shared" si="14"/>
        <v>0</v>
      </c>
      <c r="H60" s="115"/>
      <c r="I60" s="112">
        <f t="shared" si="14"/>
        <v>0</v>
      </c>
      <c r="J60" s="115"/>
      <c r="K60" s="112">
        <f t="shared" si="2"/>
        <v>0</v>
      </c>
      <c r="L60" s="115"/>
      <c r="M60" s="112">
        <f t="shared" si="3"/>
        <v>0</v>
      </c>
      <c r="N60" s="115"/>
      <c r="O60" s="112">
        <f t="shared" si="4"/>
        <v>0</v>
      </c>
      <c r="P60" s="115"/>
      <c r="Q60" s="112">
        <f t="shared" si="5"/>
        <v>0</v>
      </c>
      <c r="R60" s="115"/>
      <c r="S60" s="112">
        <f t="shared" si="6"/>
        <v>0</v>
      </c>
      <c r="T60" s="115"/>
      <c r="U60" s="112">
        <f t="shared" si="7"/>
        <v>0</v>
      </c>
      <c r="V60" s="115"/>
      <c r="W60" s="112">
        <f t="shared" si="8"/>
        <v>0</v>
      </c>
      <c r="X60" s="115"/>
      <c r="Y60" s="112">
        <f t="shared" si="9"/>
        <v>0</v>
      </c>
      <c r="Z60" s="115"/>
      <c r="AA60" s="112">
        <f t="shared" si="10"/>
        <v>0</v>
      </c>
      <c r="AB60" s="115"/>
      <c r="AC60" s="112">
        <f t="shared" si="11"/>
        <v>0</v>
      </c>
      <c r="AD60" s="113">
        <f t="shared" si="13"/>
        <v>0</v>
      </c>
      <c r="AE60" s="114">
        <f t="shared" si="12"/>
        <v>0</v>
      </c>
    </row>
    <row r="61" spans="1:31" ht="20.100000000000001" customHeight="1">
      <c r="A61" s="2">
        <v>50</v>
      </c>
      <c r="B61" s="4" t="s">
        <v>58</v>
      </c>
      <c r="C61" s="2"/>
      <c r="D61" s="2">
        <v>0.6</v>
      </c>
      <c r="E61" s="2"/>
      <c r="F61" s="115"/>
      <c r="G61" s="112">
        <f>F61*$D61</f>
        <v>0</v>
      </c>
      <c r="H61" s="115"/>
      <c r="I61" s="112">
        <f>H61*$D61</f>
        <v>0</v>
      </c>
      <c r="J61" s="115"/>
      <c r="K61" s="112">
        <f>J61*$D61</f>
        <v>0</v>
      </c>
      <c r="L61" s="115"/>
      <c r="M61" s="112">
        <f>L61*$D61</f>
        <v>0</v>
      </c>
      <c r="N61" s="115"/>
      <c r="O61" s="112">
        <f>N61*$D61</f>
        <v>0</v>
      </c>
      <c r="P61" s="115"/>
      <c r="Q61" s="112">
        <f>P61*$D61</f>
        <v>0</v>
      </c>
      <c r="R61" s="115"/>
      <c r="S61" s="112">
        <f>R61*$D61</f>
        <v>0</v>
      </c>
      <c r="T61" s="115"/>
      <c r="U61" s="112">
        <f>T61*$D61</f>
        <v>0</v>
      </c>
      <c r="V61" s="115"/>
      <c r="W61" s="112">
        <f>V61*$D61</f>
        <v>0</v>
      </c>
      <c r="X61" s="115"/>
      <c r="Y61" s="112">
        <f>X61*$D61</f>
        <v>0</v>
      </c>
      <c r="Z61" s="115"/>
      <c r="AA61" s="112">
        <f>Z61*$D61</f>
        <v>0</v>
      </c>
      <c r="AB61" s="115"/>
      <c r="AC61" s="112">
        <f>AB61*$D61</f>
        <v>0</v>
      </c>
      <c r="AD61" s="113">
        <f t="shared" si="13"/>
        <v>0</v>
      </c>
      <c r="AE61" s="114">
        <f>AD61*$D61</f>
        <v>0</v>
      </c>
    </row>
    <row r="62" spans="1:31" ht="20.100000000000001" customHeight="1">
      <c r="A62" s="2">
        <v>51</v>
      </c>
      <c r="B62" s="3" t="s">
        <v>59</v>
      </c>
      <c r="C62" s="3" t="s">
        <v>17</v>
      </c>
      <c r="D62" s="2">
        <v>0.35</v>
      </c>
      <c r="E62" s="2" t="s">
        <v>21</v>
      </c>
      <c r="F62" s="115"/>
      <c r="G62" s="112">
        <f t="shared" si="14"/>
        <v>0</v>
      </c>
      <c r="H62" s="115"/>
      <c r="I62" s="112">
        <f t="shared" si="14"/>
        <v>0</v>
      </c>
      <c r="J62" s="115"/>
      <c r="K62" s="112">
        <f t="shared" ref="K62:K64" si="15">J62*$D62</f>
        <v>0</v>
      </c>
      <c r="L62" s="115"/>
      <c r="M62" s="112">
        <f t="shared" ref="M62:M64" si="16">L62*$D62</f>
        <v>0</v>
      </c>
      <c r="N62" s="115"/>
      <c r="O62" s="112">
        <f t="shared" ref="O62:O64" si="17">N62*$D62</f>
        <v>0</v>
      </c>
      <c r="P62" s="115"/>
      <c r="Q62" s="112">
        <f t="shared" ref="Q62:Q64" si="18">P62*$D62</f>
        <v>0</v>
      </c>
      <c r="R62" s="115"/>
      <c r="S62" s="112">
        <f t="shared" ref="S62:S64" si="19">R62*$D62</f>
        <v>0</v>
      </c>
      <c r="T62" s="115"/>
      <c r="U62" s="112">
        <f t="shared" ref="U62:U64" si="20">T62*$D62</f>
        <v>0</v>
      </c>
      <c r="V62" s="115"/>
      <c r="W62" s="112">
        <f t="shared" ref="W62:W64" si="21">V62*$D62</f>
        <v>0</v>
      </c>
      <c r="X62" s="115"/>
      <c r="Y62" s="112">
        <f t="shared" ref="Y62:Y64" si="22">X62*$D62</f>
        <v>0</v>
      </c>
      <c r="Z62" s="115"/>
      <c r="AA62" s="112">
        <f t="shared" ref="AA62:AA64" si="23">Z62*$D62</f>
        <v>0</v>
      </c>
      <c r="AB62" s="115"/>
      <c r="AC62" s="112">
        <f t="shared" ref="AC62:AC64" si="24">AB62*$D62</f>
        <v>0</v>
      </c>
      <c r="AD62" s="113">
        <f t="shared" si="13"/>
        <v>0</v>
      </c>
      <c r="AE62" s="114">
        <f t="shared" si="12"/>
        <v>0</v>
      </c>
    </row>
    <row r="63" spans="1:31" ht="20.100000000000001" customHeight="1">
      <c r="A63" s="2">
        <v>52</v>
      </c>
      <c r="B63" s="3" t="s">
        <v>60</v>
      </c>
      <c r="C63" s="3" t="s">
        <v>14</v>
      </c>
      <c r="D63" s="2">
        <v>0.64</v>
      </c>
      <c r="E63" s="2" t="s">
        <v>25</v>
      </c>
      <c r="F63" s="115">
        <v>9128</v>
      </c>
      <c r="G63" s="112">
        <f t="shared" si="14"/>
        <v>5841.92</v>
      </c>
      <c r="H63" s="115">
        <v>6594</v>
      </c>
      <c r="I63" s="112">
        <f t="shared" si="14"/>
        <v>4220.16</v>
      </c>
      <c r="J63" s="115">
        <v>10458</v>
      </c>
      <c r="K63" s="112">
        <f t="shared" si="15"/>
        <v>6693.12</v>
      </c>
      <c r="L63" s="115">
        <v>7602</v>
      </c>
      <c r="M63" s="112">
        <f t="shared" si="16"/>
        <v>4865.28</v>
      </c>
      <c r="N63" s="115">
        <v>7350</v>
      </c>
      <c r="O63" s="112">
        <f t="shared" si="17"/>
        <v>4704</v>
      </c>
      <c r="P63" s="115">
        <v>9688</v>
      </c>
      <c r="Q63" s="112">
        <f t="shared" si="18"/>
        <v>6200.32</v>
      </c>
      <c r="R63" s="115">
        <v>7000</v>
      </c>
      <c r="S63" s="112">
        <f t="shared" si="19"/>
        <v>4480</v>
      </c>
      <c r="T63" s="115">
        <v>8358</v>
      </c>
      <c r="U63" s="112">
        <f t="shared" si="20"/>
        <v>5349.12</v>
      </c>
      <c r="V63" s="115">
        <v>6860</v>
      </c>
      <c r="W63" s="112">
        <f t="shared" si="21"/>
        <v>4390.4000000000005</v>
      </c>
      <c r="X63" s="115">
        <v>7700</v>
      </c>
      <c r="Y63" s="112">
        <f t="shared" si="22"/>
        <v>4928</v>
      </c>
      <c r="Z63" s="115">
        <v>8568</v>
      </c>
      <c r="AA63" s="112">
        <f t="shared" si="23"/>
        <v>5483.52</v>
      </c>
      <c r="AB63" s="115">
        <v>10920</v>
      </c>
      <c r="AC63" s="112">
        <f t="shared" si="24"/>
        <v>6988.8</v>
      </c>
      <c r="AD63" s="113">
        <f t="shared" si="13"/>
        <v>100226</v>
      </c>
      <c r="AE63" s="114">
        <f t="shared" si="12"/>
        <v>64144.639999999999</v>
      </c>
    </row>
    <row r="64" spans="1:31" ht="20.100000000000001" customHeight="1">
      <c r="A64" s="2">
        <v>53</v>
      </c>
      <c r="B64" s="3" t="s">
        <v>61</v>
      </c>
      <c r="C64" s="3" t="s">
        <v>14</v>
      </c>
      <c r="D64" s="2">
        <v>0.64</v>
      </c>
      <c r="E64" s="2" t="s">
        <v>25</v>
      </c>
      <c r="F64" s="115"/>
      <c r="G64" s="112">
        <f t="shared" si="14"/>
        <v>0</v>
      </c>
      <c r="H64" s="115"/>
      <c r="I64" s="112">
        <f t="shared" si="14"/>
        <v>0</v>
      </c>
      <c r="J64" s="115"/>
      <c r="K64" s="112">
        <f t="shared" si="15"/>
        <v>0</v>
      </c>
      <c r="L64" s="115"/>
      <c r="M64" s="112">
        <f t="shared" si="16"/>
        <v>0</v>
      </c>
      <c r="N64" s="115"/>
      <c r="O64" s="112">
        <f t="shared" si="17"/>
        <v>0</v>
      </c>
      <c r="P64" s="115"/>
      <c r="Q64" s="112">
        <f t="shared" si="18"/>
        <v>0</v>
      </c>
      <c r="R64" s="115"/>
      <c r="S64" s="112">
        <f t="shared" si="19"/>
        <v>0</v>
      </c>
      <c r="T64" s="115"/>
      <c r="U64" s="112">
        <f t="shared" si="20"/>
        <v>0</v>
      </c>
      <c r="V64" s="115"/>
      <c r="W64" s="112">
        <f t="shared" si="21"/>
        <v>0</v>
      </c>
      <c r="X64" s="115"/>
      <c r="Y64" s="112">
        <f t="shared" si="22"/>
        <v>0</v>
      </c>
      <c r="Z64" s="115"/>
      <c r="AA64" s="112">
        <f t="shared" si="23"/>
        <v>0</v>
      </c>
      <c r="AB64" s="115"/>
      <c r="AC64" s="112">
        <f t="shared" si="24"/>
        <v>0</v>
      </c>
      <c r="AD64" s="113">
        <f t="shared" si="13"/>
        <v>0</v>
      </c>
      <c r="AE64" s="114">
        <f t="shared" si="12"/>
        <v>0</v>
      </c>
    </row>
    <row r="65" spans="1:31" ht="20.100000000000001" customHeight="1">
      <c r="A65" s="2"/>
      <c r="B65" s="3"/>
      <c r="C65" s="3"/>
      <c r="D65" s="2"/>
      <c r="E65" s="2"/>
      <c r="F65" s="115"/>
      <c r="G65" s="112"/>
      <c r="H65" s="115"/>
      <c r="I65" s="112"/>
      <c r="J65" s="115"/>
      <c r="K65" s="112"/>
      <c r="L65" s="115"/>
      <c r="M65" s="112"/>
      <c r="N65" s="115"/>
      <c r="O65" s="112"/>
      <c r="P65" s="115"/>
      <c r="Q65" s="112"/>
      <c r="R65" s="115"/>
      <c r="S65" s="112"/>
      <c r="T65" s="115"/>
      <c r="U65" s="112"/>
      <c r="V65" s="115"/>
      <c r="W65" s="112"/>
      <c r="X65" s="115"/>
      <c r="Y65" s="112"/>
      <c r="Z65" s="115"/>
      <c r="AA65" s="112"/>
      <c r="AB65" s="115"/>
      <c r="AC65" s="112"/>
      <c r="AD65" s="113"/>
      <c r="AE65" s="114"/>
    </row>
    <row r="66" spans="1:31" ht="20.100000000000001" customHeight="1">
      <c r="A66" s="2">
        <v>54</v>
      </c>
      <c r="B66" s="3" t="s">
        <v>62</v>
      </c>
      <c r="C66" s="3" t="s">
        <v>17</v>
      </c>
      <c r="D66" s="2">
        <v>1</v>
      </c>
      <c r="E66" s="2" t="s">
        <v>15</v>
      </c>
      <c r="F66" s="115"/>
      <c r="G66" s="112">
        <f t="shared" si="14"/>
        <v>0</v>
      </c>
      <c r="H66" s="115"/>
      <c r="I66" s="112">
        <f t="shared" si="14"/>
        <v>0</v>
      </c>
      <c r="J66" s="115"/>
      <c r="K66" s="112">
        <f t="shared" ref="K66:K92" si="25">J66*$D66</f>
        <v>0</v>
      </c>
      <c r="L66" s="115"/>
      <c r="M66" s="112">
        <f t="shared" ref="M66:M92" si="26">L66*$D66</f>
        <v>0</v>
      </c>
      <c r="N66" s="115"/>
      <c r="O66" s="112">
        <f t="shared" ref="O66:O92" si="27">N66*$D66</f>
        <v>0</v>
      </c>
      <c r="P66" s="115"/>
      <c r="Q66" s="112">
        <f t="shared" ref="Q66:Q92" si="28">P66*$D66</f>
        <v>0</v>
      </c>
      <c r="R66" s="115"/>
      <c r="S66" s="112">
        <f t="shared" ref="S66:S92" si="29">R66*$D66</f>
        <v>0</v>
      </c>
      <c r="T66" s="115"/>
      <c r="U66" s="112">
        <f t="shared" ref="U66:U92" si="30">T66*$D66</f>
        <v>0</v>
      </c>
      <c r="V66" s="115"/>
      <c r="W66" s="112">
        <f t="shared" ref="W66:W92" si="31">V66*$D66</f>
        <v>0</v>
      </c>
      <c r="X66" s="115"/>
      <c r="Y66" s="112">
        <f t="shared" ref="Y66:Y92" si="32">X66*$D66</f>
        <v>0</v>
      </c>
      <c r="Z66" s="115"/>
      <c r="AA66" s="112">
        <f t="shared" ref="AA66:AA92" si="33">Z66*$D66</f>
        <v>0</v>
      </c>
      <c r="AB66" s="115"/>
      <c r="AC66" s="112">
        <f t="shared" ref="AC66:AC92" si="34">AB66*$D66</f>
        <v>0</v>
      </c>
      <c r="AD66" s="113">
        <f>(AB66+Z66+X66+V66+T66+R66+P66+N66+L66+J66+H66+F66)</f>
        <v>0</v>
      </c>
      <c r="AE66" s="114">
        <f t="shared" si="12"/>
        <v>0</v>
      </c>
    </row>
    <row r="67" spans="1:31" ht="20.100000000000001" customHeight="1">
      <c r="A67" s="2">
        <v>55</v>
      </c>
      <c r="B67" s="3" t="s">
        <v>63</v>
      </c>
      <c r="C67" s="3" t="s">
        <v>17</v>
      </c>
      <c r="D67" s="2">
        <v>0.6</v>
      </c>
      <c r="E67" s="2" t="s">
        <v>15</v>
      </c>
      <c r="F67" s="115"/>
      <c r="G67" s="112">
        <f t="shared" si="14"/>
        <v>0</v>
      </c>
      <c r="H67" s="115"/>
      <c r="I67" s="112">
        <f t="shared" si="14"/>
        <v>0</v>
      </c>
      <c r="J67" s="115"/>
      <c r="K67" s="112">
        <f t="shared" si="25"/>
        <v>0</v>
      </c>
      <c r="L67" s="115"/>
      <c r="M67" s="112">
        <f t="shared" si="26"/>
        <v>0</v>
      </c>
      <c r="N67" s="115"/>
      <c r="O67" s="112">
        <f t="shared" si="27"/>
        <v>0</v>
      </c>
      <c r="P67" s="115"/>
      <c r="Q67" s="112">
        <f t="shared" si="28"/>
        <v>0</v>
      </c>
      <c r="R67" s="115"/>
      <c r="S67" s="112">
        <f t="shared" si="29"/>
        <v>0</v>
      </c>
      <c r="T67" s="115"/>
      <c r="U67" s="112">
        <f t="shared" si="30"/>
        <v>0</v>
      </c>
      <c r="V67" s="115"/>
      <c r="W67" s="112">
        <f t="shared" si="31"/>
        <v>0</v>
      </c>
      <c r="X67" s="115"/>
      <c r="Y67" s="112">
        <f t="shared" si="32"/>
        <v>0</v>
      </c>
      <c r="Z67" s="115"/>
      <c r="AA67" s="112">
        <f t="shared" si="33"/>
        <v>0</v>
      </c>
      <c r="AB67" s="115"/>
      <c r="AC67" s="112">
        <f t="shared" si="34"/>
        <v>0</v>
      </c>
      <c r="AD67" s="113">
        <f t="shared" ref="AD67:AD92" si="35">(AB67+Z67+X67+V67+T67+R67+P67+N67+L67+J67+H67+F67)</f>
        <v>0</v>
      </c>
      <c r="AE67" s="114">
        <f t="shared" si="12"/>
        <v>0</v>
      </c>
    </row>
    <row r="68" spans="1:31" ht="20.100000000000001" customHeight="1">
      <c r="A68" s="2">
        <v>56</v>
      </c>
      <c r="B68" s="3" t="s">
        <v>64</v>
      </c>
      <c r="C68" s="3" t="s">
        <v>14</v>
      </c>
      <c r="D68" s="2">
        <v>0.64</v>
      </c>
      <c r="E68" s="2" t="s">
        <v>25</v>
      </c>
      <c r="F68" s="115"/>
      <c r="G68" s="112">
        <f t="shared" si="14"/>
        <v>0</v>
      </c>
      <c r="H68" s="115"/>
      <c r="I68" s="112">
        <f t="shared" si="14"/>
        <v>0</v>
      </c>
      <c r="J68" s="115"/>
      <c r="K68" s="112">
        <f t="shared" si="25"/>
        <v>0</v>
      </c>
      <c r="L68" s="115"/>
      <c r="M68" s="112">
        <f t="shared" si="26"/>
        <v>0</v>
      </c>
      <c r="N68" s="115"/>
      <c r="O68" s="112">
        <f t="shared" si="27"/>
        <v>0</v>
      </c>
      <c r="P68" s="115"/>
      <c r="Q68" s="112">
        <f t="shared" si="28"/>
        <v>0</v>
      </c>
      <c r="R68" s="115"/>
      <c r="S68" s="112">
        <f t="shared" si="29"/>
        <v>0</v>
      </c>
      <c r="T68" s="115"/>
      <c r="U68" s="112">
        <f t="shared" si="30"/>
        <v>0</v>
      </c>
      <c r="V68" s="115"/>
      <c r="W68" s="112">
        <f t="shared" si="31"/>
        <v>0</v>
      </c>
      <c r="X68" s="115"/>
      <c r="Y68" s="112">
        <f t="shared" si="32"/>
        <v>0</v>
      </c>
      <c r="Z68" s="115"/>
      <c r="AA68" s="112">
        <f t="shared" si="33"/>
        <v>0</v>
      </c>
      <c r="AB68" s="115"/>
      <c r="AC68" s="112">
        <f t="shared" si="34"/>
        <v>0</v>
      </c>
      <c r="AD68" s="113">
        <f t="shared" si="35"/>
        <v>0</v>
      </c>
      <c r="AE68" s="114">
        <f t="shared" ref="AE68:AE92" si="36">AD68*$D68</f>
        <v>0</v>
      </c>
    </row>
    <row r="69" spans="1:31" ht="20.100000000000001" customHeight="1">
      <c r="A69" s="2"/>
      <c r="B69" s="3"/>
      <c r="C69" s="3"/>
      <c r="D69" s="2"/>
      <c r="E69" s="2"/>
      <c r="F69" s="115"/>
      <c r="G69" s="112">
        <f t="shared" si="14"/>
        <v>0</v>
      </c>
      <c r="H69" s="115"/>
      <c r="I69" s="112">
        <f t="shared" si="14"/>
        <v>0</v>
      </c>
      <c r="J69" s="115"/>
      <c r="K69" s="112">
        <f t="shared" si="25"/>
        <v>0</v>
      </c>
      <c r="L69" s="115"/>
      <c r="M69" s="112">
        <f t="shared" si="26"/>
        <v>0</v>
      </c>
      <c r="N69" s="115"/>
      <c r="O69" s="112">
        <f t="shared" si="27"/>
        <v>0</v>
      </c>
      <c r="P69" s="115"/>
      <c r="Q69" s="112">
        <f t="shared" si="28"/>
        <v>0</v>
      </c>
      <c r="R69" s="115"/>
      <c r="S69" s="112">
        <f t="shared" si="29"/>
        <v>0</v>
      </c>
      <c r="T69" s="115"/>
      <c r="U69" s="112">
        <f t="shared" si="30"/>
        <v>0</v>
      </c>
      <c r="V69" s="115"/>
      <c r="W69" s="112">
        <f t="shared" si="31"/>
        <v>0</v>
      </c>
      <c r="X69" s="115"/>
      <c r="Y69" s="112">
        <f t="shared" si="32"/>
        <v>0</v>
      </c>
      <c r="Z69" s="115"/>
      <c r="AA69" s="112">
        <f t="shared" si="33"/>
        <v>0</v>
      </c>
      <c r="AB69" s="115"/>
      <c r="AC69" s="112">
        <f t="shared" si="34"/>
        <v>0</v>
      </c>
      <c r="AD69" s="113">
        <f t="shared" si="35"/>
        <v>0</v>
      </c>
      <c r="AE69" s="114">
        <f t="shared" si="36"/>
        <v>0</v>
      </c>
    </row>
    <row r="70" spans="1:31" ht="20.100000000000001" customHeight="1">
      <c r="A70" s="2">
        <v>57</v>
      </c>
      <c r="B70" s="3" t="s">
        <v>65</v>
      </c>
      <c r="C70" s="3" t="s">
        <v>17</v>
      </c>
      <c r="D70" s="2">
        <v>1</v>
      </c>
      <c r="E70" s="2" t="s">
        <v>15</v>
      </c>
      <c r="F70" s="115"/>
      <c r="G70" s="112">
        <f t="shared" si="14"/>
        <v>0</v>
      </c>
      <c r="H70" s="115"/>
      <c r="I70" s="112">
        <f t="shared" si="14"/>
        <v>0</v>
      </c>
      <c r="J70" s="115"/>
      <c r="K70" s="112">
        <f t="shared" si="25"/>
        <v>0</v>
      </c>
      <c r="L70" s="115"/>
      <c r="M70" s="112">
        <f t="shared" si="26"/>
        <v>0</v>
      </c>
      <c r="N70" s="115"/>
      <c r="O70" s="112">
        <f t="shared" si="27"/>
        <v>0</v>
      </c>
      <c r="P70" s="115"/>
      <c r="Q70" s="112">
        <f t="shared" si="28"/>
        <v>0</v>
      </c>
      <c r="R70" s="115"/>
      <c r="S70" s="112">
        <f t="shared" si="29"/>
        <v>0</v>
      </c>
      <c r="T70" s="115"/>
      <c r="U70" s="112">
        <f t="shared" si="30"/>
        <v>0</v>
      </c>
      <c r="V70" s="115"/>
      <c r="W70" s="112">
        <f t="shared" si="31"/>
        <v>0</v>
      </c>
      <c r="X70" s="115"/>
      <c r="Y70" s="112">
        <f t="shared" si="32"/>
        <v>0</v>
      </c>
      <c r="Z70" s="115"/>
      <c r="AA70" s="112">
        <f t="shared" si="33"/>
        <v>0</v>
      </c>
      <c r="AB70" s="115"/>
      <c r="AC70" s="112">
        <f t="shared" si="34"/>
        <v>0</v>
      </c>
      <c r="AD70" s="113">
        <f t="shared" si="35"/>
        <v>0</v>
      </c>
      <c r="AE70" s="114">
        <f t="shared" si="36"/>
        <v>0</v>
      </c>
    </row>
    <row r="71" spans="1:31" ht="20.100000000000001" customHeight="1">
      <c r="A71" s="2">
        <v>58</v>
      </c>
      <c r="B71" s="3" t="s">
        <v>66</v>
      </c>
      <c r="C71" s="3" t="s">
        <v>17</v>
      </c>
      <c r="D71" s="2">
        <v>0.6</v>
      </c>
      <c r="E71" s="2" t="s">
        <v>15</v>
      </c>
      <c r="F71" s="115"/>
      <c r="G71" s="112">
        <f t="shared" si="14"/>
        <v>0</v>
      </c>
      <c r="H71" s="115"/>
      <c r="I71" s="112">
        <f t="shared" si="14"/>
        <v>0</v>
      </c>
      <c r="J71" s="115"/>
      <c r="K71" s="112">
        <f t="shared" si="25"/>
        <v>0</v>
      </c>
      <c r="L71" s="115"/>
      <c r="M71" s="112">
        <f t="shared" si="26"/>
        <v>0</v>
      </c>
      <c r="N71" s="115"/>
      <c r="O71" s="112">
        <f t="shared" si="27"/>
        <v>0</v>
      </c>
      <c r="P71" s="115"/>
      <c r="Q71" s="112">
        <f t="shared" si="28"/>
        <v>0</v>
      </c>
      <c r="R71" s="115"/>
      <c r="S71" s="112">
        <f t="shared" si="29"/>
        <v>0</v>
      </c>
      <c r="T71" s="115"/>
      <c r="U71" s="112">
        <f t="shared" si="30"/>
        <v>0</v>
      </c>
      <c r="V71" s="115"/>
      <c r="W71" s="112">
        <f t="shared" si="31"/>
        <v>0</v>
      </c>
      <c r="X71" s="115"/>
      <c r="Y71" s="112">
        <f t="shared" si="32"/>
        <v>0</v>
      </c>
      <c r="Z71" s="115"/>
      <c r="AA71" s="112">
        <f t="shared" si="33"/>
        <v>0</v>
      </c>
      <c r="AB71" s="115"/>
      <c r="AC71" s="112">
        <f t="shared" si="34"/>
        <v>0</v>
      </c>
      <c r="AD71" s="113">
        <f t="shared" si="35"/>
        <v>0</v>
      </c>
      <c r="AE71" s="114">
        <f t="shared" si="36"/>
        <v>0</v>
      </c>
    </row>
    <row r="72" spans="1:31" ht="20.100000000000001" customHeight="1">
      <c r="A72" s="2">
        <v>59</v>
      </c>
      <c r="B72" s="3" t="s">
        <v>67</v>
      </c>
      <c r="C72" s="3" t="s">
        <v>14</v>
      </c>
      <c r="D72" s="2">
        <v>0.64</v>
      </c>
      <c r="E72" s="2" t="s">
        <v>25</v>
      </c>
      <c r="F72" s="115"/>
      <c r="G72" s="112">
        <f t="shared" si="14"/>
        <v>0</v>
      </c>
      <c r="H72" s="115"/>
      <c r="I72" s="112">
        <f t="shared" si="14"/>
        <v>0</v>
      </c>
      <c r="J72" s="115"/>
      <c r="K72" s="112">
        <f t="shared" si="25"/>
        <v>0</v>
      </c>
      <c r="L72" s="115"/>
      <c r="M72" s="112">
        <f t="shared" si="26"/>
        <v>0</v>
      </c>
      <c r="N72" s="115"/>
      <c r="O72" s="112">
        <f t="shared" si="27"/>
        <v>0</v>
      </c>
      <c r="P72" s="115"/>
      <c r="Q72" s="112">
        <f t="shared" si="28"/>
        <v>0</v>
      </c>
      <c r="R72" s="115"/>
      <c r="S72" s="112">
        <f t="shared" si="29"/>
        <v>0</v>
      </c>
      <c r="T72" s="115"/>
      <c r="U72" s="112">
        <f t="shared" si="30"/>
        <v>0</v>
      </c>
      <c r="V72" s="115"/>
      <c r="W72" s="112">
        <f t="shared" si="31"/>
        <v>0</v>
      </c>
      <c r="X72" s="115"/>
      <c r="Y72" s="112">
        <f t="shared" si="32"/>
        <v>0</v>
      </c>
      <c r="Z72" s="115"/>
      <c r="AA72" s="112">
        <f t="shared" si="33"/>
        <v>0</v>
      </c>
      <c r="AB72" s="115"/>
      <c r="AC72" s="112">
        <f t="shared" si="34"/>
        <v>0</v>
      </c>
      <c r="AD72" s="113">
        <f t="shared" si="35"/>
        <v>0</v>
      </c>
      <c r="AE72" s="114">
        <f t="shared" si="36"/>
        <v>0</v>
      </c>
    </row>
    <row r="73" spans="1:31" ht="20.100000000000001" customHeight="1">
      <c r="A73" s="2"/>
      <c r="B73" s="3"/>
      <c r="C73" s="3"/>
      <c r="D73" s="2"/>
      <c r="E73" s="2"/>
      <c r="F73" s="115"/>
      <c r="G73" s="112">
        <f t="shared" si="14"/>
        <v>0</v>
      </c>
      <c r="H73" s="115"/>
      <c r="I73" s="112">
        <f t="shared" si="14"/>
        <v>0</v>
      </c>
      <c r="J73" s="115"/>
      <c r="K73" s="112">
        <f t="shared" si="25"/>
        <v>0</v>
      </c>
      <c r="L73" s="115"/>
      <c r="M73" s="112">
        <f t="shared" si="26"/>
        <v>0</v>
      </c>
      <c r="N73" s="115"/>
      <c r="O73" s="112">
        <f t="shared" si="27"/>
        <v>0</v>
      </c>
      <c r="P73" s="115"/>
      <c r="Q73" s="112">
        <f t="shared" si="28"/>
        <v>0</v>
      </c>
      <c r="R73" s="115"/>
      <c r="S73" s="112">
        <f t="shared" si="29"/>
        <v>0</v>
      </c>
      <c r="T73" s="115"/>
      <c r="U73" s="112">
        <f t="shared" si="30"/>
        <v>0</v>
      </c>
      <c r="V73" s="115"/>
      <c r="W73" s="112">
        <f t="shared" si="31"/>
        <v>0</v>
      </c>
      <c r="X73" s="115"/>
      <c r="Y73" s="112">
        <f t="shared" si="32"/>
        <v>0</v>
      </c>
      <c r="Z73" s="115"/>
      <c r="AA73" s="112">
        <f t="shared" si="33"/>
        <v>0</v>
      </c>
      <c r="AB73" s="115"/>
      <c r="AC73" s="112">
        <f t="shared" si="34"/>
        <v>0</v>
      </c>
      <c r="AD73" s="113">
        <f t="shared" si="35"/>
        <v>0</v>
      </c>
      <c r="AE73" s="114">
        <f t="shared" si="36"/>
        <v>0</v>
      </c>
    </row>
    <row r="74" spans="1:31" ht="20.100000000000001" customHeight="1">
      <c r="A74" s="2">
        <v>60</v>
      </c>
      <c r="B74" s="3" t="s">
        <v>68</v>
      </c>
      <c r="C74" s="3" t="s">
        <v>14</v>
      </c>
      <c r="D74" s="2">
        <v>0.64</v>
      </c>
      <c r="E74" s="2" t="s">
        <v>25</v>
      </c>
      <c r="F74" s="115"/>
      <c r="G74" s="112">
        <f t="shared" si="14"/>
        <v>0</v>
      </c>
      <c r="H74" s="115"/>
      <c r="I74" s="112">
        <f t="shared" si="14"/>
        <v>0</v>
      </c>
      <c r="J74" s="115"/>
      <c r="K74" s="112">
        <f t="shared" si="25"/>
        <v>0</v>
      </c>
      <c r="L74" s="115"/>
      <c r="M74" s="112">
        <f t="shared" si="26"/>
        <v>0</v>
      </c>
      <c r="N74" s="115"/>
      <c r="O74" s="112">
        <f t="shared" si="27"/>
        <v>0</v>
      </c>
      <c r="P74" s="115"/>
      <c r="Q74" s="112">
        <f t="shared" si="28"/>
        <v>0</v>
      </c>
      <c r="R74" s="115"/>
      <c r="S74" s="112">
        <f t="shared" si="29"/>
        <v>0</v>
      </c>
      <c r="T74" s="115"/>
      <c r="U74" s="112">
        <f t="shared" si="30"/>
        <v>0</v>
      </c>
      <c r="V74" s="115"/>
      <c r="W74" s="112">
        <f t="shared" si="31"/>
        <v>0</v>
      </c>
      <c r="X74" s="115"/>
      <c r="Y74" s="112">
        <f t="shared" si="32"/>
        <v>0</v>
      </c>
      <c r="Z74" s="115"/>
      <c r="AA74" s="112">
        <f t="shared" si="33"/>
        <v>0</v>
      </c>
      <c r="AB74" s="115"/>
      <c r="AC74" s="112">
        <f t="shared" si="34"/>
        <v>0</v>
      </c>
      <c r="AD74" s="113">
        <f t="shared" si="35"/>
        <v>0</v>
      </c>
      <c r="AE74" s="114">
        <f t="shared" si="36"/>
        <v>0</v>
      </c>
    </row>
    <row r="75" spans="1:31" ht="20.100000000000001" customHeight="1">
      <c r="A75" s="2">
        <v>61</v>
      </c>
      <c r="B75" s="3" t="s">
        <v>68</v>
      </c>
      <c r="C75" s="3" t="s">
        <v>14</v>
      </c>
      <c r="D75" s="2">
        <v>0.64</v>
      </c>
      <c r="E75" s="2" t="s">
        <v>24</v>
      </c>
      <c r="F75" s="111">
        <v>12312</v>
      </c>
      <c r="G75" s="112">
        <f t="shared" si="14"/>
        <v>7879.68</v>
      </c>
      <c r="H75" s="111">
        <v>9552</v>
      </c>
      <c r="I75" s="112">
        <f t="shared" si="14"/>
        <v>6113.28</v>
      </c>
      <c r="J75" s="111">
        <v>17280</v>
      </c>
      <c r="K75" s="112">
        <f t="shared" si="25"/>
        <v>11059.2</v>
      </c>
      <c r="L75" s="111">
        <v>8328</v>
      </c>
      <c r="M75" s="112">
        <f t="shared" si="26"/>
        <v>5329.92</v>
      </c>
      <c r="N75" s="111">
        <v>8640</v>
      </c>
      <c r="O75" s="112">
        <f t="shared" si="27"/>
        <v>5529.6</v>
      </c>
      <c r="P75" s="111">
        <v>15312</v>
      </c>
      <c r="Q75" s="112">
        <f t="shared" si="28"/>
        <v>9799.68</v>
      </c>
      <c r="R75" s="111">
        <v>10944</v>
      </c>
      <c r="S75" s="112">
        <f t="shared" si="29"/>
        <v>7004.16</v>
      </c>
      <c r="T75" s="111">
        <v>12888</v>
      </c>
      <c r="U75" s="112">
        <f t="shared" si="30"/>
        <v>8248.32</v>
      </c>
      <c r="V75" s="111">
        <v>11496</v>
      </c>
      <c r="W75" s="112">
        <f t="shared" si="31"/>
        <v>7357.4400000000005</v>
      </c>
      <c r="X75" s="111">
        <v>8736</v>
      </c>
      <c r="Y75" s="112">
        <f t="shared" si="32"/>
        <v>5591.04</v>
      </c>
      <c r="Z75" s="111">
        <v>5760</v>
      </c>
      <c r="AA75" s="112">
        <f t="shared" si="33"/>
        <v>3686.4</v>
      </c>
      <c r="AB75" s="111">
        <v>13536</v>
      </c>
      <c r="AC75" s="112">
        <f t="shared" si="34"/>
        <v>8663.0400000000009</v>
      </c>
      <c r="AD75" s="113">
        <f t="shared" si="35"/>
        <v>134784</v>
      </c>
      <c r="AE75" s="114">
        <f t="shared" si="36"/>
        <v>86261.759999999995</v>
      </c>
    </row>
    <row r="76" spans="1:31" ht="20.100000000000001" customHeight="1">
      <c r="A76" s="2"/>
      <c r="B76" s="3"/>
      <c r="C76" s="3"/>
      <c r="D76" s="2"/>
      <c r="E76" s="2"/>
      <c r="F76" s="115"/>
      <c r="G76" s="112">
        <f t="shared" si="14"/>
        <v>0</v>
      </c>
      <c r="H76" s="115"/>
      <c r="I76" s="112">
        <f t="shared" si="14"/>
        <v>0</v>
      </c>
      <c r="J76" s="115"/>
      <c r="K76" s="112">
        <f t="shared" si="25"/>
        <v>0</v>
      </c>
      <c r="L76" s="115"/>
      <c r="M76" s="112">
        <f t="shared" si="26"/>
        <v>0</v>
      </c>
      <c r="N76" s="115"/>
      <c r="O76" s="112">
        <f t="shared" si="27"/>
        <v>0</v>
      </c>
      <c r="P76" s="115"/>
      <c r="Q76" s="112">
        <f t="shared" si="28"/>
        <v>0</v>
      </c>
      <c r="R76" s="115"/>
      <c r="S76" s="112">
        <f t="shared" si="29"/>
        <v>0</v>
      </c>
      <c r="T76" s="115"/>
      <c r="U76" s="112">
        <f t="shared" si="30"/>
        <v>0</v>
      </c>
      <c r="V76" s="115"/>
      <c r="W76" s="112">
        <f t="shared" si="31"/>
        <v>0</v>
      </c>
      <c r="X76" s="115"/>
      <c r="Y76" s="112">
        <f t="shared" si="32"/>
        <v>0</v>
      </c>
      <c r="Z76" s="115"/>
      <c r="AA76" s="112">
        <f t="shared" si="33"/>
        <v>0</v>
      </c>
      <c r="AB76" s="115"/>
      <c r="AC76" s="112">
        <f t="shared" si="34"/>
        <v>0</v>
      </c>
      <c r="AD76" s="113">
        <f t="shared" si="35"/>
        <v>0</v>
      </c>
      <c r="AE76" s="114">
        <f t="shared" si="36"/>
        <v>0</v>
      </c>
    </row>
    <row r="77" spans="1:31" ht="20.100000000000001" customHeight="1">
      <c r="A77" s="2">
        <v>62</v>
      </c>
      <c r="B77" s="3" t="s">
        <v>69</v>
      </c>
      <c r="C77" s="3" t="s">
        <v>14</v>
      </c>
      <c r="D77" s="2">
        <v>0.64</v>
      </c>
      <c r="E77" s="2" t="s">
        <v>25</v>
      </c>
      <c r="F77" s="115"/>
      <c r="G77" s="112">
        <f t="shared" si="14"/>
        <v>0</v>
      </c>
      <c r="H77" s="115"/>
      <c r="I77" s="112">
        <f t="shared" si="14"/>
        <v>0</v>
      </c>
      <c r="J77" s="115"/>
      <c r="K77" s="112">
        <f t="shared" si="25"/>
        <v>0</v>
      </c>
      <c r="L77" s="115"/>
      <c r="M77" s="112">
        <f t="shared" si="26"/>
        <v>0</v>
      </c>
      <c r="N77" s="115"/>
      <c r="O77" s="112">
        <f t="shared" si="27"/>
        <v>0</v>
      </c>
      <c r="P77" s="115"/>
      <c r="Q77" s="112">
        <f t="shared" si="28"/>
        <v>0</v>
      </c>
      <c r="R77" s="115"/>
      <c r="S77" s="112">
        <f t="shared" si="29"/>
        <v>0</v>
      </c>
      <c r="T77" s="115"/>
      <c r="U77" s="112">
        <f t="shared" si="30"/>
        <v>0</v>
      </c>
      <c r="V77" s="115"/>
      <c r="W77" s="112">
        <f t="shared" si="31"/>
        <v>0</v>
      </c>
      <c r="X77" s="115"/>
      <c r="Y77" s="112">
        <f t="shared" si="32"/>
        <v>0</v>
      </c>
      <c r="Z77" s="115"/>
      <c r="AA77" s="112">
        <f t="shared" si="33"/>
        <v>0</v>
      </c>
      <c r="AB77" s="115"/>
      <c r="AC77" s="112">
        <f t="shared" si="34"/>
        <v>0</v>
      </c>
      <c r="AD77" s="113">
        <f t="shared" si="35"/>
        <v>0</v>
      </c>
      <c r="AE77" s="114">
        <f t="shared" si="36"/>
        <v>0</v>
      </c>
    </row>
    <row r="78" spans="1:31" ht="20.100000000000001" customHeight="1">
      <c r="A78" s="2">
        <v>63</v>
      </c>
      <c r="B78" s="3" t="s">
        <v>69</v>
      </c>
      <c r="C78" s="3" t="s">
        <v>14</v>
      </c>
      <c r="D78" s="2">
        <v>0.64</v>
      </c>
      <c r="E78" s="2" t="s">
        <v>24</v>
      </c>
      <c r="F78" s="115"/>
      <c r="G78" s="112">
        <f t="shared" si="14"/>
        <v>0</v>
      </c>
      <c r="H78" s="115"/>
      <c r="I78" s="112">
        <f t="shared" si="14"/>
        <v>0</v>
      </c>
      <c r="J78" s="115"/>
      <c r="K78" s="112">
        <f t="shared" si="25"/>
        <v>0</v>
      </c>
      <c r="L78" s="115"/>
      <c r="M78" s="112">
        <f t="shared" si="26"/>
        <v>0</v>
      </c>
      <c r="N78" s="115"/>
      <c r="O78" s="112">
        <f t="shared" si="27"/>
        <v>0</v>
      </c>
      <c r="P78" s="115"/>
      <c r="Q78" s="112">
        <f t="shared" si="28"/>
        <v>0</v>
      </c>
      <c r="R78" s="115"/>
      <c r="S78" s="112">
        <f t="shared" si="29"/>
        <v>0</v>
      </c>
      <c r="T78" s="115"/>
      <c r="U78" s="112">
        <f t="shared" si="30"/>
        <v>0</v>
      </c>
      <c r="V78" s="115"/>
      <c r="W78" s="112">
        <f t="shared" si="31"/>
        <v>0</v>
      </c>
      <c r="X78" s="115"/>
      <c r="Y78" s="112">
        <f t="shared" si="32"/>
        <v>0</v>
      </c>
      <c r="Z78" s="115"/>
      <c r="AA78" s="112">
        <f t="shared" si="33"/>
        <v>0</v>
      </c>
      <c r="AB78" s="115"/>
      <c r="AC78" s="112">
        <f t="shared" si="34"/>
        <v>0</v>
      </c>
      <c r="AD78" s="113">
        <f t="shared" si="35"/>
        <v>0</v>
      </c>
      <c r="AE78" s="114">
        <f t="shared" si="36"/>
        <v>0</v>
      </c>
    </row>
    <row r="79" spans="1:31" ht="20.100000000000001" customHeight="1">
      <c r="A79" s="2"/>
      <c r="B79" s="3"/>
      <c r="C79" s="3"/>
      <c r="D79" s="2"/>
      <c r="E79" s="2"/>
      <c r="F79" s="115"/>
      <c r="G79" s="112">
        <f t="shared" si="14"/>
        <v>0</v>
      </c>
      <c r="H79" s="115"/>
      <c r="I79" s="112">
        <f t="shared" si="14"/>
        <v>0</v>
      </c>
      <c r="J79" s="115"/>
      <c r="K79" s="112">
        <f t="shared" si="25"/>
        <v>0</v>
      </c>
      <c r="L79" s="115"/>
      <c r="M79" s="112">
        <f t="shared" si="26"/>
        <v>0</v>
      </c>
      <c r="N79" s="115"/>
      <c r="O79" s="112">
        <f t="shared" si="27"/>
        <v>0</v>
      </c>
      <c r="P79" s="115"/>
      <c r="Q79" s="112">
        <f t="shared" si="28"/>
        <v>0</v>
      </c>
      <c r="R79" s="115"/>
      <c r="S79" s="112">
        <f t="shared" si="29"/>
        <v>0</v>
      </c>
      <c r="T79" s="115"/>
      <c r="U79" s="112">
        <f t="shared" si="30"/>
        <v>0</v>
      </c>
      <c r="V79" s="115"/>
      <c r="W79" s="112">
        <f t="shared" si="31"/>
        <v>0</v>
      </c>
      <c r="X79" s="115"/>
      <c r="Y79" s="112">
        <f t="shared" si="32"/>
        <v>0</v>
      </c>
      <c r="Z79" s="115"/>
      <c r="AA79" s="112">
        <f t="shared" si="33"/>
        <v>0</v>
      </c>
      <c r="AB79" s="115"/>
      <c r="AC79" s="112">
        <f t="shared" si="34"/>
        <v>0</v>
      </c>
      <c r="AD79" s="113">
        <f t="shared" si="35"/>
        <v>0</v>
      </c>
      <c r="AE79" s="114">
        <f t="shared" si="36"/>
        <v>0</v>
      </c>
    </row>
    <row r="80" spans="1:31" ht="20.100000000000001" customHeight="1">
      <c r="A80" s="2">
        <v>64</v>
      </c>
      <c r="B80" s="3" t="s">
        <v>70</v>
      </c>
      <c r="C80" s="3" t="s">
        <v>14</v>
      </c>
      <c r="D80" s="2">
        <v>0.64</v>
      </c>
      <c r="E80" s="2" t="s">
        <v>24</v>
      </c>
      <c r="F80" s="115"/>
      <c r="G80" s="112">
        <f t="shared" si="14"/>
        <v>0</v>
      </c>
      <c r="H80" s="115"/>
      <c r="I80" s="112">
        <f t="shared" si="14"/>
        <v>0</v>
      </c>
      <c r="J80" s="115"/>
      <c r="K80" s="112">
        <f t="shared" si="25"/>
        <v>0</v>
      </c>
      <c r="L80" s="115"/>
      <c r="M80" s="112">
        <f t="shared" si="26"/>
        <v>0</v>
      </c>
      <c r="N80" s="115"/>
      <c r="O80" s="112">
        <f t="shared" si="27"/>
        <v>0</v>
      </c>
      <c r="P80" s="115"/>
      <c r="Q80" s="112">
        <f t="shared" si="28"/>
        <v>0</v>
      </c>
      <c r="R80" s="115"/>
      <c r="S80" s="112">
        <f t="shared" si="29"/>
        <v>0</v>
      </c>
      <c r="T80" s="115"/>
      <c r="U80" s="112">
        <f t="shared" si="30"/>
        <v>0</v>
      </c>
      <c r="V80" s="115"/>
      <c r="W80" s="112">
        <f t="shared" si="31"/>
        <v>0</v>
      </c>
      <c r="X80" s="115"/>
      <c r="Y80" s="112">
        <f t="shared" si="32"/>
        <v>0</v>
      </c>
      <c r="Z80" s="115"/>
      <c r="AA80" s="112">
        <f t="shared" si="33"/>
        <v>0</v>
      </c>
      <c r="AB80" s="115"/>
      <c r="AC80" s="112">
        <f t="shared" si="34"/>
        <v>0</v>
      </c>
      <c r="AD80" s="113">
        <f t="shared" si="35"/>
        <v>0</v>
      </c>
      <c r="AE80" s="114">
        <f t="shared" si="36"/>
        <v>0</v>
      </c>
    </row>
    <row r="81" spans="1:31" ht="20.100000000000001" customHeight="1">
      <c r="A81" s="2">
        <v>65</v>
      </c>
      <c r="B81" s="3" t="s">
        <v>71</v>
      </c>
      <c r="C81" s="3" t="s">
        <v>14</v>
      </c>
      <c r="D81" s="2">
        <v>0.64</v>
      </c>
      <c r="E81" s="2" t="s">
        <v>15</v>
      </c>
      <c r="F81" s="115"/>
      <c r="G81" s="112">
        <f t="shared" si="14"/>
        <v>0</v>
      </c>
      <c r="H81" s="115"/>
      <c r="I81" s="112">
        <f t="shared" si="14"/>
        <v>0</v>
      </c>
      <c r="J81" s="115"/>
      <c r="K81" s="112">
        <f t="shared" si="25"/>
        <v>0</v>
      </c>
      <c r="L81" s="115"/>
      <c r="M81" s="112">
        <f t="shared" si="26"/>
        <v>0</v>
      </c>
      <c r="N81" s="115"/>
      <c r="O81" s="112">
        <f t="shared" si="27"/>
        <v>0</v>
      </c>
      <c r="P81" s="115"/>
      <c r="Q81" s="112">
        <f t="shared" si="28"/>
        <v>0</v>
      </c>
      <c r="R81" s="115"/>
      <c r="S81" s="112">
        <f t="shared" si="29"/>
        <v>0</v>
      </c>
      <c r="T81" s="115"/>
      <c r="U81" s="112">
        <f t="shared" si="30"/>
        <v>0</v>
      </c>
      <c r="V81" s="115"/>
      <c r="W81" s="112">
        <f t="shared" si="31"/>
        <v>0</v>
      </c>
      <c r="X81" s="115"/>
      <c r="Y81" s="112">
        <f t="shared" si="32"/>
        <v>0</v>
      </c>
      <c r="Z81" s="115"/>
      <c r="AA81" s="112">
        <f t="shared" si="33"/>
        <v>0</v>
      </c>
      <c r="AB81" s="115"/>
      <c r="AC81" s="112">
        <f t="shared" si="34"/>
        <v>0</v>
      </c>
      <c r="AD81" s="113">
        <f t="shared" si="35"/>
        <v>0</v>
      </c>
      <c r="AE81" s="114">
        <f t="shared" si="36"/>
        <v>0</v>
      </c>
    </row>
    <row r="82" spans="1:31" ht="20.100000000000001" customHeight="1">
      <c r="A82" s="2"/>
      <c r="B82" s="3"/>
      <c r="C82" s="3"/>
      <c r="D82" s="2"/>
      <c r="E82" s="2"/>
      <c r="F82" s="115"/>
      <c r="G82" s="112">
        <f t="shared" si="14"/>
        <v>0</v>
      </c>
      <c r="H82" s="115"/>
      <c r="I82" s="112">
        <f t="shared" si="14"/>
        <v>0</v>
      </c>
      <c r="J82" s="115"/>
      <c r="K82" s="112">
        <f t="shared" si="25"/>
        <v>0</v>
      </c>
      <c r="L82" s="115"/>
      <c r="M82" s="112">
        <f t="shared" si="26"/>
        <v>0</v>
      </c>
      <c r="N82" s="115"/>
      <c r="O82" s="112">
        <f t="shared" si="27"/>
        <v>0</v>
      </c>
      <c r="P82" s="115"/>
      <c r="Q82" s="112">
        <f t="shared" si="28"/>
        <v>0</v>
      </c>
      <c r="R82" s="115"/>
      <c r="S82" s="112">
        <f t="shared" si="29"/>
        <v>0</v>
      </c>
      <c r="T82" s="115"/>
      <c r="U82" s="112">
        <f t="shared" si="30"/>
        <v>0</v>
      </c>
      <c r="V82" s="115"/>
      <c r="W82" s="112">
        <f t="shared" si="31"/>
        <v>0</v>
      </c>
      <c r="X82" s="115"/>
      <c r="Y82" s="112">
        <f t="shared" si="32"/>
        <v>0</v>
      </c>
      <c r="Z82" s="115"/>
      <c r="AA82" s="112">
        <f t="shared" si="33"/>
        <v>0</v>
      </c>
      <c r="AB82" s="115"/>
      <c r="AC82" s="112">
        <f t="shared" si="34"/>
        <v>0</v>
      </c>
      <c r="AD82" s="113">
        <f t="shared" si="35"/>
        <v>0</v>
      </c>
      <c r="AE82" s="114">
        <f t="shared" si="36"/>
        <v>0</v>
      </c>
    </row>
    <row r="83" spans="1:31" ht="20.100000000000001" customHeight="1">
      <c r="A83" s="2">
        <v>66</v>
      </c>
      <c r="B83" s="3" t="s">
        <v>72</v>
      </c>
      <c r="C83" s="3" t="s">
        <v>17</v>
      </c>
      <c r="D83" s="2">
        <v>1</v>
      </c>
      <c r="E83" s="2" t="s">
        <v>24</v>
      </c>
      <c r="F83" s="115"/>
      <c r="G83" s="112">
        <f t="shared" si="14"/>
        <v>0</v>
      </c>
      <c r="H83" s="115"/>
      <c r="I83" s="112">
        <f t="shared" si="14"/>
        <v>0</v>
      </c>
      <c r="J83" s="115"/>
      <c r="K83" s="112">
        <f t="shared" si="25"/>
        <v>0</v>
      </c>
      <c r="L83" s="115"/>
      <c r="M83" s="112">
        <f t="shared" si="26"/>
        <v>0</v>
      </c>
      <c r="N83" s="115"/>
      <c r="O83" s="112">
        <f t="shared" si="27"/>
        <v>0</v>
      </c>
      <c r="P83" s="115"/>
      <c r="Q83" s="112">
        <f t="shared" si="28"/>
        <v>0</v>
      </c>
      <c r="R83" s="115"/>
      <c r="S83" s="112">
        <f t="shared" si="29"/>
        <v>0</v>
      </c>
      <c r="T83" s="115"/>
      <c r="U83" s="112">
        <f t="shared" si="30"/>
        <v>0</v>
      </c>
      <c r="V83" s="115"/>
      <c r="W83" s="112">
        <f t="shared" si="31"/>
        <v>0</v>
      </c>
      <c r="X83" s="115"/>
      <c r="Y83" s="112">
        <f t="shared" si="32"/>
        <v>0</v>
      </c>
      <c r="Z83" s="115"/>
      <c r="AA83" s="112">
        <f t="shared" si="33"/>
        <v>0</v>
      </c>
      <c r="AB83" s="115"/>
      <c r="AC83" s="112">
        <f t="shared" si="34"/>
        <v>0</v>
      </c>
      <c r="AD83" s="113">
        <f t="shared" si="35"/>
        <v>0</v>
      </c>
      <c r="AE83" s="114">
        <f t="shared" si="36"/>
        <v>0</v>
      </c>
    </row>
    <row r="84" spans="1:31" ht="20.100000000000001" customHeight="1">
      <c r="A84" s="2">
        <v>67</v>
      </c>
      <c r="B84" s="3" t="s">
        <v>73</v>
      </c>
      <c r="C84" s="3" t="s">
        <v>17</v>
      </c>
      <c r="D84" s="2">
        <v>1</v>
      </c>
      <c r="E84" s="2" t="s">
        <v>24</v>
      </c>
      <c r="F84" s="115"/>
      <c r="G84" s="112">
        <f t="shared" si="14"/>
        <v>0</v>
      </c>
      <c r="H84" s="115"/>
      <c r="I84" s="112">
        <f t="shared" si="14"/>
        <v>0</v>
      </c>
      <c r="J84" s="115"/>
      <c r="K84" s="112">
        <f t="shared" si="25"/>
        <v>0</v>
      </c>
      <c r="L84" s="115"/>
      <c r="M84" s="112">
        <f t="shared" si="26"/>
        <v>0</v>
      </c>
      <c r="N84" s="115"/>
      <c r="O84" s="112">
        <f t="shared" si="27"/>
        <v>0</v>
      </c>
      <c r="P84" s="115"/>
      <c r="Q84" s="112">
        <f t="shared" si="28"/>
        <v>0</v>
      </c>
      <c r="R84" s="115"/>
      <c r="S84" s="112">
        <f t="shared" si="29"/>
        <v>0</v>
      </c>
      <c r="T84" s="115"/>
      <c r="U84" s="112">
        <f t="shared" si="30"/>
        <v>0</v>
      </c>
      <c r="V84" s="115"/>
      <c r="W84" s="112">
        <f t="shared" si="31"/>
        <v>0</v>
      </c>
      <c r="X84" s="115"/>
      <c r="Y84" s="112">
        <f t="shared" si="32"/>
        <v>0</v>
      </c>
      <c r="Z84" s="115"/>
      <c r="AA84" s="112">
        <f t="shared" si="33"/>
        <v>0</v>
      </c>
      <c r="AB84" s="115"/>
      <c r="AC84" s="112">
        <f t="shared" si="34"/>
        <v>0</v>
      </c>
      <c r="AD84" s="113">
        <f t="shared" si="35"/>
        <v>0</v>
      </c>
      <c r="AE84" s="114">
        <f t="shared" si="36"/>
        <v>0</v>
      </c>
    </row>
    <row r="85" spans="1:31" ht="20.100000000000001" customHeight="1">
      <c r="A85" s="2">
        <v>68</v>
      </c>
      <c r="B85" s="3" t="s">
        <v>74</v>
      </c>
      <c r="C85" s="3" t="s">
        <v>17</v>
      </c>
      <c r="D85" s="2">
        <v>1</v>
      </c>
      <c r="E85" s="2" t="s">
        <v>15</v>
      </c>
      <c r="F85" s="115"/>
      <c r="G85" s="112">
        <f t="shared" ref="G85:I92" si="37">F85*$D85</f>
        <v>0</v>
      </c>
      <c r="H85" s="115"/>
      <c r="I85" s="112">
        <f t="shared" si="37"/>
        <v>0</v>
      </c>
      <c r="J85" s="115"/>
      <c r="K85" s="112">
        <f t="shared" si="25"/>
        <v>0</v>
      </c>
      <c r="L85" s="115"/>
      <c r="M85" s="112">
        <f t="shared" si="26"/>
        <v>0</v>
      </c>
      <c r="N85" s="115"/>
      <c r="O85" s="112">
        <f t="shared" si="27"/>
        <v>0</v>
      </c>
      <c r="P85" s="115"/>
      <c r="Q85" s="112">
        <f t="shared" si="28"/>
        <v>0</v>
      </c>
      <c r="R85" s="115"/>
      <c r="S85" s="112">
        <f t="shared" si="29"/>
        <v>0</v>
      </c>
      <c r="T85" s="115"/>
      <c r="U85" s="112">
        <f t="shared" si="30"/>
        <v>0</v>
      </c>
      <c r="V85" s="115"/>
      <c r="W85" s="112">
        <f t="shared" si="31"/>
        <v>0</v>
      </c>
      <c r="X85" s="115"/>
      <c r="Y85" s="112">
        <f t="shared" si="32"/>
        <v>0</v>
      </c>
      <c r="Z85" s="115"/>
      <c r="AA85" s="112">
        <f t="shared" si="33"/>
        <v>0</v>
      </c>
      <c r="AB85" s="115"/>
      <c r="AC85" s="112">
        <f t="shared" si="34"/>
        <v>0</v>
      </c>
      <c r="AD85" s="113">
        <f t="shared" si="35"/>
        <v>0</v>
      </c>
      <c r="AE85" s="114">
        <f t="shared" si="36"/>
        <v>0</v>
      </c>
    </row>
    <row r="86" spans="1:31" ht="20.100000000000001" customHeight="1">
      <c r="A86" s="2">
        <v>69</v>
      </c>
      <c r="B86" s="3" t="s">
        <v>75</v>
      </c>
      <c r="C86" s="3" t="s">
        <v>17</v>
      </c>
      <c r="D86" s="2">
        <v>0.6</v>
      </c>
      <c r="E86" s="2" t="s">
        <v>24</v>
      </c>
      <c r="F86" s="115"/>
      <c r="G86" s="112">
        <f t="shared" si="37"/>
        <v>0</v>
      </c>
      <c r="H86" s="115"/>
      <c r="I86" s="112">
        <f t="shared" si="37"/>
        <v>0</v>
      </c>
      <c r="J86" s="115"/>
      <c r="K86" s="112">
        <f t="shared" si="25"/>
        <v>0</v>
      </c>
      <c r="L86" s="115"/>
      <c r="M86" s="112">
        <f t="shared" si="26"/>
        <v>0</v>
      </c>
      <c r="N86" s="115"/>
      <c r="O86" s="112">
        <f t="shared" si="27"/>
        <v>0</v>
      </c>
      <c r="P86" s="115"/>
      <c r="Q86" s="112">
        <f t="shared" si="28"/>
        <v>0</v>
      </c>
      <c r="R86" s="115"/>
      <c r="S86" s="112">
        <f t="shared" si="29"/>
        <v>0</v>
      </c>
      <c r="T86" s="115"/>
      <c r="U86" s="112">
        <f t="shared" si="30"/>
        <v>0</v>
      </c>
      <c r="V86" s="115"/>
      <c r="W86" s="112">
        <f t="shared" si="31"/>
        <v>0</v>
      </c>
      <c r="X86" s="115"/>
      <c r="Y86" s="112">
        <f t="shared" si="32"/>
        <v>0</v>
      </c>
      <c r="Z86" s="115"/>
      <c r="AA86" s="112">
        <f t="shared" si="33"/>
        <v>0</v>
      </c>
      <c r="AB86" s="115"/>
      <c r="AC86" s="112">
        <f t="shared" si="34"/>
        <v>0</v>
      </c>
      <c r="AD86" s="113">
        <f t="shared" si="35"/>
        <v>0</v>
      </c>
      <c r="AE86" s="114">
        <f t="shared" si="36"/>
        <v>0</v>
      </c>
    </row>
    <row r="87" spans="1:31" ht="20.100000000000001" customHeight="1">
      <c r="A87" s="2">
        <v>70</v>
      </c>
      <c r="B87" s="3" t="s">
        <v>76</v>
      </c>
      <c r="C87" s="3" t="s">
        <v>14</v>
      </c>
      <c r="D87" s="2">
        <v>0.64</v>
      </c>
      <c r="E87" s="2" t="s">
        <v>25</v>
      </c>
      <c r="F87" s="115"/>
      <c r="G87" s="112">
        <f t="shared" si="37"/>
        <v>0</v>
      </c>
      <c r="H87" s="115"/>
      <c r="I87" s="112">
        <f t="shared" si="37"/>
        <v>0</v>
      </c>
      <c r="J87" s="115"/>
      <c r="K87" s="112">
        <f t="shared" si="25"/>
        <v>0</v>
      </c>
      <c r="L87" s="115"/>
      <c r="M87" s="112">
        <f t="shared" si="26"/>
        <v>0</v>
      </c>
      <c r="N87" s="115"/>
      <c r="O87" s="112">
        <f t="shared" si="27"/>
        <v>0</v>
      </c>
      <c r="P87" s="115"/>
      <c r="Q87" s="112">
        <f t="shared" si="28"/>
        <v>0</v>
      </c>
      <c r="R87" s="115"/>
      <c r="S87" s="112">
        <f t="shared" si="29"/>
        <v>0</v>
      </c>
      <c r="T87" s="115"/>
      <c r="U87" s="112">
        <f t="shared" si="30"/>
        <v>0</v>
      </c>
      <c r="V87" s="115"/>
      <c r="W87" s="112">
        <f t="shared" si="31"/>
        <v>0</v>
      </c>
      <c r="X87" s="115"/>
      <c r="Y87" s="112">
        <f t="shared" si="32"/>
        <v>0</v>
      </c>
      <c r="Z87" s="115"/>
      <c r="AA87" s="112">
        <f t="shared" si="33"/>
        <v>0</v>
      </c>
      <c r="AB87" s="115"/>
      <c r="AC87" s="112">
        <f t="shared" si="34"/>
        <v>0</v>
      </c>
      <c r="AD87" s="113">
        <f t="shared" si="35"/>
        <v>0</v>
      </c>
      <c r="AE87" s="114">
        <f t="shared" si="36"/>
        <v>0</v>
      </c>
    </row>
    <row r="88" spans="1:31" ht="20.100000000000001" customHeight="1">
      <c r="A88" s="2"/>
      <c r="B88" s="3"/>
      <c r="C88" s="3"/>
      <c r="D88" s="2"/>
      <c r="E88" s="2"/>
      <c r="F88" s="115"/>
      <c r="G88" s="112">
        <f t="shared" si="37"/>
        <v>0</v>
      </c>
      <c r="H88" s="115"/>
      <c r="I88" s="112">
        <f t="shared" si="37"/>
        <v>0</v>
      </c>
      <c r="J88" s="115"/>
      <c r="K88" s="112">
        <f t="shared" si="25"/>
        <v>0</v>
      </c>
      <c r="L88" s="115"/>
      <c r="M88" s="112">
        <f t="shared" si="26"/>
        <v>0</v>
      </c>
      <c r="N88" s="115"/>
      <c r="O88" s="112">
        <f t="shared" si="27"/>
        <v>0</v>
      </c>
      <c r="P88" s="115"/>
      <c r="Q88" s="112">
        <f t="shared" si="28"/>
        <v>0</v>
      </c>
      <c r="R88" s="115"/>
      <c r="S88" s="112">
        <f t="shared" si="29"/>
        <v>0</v>
      </c>
      <c r="T88" s="115"/>
      <c r="U88" s="112">
        <f t="shared" si="30"/>
        <v>0</v>
      </c>
      <c r="V88" s="115"/>
      <c r="W88" s="112">
        <f t="shared" si="31"/>
        <v>0</v>
      </c>
      <c r="X88" s="115"/>
      <c r="Y88" s="112">
        <f t="shared" si="32"/>
        <v>0</v>
      </c>
      <c r="Z88" s="115"/>
      <c r="AA88" s="112">
        <f t="shared" si="33"/>
        <v>0</v>
      </c>
      <c r="AB88" s="115"/>
      <c r="AC88" s="112">
        <f t="shared" si="34"/>
        <v>0</v>
      </c>
      <c r="AD88" s="113">
        <f t="shared" si="35"/>
        <v>0</v>
      </c>
      <c r="AE88" s="114">
        <f t="shared" si="36"/>
        <v>0</v>
      </c>
    </row>
    <row r="89" spans="1:31" ht="20.100000000000001" customHeight="1">
      <c r="A89" s="2">
        <v>71</v>
      </c>
      <c r="B89" s="3" t="s">
        <v>77</v>
      </c>
      <c r="C89" s="3" t="s">
        <v>17</v>
      </c>
      <c r="D89" s="2">
        <v>1</v>
      </c>
      <c r="E89" s="2" t="s">
        <v>24</v>
      </c>
      <c r="F89" s="115"/>
      <c r="G89" s="112">
        <f t="shared" si="37"/>
        <v>0</v>
      </c>
      <c r="H89" s="115"/>
      <c r="I89" s="112">
        <f t="shared" si="37"/>
        <v>0</v>
      </c>
      <c r="J89" s="115"/>
      <c r="K89" s="112">
        <f t="shared" si="25"/>
        <v>0</v>
      </c>
      <c r="L89" s="115"/>
      <c r="M89" s="112">
        <f t="shared" si="26"/>
        <v>0</v>
      </c>
      <c r="N89" s="115"/>
      <c r="O89" s="112">
        <f t="shared" si="27"/>
        <v>0</v>
      </c>
      <c r="P89" s="115"/>
      <c r="Q89" s="112">
        <f t="shared" si="28"/>
        <v>0</v>
      </c>
      <c r="R89" s="115"/>
      <c r="S89" s="112">
        <f t="shared" si="29"/>
        <v>0</v>
      </c>
      <c r="T89" s="115"/>
      <c r="U89" s="112">
        <f t="shared" si="30"/>
        <v>0</v>
      </c>
      <c r="V89" s="115"/>
      <c r="W89" s="112">
        <f t="shared" si="31"/>
        <v>0</v>
      </c>
      <c r="X89" s="115"/>
      <c r="Y89" s="112">
        <f t="shared" si="32"/>
        <v>0</v>
      </c>
      <c r="Z89" s="115"/>
      <c r="AA89" s="112">
        <f t="shared" si="33"/>
        <v>0</v>
      </c>
      <c r="AB89" s="115"/>
      <c r="AC89" s="112">
        <f t="shared" si="34"/>
        <v>0</v>
      </c>
      <c r="AD89" s="113">
        <f t="shared" si="35"/>
        <v>0</v>
      </c>
      <c r="AE89" s="114">
        <f t="shared" si="36"/>
        <v>0</v>
      </c>
    </row>
    <row r="90" spans="1:31" ht="20.100000000000001" customHeight="1">
      <c r="A90" s="2">
        <v>72</v>
      </c>
      <c r="B90" s="3" t="s">
        <v>77</v>
      </c>
      <c r="C90" s="3" t="s">
        <v>17</v>
      </c>
      <c r="D90" s="2">
        <v>1</v>
      </c>
      <c r="E90" s="2" t="s">
        <v>15</v>
      </c>
      <c r="F90" s="115"/>
      <c r="G90" s="112">
        <f t="shared" si="37"/>
        <v>0</v>
      </c>
      <c r="H90" s="115"/>
      <c r="I90" s="112">
        <f t="shared" si="37"/>
        <v>0</v>
      </c>
      <c r="J90" s="115"/>
      <c r="K90" s="112">
        <f t="shared" si="25"/>
        <v>0</v>
      </c>
      <c r="L90" s="115"/>
      <c r="M90" s="112">
        <f t="shared" si="26"/>
        <v>0</v>
      </c>
      <c r="N90" s="115"/>
      <c r="O90" s="112">
        <f t="shared" si="27"/>
        <v>0</v>
      </c>
      <c r="P90" s="115"/>
      <c r="Q90" s="112">
        <f t="shared" si="28"/>
        <v>0</v>
      </c>
      <c r="R90" s="115"/>
      <c r="S90" s="112">
        <f t="shared" si="29"/>
        <v>0</v>
      </c>
      <c r="T90" s="115"/>
      <c r="U90" s="112">
        <f t="shared" si="30"/>
        <v>0</v>
      </c>
      <c r="V90" s="115"/>
      <c r="W90" s="112">
        <f t="shared" si="31"/>
        <v>0</v>
      </c>
      <c r="X90" s="115"/>
      <c r="Y90" s="112">
        <f t="shared" si="32"/>
        <v>0</v>
      </c>
      <c r="Z90" s="115"/>
      <c r="AA90" s="112">
        <f t="shared" si="33"/>
        <v>0</v>
      </c>
      <c r="AB90" s="115"/>
      <c r="AC90" s="112">
        <f t="shared" si="34"/>
        <v>0</v>
      </c>
      <c r="AD90" s="113">
        <f t="shared" si="35"/>
        <v>0</v>
      </c>
      <c r="AE90" s="114">
        <f t="shared" si="36"/>
        <v>0</v>
      </c>
    </row>
    <row r="91" spans="1:31" ht="20.100000000000001" customHeight="1">
      <c r="A91" s="2">
        <v>73</v>
      </c>
      <c r="B91" s="3" t="s">
        <v>78</v>
      </c>
      <c r="C91" s="3" t="s">
        <v>17</v>
      </c>
      <c r="D91" s="2">
        <v>0.6</v>
      </c>
      <c r="E91" s="2" t="s">
        <v>24</v>
      </c>
      <c r="F91" s="115"/>
      <c r="G91" s="112">
        <f t="shared" si="37"/>
        <v>0</v>
      </c>
      <c r="H91" s="115"/>
      <c r="I91" s="112">
        <f t="shared" si="37"/>
        <v>0</v>
      </c>
      <c r="J91" s="115"/>
      <c r="K91" s="112">
        <f t="shared" si="25"/>
        <v>0</v>
      </c>
      <c r="L91" s="115"/>
      <c r="M91" s="112">
        <f t="shared" si="26"/>
        <v>0</v>
      </c>
      <c r="N91" s="115"/>
      <c r="O91" s="112">
        <f t="shared" si="27"/>
        <v>0</v>
      </c>
      <c r="P91" s="115"/>
      <c r="Q91" s="112">
        <f t="shared" si="28"/>
        <v>0</v>
      </c>
      <c r="R91" s="115"/>
      <c r="S91" s="112">
        <f t="shared" si="29"/>
        <v>0</v>
      </c>
      <c r="T91" s="115"/>
      <c r="U91" s="112">
        <f t="shared" si="30"/>
        <v>0</v>
      </c>
      <c r="V91" s="115"/>
      <c r="W91" s="112">
        <f t="shared" si="31"/>
        <v>0</v>
      </c>
      <c r="X91" s="115"/>
      <c r="Y91" s="112">
        <f t="shared" si="32"/>
        <v>0</v>
      </c>
      <c r="Z91" s="115"/>
      <c r="AA91" s="112">
        <f t="shared" si="33"/>
        <v>0</v>
      </c>
      <c r="AB91" s="115"/>
      <c r="AC91" s="112">
        <f t="shared" si="34"/>
        <v>0</v>
      </c>
      <c r="AD91" s="113">
        <f t="shared" si="35"/>
        <v>0</v>
      </c>
      <c r="AE91" s="114">
        <f t="shared" si="36"/>
        <v>0</v>
      </c>
    </row>
    <row r="92" spans="1:31" ht="20.100000000000001" customHeight="1">
      <c r="A92" s="2">
        <v>74</v>
      </c>
      <c r="B92" s="3" t="s">
        <v>79</v>
      </c>
      <c r="C92" s="3" t="s">
        <v>14</v>
      </c>
      <c r="D92" s="2">
        <v>0.64</v>
      </c>
      <c r="E92" s="2" t="s">
        <v>25</v>
      </c>
      <c r="F92" s="115"/>
      <c r="G92" s="112">
        <f t="shared" si="37"/>
        <v>0</v>
      </c>
      <c r="H92" s="115"/>
      <c r="I92" s="112">
        <f t="shared" si="37"/>
        <v>0</v>
      </c>
      <c r="J92" s="115"/>
      <c r="K92" s="112">
        <f t="shared" si="25"/>
        <v>0</v>
      </c>
      <c r="L92" s="115"/>
      <c r="M92" s="112">
        <f t="shared" si="26"/>
        <v>0</v>
      </c>
      <c r="N92" s="115"/>
      <c r="O92" s="112">
        <f t="shared" si="27"/>
        <v>0</v>
      </c>
      <c r="P92" s="115"/>
      <c r="Q92" s="112">
        <f t="shared" si="28"/>
        <v>0</v>
      </c>
      <c r="R92" s="115"/>
      <c r="S92" s="112">
        <f t="shared" si="29"/>
        <v>0</v>
      </c>
      <c r="T92" s="115"/>
      <c r="U92" s="112">
        <f t="shared" si="30"/>
        <v>0</v>
      </c>
      <c r="V92" s="115"/>
      <c r="W92" s="112">
        <f t="shared" si="31"/>
        <v>0</v>
      </c>
      <c r="X92" s="115"/>
      <c r="Y92" s="112">
        <f t="shared" si="32"/>
        <v>0</v>
      </c>
      <c r="Z92" s="115"/>
      <c r="AA92" s="112">
        <f t="shared" si="33"/>
        <v>0</v>
      </c>
      <c r="AB92" s="115"/>
      <c r="AC92" s="112">
        <f t="shared" si="34"/>
        <v>0</v>
      </c>
      <c r="AD92" s="113">
        <f t="shared" si="35"/>
        <v>0</v>
      </c>
      <c r="AE92" s="114">
        <f t="shared" si="36"/>
        <v>0</v>
      </c>
    </row>
    <row r="93" spans="1:31" ht="20.100000000000001" customHeight="1">
      <c r="A93" s="2"/>
      <c r="B93" s="3"/>
      <c r="C93" s="3"/>
      <c r="D93" s="2"/>
      <c r="E93" s="2"/>
      <c r="F93" s="115"/>
      <c r="G93" s="112"/>
      <c r="H93" s="115"/>
      <c r="I93" s="112"/>
      <c r="J93" s="115"/>
      <c r="K93" s="112"/>
      <c r="L93" s="115"/>
      <c r="M93" s="112"/>
      <c r="N93" s="115"/>
      <c r="O93" s="112"/>
      <c r="P93" s="115"/>
      <c r="Q93" s="112"/>
      <c r="R93" s="115"/>
      <c r="S93" s="112"/>
      <c r="T93" s="115"/>
      <c r="U93" s="112"/>
      <c r="V93" s="115"/>
      <c r="W93" s="112"/>
      <c r="X93" s="115"/>
      <c r="Y93" s="112"/>
      <c r="Z93" s="115"/>
      <c r="AA93" s="112"/>
      <c r="AB93" s="115"/>
      <c r="AC93" s="112"/>
      <c r="AD93" s="113"/>
      <c r="AE93" s="114"/>
    </row>
    <row r="94" spans="1:31" ht="20.100000000000001" customHeight="1">
      <c r="A94" s="2">
        <v>75</v>
      </c>
      <c r="B94" s="5" t="s">
        <v>80</v>
      </c>
      <c r="C94" s="3" t="s">
        <v>17</v>
      </c>
      <c r="D94" s="2">
        <v>0.75</v>
      </c>
      <c r="E94" s="2"/>
      <c r="F94" s="115"/>
      <c r="G94" s="112"/>
      <c r="H94" s="115"/>
      <c r="I94" s="112"/>
      <c r="J94" s="115"/>
      <c r="K94" s="112"/>
      <c r="L94" s="115"/>
      <c r="M94" s="112"/>
      <c r="N94" s="115"/>
      <c r="O94" s="112"/>
      <c r="P94" s="115"/>
      <c r="Q94" s="112"/>
      <c r="R94" s="115"/>
      <c r="S94" s="112"/>
      <c r="T94" s="115"/>
      <c r="U94" s="112"/>
      <c r="V94" s="115"/>
      <c r="W94" s="112"/>
      <c r="X94" s="115"/>
      <c r="Y94" s="112"/>
      <c r="Z94" s="115"/>
      <c r="AA94" s="112"/>
      <c r="AB94" s="115"/>
      <c r="AC94" s="112"/>
      <c r="AD94" s="113"/>
      <c r="AE94" s="114"/>
    </row>
    <row r="95" spans="1:31" ht="20.100000000000001" customHeight="1">
      <c r="A95" s="2">
        <v>76</v>
      </c>
      <c r="B95" s="3" t="s">
        <v>80</v>
      </c>
      <c r="C95" s="3" t="s">
        <v>14</v>
      </c>
      <c r="D95" s="2">
        <v>0.6</v>
      </c>
      <c r="E95" s="6"/>
      <c r="F95" s="115"/>
      <c r="G95" s="112"/>
      <c r="H95" s="115"/>
      <c r="I95" s="112"/>
      <c r="J95" s="115"/>
      <c r="K95" s="112"/>
      <c r="L95" s="115"/>
      <c r="M95" s="112"/>
      <c r="N95" s="115"/>
      <c r="O95" s="112"/>
      <c r="P95" s="115"/>
      <c r="Q95" s="112"/>
      <c r="R95" s="115"/>
      <c r="S95" s="112"/>
      <c r="T95" s="115"/>
      <c r="U95" s="112"/>
      <c r="V95" s="115"/>
      <c r="W95" s="112"/>
      <c r="X95" s="115"/>
      <c r="Y95" s="112"/>
      <c r="Z95" s="115"/>
      <c r="AA95" s="112"/>
      <c r="AB95" s="115"/>
      <c r="AC95" s="112"/>
      <c r="AD95" s="113"/>
      <c r="AE95" s="114"/>
    </row>
    <row r="96" spans="1:31" ht="20.100000000000001" customHeight="1">
      <c r="A96" s="2">
        <v>77</v>
      </c>
      <c r="B96" s="4" t="s">
        <v>80</v>
      </c>
      <c r="C96" s="3" t="s">
        <v>14</v>
      </c>
      <c r="D96" s="2">
        <v>0.64</v>
      </c>
      <c r="E96" s="2" t="s">
        <v>24</v>
      </c>
      <c r="F96" s="115"/>
      <c r="G96" s="112">
        <f t="shared" ref="G96" si="38">F96*$D96</f>
        <v>0</v>
      </c>
      <c r="H96" s="115"/>
      <c r="I96" s="112">
        <f t="shared" ref="I96" si="39">H96*$D96</f>
        <v>0</v>
      </c>
      <c r="J96" s="115"/>
      <c r="K96" s="112">
        <f t="shared" ref="K96" si="40">J96*$D96</f>
        <v>0</v>
      </c>
      <c r="L96" s="115"/>
      <c r="M96" s="112">
        <f t="shared" ref="M96" si="41">L96*$D96</f>
        <v>0</v>
      </c>
      <c r="N96" s="115"/>
      <c r="O96" s="112">
        <f t="shared" ref="O96" si="42">N96*$D96</f>
        <v>0</v>
      </c>
      <c r="P96" s="115"/>
      <c r="Q96" s="112">
        <f t="shared" ref="Q96" si="43">P96*$D96</f>
        <v>0</v>
      </c>
      <c r="R96" s="115"/>
      <c r="S96" s="112">
        <f t="shared" ref="S96" si="44">R96*$D96</f>
        <v>0</v>
      </c>
      <c r="T96" s="115"/>
      <c r="U96" s="112">
        <f t="shared" ref="U96" si="45">T96*$D96</f>
        <v>0</v>
      </c>
      <c r="V96" s="115"/>
      <c r="W96" s="112">
        <f t="shared" ref="W96" si="46">V96*$D96</f>
        <v>0</v>
      </c>
      <c r="X96" s="115"/>
      <c r="Y96" s="112">
        <f t="shared" ref="Y96" si="47">X96*$D96</f>
        <v>0</v>
      </c>
      <c r="Z96" s="115"/>
      <c r="AA96" s="112">
        <f t="shared" ref="AA96" si="48">Z96*$D96</f>
        <v>0</v>
      </c>
      <c r="AB96" s="115"/>
      <c r="AC96" s="112">
        <f t="shared" ref="AC96" si="49">AB96*$D96</f>
        <v>0</v>
      </c>
      <c r="AD96" s="113">
        <f t="shared" ref="AD96" si="50">(AB96+Z96+X96+V96+T96+R96+P96+N96+L96+J96+H96+F96)/12</f>
        <v>0</v>
      </c>
      <c r="AE96" s="114">
        <f t="shared" ref="AE96" si="51">AD96*$D96</f>
        <v>0</v>
      </c>
    </row>
    <row r="97" spans="1:31" ht="20.100000000000001" customHeight="1">
      <c r="A97" s="2"/>
      <c r="B97" s="4"/>
      <c r="C97" s="3"/>
      <c r="D97" s="2"/>
      <c r="E97" s="2"/>
      <c r="F97" s="115"/>
      <c r="G97" s="112"/>
      <c r="H97" s="115"/>
      <c r="I97" s="112"/>
      <c r="J97" s="115"/>
      <c r="K97" s="112"/>
      <c r="L97" s="115"/>
      <c r="M97" s="112"/>
      <c r="N97" s="115"/>
      <c r="O97" s="112"/>
      <c r="P97" s="115"/>
      <c r="Q97" s="112"/>
      <c r="R97" s="115"/>
      <c r="S97" s="112"/>
      <c r="T97" s="115"/>
      <c r="U97" s="112"/>
      <c r="V97" s="115"/>
      <c r="W97" s="112"/>
      <c r="X97" s="115"/>
      <c r="Y97" s="112"/>
      <c r="Z97" s="115"/>
      <c r="AA97" s="112"/>
      <c r="AB97" s="115"/>
      <c r="AC97" s="112"/>
      <c r="AD97" s="113"/>
      <c r="AE97" s="114"/>
    </row>
    <row r="98" spans="1:31" ht="20.100000000000001" customHeight="1">
      <c r="A98" s="2">
        <v>78</v>
      </c>
      <c r="B98" s="4" t="s">
        <v>81</v>
      </c>
      <c r="C98" s="3" t="s">
        <v>14</v>
      </c>
      <c r="D98" s="2">
        <v>0.64</v>
      </c>
      <c r="E98" s="2" t="s">
        <v>82</v>
      </c>
      <c r="F98" s="115"/>
      <c r="G98" s="112">
        <f>F98*$D98</f>
        <v>0</v>
      </c>
      <c r="H98" s="115"/>
      <c r="I98" s="112">
        <f>H98*$D98</f>
        <v>0</v>
      </c>
      <c r="J98" s="115"/>
      <c r="K98" s="112">
        <f>J98*$D98</f>
        <v>0</v>
      </c>
      <c r="L98" s="115"/>
      <c r="M98" s="112">
        <f>L98*$D98</f>
        <v>0</v>
      </c>
      <c r="N98" s="115"/>
      <c r="O98" s="112">
        <f>N98*$D98</f>
        <v>0</v>
      </c>
      <c r="P98" s="115"/>
      <c r="Q98" s="112">
        <f>P98*$D98</f>
        <v>0</v>
      </c>
      <c r="R98" s="115"/>
      <c r="S98" s="112">
        <f>R98*$D98</f>
        <v>0</v>
      </c>
      <c r="T98" s="115"/>
      <c r="U98" s="112">
        <f>T98*$D98</f>
        <v>0</v>
      </c>
      <c r="V98" s="115"/>
      <c r="W98" s="112">
        <f>V98*$D98</f>
        <v>0</v>
      </c>
      <c r="X98" s="115"/>
      <c r="Y98" s="112">
        <f>X98*$D98</f>
        <v>0</v>
      </c>
      <c r="Z98" s="115"/>
      <c r="AA98" s="112">
        <f>Z98*$D98</f>
        <v>0</v>
      </c>
      <c r="AB98" s="115"/>
      <c r="AC98" s="112">
        <f>AB98*$D98</f>
        <v>0</v>
      </c>
      <c r="AD98" s="113">
        <f>(AB98+Z98+X98+V98+T98+R98+P98+N98+L98+J98+H98+F98)/12</f>
        <v>0</v>
      </c>
      <c r="AE98" s="114">
        <f>AD98*$D98</f>
        <v>0</v>
      </c>
    </row>
    <row r="99" spans="1:31" ht="20.100000000000001" customHeight="1">
      <c r="A99" s="2">
        <v>79</v>
      </c>
      <c r="B99" s="5" t="s">
        <v>83</v>
      </c>
      <c r="C99" s="3" t="s">
        <v>17</v>
      </c>
      <c r="D99" s="2">
        <v>1</v>
      </c>
      <c r="E99" s="2" t="s">
        <v>38</v>
      </c>
      <c r="F99" s="115"/>
      <c r="G99" s="112"/>
      <c r="H99" s="115"/>
      <c r="I99" s="112"/>
      <c r="J99" s="115"/>
      <c r="K99" s="112"/>
      <c r="L99" s="115"/>
      <c r="M99" s="112"/>
      <c r="N99" s="115"/>
      <c r="O99" s="112"/>
      <c r="P99" s="115"/>
      <c r="Q99" s="112"/>
      <c r="R99" s="115"/>
      <c r="S99" s="112"/>
      <c r="T99" s="115"/>
      <c r="U99" s="112"/>
      <c r="V99" s="115"/>
      <c r="W99" s="112"/>
      <c r="X99" s="115"/>
      <c r="Y99" s="112"/>
      <c r="Z99" s="115"/>
      <c r="AA99" s="112"/>
      <c r="AB99" s="115"/>
      <c r="AC99" s="112"/>
      <c r="AD99" s="113"/>
      <c r="AE99" s="114"/>
    </row>
    <row r="100" spans="1:31" ht="20.100000000000001" customHeight="1">
      <c r="A100" s="2">
        <v>80</v>
      </c>
      <c r="B100" s="5" t="s">
        <v>83</v>
      </c>
      <c r="C100" s="3" t="s">
        <v>17</v>
      </c>
      <c r="D100" s="2">
        <v>0.6</v>
      </c>
      <c r="E100" s="2" t="s">
        <v>38</v>
      </c>
      <c r="F100" s="115"/>
      <c r="G100" s="112"/>
      <c r="H100" s="115"/>
      <c r="I100" s="112"/>
      <c r="J100" s="115"/>
      <c r="K100" s="112"/>
      <c r="L100" s="115"/>
      <c r="M100" s="112"/>
      <c r="N100" s="115"/>
      <c r="O100" s="112"/>
      <c r="P100" s="115"/>
      <c r="Q100" s="112"/>
      <c r="R100" s="115"/>
      <c r="S100" s="112"/>
      <c r="T100" s="115"/>
      <c r="U100" s="112"/>
      <c r="V100" s="115"/>
      <c r="W100" s="112"/>
      <c r="X100" s="115"/>
      <c r="Y100" s="112"/>
      <c r="Z100" s="115"/>
      <c r="AA100" s="112"/>
      <c r="AB100" s="115"/>
      <c r="AC100" s="112"/>
      <c r="AD100" s="113"/>
      <c r="AE100" s="114"/>
    </row>
    <row r="101" spans="1:31" ht="20.100000000000001" customHeight="1">
      <c r="A101" s="2"/>
      <c r="B101" s="3"/>
      <c r="C101" s="3"/>
      <c r="D101" s="2"/>
      <c r="E101" s="2"/>
      <c r="F101" s="115"/>
      <c r="G101" s="112">
        <f>F101*$D101</f>
        <v>0</v>
      </c>
      <c r="H101" s="115"/>
      <c r="I101" s="112">
        <f>H101*$D101</f>
        <v>0</v>
      </c>
      <c r="J101" s="115"/>
      <c r="K101" s="112">
        <f>J101*$D101</f>
        <v>0</v>
      </c>
      <c r="L101" s="115"/>
      <c r="M101" s="112">
        <f>L101*$D101</f>
        <v>0</v>
      </c>
      <c r="N101" s="115"/>
      <c r="O101" s="112">
        <f>N101*$D101</f>
        <v>0</v>
      </c>
      <c r="P101" s="115"/>
      <c r="Q101" s="112">
        <f>P101*$D101</f>
        <v>0</v>
      </c>
      <c r="R101" s="115"/>
      <c r="S101" s="112">
        <f>R101*$D101</f>
        <v>0</v>
      </c>
      <c r="T101" s="115"/>
      <c r="U101" s="112">
        <f>T101*$D101</f>
        <v>0</v>
      </c>
      <c r="V101" s="115"/>
      <c r="W101" s="112">
        <f>V101*$D101</f>
        <v>0</v>
      </c>
      <c r="X101" s="115"/>
      <c r="Y101" s="112">
        <f>X101*$D101</f>
        <v>0</v>
      </c>
      <c r="Z101" s="115"/>
      <c r="AA101" s="112">
        <f>Z101*$D101</f>
        <v>0</v>
      </c>
      <c r="AB101" s="115"/>
      <c r="AC101" s="112">
        <f>AB101*$D101</f>
        <v>0</v>
      </c>
      <c r="AD101" s="113">
        <f t="shared" ref="AD101:AD125" si="52">(AB101+Z101+X101+V101+T101+R101+P101+N101+L101+J101+H101+F101)/12</f>
        <v>0</v>
      </c>
      <c r="AE101" s="114"/>
    </row>
    <row r="102" spans="1:31" ht="20.100000000000001" customHeight="1">
      <c r="A102" s="2">
        <v>81</v>
      </c>
      <c r="B102" s="5" t="s">
        <v>84</v>
      </c>
      <c r="C102" s="3" t="s">
        <v>14</v>
      </c>
      <c r="D102" s="2">
        <v>0.64</v>
      </c>
      <c r="E102" s="2" t="s">
        <v>25</v>
      </c>
      <c r="F102" s="115"/>
      <c r="G102" s="112">
        <f>F102*$D102</f>
        <v>0</v>
      </c>
      <c r="H102" s="115"/>
      <c r="I102" s="112">
        <f>H102*$D102</f>
        <v>0</v>
      </c>
      <c r="J102" s="115"/>
      <c r="K102" s="112">
        <f>J102*$D102</f>
        <v>0</v>
      </c>
      <c r="L102" s="115"/>
      <c r="M102" s="112">
        <f>L102*$D102</f>
        <v>0</v>
      </c>
      <c r="N102" s="115"/>
      <c r="O102" s="112">
        <f>N102*$D102</f>
        <v>0</v>
      </c>
      <c r="P102" s="115"/>
      <c r="Q102" s="112">
        <f>P102*$D102</f>
        <v>0</v>
      </c>
      <c r="R102" s="115"/>
      <c r="S102" s="112">
        <f>R102*$D102</f>
        <v>0</v>
      </c>
      <c r="T102" s="115"/>
      <c r="U102" s="112">
        <f>T102*$D102</f>
        <v>0</v>
      </c>
      <c r="V102" s="115"/>
      <c r="W102" s="112">
        <f>V102*$D102</f>
        <v>0</v>
      </c>
      <c r="X102" s="115"/>
      <c r="Y102" s="112">
        <f>X102*$D102</f>
        <v>0</v>
      </c>
      <c r="Z102" s="115"/>
      <c r="AA102" s="112">
        <f>Z102*$D102</f>
        <v>0</v>
      </c>
      <c r="AB102" s="115"/>
      <c r="AC102" s="112">
        <f>AB102*$D102</f>
        <v>0</v>
      </c>
      <c r="AD102" s="113">
        <f>(AB102+Z102+X102+V102+T102+R102+P102+N102+L102+J102+H102+F102)/12</f>
        <v>0</v>
      </c>
      <c r="AE102" s="114">
        <f>AD102*$D102</f>
        <v>0</v>
      </c>
    </row>
    <row r="103" spans="1:31" ht="20.100000000000001" customHeight="1">
      <c r="A103" s="2">
        <v>82</v>
      </c>
      <c r="B103" s="5" t="s">
        <v>84</v>
      </c>
      <c r="C103" s="3" t="s">
        <v>17</v>
      </c>
      <c r="D103" s="2">
        <v>0.6</v>
      </c>
      <c r="E103" s="2"/>
      <c r="F103" s="115"/>
      <c r="G103" s="112"/>
      <c r="H103" s="115"/>
      <c r="I103" s="112"/>
      <c r="J103" s="115"/>
      <c r="K103" s="112"/>
      <c r="L103" s="115"/>
      <c r="M103" s="112"/>
      <c r="N103" s="115"/>
      <c r="O103" s="112"/>
      <c r="P103" s="115"/>
      <c r="Q103" s="112"/>
      <c r="R103" s="115"/>
      <c r="S103" s="112"/>
      <c r="T103" s="115"/>
      <c r="U103" s="112"/>
      <c r="V103" s="115"/>
      <c r="W103" s="112"/>
      <c r="X103" s="115"/>
      <c r="Y103" s="112"/>
      <c r="Z103" s="115"/>
      <c r="AA103" s="112"/>
      <c r="AB103" s="115"/>
      <c r="AC103" s="112"/>
      <c r="AD103" s="113"/>
      <c r="AE103" s="114"/>
    </row>
    <row r="104" spans="1:31" ht="20.100000000000001" customHeight="1">
      <c r="A104" s="2"/>
      <c r="B104" s="3"/>
      <c r="C104" s="3"/>
      <c r="D104" s="2"/>
      <c r="E104" s="2"/>
      <c r="F104" s="115"/>
      <c r="G104" s="112"/>
      <c r="H104" s="115"/>
      <c r="I104" s="112"/>
      <c r="J104" s="115"/>
      <c r="K104" s="112"/>
      <c r="L104" s="115"/>
      <c r="M104" s="112"/>
      <c r="N104" s="115"/>
      <c r="O104" s="112"/>
      <c r="P104" s="115"/>
      <c r="Q104" s="112"/>
      <c r="R104" s="115"/>
      <c r="S104" s="112"/>
      <c r="T104" s="115"/>
      <c r="U104" s="112"/>
      <c r="V104" s="115"/>
      <c r="W104" s="112"/>
      <c r="X104" s="115"/>
      <c r="Y104" s="112"/>
      <c r="Z104" s="115"/>
      <c r="AA104" s="112"/>
      <c r="AB104" s="115"/>
      <c r="AC104" s="112"/>
      <c r="AD104" s="113"/>
      <c r="AE104" s="114"/>
    </row>
    <row r="105" spans="1:31" ht="20.100000000000001" customHeight="1">
      <c r="A105" s="2">
        <v>83</v>
      </c>
      <c r="B105" s="5" t="s">
        <v>85</v>
      </c>
      <c r="C105" s="3" t="s">
        <v>17</v>
      </c>
      <c r="D105" s="2">
        <v>1</v>
      </c>
      <c r="E105" s="2"/>
      <c r="F105" s="115"/>
      <c r="G105" s="112"/>
      <c r="H105" s="115"/>
      <c r="I105" s="112"/>
      <c r="J105" s="115"/>
      <c r="K105" s="112"/>
      <c r="L105" s="115"/>
      <c r="M105" s="112"/>
      <c r="N105" s="115"/>
      <c r="O105" s="112"/>
      <c r="P105" s="115"/>
      <c r="Q105" s="112"/>
      <c r="R105" s="115"/>
      <c r="S105" s="112"/>
      <c r="T105" s="115"/>
      <c r="U105" s="112"/>
      <c r="V105" s="115"/>
      <c r="W105" s="112"/>
      <c r="X105" s="115"/>
      <c r="Y105" s="112"/>
      <c r="Z105" s="115"/>
      <c r="AA105" s="112"/>
      <c r="AB105" s="115"/>
      <c r="AC105" s="112"/>
      <c r="AD105" s="113"/>
      <c r="AE105" s="114"/>
    </row>
    <row r="106" spans="1:31" ht="20.100000000000001" customHeight="1">
      <c r="A106" s="2">
        <v>84</v>
      </c>
      <c r="B106" s="5" t="s">
        <v>85</v>
      </c>
      <c r="C106" s="3" t="s">
        <v>14</v>
      </c>
      <c r="D106" s="2">
        <v>0.64</v>
      </c>
      <c r="E106" s="2" t="s">
        <v>25</v>
      </c>
      <c r="F106" s="115"/>
      <c r="G106" s="112">
        <f>F106*$D106</f>
        <v>0</v>
      </c>
      <c r="H106" s="115"/>
      <c r="I106" s="112">
        <f>H106*$D106</f>
        <v>0</v>
      </c>
      <c r="J106" s="115"/>
      <c r="K106" s="112">
        <f>J106*$D106</f>
        <v>0</v>
      </c>
      <c r="L106" s="115"/>
      <c r="M106" s="112">
        <f>L106*$D106</f>
        <v>0</v>
      </c>
      <c r="N106" s="115"/>
      <c r="O106" s="112">
        <f>N106*$D106</f>
        <v>0</v>
      </c>
      <c r="P106" s="115"/>
      <c r="Q106" s="112">
        <f>P106*$D106</f>
        <v>0</v>
      </c>
      <c r="R106" s="115"/>
      <c r="S106" s="112">
        <f>R106*$D106</f>
        <v>0</v>
      </c>
      <c r="T106" s="115"/>
      <c r="U106" s="112">
        <f>T106*$D106</f>
        <v>0</v>
      </c>
      <c r="V106" s="115"/>
      <c r="W106" s="112">
        <f>V106*$D106</f>
        <v>0</v>
      </c>
      <c r="X106" s="115"/>
      <c r="Y106" s="112">
        <f>X106*$D106</f>
        <v>0</v>
      </c>
      <c r="Z106" s="115"/>
      <c r="AA106" s="112">
        <f>Z106*$D106</f>
        <v>0</v>
      </c>
      <c r="AB106" s="115"/>
      <c r="AC106" s="112">
        <f>AB106*$D106</f>
        <v>0</v>
      </c>
      <c r="AD106" s="113">
        <f>(AB106+Z106+X106+V106+T106+R106+P106+N106+L106+J106+H106+F106)/12</f>
        <v>0</v>
      </c>
      <c r="AE106" s="114">
        <f>AD106*$D106</f>
        <v>0</v>
      </c>
    </row>
    <row r="107" spans="1:31" ht="20.100000000000001" customHeight="1">
      <c r="A107" s="2"/>
      <c r="B107" s="3"/>
      <c r="C107" s="3"/>
      <c r="D107" s="2"/>
      <c r="E107" s="2"/>
      <c r="F107" s="115"/>
      <c r="G107" s="112"/>
      <c r="H107" s="115"/>
      <c r="I107" s="112"/>
      <c r="J107" s="115"/>
      <c r="K107" s="112"/>
      <c r="L107" s="115"/>
      <c r="M107" s="112"/>
      <c r="N107" s="115"/>
      <c r="O107" s="112"/>
      <c r="P107" s="115"/>
      <c r="Q107" s="112"/>
      <c r="R107" s="115"/>
      <c r="S107" s="112"/>
      <c r="T107" s="115"/>
      <c r="U107" s="112"/>
      <c r="V107" s="115"/>
      <c r="W107" s="112"/>
      <c r="X107" s="115"/>
      <c r="Y107" s="112"/>
      <c r="Z107" s="115"/>
      <c r="AA107" s="112"/>
      <c r="AB107" s="115"/>
      <c r="AC107" s="112"/>
      <c r="AD107" s="113"/>
      <c r="AE107" s="114"/>
    </row>
    <row r="108" spans="1:31" ht="20.100000000000001" customHeight="1">
      <c r="A108" s="2">
        <v>85</v>
      </c>
      <c r="B108" s="3" t="s">
        <v>86</v>
      </c>
      <c r="C108" s="3" t="s">
        <v>14</v>
      </c>
      <c r="D108" s="2">
        <v>0.7</v>
      </c>
      <c r="E108" s="2" t="s">
        <v>15</v>
      </c>
      <c r="F108" s="111">
        <v>404</v>
      </c>
      <c r="G108" s="112">
        <f t="shared" ref="G108:I117" si="53">F108*$D108</f>
        <v>282.79999999999995</v>
      </c>
      <c r="H108" s="111">
        <v>592</v>
      </c>
      <c r="I108" s="112">
        <f t="shared" si="53"/>
        <v>414.4</v>
      </c>
      <c r="J108" s="111">
        <v>866</v>
      </c>
      <c r="K108" s="112">
        <f t="shared" ref="K108:K117" si="54">J108*$D108</f>
        <v>606.19999999999993</v>
      </c>
      <c r="L108" s="111">
        <v>636</v>
      </c>
      <c r="M108" s="112">
        <f t="shared" ref="M108:M117" si="55">L108*$D108</f>
        <v>445.2</v>
      </c>
      <c r="N108" s="111">
        <v>977</v>
      </c>
      <c r="O108" s="112">
        <f t="shared" ref="O108:O117" si="56">N108*$D108</f>
        <v>683.9</v>
      </c>
      <c r="P108" s="111">
        <v>468</v>
      </c>
      <c r="Q108" s="112">
        <f t="shared" ref="Q108:Q117" si="57">P108*$D108</f>
        <v>327.59999999999997</v>
      </c>
      <c r="R108" s="111">
        <v>96</v>
      </c>
      <c r="S108" s="112">
        <f t="shared" ref="S108:S117" si="58">R108*$D108</f>
        <v>67.199999999999989</v>
      </c>
      <c r="T108" s="111">
        <v>396</v>
      </c>
      <c r="U108" s="112">
        <f t="shared" ref="U108:U117" si="59">T108*$D108</f>
        <v>277.2</v>
      </c>
      <c r="V108" s="111">
        <v>24</v>
      </c>
      <c r="W108" s="112">
        <f t="shared" ref="W108:W117" si="60">V108*$D108</f>
        <v>16.799999999999997</v>
      </c>
      <c r="X108" s="111">
        <v>845</v>
      </c>
      <c r="Y108" s="112">
        <f t="shared" ref="Y108:Y117" si="61">X108*$D108</f>
        <v>591.5</v>
      </c>
      <c r="Z108" s="111">
        <v>1146</v>
      </c>
      <c r="AA108" s="112">
        <f t="shared" ref="AA108:AA117" si="62">Z108*$D108</f>
        <v>802.19999999999993</v>
      </c>
      <c r="AB108" s="111">
        <v>759</v>
      </c>
      <c r="AC108" s="112">
        <f t="shared" ref="AC108:AC117" si="63">AB108*$D108</f>
        <v>531.29999999999995</v>
      </c>
      <c r="AD108" s="113">
        <f>(AB108+Z108+X108+V108+T108+R108+P108+N108+L108+J108+H108+F108)</f>
        <v>7209</v>
      </c>
      <c r="AE108" s="114">
        <f>AD108*$D108</f>
        <v>5046.2999999999993</v>
      </c>
    </row>
    <row r="109" spans="1:31" ht="20.100000000000001" customHeight="1">
      <c r="A109" s="2">
        <v>86</v>
      </c>
      <c r="B109" s="3" t="s">
        <v>87</v>
      </c>
      <c r="C109" s="3" t="s">
        <v>14</v>
      </c>
      <c r="D109" s="2">
        <v>0.35</v>
      </c>
      <c r="E109" s="2" t="s">
        <v>24</v>
      </c>
      <c r="F109" s="111"/>
      <c r="G109" s="112">
        <f t="shared" si="53"/>
        <v>0</v>
      </c>
      <c r="H109" s="111"/>
      <c r="I109" s="112">
        <f t="shared" si="53"/>
        <v>0</v>
      </c>
      <c r="J109" s="111"/>
      <c r="K109" s="112">
        <f t="shared" si="54"/>
        <v>0</v>
      </c>
      <c r="L109" s="111"/>
      <c r="M109" s="112">
        <f t="shared" si="55"/>
        <v>0</v>
      </c>
      <c r="N109" s="111"/>
      <c r="O109" s="112">
        <f t="shared" si="56"/>
        <v>0</v>
      </c>
      <c r="P109" s="111"/>
      <c r="Q109" s="112">
        <f t="shared" si="57"/>
        <v>0</v>
      </c>
      <c r="R109" s="111"/>
      <c r="S109" s="112">
        <f t="shared" si="58"/>
        <v>0</v>
      </c>
      <c r="T109" s="111">
        <v>372</v>
      </c>
      <c r="U109" s="112">
        <f t="shared" si="59"/>
        <v>130.19999999999999</v>
      </c>
      <c r="V109" s="111"/>
      <c r="W109" s="112">
        <f t="shared" si="60"/>
        <v>0</v>
      </c>
      <c r="X109" s="111">
        <v>1379</v>
      </c>
      <c r="Y109" s="112">
        <f t="shared" si="61"/>
        <v>482.65</v>
      </c>
      <c r="Z109" s="111">
        <v>476</v>
      </c>
      <c r="AA109" s="112">
        <f t="shared" si="62"/>
        <v>166.6</v>
      </c>
      <c r="AB109" s="111">
        <v>427</v>
      </c>
      <c r="AC109" s="112">
        <f t="shared" si="63"/>
        <v>149.44999999999999</v>
      </c>
      <c r="AD109" s="113">
        <f>(AB109+Z109+X109+V109+T109+R109+P109+N109+L109+J109+H109+F109)</f>
        <v>2654</v>
      </c>
      <c r="AE109" s="114">
        <f>AD109*$D109</f>
        <v>928.9</v>
      </c>
    </row>
    <row r="110" spans="1:31" ht="20.100000000000001" customHeight="1">
      <c r="A110" s="2"/>
      <c r="B110" s="3"/>
      <c r="C110" s="3"/>
      <c r="D110" s="2"/>
      <c r="E110" s="2"/>
      <c r="F110" s="115"/>
      <c r="G110" s="112">
        <f t="shared" si="53"/>
        <v>0</v>
      </c>
      <c r="H110" s="115"/>
      <c r="I110" s="112">
        <f t="shared" si="53"/>
        <v>0</v>
      </c>
      <c r="J110" s="115"/>
      <c r="K110" s="112">
        <f t="shared" si="54"/>
        <v>0</v>
      </c>
      <c r="L110" s="115"/>
      <c r="M110" s="112">
        <f t="shared" si="55"/>
        <v>0</v>
      </c>
      <c r="N110" s="115"/>
      <c r="O110" s="112">
        <f t="shared" si="56"/>
        <v>0</v>
      </c>
      <c r="P110" s="115"/>
      <c r="Q110" s="112">
        <f t="shared" si="57"/>
        <v>0</v>
      </c>
      <c r="R110" s="115"/>
      <c r="S110" s="112">
        <f t="shared" si="58"/>
        <v>0</v>
      </c>
      <c r="T110" s="115"/>
      <c r="U110" s="112">
        <f t="shared" si="59"/>
        <v>0</v>
      </c>
      <c r="V110" s="115"/>
      <c r="W110" s="112">
        <f t="shared" si="60"/>
        <v>0</v>
      </c>
      <c r="X110" s="115"/>
      <c r="Y110" s="112">
        <f t="shared" si="61"/>
        <v>0</v>
      </c>
      <c r="Z110" s="115"/>
      <c r="AA110" s="112">
        <f t="shared" si="62"/>
        <v>0</v>
      </c>
      <c r="AB110" s="115"/>
      <c r="AC110" s="112">
        <f t="shared" si="63"/>
        <v>0</v>
      </c>
      <c r="AD110" s="113">
        <f t="shared" ref="AD110:AD120" si="64">(AB110+Z110+X110+V110+T110+R110+P110+N110+L110+J110+H110+F110)</f>
        <v>0</v>
      </c>
      <c r="AE110" s="114">
        <f t="shared" ref="AE110:AE122" si="65">AD110*$D110</f>
        <v>0</v>
      </c>
    </row>
    <row r="111" spans="1:31" ht="20.100000000000001" customHeight="1">
      <c r="A111" s="2">
        <v>87</v>
      </c>
      <c r="B111" s="3" t="s">
        <v>88</v>
      </c>
      <c r="C111" s="3" t="s">
        <v>17</v>
      </c>
      <c r="D111" s="2">
        <v>1</v>
      </c>
      <c r="E111" s="2" t="s">
        <v>15</v>
      </c>
      <c r="F111" s="115"/>
      <c r="G111" s="112">
        <f t="shared" si="53"/>
        <v>0</v>
      </c>
      <c r="H111" s="115"/>
      <c r="I111" s="112">
        <f t="shared" si="53"/>
        <v>0</v>
      </c>
      <c r="J111" s="115"/>
      <c r="K111" s="112">
        <f t="shared" si="54"/>
        <v>0</v>
      </c>
      <c r="L111" s="115"/>
      <c r="M111" s="112">
        <f t="shared" si="55"/>
        <v>0</v>
      </c>
      <c r="N111" s="115"/>
      <c r="O111" s="112">
        <f t="shared" si="56"/>
        <v>0</v>
      </c>
      <c r="P111" s="115"/>
      <c r="Q111" s="112">
        <f t="shared" si="57"/>
        <v>0</v>
      </c>
      <c r="R111" s="115"/>
      <c r="S111" s="112">
        <f t="shared" si="58"/>
        <v>0</v>
      </c>
      <c r="T111" s="115"/>
      <c r="U111" s="112">
        <f t="shared" si="59"/>
        <v>0</v>
      </c>
      <c r="V111" s="115"/>
      <c r="W111" s="112">
        <f t="shared" si="60"/>
        <v>0</v>
      </c>
      <c r="X111" s="115"/>
      <c r="Y111" s="112">
        <f t="shared" si="61"/>
        <v>0</v>
      </c>
      <c r="Z111" s="115"/>
      <c r="AA111" s="112">
        <f t="shared" si="62"/>
        <v>0</v>
      </c>
      <c r="AB111" s="115"/>
      <c r="AC111" s="112">
        <f t="shared" si="63"/>
        <v>0</v>
      </c>
      <c r="AD111" s="113">
        <f t="shared" si="64"/>
        <v>0</v>
      </c>
      <c r="AE111" s="114">
        <f t="shared" si="65"/>
        <v>0</v>
      </c>
    </row>
    <row r="112" spans="1:31" ht="20.100000000000001" customHeight="1">
      <c r="A112" s="2">
        <v>88</v>
      </c>
      <c r="B112" s="3" t="s">
        <v>89</v>
      </c>
      <c r="C112" s="3" t="s">
        <v>17</v>
      </c>
      <c r="D112" s="2">
        <v>1</v>
      </c>
      <c r="E112" s="2" t="s">
        <v>90</v>
      </c>
      <c r="F112" s="115"/>
      <c r="G112" s="112">
        <f t="shared" si="53"/>
        <v>0</v>
      </c>
      <c r="H112" s="115"/>
      <c r="I112" s="112">
        <f t="shared" si="53"/>
        <v>0</v>
      </c>
      <c r="J112" s="115"/>
      <c r="K112" s="112">
        <f t="shared" si="54"/>
        <v>0</v>
      </c>
      <c r="L112" s="115"/>
      <c r="M112" s="112">
        <f t="shared" si="55"/>
        <v>0</v>
      </c>
      <c r="N112" s="115"/>
      <c r="O112" s="112">
        <f t="shared" si="56"/>
        <v>0</v>
      </c>
      <c r="P112" s="115"/>
      <c r="Q112" s="112">
        <f t="shared" si="57"/>
        <v>0</v>
      </c>
      <c r="R112" s="115"/>
      <c r="S112" s="112">
        <f t="shared" si="58"/>
        <v>0</v>
      </c>
      <c r="T112" s="115"/>
      <c r="U112" s="112">
        <f t="shared" si="59"/>
        <v>0</v>
      </c>
      <c r="V112" s="115"/>
      <c r="W112" s="112">
        <f t="shared" si="60"/>
        <v>0</v>
      </c>
      <c r="X112" s="115"/>
      <c r="Y112" s="112">
        <f t="shared" si="61"/>
        <v>0</v>
      </c>
      <c r="Z112" s="115"/>
      <c r="AA112" s="112">
        <f t="shared" si="62"/>
        <v>0</v>
      </c>
      <c r="AB112" s="115"/>
      <c r="AC112" s="112">
        <f t="shared" si="63"/>
        <v>0</v>
      </c>
      <c r="AD112" s="113">
        <f t="shared" si="64"/>
        <v>0</v>
      </c>
      <c r="AE112" s="114">
        <f t="shared" si="65"/>
        <v>0</v>
      </c>
    </row>
    <row r="113" spans="1:31" ht="20.100000000000001" customHeight="1">
      <c r="A113" s="2">
        <v>89</v>
      </c>
      <c r="B113" s="3" t="s">
        <v>91</v>
      </c>
      <c r="C113" s="3" t="s">
        <v>17</v>
      </c>
      <c r="D113" s="2">
        <v>1</v>
      </c>
      <c r="E113" s="2" t="s">
        <v>24</v>
      </c>
      <c r="F113" s="115"/>
      <c r="G113" s="112">
        <f t="shared" si="53"/>
        <v>0</v>
      </c>
      <c r="H113" s="115"/>
      <c r="I113" s="112">
        <f t="shared" si="53"/>
        <v>0</v>
      </c>
      <c r="J113" s="115"/>
      <c r="K113" s="112">
        <f t="shared" si="54"/>
        <v>0</v>
      </c>
      <c r="L113" s="115"/>
      <c r="M113" s="112">
        <f t="shared" si="55"/>
        <v>0</v>
      </c>
      <c r="N113" s="115"/>
      <c r="O113" s="112">
        <f t="shared" si="56"/>
        <v>0</v>
      </c>
      <c r="P113" s="115"/>
      <c r="Q113" s="112">
        <f t="shared" si="57"/>
        <v>0</v>
      </c>
      <c r="R113" s="115"/>
      <c r="S113" s="112">
        <f t="shared" si="58"/>
        <v>0</v>
      </c>
      <c r="T113" s="115"/>
      <c r="U113" s="112">
        <f t="shared" si="59"/>
        <v>0</v>
      </c>
      <c r="V113" s="115"/>
      <c r="W113" s="112">
        <f t="shared" si="60"/>
        <v>0</v>
      </c>
      <c r="X113" s="115"/>
      <c r="Y113" s="112">
        <f t="shared" si="61"/>
        <v>0</v>
      </c>
      <c r="Z113" s="115"/>
      <c r="AA113" s="112">
        <f t="shared" si="62"/>
        <v>0</v>
      </c>
      <c r="AB113" s="115"/>
      <c r="AC113" s="112">
        <f t="shared" si="63"/>
        <v>0</v>
      </c>
      <c r="AD113" s="113">
        <f t="shared" si="64"/>
        <v>0</v>
      </c>
      <c r="AE113" s="114">
        <f t="shared" si="65"/>
        <v>0</v>
      </c>
    </row>
    <row r="114" spans="1:31" ht="20.100000000000001" customHeight="1">
      <c r="A114" s="2">
        <v>90</v>
      </c>
      <c r="B114" s="3" t="s">
        <v>92</v>
      </c>
      <c r="C114" s="3" t="s">
        <v>14</v>
      </c>
      <c r="D114" s="2">
        <v>0.64</v>
      </c>
      <c r="E114" s="2" t="s">
        <v>24</v>
      </c>
      <c r="F114" s="111">
        <v>201961</v>
      </c>
      <c r="G114" s="112">
        <f t="shared" si="53"/>
        <v>129255.04000000001</v>
      </c>
      <c r="H114" s="111">
        <v>171588</v>
      </c>
      <c r="I114" s="112">
        <f t="shared" si="53"/>
        <v>109816.32000000001</v>
      </c>
      <c r="J114" s="111">
        <v>193632</v>
      </c>
      <c r="K114" s="112">
        <f t="shared" si="54"/>
        <v>123924.48</v>
      </c>
      <c r="L114" s="111">
        <v>167880</v>
      </c>
      <c r="M114" s="112">
        <f t="shared" si="55"/>
        <v>107443.2</v>
      </c>
      <c r="N114" s="111">
        <v>178684</v>
      </c>
      <c r="O114" s="112">
        <f t="shared" si="56"/>
        <v>114357.76000000001</v>
      </c>
      <c r="P114" s="111">
        <v>175704</v>
      </c>
      <c r="Q114" s="112">
        <f t="shared" si="57"/>
        <v>112450.56</v>
      </c>
      <c r="R114" s="111">
        <v>171550</v>
      </c>
      <c r="S114" s="112">
        <f t="shared" si="58"/>
        <v>109792</v>
      </c>
      <c r="T114" s="111">
        <v>188352</v>
      </c>
      <c r="U114" s="112">
        <f t="shared" si="59"/>
        <v>120545.28</v>
      </c>
      <c r="V114" s="111">
        <v>185043</v>
      </c>
      <c r="W114" s="112">
        <f t="shared" si="60"/>
        <v>118427.52</v>
      </c>
      <c r="X114" s="111">
        <v>197568</v>
      </c>
      <c r="Y114" s="112">
        <f t="shared" si="61"/>
        <v>126443.52</v>
      </c>
      <c r="Z114" s="111">
        <v>212496</v>
      </c>
      <c r="AA114" s="112">
        <f t="shared" si="62"/>
        <v>135997.44</v>
      </c>
      <c r="AB114" s="111">
        <v>210283</v>
      </c>
      <c r="AC114" s="112">
        <f t="shared" si="63"/>
        <v>134581.12</v>
      </c>
      <c r="AD114" s="113">
        <f t="shared" si="64"/>
        <v>2254741</v>
      </c>
      <c r="AE114" s="114">
        <f t="shared" si="65"/>
        <v>1443034.24</v>
      </c>
    </row>
    <row r="115" spans="1:31" ht="20.100000000000001" customHeight="1">
      <c r="A115" s="2">
        <v>91</v>
      </c>
      <c r="B115" s="3" t="s">
        <v>93</v>
      </c>
      <c r="C115" s="3" t="s">
        <v>14</v>
      </c>
      <c r="D115" s="2">
        <v>0.64</v>
      </c>
      <c r="E115" s="2" t="s">
        <v>25</v>
      </c>
      <c r="F115" s="111">
        <v>20902</v>
      </c>
      <c r="G115" s="112">
        <f t="shared" si="53"/>
        <v>13377.28</v>
      </c>
      <c r="H115" s="111">
        <v>17052</v>
      </c>
      <c r="I115" s="112">
        <f t="shared" si="53"/>
        <v>10913.28</v>
      </c>
      <c r="J115" s="111">
        <v>20062</v>
      </c>
      <c r="K115" s="112">
        <f t="shared" si="54"/>
        <v>12839.68</v>
      </c>
      <c r="L115" s="111">
        <v>15960</v>
      </c>
      <c r="M115" s="112">
        <f t="shared" si="55"/>
        <v>10214.4</v>
      </c>
      <c r="N115" s="111">
        <v>20048</v>
      </c>
      <c r="O115" s="112">
        <f t="shared" si="56"/>
        <v>12830.720000000001</v>
      </c>
      <c r="P115" s="111">
        <v>16450</v>
      </c>
      <c r="Q115" s="112">
        <f t="shared" si="57"/>
        <v>10528</v>
      </c>
      <c r="R115" s="111">
        <v>17010</v>
      </c>
      <c r="S115" s="112">
        <f t="shared" si="58"/>
        <v>10886.4</v>
      </c>
      <c r="T115" s="111">
        <v>15974</v>
      </c>
      <c r="U115" s="112">
        <f t="shared" si="59"/>
        <v>10223.36</v>
      </c>
      <c r="V115" s="111">
        <v>13356</v>
      </c>
      <c r="W115" s="112">
        <f t="shared" si="60"/>
        <v>8547.84</v>
      </c>
      <c r="X115" s="111">
        <v>19488</v>
      </c>
      <c r="Y115" s="112">
        <f t="shared" si="61"/>
        <v>12472.32</v>
      </c>
      <c r="Z115" s="111">
        <v>11046</v>
      </c>
      <c r="AA115" s="112">
        <f t="shared" si="62"/>
        <v>7069.4400000000005</v>
      </c>
      <c r="AB115" s="111">
        <v>23226</v>
      </c>
      <c r="AC115" s="112">
        <f t="shared" si="63"/>
        <v>14864.64</v>
      </c>
      <c r="AD115" s="113">
        <f t="shared" si="64"/>
        <v>210574</v>
      </c>
      <c r="AE115" s="114">
        <f t="shared" si="65"/>
        <v>134767.36000000002</v>
      </c>
    </row>
    <row r="116" spans="1:31" ht="20.100000000000001" customHeight="1">
      <c r="A116" s="2">
        <v>92</v>
      </c>
      <c r="B116" s="3" t="s">
        <v>94</v>
      </c>
      <c r="C116" s="3" t="s">
        <v>14</v>
      </c>
      <c r="D116" s="2">
        <v>0.64</v>
      </c>
      <c r="E116" s="2" t="s">
        <v>24</v>
      </c>
      <c r="F116" s="111">
        <v>8544</v>
      </c>
      <c r="G116" s="112">
        <f t="shared" si="53"/>
        <v>5468.16</v>
      </c>
      <c r="H116" s="111">
        <v>9480</v>
      </c>
      <c r="I116" s="112">
        <f t="shared" si="53"/>
        <v>6067.2</v>
      </c>
      <c r="J116" s="111">
        <v>11496</v>
      </c>
      <c r="K116" s="112">
        <f t="shared" si="54"/>
        <v>7357.4400000000005</v>
      </c>
      <c r="L116" s="111">
        <v>7848</v>
      </c>
      <c r="M116" s="112">
        <f t="shared" si="55"/>
        <v>5022.72</v>
      </c>
      <c r="N116" s="111">
        <v>7464</v>
      </c>
      <c r="O116" s="112">
        <f t="shared" si="56"/>
        <v>4776.96</v>
      </c>
      <c r="P116" s="111">
        <v>8832</v>
      </c>
      <c r="Q116" s="112">
        <f t="shared" si="57"/>
        <v>5652.4800000000005</v>
      </c>
      <c r="R116" s="111">
        <v>10368</v>
      </c>
      <c r="S116" s="112">
        <f t="shared" si="58"/>
        <v>6635.52</v>
      </c>
      <c r="T116" s="111">
        <v>10296</v>
      </c>
      <c r="U116" s="112">
        <f t="shared" si="59"/>
        <v>6589.4400000000005</v>
      </c>
      <c r="V116" s="111">
        <v>8378</v>
      </c>
      <c r="W116" s="112">
        <f t="shared" si="60"/>
        <v>5361.92</v>
      </c>
      <c r="X116" s="111">
        <v>10320</v>
      </c>
      <c r="Y116" s="112">
        <f t="shared" si="61"/>
        <v>6604.8</v>
      </c>
      <c r="Z116" s="111">
        <v>5712</v>
      </c>
      <c r="AA116" s="112">
        <f t="shared" si="62"/>
        <v>3655.6800000000003</v>
      </c>
      <c r="AB116" s="111">
        <v>10464</v>
      </c>
      <c r="AC116" s="112">
        <f t="shared" si="63"/>
        <v>6696.96</v>
      </c>
      <c r="AD116" s="113">
        <f t="shared" si="64"/>
        <v>109202</v>
      </c>
      <c r="AE116" s="114">
        <f t="shared" si="65"/>
        <v>69889.279999999999</v>
      </c>
    </row>
    <row r="117" spans="1:31" ht="20.100000000000001" customHeight="1">
      <c r="A117" s="2">
        <v>93</v>
      </c>
      <c r="B117" s="3" t="s">
        <v>95</v>
      </c>
      <c r="C117" s="3" t="s">
        <v>14</v>
      </c>
      <c r="D117" s="2">
        <v>0.64</v>
      </c>
      <c r="E117" s="2" t="s">
        <v>25</v>
      </c>
      <c r="F117" s="111">
        <v>6050</v>
      </c>
      <c r="G117" s="112">
        <f t="shared" si="53"/>
        <v>3872</v>
      </c>
      <c r="H117" s="111">
        <v>4746</v>
      </c>
      <c r="I117" s="112">
        <f t="shared" si="53"/>
        <v>3037.44</v>
      </c>
      <c r="J117" s="111">
        <v>5572</v>
      </c>
      <c r="K117" s="112">
        <f t="shared" si="54"/>
        <v>3566.08</v>
      </c>
      <c r="L117" s="111">
        <v>5418</v>
      </c>
      <c r="M117" s="112">
        <f t="shared" si="55"/>
        <v>3467.52</v>
      </c>
      <c r="N117" s="111">
        <v>4564</v>
      </c>
      <c r="O117" s="112">
        <f t="shared" si="56"/>
        <v>2920.96</v>
      </c>
      <c r="P117" s="111">
        <v>5320</v>
      </c>
      <c r="Q117" s="112">
        <f t="shared" si="57"/>
        <v>3404.8</v>
      </c>
      <c r="R117" s="111">
        <v>5754</v>
      </c>
      <c r="S117" s="112">
        <f t="shared" si="58"/>
        <v>3682.56</v>
      </c>
      <c r="T117" s="111">
        <v>6328</v>
      </c>
      <c r="U117" s="112">
        <f t="shared" si="59"/>
        <v>4049.92</v>
      </c>
      <c r="V117" s="111">
        <v>3976</v>
      </c>
      <c r="W117" s="112">
        <f t="shared" si="60"/>
        <v>2544.64</v>
      </c>
      <c r="X117" s="111">
        <v>5222</v>
      </c>
      <c r="Y117" s="112">
        <f t="shared" si="61"/>
        <v>3342.08</v>
      </c>
      <c r="Z117" s="111">
        <v>5026</v>
      </c>
      <c r="AA117" s="112">
        <f t="shared" si="62"/>
        <v>3216.64</v>
      </c>
      <c r="AB117" s="111">
        <v>5992</v>
      </c>
      <c r="AC117" s="112">
        <f t="shared" si="63"/>
        <v>3834.88</v>
      </c>
      <c r="AD117" s="113">
        <f t="shared" si="64"/>
        <v>63968</v>
      </c>
      <c r="AE117" s="114">
        <f t="shared" si="65"/>
        <v>40939.520000000004</v>
      </c>
    </row>
    <row r="118" spans="1:31" ht="20.100000000000001" customHeight="1">
      <c r="A118" s="2">
        <v>94</v>
      </c>
      <c r="B118" s="3" t="s">
        <v>96</v>
      </c>
      <c r="C118" s="3" t="s">
        <v>14</v>
      </c>
      <c r="D118" s="2">
        <v>0.64</v>
      </c>
      <c r="E118" s="2" t="s">
        <v>25</v>
      </c>
      <c r="F118" s="115"/>
      <c r="G118" s="112">
        <f>F118*$D118</f>
        <v>0</v>
      </c>
      <c r="H118" s="115"/>
      <c r="I118" s="112">
        <f>H118*$D118</f>
        <v>0</v>
      </c>
      <c r="J118" s="115"/>
      <c r="K118" s="112">
        <f>J118*$D118</f>
        <v>0</v>
      </c>
      <c r="L118" s="115"/>
      <c r="M118" s="112">
        <f>L118*$D118</f>
        <v>0</v>
      </c>
      <c r="N118" s="115"/>
      <c r="O118" s="112">
        <f>N118*$D118</f>
        <v>0</v>
      </c>
      <c r="P118" s="115"/>
      <c r="Q118" s="112">
        <f>P118*$D118</f>
        <v>0</v>
      </c>
      <c r="R118" s="115"/>
      <c r="S118" s="112">
        <f>R118*$D118</f>
        <v>0</v>
      </c>
      <c r="T118" s="115"/>
      <c r="U118" s="112">
        <f>T118*$D118</f>
        <v>0</v>
      </c>
      <c r="V118" s="115"/>
      <c r="W118" s="112">
        <f>V118*$D118</f>
        <v>0</v>
      </c>
      <c r="X118" s="115"/>
      <c r="Y118" s="112">
        <f>X118*$D118</f>
        <v>0</v>
      </c>
      <c r="Z118" s="115"/>
      <c r="AA118" s="112">
        <f>Z118*$D118</f>
        <v>0</v>
      </c>
      <c r="AB118" s="115"/>
      <c r="AC118" s="112">
        <f>AB118*$D118</f>
        <v>0</v>
      </c>
      <c r="AD118" s="113">
        <f t="shared" si="64"/>
        <v>0</v>
      </c>
      <c r="AE118" s="114">
        <f t="shared" si="65"/>
        <v>0</v>
      </c>
    </row>
    <row r="119" spans="1:31" ht="20.100000000000001" customHeight="1">
      <c r="A119" s="2">
        <v>95</v>
      </c>
      <c r="B119" s="3" t="s">
        <v>97</v>
      </c>
      <c r="C119" s="3" t="s">
        <v>14</v>
      </c>
      <c r="D119" s="2">
        <v>0.64</v>
      </c>
      <c r="E119" s="2" t="s">
        <v>25</v>
      </c>
      <c r="F119" s="115"/>
      <c r="G119" s="112">
        <f t="shared" ref="G119:I125" si="66">F119*$D119</f>
        <v>0</v>
      </c>
      <c r="H119" s="115"/>
      <c r="I119" s="112">
        <f t="shared" si="66"/>
        <v>0</v>
      </c>
      <c r="J119" s="115"/>
      <c r="K119" s="112">
        <f t="shared" ref="K119:K120" si="67">J119*$D119</f>
        <v>0</v>
      </c>
      <c r="L119" s="115"/>
      <c r="M119" s="112">
        <f t="shared" ref="M119:M120" si="68">L119*$D119</f>
        <v>0</v>
      </c>
      <c r="N119" s="115"/>
      <c r="O119" s="112">
        <f t="shared" ref="O119:O120" si="69">N119*$D119</f>
        <v>0</v>
      </c>
      <c r="P119" s="115"/>
      <c r="Q119" s="112">
        <f t="shared" ref="Q119:Q120" si="70">P119*$D119</f>
        <v>0</v>
      </c>
      <c r="R119" s="115"/>
      <c r="S119" s="112">
        <f t="shared" ref="S119:S120" si="71">R119*$D119</f>
        <v>0</v>
      </c>
      <c r="T119" s="115"/>
      <c r="U119" s="112">
        <f t="shared" ref="U119:U120" si="72">T119*$D119</f>
        <v>0</v>
      </c>
      <c r="V119" s="115"/>
      <c r="W119" s="112">
        <f t="shared" ref="W119:W120" si="73">V119*$D119</f>
        <v>0</v>
      </c>
      <c r="X119" s="115"/>
      <c r="Y119" s="112">
        <f t="shared" ref="Y119:Y120" si="74">X119*$D119</f>
        <v>0</v>
      </c>
      <c r="Z119" s="115"/>
      <c r="AA119" s="112">
        <f t="shared" ref="AA119:AA120" si="75">Z119*$D119</f>
        <v>0</v>
      </c>
      <c r="AB119" s="115"/>
      <c r="AC119" s="112">
        <f t="shared" ref="AC119:AC120" si="76">AB119*$D119</f>
        <v>0</v>
      </c>
      <c r="AD119" s="113">
        <f t="shared" si="64"/>
        <v>0</v>
      </c>
      <c r="AE119" s="114">
        <f t="shared" si="65"/>
        <v>0</v>
      </c>
    </row>
    <row r="120" spans="1:31" ht="20.100000000000001" customHeight="1">
      <c r="A120" s="2">
        <v>96</v>
      </c>
      <c r="B120" s="3" t="s">
        <v>98</v>
      </c>
      <c r="C120" s="3" t="s">
        <v>14</v>
      </c>
      <c r="D120" s="2">
        <v>0.64</v>
      </c>
      <c r="E120" s="2" t="s">
        <v>24</v>
      </c>
      <c r="F120" s="115"/>
      <c r="G120" s="112">
        <f t="shared" si="66"/>
        <v>0</v>
      </c>
      <c r="H120" s="115"/>
      <c r="I120" s="112">
        <f t="shared" si="66"/>
        <v>0</v>
      </c>
      <c r="J120" s="115"/>
      <c r="K120" s="112">
        <f t="shared" si="67"/>
        <v>0</v>
      </c>
      <c r="L120" s="115"/>
      <c r="M120" s="112">
        <f t="shared" si="68"/>
        <v>0</v>
      </c>
      <c r="N120" s="115"/>
      <c r="O120" s="112">
        <f t="shared" si="69"/>
        <v>0</v>
      </c>
      <c r="P120" s="115"/>
      <c r="Q120" s="112">
        <f t="shared" si="70"/>
        <v>0</v>
      </c>
      <c r="R120" s="115"/>
      <c r="S120" s="112">
        <f t="shared" si="71"/>
        <v>0</v>
      </c>
      <c r="T120" s="115"/>
      <c r="U120" s="112">
        <f t="shared" si="72"/>
        <v>0</v>
      </c>
      <c r="V120" s="115"/>
      <c r="W120" s="112">
        <f t="shared" si="73"/>
        <v>0</v>
      </c>
      <c r="X120" s="115"/>
      <c r="Y120" s="112">
        <f t="shared" si="74"/>
        <v>0</v>
      </c>
      <c r="Z120" s="115"/>
      <c r="AA120" s="112">
        <f t="shared" si="75"/>
        <v>0</v>
      </c>
      <c r="AB120" s="115"/>
      <c r="AC120" s="112">
        <f t="shared" si="76"/>
        <v>0</v>
      </c>
      <c r="AD120" s="113">
        <f t="shared" si="64"/>
        <v>0</v>
      </c>
      <c r="AE120" s="114">
        <f t="shared" si="65"/>
        <v>0</v>
      </c>
    </row>
    <row r="121" spans="1:31" ht="20.100000000000001" customHeight="1">
      <c r="A121" s="2">
        <v>97</v>
      </c>
      <c r="B121" s="3" t="s">
        <v>99</v>
      </c>
      <c r="C121" s="3"/>
      <c r="D121" s="2">
        <v>0.64</v>
      </c>
      <c r="E121" s="2"/>
      <c r="F121" s="115"/>
      <c r="G121" s="112"/>
      <c r="H121" s="115"/>
      <c r="I121" s="112"/>
      <c r="J121" s="115"/>
      <c r="K121" s="112"/>
      <c r="L121" s="115"/>
      <c r="M121" s="112"/>
      <c r="N121" s="115"/>
      <c r="O121" s="112"/>
      <c r="P121" s="115"/>
      <c r="Q121" s="112"/>
      <c r="R121" s="115"/>
      <c r="S121" s="112"/>
      <c r="T121" s="115"/>
      <c r="U121" s="112"/>
      <c r="V121" s="115"/>
      <c r="W121" s="112"/>
      <c r="X121" s="115"/>
      <c r="Y121" s="112"/>
      <c r="Z121" s="115"/>
      <c r="AA121" s="112"/>
      <c r="AB121" s="115"/>
      <c r="AC121" s="112"/>
      <c r="AD121" s="113"/>
      <c r="AE121" s="114"/>
    </row>
    <row r="122" spans="1:31" ht="20.100000000000001" customHeight="1">
      <c r="A122" s="2">
        <v>98</v>
      </c>
      <c r="B122" s="3" t="s">
        <v>100</v>
      </c>
      <c r="C122" s="3"/>
      <c r="D122" s="2">
        <v>0.64</v>
      </c>
      <c r="E122" s="2" t="s">
        <v>101</v>
      </c>
      <c r="F122" s="111">
        <v>1360</v>
      </c>
      <c r="G122" s="112">
        <f t="shared" si="66"/>
        <v>870.4</v>
      </c>
      <c r="H122" s="111">
        <v>782</v>
      </c>
      <c r="I122" s="112">
        <f t="shared" si="66"/>
        <v>500.48</v>
      </c>
      <c r="J122" s="111">
        <v>748</v>
      </c>
      <c r="K122" s="112">
        <f t="shared" ref="K122" si="77">J122*$D122</f>
        <v>478.72</v>
      </c>
      <c r="L122" s="111">
        <v>1292</v>
      </c>
      <c r="M122" s="112">
        <f t="shared" ref="M122" si="78">L122*$D122</f>
        <v>826.88</v>
      </c>
      <c r="N122" s="111">
        <v>714</v>
      </c>
      <c r="O122" s="112">
        <f t="shared" ref="O122" si="79">N122*$D122</f>
        <v>456.96000000000004</v>
      </c>
      <c r="P122" s="111">
        <v>748</v>
      </c>
      <c r="Q122" s="112">
        <f t="shared" ref="Q122" si="80">P122*$D122</f>
        <v>478.72</v>
      </c>
      <c r="R122" s="111">
        <v>748</v>
      </c>
      <c r="S122" s="112">
        <f t="shared" ref="S122" si="81">R122*$D122</f>
        <v>478.72</v>
      </c>
      <c r="T122" s="111">
        <v>1326</v>
      </c>
      <c r="U122" s="112">
        <f t="shared" ref="U122" si="82">T122*$D122</f>
        <v>848.64</v>
      </c>
      <c r="V122" s="111">
        <v>510</v>
      </c>
      <c r="W122" s="112">
        <f t="shared" ref="W122" si="83">V122*$D122</f>
        <v>326.40000000000003</v>
      </c>
      <c r="X122" s="111">
        <v>612</v>
      </c>
      <c r="Y122" s="112">
        <f t="shared" ref="Y122" si="84">X122*$D122</f>
        <v>391.68</v>
      </c>
      <c r="Z122" s="111">
        <v>1224</v>
      </c>
      <c r="AA122" s="112">
        <f t="shared" ref="AA122" si="85">Z122*$D122</f>
        <v>783.36</v>
      </c>
      <c r="AB122" s="111">
        <v>68</v>
      </c>
      <c r="AC122" s="112">
        <f t="shared" ref="AC122" si="86">AB122*$D122</f>
        <v>43.52</v>
      </c>
      <c r="AD122" s="113">
        <f>(AB122+Z122+X122+V122+T122+R122+P122+N122+L122+J122+H122+F122)</f>
        <v>10132</v>
      </c>
      <c r="AE122" s="114">
        <f t="shared" si="65"/>
        <v>6484.4800000000005</v>
      </c>
    </row>
    <row r="123" spans="1:31" ht="20.100000000000001" customHeight="1">
      <c r="A123" s="2"/>
      <c r="B123" s="3"/>
      <c r="C123" s="3"/>
      <c r="D123" s="2"/>
      <c r="E123" s="6"/>
      <c r="F123" s="115"/>
      <c r="G123" s="112"/>
      <c r="H123" s="115"/>
      <c r="I123" s="112"/>
      <c r="J123" s="115"/>
      <c r="K123" s="112"/>
      <c r="L123" s="115"/>
      <c r="M123" s="112"/>
      <c r="N123" s="115"/>
      <c r="O123" s="112"/>
      <c r="P123" s="115"/>
      <c r="Q123" s="112"/>
      <c r="R123" s="115"/>
      <c r="S123" s="112"/>
      <c r="T123" s="115"/>
      <c r="U123" s="112"/>
      <c r="V123" s="115"/>
      <c r="W123" s="112"/>
      <c r="X123" s="115"/>
      <c r="Y123" s="112"/>
      <c r="Z123" s="115"/>
      <c r="AA123" s="112"/>
      <c r="AB123" s="115"/>
      <c r="AC123" s="112"/>
      <c r="AD123" s="113"/>
      <c r="AE123" s="114"/>
    </row>
    <row r="124" spans="1:31" ht="20.100000000000001" customHeight="1">
      <c r="A124" s="2">
        <v>99</v>
      </c>
      <c r="B124" s="3" t="s">
        <v>102</v>
      </c>
      <c r="C124" s="3" t="s">
        <v>14</v>
      </c>
      <c r="D124" s="2">
        <v>0.7</v>
      </c>
      <c r="E124" s="2" t="s">
        <v>15</v>
      </c>
      <c r="F124" s="115"/>
      <c r="G124" s="112">
        <f t="shared" si="66"/>
        <v>0</v>
      </c>
      <c r="H124" s="115"/>
      <c r="I124" s="112">
        <f t="shared" si="66"/>
        <v>0</v>
      </c>
      <c r="J124" s="115"/>
      <c r="K124" s="112">
        <f t="shared" ref="K124:K125" si="87">J124*$D124</f>
        <v>0</v>
      </c>
      <c r="L124" s="115"/>
      <c r="M124" s="112">
        <f t="shared" ref="M124:M125" si="88">L124*$D124</f>
        <v>0</v>
      </c>
      <c r="N124" s="115"/>
      <c r="O124" s="112">
        <f t="shared" ref="O124:O125" si="89">N124*$D124</f>
        <v>0</v>
      </c>
      <c r="P124" s="115"/>
      <c r="Q124" s="112">
        <f t="shared" ref="Q124:Q125" si="90">P124*$D124</f>
        <v>0</v>
      </c>
      <c r="R124" s="115"/>
      <c r="S124" s="112">
        <f t="shared" ref="S124:S125" si="91">R124*$D124</f>
        <v>0</v>
      </c>
      <c r="T124" s="115"/>
      <c r="U124" s="112">
        <f t="shared" ref="U124:U125" si="92">T124*$D124</f>
        <v>0</v>
      </c>
      <c r="V124" s="115"/>
      <c r="W124" s="112">
        <f t="shared" ref="W124:W125" si="93">V124*$D124</f>
        <v>0</v>
      </c>
      <c r="X124" s="115"/>
      <c r="Y124" s="112">
        <f t="shared" ref="Y124:Y125" si="94">X124*$D124</f>
        <v>0</v>
      </c>
      <c r="Z124" s="115"/>
      <c r="AA124" s="112">
        <f t="shared" ref="AA124:AA125" si="95">Z124*$D124</f>
        <v>0</v>
      </c>
      <c r="AB124" s="115"/>
      <c r="AC124" s="112">
        <f t="shared" ref="AC124:AC125" si="96">AB124*$D124</f>
        <v>0</v>
      </c>
      <c r="AD124" s="113">
        <f t="shared" si="52"/>
        <v>0</v>
      </c>
      <c r="AE124" s="114">
        <f t="shared" ref="AE124:AE125" si="97">AD124*$D124</f>
        <v>0</v>
      </c>
    </row>
    <row r="125" spans="1:31" ht="20.100000000000001" customHeight="1">
      <c r="A125" s="2">
        <v>100</v>
      </c>
      <c r="B125" s="3" t="s">
        <v>103</v>
      </c>
      <c r="C125" s="3"/>
      <c r="D125" s="2">
        <v>20</v>
      </c>
      <c r="E125" s="2">
        <v>1</v>
      </c>
      <c r="F125" s="115"/>
      <c r="G125" s="112">
        <f t="shared" si="66"/>
        <v>0</v>
      </c>
      <c r="H125" s="115"/>
      <c r="I125" s="112">
        <f t="shared" si="66"/>
        <v>0</v>
      </c>
      <c r="J125" s="115"/>
      <c r="K125" s="112">
        <f t="shared" si="87"/>
        <v>0</v>
      </c>
      <c r="L125" s="115"/>
      <c r="M125" s="112">
        <f t="shared" si="88"/>
        <v>0</v>
      </c>
      <c r="N125" s="115"/>
      <c r="O125" s="112">
        <f t="shared" si="89"/>
        <v>0</v>
      </c>
      <c r="P125" s="115"/>
      <c r="Q125" s="112">
        <f t="shared" si="90"/>
        <v>0</v>
      </c>
      <c r="R125" s="115"/>
      <c r="S125" s="112">
        <f t="shared" si="91"/>
        <v>0</v>
      </c>
      <c r="T125" s="115"/>
      <c r="U125" s="112">
        <f t="shared" si="92"/>
        <v>0</v>
      </c>
      <c r="V125" s="115"/>
      <c r="W125" s="112">
        <f t="shared" si="93"/>
        <v>0</v>
      </c>
      <c r="X125" s="115"/>
      <c r="Y125" s="112">
        <f t="shared" si="94"/>
        <v>0</v>
      </c>
      <c r="Z125" s="115"/>
      <c r="AA125" s="112">
        <f t="shared" si="95"/>
        <v>0</v>
      </c>
      <c r="AB125" s="115"/>
      <c r="AC125" s="112">
        <f t="shared" si="96"/>
        <v>0</v>
      </c>
      <c r="AD125" s="113">
        <f t="shared" si="52"/>
        <v>0</v>
      </c>
      <c r="AE125" s="114">
        <f t="shared" si="97"/>
        <v>0</v>
      </c>
    </row>
    <row r="126" spans="1:31" ht="20.100000000000001" customHeight="1">
      <c r="A126" s="2"/>
      <c r="B126" s="3"/>
      <c r="C126" s="3"/>
      <c r="D126" s="2"/>
      <c r="E126" s="2"/>
      <c r="F126" s="115"/>
      <c r="G126" s="112"/>
      <c r="H126" s="115"/>
      <c r="I126" s="112"/>
      <c r="J126" s="115"/>
      <c r="K126" s="112"/>
      <c r="L126" s="115"/>
      <c r="M126" s="112"/>
      <c r="N126" s="115"/>
      <c r="O126" s="112"/>
      <c r="P126" s="115"/>
      <c r="Q126" s="112"/>
      <c r="R126" s="115"/>
      <c r="S126" s="112"/>
      <c r="T126" s="115"/>
      <c r="U126" s="112"/>
      <c r="V126" s="115"/>
      <c r="W126" s="112"/>
      <c r="X126" s="115"/>
      <c r="Y126" s="112"/>
      <c r="Z126" s="115"/>
      <c r="AA126" s="112"/>
      <c r="AB126" s="115"/>
      <c r="AC126" s="112"/>
      <c r="AD126" s="113"/>
      <c r="AE126" s="114"/>
    </row>
    <row r="127" spans="1:31" ht="20.100000000000001" customHeight="1">
      <c r="A127" s="2"/>
      <c r="B127" s="3"/>
      <c r="C127" s="3"/>
      <c r="D127" s="2"/>
      <c r="E127" s="2"/>
      <c r="F127" s="115"/>
      <c r="G127" s="112"/>
      <c r="H127" s="115"/>
      <c r="I127" s="112"/>
      <c r="J127" s="115"/>
      <c r="K127" s="112"/>
      <c r="L127" s="115"/>
      <c r="M127" s="112"/>
      <c r="N127" s="115"/>
      <c r="O127" s="112"/>
      <c r="P127" s="115"/>
      <c r="Q127" s="112"/>
      <c r="R127" s="115"/>
      <c r="S127" s="112"/>
      <c r="T127" s="115"/>
      <c r="U127" s="112"/>
      <c r="V127" s="115"/>
      <c r="W127" s="112"/>
      <c r="X127" s="115"/>
      <c r="Y127" s="112"/>
      <c r="Z127" s="115"/>
      <c r="AA127" s="112"/>
      <c r="AB127" s="115"/>
      <c r="AC127" s="112"/>
      <c r="AD127" s="113"/>
      <c r="AE127" s="114"/>
    </row>
    <row r="128" spans="1:31" ht="20.100000000000001" customHeight="1">
      <c r="A128" s="2"/>
      <c r="B128" s="8"/>
      <c r="C128" s="8"/>
      <c r="D128" s="8"/>
      <c r="E128" s="9"/>
      <c r="F128" s="115"/>
      <c r="G128" s="112"/>
      <c r="H128" s="115"/>
      <c r="I128" s="112"/>
      <c r="J128" s="115"/>
      <c r="K128" s="112"/>
      <c r="L128" s="115"/>
      <c r="M128" s="112"/>
      <c r="N128" s="115"/>
      <c r="O128" s="112"/>
      <c r="P128" s="115"/>
      <c r="Q128" s="112"/>
      <c r="R128" s="115"/>
      <c r="S128" s="112"/>
      <c r="T128" s="115"/>
      <c r="U128" s="112"/>
      <c r="V128" s="115"/>
      <c r="W128" s="112"/>
      <c r="X128" s="115"/>
      <c r="Y128" s="112"/>
      <c r="Z128" s="115"/>
      <c r="AA128" s="112"/>
      <c r="AB128" s="115"/>
      <c r="AC128" s="112"/>
      <c r="AD128" s="113"/>
      <c r="AE128" s="114"/>
    </row>
    <row r="129" spans="1:31" ht="20.100000000000001" customHeight="1">
      <c r="A129" s="10"/>
      <c r="B129" s="11" t="s">
        <v>104</v>
      </c>
      <c r="C129" s="11"/>
      <c r="D129" s="12"/>
      <c r="E129" s="13"/>
      <c r="F129" s="116">
        <f t="shared" ref="F129:AE129" si="98">SUM(F4:F128)</f>
        <v>798573</v>
      </c>
      <c r="G129" s="117">
        <f t="shared" si="98"/>
        <v>517485.54</v>
      </c>
      <c r="H129" s="116">
        <f t="shared" si="98"/>
        <v>761500</v>
      </c>
      <c r="I129" s="117">
        <f t="shared" si="98"/>
        <v>492129.52</v>
      </c>
      <c r="J129" s="116">
        <f t="shared" si="98"/>
        <v>873994</v>
      </c>
      <c r="K129" s="117">
        <f t="shared" si="98"/>
        <v>567669.15999999992</v>
      </c>
      <c r="L129" s="116">
        <f t="shared" si="98"/>
        <v>671845</v>
      </c>
      <c r="M129" s="117">
        <f t="shared" si="98"/>
        <v>435727.06000000011</v>
      </c>
      <c r="N129" s="116">
        <f t="shared" si="98"/>
        <v>693667</v>
      </c>
      <c r="O129" s="117">
        <f t="shared" si="98"/>
        <v>447894.94000000012</v>
      </c>
      <c r="P129" s="116">
        <f t="shared" si="98"/>
        <v>793060</v>
      </c>
      <c r="Q129" s="117">
        <f t="shared" si="98"/>
        <v>511380.87999999989</v>
      </c>
      <c r="R129" s="116">
        <f t="shared" si="98"/>
        <v>775218</v>
      </c>
      <c r="S129" s="117">
        <f t="shared" si="98"/>
        <v>501101.64000000007</v>
      </c>
      <c r="T129" s="116">
        <f t="shared" si="98"/>
        <v>841044</v>
      </c>
      <c r="U129" s="117">
        <f t="shared" si="98"/>
        <v>545230.62</v>
      </c>
      <c r="V129" s="116">
        <f t="shared" si="98"/>
        <v>762200</v>
      </c>
      <c r="W129" s="117">
        <f t="shared" si="98"/>
        <v>491813.12000000011</v>
      </c>
      <c r="X129" s="116">
        <f t="shared" si="98"/>
        <v>752404</v>
      </c>
      <c r="Y129" s="117">
        <f t="shared" si="98"/>
        <v>485261.91000000003</v>
      </c>
      <c r="Z129" s="116">
        <f t="shared" si="98"/>
        <v>825151</v>
      </c>
      <c r="AA129" s="117">
        <f t="shared" si="98"/>
        <v>533743.92000000016</v>
      </c>
      <c r="AB129" s="116">
        <f t="shared" si="98"/>
        <v>885399</v>
      </c>
      <c r="AC129" s="117">
        <f t="shared" si="98"/>
        <v>571252.51</v>
      </c>
      <c r="AD129" s="118">
        <f t="shared" si="98"/>
        <v>9434055</v>
      </c>
      <c r="AE129" s="119">
        <f t="shared" si="98"/>
        <v>6100690.8200000012</v>
      </c>
    </row>
    <row r="130" spans="1:31" ht="20.100000000000001" customHeight="1">
      <c r="A130" s="14"/>
      <c r="B130" s="8"/>
      <c r="C130" s="8"/>
      <c r="D130" s="8"/>
      <c r="E130" s="9"/>
      <c r="F130" s="115"/>
      <c r="G130" s="112"/>
      <c r="H130" s="115"/>
      <c r="I130" s="112"/>
      <c r="J130" s="115"/>
      <c r="K130" s="112"/>
      <c r="L130" s="115"/>
      <c r="M130" s="112"/>
      <c r="N130" s="115"/>
      <c r="O130" s="112"/>
      <c r="P130" s="115"/>
      <c r="Q130" s="112"/>
      <c r="R130" s="115"/>
      <c r="S130" s="112"/>
      <c r="T130" s="115"/>
      <c r="U130" s="112"/>
      <c r="V130" s="115"/>
      <c r="W130" s="112"/>
      <c r="X130" s="115"/>
      <c r="Y130" s="112"/>
      <c r="Z130" s="115"/>
      <c r="AA130" s="112"/>
      <c r="AB130" s="115"/>
      <c r="AC130" s="112"/>
      <c r="AD130" s="113"/>
      <c r="AE130" s="114"/>
    </row>
    <row r="131" spans="1:31" ht="20.100000000000001" customHeight="1">
      <c r="A131" s="2">
        <v>101</v>
      </c>
      <c r="B131" s="3" t="s">
        <v>105</v>
      </c>
      <c r="C131" s="3" t="s">
        <v>14</v>
      </c>
      <c r="D131" s="2">
        <v>0.7</v>
      </c>
      <c r="E131" s="2" t="s">
        <v>15</v>
      </c>
      <c r="F131" s="115">
        <v>360</v>
      </c>
      <c r="G131" s="112">
        <f t="shared" ref="G131:G142" si="99">F131*$D131</f>
        <v>251.99999999999997</v>
      </c>
      <c r="H131" s="115">
        <v>221</v>
      </c>
      <c r="I131" s="112">
        <f t="shared" ref="I131:I142" si="100">H131*$D131</f>
        <v>154.69999999999999</v>
      </c>
      <c r="J131" s="115">
        <v>718</v>
      </c>
      <c r="K131" s="112">
        <f t="shared" ref="K131:K142" si="101">J131*$D131</f>
        <v>502.59999999999997</v>
      </c>
      <c r="L131" s="115">
        <v>566</v>
      </c>
      <c r="M131" s="112">
        <f t="shared" ref="M131:M142" si="102">L131*$D131</f>
        <v>396.2</v>
      </c>
      <c r="N131" s="115">
        <v>240</v>
      </c>
      <c r="O131" s="112">
        <f t="shared" ref="O131:O142" si="103">N131*$D131</f>
        <v>168</v>
      </c>
      <c r="P131" s="115">
        <v>69</v>
      </c>
      <c r="Q131" s="112">
        <f t="shared" ref="Q131:Q142" si="104">P131*$D131</f>
        <v>48.3</v>
      </c>
      <c r="R131" s="115">
        <v>195</v>
      </c>
      <c r="S131" s="112">
        <f t="shared" ref="S131:S142" si="105">R131*$D131</f>
        <v>136.5</v>
      </c>
      <c r="T131" s="115">
        <v>131</v>
      </c>
      <c r="U131" s="112">
        <f t="shared" ref="U131:U142" si="106">T131*$D131</f>
        <v>91.699999999999989</v>
      </c>
      <c r="V131" s="115">
        <v>84</v>
      </c>
      <c r="W131" s="112">
        <f t="shared" ref="W131:W142" si="107">V131*$D131</f>
        <v>58.8</v>
      </c>
      <c r="X131" s="115">
        <v>81</v>
      </c>
      <c r="Y131" s="112">
        <f t="shared" ref="Y131:Y142" si="108">X131*$D131</f>
        <v>56.699999999999996</v>
      </c>
      <c r="Z131" s="115">
        <v>95</v>
      </c>
      <c r="AA131" s="112">
        <f t="shared" ref="AA131:AA142" si="109">Z131*$D131</f>
        <v>66.5</v>
      </c>
      <c r="AB131" s="115">
        <v>432</v>
      </c>
      <c r="AC131" s="112">
        <f t="shared" ref="AC131:AC142" si="110">AB131*$D131</f>
        <v>302.39999999999998</v>
      </c>
      <c r="AD131" s="113">
        <f>(AB131+Z131+X131+V131+T131+R131+P131+N131+L131+J131+H131+F131)</f>
        <v>3192</v>
      </c>
      <c r="AE131" s="114">
        <f t="shared" ref="AE131:AE142" si="111">AD131*$D131</f>
        <v>2234.3999999999996</v>
      </c>
    </row>
    <row r="132" spans="1:31" ht="20.100000000000001" customHeight="1">
      <c r="A132" s="2">
        <v>102</v>
      </c>
      <c r="B132" s="3" t="s">
        <v>106</v>
      </c>
      <c r="C132" s="3" t="s">
        <v>14</v>
      </c>
      <c r="D132" s="2">
        <v>0.35</v>
      </c>
      <c r="E132" s="2" t="s">
        <v>24</v>
      </c>
      <c r="F132" s="115">
        <v>72</v>
      </c>
      <c r="G132" s="112">
        <f t="shared" si="99"/>
        <v>25.2</v>
      </c>
      <c r="H132" s="115">
        <v>6</v>
      </c>
      <c r="I132" s="112">
        <f t="shared" si="100"/>
        <v>2.0999999999999996</v>
      </c>
      <c r="J132" s="115"/>
      <c r="K132" s="112">
        <f t="shared" si="101"/>
        <v>0</v>
      </c>
      <c r="L132" s="115">
        <v>144</v>
      </c>
      <c r="M132" s="112">
        <f t="shared" si="102"/>
        <v>50.4</v>
      </c>
      <c r="N132" s="115">
        <v>34</v>
      </c>
      <c r="O132" s="112">
        <f t="shared" si="103"/>
        <v>11.899999999999999</v>
      </c>
      <c r="P132" s="115">
        <v>6</v>
      </c>
      <c r="Q132" s="112">
        <f t="shared" si="104"/>
        <v>2.0999999999999996</v>
      </c>
      <c r="R132" s="115">
        <v>24</v>
      </c>
      <c r="S132" s="112">
        <f t="shared" si="105"/>
        <v>8.3999999999999986</v>
      </c>
      <c r="T132" s="115">
        <v>48</v>
      </c>
      <c r="U132" s="112">
        <f t="shared" si="106"/>
        <v>16.799999999999997</v>
      </c>
      <c r="V132" s="115">
        <v>24</v>
      </c>
      <c r="W132" s="112">
        <f t="shared" si="107"/>
        <v>8.3999999999999986</v>
      </c>
      <c r="X132" s="115"/>
      <c r="Y132" s="112">
        <f t="shared" si="108"/>
        <v>0</v>
      </c>
      <c r="Z132" s="115"/>
      <c r="AA132" s="112">
        <f t="shared" si="109"/>
        <v>0</v>
      </c>
      <c r="AB132" s="115"/>
      <c r="AC132" s="112">
        <f t="shared" si="110"/>
        <v>0</v>
      </c>
      <c r="AD132" s="113">
        <f t="shared" ref="AD132:AD142" si="112">(AB132+Z132+X132+V132+T132+R132+P132+N132+L132+J132+H132+F132)</f>
        <v>358</v>
      </c>
      <c r="AE132" s="114">
        <f t="shared" si="111"/>
        <v>125.3</v>
      </c>
    </row>
    <row r="133" spans="1:31" ht="20.100000000000001" customHeight="1">
      <c r="A133" s="2">
        <v>103</v>
      </c>
      <c r="B133" s="3" t="s">
        <v>107</v>
      </c>
      <c r="C133" s="3" t="s">
        <v>14</v>
      </c>
      <c r="D133" s="2">
        <v>0.17499999999999999</v>
      </c>
      <c r="E133" s="2" t="s">
        <v>108</v>
      </c>
      <c r="F133" s="115"/>
      <c r="G133" s="112">
        <f t="shared" si="99"/>
        <v>0</v>
      </c>
      <c r="H133" s="115"/>
      <c r="I133" s="112">
        <f t="shared" si="100"/>
        <v>0</v>
      </c>
      <c r="J133" s="115"/>
      <c r="K133" s="112">
        <f t="shared" si="101"/>
        <v>0</v>
      </c>
      <c r="L133" s="115"/>
      <c r="M133" s="112">
        <f t="shared" si="102"/>
        <v>0</v>
      </c>
      <c r="N133" s="115"/>
      <c r="O133" s="112">
        <f t="shared" si="103"/>
        <v>0</v>
      </c>
      <c r="P133" s="115"/>
      <c r="Q133" s="112">
        <f t="shared" si="104"/>
        <v>0</v>
      </c>
      <c r="R133" s="115"/>
      <c r="S133" s="112">
        <f t="shared" si="105"/>
        <v>0</v>
      </c>
      <c r="T133" s="115"/>
      <c r="U133" s="112">
        <f t="shared" si="106"/>
        <v>0</v>
      </c>
      <c r="V133" s="115"/>
      <c r="W133" s="112">
        <f t="shared" si="107"/>
        <v>0</v>
      </c>
      <c r="X133" s="115"/>
      <c r="Y133" s="112">
        <f t="shared" si="108"/>
        <v>0</v>
      </c>
      <c r="Z133" s="115"/>
      <c r="AA133" s="112">
        <f t="shared" si="109"/>
        <v>0</v>
      </c>
      <c r="AB133" s="115"/>
      <c r="AC133" s="112">
        <f t="shared" si="110"/>
        <v>0</v>
      </c>
      <c r="AD133" s="113">
        <f t="shared" si="112"/>
        <v>0</v>
      </c>
      <c r="AE133" s="114">
        <f t="shared" si="111"/>
        <v>0</v>
      </c>
    </row>
    <row r="134" spans="1:31" ht="20.100000000000001" customHeight="1">
      <c r="A134" s="2">
        <v>104</v>
      </c>
      <c r="B134" s="3" t="s">
        <v>109</v>
      </c>
      <c r="C134" s="3" t="s">
        <v>14</v>
      </c>
      <c r="D134" s="2">
        <v>0.7</v>
      </c>
      <c r="E134" s="2" t="s">
        <v>15</v>
      </c>
      <c r="F134" s="115">
        <v>8306</v>
      </c>
      <c r="G134" s="112">
        <f t="shared" si="99"/>
        <v>5814.2</v>
      </c>
      <c r="H134" s="115">
        <v>1847</v>
      </c>
      <c r="I134" s="112">
        <f t="shared" si="100"/>
        <v>1292.8999999999999</v>
      </c>
      <c r="J134" s="115">
        <v>2348</v>
      </c>
      <c r="K134" s="112">
        <f t="shared" si="101"/>
        <v>1643.6</v>
      </c>
      <c r="L134" s="115">
        <v>5341</v>
      </c>
      <c r="M134" s="112">
        <f t="shared" si="102"/>
        <v>3738.7</v>
      </c>
      <c r="N134" s="115">
        <v>1829</v>
      </c>
      <c r="O134" s="112">
        <f t="shared" si="103"/>
        <v>1280.3</v>
      </c>
      <c r="P134" s="115">
        <v>1932</v>
      </c>
      <c r="Q134" s="112">
        <f t="shared" si="104"/>
        <v>1352.3999999999999</v>
      </c>
      <c r="R134" s="115">
        <v>2389</v>
      </c>
      <c r="S134" s="112">
        <f t="shared" si="105"/>
        <v>1672.3</v>
      </c>
      <c r="T134" s="115">
        <v>1652</v>
      </c>
      <c r="U134" s="112">
        <f t="shared" si="106"/>
        <v>1156.3999999999999</v>
      </c>
      <c r="V134" s="115">
        <v>906</v>
      </c>
      <c r="W134" s="112">
        <f t="shared" si="107"/>
        <v>634.19999999999993</v>
      </c>
      <c r="X134" s="115">
        <v>977</v>
      </c>
      <c r="Y134" s="112">
        <f t="shared" si="108"/>
        <v>683.9</v>
      </c>
      <c r="Z134" s="115">
        <v>1059</v>
      </c>
      <c r="AA134" s="112">
        <f t="shared" si="109"/>
        <v>741.3</v>
      </c>
      <c r="AB134" s="115">
        <v>1318</v>
      </c>
      <c r="AC134" s="112">
        <f t="shared" si="110"/>
        <v>922.59999999999991</v>
      </c>
      <c r="AD134" s="113">
        <f t="shared" si="112"/>
        <v>29904</v>
      </c>
      <c r="AE134" s="114">
        <f t="shared" si="111"/>
        <v>20932.8</v>
      </c>
    </row>
    <row r="135" spans="1:31" ht="20.100000000000001" customHeight="1">
      <c r="A135" s="2">
        <v>105</v>
      </c>
      <c r="B135" s="3" t="s">
        <v>110</v>
      </c>
      <c r="C135" s="3" t="s">
        <v>14</v>
      </c>
      <c r="D135" s="2">
        <v>0.35</v>
      </c>
      <c r="E135" s="2" t="s">
        <v>24</v>
      </c>
      <c r="F135" s="115">
        <v>8074</v>
      </c>
      <c r="G135" s="112">
        <f t="shared" si="99"/>
        <v>2825.8999999999996</v>
      </c>
      <c r="H135" s="115">
        <v>3737</v>
      </c>
      <c r="I135" s="112">
        <f t="shared" si="100"/>
        <v>1307.9499999999998</v>
      </c>
      <c r="J135" s="115">
        <v>3229</v>
      </c>
      <c r="K135" s="112">
        <f t="shared" si="101"/>
        <v>1130.1499999999999</v>
      </c>
      <c r="L135" s="115">
        <v>15733</v>
      </c>
      <c r="M135" s="112">
        <f t="shared" si="102"/>
        <v>5506.5499999999993</v>
      </c>
      <c r="N135" s="115">
        <v>2024</v>
      </c>
      <c r="O135" s="112">
        <f t="shared" si="103"/>
        <v>708.4</v>
      </c>
      <c r="P135" s="115">
        <v>2233</v>
      </c>
      <c r="Q135" s="112">
        <f t="shared" si="104"/>
        <v>781.55</v>
      </c>
      <c r="R135" s="115">
        <v>3481</v>
      </c>
      <c r="S135" s="112">
        <f t="shared" si="105"/>
        <v>1218.3499999999999</v>
      </c>
      <c r="T135" s="115">
        <v>1781</v>
      </c>
      <c r="U135" s="112">
        <f t="shared" si="106"/>
        <v>623.34999999999991</v>
      </c>
      <c r="V135" s="115">
        <v>1002</v>
      </c>
      <c r="W135" s="112">
        <f t="shared" si="107"/>
        <v>350.7</v>
      </c>
      <c r="X135" s="115">
        <v>1282</v>
      </c>
      <c r="Y135" s="112">
        <f t="shared" si="108"/>
        <v>448.7</v>
      </c>
      <c r="Z135" s="115">
        <v>1233</v>
      </c>
      <c r="AA135" s="112">
        <f t="shared" si="109"/>
        <v>431.54999999999995</v>
      </c>
      <c r="AB135" s="115">
        <v>2318</v>
      </c>
      <c r="AC135" s="112">
        <f t="shared" si="110"/>
        <v>811.3</v>
      </c>
      <c r="AD135" s="113">
        <f t="shared" si="112"/>
        <v>46127</v>
      </c>
      <c r="AE135" s="114">
        <f t="shared" si="111"/>
        <v>16144.449999999999</v>
      </c>
    </row>
    <row r="136" spans="1:31" ht="20.100000000000001" customHeight="1">
      <c r="A136" s="2">
        <v>106</v>
      </c>
      <c r="B136" s="3" t="s">
        <v>111</v>
      </c>
      <c r="C136" s="3" t="s">
        <v>14</v>
      </c>
      <c r="D136" s="2">
        <v>0.17499999999999999</v>
      </c>
      <c r="E136" s="2" t="s">
        <v>108</v>
      </c>
      <c r="F136" s="115">
        <v>2394</v>
      </c>
      <c r="G136" s="112">
        <f t="shared" si="99"/>
        <v>418.95</v>
      </c>
      <c r="H136" s="115">
        <v>970</v>
      </c>
      <c r="I136" s="112">
        <f t="shared" si="100"/>
        <v>169.75</v>
      </c>
      <c r="J136" s="115">
        <v>814</v>
      </c>
      <c r="K136" s="112">
        <f t="shared" si="101"/>
        <v>142.44999999999999</v>
      </c>
      <c r="L136" s="115">
        <v>10591</v>
      </c>
      <c r="M136" s="112">
        <f t="shared" si="102"/>
        <v>1853.425</v>
      </c>
      <c r="N136" s="115">
        <v>948</v>
      </c>
      <c r="O136" s="112">
        <f t="shared" si="103"/>
        <v>165.89999999999998</v>
      </c>
      <c r="P136" s="115">
        <v>1330</v>
      </c>
      <c r="Q136" s="112">
        <f t="shared" si="104"/>
        <v>232.74999999999997</v>
      </c>
      <c r="R136" s="115">
        <v>703</v>
      </c>
      <c r="S136" s="112">
        <f t="shared" si="105"/>
        <v>123.02499999999999</v>
      </c>
      <c r="T136" s="115">
        <v>542</v>
      </c>
      <c r="U136" s="112">
        <f t="shared" si="106"/>
        <v>94.85</v>
      </c>
      <c r="V136" s="115">
        <v>357</v>
      </c>
      <c r="W136" s="112">
        <f t="shared" si="107"/>
        <v>62.474999999999994</v>
      </c>
      <c r="X136" s="115">
        <v>429</v>
      </c>
      <c r="Y136" s="112">
        <f t="shared" si="108"/>
        <v>75.074999999999989</v>
      </c>
      <c r="Z136" s="115">
        <v>370</v>
      </c>
      <c r="AA136" s="112">
        <f t="shared" si="109"/>
        <v>64.75</v>
      </c>
      <c r="AB136" s="115">
        <v>335</v>
      </c>
      <c r="AC136" s="112">
        <f t="shared" si="110"/>
        <v>58.624999999999993</v>
      </c>
      <c r="AD136" s="113">
        <f t="shared" si="112"/>
        <v>19783</v>
      </c>
      <c r="AE136" s="114">
        <f t="shared" si="111"/>
        <v>3462.0249999999996</v>
      </c>
    </row>
    <row r="137" spans="1:31" ht="20.100000000000001" customHeight="1">
      <c r="A137" s="2">
        <v>107</v>
      </c>
      <c r="B137" s="3" t="s">
        <v>112</v>
      </c>
      <c r="C137" s="3" t="s">
        <v>14</v>
      </c>
      <c r="D137" s="2">
        <v>0.7</v>
      </c>
      <c r="E137" s="2" t="s">
        <v>15</v>
      </c>
      <c r="F137" s="115">
        <v>10</v>
      </c>
      <c r="G137" s="112">
        <f t="shared" si="99"/>
        <v>7</v>
      </c>
      <c r="H137" s="115"/>
      <c r="I137" s="112">
        <f t="shared" si="100"/>
        <v>0</v>
      </c>
      <c r="J137" s="115">
        <v>60</v>
      </c>
      <c r="K137" s="112">
        <f t="shared" si="101"/>
        <v>42</v>
      </c>
      <c r="L137" s="115">
        <v>60</v>
      </c>
      <c r="M137" s="112">
        <f t="shared" si="102"/>
        <v>42</v>
      </c>
      <c r="N137" s="115"/>
      <c r="O137" s="112">
        <f t="shared" si="103"/>
        <v>0</v>
      </c>
      <c r="P137" s="115">
        <v>60</v>
      </c>
      <c r="Q137" s="112">
        <f t="shared" si="104"/>
        <v>42</v>
      </c>
      <c r="R137" s="115">
        <v>38</v>
      </c>
      <c r="S137" s="112">
        <f t="shared" si="105"/>
        <v>26.599999999999998</v>
      </c>
      <c r="T137" s="115">
        <v>180</v>
      </c>
      <c r="U137" s="112">
        <f t="shared" si="106"/>
        <v>125.99999999999999</v>
      </c>
      <c r="V137" s="115"/>
      <c r="W137" s="112">
        <f t="shared" si="107"/>
        <v>0</v>
      </c>
      <c r="X137" s="115">
        <v>60</v>
      </c>
      <c r="Y137" s="112">
        <f t="shared" si="108"/>
        <v>42</v>
      </c>
      <c r="Z137" s="115">
        <v>132</v>
      </c>
      <c r="AA137" s="112">
        <f t="shared" si="109"/>
        <v>92.399999999999991</v>
      </c>
      <c r="AB137" s="115">
        <v>156</v>
      </c>
      <c r="AC137" s="112">
        <f t="shared" si="110"/>
        <v>109.19999999999999</v>
      </c>
      <c r="AD137" s="113">
        <f t="shared" si="112"/>
        <v>756</v>
      </c>
      <c r="AE137" s="114">
        <f t="shared" si="111"/>
        <v>529.19999999999993</v>
      </c>
    </row>
    <row r="138" spans="1:31" ht="20.100000000000001" customHeight="1">
      <c r="A138" s="2">
        <v>108</v>
      </c>
      <c r="B138" s="3" t="s">
        <v>113</v>
      </c>
      <c r="C138" s="3" t="s">
        <v>14</v>
      </c>
      <c r="D138" s="2">
        <v>0.7</v>
      </c>
      <c r="E138" s="2" t="s">
        <v>15</v>
      </c>
      <c r="F138" s="115"/>
      <c r="G138" s="112">
        <f t="shared" si="99"/>
        <v>0</v>
      </c>
      <c r="H138" s="115"/>
      <c r="I138" s="112">
        <f t="shared" si="100"/>
        <v>0</v>
      </c>
      <c r="J138" s="115"/>
      <c r="K138" s="112">
        <f t="shared" si="101"/>
        <v>0</v>
      </c>
      <c r="L138" s="115"/>
      <c r="M138" s="112">
        <f t="shared" si="102"/>
        <v>0</v>
      </c>
      <c r="N138" s="115"/>
      <c r="O138" s="112">
        <f t="shared" si="103"/>
        <v>0</v>
      </c>
      <c r="P138" s="115"/>
      <c r="Q138" s="112">
        <f t="shared" si="104"/>
        <v>0</v>
      </c>
      <c r="R138" s="115"/>
      <c r="S138" s="112">
        <f t="shared" si="105"/>
        <v>0</v>
      </c>
      <c r="T138" s="115"/>
      <c r="U138" s="112">
        <f t="shared" si="106"/>
        <v>0</v>
      </c>
      <c r="V138" s="115"/>
      <c r="W138" s="112">
        <f t="shared" si="107"/>
        <v>0</v>
      </c>
      <c r="X138" s="115"/>
      <c r="Y138" s="112">
        <f t="shared" si="108"/>
        <v>0</v>
      </c>
      <c r="Z138" s="115"/>
      <c r="AA138" s="112">
        <f t="shared" si="109"/>
        <v>0</v>
      </c>
      <c r="AB138" s="115"/>
      <c r="AC138" s="112">
        <f t="shared" si="110"/>
        <v>0</v>
      </c>
      <c r="AD138" s="113">
        <f t="shared" si="112"/>
        <v>0</v>
      </c>
      <c r="AE138" s="114">
        <f t="shared" si="111"/>
        <v>0</v>
      </c>
    </row>
    <row r="139" spans="1:31" ht="20.100000000000001" customHeight="1">
      <c r="A139" s="2">
        <v>109</v>
      </c>
      <c r="B139" s="3" t="s">
        <v>114</v>
      </c>
      <c r="C139" s="3" t="s">
        <v>14</v>
      </c>
      <c r="D139" s="2">
        <v>0.35</v>
      </c>
      <c r="E139" s="2" t="s">
        <v>24</v>
      </c>
      <c r="F139" s="115"/>
      <c r="G139" s="112">
        <f t="shared" si="99"/>
        <v>0</v>
      </c>
      <c r="H139" s="115"/>
      <c r="I139" s="112">
        <f t="shared" si="100"/>
        <v>0</v>
      </c>
      <c r="J139" s="115"/>
      <c r="K139" s="112">
        <f t="shared" si="101"/>
        <v>0</v>
      </c>
      <c r="L139" s="115"/>
      <c r="M139" s="112">
        <f t="shared" si="102"/>
        <v>0</v>
      </c>
      <c r="N139" s="115"/>
      <c r="O139" s="112">
        <f t="shared" si="103"/>
        <v>0</v>
      </c>
      <c r="P139" s="115"/>
      <c r="Q139" s="112">
        <f t="shared" si="104"/>
        <v>0</v>
      </c>
      <c r="R139" s="115"/>
      <c r="S139" s="112">
        <f t="shared" si="105"/>
        <v>0</v>
      </c>
      <c r="T139" s="115"/>
      <c r="U139" s="112">
        <f t="shared" si="106"/>
        <v>0</v>
      </c>
      <c r="V139" s="115"/>
      <c r="W139" s="112">
        <f t="shared" si="107"/>
        <v>0</v>
      </c>
      <c r="X139" s="115"/>
      <c r="Y139" s="112">
        <f t="shared" si="108"/>
        <v>0</v>
      </c>
      <c r="Z139" s="115"/>
      <c r="AA139" s="112">
        <f t="shared" si="109"/>
        <v>0</v>
      </c>
      <c r="AB139" s="115"/>
      <c r="AC139" s="112">
        <f t="shared" si="110"/>
        <v>0</v>
      </c>
      <c r="AD139" s="113">
        <f t="shared" si="112"/>
        <v>0</v>
      </c>
      <c r="AE139" s="114">
        <f t="shared" si="111"/>
        <v>0</v>
      </c>
    </row>
    <row r="140" spans="1:31" ht="20.100000000000001" customHeight="1">
      <c r="A140" s="2">
        <v>110</v>
      </c>
      <c r="B140" s="3" t="s">
        <v>115</v>
      </c>
      <c r="C140" s="3" t="s">
        <v>14</v>
      </c>
      <c r="D140" s="2">
        <v>0.7</v>
      </c>
      <c r="E140" s="2" t="s">
        <v>15</v>
      </c>
      <c r="F140" s="115"/>
      <c r="G140" s="112">
        <f t="shared" si="99"/>
        <v>0</v>
      </c>
      <c r="H140" s="115"/>
      <c r="I140" s="112">
        <f t="shared" si="100"/>
        <v>0</v>
      </c>
      <c r="J140" s="115"/>
      <c r="K140" s="112">
        <f t="shared" si="101"/>
        <v>0</v>
      </c>
      <c r="L140" s="115"/>
      <c r="M140" s="112">
        <f t="shared" si="102"/>
        <v>0</v>
      </c>
      <c r="N140" s="115"/>
      <c r="O140" s="112">
        <f t="shared" si="103"/>
        <v>0</v>
      </c>
      <c r="P140" s="115"/>
      <c r="Q140" s="112">
        <f t="shared" si="104"/>
        <v>0</v>
      </c>
      <c r="R140" s="115"/>
      <c r="S140" s="112">
        <f t="shared" si="105"/>
        <v>0</v>
      </c>
      <c r="T140" s="115"/>
      <c r="U140" s="112">
        <f t="shared" si="106"/>
        <v>0</v>
      </c>
      <c r="V140" s="115"/>
      <c r="W140" s="112">
        <f t="shared" si="107"/>
        <v>0</v>
      </c>
      <c r="X140" s="115"/>
      <c r="Y140" s="112">
        <f t="shared" si="108"/>
        <v>0</v>
      </c>
      <c r="Z140" s="115"/>
      <c r="AA140" s="112">
        <f t="shared" si="109"/>
        <v>0</v>
      </c>
      <c r="AB140" s="115"/>
      <c r="AC140" s="112">
        <f t="shared" si="110"/>
        <v>0</v>
      </c>
      <c r="AD140" s="113">
        <f t="shared" si="112"/>
        <v>0</v>
      </c>
      <c r="AE140" s="114">
        <f t="shared" si="111"/>
        <v>0</v>
      </c>
    </row>
    <row r="141" spans="1:31" ht="20.100000000000001" customHeight="1">
      <c r="A141" s="2">
        <v>111</v>
      </c>
      <c r="B141" s="3" t="s">
        <v>116</v>
      </c>
      <c r="C141" s="3" t="s">
        <v>14</v>
      </c>
      <c r="D141" s="2">
        <v>0.35</v>
      </c>
      <c r="E141" s="2" t="s">
        <v>24</v>
      </c>
      <c r="F141" s="115"/>
      <c r="G141" s="112">
        <f t="shared" si="99"/>
        <v>0</v>
      </c>
      <c r="H141" s="115"/>
      <c r="I141" s="112">
        <f t="shared" si="100"/>
        <v>0</v>
      </c>
      <c r="J141" s="115"/>
      <c r="K141" s="112">
        <f t="shared" si="101"/>
        <v>0</v>
      </c>
      <c r="L141" s="115"/>
      <c r="M141" s="112">
        <f t="shared" si="102"/>
        <v>0</v>
      </c>
      <c r="N141" s="115"/>
      <c r="O141" s="112">
        <f t="shared" si="103"/>
        <v>0</v>
      </c>
      <c r="P141" s="115"/>
      <c r="Q141" s="112">
        <f t="shared" si="104"/>
        <v>0</v>
      </c>
      <c r="R141" s="115"/>
      <c r="S141" s="112">
        <f t="shared" si="105"/>
        <v>0</v>
      </c>
      <c r="T141" s="115"/>
      <c r="U141" s="112">
        <f t="shared" si="106"/>
        <v>0</v>
      </c>
      <c r="V141" s="115"/>
      <c r="W141" s="112">
        <f t="shared" si="107"/>
        <v>0</v>
      </c>
      <c r="X141" s="115"/>
      <c r="Y141" s="112">
        <f t="shared" si="108"/>
        <v>0</v>
      </c>
      <c r="Z141" s="115"/>
      <c r="AA141" s="112">
        <f t="shared" si="109"/>
        <v>0</v>
      </c>
      <c r="AB141" s="115"/>
      <c r="AC141" s="112">
        <f t="shared" si="110"/>
        <v>0</v>
      </c>
      <c r="AD141" s="113">
        <f t="shared" si="112"/>
        <v>0</v>
      </c>
      <c r="AE141" s="114">
        <f t="shared" si="111"/>
        <v>0</v>
      </c>
    </row>
    <row r="142" spans="1:31" ht="20.100000000000001" customHeight="1">
      <c r="A142" s="2">
        <v>112</v>
      </c>
      <c r="B142" s="8" t="s">
        <v>117</v>
      </c>
      <c r="C142" s="8" t="s">
        <v>14</v>
      </c>
      <c r="D142" s="2">
        <v>0.7</v>
      </c>
      <c r="E142" s="15" t="s">
        <v>118</v>
      </c>
      <c r="F142" s="115"/>
      <c r="G142" s="112">
        <f t="shared" si="99"/>
        <v>0</v>
      </c>
      <c r="H142" s="115"/>
      <c r="I142" s="112">
        <f t="shared" si="100"/>
        <v>0</v>
      </c>
      <c r="J142" s="115"/>
      <c r="K142" s="112">
        <f t="shared" si="101"/>
        <v>0</v>
      </c>
      <c r="L142" s="115"/>
      <c r="M142" s="112">
        <f t="shared" si="102"/>
        <v>0</v>
      </c>
      <c r="N142" s="115"/>
      <c r="O142" s="112">
        <f t="shared" si="103"/>
        <v>0</v>
      </c>
      <c r="P142" s="115"/>
      <c r="Q142" s="112">
        <f t="shared" si="104"/>
        <v>0</v>
      </c>
      <c r="R142" s="115"/>
      <c r="S142" s="112">
        <f t="shared" si="105"/>
        <v>0</v>
      </c>
      <c r="T142" s="115"/>
      <c r="U142" s="112">
        <f t="shared" si="106"/>
        <v>0</v>
      </c>
      <c r="V142" s="115"/>
      <c r="W142" s="112">
        <f t="shared" si="107"/>
        <v>0</v>
      </c>
      <c r="X142" s="115"/>
      <c r="Y142" s="112">
        <f t="shared" si="108"/>
        <v>0</v>
      </c>
      <c r="Z142" s="115"/>
      <c r="AA142" s="112">
        <f t="shared" si="109"/>
        <v>0</v>
      </c>
      <c r="AB142" s="115"/>
      <c r="AC142" s="112">
        <f t="shared" si="110"/>
        <v>0</v>
      </c>
      <c r="AD142" s="113">
        <f t="shared" si="112"/>
        <v>0</v>
      </c>
      <c r="AE142" s="114">
        <f t="shared" si="111"/>
        <v>0</v>
      </c>
    </row>
    <row r="143" spans="1:31" ht="20.100000000000001" customHeight="1">
      <c r="A143" s="16"/>
      <c r="B143" s="8"/>
      <c r="C143" s="8"/>
      <c r="D143" s="8"/>
      <c r="E143" s="9"/>
      <c r="F143" s="115"/>
      <c r="G143" s="112"/>
      <c r="H143" s="115"/>
      <c r="I143" s="112"/>
      <c r="J143" s="115"/>
      <c r="K143" s="112"/>
      <c r="L143" s="115"/>
      <c r="M143" s="112"/>
      <c r="N143" s="115"/>
      <c r="O143" s="112"/>
      <c r="P143" s="115"/>
      <c r="Q143" s="112"/>
      <c r="R143" s="115"/>
      <c r="S143" s="112"/>
      <c r="T143" s="115"/>
      <c r="U143" s="112"/>
      <c r="V143" s="115"/>
      <c r="W143" s="112"/>
      <c r="X143" s="115"/>
      <c r="Y143" s="112"/>
      <c r="Z143" s="115"/>
      <c r="AA143" s="112"/>
      <c r="AB143" s="115"/>
      <c r="AC143" s="112"/>
      <c r="AD143" s="113"/>
      <c r="AE143" s="114"/>
    </row>
    <row r="144" spans="1:31" ht="20.100000000000001" customHeight="1">
      <c r="A144" s="17"/>
      <c r="B144" s="11" t="s">
        <v>119</v>
      </c>
      <c r="C144" s="11"/>
      <c r="D144" s="11"/>
      <c r="E144" s="13"/>
      <c r="F144" s="116">
        <f t="shared" ref="F144:AE144" si="113">SUM(F130:F143)</f>
        <v>19216</v>
      </c>
      <c r="G144" s="117">
        <f t="shared" si="113"/>
        <v>9343.25</v>
      </c>
      <c r="H144" s="116">
        <f t="shared" si="113"/>
        <v>6781</v>
      </c>
      <c r="I144" s="117">
        <f t="shared" si="113"/>
        <v>2927.3999999999996</v>
      </c>
      <c r="J144" s="116">
        <f t="shared" si="113"/>
        <v>7169</v>
      </c>
      <c r="K144" s="117">
        <f t="shared" si="113"/>
        <v>3460.7999999999993</v>
      </c>
      <c r="L144" s="116">
        <f t="shared" si="113"/>
        <v>32435</v>
      </c>
      <c r="M144" s="117">
        <f t="shared" si="113"/>
        <v>11587.274999999998</v>
      </c>
      <c r="N144" s="116">
        <f t="shared" si="113"/>
        <v>5075</v>
      </c>
      <c r="O144" s="117">
        <f t="shared" si="113"/>
        <v>2334.5</v>
      </c>
      <c r="P144" s="116">
        <f t="shared" si="113"/>
        <v>5630</v>
      </c>
      <c r="Q144" s="117">
        <f t="shared" si="113"/>
        <v>2459.1</v>
      </c>
      <c r="R144" s="116">
        <f t="shared" si="113"/>
        <v>6830</v>
      </c>
      <c r="S144" s="117">
        <f t="shared" si="113"/>
        <v>3185.1750000000002</v>
      </c>
      <c r="T144" s="116">
        <f t="shared" si="113"/>
        <v>4334</v>
      </c>
      <c r="U144" s="117">
        <f t="shared" si="113"/>
        <v>2109.0999999999995</v>
      </c>
      <c r="V144" s="116">
        <f t="shared" si="113"/>
        <v>2373</v>
      </c>
      <c r="W144" s="117">
        <f t="shared" si="113"/>
        <v>1114.5749999999998</v>
      </c>
      <c r="X144" s="116">
        <f t="shared" si="113"/>
        <v>2829</v>
      </c>
      <c r="Y144" s="117">
        <f t="shared" si="113"/>
        <v>1306.375</v>
      </c>
      <c r="Z144" s="116">
        <f t="shared" si="113"/>
        <v>2889</v>
      </c>
      <c r="AA144" s="117">
        <f t="shared" si="113"/>
        <v>1396.5</v>
      </c>
      <c r="AB144" s="116">
        <f t="shared" si="113"/>
        <v>4559</v>
      </c>
      <c r="AC144" s="117">
        <f t="shared" si="113"/>
        <v>2204.1249999999995</v>
      </c>
      <c r="AD144" s="118">
        <f t="shared" si="113"/>
        <v>100120</v>
      </c>
      <c r="AE144" s="119">
        <f t="shared" si="113"/>
        <v>43428.174999999996</v>
      </c>
    </row>
    <row r="145" spans="1:31" ht="20.100000000000001" customHeight="1">
      <c r="A145" s="18"/>
      <c r="B145" s="12" t="s">
        <v>120</v>
      </c>
      <c r="C145" s="12"/>
      <c r="D145" s="12"/>
      <c r="E145" s="12"/>
      <c r="F145" s="120">
        <f t="shared" ref="F145:AE145" si="114">+F129+F144</f>
        <v>817789</v>
      </c>
      <c r="G145" s="121">
        <f t="shared" si="114"/>
        <v>526828.79</v>
      </c>
      <c r="H145" s="120">
        <f t="shared" si="114"/>
        <v>768281</v>
      </c>
      <c r="I145" s="121">
        <f t="shared" si="114"/>
        <v>495056.92000000004</v>
      </c>
      <c r="J145" s="120">
        <f t="shared" si="114"/>
        <v>881163</v>
      </c>
      <c r="K145" s="121">
        <f t="shared" si="114"/>
        <v>571129.96</v>
      </c>
      <c r="L145" s="120">
        <f t="shared" si="114"/>
        <v>704280</v>
      </c>
      <c r="M145" s="121">
        <f t="shared" si="114"/>
        <v>447314.33500000014</v>
      </c>
      <c r="N145" s="120">
        <f t="shared" si="114"/>
        <v>698742</v>
      </c>
      <c r="O145" s="121">
        <f t="shared" si="114"/>
        <v>450229.44000000012</v>
      </c>
      <c r="P145" s="120">
        <f t="shared" si="114"/>
        <v>798690</v>
      </c>
      <c r="Q145" s="121">
        <f t="shared" si="114"/>
        <v>513839.97999999986</v>
      </c>
      <c r="R145" s="120">
        <f t="shared" si="114"/>
        <v>782048</v>
      </c>
      <c r="S145" s="121">
        <f t="shared" si="114"/>
        <v>504286.81500000006</v>
      </c>
      <c r="T145" s="120">
        <f t="shared" si="114"/>
        <v>845378</v>
      </c>
      <c r="U145" s="121">
        <f t="shared" si="114"/>
        <v>547339.72</v>
      </c>
      <c r="V145" s="120">
        <f t="shared" si="114"/>
        <v>764573</v>
      </c>
      <c r="W145" s="121">
        <f t="shared" si="114"/>
        <v>492927.69500000012</v>
      </c>
      <c r="X145" s="120">
        <f t="shared" si="114"/>
        <v>755233</v>
      </c>
      <c r="Y145" s="121">
        <f t="shared" si="114"/>
        <v>486568.28500000003</v>
      </c>
      <c r="Z145" s="120">
        <f t="shared" si="114"/>
        <v>828040</v>
      </c>
      <c r="AA145" s="121">
        <f t="shared" si="114"/>
        <v>535140.42000000016</v>
      </c>
      <c r="AB145" s="120">
        <f t="shared" si="114"/>
        <v>889958</v>
      </c>
      <c r="AC145" s="121">
        <f t="shared" si="114"/>
        <v>573456.63500000001</v>
      </c>
      <c r="AD145" s="122">
        <f t="shared" si="114"/>
        <v>9534175</v>
      </c>
      <c r="AE145" s="119">
        <f t="shared" si="114"/>
        <v>6144118.995000001</v>
      </c>
    </row>
  </sheetData>
  <mergeCells count="19">
    <mergeCell ref="AB2:AC2"/>
    <mergeCell ref="AD2:AE2"/>
    <mergeCell ref="P2:Q2"/>
    <mergeCell ref="R2:S2"/>
    <mergeCell ref="T2:U2"/>
    <mergeCell ref="V2:W2"/>
    <mergeCell ref="X2:Y2"/>
    <mergeCell ref="Z2:AA2"/>
    <mergeCell ref="A1:C1"/>
    <mergeCell ref="N2:O2"/>
    <mergeCell ref="A2:A3"/>
    <mergeCell ref="B2:B3"/>
    <mergeCell ref="C2:C3"/>
    <mergeCell ref="D2:D3"/>
    <mergeCell ref="E2:E3"/>
    <mergeCell ref="F2:G2"/>
    <mergeCell ref="H2:I2"/>
    <mergeCell ref="J2:K2"/>
    <mergeCell ref="L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5"/>
  <sheetViews>
    <sheetView workbookViewId="0">
      <selection activeCell="E11" sqref="E11"/>
    </sheetView>
  </sheetViews>
  <sheetFormatPr defaultRowHeight="21"/>
  <cols>
    <col min="1" max="1" width="6.5703125" customWidth="1"/>
    <col min="2" max="2" width="27.7109375" bestFit="1" customWidth="1"/>
    <col min="11" max="11" width="9.85546875" customWidth="1"/>
    <col min="13" max="13" width="10.28515625" customWidth="1"/>
    <col min="21" max="21" width="10.140625" bestFit="1" customWidth="1"/>
    <col min="25" max="25" width="10.5703125" customWidth="1"/>
    <col min="29" max="29" width="10.7109375" customWidth="1"/>
    <col min="31" max="31" width="11.85546875" customWidth="1"/>
  </cols>
  <sheetData>
    <row r="1" spans="1:31" ht="24.75">
      <c r="A1" s="258" t="s">
        <v>0</v>
      </c>
      <c r="B1" s="258"/>
      <c r="C1" s="258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44927</v>
      </c>
      <c r="G2" s="253"/>
      <c r="H2" s="252">
        <v>44958</v>
      </c>
      <c r="I2" s="253"/>
      <c r="J2" s="252">
        <v>44986</v>
      </c>
      <c r="K2" s="253"/>
      <c r="L2" s="252">
        <v>45017</v>
      </c>
      <c r="M2" s="253"/>
      <c r="N2" s="252">
        <v>45047</v>
      </c>
      <c r="O2" s="253"/>
      <c r="P2" s="252">
        <v>45078</v>
      </c>
      <c r="Q2" s="253"/>
      <c r="R2" s="252">
        <v>45108</v>
      </c>
      <c r="S2" s="253"/>
      <c r="T2" s="252">
        <v>45139</v>
      </c>
      <c r="U2" s="253"/>
      <c r="V2" s="252">
        <v>45170</v>
      </c>
      <c r="W2" s="253"/>
      <c r="X2" s="252">
        <v>45200</v>
      </c>
      <c r="Y2" s="253"/>
      <c r="Z2" s="252">
        <v>45231</v>
      </c>
      <c r="AA2" s="253"/>
      <c r="AB2" s="252">
        <v>45261</v>
      </c>
      <c r="AC2" s="253"/>
      <c r="AD2" s="256" t="s">
        <v>8</v>
      </c>
      <c r="AE2" s="257"/>
    </row>
    <row r="3" spans="1:31">
      <c r="A3" s="238"/>
      <c r="B3" s="238"/>
      <c r="C3" s="238"/>
      <c r="D3" s="240"/>
      <c r="E3" s="240"/>
      <c r="F3" s="55" t="s">
        <v>11</v>
      </c>
      <c r="G3" s="56" t="s">
        <v>12</v>
      </c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83" t="s">
        <v>11</v>
      </c>
      <c r="AE3" s="84" t="s">
        <v>12</v>
      </c>
    </row>
    <row r="4" spans="1:31" ht="20.100000000000001" customHeight="1">
      <c r="A4" s="2">
        <v>1</v>
      </c>
      <c r="B4" s="2" t="s">
        <v>13</v>
      </c>
      <c r="C4" s="2" t="s">
        <v>14</v>
      </c>
      <c r="D4" s="2">
        <v>0.7</v>
      </c>
      <c r="E4" s="2" t="s">
        <v>15</v>
      </c>
      <c r="F4" s="111">
        <v>6960</v>
      </c>
      <c r="G4" s="112">
        <f>F4*$D4</f>
        <v>4872</v>
      </c>
      <c r="H4" s="111">
        <v>6120</v>
      </c>
      <c r="I4" s="112">
        <f>H4*$D4</f>
        <v>4284</v>
      </c>
      <c r="J4" s="111">
        <v>4584</v>
      </c>
      <c r="K4" s="143">
        <f>J4*$D4</f>
        <v>3208.7999999999997</v>
      </c>
      <c r="L4" s="111">
        <v>2172</v>
      </c>
      <c r="M4" s="143">
        <f>L4*$D4</f>
        <v>1520.3999999999999</v>
      </c>
      <c r="N4" s="111">
        <v>3288</v>
      </c>
      <c r="O4" s="143">
        <f>N4*$D4</f>
        <v>2301.6</v>
      </c>
      <c r="P4" s="111">
        <v>3060</v>
      </c>
      <c r="Q4" s="112">
        <f>P4*$D4</f>
        <v>2142</v>
      </c>
      <c r="R4" s="111">
        <v>2472</v>
      </c>
      <c r="S4" s="143">
        <f>R4*$D4</f>
        <v>1730.3999999999999</v>
      </c>
      <c r="T4" s="111">
        <v>2232</v>
      </c>
      <c r="U4" s="143">
        <f>T4*$D4</f>
        <v>1562.3999999999999</v>
      </c>
      <c r="V4" s="111">
        <v>1032</v>
      </c>
      <c r="W4" s="143">
        <f>V4*$D4</f>
        <v>722.4</v>
      </c>
      <c r="X4" s="111">
        <v>2856</v>
      </c>
      <c r="Y4" s="143">
        <f>X4*$D4</f>
        <v>1999.1999999999998</v>
      </c>
      <c r="Z4" s="111">
        <v>2235</v>
      </c>
      <c r="AA4" s="143">
        <f>Z4*$D4</f>
        <v>1564.5</v>
      </c>
      <c r="AB4" s="111">
        <v>3036</v>
      </c>
      <c r="AC4" s="143">
        <f>AB4*$D4</f>
        <v>2125.1999999999998</v>
      </c>
      <c r="AD4" s="113">
        <f>(AB4+Z4+X4+V4+T4+R4+P4+N4+L4+J4+H4+F4)</f>
        <v>40047</v>
      </c>
      <c r="AE4" s="144">
        <f>AD4*$D4</f>
        <v>28032.899999999998</v>
      </c>
    </row>
    <row r="5" spans="1:31" ht="20.100000000000001" customHeight="1">
      <c r="A5" s="2"/>
      <c r="B5" s="2"/>
      <c r="C5" s="2"/>
      <c r="D5" s="2"/>
      <c r="E5" s="2"/>
      <c r="F5" s="115"/>
      <c r="G5" s="112">
        <f t="shared" ref="G5:G68" si="0">F5*$D5</f>
        <v>0</v>
      </c>
      <c r="H5" s="115"/>
      <c r="I5" s="112">
        <f t="shared" ref="I5:I63" si="1">H5*$D5</f>
        <v>0</v>
      </c>
      <c r="J5" s="115"/>
      <c r="K5" s="143">
        <f t="shared" ref="K5:K68" si="2">J5*$D5</f>
        <v>0</v>
      </c>
      <c r="L5" s="115"/>
      <c r="M5" s="143">
        <f t="shared" ref="M5:M68" si="3">L5*$D5</f>
        <v>0</v>
      </c>
      <c r="N5" s="115"/>
      <c r="O5" s="143">
        <f t="shared" ref="O5:O68" si="4">N5*$D5</f>
        <v>0</v>
      </c>
      <c r="P5" s="115"/>
      <c r="Q5" s="112">
        <f t="shared" ref="Q5:Q68" si="5">P5*$D5</f>
        <v>0</v>
      </c>
      <c r="R5" s="115"/>
      <c r="S5" s="143">
        <f t="shared" ref="S5:S68" si="6">R5*$D5</f>
        <v>0</v>
      </c>
      <c r="T5" s="115"/>
      <c r="U5" s="143">
        <f t="shared" ref="U5:U62" si="7">T5*$D5</f>
        <v>0</v>
      </c>
      <c r="V5" s="115"/>
      <c r="W5" s="143">
        <f t="shared" ref="W5:W64" si="8">V5*$D5</f>
        <v>0</v>
      </c>
      <c r="X5" s="115"/>
      <c r="Y5" s="143">
        <f t="shared" ref="Y5:Y64" si="9">X5*$D5</f>
        <v>0</v>
      </c>
      <c r="Z5" s="115"/>
      <c r="AA5" s="143">
        <f t="shared" ref="AA5:AA64" si="10">Z5*$D5</f>
        <v>0</v>
      </c>
      <c r="AB5" s="115"/>
      <c r="AC5" s="143">
        <f t="shared" ref="AC5:AC64" si="11">AB5*$D5</f>
        <v>0</v>
      </c>
      <c r="AD5" s="113">
        <f t="shared" ref="AD5:AD64" si="12">(AB5+Z5+X5+V5+T5+R5+P5+N5+L5+J5+H5+F5)</f>
        <v>0</v>
      </c>
      <c r="AE5" s="144">
        <f t="shared" ref="AE5:AE64" si="13">AD5*$D5</f>
        <v>0</v>
      </c>
    </row>
    <row r="6" spans="1:31" ht="20.100000000000001" customHeight="1">
      <c r="A6" s="2">
        <v>2</v>
      </c>
      <c r="B6" s="2" t="s">
        <v>16</v>
      </c>
      <c r="C6" s="2" t="s">
        <v>17</v>
      </c>
      <c r="D6" s="2">
        <v>1</v>
      </c>
      <c r="E6" s="2" t="s">
        <v>15</v>
      </c>
      <c r="F6" s="115"/>
      <c r="G6" s="112">
        <f t="shared" si="0"/>
        <v>0</v>
      </c>
      <c r="H6" s="115"/>
      <c r="I6" s="112">
        <f t="shared" si="1"/>
        <v>0</v>
      </c>
      <c r="J6" s="115"/>
      <c r="K6" s="143">
        <f t="shared" si="2"/>
        <v>0</v>
      </c>
      <c r="L6" s="115"/>
      <c r="M6" s="143">
        <f t="shared" si="3"/>
        <v>0</v>
      </c>
      <c r="N6" s="115"/>
      <c r="O6" s="143">
        <f t="shared" si="4"/>
        <v>0</v>
      </c>
      <c r="P6" s="115"/>
      <c r="Q6" s="112">
        <f t="shared" si="5"/>
        <v>0</v>
      </c>
      <c r="R6" s="115"/>
      <c r="S6" s="143">
        <f t="shared" si="6"/>
        <v>0</v>
      </c>
      <c r="T6" s="115"/>
      <c r="U6" s="143">
        <f t="shared" si="7"/>
        <v>0</v>
      </c>
      <c r="V6" s="115"/>
      <c r="W6" s="143">
        <f t="shared" si="8"/>
        <v>0</v>
      </c>
      <c r="X6" s="115"/>
      <c r="Y6" s="143">
        <f t="shared" si="9"/>
        <v>0</v>
      </c>
      <c r="Z6" s="115"/>
      <c r="AA6" s="143">
        <f t="shared" si="10"/>
        <v>0</v>
      </c>
      <c r="AB6" s="115"/>
      <c r="AC6" s="143">
        <f t="shared" si="11"/>
        <v>0</v>
      </c>
      <c r="AD6" s="113">
        <f t="shared" si="12"/>
        <v>0</v>
      </c>
      <c r="AE6" s="144">
        <f t="shared" si="13"/>
        <v>0</v>
      </c>
    </row>
    <row r="7" spans="1:31" ht="20.100000000000001" customHeight="1">
      <c r="A7" s="2">
        <v>3</v>
      </c>
      <c r="B7" s="2" t="s">
        <v>18</v>
      </c>
      <c r="C7" s="2" t="s">
        <v>17</v>
      </c>
      <c r="D7" s="2">
        <v>1</v>
      </c>
      <c r="E7" s="2" t="s">
        <v>15</v>
      </c>
      <c r="F7" s="111">
        <v>120</v>
      </c>
      <c r="G7" s="112">
        <f t="shared" si="0"/>
        <v>120</v>
      </c>
      <c r="H7" s="111"/>
      <c r="I7" s="112">
        <f t="shared" si="1"/>
        <v>0</v>
      </c>
      <c r="J7" s="111">
        <v>60</v>
      </c>
      <c r="K7" s="143">
        <f t="shared" si="2"/>
        <v>60</v>
      </c>
      <c r="L7" s="111"/>
      <c r="M7" s="143">
        <f t="shared" si="3"/>
        <v>0</v>
      </c>
      <c r="N7" s="111">
        <v>300</v>
      </c>
      <c r="O7" s="143">
        <f t="shared" si="4"/>
        <v>300</v>
      </c>
      <c r="P7" s="111"/>
      <c r="Q7" s="112">
        <f t="shared" si="5"/>
        <v>0</v>
      </c>
      <c r="R7" s="111"/>
      <c r="S7" s="143">
        <f t="shared" si="6"/>
        <v>0</v>
      </c>
      <c r="T7" s="111"/>
      <c r="U7" s="143">
        <f t="shared" si="7"/>
        <v>0</v>
      </c>
      <c r="V7" s="111">
        <v>180</v>
      </c>
      <c r="W7" s="143">
        <f t="shared" si="8"/>
        <v>180</v>
      </c>
      <c r="X7" s="111">
        <v>12</v>
      </c>
      <c r="Y7" s="143">
        <f t="shared" si="9"/>
        <v>12</v>
      </c>
      <c r="Z7" s="111">
        <v>828</v>
      </c>
      <c r="AA7" s="143">
        <f t="shared" si="10"/>
        <v>828</v>
      </c>
      <c r="AB7" s="111">
        <v>600</v>
      </c>
      <c r="AC7" s="143">
        <f t="shared" si="11"/>
        <v>600</v>
      </c>
      <c r="AD7" s="113">
        <f t="shared" si="12"/>
        <v>2100</v>
      </c>
      <c r="AE7" s="144">
        <f t="shared" si="13"/>
        <v>2100</v>
      </c>
    </row>
    <row r="8" spans="1:31" ht="20.100000000000001" customHeight="1">
      <c r="A8" s="2">
        <v>4</v>
      </c>
      <c r="B8" s="2" t="s">
        <v>19</v>
      </c>
      <c r="C8" s="2" t="s">
        <v>17</v>
      </c>
      <c r="D8" s="2">
        <v>0.6</v>
      </c>
      <c r="E8" s="2" t="s">
        <v>15</v>
      </c>
      <c r="F8" s="111">
        <v>60</v>
      </c>
      <c r="G8" s="112">
        <f t="shared" si="0"/>
        <v>36</v>
      </c>
      <c r="H8" s="111"/>
      <c r="I8" s="112">
        <f t="shared" si="1"/>
        <v>0</v>
      </c>
      <c r="J8" s="111"/>
      <c r="K8" s="143">
        <f t="shared" si="2"/>
        <v>0</v>
      </c>
      <c r="L8" s="111"/>
      <c r="M8" s="143">
        <f t="shared" si="3"/>
        <v>0</v>
      </c>
      <c r="N8" s="111"/>
      <c r="O8" s="143">
        <f t="shared" si="4"/>
        <v>0</v>
      </c>
      <c r="P8" s="111"/>
      <c r="Q8" s="112">
        <f t="shared" si="5"/>
        <v>0</v>
      </c>
      <c r="R8" s="111"/>
      <c r="S8" s="143">
        <f t="shared" si="6"/>
        <v>0</v>
      </c>
      <c r="T8" s="111"/>
      <c r="U8" s="143">
        <f t="shared" si="7"/>
        <v>0</v>
      </c>
      <c r="V8" s="111"/>
      <c r="W8" s="143">
        <f t="shared" si="8"/>
        <v>0</v>
      </c>
      <c r="X8" s="111"/>
      <c r="Y8" s="143">
        <f t="shared" si="9"/>
        <v>0</v>
      </c>
      <c r="Z8" s="111">
        <v>60</v>
      </c>
      <c r="AA8" s="143">
        <f t="shared" si="10"/>
        <v>36</v>
      </c>
      <c r="AB8" s="111"/>
      <c r="AC8" s="143">
        <f t="shared" si="11"/>
        <v>0</v>
      </c>
      <c r="AD8" s="113">
        <f t="shared" si="12"/>
        <v>120</v>
      </c>
      <c r="AE8" s="144">
        <f t="shared" si="13"/>
        <v>72</v>
      </c>
    </row>
    <row r="9" spans="1:31" ht="20.100000000000001" customHeight="1">
      <c r="A9" s="2">
        <v>5</v>
      </c>
      <c r="B9" s="2" t="s">
        <v>20</v>
      </c>
      <c r="C9" s="2" t="s">
        <v>17</v>
      </c>
      <c r="D9" s="2">
        <v>0.35</v>
      </c>
      <c r="E9" s="2" t="s">
        <v>21</v>
      </c>
      <c r="F9" s="115"/>
      <c r="G9" s="112">
        <f t="shared" si="0"/>
        <v>0</v>
      </c>
      <c r="H9" s="115"/>
      <c r="I9" s="112">
        <f t="shared" si="1"/>
        <v>0</v>
      </c>
      <c r="J9" s="115"/>
      <c r="K9" s="143">
        <f t="shared" si="2"/>
        <v>0</v>
      </c>
      <c r="L9" s="115"/>
      <c r="M9" s="143">
        <f t="shared" si="3"/>
        <v>0</v>
      </c>
      <c r="N9" s="115"/>
      <c r="O9" s="143">
        <f t="shared" si="4"/>
        <v>0</v>
      </c>
      <c r="P9" s="115"/>
      <c r="Q9" s="112">
        <f t="shared" si="5"/>
        <v>0</v>
      </c>
      <c r="R9" s="115"/>
      <c r="S9" s="143">
        <f t="shared" si="6"/>
        <v>0</v>
      </c>
      <c r="T9" s="115"/>
      <c r="U9" s="143">
        <f t="shared" si="7"/>
        <v>0</v>
      </c>
      <c r="V9" s="115"/>
      <c r="W9" s="143">
        <f t="shared" si="8"/>
        <v>0</v>
      </c>
      <c r="X9" s="115"/>
      <c r="Y9" s="143">
        <f t="shared" si="9"/>
        <v>0</v>
      </c>
      <c r="Z9" s="115"/>
      <c r="AA9" s="143">
        <f t="shared" si="10"/>
        <v>0</v>
      </c>
      <c r="AB9" s="115"/>
      <c r="AC9" s="143">
        <f t="shared" si="11"/>
        <v>0</v>
      </c>
      <c r="AD9" s="113">
        <f t="shared" si="12"/>
        <v>0</v>
      </c>
      <c r="AE9" s="144">
        <f t="shared" si="13"/>
        <v>0</v>
      </c>
    </row>
    <row r="10" spans="1:31" ht="20.100000000000001" customHeight="1">
      <c r="A10" s="2">
        <v>6</v>
      </c>
      <c r="B10" s="2" t="s">
        <v>22</v>
      </c>
      <c r="C10" s="2" t="s">
        <v>14</v>
      </c>
      <c r="D10" s="2">
        <v>0.7</v>
      </c>
      <c r="E10" s="2" t="s">
        <v>15</v>
      </c>
      <c r="F10" s="115"/>
      <c r="G10" s="112">
        <f t="shared" si="0"/>
        <v>0</v>
      </c>
      <c r="H10" s="115"/>
      <c r="I10" s="112">
        <f t="shared" si="1"/>
        <v>0</v>
      </c>
      <c r="J10" s="115"/>
      <c r="K10" s="143">
        <f t="shared" si="2"/>
        <v>0</v>
      </c>
      <c r="L10" s="115"/>
      <c r="M10" s="143">
        <f t="shared" si="3"/>
        <v>0</v>
      </c>
      <c r="N10" s="115"/>
      <c r="O10" s="143">
        <f t="shared" si="4"/>
        <v>0</v>
      </c>
      <c r="P10" s="115"/>
      <c r="Q10" s="112">
        <f t="shared" si="5"/>
        <v>0</v>
      </c>
      <c r="R10" s="115"/>
      <c r="S10" s="143">
        <f t="shared" si="6"/>
        <v>0</v>
      </c>
      <c r="T10" s="115"/>
      <c r="U10" s="143">
        <f t="shared" si="7"/>
        <v>0</v>
      </c>
      <c r="V10" s="115"/>
      <c r="W10" s="143">
        <f t="shared" si="8"/>
        <v>0</v>
      </c>
      <c r="X10" s="115"/>
      <c r="Y10" s="143">
        <f t="shared" si="9"/>
        <v>0</v>
      </c>
      <c r="Z10" s="115"/>
      <c r="AA10" s="143">
        <f t="shared" si="10"/>
        <v>0</v>
      </c>
      <c r="AB10" s="115"/>
      <c r="AC10" s="143">
        <f t="shared" si="11"/>
        <v>0</v>
      </c>
      <c r="AD10" s="113">
        <f t="shared" si="12"/>
        <v>0</v>
      </c>
      <c r="AE10" s="144">
        <f t="shared" si="13"/>
        <v>0</v>
      </c>
    </row>
    <row r="11" spans="1:31" ht="20.100000000000001" customHeight="1">
      <c r="A11" s="2">
        <v>7</v>
      </c>
      <c r="B11" s="2" t="s">
        <v>23</v>
      </c>
      <c r="C11" s="2" t="s">
        <v>14</v>
      </c>
      <c r="D11" s="2">
        <v>0.64</v>
      </c>
      <c r="E11" s="2" t="s">
        <v>24</v>
      </c>
      <c r="F11" s="115"/>
      <c r="G11" s="112">
        <f t="shared" si="0"/>
        <v>0</v>
      </c>
      <c r="H11" s="115"/>
      <c r="I11" s="112">
        <f t="shared" si="1"/>
        <v>0</v>
      </c>
      <c r="J11" s="115"/>
      <c r="K11" s="143">
        <f t="shared" si="2"/>
        <v>0</v>
      </c>
      <c r="L11" s="115"/>
      <c r="M11" s="143">
        <f t="shared" si="3"/>
        <v>0</v>
      </c>
      <c r="N11" s="115"/>
      <c r="O11" s="143">
        <f t="shared" si="4"/>
        <v>0</v>
      </c>
      <c r="P11" s="115"/>
      <c r="Q11" s="112">
        <f t="shared" si="5"/>
        <v>0</v>
      </c>
      <c r="R11" s="115"/>
      <c r="S11" s="143">
        <f t="shared" si="6"/>
        <v>0</v>
      </c>
      <c r="T11" s="115"/>
      <c r="U11" s="143">
        <f t="shared" si="7"/>
        <v>0</v>
      </c>
      <c r="V11" s="115"/>
      <c r="W11" s="143">
        <f t="shared" si="8"/>
        <v>0</v>
      </c>
      <c r="X11" s="115"/>
      <c r="Y11" s="143">
        <f t="shared" si="9"/>
        <v>0</v>
      </c>
      <c r="Z11" s="115"/>
      <c r="AA11" s="143">
        <f t="shared" si="10"/>
        <v>0</v>
      </c>
      <c r="AB11" s="115"/>
      <c r="AC11" s="143">
        <f t="shared" si="11"/>
        <v>0</v>
      </c>
      <c r="AD11" s="113">
        <f t="shared" si="12"/>
        <v>0</v>
      </c>
      <c r="AE11" s="144">
        <f t="shared" si="13"/>
        <v>0</v>
      </c>
    </row>
    <row r="12" spans="1:31" ht="20.100000000000001" customHeight="1">
      <c r="A12" s="2">
        <v>8</v>
      </c>
      <c r="B12" s="2" t="s">
        <v>23</v>
      </c>
      <c r="C12" s="2" t="s">
        <v>14</v>
      </c>
      <c r="D12" s="2">
        <v>0.64</v>
      </c>
      <c r="E12" s="2" t="s">
        <v>25</v>
      </c>
      <c r="F12" s="111">
        <v>171178</v>
      </c>
      <c r="G12" s="112">
        <f t="shared" si="0"/>
        <v>109553.92</v>
      </c>
      <c r="H12" s="111">
        <v>119966</v>
      </c>
      <c r="I12" s="112">
        <f t="shared" si="1"/>
        <v>76778.240000000005</v>
      </c>
      <c r="J12" s="111">
        <v>137872</v>
      </c>
      <c r="K12" s="143">
        <f t="shared" si="2"/>
        <v>88238.080000000002</v>
      </c>
      <c r="L12" s="111">
        <v>122472</v>
      </c>
      <c r="M12" s="143">
        <f t="shared" si="3"/>
        <v>78382.080000000002</v>
      </c>
      <c r="N12" s="111">
        <v>120876</v>
      </c>
      <c r="O12" s="143">
        <f t="shared" si="4"/>
        <v>77360.639999999999</v>
      </c>
      <c r="P12" s="111">
        <v>127344</v>
      </c>
      <c r="Q12" s="112">
        <f t="shared" si="5"/>
        <v>81500.160000000003</v>
      </c>
      <c r="R12" s="111">
        <v>132384</v>
      </c>
      <c r="S12" s="143">
        <f t="shared" si="6"/>
        <v>84725.759999999995</v>
      </c>
      <c r="T12" s="111">
        <v>161325</v>
      </c>
      <c r="U12" s="143">
        <f t="shared" si="7"/>
        <v>103248</v>
      </c>
      <c r="V12" s="111">
        <v>133912</v>
      </c>
      <c r="W12" s="143">
        <f t="shared" si="8"/>
        <v>85703.680000000008</v>
      </c>
      <c r="X12" s="111">
        <v>168854</v>
      </c>
      <c r="Y12" s="143">
        <f t="shared" si="9"/>
        <v>108066.56</v>
      </c>
      <c r="Z12" s="111">
        <v>150325</v>
      </c>
      <c r="AA12" s="143">
        <f t="shared" si="10"/>
        <v>96208</v>
      </c>
      <c r="AB12" s="111">
        <v>185822</v>
      </c>
      <c r="AC12" s="143">
        <f t="shared" si="11"/>
        <v>118926.08</v>
      </c>
      <c r="AD12" s="113">
        <f t="shared" si="12"/>
        <v>1732330</v>
      </c>
      <c r="AE12" s="144">
        <f t="shared" si="13"/>
        <v>1108691.2</v>
      </c>
    </row>
    <row r="13" spans="1:31" ht="20.100000000000001" customHeight="1">
      <c r="A13" s="2">
        <v>9</v>
      </c>
      <c r="B13" s="2" t="s">
        <v>23</v>
      </c>
      <c r="C13" s="2" t="s">
        <v>14</v>
      </c>
      <c r="D13" s="2">
        <v>0.64</v>
      </c>
      <c r="E13" s="2" t="s">
        <v>15</v>
      </c>
      <c r="F13" s="115"/>
      <c r="G13" s="112">
        <f t="shared" si="0"/>
        <v>0</v>
      </c>
      <c r="H13" s="115"/>
      <c r="I13" s="112">
        <f t="shared" si="1"/>
        <v>0</v>
      </c>
      <c r="J13" s="115"/>
      <c r="K13" s="143">
        <f t="shared" si="2"/>
        <v>0</v>
      </c>
      <c r="L13" s="115"/>
      <c r="M13" s="143">
        <f t="shared" si="3"/>
        <v>0</v>
      </c>
      <c r="N13" s="115"/>
      <c r="O13" s="143">
        <f t="shared" si="4"/>
        <v>0</v>
      </c>
      <c r="P13" s="115"/>
      <c r="Q13" s="112">
        <f t="shared" si="5"/>
        <v>0</v>
      </c>
      <c r="R13" s="115"/>
      <c r="S13" s="143">
        <f t="shared" si="6"/>
        <v>0</v>
      </c>
      <c r="T13" s="115"/>
      <c r="U13" s="143">
        <f t="shared" si="7"/>
        <v>0</v>
      </c>
      <c r="V13" s="115"/>
      <c r="W13" s="143">
        <f t="shared" si="8"/>
        <v>0</v>
      </c>
      <c r="X13" s="115"/>
      <c r="Y13" s="143">
        <f t="shared" si="9"/>
        <v>0</v>
      </c>
      <c r="Z13" s="115"/>
      <c r="AA13" s="143">
        <f t="shared" si="10"/>
        <v>0</v>
      </c>
      <c r="AB13" s="115"/>
      <c r="AC13" s="143">
        <f t="shared" si="11"/>
        <v>0</v>
      </c>
      <c r="AD13" s="113">
        <f t="shared" si="12"/>
        <v>0</v>
      </c>
      <c r="AE13" s="144">
        <f t="shared" si="13"/>
        <v>0</v>
      </c>
    </row>
    <row r="14" spans="1:31" ht="20.100000000000001" customHeight="1">
      <c r="A14" s="2">
        <v>10</v>
      </c>
      <c r="B14" s="2" t="s">
        <v>26</v>
      </c>
      <c r="C14" s="2" t="s">
        <v>14</v>
      </c>
      <c r="D14" s="2">
        <v>0.64</v>
      </c>
      <c r="E14" s="2" t="s">
        <v>25</v>
      </c>
      <c r="F14" s="115"/>
      <c r="G14" s="112">
        <f t="shared" si="0"/>
        <v>0</v>
      </c>
      <c r="H14" s="115"/>
      <c r="I14" s="112">
        <f t="shared" si="1"/>
        <v>0</v>
      </c>
      <c r="J14" s="115"/>
      <c r="K14" s="143">
        <f t="shared" si="2"/>
        <v>0</v>
      </c>
      <c r="L14" s="115"/>
      <c r="M14" s="143">
        <f t="shared" si="3"/>
        <v>0</v>
      </c>
      <c r="N14" s="115"/>
      <c r="O14" s="143">
        <f t="shared" si="4"/>
        <v>0</v>
      </c>
      <c r="P14" s="115"/>
      <c r="Q14" s="112">
        <f t="shared" si="5"/>
        <v>0</v>
      </c>
      <c r="R14" s="115"/>
      <c r="S14" s="143">
        <f t="shared" si="6"/>
        <v>0</v>
      </c>
      <c r="T14" s="115"/>
      <c r="U14" s="143">
        <f t="shared" si="7"/>
        <v>0</v>
      </c>
      <c r="V14" s="115"/>
      <c r="W14" s="143">
        <f t="shared" si="8"/>
        <v>0</v>
      </c>
      <c r="X14" s="115"/>
      <c r="Y14" s="143">
        <f t="shared" si="9"/>
        <v>0</v>
      </c>
      <c r="Z14" s="115"/>
      <c r="AA14" s="143">
        <f t="shared" si="10"/>
        <v>0</v>
      </c>
      <c r="AB14" s="115"/>
      <c r="AC14" s="143">
        <f t="shared" si="11"/>
        <v>0</v>
      </c>
      <c r="AD14" s="113">
        <f t="shared" si="12"/>
        <v>0</v>
      </c>
      <c r="AE14" s="144">
        <f t="shared" si="13"/>
        <v>0</v>
      </c>
    </row>
    <row r="15" spans="1:31" ht="20.100000000000001" customHeight="1">
      <c r="A15" s="2"/>
      <c r="B15" s="2"/>
      <c r="C15" s="2"/>
      <c r="D15" s="2"/>
      <c r="E15" s="2"/>
      <c r="F15" s="115"/>
      <c r="G15" s="112">
        <f t="shared" si="0"/>
        <v>0</v>
      </c>
      <c r="H15" s="115"/>
      <c r="I15" s="112">
        <f t="shared" si="1"/>
        <v>0</v>
      </c>
      <c r="J15" s="115"/>
      <c r="K15" s="143">
        <f t="shared" si="2"/>
        <v>0</v>
      </c>
      <c r="L15" s="115"/>
      <c r="M15" s="143">
        <f t="shared" si="3"/>
        <v>0</v>
      </c>
      <c r="N15" s="115"/>
      <c r="O15" s="143">
        <f t="shared" si="4"/>
        <v>0</v>
      </c>
      <c r="P15" s="115"/>
      <c r="Q15" s="112">
        <f t="shared" si="5"/>
        <v>0</v>
      </c>
      <c r="R15" s="115"/>
      <c r="S15" s="143">
        <f t="shared" si="6"/>
        <v>0</v>
      </c>
      <c r="T15" s="115"/>
      <c r="U15" s="143">
        <f t="shared" si="7"/>
        <v>0</v>
      </c>
      <c r="V15" s="115"/>
      <c r="W15" s="143">
        <f t="shared" si="8"/>
        <v>0</v>
      </c>
      <c r="X15" s="115"/>
      <c r="Y15" s="143">
        <f t="shared" si="9"/>
        <v>0</v>
      </c>
      <c r="Z15" s="115"/>
      <c r="AA15" s="143">
        <f t="shared" si="10"/>
        <v>0</v>
      </c>
      <c r="AB15" s="115"/>
      <c r="AC15" s="143">
        <f t="shared" si="11"/>
        <v>0</v>
      </c>
      <c r="AD15" s="113">
        <f t="shared" si="12"/>
        <v>0</v>
      </c>
      <c r="AE15" s="144">
        <f t="shared" si="13"/>
        <v>0</v>
      </c>
    </row>
    <row r="16" spans="1:31" ht="20.100000000000001" customHeight="1">
      <c r="A16" s="2">
        <v>11</v>
      </c>
      <c r="B16" s="2" t="s">
        <v>27</v>
      </c>
      <c r="C16" s="2" t="s">
        <v>17</v>
      </c>
      <c r="D16" s="2">
        <v>1</v>
      </c>
      <c r="E16" s="2" t="s">
        <v>15</v>
      </c>
      <c r="F16" s="111">
        <v>12312</v>
      </c>
      <c r="G16" s="112">
        <f t="shared" si="0"/>
        <v>12312</v>
      </c>
      <c r="H16" s="111">
        <v>6684</v>
      </c>
      <c r="I16" s="112">
        <f t="shared" si="1"/>
        <v>6684</v>
      </c>
      <c r="J16" s="111">
        <v>12432</v>
      </c>
      <c r="K16" s="143">
        <f t="shared" si="2"/>
        <v>12432</v>
      </c>
      <c r="L16" s="111">
        <v>12108</v>
      </c>
      <c r="M16" s="143">
        <f t="shared" si="3"/>
        <v>12108</v>
      </c>
      <c r="N16" s="111">
        <v>12456</v>
      </c>
      <c r="O16" s="143">
        <f t="shared" si="4"/>
        <v>12456</v>
      </c>
      <c r="P16" s="111">
        <v>13150</v>
      </c>
      <c r="Q16" s="112">
        <f t="shared" si="5"/>
        <v>13150</v>
      </c>
      <c r="R16" s="111">
        <v>15358</v>
      </c>
      <c r="S16" s="143">
        <f t="shared" si="6"/>
        <v>15358</v>
      </c>
      <c r="T16" s="111">
        <v>10075</v>
      </c>
      <c r="U16" s="143">
        <f t="shared" si="7"/>
        <v>10075</v>
      </c>
      <c r="V16" s="111">
        <v>13018</v>
      </c>
      <c r="W16" s="143">
        <f t="shared" si="8"/>
        <v>13018</v>
      </c>
      <c r="X16" s="111">
        <v>10356</v>
      </c>
      <c r="Y16" s="143">
        <f t="shared" si="9"/>
        <v>10356</v>
      </c>
      <c r="Z16" s="111">
        <v>16800</v>
      </c>
      <c r="AA16" s="143">
        <f t="shared" si="10"/>
        <v>16800</v>
      </c>
      <c r="AB16" s="111">
        <v>16884</v>
      </c>
      <c r="AC16" s="143">
        <f t="shared" si="11"/>
        <v>16884</v>
      </c>
      <c r="AD16" s="113">
        <f t="shared" si="12"/>
        <v>151633</v>
      </c>
      <c r="AE16" s="144">
        <f t="shared" si="13"/>
        <v>151633</v>
      </c>
    </row>
    <row r="17" spans="1:31" ht="20.100000000000001" customHeight="1">
      <c r="A17" s="2">
        <v>12</v>
      </c>
      <c r="B17" s="2" t="s">
        <v>28</v>
      </c>
      <c r="C17" s="2" t="s">
        <v>17</v>
      </c>
      <c r="D17" s="2">
        <v>1</v>
      </c>
      <c r="E17" s="2" t="s">
        <v>15</v>
      </c>
      <c r="F17" s="115"/>
      <c r="G17" s="112">
        <f t="shared" si="0"/>
        <v>0</v>
      </c>
      <c r="H17" s="115"/>
      <c r="I17" s="112">
        <f t="shared" si="1"/>
        <v>0</v>
      </c>
      <c r="J17" s="115"/>
      <c r="K17" s="143">
        <f t="shared" si="2"/>
        <v>0</v>
      </c>
      <c r="L17" s="115"/>
      <c r="M17" s="143">
        <f t="shared" si="3"/>
        <v>0</v>
      </c>
      <c r="N17" s="115"/>
      <c r="O17" s="143">
        <f t="shared" si="4"/>
        <v>0</v>
      </c>
      <c r="P17" s="115"/>
      <c r="Q17" s="112">
        <f t="shared" si="5"/>
        <v>0</v>
      </c>
      <c r="R17" s="115"/>
      <c r="S17" s="143">
        <f t="shared" si="6"/>
        <v>0</v>
      </c>
      <c r="T17" s="115"/>
      <c r="U17" s="143">
        <f t="shared" si="7"/>
        <v>0</v>
      </c>
      <c r="V17" s="115"/>
      <c r="W17" s="143">
        <f t="shared" si="8"/>
        <v>0</v>
      </c>
      <c r="X17" s="115"/>
      <c r="Y17" s="143">
        <f t="shared" si="9"/>
        <v>0</v>
      </c>
      <c r="Z17" s="115"/>
      <c r="AA17" s="143">
        <f t="shared" si="10"/>
        <v>0</v>
      </c>
      <c r="AB17" s="115"/>
      <c r="AC17" s="143">
        <f t="shared" si="11"/>
        <v>0</v>
      </c>
      <c r="AD17" s="113">
        <f t="shared" si="12"/>
        <v>0</v>
      </c>
      <c r="AE17" s="144">
        <f t="shared" si="13"/>
        <v>0</v>
      </c>
    </row>
    <row r="18" spans="1:31" ht="20.100000000000001" customHeight="1">
      <c r="A18" s="2">
        <v>13</v>
      </c>
      <c r="B18" s="2" t="s">
        <v>29</v>
      </c>
      <c r="C18" s="2" t="s">
        <v>17</v>
      </c>
      <c r="D18" s="2">
        <v>0.6</v>
      </c>
      <c r="E18" s="2" t="s">
        <v>15</v>
      </c>
      <c r="F18" s="111">
        <v>1488</v>
      </c>
      <c r="G18" s="112">
        <f t="shared" si="0"/>
        <v>892.8</v>
      </c>
      <c r="H18" s="111">
        <v>492</v>
      </c>
      <c r="I18" s="112">
        <f t="shared" si="1"/>
        <v>295.2</v>
      </c>
      <c r="J18" s="111">
        <v>552</v>
      </c>
      <c r="K18" s="143">
        <f t="shared" si="2"/>
        <v>331.2</v>
      </c>
      <c r="L18" s="111">
        <v>600</v>
      </c>
      <c r="M18" s="143">
        <f t="shared" si="3"/>
        <v>360</v>
      </c>
      <c r="N18" s="111">
        <v>780</v>
      </c>
      <c r="O18" s="143">
        <f t="shared" si="4"/>
        <v>468</v>
      </c>
      <c r="P18" s="111">
        <v>648</v>
      </c>
      <c r="Q18" s="112">
        <f t="shared" si="5"/>
        <v>388.8</v>
      </c>
      <c r="R18" s="111">
        <v>564</v>
      </c>
      <c r="S18" s="143">
        <f t="shared" si="6"/>
        <v>338.4</v>
      </c>
      <c r="T18" s="111">
        <v>636</v>
      </c>
      <c r="U18" s="143">
        <f t="shared" si="7"/>
        <v>381.59999999999997</v>
      </c>
      <c r="V18" s="111">
        <v>600</v>
      </c>
      <c r="W18" s="143">
        <f t="shared" si="8"/>
        <v>360</v>
      </c>
      <c r="X18" s="111">
        <v>876</v>
      </c>
      <c r="Y18" s="143">
        <f t="shared" si="9"/>
        <v>525.6</v>
      </c>
      <c r="Z18" s="111">
        <v>720</v>
      </c>
      <c r="AA18" s="143">
        <f t="shared" si="10"/>
        <v>432</v>
      </c>
      <c r="AB18" s="111">
        <v>576</v>
      </c>
      <c r="AC18" s="143">
        <f t="shared" si="11"/>
        <v>345.59999999999997</v>
      </c>
      <c r="AD18" s="113">
        <f t="shared" si="12"/>
        <v>8532</v>
      </c>
      <c r="AE18" s="144">
        <f t="shared" si="13"/>
        <v>5119.2</v>
      </c>
    </row>
    <row r="19" spans="1:31" ht="20.100000000000001" customHeight="1">
      <c r="A19" s="2">
        <v>14</v>
      </c>
      <c r="B19" s="2" t="s">
        <v>30</v>
      </c>
      <c r="C19" s="2" t="s">
        <v>17</v>
      </c>
      <c r="D19" s="2">
        <v>0.6</v>
      </c>
      <c r="E19" s="2" t="s">
        <v>15</v>
      </c>
      <c r="F19" s="115"/>
      <c r="G19" s="112">
        <f t="shared" si="0"/>
        <v>0</v>
      </c>
      <c r="H19" s="115"/>
      <c r="I19" s="112">
        <f t="shared" si="1"/>
        <v>0</v>
      </c>
      <c r="J19" s="115"/>
      <c r="K19" s="143">
        <f t="shared" si="2"/>
        <v>0</v>
      </c>
      <c r="L19" s="115"/>
      <c r="M19" s="143">
        <f t="shared" si="3"/>
        <v>0</v>
      </c>
      <c r="N19" s="115"/>
      <c r="O19" s="143">
        <f t="shared" si="4"/>
        <v>0</v>
      </c>
      <c r="P19" s="115"/>
      <c r="Q19" s="112">
        <f t="shared" si="5"/>
        <v>0</v>
      </c>
      <c r="R19" s="115"/>
      <c r="S19" s="143">
        <f t="shared" si="6"/>
        <v>0</v>
      </c>
      <c r="T19" s="115"/>
      <c r="U19" s="143">
        <f t="shared" si="7"/>
        <v>0</v>
      </c>
      <c r="V19" s="115"/>
      <c r="W19" s="143">
        <f t="shared" si="8"/>
        <v>0</v>
      </c>
      <c r="X19" s="115"/>
      <c r="Y19" s="143">
        <f t="shared" si="9"/>
        <v>0</v>
      </c>
      <c r="Z19" s="115"/>
      <c r="AA19" s="143">
        <f t="shared" si="10"/>
        <v>0</v>
      </c>
      <c r="AB19" s="115"/>
      <c r="AC19" s="143">
        <f t="shared" si="11"/>
        <v>0</v>
      </c>
      <c r="AD19" s="113">
        <f t="shared" si="12"/>
        <v>0</v>
      </c>
      <c r="AE19" s="144">
        <f t="shared" si="13"/>
        <v>0</v>
      </c>
    </row>
    <row r="20" spans="1:31" ht="20.100000000000001" customHeight="1">
      <c r="A20" s="2">
        <v>15</v>
      </c>
      <c r="B20" s="2" t="s">
        <v>31</v>
      </c>
      <c r="C20" s="2" t="s">
        <v>17</v>
      </c>
      <c r="D20" s="2">
        <v>0.35</v>
      </c>
      <c r="E20" s="2" t="s">
        <v>21</v>
      </c>
      <c r="F20" s="115"/>
      <c r="G20" s="112">
        <f t="shared" si="0"/>
        <v>0</v>
      </c>
      <c r="H20" s="115"/>
      <c r="I20" s="112">
        <f t="shared" si="1"/>
        <v>0</v>
      </c>
      <c r="J20" s="115"/>
      <c r="K20" s="143">
        <f t="shared" si="2"/>
        <v>0</v>
      </c>
      <c r="L20" s="115"/>
      <c r="M20" s="143">
        <f t="shared" si="3"/>
        <v>0</v>
      </c>
      <c r="N20" s="115"/>
      <c r="O20" s="143">
        <f t="shared" si="4"/>
        <v>0</v>
      </c>
      <c r="P20" s="115"/>
      <c r="Q20" s="112">
        <f t="shared" si="5"/>
        <v>0</v>
      </c>
      <c r="R20" s="115"/>
      <c r="S20" s="143">
        <f t="shared" si="6"/>
        <v>0</v>
      </c>
      <c r="T20" s="115"/>
      <c r="U20" s="143">
        <f t="shared" si="7"/>
        <v>0</v>
      </c>
      <c r="V20" s="115"/>
      <c r="W20" s="143">
        <f t="shared" si="8"/>
        <v>0</v>
      </c>
      <c r="X20" s="115"/>
      <c r="Y20" s="143">
        <f t="shared" si="9"/>
        <v>0</v>
      </c>
      <c r="Z20" s="115"/>
      <c r="AA20" s="143">
        <f t="shared" si="10"/>
        <v>0</v>
      </c>
      <c r="AB20" s="115"/>
      <c r="AC20" s="143">
        <f t="shared" si="11"/>
        <v>0</v>
      </c>
      <c r="AD20" s="113">
        <f t="shared" si="12"/>
        <v>0</v>
      </c>
      <c r="AE20" s="144">
        <f t="shared" si="13"/>
        <v>0</v>
      </c>
    </row>
    <row r="21" spans="1:31" ht="20.100000000000001" customHeight="1">
      <c r="A21" s="2">
        <v>16</v>
      </c>
      <c r="B21" s="2" t="s">
        <v>32</v>
      </c>
      <c r="C21" s="2" t="s">
        <v>17</v>
      </c>
      <c r="D21" s="2">
        <v>0.35</v>
      </c>
      <c r="E21" s="2" t="s">
        <v>21</v>
      </c>
      <c r="F21" s="115"/>
      <c r="G21" s="112">
        <f t="shared" si="0"/>
        <v>0</v>
      </c>
      <c r="H21" s="115"/>
      <c r="I21" s="112">
        <f t="shared" si="1"/>
        <v>0</v>
      </c>
      <c r="J21" s="115"/>
      <c r="K21" s="143">
        <f t="shared" si="2"/>
        <v>0</v>
      </c>
      <c r="L21" s="115"/>
      <c r="M21" s="143">
        <f t="shared" si="3"/>
        <v>0</v>
      </c>
      <c r="N21" s="115"/>
      <c r="O21" s="143">
        <f t="shared" si="4"/>
        <v>0</v>
      </c>
      <c r="P21" s="115"/>
      <c r="Q21" s="112">
        <f t="shared" si="5"/>
        <v>0</v>
      </c>
      <c r="R21" s="115"/>
      <c r="S21" s="143">
        <f t="shared" si="6"/>
        <v>0</v>
      </c>
      <c r="T21" s="115"/>
      <c r="U21" s="143">
        <f t="shared" si="7"/>
        <v>0</v>
      </c>
      <c r="V21" s="115"/>
      <c r="W21" s="143">
        <f t="shared" si="8"/>
        <v>0</v>
      </c>
      <c r="X21" s="115"/>
      <c r="Y21" s="143">
        <f t="shared" si="9"/>
        <v>0</v>
      </c>
      <c r="Z21" s="115"/>
      <c r="AA21" s="143">
        <f t="shared" si="10"/>
        <v>0</v>
      </c>
      <c r="AB21" s="115"/>
      <c r="AC21" s="143">
        <f t="shared" si="11"/>
        <v>0</v>
      </c>
      <c r="AD21" s="113">
        <f t="shared" si="12"/>
        <v>0</v>
      </c>
      <c r="AE21" s="144">
        <f t="shared" si="13"/>
        <v>0</v>
      </c>
    </row>
    <row r="22" spans="1:31" ht="20.100000000000001" customHeight="1">
      <c r="A22" s="2">
        <v>17</v>
      </c>
      <c r="B22" s="2" t="s">
        <v>33</v>
      </c>
      <c r="C22" s="2" t="s">
        <v>14</v>
      </c>
      <c r="D22" s="2">
        <v>0.64</v>
      </c>
      <c r="E22" s="2" t="s">
        <v>25</v>
      </c>
      <c r="F22" s="111">
        <v>67662</v>
      </c>
      <c r="G22" s="112">
        <f t="shared" si="0"/>
        <v>43303.68</v>
      </c>
      <c r="H22" s="111">
        <v>58922</v>
      </c>
      <c r="I22" s="112">
        <f t="shared" si="1"/>
        <v>37710.080000000002</v>
      </c>
      <c r="J22" s="111">
        <v>61334</v>
      </c>
      <c r="K22" s="143">
        <f t="shared" si="2"/>
        <v>39253.760000000002</v>
      </c>
      <c r="L22" s="111">
        <v>59794</v>
      </c>
      <c r="M22" s="143">
        <f t="shared" si="3"/>
        <v>38268.160000000003</v>
      </c>
      <c r="N22" s="111">
        <v>45528</v>
      </c>
      <c r="O22" s="143">
        <f t="shared" si="4"/>
        <v>29137.920000000002</v>
      </c>
      <c r="P22" s="111">
        <v>58940</v>
      </c>
      <c r="Q22" s="112">
        <f t="shared" si="5"/>
        <v>37721.599999999999</v>
      </c>
      <c r="R22" s="111">
        <v>68562</v>
      </c>
      <c r="S22" s="143">
        <f t="shared" si="6"/>
        <v>43879.68</v>
      </c>
      <c r="T22" s="111">
        <v>62636</v>
      </c>
      <c r="U22" s="143">
        <f t="shared" si="7"/>
        <v>40087.040000000001</v>
      </c>
      <c r="V22" s="111">
        <v>66628</v>
      </c>
      <c r="W22" s="143">
        <f t="shared" si="8"/>
        <v>42641.919999999998</v>
      </c>
      <c r="X22" s="111">
        <v>67270</v>
      </c>
      <c r="Y22" s="143">
        <f t="shared" si="9"/>
        <v>43052.800000000003</v>
      </c>
      <c r="Z22" s="111">
        <v>65856</v>
      </c>
      <c r="AA22" s="143">
        <f t="shared" si="10"/>
        <v>42147.840000000004</v>
      </c>
      <c r="AB22" s="111">
        <v>87710</v>
      </c>
      <c r="AC22" s="143">
        <f t="shared" si="11"/>
        <v>56134.400000000001</v>
      </c>
      <c r="AD22" s="113">
        <f>(AB22+Z22+X22+V22+T22+R22+P22+N22+L22+J22+H22+F22)</f>
        <v>770842</v>
      </c>
      <c r="AE22" s="144">
        <f t="shared" si="13"/>
        <v>493338.88</v>
      </c>
    </row>
    <row r="23" spans="1:31" ht="20.100000000000001" customHeight="1">
      <c r="A23" s="2">
        <v>18</v>
      </c>
      <c r="B23" s="2" t="s">
        <v>34</v>
      </c>
      <c r="C23" s="2" t="s">
        <v>14</v>
      </c>
      <c r="D23" s="2">
        <v>0.64</v>
      </c>
      <c r="E23" s="2" t="s">
        <v>25</v>
      </c>
      <c r="F23" s="115"/>
      <c r="G23" s="112">
        <f t="shared" si="0"/>
        <v>0</v>
      </c>
      <c r="H23" s="115"/>
      <c r="I23" s="112">
        <f t="shared" si="1"/>
        <v>0</v>
      </c>
      <c r="J23" s="115"/>
      <c r="K23" s="143">
        <f t="shared" si="2"/>
        <v>0</v>
      </c>
      <c r="L23" s="115"/>
      <c r="M23" s="143">
        <f t="shared" si="3"/>
        <v>0</v>
      </c>
      <c r="N23" s="115"/>
      <c r="O23" s="143">
        <f t="shared" si="4"/>
        <v>0</v>
      </c>
      <c r="P23" s="115"/>
      <c r="Q23" s="112">
        <f t="shared" si="5"/>
        <v>0</v>
      </c>
      <c r="R23" s="115"/>
      <c r="S23" s="143">
        <f t="shared" si="6"/>
        <v>0</v>
      </c>
      <c r="T23" s="115"/>
      <c r="U23" s="143">
        <f t="shared" si="7"/>
        <v>0</v>
      </c>
      <c r="V23" s="115"/>
      <c r="W23" s="143">
        <f t="shared" si="8"/>
        <v>0</v>
      </c>
      <c r="X23" s="115"/>
      <c r="Y23" s="143">
        <f t="shared" si="9"/>
        <v>0</v>
      </c>
      <c r="Z23" s="115"/>
      <c r="AA23" s="143">
        <f t="shared" si="10"/>
        <v>0</v>
      </c>
      <c r="AB23" s="115"/>
      <c r="AC23" s="143">
        <f t="shared" si="11"/>
        <v>0</v>
      </c>
      <c r="AD23" s="113">
        <f t="shared" si="12"/>
        <v>0</v>
      </c>
      <c r="AE23" s="144">
        <f t="shared" si="13"/>
        <v>0</v>
      </c>
    </row>
    <row r="24" spans="1:31" ht="20.100000000000001" customHeight="1">
      <c r="A24" s="2">
        <v>19</v>
      </c>
      <c r="B24" s="2" t="s">
        <v>35</v>
      </c>
      <c r="C24" s="2" t="s">
        <v>14</v>
      </c>
      <c r="D24" s="2">
        <v>0.64</v>
      </c>
      <c r="E24" s="2" t="s">
        <v>25</v>
      </c>
      <c r="F24" s="115"/>
      <c r="G24" s="112">
        <f t="shared" si="0"/>
        <v>0</v>
      </c>
      <c r="H24" s="115"/>
      <c r="I24" s="112">
        <f t="shared" si="1"/>
        <v>0</v>
      </c>
      <c r="J24" s="115"/>
      <c r="K24" s="143">
        <f t="shared" si="2"/>
        <v>0</v>
      </c>
      <c r="L24" s="115"/>
      <c r="M24" s="143">
        <f t="shared" si="3"/>
        <v>0</v>
      </c>
      <c r="N24" s="115"/>
      <c r="O24" s="143">
        <f t="shared" si="4"/>
        <v>0</v>
      </c>
      <c r="P24" s="115"/>
      <c r="Q24" s="112">
        <f t="shared" si="5"/>
        <v>0</v>
      </c>
      <c r="R24" s="115"/>
      <c r="S24" s="143">
        <f t="shared" si="6"/>
        <v>0</v>
      </c>
      <c r="T24" s="115"/>
      <c r="U24" s="143">
        <f t="shared" si="7"/>
        <v>0</v>
      </c>
      <c r="V24" s="115"/>
      <c r="W24" s="143">
        <f t="shared" si="8"/>
        <v>0</v>
      </c>
      <c r="X24" s="115"/>
      <c r="Y24" s="143">
        <f t="shared" si="9"/>
        <v>0</v>
      </c>
      <c r="Z24" s="115"/>
      <c r="AA24" s="143">
        <f t="shared" si="10"/>
        <v>0</v>
      </c>
      <c r="AB24" s="115"/>
      <c r="AC24" s="143">
        <f t="shared" si="11"/>
        <v>0</v>
      </c>
      <c r="AD24" s="113">
        <f t="shared" si="12"/>
        <v>0</v>
      </c>
      <c r="AE24" s="144">
        <f t="shared" si="13"/>
        <v>0</v>
      </c>
    </row>
    <row r="25" spans="1:31" ht="20.100000000000001" customHeight="1">
      <c r="A25" s="2"/>
      <c r="B25" s="2"/>
      <c r="C25" s="2"/>
      <c r="D25" s="2"/>
      <c r="E25" s="2"/>
      <c r="F25" s="115"/>
      <c r="G25" s="112">
        <f t="shared" si="0"/>
        <v>0</v>
      </c>
      <c r="H25" s="115"/>
      <c r="I25" s="112">
        <f t="shared" si="1"/>
        <v>0</v>
      </c>
      <c r="J25" s="115"/>
      <c r="K25" s="143">
        <f t="shared" si="2"/>
        <v>0</v>
      </c>
      <c r="L25" s="115"/>
      <c r="M25" s="143">
        <f t="shared" si="3"/>
        <v>0</v>
      </c>
      <c r="N25" s="115"/>
      <c r="O25" s="143">
        <f t="shared" si="4"/>
        <v>0</v>
      </c>
      <c r="P25" s="115"/>
      <c r="Q25" s="112">
        <f t="shared" si="5"/>
        <v>0</v>
      </c>
      <c r="R25" s="115"/>
      <c r="S25" s="143">
        <f t="shared" si="6"/>
        <v>0</v>
      </c>
      <c r="T25" s="115"/>
      <c r="U25" s="143">
        <f t="shared" si="7"/>
        <v>0</v>
      </c>
      <c r="V25" s="115"/>
      <c r="W25" s="143">
        <f t="shared" si="8"/>
        <v>0</v>
      </c>
      <c r="X25" s="115"/>
      <c r="Y25" s="143">
        <f t="shared" si="9"/>
        <v>0</v>
      </c>
      <c r="Z25" s="115"/>
      <c r="AA25" s="143">
        <f t="shared" si="10"/>
        <v>0</v>
      </c>
      <c r="AB25" s="115"/>
      <c r="AC25" s="143">
        <f t="shared" si="11"/>
        <v>0</v>
      </c>
      <c r="AD25" s="113">
        <f t="shared" si="12"/>
        <v>0</v>
      </c>
      <c r="AE25" s="144">
        <f t="shared" si="13"/>
        <v>0</v>
      </c>
    </row>
    <row r="26" spans="1:31" ht="20.100000000000001" customHeight="1">
      <c r="A26" s="2">
        <v>20</v>
      </c>
      <c r="B26" s="2" t="s">
        <v>36</v>
      </c>
      <c r="C26" s="2" t="s">
        <v>17</v>
      </c>
      <c r="D26" s="2">
        <v>1</v>
      </c>
      <c r="E26" s="2" t="s">
        <v>24</v>
      </c>
      <c r="F26" s="115"/>
      <c r="G26" s="112">
        <f t="shared" si="0"/>
        <v>0</v>
      </c>
      <c r="H26" s="115"/>
      <c r="I26" s="112">
        <f t="shared" si="1"/>
        <v>0</v>
      </c>
      <c r="J26" s="115"/>
      <c r="K26" s="143">
        <f t="shared" si="2"/>
        <v>0</v>
      </c>
      <c r="L26" s="115"/>
      <c r="M26" s="143">
        <f t="shared" si="3"/>
        <v>0</v>
      </c>
      <c r="N26" s="115"/>
      <c r="O26" s="143">
        <f t="shared" si="4"/>
        <v>0</v>
      </c>
      <c r="P26" s="115"/>
      <c r="Q26" s="112">
        <f t="shared" si="5"/>
        <v>0</v>
      </c>
      <c r="R26" s="115"/>
      <c r="S26" s="143">
        <f t="shared" si="6"/>
        <v>0</v>
      </c>
      <c r="T26" s="115"/>
      <c r="U26" s="143">
        <f t="shared" si="7"/>
        <v>0</v>
      </c>
      <c r="V26" s="115"/>
      <c r="W26" s="143">
        <f t="shared" si="8"/>
        <v>0</v>
      </c>
      <c r="X26" s="115"/>
      <c r="Y26" s="143">
        <f t="shared" si="9"/>
        <v>0</v>
      </c>
      <c r="Z26" s="115"/>
      <c r="AA26" s="143">
        <f t="shared" si="10"/>
        <v>0</v>
      </c>
      <c r="AB26" s="115"/>
      <c r="AC26" s="143">
        <f t="shared" si="11"/>
        <v>0</v>
      </c>
      <c r="AD26" s="113">
        <f t="shared" si="12"/>
        <v>0</v>
      </c>
      <c r="AE26" s="144">
        <f t="shared" si="13"/>
        <v>0</v>
      </c>
    </row>
    <row r="27" spans="1:31" ht="20.100000000000001" customHeight="1">
      <c r="A27" s="2">
        <v>21</v>
      </c>
      <c r="B27" s="2" t="s">
        <v>37</v>
      </c>
      <c r="C27" s="2" t="s">
        <v>17</v>
      </c>
      <c r="D27" s="2">
        <v>0.6</v>
      </c>
      <c r="E27" s="2" t="s">
        <v>38</v>
      </c>
      <c r="F27" s="115"/>
      <c r="G27" s="112">
        <f t="shared" si="0"/>
        <v>0</v>
      </c>
      <c r="H27" s="115"/>
      <c r="I27" s="112">
        <f t="shared" si="1"/>
        <v>0</v>
      </c>
      <c r="J27" s="115"/>
      <c r="K27" s="143">
        <f t="shared" si="2"/>
        <v>0</v>
      </c>
      <c r="L27" s="115"/>
      <c r="M27" s="143">
        <f t="shared" si="3"/>
        <v>0</v>
      </c>
      <c r="N27" s="115"/>
      <c r="O27" s="143">
        <f t="shared" si="4"/>
        <v>0</v>
      </c>
      <c r="P27" s="115"/>
      <c r="Q27" s="112">
        <f t="shared" si="5"/>
        <v>0</v>
      </c>
      <c r="R27" s="115"/>
      <c r="S27" s="143">
        <f t="shared" si="6"/>
        <v>0</v>
      </c>
      <c r="T27" s="115"/>
      <c r="U27" s="143">
        <f t="shared" si="7"/>
        <v>0</v>
      </c>
      <c r="V27" s="115"/>
      <c r="W27" s="143">
        <f t="shared" si="8"/>
        <v>0</v>
      </c>
      <c r="X27" s="115"/>
      <c r="Y27" s="143">
        <f t="shared" si="9"/>
        <v>0</v>
      </c>
      <c r="Z27" s="115"/>
      <c r="AA27" s="143">
        <f t="shared" si="10"/>
        <v>0</v>
      </c>
      <c r="AB27" s="115"/>
      <c r="AC27" s="143">
        <f t="shared" si="11"/>
        <v>0</v>
      </c>
      <c r="AD27" s="113">
        <f t="shared" si="12"/>
        <v>0</v>
      </c>
      <c r="AE27" s="144">
        <f t="shared" si="13"/>
        <v>0</v>
      </c>
    </row>
    <row r="28" spans="1:31" ht="20.100000000000001" customHeight="1">
      <c r="A28" s="2">
        <v>22</v>
      </c>
      <c r="B28" s="2" t="s">
        <v>39</v>
      </c>
      <c r="C28" s="2" t="s">
        <v>14</v>
      </c>
      <c r="D28" s="2">
        <v>0.64</v>
      </c>
      <c r="E28" s="2" t="s">
        <v>25</v>
      </c>
      <c r="F28" s="111">
        <v>44912</v>
      </c>
      <c r="G28" s="112">
        <f t="shared" si="0"/>
        <v>28743.68</v>
      </c>
      <c r="H28" s="111">
        <v>31654</v>
      </c>
      <c r="I28" s="112">
        <f t="shared" si="1"/>
        <v>20258.560000000001</v>
      </c>
      <c r="J28" s="111">
        <v>34804</v>
      </c>
      <c r="K28" s="143">
        <f t="shared" si="2"/>
        <v>22274.560000000001</v>
      </c>
      <c r="L28" s="111">
        <v>36498</v>
      </c>
      <c r="M28" s="143">
        <f t="shared" si="3"/>
        <v>23358.720000000001</v>
      </c>
      <c r="N28" s="111">
        <v>35546</v>
      </c>
      <c r="O28" s="143">
        <f t="shared" si="4"/>
        <v>22749.439999999999</v>
      </c>
      <c r="P28" s="111">
        <v>54246</v>
      </c>
      <c r="Q28" s="112">
        <f t="shared" si="5"/>
        <v>34717.440000000002</v>
      </c>
      <c r="R28" s="111">
        <v>73412</v>
      </c>
      <c r="S28" s="143">
        <f t="shared" si="6"/>
        <v>46983.68</v>
      </c>
      <c r="T28" s="111">
        <v>66720</v>
      </c>
      <c r="U28" s="143">
        <f t="shared" si="7"/>
        <v>42700.800000000003</v>
      </c>
      <c r="V28" s="111">
        <v>68740</v>
      </c>
      <c r="W28" s="143">
        <f t="shared" si="8"/>
        <v>43993.599999999999</v>
      </c>
      <c r="X28" s="111">
        <v>81158</v>
      </c>
      <c r="Y28" s="143">
        <f t="shared" si="9"/>
        <v>51941.120000000003</v>
      </c>
      <c r="Z28" s="111">
        <v>93086</v>
      </c>
      <c r="AA28" s="143">
        <f t="shared" si="10"/>
        <v>59575.040000000001</v>
      </c>
      <c r="AB28" s="111">
        <v>97244</v>
      </c>
      <c r="AC28" s="143">
        <f t="shared" si="11"/>
        <v>62236.160000000003</v>
      </c>
      <c r="AD28" s="113">
        <f t="shared" si="12"/>
        <v>718020</v>
      </c>
      <c r="AE28" s="144">
        <f t="shared" si="13"/>
        <v>459532.79999999999</v>
      </c>
    </row>
    <row r="29" spans="1:31" ht="20.100000000000001" customHeight="1">
      <c r="A29" s="2">
        <v>23</v>
      </c>
      <c r="B29" s="2" t="s">
        <v>40</v>
      </c>
      <c r="C29" s="2" t="s">
        <v>14</v>
      </c>
      <c r="D29" s="2">
        <v>0.64</v>
      </c>
      <c r="E29" s="2" t="s">
        <v>25</v>
      </c>
      <c r="F29" s="115"/>
      <c r="G29" s="112">
        <f t="shared" si="0"/>
        <v>0</v>
      </c>
      <c r="H29" s="115"/>
      <c r="I29" s="112">
        <f t="shared" si="1"/>
        <v>0</v>
      </c>
      <c r="J29" s="115"/>
      <c r="K29" s="143">
        <f t="shared" si="2"/>
        <v>0</v>
      </c>
      <c r="L29" s="115"/>
      <c r="M29" s="143">
        <f t="shared" si="3"/>
        <v>0</v>
      </c>
      <c r="N29" s="115"/>
      <c r="O29" s="143">
        <f t="shared" si="4"/>
        <v>0</v>
      </c>
      <c r="P29" s="115"/>
      <c r="Q29" s="112">
        <f t="shared" si="5"/>
        <v>0</v>
      </c>
      <c r="R29" s="115"/>
      <c r="S29" s="143">
        <f t="shared" si="6"/>
        <v>0</v>
      </c>
      <c r="T29" s="115"/>
      <c r="U29" s="143">
        <f t="shared" si="7"/>
        <v>0</v>
      </c>
      <c r="V29" s="115"/>
      <c r="W29" s="143">
        <f t="shared" si="8"/>
        <v>0</v>
      </c>
      <c r="X29" s="115"/>
      <c r="Y29" s="143">
        <f t="shared" si="9"/>
        <v>0</v>
      </c>
      <c r="Z29" s="115"/>
      <c r="AA29" s="143">
        <f t="shared" si="10"/>
        <v>0</v>
      </c>
      <c r="AB29" s="115"/>
      <c r="AC29" s="143">
        <f t="shared" si="11"/>
        <v>0</v>
      </c>
      <c r="AD29" s="113">
        <f t="shared" si="12"/>
        <v>0</v>
      </c>
      <c r="AE29" s="144">
        <f t="shared" si="13"/>
        <v>0</v>
      </c>
    </row>
    <row r="30" spans="1:31" ht="20.100000000000001" customHeight="1">
      <c r="A30" s="2"/>
      <c r="B30" s="2"/>
      <c r="C30" s="2"/>
      <c r="D30" s="2"/>
      <c r="E30" s="2"/>
      <c r="F30" s="115"/>
      <c r="G30" s="112">
        <f t="shared" si="0"/>
        <v>0</v>
      </c>
      <c r="H30" s="115"/>
      <c r="I30" s="112">
        <f t="shared" si="1"/>
        <v>0</v>
      </c>
      <c r="J30" s="115"/>
      <c r="K30" s="143">
        <f t="shared" si="2"/>
        <v>0</v>
      </c>
      <c r="L30" s="115"/>
      <c r="M30" s="143">
        <f t="shared" si="3"/>
        <v>0</v>
      </c>
      <c r="N30" s="115"/>
      <c r="O30" s="143">
        <f t="shared" si="4"/>
        <v>0</v>
      </c>
      <c r="P30" s="115"/>
      <c r="Q30" s="112">
        <f t="shared" si="5"/>
        <v>0</v>
      </c>
      <c r="R30" s="115"/>
      <c r="S30" s="143">
        <f t="shared" si="6"/>
        <v>0</v>
      </c>
      <c r="T30" s="115"/>
      <c r="U30" s="143">
        <f t="shared" si="7"/>
        <v>0</v>
      </c>
      <c r="V30" s="115"/>
      <c r="W30" s="143">
        <f t="shared" si="8"/>
        <v>0</v>
      </c>
      <c r="X30" s="115"/>
      <c r="Y30" s="143">
        <f t="shared" si="9"/>
        <v>0</v>
      </c>
      <c r="Z30" s="115"/>
      <c r="AA30" s="143">
        <f t="shared" si="10"/>
        <v>0</v>
      </c>
      <c r="AB30" s="115"/>
      <c r="AC30" s="143">
        <f t="shared" si="11"/>
        <v>0</v>
      </c>
      <c r="AD30" s="113">
        <f t="shared" si="12"/>
        <v>0</v>
      </c>
      <c r="AE30" s="144">
        <f t="shared" si="13"/>
        <v>0</v>
      </c>
    </row>
    <row r="31" spans="1:31" ht="20.100000000000001" customHeight="1">
      <c r="A31" s="2">
        <v>24</v>
      </c>
      <c r="B31" s="2" t="s">
        <v>41</v>
      </c>
      <c r="C31" s="2" t="s">
        <v>17</v>
      </c>
      <c r="D31" s="2">
        <v>1</v>
      </c>
      <c r="E31" s="2" t="s">
        <v>15</v>
      </c>
      <c r="F31" s="115"/>
      <c r="G31" s="112">
        <f t="shared" si="0"/>
        <v>0</v>
      </c>
      <c r="H31" s="115"/>
      <c r="I31" s="112">
        <f t="shared" si="1"/>
        <v>0</v>
      </c>
      <c r="J31" s="115"/>
      <c r="K31" s="143">
        <f t="shared" si="2"/>
        <v>0</v>
      </c>
      <c r="L31" s="115"/>
      <c r="M31" s="143">
        <f t="shared" si="3"/>
        <v>0</v>
      </c>
      <c r="N31" s="115"/>
      <c r="O31" s="143">
        <f t="shared" si="4"/>
        <v>0</v>
      </c>
      <c r="P31" s="115"/>
      <c r="Q31" s="112">
        <f t="shared" si="5"/>
        <v>0</v>
      </c>
      <c r="R31" s="115"/>
      <c r="S31" s="143">
        <f t="shared" si="6"/>
        <v>0</v>
      </c>
      <c r="T31" s="115"/>
      <c r="U31" s="143">
        <f t="shared" si="7"/>
        <v>0</v>
      </c>
      <c r="V31" s="115"/>
      <c r="W31" s="143">
        <f t="shared" si="8"/>
        <v>0</v>
      </c>
      <c r="X31" s="115"/>
      <c r="Y31" s="143">
        <f t="shared" si="9"/>
        <v>0</v>
      </c>
      <c r="Z31" s="115"/>
      <c r="AA31" s="143">
        <f t="shared" si="10"/>
        <v>0</v>
      </c>
      <c r="AB31" s="115"/>
      <c r="AC31" s="143">
        <f t="shared" si="11"/>
        <v>0</v>
      </c>
      <c r="AD31" s="113">
        <f t="shared" si="12"/>
        <v>0</v>
      </c>
      <c r="AE31" s="144">
        <f t="shared" si="13"/>
        <v>0</v>
      </c>
    </row>
    <row r="32" spans="1:31" ht="20.100000000000001" customHeight="1">
      <c r="A32" s="2">
        <v>25</v>
      </c>
      <c r="B32" s="2" t="s">
        <v>42</v>
      </c>
      <c r="C32" s="2" t="s">
        <v>17</v>
      </c>
      <c r="D32" s="2">
        <v>1</v>
      </c>
      <c r="E32" s="2" t="s">
        <v>15</v>
      </c>
      <c r="F32" s="115"/>
      <c r="G32" s="112">
        <f t="shared" si="0"/>
        <v>0</v>
      </c>
      <c r="H32" s="115"/>
      <c r="I32" s="112">
        <f t="shared" si="1"/>
        <v>0</v>
      </c>
      <c r="J32" s="115"/>
      <c r="K32" s="143">
        <f t="shared" si="2"/>
        <v>0</v>
      </c>
      <c r="L32" s="115"/>
      <c r="M32" s="143">
        <f t="shared" si="3"/>
        <v>0</v>
      </c>
      <c r="N32" s="115"/>
      <c r="O32" s="143">
        <f t="shared" si="4"/>
        <v>0</v>
      </c>
      <c r="P32" s="115"/>
      <c r="Q32" s="112">
        <f t="shared" si="5"/>
        <v>0</v>
      </c>
      <c r="R32" s="115"/>
      <c r="S32" s="143">
        <f t="shared" si="6"/>
        <v>0</v>
      </c>
      <c r="T32" s="115"/>
      <c r="U32" s="143">
        <f t="shared" si="7"/>
        <v>0</v>
      </c>
      <c r="V32" s="115"/>
      <c r="W32" s="143">
        <f t="shared" si="8"/>
        <v>0</v>
      </c>
      <c r="X32" s="115"/>
      <c r="Y32" s="143">
        <f t="shared" si="9"/>
        <v>0</v>
      </c>
      <c r="Z32" s="115"/>
      <c r="AA32" s="143">
        <f t="shared" si="10"/>
        <v>0</v>
      </c>
      <c r="AB32" s="115"/>
      <c r="AC32" s="143">
        <f t="shared" si="11"/>
        <v>0</v>
      </c>
      <c r="AD32" s="113">
        <f t="shared" si="12"/>
        <v>0</v>
      </c>
      <c r="AE32" s="144">
        <f t="shared" si="13"/>
        <v>0</v>
      </c>
    </row>
    <row r="33" spans="1:31" ht="20.100000000000001" customHeight="1">
      <c r="A33" s="2">
        <v>26</v>
      </c>
      <c r="B33" s="2" t="s">
        <v>43</v>
      </c>
      <c r="C33" s="2" t="s">
        <v>17</v>
      </c>
      <c r="D33" s="2">
        <v>0.6</v>
      </c>
      <c r="E33" s="2" t="s">
        <v>15</v>
      </c>
      <c r="F33" s="115"/>
      <c r="G33" s="112">
        <f t="shared" si="0"/>
        <v>0</v>
      </c>
      <c r="H33" s="115"/>
      <c r="I33" s="112">
        <f t="shared" si="1"/>
        <v>0</v>
      </c>
      <c r="J33" s="115"/>
      <c r="K33" s="143">
        <f t="shared" si="2"/>
        <v>0</v>
      </c>
      <c r="L33" s="115"/>
      <c r="M33" s="143">
        <f t="shared" si="3"/>
        <v>0</v>
      </c>
      <c r="N33" s="115"/>
      <c r="O33" s="143">
        <f t="shared" si="4"/>
        <v>0</v>
      </c>
      <c r="P33" s="115"/>
      <c r="Q33" s="112">
        <f t="shared" si="5"/>
        <v>0</v>
      </c>
      <c r="R33" s="115"/>
      <c r="S33" s="143">
        <f t="shared" si="6"/>
        <v>0</v>
      </c>
      <c r="T33" s="115"/>
      <c r="U33" s="143">
        <f t="shared" si="7"/>
        <v>0</v>
      </c>
      <c r="V33" s="115"/>
      <c r="W33" s="143">
        <f t="shared" si="8"/>
        <v>0</v>
      </c>
      <c r="X33" s="115"/>
      <c r="Y33" s="143">
        <f t="shared" si="9"/>
        <v>0</v>
      </c>
      <c r="Z33" s="115"/>
      <c r="AA33" s="143">
        <f t="shared" si="10"/>
        <v>0</v>
      </c>
      <c r="AB33" s="115"/>
      <c r="AC33" s="143">
        <f t="shared" si="11"/>
        <v>0</v>
      </c>
      <c r="AD33" s="113">
        <f t="shared" si="12"/>
        <v>0</v>
      </c>
      <c r="AE33" s="144">
        <f t="shared" si="13"/>
        <v>0</v>
      </c>
    </row>
    <row r="34" spans="1:31" ht="20.100000000000001" customHeight="1">
      <c r="A34" s="2">
        <v>27</v>
      </c>
      <c r="B34" s="2" t="s">
        <v>44</v>
      </c>
      <c r="C34" s="2" t="s">
        <v>17</v>
      </c>
      <c r="D34" s="2">
        <v>0.6</v>
      </c>
      <c r="E34" s="2" t="s">
        <v>15</v>
      </c>
      <c r="F34" s="115"/>
      <c r="G34" s="112">
        <f t="shared" si="0"/>
        <v>0</v>
      </c>
      <c r="H34" s="115"/>
      <c r="I34" s="112">
        <f t="shared" si="1"/>
        <v>0</v>
      </c>
      <c r="J34" s="115"/>
      <c r="K34" s="143">
        <f t="shared" si="2"/>
        <v>0</v>
      </c>
      <c r="L34" s="115"/>
      <c r="M34" s="143">
        <f t="shared" si="3"/>
        <v>0</v>
      </c>
      <c r="N34" s="115"/>
      <c r="O34" s="143">
        <f t="shared" si="4"/>
        <v>0</v>
      </c>
      <c r="P34" s="115"/>
      <c r="Q34" s="112">
        <f t="shared" si="5"/>
        <v>0</v>
      </c>
      <c r="R34" s="115"/>
      <c r="S34" s="143">
        <f t="shared" si="6"/>
        <v>0</v>
      </c>
      <c r="T34" s="115"/>
      <c r="U34" s="143">
        <f t="shared" si="7"/>
        <v>0</v>
      </c>
      <c r="V34" s="115"/>
      <c r="W34" s="143">
        <f t="shared" si="8"/>
        <v>0</v>
      </c>
      <c r="X34" s="115"/>
      <c r="Y34" s="143">
        <f t="shared" si="9"/>
        <v>0</v>
      </c>
      <c r="Z34" s="115"/>
      <c r="AA34" s="143">
        <f t="shared" si="10"/>
        <v>0</v>
      </c>
      <c r="AB34" s="115"/>
      <c r="AC34" s="143">
        <f t="shared" si="11"/>
        <v>0</v>
      </c>
      <c r="AD34" s="113">
        <f t="shared" si="12"/>
        <v>0</v>
      </c>
      <c r="AE34" s="144">
        <f t="shared" si="13"/>
        <v>0</v>
      </c>
    </row>
    <row r="35" spans="1:31" ht="20.100000000000001" customHeight="1">
      <c r="A35" s="2">
        <v>28</v>
      </c>
      <c r="B35" s="2" t="s">
        <v>45</v>
      </c>
      <c r="C35" s="2" t="s">
        <v>17</v>
      </c>
      <c r="D35" s="2">
        <v>0.35</v>
      </c>
      <c r="E35" s="2" t="s">
        <v>21</v>
      </c>
      <c r="F35" s="115"/>
      <c r="G35" s="112">
        <f t="shared" si="0"/>
        <v>0</v>
      </c>
      <c r="H35" s="115"/>
      <c r="I35" s="112">
        <f t="shared" si="1"/>
        <v>0</v>
      </c>
      <c r="J35" s="115"/>
      <c r="K35" s="143">
        <f t="shared" si="2"/>
        <v>0</v>
      </c>
      <c r="L35" s="115"/>
      <c r="M35" s="143">
        <f t="shared" si="3"/>
        <v>0</v>
      </c>
      <c r="N35" s="115"/>
      <c r="O35" s="143">
        <f t="shared" si="4"/>
        <v>0</v>
      </c>
      <c r="P35" s="115"/>
      <c r="Q35" s="112">
        <f t="shared" si="5"/>
        <v>0</v>
      </c>
      <c r="R35" s="115"/>
      <c r="S35" s="143">
        <f t="shared" si="6"/>
        <v>0</v>
      </c>
      <c r="T35" s="115"/>
      <c r="U35" s="143">
        <f t="shared" si="7"/>
        <v>0</v>
      </c>
      <c r="V35" s="115"/>
      <c r="W35" s="143">
        <f t="shared" si="8"/>
        <v>0</v>
      </c>
      <c r="X35" s="115"/>
      <c r="Y35" s="143">
        <f t="shared" si="9"/>
        <v>0</v>
      </c>
      <c r="Z35" s="115"/>
      <c r="AA35" s="143">
        <f t="shared" si="10"/>
        <v>0</v>
      </c>
      <c r="AB35" s="115"/>
      <c r="AC35" s="143">
        <f t="shared" si="11"/>
        <v>0</v>
      </c>
      <c r="AD35" s="113">
        <f t="shared" si="12"/>
        <v>0</v>
      </c>
      <c r="AE35" s="144">
        <f t="shared" si="13"/>
        <v>0</v>
      </c>
    </row>
    <row r="36" spans="1:31" ht="20.100000000000001" customHeight="1">
      <c r="A36" s="2">
        <v>29</v>
      </c>
      <c r="B36" s="2" t="s">
        <v>46</v>
      </c>
      <c r="C36" s="2" t="s">
        <v>14</v>
      </c>
      <c r="D36" s="2">
        <v>0.7</v>
      </c>
      <c r="E36" s="2" t="s">
        <v>15</v>
      </c>
      <c r="F36" s="111">
        <v>10740</v>
      </c>
      <c r="G36" s="112">
        <f t="shared" si="0"/>
        <v>7517.9999999999991</v>
      </c>
      <c r="H36" s="111">
        <v>5988</v>
      </c>
      <c r="I36" s="112">
        <f t="shared" si="1"/>
        <v>4191.5999999999995</v>
      </c>
      <c r="J36" s="111">
        <v>9600</v>
      </c>
      <c r="K36" s="143">
        <f t="shared" si="2"/>
        <v>6720</v>
      </c>
      <c r="L36" s="111">
        <v>6972</v>
      </c>
      <c r="M36" s="143">
        <f t="shared" si="3"/>
        <v>4880.3999999999996</v>
      </c>
      <c r="N36" s="111">
        <v>6840</v>
      </c>
      <c r="O36" s="143">
        <f t="shared" si="4"/>
        <v>4788</v>
      </c>
      <c r="P36" s="111">
        <v>7380</v>
      </c>
      <c r="Q36" s="112">
        <f t="shared" si="5"/>
        <v>5166</v>
      </c>
      <c r="R36" s="111">
        <v>4404</v>
      </c>
      <c r="S36" s="143">
        <f t="shared" si="6"/>
        <v>3082.7999999999997</v>
      </c>
      <c r="T36" s="111">
        <v>6624</v>
      </c>
      <c r="U36" s="143">
        <f t="shared" si="7"/>
        <v>4636.7999999999993</v>
      </c>
      <c r="V36" s="111">
        <v>4282</v>
      </c>
      <c r="W36" s="143">
        <f t="shared" si="8"/>
        <v>2997.3999999999996</v>
      </c>
      <c r="X36" s="111">
        <v>6540</v>
      </c>
      <c r="Y36" s="143">
        <f t="shared" si="9"/>
        <v>4578</v>
      </c>
      <c r="Z36" s="111">
        <v>5640</v>
      </c>
      <c r="AA36" s="143">
        <f t="shared" si="10"/>
        <v>3947.9999999999995</v>
      </c>
      <c r="AB36" s="111">
        <v>5580</v>
      </c>
      <c r="AC36" s="143">
        <f t="shared" si="11"/>
        <v>3905.9999999999995</v>
      </c>
      <c r="AD36" s="113">
        <f t="shared" si="12"/>
        <v>80590</v>
      </c>
      <c r="AE36" s="144">
        <f t="shared" si="13"/>
        <v>56413</v>
      </c>
    </row>
    <row r="37" spans="1:31" ht="20.100000000000001" customHeight="1">
      <c r="A37" s="2">
        <v>30</v>
      </c>
      <c r="B37" s="2" t="s">
        <v>47</v>
      </c>
      <c r="C37" s="2" t="s">
        <v>14</v>
      </c>
      <c r="D37" s="2">
        <v>0.7</v>
      </c>
      <c r="E37" s="2" t="s">
        <v>15</v>
      </c>
      <c r="F37" s="115"/>
      <c r="G37" s="112">
        <f t="shared" si="0"/>
        <v>0</v>
      </c>
      <c r="H37" s="115"/>
      <c r="I37" s="112">
        <f t="shared" si="1"/>
        <v>0</v>
      </c>
      <c r="J37" s="115"/>
      <c r="K37" s="143">
        <f t="shared" si="2"/>
        <v>0</v>
      </c>
      <c r="L37" s="115"/>
      <c r="M37" s="143">
        <f t="shared" si="3"/>
        <v>0</v>
      </c>
      <c r="N37" s="115"/>
      <c r="O37" s="143">
        <f t="shared" si="4"/>
        <v>0</v>
      </c>
      <c r="P37" s="115"/>
      <c r="Q37" s="112">
        <f t="shared" si="5"/>
        <v>0</v>
      </c>
      <c r="R37" s="115"/>
      <c r="S37" s="143">
        <f t="shared" si="6"/>
        <v>0</v>
      </c>
      <c r="T37" s="115"/>
      <c r="U37" s="143">
        <f t="shared" si="7"/>
        <v>0</v>
      </c>
      <c r="V37" s="115"/>
      <c r="W37" s="143">
        <f t="shared" si="8"/>
        <v>0</v>
      </c>
      <c r="X37" s="115"/>
      <c r="Y37" s="143">
        <f t="shared" si="9"/>
        <v>0</v>
      </c>
      <c r="Z37" s="115"/>
      <c r="AA37" s="143">
        <f t="shared" si="10"/>
        <v>0</v>
      </c>
      <c r="AB37" s="115"/>
      <c r="AC37" s="143">
        <f t="shared" si="11"/>
        <v>0</v>
      </c>
      <c r="AD37" s="113">
        <f t="shared" si="12"/>
        <v>0</v>
      </c>
      <c r="AE37" s="144">
        <f t="shared" si="13"/>
        <v>0</v>
      </c>
    </row>
    <row r="38" spans="1:31" ht="20.100000000000001" customHeight="1">
      <c r="A38" s="2">
        <v>31</v>
      </c>
      <c r="B38" s="2" t="s">
        <v>48</v>
      </c>
      <c r="C38" s="2" t="s">
        <v>14</v>
      </c>
      <c r="D38" s="2">
        <v>0.68</v>
      </c>
      <c r="E38" s="2" t="s">
        <v>15</v>
      </c>
      <c r="F38" s="111"/>
      <c r="G38" s="112">
        <f t="shared" si="0"/>
        <v>0</v>
      </c>
      <c r="H38" s="111"/>
      <c r="I38" s="112">
        <f t="shared" si="1"/>
        <v>0</v>
      </c>
      <c r="J38" s="111"/>
      <c r="K38" s="143">
        <f t="shared" si="2"/>
        <v>0</v>
      </c>
      <c r="L38" s="111"/>
      <c r="M38" s="143">
        <f t="shared" si="3"/>
        <v>0</v>
      </c>
      <c r="N38" s="111"/>
      <c r="O38" s="143">
        <f t="shared" si="4"/>
        <v>0</v>
      </c>
      <c r="P38" s="111"/>
      <c r="Q38" s="112">
        <f t="shared" si="5"/>
        <v>0</v>
      </c>
      <c r="R38" s="111"/>
      <c r="S38" s="143">
        <f t="shared" si="6"/>
        <v>0</v>
      </c>
      <c r="T38" s="111">
        <v>264</v>
      </c>
      <c r="U38" s="143">
        <f t="shared" si="7"/>
        <v>179.52</v>
      </c>
      <c r="V38" s="111">
        <v>1668</v>
      </c>
      <c r="W38" s="143">
        <f t="shared" si="8"/>
        <v>1134.24</v>
      </c>
      <c r="X38" s="111">
        <v>4235</v>
      </c>
      <c r="Y38" s="143">
        <f t="shared" si="9"/>
        <v>2879.8</v>
      </c>
      <c r="Z38" s="111">
        <v>576</v>
      </c>
      <c r="AA38" s="143">
        <f t="shared" si="10"/>
        <v>391.68</v>
      </c>
      <c r="AB38" s="111">
        <v>324</v>
      </c>
      <c r="AC38" s="143">
        <f t="shared" si="11"/>
        <v>220.32000000000002</v>
      </c>
      <c r="AD38" s="113">
        <f t="shared" si="12"/>
        <v>7067</v>
      </c>
      <c r="AE38" s="144">
        <f t="shared" si="13"/>
        <v>4805.5600000000004</v>
      </c>
    </row>
    <row r="39" spans="1:31" ht="20.100000000000001" customHeight="1">
      <c r="A39" s="2">
        <v>32</v>
      </c>
      <c r="B39" s="2" t="s">
        <v>48</v>
      </c>
      <c r="C39" s="2" t="s">
        <v>14</v>
      </c>
      <c r="D39" s="2">
        <v>0.64</v>
      </c>
      <c r="E39" s="2" t="s">
        <v>15</v>
      </c>
      <c r="F39" s="115"/>
      <c r="G39" s="112">
        <f t="shared" si="0"/>
        <v>0</v>
      </c>
      <c r="H39" s="115"/>
      <c r="I39" s="112">
        <f t="shared" si="1"/>
        <v>0</v>
      </c>
      <c r="J39" s="115"/>
      <c r="K39" s="143">
        <f t="shared" si="2"/>
        <v>0</v>
      </c>
      <c r="L39" s="115"/>
      <c r="M39" s="143">
        <f t="shared" si="3"/>
        <v>0</v>
      </c>
      <c r="N39" s="115"/>
      <c r="O39" s="143">
        <f t="shared" si="4"/>
        <v>0</v>
      </c>
      <c r="P39" s="115"/>
      <c r="Q39" s="112">
        <f t="shared" si="5"/>
        <v>0</v>
      </c>
      <c r="R39" s="115"/>
      <c r="S39" s="143">
        <f t="shared" si="6"/>
        <v>0</v>
      </c>
      <c r="T39" s="115"/>
      <c r="U39" s="143">
        <f t="shared" si="7"/>
        <v>0</v>
      </c>
      <c r="V39" s="115"/>
      <c r="W39" s="143">
        <f t="shared" si="8"/>
        <v>0</v>
      </c>
      <c r="X39" s="115"/>
      <c r="Y39" s="143">
        <f t="shared" si="9"/>
        <v>0</v>
      </c>
      <c r="Z39" s="115"/>
      <c r="AA39" s="143">
        <f t="shared" si="10"/>
        <v>0</v>
      </c>
      <c r="AB39" s="115"/>
      <c r="AC39" s="143">
        <f t="shared" si="11"/>
        <v>0</v>
      </c>
      <c r="AD39" s="113">
        <f t="shared" si="12"/>
        <v>0</v>
      </c>
      <c r="AE39" s="144">
        <f t="shared" si="13"/>
        <v>0</v>
      </c>
    </row>
    <row r="40" spans="1:31" ht="20.100000000000001" customHeight="1">
      <c r="A40" s="2">
        <v>33</v>
      </c>
      <c r="B40" s="2" t="s">
        <v>49</v>
      </c>
      <c r="C40" s="2" t="s">
        <v>14</v>
      </c>
      <c r="D40" s="2">
        <v>0.64</v>
      </c>
      <c r="E40" s="2" t="s">
        <v>25</v>
      </c>
      <c r="F40" s="115"/>
      <c r="G40" s="112">
        <f t="shared" si="0"/>
        <v>0</v>
      </c>
      <c r="H40" s="115"/>
      <c r="I40" s="112">
        <f t="shared" si="1"/>
        <v>0</v>
      </c>
      <c r="J40" s="115"/>
      <c r="K40" s="143">
        <f t="shared" si="2"/>
        <v>0</v>
      </c>
      <c r="L40" s="115"/>
      <c r="M40" s="143">
        <f t="shared" si="3"/>
        <v>0</v>
      </c>
      <c r="N40" s="115"/>
      <c r="O40" s="143">
        <f t="shared" si="4"/>
        <v>0</v>
      </c>
      <c r="P40" s="115"/>
      <c r="Q40" s="112">
        <f t="shared" si="5"/>
        <v>0</v>
      </c>
      <c r="R40" s="115"/>
      <c r="S40" s="143">
        <f t="shared" si="6"/>
        <v>0</v>
      </c>
      <c r="T40" s="115"/>
      <c r="U40" s="143">
        <f t="shared" si="7"/>
        <v>0</v>
      </c>
      <c r="V40" s="115"/>
      <c r="W40" s="143">
        <f t="shared" si="8"/>
        <v>0</v>
      </c>
      <c r="X40" s="115"/>
      <c r="Y40" s="143">
        <f t="shared" si="9"/>
        <v>0</v>
      </c>
      <c r="Z40" s="115"/>
      <c r="AA40" s="143">
        <f t="shared" si="10"/>
        <v>0</v>
      </c>
      <c r="AB40" s="115"/>
      <c r="AC40" s="143">
        <f t="shared" si="11"/>
        <v>0</v>
      </c>
      <c r="AD40" s="113">
        <f t="shared" si="12"/>
        <v>0</v>
      </c>
      <c r="AE40" s="144">
        <f t="shared" si="13"/>
        <v>0</v>
      </c>
    </row>
    <row r="41" spans="1:31" ht="20.100000000000001" customHeight="1">
      <c r="A41" s="2">
        <v>34</v>
      </c>
      <c r="B41" s="2" t="s">
        <v>47</v>
      </c>
      <c r="C41" s="2" t="s">
        <v>14</v>
      </c>
      <c r="D41" s="2">
        <v>0.64</v>
      </c>
      <c r="E41" s="2" t="s">
        <v>25</v>
      </c>
      <c r="F41" s="111">
        <v>53162</v>
      </c>
      <c r="G41" s="112">
        <f t="shared" si="0"/>
        <v>34023.68</v>
      </c>
      <c r="H41" s="111">
        <v>47572</v>
      </c>
      <c r="I41" s="112">
        <f t="shared" si="1"/>
        <v>30446.080000000002</v>
      </c>
      <c r="J41" s="111">
        <v>52598</v>
      </c>
      <c r="K41" s="143">
        <f t="shared" si="2"/>
        <v>33662.720000000001</v>
      </c>
      <c r="L41" s="111">
        <v>43540</v>
      </c>
      <c r="M41" s="143">
        <f t="shared" si="3"/>
        <v>27865.600000000002</v>
      </c>
      <c r="N41" s="111">
        <v>34048</v>
      </c>
      <c r="O41" s="143">
        <f t="shared" si="4"/>
        <v>21790.720000000001</v>
      </c>
      <c r="P41" s="111">
        <v>44774</v>
      </c>
      <c r="Q41" s="112">
        <f t="shared" si="5"/>
        <v>28655.360000000001</v>
      </c>
      <c r="R41" s="111">
        <v>48580</v>
      </c>
      <c r="S41" s="143">
        <f t="shared" si="6"/>
        <v>31091.200000000001</v>
      </c>
      <c r="T41" s="111">
        <v>50008</v>
      </c>
      <c r="U41" s="143">
        <f t="shared" si="7"/>
        <v>32005.119999999999</v>
      </c>
      <c r="V41" s="111">
        <v>46382</v>
      </c>
      <c r="W41" s="143">
        <f t="shared" si="8"/>
        <v>29684.48</v>
      </c>
      <c r="X41" s="111">
        <v>41111</v>
      </c>
      <c r="Y41" s="143">
        <f t="shared" si="9"/>
        <v>26311.040000000001</v>
      </c>
      <c r="Z41" s="111">
        <v>53928</v>
      </c>
      <c r="AA41" s="143">
        <f t="shared" si="10"/>
        <v>34513.919999999998</v>
      </c>
      <c r="AB41" s="111">
        <v>67326</v>
      </c>
      <c r="AC41" s="143">
        <f t="shared" si="11"/>
        <v>43088.639999999999</v>
      </c>
      <c r="AD41" s="113">
        <f t="shared" si="12"/>
        <v>583029</v>
      </c>
      <c r="AE41" s="144">
        <f t="shared" si="13"/>
        <v>373138.56</v>
      </c>
    </row>
    <row r="42" spans="1:31" ht="20.100000000000001" customHeight="1">
      <c r="A42" s="2">
        <v>35</v>
      </c>
      <c r="B42" s="2" t="s">
        <v>47</v>
      </c>
      <c r="C42" s="2" t="s">
        <v>14</v>
      </c>
      <c r="D42" s="2">
        <v>0.64</v>
      </c>
      <c r="E42" s="2" t="s">
        <v>24</v>
      </c>
      <c r="F42" s="115"/>
      <c r="G42" s="112">
        <f t="shared" si="0"/>
        <v>0</v>
      </c>
      <c r="H42" s="115"/>
      <c r="I42" s="112">
        <f t="shared" si="1"/>
        <v>0</v>
      </c>
      <c r="J42" s="115"/>
      <c r="K42" s="143">
        <f t="shared" si="2"/>
        <v>0</v>
      </c>
      <c r="L42" s="115"/>
      <c r="M42" s="143">
        <f t="shared" si="3"/>
        <v>0</v>
      </c>
      <c r="N42" s="115"/>
      <c r="O42" s="143">
        <f t="shared" si="4"/>
        <v>0</v>
      </c>
      <c r="P42" s="115"/>
      <c r="Q42" s="112">
        <f t="shared" si="5"/>
        <v>0</v>
      </c>
      <c r="R42" s="115"/>
      <c r="S42" s="143">
        <f t="shared" si="6"/>
        <v>0</v>
      </c>
      <c r="T42" s="115"/>
      <c r="U42" s="143">
        <f t="shared" si="7"/>
        <v>0</v>
      </c>
      <c r="V42" s="115"/>
      <c r="W42" s="143">
        <f t="shared" si="8"/>
        <v>0</v>
      </c>
      <c r="X42" s="115"/>
      <c r="Y42" s="143">
        <f t="shared" si="9"/>
        <v>0</v>
      </c>
      <c r="Z42" s="115"/>
      <c r="AA42" s="143">
        <f t="shared" si="10"/>
        <v>0</v>
      </c>
      <c r="AB42" s="115"/>
      <c r="AC42" s="143">
        <f t="shared" si="11"/>
        <v>0</v>
      </c>
      <c r="AD42" s="113">
        <f t="shared" si="12"/>
        <v>0</v>
      </c>
      <c r="AE42" s="144">
        <f t="shared" si="13"/>
        <v>0</v>
      </c>
    </row>
    <row r="43" spans="1:31" ht="20.100000000000001" customHeight="1">
      <c r="A43" s="2">
        <v>36</v>
      </c>
      <c r="B43" s="2" t="s">
        <v>50</v>
      </c>
      <c r="C43" s="2" t="s">
        <v>14</v>
      </c>
      <c r="D43" s="2">
        <v>0.68</v>
      </c>
      <c r="E43" s="2" t="s">
        <v>25</v>
      </c>
      <c r="F43" s="115"/>
      <c r="G43" s="112">
        <f t="shared" si="0"/>
        <v>0</v>
      </c>
      <c r="H43" s="115"/>
      <c r="I43" s="112">
        <f t="shared" si="1"/>
        <v>0</v>
      </c>
      <c r="J43" s="115"/>
      <c r="K43" s="143">
        <f t="shared" si="2"/>
        <v>0</v>
      </c>
      <c r="L43" s="115"/>
      <c r="M43" s="143">
        <f t="shared" si="3"/>
        <v>0</v>
      </c>
      <c r="N43" s="115"/>
      <c r="O43" s="143">
        <f t="shared" si="4"/>
        <v>0</v>
      </c>
      <c r="P43" s="115"/>
      <c r="Q43" s="112">
        <f t="shared" si="5"/>
        <v>0</v>
      </c>
      <c r="R43" s="115"/>
      <c r="S43" s="143">
        <f t="shared" si="6"/>
        <v>0</v>
      </c>
      <c r="T43" s="115"/>
      <c r="U43" s="143">
        <f t="shared" si="7"/>
        <v>0</v>
      </c>
      <c r="V43" s="115"/>
      <c r="W43" s="143">
        <f t="shared" si="8"/>
        <v>0</v>
      </c>
      <c r="X43" s="115"/>
      <c r="Y43" s="143">
        <f t="shared" si="9"/>
        <v>0</v>
      </c>
      <c r="Z43" s="115"/>
      <c r="AA43" s="143">
        <f t="shared" si="10"/>
        <v>0</v>
      </c>
      <c r="AB43" s="115"/>
      <c r="AC43" s="143">
        <f t="shared" si="11"/>
        <v>0</v>
      </c>
      <c r="AD43" s="113">
        <f t="shared" si="12"/>
        <v>0</v>
      </c>
      <c r="AE43" s="144">
        <f t="shared" si="13"/>
        <v>0</v>
      </c>
    </row>
    <row r="44" spans="1:31" ht="20.100000000000001" customHeight="1">
      <c r="A44" s="2">
        <v>37</v>
      </c>
      <c r="B44" s="2" t="s">
        <v>50</v>
      </c>
      <c r="C44" s="2" t="s">
        <v>14</v>
      </c>
      <c r="D44" s="2">
        <v>0.64</v>
      </c>
      <c r="E44" s="2" t="s">
        <v>25</v>
      </c>
      <c r="F44" s="115"/>
      <c r="G44" s="112">
        <f t="shared" si="0"/>
        <v>0</v>
      </c>
      <c r="H44" s="115"/>
      <c r="I44" s="112">
        <f t="shared" si="1"/>
        <v>0</v>
      </c>
      <c r="J44" s="115"/>
      <c r="K44" s="143">
        <f t="shared" si="2"/>
        <v>0</v>
      </c>
      <c r="L44" s="115"/>
      <c r="M44" s="143">
        <f t="shared" si="3"/>
        <v>0</v>
      </c>
      <c r="N44" s="115"/>
      <c r="O44" s="143">
        <f t="shared" si="4"/>
        <v>0</v>
      </c>
      <c r="P44" s="115"/>
      <c r="Q44" s="112">
        <f t="shared" si="5"/>
        <v>0</v>
      </c>
      <c r="R44" s="115"/>
      <c r="S44" s="143">
        <f t="shared" si="6"/>
        <v>0</v>
      </c>
      <c r="T44" s="115"/>
      <c r="U44" s="143">
        <f t="shared" si="7"/>
        <v>0</v>
      </c>
      <c r="V44" s="115"/>
      <c r="W44" s="143">
        <f t="shared" si="8"/>
        <v>0</v>
      </c>
      <c r="X44" s="115"/>
      <c r="Y44" s="143">
        <f t="shared" si="9"/>
        <v>0</v>
      </c>
      <c r="Z44" s="115"/>
      <c r="AA44" s="143">
        <f t="shared" si="10"/>
        <v>0</v>
      </c>
      <c r="AB44" s="115"/>
      <c r="AC44" s="143">
        <f t="shared" si="11"/>
        <v>0</v>
      </c>
      <c r="AD44" s="113">
        <f t="shared" si="12"/>
        <v>0</v>
      </c>
      <c r="AE44" s="144">
        <f t="shared" si="13"/>
        <v>0</v>
      </c>
    </row>
    <row r="45" spans="1:31" ht="20.100000000000001" customHeight="1">
      <c r="A45" s="2">
        <v>38</v>
      </c>
      <c r="B45" s="2" t="s">
        <v>51</v>
      </c>
      <c r="C45" s="2" t="s">
        <v>14</v>
      </c>
      <c r="D45" s="2">
        <v>0.64</v>
      </c>
      <c r="E45" s="2" t="s">
        <v>25</v>
      </c>
      <c r="F45" s="115"/>
      <c r="G45" s="112">
        <f t="shared" si="0"/>
        <v>0</v>
      </c>
      <c r="H45" s="115"/>
      <c r="I45" s="112">
        <f t="shared" si="1"/>
        <v>0</v>
      </c>
      <c r="J45" s="115"/>
      <c r="K45" s="143">
        <f t="shared" si="2"/>
        <v>0</v>
      </c>
      <c r="L45" s="115"/>
      <c r="M45" s="143">
        <f t="shared" si="3"/>
        <v>0</v>
      </c>
      <c r="N45" s="115"/>
      <c r="O45" s="143">
        <f t="shared" si="4"/>
        <v>0</v>
      </c>
      <c r="P45" s="115"/>
      <c r="Q45" s="112">
        <f t="shared" si="5"/>
        <v>0</v>
      </c>
      <c r="R45" s="115"/>
      <c r="S45" s="143">
        <f t="shared" si="6"/>
        <v>0</v>
      </c>
      <c r="T45" s="115"/>
      <c r="U45" s="143">
        <f t="shared" si="7"/>
        <v>0</v>
      </c>
      <c r="V45" s="115"/>
      <c r="W45" s="143">
        <f t="shared" si="8"/>
        <v>0</v>
      </c>
      <c r="X45" s="115"/>
      <c r="Y45" s="143">
        <f t="shared" si="9"/>
        <v>0</v>
      </c>
      <c r="Z45" s="115"/>
      <c r="AA45" s="143">
        <f t="shared" si="10"/>
        <v>0</v>
      </c>
      <c r="AB45" s="115"/>
      <c r="AC45" s="143">
        <f t="shared" si="11"/>
        <v>0</v>
      </c>
      <c r="AD45" s="113">
        <f t="shared" si="12"/>
        <v>0</v>
      </c>
      <c r="AE45" s="144">
        <f t="shared" si="13"/>
        <v>0</v>
      </c>
    </row>
    <row r="46" spans="1:31" ht="20.100000000000001" customHeight="1">
      <c r="A46" s="2">
        <v>39</v>
      </c>
      <c r="B46" s="2" t="s">
        <v>51</v>
      </c>
      <c r="C46" s="2" t="s">
        <v>14</v>
      </c>
      <c r="D46" s="2">
        <v>0.64</v>
      </c>
      <c r="E46" s="2" t="s">
        <v>25</v>
      </c>
      <c r="F46" s="115"/>
      <c r="G46" s="112">
        <f t="shared" si="0"/>
        <v>0</v>
      </c>
      <c r="H46" s="115"/>
      <c r="I46" s="112">
        <f t="shared" si="1"/>
        <v>0</v>
      </c>
      <c r="J46" s="115"/>
      <c r="K46" s="143">
        <f t="shared" si="2"/>
        <v>0</v>
      </c>
      <c r="L46" s="115"/>
      <c r="M46" s="143">
        <f t="shared" si="3"/>
        <v>0</v>
      </c>
      <c r="N46" s="115"/>
      <c r="O46" s="143">
        <f t="shared" si="4"/>
        <v>0</v>
      </c>
      <c r="P46" s="115"/>
      <c r="Q46" s="112">
        <f t="shared" si="5"/>
        <v>0</v>
      </c>
      <c r="R46" s="115"/>
      <c r="S46" s="143">
        <f t="shared" si="6"/>
        <v>0</v>
      </c>
      <c r="T46" s="115"/>
      <c r="U46" s="143">
        <f t="shared" si="7"/>
        <v>0</v>
      </c>
      <c r="V46" s="115"/>
      <c r="W46" s="143">
        <f t="shared" si="8"/>
        <v>0</v>
      </c>
      <c r="X46" s="115"/>
      <c r="Y46" s="143">
        <f t="shared" si="9"/>
        <v>0</v>
      </c>
      <c r="Z46" s="115"/>
      <c r="AA46" s="143">
        <f t="shared" si="10"/>
        <v>0</v>
      </c>
      <c r="AB46" s="115"/>
      <c r="AC46" s="143">
        <f t="shared" si="11"/>
        <v>0</v>
      </c>
      <c r="AD46" s="113">
        <f t="shared" si="12"/>
        <v>0</v>
      </c>
      <c r="AE46" s="144">
        <f t="shared" si="13"/>
        <v>0</v>
      </c>
    </row>
    <row r="47" spans="1:31" ht="20.100000000000001" customHeight="1">
      <c r="A47" s="2">
        <v>40</v>
      </c>
      <c r="B47" s="2" t="s">
        <v>51</v>
      </c>
      <c r="C47" s="2" t="s">
        <v>14</v>
      </c>
      <c r="D47" s="2">
        <v>0.64</v>
      </c>
      <c r="E47" s="2" t="s">
        <v>25</v>
      </c>
      <c r="F47" s="115"/>
      <c r="G47" s="112">
        <f t="shared" si="0"/>
        <v>0</v>
      </c>
      <c r="H47" s="115"/>
      <c r="I47" s="112">
        <f t="shared" si="1"/>
        <v>0</v>
      </c>
      <c r="J47" s="115"/>
      <c r="K47" s="143">
        <f t="shared" si="2"/>
        <v>0</v>
      </c>
      <c r="L47" s="115"/>
      <c r="M47" s="143">
        <f t="shared" si="3"/>
        <v>0</v>
      </c>
      <c r="N47" s="115"/>
      <c r="O47" s="143">
        <f t="shared" si="4"/>
        <v>0</v>
      </c>
      <c r="P47" s="115"/>
      <c r="Q47" s="112">
        <f t="shared" si="5"/>
        <v>0</v>
      </c>
      <c r="R47" s="115"/>
      <c r="S47" s="143">
        <f t="shared" si="6"/>
        <v>0</v>
      </c>
      <c r="T47" s="115"/>
      <c r="U47" s="143">
        <f t="shared" si="7"/>
        <v>0</v>
      </c>
      <c r="V47" s="115"/>
      <c r="W47" s="143">
        <f t="shared" si="8"/>
        <v>0</v>
      </c>
      <c r="X47" s="115"/>
      <c r="Y47" s="143">
        <f t="shared" si="9"/>
        <v>0</v>
      </c>
      <c r="Z47" s="115"/>
      <c r="AA47" s="143">
        <f t="shared" si="10"/>
        <v>0</v>
      </c>
      <c r="AB47" s="115"/>
      <c r="AC47" s="143">
        <f t="shared" si="11"/>
        <v>0</v>
      </c>
      <c r="AD47" s="113">
        <f t="shared" si="12"/>
        <v>0</v>
      </c>
      <c r="AE47" s="144">
        <f t="shared" si="13"/>
        <v>0</v>
      </c>
    </row>
    <row r="48" spans="1:31" ht="20.100000000000001" customHeight="1">
      <c r="A48" s="2"/>
      <c r="B48" s="2"/>
      <c r="C48" s="2"/>
      <c r="D48" s="2"/>
      <c r="E48" s="2"/>
      <c r="F48" s="115"/>
      <c r="G48" s="112">
        <f t="shared" si="0"/>
        <v>0</v>
      </c>
      <c r="H48" s="115"/>
      <c r="I48" s="112">
        <f t="shared" si="1"/>
        <v>0</v>
      </c>
      <c r="J48" s="115"/>
      <c r="K48" s="143">
        <f t="shared" si="2"/>
        <v>0</v>
      </c>
      <c r="L48" s="115"/>
      <c r="M48" s="143">
        <f t="shared" si="3"/>
        <v>0</v>
      </c>
      <c r="N48" s="115"/>
      <c r="O48" s="143">
        <f t="shared" si="4"/>
        <v>0</v>
      </c>
      <c r="P48" s="115"/>
      <c r="Q48" s="112">
        <f t="shared" si="5"/>
        <v>0</v>
      </c>
      <c r="R48" s="115"/>
      <c r="S48" s="143">
        <f t="shared" si="6"/>
        <v>0</v>
      </c>
      <c r="T48" s="115"/>
      <c r="U48" s="143">
        <f t="shared" si="7"/>
        <v>0</v>
      </c>
      <c r="V48" s="115"/>
      <c r="W48" s="143">
        <f t="shared" si="8"/>
        <v>0</v>
      </c>
      <c r="X48" s="115"/>
      <c r="Y48" s="143">
        <f t="shared" si="9"/>
        <v>0</v>
      </c>
      <c r="Z48" s="115"/>
      <c r="AA48" s="143">
        <f t="shared" si="10"/>
        <v>0</v>
      </c>
      <c r="AB48" s="115"/>
      <c r="AC48" s="143">
        <f t="shared" si="11"/>
        <v>0</v>
      </c>
      <c r="AD48" s="113">
        <f t="shared" si="12"/>
        <v>0</v>
      </c>
      <c r="AE48" s="144">
        <f t="shared" si="13"/>
        <v>0</v>
      </c>
    </row>
    <row r="49" spans="1:31" ht="20.100000000000001" customHeight="1">
      <c r="A49" s="2">
        <v>41</v>
      </c>
      <c r="B49" s="2" t="s">
        <v>52</v>
      </c>
      <c r="C49" s="2" t="s">
        <v>17</v>
      </c>
      <c r="D49" s="2">
        <v>1</v>
      </c>
      <c r="E49" s="2" t="s">
        <v>15</v>
      </c>
      <c r="F49" s="115"/>
      <c r="G49" s="112">
        <f t="shared" si="0"/>
        <v>0</v>
      </c>
      <c r="H49" s="115"/>
      <c r="I49" s="112">
        <f t="shared" si="1"/>
        <v>0</v>
      </c>
      <c r="J49" s="115"/>
      <c r="K49" s="143">
        <f t="shared" si="2"/>
        <v>0</v>
      </c>
      <c r="L49" s="115"/>
      <c r="M49" s="143">
        <f t="shared" si="3"/>
        <v>0</v>
      </c>
      <c r="N49" s="115"/>
      <c r="O49" s="143">
        <f t="shared" si="4"/>
        <v>0</v>
      </c>
      <c r="P49" s="115"/>
      <c r="Q49" s="112">
        <f t="shared" si="5"/>
        <v>0</v>
      </c>
      <c r="R49" s="115"/>
      <c r="S49" s="143">
        <f t="shared" si="6"/>
        <v>0</v>
      </c>
      <c r="T49" s="115"/>
      <c r="U49" s="143">
        <f t="shared" si="7"/>
        <v>0</v>
      </c>
      <c r="V49" s="115"/>
      <c r="W49" s="143">
        <f t="shared" si="8"/>
        <v>0</v>
      </c>
      <c r="X49" s="115"/>
      <c r="Y49" s="143">
        <f t="shared" si="9"/>
        <v>0</v>
      </c>
      <c r="Z49" s="115"/>
      <c r="AA49" s="143">
        <f t="shared" si="10"/>
        <v>0</v>
      </c>
      <c r="AB49" s="115"/>
      <c r="AC49" s="143">
        <f t="shared" si="11"/>
        <v>0</v>
      </c>
      <c r="AD49" s="113">
        <f t="shared" si="12"/>
        <v>0</v>
      </c>
      <c r="AE49" s="144">
        <f t="shared" si="13"/>
        <v>0</v>
      </c>
    </row>
    <row r="50" spans="1:31" ht="20.100000000000001" customHeight="1">
      <c r="A50" s="2">
        <v>42</v>
      </c>
      <c r="B50" s="2" t="s">
        <v>52</v>
      </c>
      <c r="C50" s="2" t="s">
        <v>17</v>
      </c>
      <c r="D50" s="2">
        <v>1</v>
      </c>
      <c r="E50" s="2" t="s">
        <v>24</v>
      </c>
      <c r="F50" s="115"/>
      <c r="G50" s="112">
        <f t="shared" si="0"/>
        <v>0</v>
      </c>
      <c r="H50" s="115"/>
      <c r="I50" s="112">
        <f t="shared" si="1"/>
        <v>0</v>
      </c>
      <c r="J50" s="115"/>
      <c r="K50" s="143">
        <f t="shared" si="2"/>
        <v>0</v>
      </c>
      <c r="L50" s="115"/>
      <c r="M50" s="143">
        <f t="shared" si="3"/>
        <v>0</v>
      </c>
      <c r="N50" s="115"/>
      <c r="O50" s="143">
        <f t="shared" si="4"/>
        <v>0</v>
      </c>
      <c r="P50" s="115"/>
      <c r="Q50" s="112">
        <f t="shared" si="5"/>
        <v>0</v>
      </c>
      <c r="R50" s="115"/>
      <c r="S50" s="143">
        <f t="shared" si="6"/>
        <v>0</v>
      </c>
      <c r="T50" s="115"/>
      <c r="U50" s="143">
        <f t="shared" si="7"/>
        <v>0</v>
      </c>
      <c r="V50" s="115"/>
      <c r="W50" s="143">
        <f t="shared" si="8"/>
        <v>0</v>
      </c>
      <c r="X50" s="115"/>
      <c r="Y50" s="143">
        <f t="shared" si="9"/>
        <v>0</v>
      </c>
      <c r="Z50" s="115"/>
      <c r="AA50" s="143">
        <f t="shared" si="10"/>
        <v>0</v>
      </c>
      <c r="AB50" s="115"/>
      <c r="AC50" s="143">
        <f t="shared" si="11"/>
        <v>0</v>
      </c>
      <c r="AD50" s="113">
        <f t="shared" si="12"/>
        <v>0</v>
      </c>
      <c r="AE50" s="144">
        <f t="shared" si="13"/>
        <v>0</v>
      </c>
    </row>
    <row r="51" spans="1:31" ht="20.100000000000001" customHeight="1">
      <c r="A51" s="2">
        <v>43</v>
      </c>
      <c r="B51" s="2" t="s">
        <v>53</v>
      </c>
      <c r="C51" s="2" t="s">
        <v>14</v>
      </c>
      <c r="D51" s="2">
        <v>0.64</v>
      </c>
      <c r="E51" s="2" t="s">
        <v>25</v>
      </c>
      <c r="F51" s="111">
        <v>167569</v>
      </c>
      <c r="G51" s="112">
        <f t="shared" si="0"/>
        <v>107244.16</v>
      </c>
      <c r="H51" s="111">
        <v>156820</v>
      </c>
      <c r="I51" s="112">
        <f t="shared" si="1"/>
        <v>100364.8</v>
      </c>
      <c r="J51" s="111">
        <v>114324</v>
      </c>
      <c r="K51" s="143">
        <f t="shared" si="2"/>
        <v>73167.360000000001</v>
      </c>
      <c r="L51" s="111">
        <v>130060</v>
      </c>
      <c r="M51" s="143">
        <f t="shared" si="3"/>
        <v>83238.400000000009</v>
      </c>
      <c r="N51" s="111">
        <v>115192</v>
      </c>
      <c r="O51" s="143">
        <f t="shared" si="4"/>
        <v>73722.880000000005</v>
      </c>
      <c r="P51" s="111">
        <v>135985</v>
      </c>
      <c r="Q51" s="112">
        <f t="shared" si="5"/>
        <v>87030.400000000009</v>
      </c>
      <c r="R51" s="111">
        <v>151284</v>
      </c>
      <c r="S51" s="143">
        <f t="shared" si="6"/>
        <v>96821.759999999995</v>
      </c>
      <c r="T51" s="111">
        <v>131558</v>
      </c>
      <c r="U51" s="143">
        <f t="shared" si="7"/>
        <v>84197.119999999995</v>
      </c>
      <c r="V51" s="111">
        <v>123746</v>
      </c>
      <c r="W51" s="143">
        <f t="shared" si="8"/>
        <v>79197.440000000002</v>
      </c>
      <c r="X51" s="111">
        <v>134428</v>
      </c>
      <c r="Y51" s="143">
        <f t="shared" si="9"/>
        <v>86033.919999999998</v>
      </c>
      <c r="Z51" s="111">
        <v>144902</v>
      </c>
      <c r="AA51" s="143">
        <f t="shared" si="10"/>
        <v>92737.279999999999</v>
      </c>
      <c r="AB51" s="111">
        <v>207298</v>
      </c>
      <c r="AC51" s="143">
        <f t="shared" si="11"/>
        <v>132670.72</v>
      </c>
      <c r="AD51" s="113">
        <f t="shared" si="12"/>
        <v>1713166</v>
      </c>
      <c r="AE51" s="144">
        <f t="shared" si="13"/>
        <v>1096426.24</v>
      </c>
    </row>
    <row r="52" spans="1:31" ht="20.100000000000001" customHeight="1">
      <c r="A52" s="2">
        <v>44</v>
      </c>
      <c r="B52" s="2" t="s">
        <v>53</v>
      </c>
      <c r="C52" s="2" t="s">
        <v>14</v>
      </c>
      <c r="D52" s="2">
        <v>0.64</v>
      </c>
      <c r="E52" s="2" t="s">
        <v>24</v>
      </c>
      <c r="F52" s="115"/>
      <c r="G52" s="112">
        <f t="shared" si="0"/>
        <v>0</v>
      </c>
      <c r="H52" s="115"/>
      <c r="I52" s="112">
        <f t="shared" si="1"/>
        <v>0</v>
      </c>
      <c r="J52" s="115"/>
      <c r="K52" s="143">
        <f t="shared" si="2"/>
        <v>0</v>
      </c>
      <c r="L52" s="115"/>
      <c r="M52" s="143">
        <f t="shared" si="3"/>
        <v>0</v>
      </c>
      <c r="N52" s="115"/>
      <c r="O52" s="143">
        <f t="shared" si="4"/>
        <v>0</v>
      </c>
      <c r="P52" s="115"/>
      <c r="Q52" s="112">
        <f t="shared" si="5"/>
        <v>0</v>
      </c>
      <c r="R52" s="115"/>
      <c r="S52" s="143">
        <f t="shared" si="6"/>
        <v>0</v>
      </c>
      <c r="T52" s="115"/>
      <c r="U52" s="143">
        <f t="shared" si="7"/>
        <v>0</v>
      </c>
      <c r="V52" s="115"/>
      <c r="W52" s="143">
        <f t="shared" si="8"/>
        <v>0</v>
      </c>
      <c r="X52" s="115"/>
      <c r="Y52" s="143">
        <f t="shared" si="9"/>
        <v>0</v>
      </c>
      <c r="Z52" s="115"/>
      <c r="AA52" s="143">
        <f t="shared" si="10"/>
        <v>0</v>
      </c>
      <c r="AB52" s="115"/>
      <c r="AC52" s="143">
        <f t="shared" si="11"/>
        <v>0</v>
      </c>
      <c r="AD52" s="113">
        <f t="shared" si="12"/>
        <v>0</v>
      </c>
      <c r="AE52" s="144">
        <f t="shared" si="13"/>
        <v>0</v>
      </c>
    </row>
    <row r="53" spans="1:31" ht="20.100000000000001" customHeight="1">
      <c r="A53" s="2"/>
      <c r="B53" s="2"/>
      <c r="C53" s="2"/>
      <c r="D53" s="2"/>
      <c r="E53" s="2"/>
      <c r="F53" s="115"/>
      <c r="G53" s="112">
        <f t="shared" si="0"/>
        <v>0</v>
      </c>
      <c r="H53" s="115"/>
      <c r="I53" s="112">
        <f t="shared" si="1"/>
        <v>0</v>
      </c>
      <c r="J53" s="115"/>
      <c r="K53" s="143">
        <f t="shared" si="2"/>
        <v>0</v>
      </c>
      <c r="L53" s="115"/>
      <c r="M53" s="143">
        <f t="shared" si="3"/>
        <v>0</v>
      </c>
      <c r="N53" s="115"/>
      <c r="O53" s="143">
        <f t="shared" si="4"/>
        <v>0</v>
      </c>
      <c r="P53" s="115"/>
      <c r="Q53" s="112">
        <f t="shared" si="5"/>
        <v>0</v>
      </c>
      <c r="R53" s="115"/>
      <c r="S53" s="143">
        <f t="shared" si="6"/>
        <v>0</v>
      </c>
      <c r="T53" s="115"/>
      <c r="U53" s="143">
        <f t="shared" si="7"/>
        <v>0</v>
      </c>
      <c r="V53" s="115"/>
      <c r="W53" s="143">
        <f t="shared" si="8"/>
        <v>0</v>
      </c>
      <c r="X53" s="115"/>
      <c r="Y53" s="143">
        <f t="shared" si="9"/>
        <v>0</v>
      </c>
      <c r="Z53" s="115"/>
      <c r="AA53" s="143">
        <f t="shared" si="10"/>
        <v>0</v>
      </c>
      <c r="AB53" s="115"/>
      <c r="AC53" s="143">
        <f t="shared" si="11"/>
        <v>0</v>
      </c>
      <c r="AD53" s="113">
        <f t="shared" si="12"/>
        <v>0</v>
      </c>
      <c r="AE53" s="144">
        <f t="shared" si="13"/>
        <v>0</v>
      </c>
    </row>
    <row r="54" spans="1:31" ht="20.100000000000001" customHeight="1">
      <c r="A54" s="2"/>
      <c r="B54" s="2"/>
      <c r="C54" s="2"/>
      <c r="D54" s="2"/>
      <c r="E54" s="2"/>
      <c r="F54" s="115"/>
      <c r="G54" s="112">
        <f t="shared" si="0"/>
        <v>0</v>
      </c>
      <c r="H54" s="115"/>
      <c r="I54" s="112">
        <f t="shared" si="1"/>
        <v>0</v>
      </c>
      <c r="J54" s="115"/>
      <c r="K54" s="143">
        <f t="shared" si="2"/>
        <v>0</v>
      </c>
      <c r="L54" s="115"/>
      <c r="M54" s="143">
        <f t="shared" si="3"/>
        <v>0</v>
      </c>
      <c r="N54" s="115"/>
      <c r="O54" s="143">
        <f t="shared" si="4"/>
        <v>0</v>
      </c>
      <c r="P54" s="115"/>
      <c r="Q54" s="112">
        <f t="shared" si="5"/>
        <v>0</v>
      </c>
      <c r="R54" s="115"/>
      <c r="S54" s="143">
        <f t="shared" si="6"/>
        <v>0</v>
      </c>
      <c r="T54" s="115"/>
      <c r="U54" s="143">
        <f t="shared" si="7"/>
        <v>0</v>
      </c>
      <c r="V54" s="115"/>
      <c r="W54" s="143">
        <f t="shared" si="8"/>
        <v>0</v>
      </c>
      <c r="X54" s="115"/>
      <c r="Y54" s="143">
        <f t="shared" si="9"/>
        <v>0</v>
      </c>
      <c r="Z54" s="115"/>
      <c r="AA54" s="143">
        <f t="shared" si="10"/>
        <v>0</v>
      </c>
      <c r="AB54" s="115"/>
      <c r="AC54" s="143">
        <f t="shared" si="11"/>
        <v>0</v>
      </c>
      <c r="AD54" s="113">
        <f t="shared" si="12"/>
        <v>0</v>
      </c>
      <c r="AE54" s="144">
        <f t="shared" si="13"/>
        <v>0</v>
      </c>
    </row>
    <row r="55" spans="1:31" ht="20.100000000000001" customHeight="1">
      <c r="A55" s="2">
        <v>45</v>
      </c>
      <c r="B55" s="2" t="s">
        <v>54</v>
      </c>
      <c r="C55" s="2" t="s">
        <v>17</v>
      </c>
      <c r="D55" s="2">
        <v>1</v>
      </c>
      <c r="E55" s="2" t="s">
        <v>15</v>
      </c>
      <c r="F55" s="115"/>
      <c r="G55" s="112">
        <f t="shared" si="0"/>
        <v>0</v>
      </c>
      <c r="H55" s="115"/>
      <c r="I55" s="112">
        <f t="shared" si="1"/>
        <v>0</v>
      </c>
      <c r="J55" s="115"/>
      <c r="K55" s="143">
        <f t="shared" si="2"/>
        <v>0</v>
      </c>
      <c r="L55" s="115"/>
      <c r="M55" s="143">
        <f t="shared" si="3"/>
        <v>0</v>
      </c>
      <c r="N55" s="115"/>
      <c r="O55" s="143">
        <f t="shared" si="4"/>
        <v>0</v>
      </c>
      <c r="P55" s="115"/>
      <c r="Q55" s="112">
        <f t="shared" si="5"/>
        <v>0</v>
      </c>
      <c r="R55" s="115"/>
      <c r="S55" s="143">
        <f t="shared" si="6"/>
        <v>0</v>
      </c>
      <c r="T55" s="115"/>
      <c r="U55" s="143">
        <f t="shared" si="7"/>
        <v>0</v>
      </c>
      <c r="V55" s="115"/>
      <c r="W55" s="143">
        <f t="shared" si="8"/>
        <v>0</v>
      </c>
      <c r="X55" s="115"/>
      <c r="Y55" s="143">
        <f t="shared" si="9"/>
        <v>0</v>
      </c>
      <c r="Z55" s="115"/>
      <c r="AA55" s="143">
        <f t="shared" si="10"/>
        <v>0</v>
      </c>
      <c r="AB55" s="115"/>
      <c r="AC55" s="143">
        <f t="shared" si="11"/>
        <v>0</v>
      </c>
      <c r="AD55" s="113">
        <f t="shared" si="12"/>
        <v>0</v>
      </c>
      <c r="AE55" s="144">
        <f t="shared" si="13"/>
        <v>0</v>
      </c>
    </row>
    <row r="56" spans="1:31" ht="20.100000000000001" customHeight="1">
      <c r="A56" s="2">
        <v>46</v>
      </c>
      <c r="B56" s="2" t="s">
        <v>55</v>
      </c>
      <c r="C56" s="2" t="s">
        <v>17</v>
      </c>
      <c r="D56" s="2">
        <v>0.6</v>
      </c>
      <c r="E56" s="2" t="s">
        <v>15</v>
      </c>
      <c r="F56" s="115"/>
      <c r="G56" s="112">
        <f t="shared" si="0"/>
        <v>0</v>
      </c>
      <c r="H56" s="115"/>
      <c r="I56" s="112">
        <f t="shared" si="1"/>
        <v>0</v>
      </c>
      <c r="J56" s="115"/>
      <c r="K56" s="143">
        <f t="shared" si="2"/>
        <v>0</v>
      </c>
      <c r="L56" s="115"/>
      <c r="M56" s="143">
        <f t="shared" si="3"/>
        <v>0</v>
      </c>
      <c r="N56" s="115"/>
      <c r="O56" s="143">
        <f t="shared" si="4"/>
        <v>0</v>
      </c>
      <c r="P56" s="115"/>
      <c r="Q56" s="112">
        <f t="shared" si="5"/>
        <v>0</v>
      </c>
      <c r="R56" s="115"/>
      <c r="S56" s="143">
        <f t="shared" si="6"/>
        <v>0</v>
      </c>
      <c r="T56" s="115"/>
      <c r="U56" s="143">
        <f t="shared" si="7"/>
        <v>0</v>
      </c>
      <c r="V56" s="115"/>
      <c r="W56" s="143">
        <f t="shared" si="8"/>
        <v>0</v>
      </c>
      <c r="X56" s="115"/>
      <c r="Y56" s="143">
        <f t="shared" si="9"/>
        <v>0</v>
      </c>
      <c r="Z56" s="115"/>
      <c r="AA56" s="143">
        <f t="shared" si="10"/>
        <v>0</v>
      </c>
      <c r="AB56" s="115"/>
      <c r="AC56" s="143">
        <f t="shared" si="11"/>
        <v>0</v>
      </c>
      <c r="AD56" s="113">
        <f t="shared" si="12"/>
        <v>0</v>
      </c>
      <c r="AE56" s="144">
        <f t="shared" si="13"/>
        <v>0</v>
      </c>
    </row>
    <row r="57" spans="1:31" ht="20.100000000000001" customHeight="1">
      <c r="A57" s="2">
        <v>47</v>
      </c>
      <c r="B57" s="2" t="s">
        <v>56</v>
      </c>
      <c r="C57" s="2" t="s">
        <v>14</v>
      </c>
      <c r="D57" s="2">
        <v>0.64</v>
      </c>
      <c r="E57" s="2" t="s">
        <v>25</v>
      </c>
      <c r="F57" s="111">
        <v>80892</v>
      </c>
      <c r="G57" s="112">
        <f t="shared" si="0"/>
        <v>51770.880000000005</v>
      </c>
      <c r="H57" s="111">
        <v>53830</v>
      </c>
      <c r="I57" s="112">
        <f t="shared" si="1"/>
        <v>34451.199999999997</v>
      </c>
      <c r="J57" s="111">
        <v>55370</v>
      </c>
      <c r="K57" s="143">
        <f t="shared" si="2"/>
        <v>35436.800000000003</v>
      </c>
      <c r="L57" s="111">
        <v>52542</v>
      </c>
      <c r="M57" s="143">
        <f t="shared" si="3"/>
        <v>33626.879999999997</v>
      </c>
      <c r="N57" s="111">
        <v>50932</v>
      </c>
      <c r="O57" s="143">
        <f t="shared" si="4"/>
        <v>32596.48</v>
      </c>
      <c r="P57" s="111">
        <v>57764</v>
      </c>
      <c r="Q57" s="112">
        <f t="shared" si="5"/>
        <v>36968.959999999999</v>
      </c>
      <c r="R57" s="111">
        <v>57736</v>
      </c>
      <c r="S57" s="143">
        <f t="shared" si="6"/>
        <v>36951.040000000001</v>
      </c>
      <c r="T57" s="111">
        <v>56924</v>
      </c>
      <c r="U57" s="143">
        <f t="shared" si="7"/>
        <v>36431.360000000001</v>
      </c>
      <c r="V57" s="111">
        <v>57470</v>
      </c>
      <c r="W57" s="143">
        <f t="shared" si="8"/>
        <v>36780.800000000003</v>
      </c>
      <c r="X57" s="111">
        <v>61329</v>
      </c>
      <c r="Y57" s="143">
        <f t="shared" si="9"/>
        <v>39250.559999999998</v>
      </c>
      <c r="Z57" s="111">
        <v>62412</v>
      </c>
      <c r="AA57" s="143">
        <f t="shared" si="10"/>
        <v>39943.68</v>
      </c>
      <c r="AB57" s="111">
        <v>74214</v>
      </c>
      <c r="AC57" s="143">
        <f t="shared" si="11"/>
        <v>47496.959999999999</v>
      </c>
      <c r="AD57" s="113">
        <f t="shared" si="12"/>
        <v>721415</v>
      </c>
      <c r="AE57" s="144">
        <f t="shared" si="13"/>
        <v>461705.60000000003</v>
      </c>
    </row>
    <row r="58" spans="1:31" ht="20.100000000000001" customHeight="1">
      <c r="A58" s="2">
        <v>48</v>
      </c>
      <c r="B58" s="2" t="s">
        <v>56</v>
      </c>
      <c r="C58" s="2" t="s">
        <v>14</v>
      </c>
      <c r="D58" s="2">
        <v>0.64</v>
      </c>
      <c r="E58" s="2" t="s">
        <v>24</v>
      </c>
      <c r="F58" s="115"/>
      <c r="G58" s="112">
        <f t="shared" si="0"/>
        <v>0</v>
      </c>
      <c r="H58" s="115"/>
      <c r="I58" s="112">
        <f t="shared" si="1"/>
        <v>0</v>
      </c>
      <c r="J58" s="115"/>
      <c r="K58" s="143">
        <f t="shared" si="2"/>
        <v>0</v>
      </c>
      <c r="L58" s="115"/>
      <c r="M58" s="143">
        <f t="shared" si="3"/>
        <v>0</v>
      </c>
      <c r="N58" s="115"/>
      <c r="O58" s="143">
        <f t="shared" si="4"/>
        <v>0</v>
      </c>
      <c r="P58" s="115"/>
      <c r="Q58" s="112">
        <f t="shared" si="5"/>
        <v>0</v>
      </c>
      <c r="R58" s="115"/>
      <c r="S58" s="143">
        <f t="shared" si="6"/>
        <v>0</v>
      </c>
      <c r="T58" s="115"/>
      <c r="U58" s="143">
        <f t="shared" si="7"/>
        <v>0</v>
      </c>
      <c r="V58" s="115"/>
      <c r="W58" s="143">
        <f t="shared" si="8"/>
        <v>0</v>
      </c>
      <c r="X58" s="115"/>
      <c r="Y58" s="143">
        <f t="shared" si="9"/>
        <v>0</v>
      </c>
      <c r="Z58" s="115"/>
      <c r="AA58" s="143">
        <f t="shared" si="10"/>
        <v>0</v>
      </c>
      <c r="AB58" s="115"/>
      <c r="AC58" s="143">
        <f t="shared" si="11"/>
        <v>0</v>
      </c>
      <c r="AD58" s="113">
        <f t="shared" si="12"/>
        <v>0</v>
      </c>
      <c r="AE58" s="144">
        <f t="shared" si="13"/>
        <v>0</v>
      </c>
    </row>
    <row r="59" spans="1:31" ht="20.100000000000001" customHeight="1">
      <c r="A59" s="2"/>
      <c r="B59" s="2"/>
      <c r="C59" s="2"/>
      <c r="D59" s="2"/>
      <c r="E59" s="2"/>
      <c r="F59" s="115"/>
      <c r="G59" s="112">
        <f t="shared" si="0"/>
        <v>0</v>
      </c>
      <c r="H59" s="115"/>
      <c r="I59" s="112">
        <f t="shared" si="1"/>
        <v>0</v>
      </c>
      <c r="J59" s="115"/>
      <c r="K59" s="143">
        <f t="shared" si="2"/>
        <v>0</v>
      </c>
      <c r="L59" s="115"/>
      <c r="M59" s="143">
        <f t="shared" si="3"/>
        <v>0</v>
      </c>
      <c r="N59" s="115"/>
      <c r="O59" s="143">
        <f t="shared" si="4"/>
        <v>0</v>
      </c>
      <c r="P59" s="115"/>
      <c r="Q59" s="112">
        <f t="shared" si="5"/>
        <v>0</v>
      </c>
      <c r="R59" s="115"/>
      <c r="S59" s="143">
        <f t="shared" si="6"/>
        <v>0</v>
      </c>
      <c r="T59" s="115"/>
      <c r="U59" s="143">
        <f t="shared" si="7"/>
        <v>0</v>
      </c>
      <c r="V59" s="115"/>
      <c r="W59" s="143">
        <f t="shared" si="8"/>
        <v>0</v>
      </c>
      <c r="X59" s="115"/>
      <c r="Y59" s="143">
        <f t="shared" si="9"/>
        <v>0</v>
      </c>
      <c r="Z59" s="115"/>
      <c r="AA59" s="143">
        <f t="shared" si="10"/>
        <v>0</v>
      </c>
      <c r="AB59" s="115"/>
      <c r="AC59" s="143">
        <f t="shared" si="11"/>
        <v>0</v>
      </c>
      <c r="AD59" s="113">
        <f t="shared" si="12"/>
        <v>0</v>
      </c>
      <c r="AE59" s="144">
        <f t="shared" si="13"/>
        <v>0</v>
      </c>
    </row>
    <row r="60" spans="1:31" ht="20.100000000000001" customHeight="1">
      <c r="A60" s="2">
        <v>49</v>
      </c>
      <c r="B60" s="2" t="s">
        <v>57</v>
      </c>
      <c r="C60" s="2" t="s">
        <v>17</v>
      </c>
      <c r="D60" s="2">
        <v>1</v>
      </c>
      <c r="E60" s="2" t="s">
        <v>15</v>
      </c>
      <c r="F60" s="115"/>
      <c r="G60" s="112">
        <f t="shared" si="0"/>
        <v>0</v>
      </c>
      <c r="H60" s="115"/>
      <c r="I60" s="112">
        <f t="shared" si="1"/>
        <v>0</v>
      </c>
      <c r="J60" s="115"/>
      <c r="K60" s="143">
        <f t="shared" si="2"/>
        <v>0</v>
      </c>
      <c r="L60" s="115"/>
      <c r="M60" s="143">
        <f t="shared" si="3"/>
        <v>0</v>
      </c>
      <c r="N60" s="115"/>
      <c r="O60" s="143">
        <f t="shared" si="4"/>
        <v>0</v>
      </c>
      <c r="P60" s="115"/>
      <c r="Q60" s="112">
        <f t="shared" si="5"/>
        <v>0</v>
      </c>
      <c r="R60" s="115"/>
      <c r="S60" s="143">
        <f t="shared" si="6"/>
        <v>0</v>
      </c>
      <c r="T60" s="115"/>
      <c r="U60" s="143">
        <f t="shared" si="7"/>
        <v>0</v>
      </c>
      <c r="V60" s="115"/>
      <c r="W60" s="143">
        <f t="shared" si="8"/>
        <v>0</v>
      </c>
      <c r="X60" s="115"/>
      <c r="Y60" s="143">
        <f t="shared" si="9"/>
        <v>0</v>
      </c>
      <c r="Z60" s="115"/>
      <c r="AA60" s="143">
        <f t="shared" si="10"/>
        <v>0</v>
      </c>
      <c r="AB60" s="115"/>
      <c r="AC60" s="143">
        <f t="shared" si="11"/>
        <v>0</v>
      </c>
      <c r="AD60" s="113">
        <f t="shared" si="12"/>
        <v>0</v>
      </c>
      <c r="AE60" s="144">
        <f t="shared" si="13"/>
        <v>0</v>
      </c>
    </row>
    <row r="61" spans="1:31" ht="20.100000000000001" customHeight="1">
      <c r="A61" s="2">
        <v>50</v>
      </c>
      <c r="B61" s="71" t="s">
        <v>58</v>
      </c>
      <c r="C61" s="2"/>
      <c r="D61" s="2">
        <v>0.6</v>
      </c>
      <c r="E61" s="2"/>
      <c r="F61" s="115"/>
      <c r="G61" s="112">
        <f t="shared" si="0"/>
        <v>0</v>
      </c>
      <c r="H61" s="115"/>
      <c r="I61" s="112">
        <f t="shared" si="1"/>
        <v>0</v>
      </c>
      <c r="J61" s="115"/>
      <c r="K61" s="143">
        <f t="shared" si="2"/>
        <v>0</v>
      </c>
      <c r="L61" s="115"/>
      <c r="M61" s="143">
        <f t="shared" si="3"/>
        <v>0</v>
      </c>
      <c r="N61" s="115"/>
      <c r="O61" s="143">
        <f t="shared" si="4"/>
        <v>0</v>
      </c>
      <c r="P61" s="115"/>
      <c r="Q61" s="112">
        <f t="shared" si="5"/>
        <v>0</v>
      </c>
      <c r="R61" s="115"/>
      <c r="S61" s="143">
        <f t="shared" si="6"/>
        <v>0</v>
      </c>
      <c r="T61" s="115"/>
      <c r="U61" s="143">
        <f t="shared" si="7"/>
        <v>0</v>
      </c>
      <c r="V61" s="115"/>
      <c r="W61" s="143">
        <f t="shared" si="8"/>
        <v>0</v>
      </c>
      <c r="X61" s="115"/>
      <c r="Y61" s="143">
        <f t="shared" si="9"/>
        <v>0</v>
      </c>
      <c r="Z61" s="115"/>
      <c r="AA61" s="143">
        <f t="shared" si="10"/>
        <v>0</v>
      </c>
      <c r="AB61" s="115"/>
      <c r="AC61" s="143">
        <f t="shared" si="11"/>
        <v>0</v>
      </c>
      <c r="AD61" s="113">
        <f t="shared" si="12"/>
        <v>0</v>
      </c>
      <c r="AE61" s="144">
        <f t="shared" si="13"/>
        <v>0</v>
      </c>
    </row>
    <row r="62" spans="1:31" ht="20.100000000000001" customHeight="1">
      <c r="A62" s="2">
        <v>51</v>
      </c>
      <c r="B62" s="2" t="s">
        <v>59</v>
      </c>
      <c r="C62" s="2" t="s">
        <v>17</v>
      </c>
      <c r="D62" s="2">
        <v>0.35</v>
      </c>
      <c r="E62" s="2" t="s">
        <v>21</v>
      </c>
      <c r="F62" s="115"/>
      <c r="G62" s="112">
        <f t="shared" si="0"/>
        <v>0</v>
      </c>
      <c r="H62" s="115"/>
      <c r="I62" s="112">
        <f t="shared" si="1"/>
        <v>0</v>
      </c>
      <c r="J62" s="115"/>
      <c r="K62" s="143">
        <f t="shared" si="2"/>
        <v>0</v>
      </c>
      <c r="L62" s="115"/>
      <c r="M62" s="143">
        <f t="shared" si="3"/>
        <v>0</v>
      </c>
      <c r="N62" s="115"/>
      <c r="O62" s="143">
        <f t="shared" si="4"/>
        <v>0</v>
      </c>
      <c r="P62" s="115"/>
      <c r="Q62" s="112">
        <f t="shared" si="5"/>
        <v>0</v>
      </c>
      <c r="R62" s="115"/>
      <c r="S62" s="143">
        <f t="shared" si="6"/>
        <v>0</v>
      </c>
      <c r="T62" s="115"/>
      <c r="U62" s="143">
        <f t="shared" si="7"/>
        <v>0</v>
      </c>
      <c r="V62" s="115"/>
      <c r="W62" s="143">
        <f t="shared" si="8"/>
        <v>0</v>
      </c>
      <c r="X62" s="115"/>
      <c r="Y62" s="143">
        <f t="shared" si="9"/>
        <v>0</v>
      </c>
      <c r="Z62" s="115"/>
      <c r="AA62" s="143">
        <f t="shared" si="10"/>
        <v>0</v>
      </c>
      <c r="AB62" s="115"/>
      <c r="AC62" s="143">
        <f t="shared" si="11"/>
        <v>0</v>
      </c>
      <c r="AD62" s="113">
        <f t="shared" si="12"/>
        <v>0</v>
      </c>
      <c r="AE62" s="144">
        <f t="shared" si="13"/>
        <v>0</v>
      </c>
    </row>
    <row r="63" spans="1:31" ht="20.100000000000001" customHeight="1">
      <c r="A63" s="2">
        <v>52</v>
      </c>
      <c r="B63" s="2" t="s">
        <v>60</v>
      </c>
      <c r="C63" s="2" t="s">
        <v>14</v>
      </c>
      <c r="D63" s="2">
        <v>0.64</v>
      </c>
      <c r="E63" s="2" t="s">
        <v>25</v>
      </c>
      <c r="F63" s="115">
        <v>12866</v>
      </c>
      <c r="G63" s="112">
        <f t="shared" si="0"/>
        <v>8234.24</v>
      </c>
      <c r="H63" s="115">
        <v>7532</v>
      </c>
      <c r="I63" s="112">
        <f t="shared" si="1"/>
        <v>4820.4800000000005</v>
      </c>
      <c r="J63" s="115">
        <v>7742</v>
      </c>
      <c r="K63" s="143">
        <f t="shared" si="2"/>
        <v>4954.88</v>
      </c>
      <c r="L63" s="115">
        <v>7000</v>
      </c>
      <c r="M63" s="143">
        <f t="shared" si="3"/>
        <v>4480</v>
      </c>
      <c r="N63" s="115">
        <v>3780</v>
      </c>
      <c r="O63" s="143">
        <f t="shared" si="4"/>
        <v>2419.2000000000003</v>
      </c>
      <c r="P63" s="115">
        <v>4760</v>
      </c>
      <c r="Q63" s="112">
        <f t="shared" si="5"/>
        <v>3046.4</v>
      </c>
      <c r="R63" s="115">
        <v>8540</v>
      </c>
      <c r="S63" s="143">
        <f>R63*$D63</f>
        <v>5465.6</v>
      </c>
      <c r="T63" s="115">
        <v>7546</v>
      </c>
      <c r="U63" s="143">
        <f>T63*$D63</f>
        <v>4829.4400000000005</v>
      </c>
      <c r="V63" s="115">
        <v>7070</v>
      </c>
      <c r="W63" s="143">
        <f t="shared" si="8"/>
        <v>4524.8</v>
      </c>
      <c r="X63" s="115">
        <v>3780</v>
      </c>
      <c r="Y63" s="143">
        <f t="shared" si="9"/>
        <v>2419.2000000000003</v>
      </c>
      <c r="Z63" s="115">
        <v>5586</v>
      </c>
      <c r="AA63" s="143">
        <f t="shared" si="10"/>
        <v>3575.04</v>
      </c>
      <c r="AB63" s="115">
        <v>8070</v>
      </c>
      <c r="AC63" s="143">
        <f t="shared" si="11"/>
        <v>5164.8</v>
      </c>
      <c r="AD63" s="113">
        <f t="shared" si="12"/>
        <v>84272</v>
      </c>
      <c r="AE63" s="144">
        <f t="shared" si="13"/>
        <v>53934.080000000002</v>
      </c>
    </row>
    <row r="64" spans="1:31" ht="20.100000000000001" customHeight="1">
      <c r="A64" s="2">
        <v>53</v>
      </c>
      <c r="B64" s="2" t="s">
        <v>61</v>
      </c>
      <c r="C64" s="2" t="s">
        <v>14</v>
      </c>
      <c r="D64" s="2">
        <v>0.64</v>
      </c>
      <c r="E64" s="2" t="s">
        <v>25</v>
      </c>
      <c r="F64" s="115"/>
      <c r="G64" s="112">
        <f t="shared" si="0"/>
        <v>0</v>
      </c>
      <c r="H64" s="115"/>
      <c r="I64" s="112">
        <f>H64*$D64</f>
        <v>0</v>
      </c>
      <c r="J64" s="115"/>
      <c r="K64" s="143">
        <f t="shared" si="2"/>
        <v>0</v>
      </c>
      <c r="L64" s="115"/>
      <c r="M64" s="143">
        <f t="shared" si="3"/>
        <v>0</v>
      </c>
      <c r="N64" s="115"/>
      <c r="O64" s="143">
        <f t="shared" si="4"/>
        <v>0</v>
      </c>
      <c r="P64" s="115"/>
      <c r="Q64" s="112">
        <f t="shared" si="5"/>
        <v>0</v>
      </c>
      <c r="R64" s="115"/>
      <c r="S64" s="143">
        <f t="shared" si="6"/>
        <v>0</v>
      </c>
      <c r="T64" s="115"/>
      <c r="U64" s="143">
        <f>T64*$D64</f>
        <v>0</v>
      </c>
      <c r="V64" s="115"/>
      <c r="W64" s="143">
        <f t="shared" si="8"/>
        <v>0</v>
      </c>
      <c r="X64" s="115"/>
      <c r="Y64" s="143">
        <f t="shared" si="9"/>
        <v>0</v>
      </c>
      <c r="Z64" s="115"/>
      <c r="AA64" s="143">
        <f t="shared" si="10"/>
        <v>0</v>
      </c>
      <c r="AB64" s="115"/>
      <c r="AC64" s="143">
        <f t="shared" si="11"/>
        <v>0</v>
      </c>
      <c r="AD64" s="113">
        <f t="shared" si="12"/>
        <v>0</v>
      </c>
      <c r="AE64" s="144">
        <f t="shared" si="13"/>
        <v>0</v>
      </c>
    </row>
    <row r="65" spans="1:31" ht="20.100000000000001" customHeight="1">
      <c r="A65" s="2"/>
      <c r="B65" s="2"/>
      <c r="C65" s="2"/>
      <c r="D65" s="2"/>
      <c r="E65" s="2"/>
      <c r="F65" s="115"/>
      <c r="G65" s="112">
        <f t="shared" si="0"/>
        <v>0</v>
      </c>
      <c r="H65" s="115"/>
      <c r="I65" s="112">
        <f t="shared" ref="I65:I126" si="14">H65*$D65</f>
        <v>0</v>
      </c>
      <c r="J65" s="115"/>
      <c r="K65" s="143">
        <f t="shared" si="2"/>
        <v>0</v>
      </c>
      <c r="L65" s="115"/>
      <c r="M65" s="143">
        <f t="shared" si="3"/>
        <v>0</v>
      </c>
      <c r="N65" s="115"/>
      <c r="O65" s="143">
        <f t="shared" si="4"/>
        <v>0</v>
      </c>
      <c r="P65" s="115"/>
      <c r="Q65" s="112">
        <f t="shared" si="5"/>
        <v>0</v>
      </c>
      <c r="R65" s="115"/>
      <c r="S65" s="143">
        <f t="shared" si="6"/>
        <v>0</v>
      </c>
      <c r="T65" s="115"/>
      <c r="U65" s="143">
        <f>T65*$D65</f>
        <v>0</v>
      </c>
      <c r="V65" s="115"/>
      <c r="W65" s="112"/>
      <c r="X65" s="115"/>
      <c r="Y65" s="112"/>
      <c r="Z65" s="115"/>
      <c r="AA65" s="112"/>
      <c r="AB65" s="115"/>
      <c r="AC65" s="112"/>
      <c r="AD65" s="113"/>
      <c r="AE65" s="114"/>
    </row>
    <row r="66" spans="1:31" ht="20.100000000000001" customHeight="1">
      <c r="A66" s="2">
        <v>54</v>
      </c>
      <c r="B66" s="2" t="s">
        <v>62</v>
      </c>
      <c r="C66" s="2" t="s">
        <v>17</v>
      </c>
      <c r="D66" s="2">
        <v>1</v>
      </c>
      <c r="E66" s="2" t="s">
        <v>15</v>
      </c>
      <c r="F66" s="115"/>
      <c r="G66" s="112">
        <f t="shared" si="0"/>
        <v>0</v>
      </c>
      <c r="H66" s="115"/>
      <c r="I66" s="112">
        <f t="shared" si="14"/>
        <v>0</v>
      </c>
      <c r="J66" s="115"/>
      <c r="K66" s="143">
        <f t="shared" si="2"/>
        <v>0</v>
      </c>
      <c r="L66" s="115"/>
      <c r="M66" s="143">
        <f t="shared" si="3"/>
        <v>0</v>
      </c>
      <c r="N66" s="115"/>
      <c r="O66" s="143">
        <f t="shared" si="4"/>
        <v>0</v>
      </c>
      <c r="P66" s="115"/>
      <c r="Q66" s="112">
        <f t="shared" si="5"/>
        <v>0</v>
      </c>
      <c r="R66" s="115"/>
      <c r="S66" s="143">
        <f t="shared" si="6"/>
        <v>0</v>
      </c>
      <c r="T66" s="115"/>
      <c r="U66" s="143">
        <f t="shared" ref="U66:U127" si="15">T66*$D66</f>
        <v>0</v>
      </c>
      <c r="V66" s="115"/>
      <c r="W66" s="112">
        <f>V66*$D66</f>
        <v>0</v>
      </c>
      <c r="X66" s="115"/>
      <c r="Y66" s="112">
        <f>X66*$D66</f>
        <v>0</v>
      </c>
      <c r="Z66" s="115"/>
      <c r="AA66" s="112">
        <f>Z66*$D66</f>
        <v>0</v>
      </c>
      <c r="AB66" s="115"/>
      <c r="AC66" s="112">
        <f>AB66*$D66</f>
        <v>0</v>
      </c>
      <c r="AD66" s="113">
        <f>(AB66+Z66+X66+V66+T66+R66+P66+N66+L66+J66+H66+F66)</f>
        <v>0</v>
      </c>
      <c r="AE66" s="114">
        <f>AD66*$D66</f>
        <v>0</v>
      </c>
    </row>
    <row r="67" spans="1:31" ht="20.100000000000001" customHeight="1">
      <c r="A67" s="2">
        <v>55</v>
      </c>
      <c r="B67" s="2" t="s">
        <v>63</v>
      </c>
      <c r="C67" s="2" t="s">
        <v>17</v>
      </c>
      <c r="D67" s="2">
        <v>0.6</v>
      </c>
      <c r="E67" s="2" t="s">
        <v>15</v>
      </c>
      <c r="F67" s="115"/>
      <c r="G67" s="112">
        <f t="shared" si="0"/>
        <v>0</v>
      </c>
      <c r="H67" s="115"/>
      <c r="I67" s="112">
        <f t="shared" si="14"/>
        <v>0</v>
      </c>
      <c r="J67" s="115"/>
      <c r="K67" s="143">
        <f t="shared" si="2"/>
        <v>0</v>
      </c>
      <c r="L67" s="115"/>
      <c r="M67" s="143">
        <f t="shared" si="3"/>
        <v>0</v>
      </c>
      <c r="N67" s="115"/>
      <c r="O67" s="143">
        <f t="shared" si="4"/>
        <v>0</v>
      </c>
      <c r="P67" s="115"/>
      <c r="Q67" s="112">
        <f t="shared" si="5"/>
        <v>0</v>
      </c>
      <c r="R67" s="115"/>
      <c r="S67" s="143">
        <f t="shared" si="6"/>
        <v>0</v>
      </c>
      <c r="T67" s="115"/>
      <c r="U67" s="143">
        <f t="shared" si="15"/>
        <v>0</v>
      </c>
      <c r="V67" s="115"/>
      <c r="W67" s="112">
        <f t="shared" ref="W67:W92" si="16">V67*$D67</f>
        <v>0</v>
      </c>
      <c r="X67" s="115"/>
      <c r="Y67" s="112">
        <f t="shared" ref="Y67:Y92" si="17">X67*$D67</f>
        <v>0</v>
      </c>
      <c r="Z67" s="115"/>
      <c r="AA67" s="112">
        <f t="shared" ref="AA67:AA92" si="18">Z67*$D67</f>
        <v>0</v>
      </c>
      <c r="AB67" s="115"/>
      <c r="AC67" s="112">
        <f t="shared" ref="AC67:AC92" si="19">AB67*$D67</f>
        <v>0</v>
      </c>
      <c r="AD67" s="113">
        <f>(AB67+Z67+X67+V67+T67+R67+P67+N67+L67+J67+H67+F67)</f>
        <v>0</v>
      </c>
      <c r="AE67" s="114">
        <f t="shared" ref="AE67:AE92" si="20">AD67*$D67</f>
        <v>0</v>
      </c>
    </row>
    <row r="68" spans="1:31" ht="20.100000000000001" customHeight="1">
      <c r="A68" s="2">
        <v>56</v>
      </c>
      <c r="B68" s="2" t="s">
        <v>64</v>
      </c>
      <c r="C68" s="2" t="s">
        <v>14</v>
      </c>
      <c r="D68" s="2">
        <v>0.64</v>
      </c>
      <c r="E68" s="2" t="s">
        <v>25</v>
      </c>
      <c r="F68" s="115"/>
      <c r="G68" s="112">
        <f t="shared" si="0"/>
        <v>0</v>
      </c>
      <c r="H68" s="115"/>
      <c r="I68" s="112">
        <f t="shared" si="14"/>
        <v>0</v>
      </c>
      <c r="J68" s="115"/>
      <c r="K68" s="143">
        <f t="shared" si="2"/>
        <v>0</v>
      </c>
      <c r="L68" s="115"/>
      <c r="M68" s="143">
        <f t="shared" si="3"/>
        <v>0</v>
      </c>
      <c r="N68" s="115"/>
      <c r="O68" s="143">
        <f t="shared" si="4"/>
        <v>0</v>
      </c>
      <c r="P68" s="115"/>
      <c r="Q68" s="112">
        <f t="shared" si="5"/>
        <v>0</v>
      </c>
      <c r="R68" s="115"/>
      <c r="S68" s="143">
        <f t="shared" si="6"/>
        <v>0</v>
      </c>
      <c r="T68" s="115"/>
      <c r="U68" s="143">
        <f t="shared" si="15"/>
        <v>0</v>
      </c>
      <c r="V68" s="115"/>
      <c r="W68" s="112">
        <f t="shared" si="16"/>
        <v>0</v>
      </c>
      <c r="X68" s="115"/>
      <c r="Y68" s="112">
        <f t="shared" si="17"/>
        <v>0</v>
      </c>
      <c r="Z68" s="115"/>
      <c r="AA68" s="112">
        <f t="shared" si="18"/>
        <v>0</v>
      </c>
      <c r="AB68" s="115"/>
      <c r="AC68" s="112">
        <f t="shared" si="19"/>
        <v>0</v>
      </c>
      <c r="AD68" s="113">
        <f t="shared" ref="AD68:AD127" si="21">(AB68+Z68+X68+V68+T68+R68+P68+N68+L68+J68+H68+F68)</f>
        <v>0</v>
      </c>
      <c r="AE68" s="114">
        <f t="shared" si="20"/>
        <v>0</v>
      </c>
    </row>
    <row r="69" spans="1:31" ht="20.100000000000001" customHeight="1">
      <c r="A69" s="2"/>
      <c r="B69" s="2"/>
      <c r="C69" s="2"/>
      <c r="D69" s="2"/>
      <c r="E69" s="2"/>
      <c r="F69" s="115"/>
      <c r="G69" s="112">
        <f t="shared" ref="G69:G127" si="22">F69*$D69</f>
        <v>0</v>
      </c>
      <c r="H69" s="115"/>
      <c r="I69" s="112">
        <f t="shared" si="14"/>
        <v>0</v>
      </c>
      <c r="J69" s="115"/>
      <c r="K69" s="143">
        <f t="shared" ref="K69:K126" si="23">J69*$D69</f>
        <v>0</v>
      </c>
      <c r="L69" s="115"/>
      <c r="M69" s="143">
        <f t="shared" ref="M69:M126" si="24">L69*$D69</f>
        <v>0</v>
      </c>
      <c r="N69" s="115"/>
      <c r="O69" s="143">
        <f t="shared" ref="O69:O126" si="25">N69*$D69</f>
        <v>0</v>
      </c>
      <c r="P69" s="115"/>
      <c r="Q69" s="112">
        <f t="shared" ref="Q69:Q126" si="26">P69*$D69</f>
        <v>0</v>
      </c>
      <c r="R69" s="115"/>
      <c r="S69" s="143">
        <f t="shared" ref="S69:S92" si="27">R69*$D69</f>
        <v>0</v>
      </c>
      <c r="T69" s="115"/>
      <c r="U69" s="143">
        <f t="shared" si="15"/>
        <v>0</v>
      </c>
      <c r="V69" s="115"/>
      <c r="W69" s="112">
        <f t="shared" si="16"/>
        <v>0</v>
      </c>
      <c r="X69" s="115"/>
      <c r="Y69" s="112">
        <f t="shared" si="17"/>
        <v>0</v>
      </c>
      <c r="Z69" s="115"/>
      <c r="AA69" s="112">
        <f t="shared" si="18"/>
        <v>0</v>
      </c>
      <c r="AB69" s="115"/>
      <c r="AC69" s="112">
        <f t="shared" si="19"/>
        <v>0</v>
      </c>
      <c r="AD69" s="113">
        <f t="shared" si="21"/>
        <v>0</v>
      </c>
      <c r="AE69" s="114">
        <f t="shared" si="20"/>
        <v>0</v>
      </c>
    </row>
    <row r="70" spans="1:31" ht="20.100000000000001" customHeight="1">
      <c r="A70" s="2">
        <v>57</v>
      </c>
      <c r="B70" s="2" t="s">
        <v>65</v>
      </c>
      <c r="C70" s="2" t="s">
        <v>17</v>
      </c>
      <c r="D70" s="2">
        <v>1</v>
      </c>
      <c r="E70" s="2" t="s">
        <v>15</v>
      </c>
      <c r="F70" s="115"/>
      <c r="G70" s="112">
        <f t="shared" si="22"/>
        <v>0</v>
      </c>
      <c r="H70" s="115"/>
      <c r="I70" s="112">
        <f t="shared" si="14"/>
        <v>0</v>
      </c>
      <c r="J70" s="115"/>
      <c r="K70" s="143">
        <f t="shared" si="23"/>
        <v>0</v>
      </c>
      <c r="L70" s="115"/>
      <c r="M70" s="143">
        <f t="shared" si="24"/>
        <v>0</v>
      </c>
      <c r="N70" s="115"/>
      <c r="O70" s="143">
        <f t="shared" si="25"/>
        <v>0</v>
      </c>
      <c r="P70" s="115"/>
      <c r="Q70" s="112">
        <f t="shared" si="26"/>
        <v>0</v>
      </c>
      <c r="R70" s="115"/>
      <c r="S70" s="143">
        <f t="shared" si="27"/>
        <v>0</v>
      </c>
      <c r="T70" s="115"/>
      <c r="U70" s="143">
        <f t="shared" si="15"/>
        <v>0</v>
      </c>
      <c r="V70" s="115"/>
      <c r="W70" s="112">
        <f t="shared" si="16"/>
        <v>0</v>
      </c>
      <c r="X70" s="115"/>
      <c r="Y70" s="112">
        <f t="shared" si="17"/>
        <v>0</v>
      </c>
      <c r="Z70" s="115"/>
      <c r="AA70" s="112">
        <f t="shared" si="18"/>
        <v>0</v>
      </c>
      <c r="AB70" s="115"/>
      <c r="AC70" s="112">
        <f t="shared" si="19"/>
        <v>0</v>
      </c>
      <c r="AD70" s="113">
        <f t="shared" si="21"/>
        <v>0</v>
      </c>
      <c r="AE70" s="114">
        <f t="shared" si="20"/>
        <v>0</v>
      </c>
    </row>
    <row r="71" spans="1:31" ht="20.100000000000001" customHeight="1">
      <c r="A71" s="2">
        <v>58</v>
      </c>
      <c r="B71" s="2" t="s">
        <v>66</v>
      </c>
      <c r="C71" s="2" t="s">
        <v>17</v>
      </c>
      <c r="D71" s="2">
        <v>0.6</v>
      </c>
      <c r="E71" s="2" t="s">
        <v>15</v>
      </c>
      <c r="F71" s="115"/>
      <c r="G71" s="112">
        <f t="shared" si="22"/>
        <v>0</v>
      </c>
      <c r="H71" s="115"/>
      <c r="I71" s="112">
        <f t="shared" si="14"/>
        <v>0</v>
      </c>
      <c r="J71" s="115"/>
      <c r="K71" s="143">
        <f t="shared" si="23"/>
        <v>0</v>
      </c>
      <c r="L71" s="115"/>
      <c r="M71" s="143">
        <f t="shared" si="24"/>
        <v>0</v>
      </c>
      <c r="N71" s="115"/>
      <c r="O71" s="143">
        <f t="shared" si="25"/>
        <v>0</v>
      </c>
      <c r="P71" s="115"/>
      <c r="Q71" s="112">
        <f t="shared" si="26"/>
        <v>0</v>
      </c>
      <c r="R71" s="115"/>
      <c r="S71" s="143">
        <f t="shared" si="27"/>
        <v>0</v>
      </c>
      <c r="T71" s="115"/>
      <c r="U71" s="143">
        <f t="shared" si="15"/>
        <v>0</v>
      </c>
      <c r="V71" s="115"/>
      <c r="W71" s="112">
        <f t="shared" si="16"/>
        <v>0</v>
      </c>
      <c r="X71" s="115"/>
      <c r="Y71" s="112">
        <f t="shared" si="17"/>
        <v>0</v>
      </c>
      <c r="Z71" s="115"/>
      <c r="AA71" s="112">
        <f t="shared" si="18"/>
        <v>0</v>
      </c>
      <c r="AB71" s="115"/>
      <c r="AC71" s="112">
        <f t="shared" si="19"/>
        <v>0</v>
      </c>
      <c r="AD71" s="113">
        <f t="shared" si="21"/>
        <v>0</v>
      </c>
      <c r="AE71" s="114">
        <f t="shared" si="20"/>
        <v>0</v>
      </c>
    </row>
    <row r="72" spans="1:31" ht="20.100000000000001" customHeight="1">
      <c r="A72" s="2">
        <v>59</v>
      </c>
      <c r="B72" s="2" t="s">
        <v>67</v>
      </c>
      <c r="C72" s="2" t="s">
        <v>14</v>
      </c>
      <c r="D72" s="2">
        <v>0.64</v>
      </c>
      <c r="E72" s="2" t="s">
        <v>25</v>
      </c>
      <c r="F72" s="115"/>
      <c r="G72" s="112">
        <f t="shared" si="22"/>
        <v>0</v>
      </c>
      <c r="H72" s="115"/>
      <c r="I72" s="112">
        <f t="shared" si="14"/>
        <v>0</v>
      </c>
      <c r="J72" s="115"/>
      <c r="K72" s="143">
        <f t="shared" si="23"/>
        <v>0</v>
      </c>
      <c r="L72" s="115"/>
      <c r="M72" s="143">
        <f t="shared" si="24"/>
        <v>0</v>
      </c>
      <c r="N72" s="115"/>
      <c r="O72" s="143">
        <f t="shared" si="25"/>
        <v>0</v>
      </c>
      <c r="P72" s="115"/>
      <c r="Q72" s="112">
        <f t="shared" si="26"/>
        <v>0</v>
      </c>
      <c r="R72" s="115"/>
      <c r="S72" s="143">
        <f t="shared" si="27"/>
        <v>0</v>
      </c>
      <c r="T72" s="115"/>
      <c r="U72" s="143">
        <f t="shared" si="15"/>
        <v>0</v>
      </c>
      <c r="V72" s="115"/>
      <c r="W72" s="112">
        <f t="shared" si="16"/>
        <v>0</v>
      </c>
      <c r="X72" s="115"/>
      <c r="Y72" s="112">
        <f t="shared" si="17"/>
        <v>0</v>
      </c>
      <c r="Z72" s="115"/>
      <c r="AA72" s="112">
        <f t="shared" si="18"/>
        <v>0</v>
      </c>
      <c r="AB72" s="115"/>
      <c r="AC72" s="112">
        <f t="shared" si="19"/>
        <v>0</v>
      </c>
      <c r="AD72" s="113">
        <f t="shared" si="21"/>
        <v>0</v>
      </c>
      <c r="AE72" s="114">
        <f t="shared" si="20"/>
        <v>0</v>
      </c>
    </row>
    <row r="73" spans="1:31" ht="20.100000000000001" customHeight="1">
      <c r="A73" s="2"/>
      <c r="B73" s="2"/>
      <c r="C73" s="2"/>
      <c r="D73" s="2"/>
      <c r="E73" s="2"/>
      <c r="F73" s="115"/>
      <c r="G73" s="112">
        <f t="shared" si="22"/>
        <v>0</v>
      </c>
      <c r="H73" s="115"/>
      <c r="I73" s="112">
        <f t="shared" si="14"/>
        <v>0</v>
      </c>
      <c r="J73" s="115"/>
      <c r="K73" s="143">
        <f t="shared" si="23"/>
        <v>0</v>
      </c>
      <c r="L73" s="115"/>
      <c r="M73" s="143">
        <f t="shared" si="24"/>
        <v>0</v>
      </c>
      <c r="N73" s="115"/>
      <c r="O73" s="143">
        <f t="shared" si="25"/>
        <v>0</v>
      </c>
      <c r="P73" s="115"/>
      <c r="Q73" s="112">
        <f t="shared" si="26"/>
        <v>0</v>
      </c>
      <c r="R73" s="115"/>
      <c r="S73" s="143">
        <f t="shared" si="27"/>
        <v>0</v>
      </c>
      <c r="T73" s="115"/>
      <c r="U73" s="143">
        <f t="shared" si="15"/>
        <v>0</v>
      </c>
      <c r="V73" s="115"/>
      <c r="W73" s="112">
        <f t="shared" si="16"/>
        <v>0</v>
      </c>
      <c r="X73" s="115"/>
      <c r="Y73" s="112">
        <f t="shared" si="17"/>
        <v>0</v>
      </c>
      <c r="Z73" s="115"/>
      <c r="AA73" s="112">
        <f t="shared" si="18"/>
        <v>0</v>
      </c>
      <c r="AB73" s="115"/>
      <c r="AC73" s="112">
        <f t="shared" si="19"/>
        <v>0</v>
      </c>
      <c r="AD73" s="113">
        <f t="shared" si="21"/>
        <v>0</v>
      </c>
      <c r="AE73" s="114">
        <f t="shared" si="20"/>
        <v>0</v>
      </c>
    </row>
    <row r="74" spans="1:31" ht="20.100000000000001" customHeight="1">
      <c r="A74" s="2">
        <v>60</v>
      </c>
      <c r="B74" s="2" t="s">
        <v>68</v>
      </c>
      <c r="C74" s="2" t="s">
        <v>14</v>
      </c>
      <c r="D74" s="2">
        <v>0.64</v>
      </c>
      <c r="E74" s="2" t="s">
        <v>25</v>
      </c>
      <c r="F74" s="115"/>
      <c r="G74" s="112">
        <f t="shared" si="22"/>
        <v>0</v>
      </c>
      <c r="H74" s="115"/>
      <c r="I74" s="112">
        <f t="shared" si="14"/>
        <v>0</v>
      </c>
      <c r="J74" s="115"/>
      <c r="K74" s="143">
        <f t="shared" si="23"/>
        <v>0</v>
      </c>
      <c r="L74" s="115"/>
      <c r="M74" s="143">
        <f t="shared" si="24"/>
        <v>0</v>
      </c>
      <c r="N74" s="115"/>
      <c r="O74" s="143">
        <f t="shared" si="25"/>
        <v>0</v>
      </c>
      <c r="P74" s="115"/>
      <c r="Q74" s="112">
        <f t="shared" si="26"/>
        <v>0</v>
      </c>
      <c r="R74" s="115"/>
      <c r="S74" s="143">
        <f t="shared" si="27"/>
        <v>0</v>
      </c>
      <c r="T74" s="115"/>
      <c r="U74" s="143">
        <f t="shared" si="15"/>
        <v>0</v>
      </c>
      <c r="V74" s="115"/>
      <c r="W74" s="112">
        <f t="shared" si="16"/>
        <v>0</v>
      </c>
      <c r="X74" s="115"/>
      <c r="Y74" s="112">
        <f t="shared" si="17"/>
        <v>0</v>
      </c>
      <c r="Z74" s="115"/>
      <c r="AA74" s="112">
        <f t="shared" si="18"/>
        <v>0</v>
      </c>
      <c r="AB74" s="115"/>
      <c r="AC74" s="112">
        <f t="shared" si="19"/>
        <v>0</v>
      </c>
      <c r="AD74" s="113">
        <f t="shared" si="21"/>
        <v>0</v>
      </c>
      <c r="AE74" s="114">
        <f t="shared" si="20"/>
        <v>0</v>
      </c>
    </row>
    <row r="75" spans="1:31" ht="20.100000000000001" customHeight="1">
      <c r="A75" s="2">
        <v>61</v>
      </c>
      <c r="B75" s="2" t="s">
        <v>68</v>
      </c>
      <c r="C75" s="2" t="s">
        <v>14</v>
      </c>
      <c r="D75" s="2">
        <v>0.64</v>
      </c>
      <c r="E75" s="2" t="s">
        <v>24</v>
      </c>
      <c r="F75" s="111">
        <v>15072</v>
      </c>
      <c r="G75" s="112">
        <f t="shared" si="22"/>
        <v>9646.08</v>
      </c>
      <c r="H75" s="111">
        <v>5352</v>
      </c>
      <c r="I75" s="112">
        <f t="shared" si="14"/>
        <v>3425.28</v>
      </c>
      <c r="J75" s="111">
        <v>11496</v>
      </c>
      <c r="K75" s="143">
        <f t="shared" si="23"/>
        <v>7357.4400000000005</v>
      </c>
      <c r="L75" s="111">
        <v>10296</v>
      </c>
      <c r="M75" s="143">
        <f t="shared" si="24"/>
        <v>6589.4400000000005</v>
      </c>
      <c r="N75" s="111">
        <v>9336</v>
      </c>
      <c r="O75" s="143">
        <f t="shared" si="25"/>
        <v>5975.04</v>
      </c>
      <c r="P75" s="111">
        <v>11016</v>
      </c>
      <c r="Q75" s="112">
        <f t="shared" si="26"/>
        <v>7050.24</v>
      </c>
      <c r="R75" s="111">
        <v>13056</v>
      </c>
      <c r="S75" s="143">
        <f t="shared" si="27"/>
        <v>8355.84</v>
      </c>
      <c r="T75" s="111">
        <v>14400</v>
      </c>
      <c r="U75" s="143">
        <f t="shared" si="15"/>
        <v>9216</v>
      </c>
      <c r="V75" s="111">
        <v>12576</v>
      </c>
      <c r="W75" s="112">
        <f t="shared" si="16"/>
        <v>8048.64</v>
      </c>
      <c r="X75" s="111">
        <v>10680</v>
      </c>
      <c r="Y75" s="112">
        <f t="shared" si="17"/>
        <v>6835.2</v>
      </c>
      <c r="Z75" s="111">
        <v>6942</v>
      </c>
      <c r="AA75" s="112">
        <f t="shared" si="18"/>
        <v>4442.88</v>
      </c>
      <c r="AB75" s="111">
        <v>17568</v>
      </c>
      <c r="AC75" s="112">
        <f t="shared" si="19"/>
        <v>11243.52</v>
      </c>
      <c r="AD75" s="113">
        <f t="shared" si="21"/>
        <v>137790</v>
      </c>
      <c r="AE75" s="114">
        <f t="shared" si="20"/>
        <v>88185.600000000006</v>
      </c>
    </row>
    <row r="76" spans="1:31" ht="20.100000000000001" customHeight="1">
      <c r="A76" s="2"/>
      <c r="B76" s="2"/>
      <c r="C76" s="2"/>
      <c r="D76" s="2"/>
      <c r="E76" s="2"/>
      <c r="F76" s="115"/>
      <c r="G76" s="112">
        <f t="shared" si="22"/>
        <v>0</v>
      </c>
      <c r="H76" s="115"/>
      <c r="I76" s="112">
        <f t="shared" si="14"/>
        <v>0</v>
      </c>
      <c r="J76" s="115"/>
      <c r="K76" s="143">
        <f t="shared" si="23"/>
        <v>0</v>
      </c>
      <c r="L76" s="115"/>
      <c r="M76" s="143">
        <f t="shared" si="24"/>
        <v>0</v>
      </c>
      <c r="N76" s="115"/>
      <c r="O76" s="143">
        <f t="shared" si="25"/>
        <v>0</v>
      </c>
      <c r="P76" s="115"/>
      <c r="Q76" s="112">
        <f t="shared" si="26"/>
        <v>0</v>
      </c>
      <c r="R76" s="115"/>
      <c r="S76" s="143">
        <f t="shared" si="27"/>
        <v>0</v>
      </c>
      <c r="T76" s="115"/>
      <c r="U76" s="143">
        <f t="shared" si="15"/>
        <v>0</v>
      </c>
      <c r="V76" s="115"/>
      <c r="W76" s="112">
        <f t="shared" si="16"/>
        <v>0</v>
      </c>
      <c r="X76" s="115"/>
      <c r="Y76" s="112">
        <f t="shared" si="17"/>
        <v>0</v>
      </c>
      <c r="Z76" s="115"/>
      <c r="AA76" s="112">
        <f t="shared" si="18"/>
        <v>0</v>
      </c>
      <c r="AB76" s="115"/>
      <c r="AC76" s="112">
        <f t="shared" si="19"/>
        <v>0</v>
      </c>
      <c r="AD76" s="113">
        <f t="shared" si="21"/>
        <v>0</v>
      </c>
      <c r="AE76" s="114">
        <f t="shared" si="20"/>
        <v>0</v>
      </c>
    </row>
    <row r="77" spans="1:31" ht="20.100000000000001" customHeight="1">
      <c r="A77" s="2">
        <v>62</v>
      </c>
      <c r="B77" s="2" t="s">
        <v>69</v>
      </c>
      <c r="C77" s="2" t="s">
        <v>14</v>
      </c>
      <c r="D77" s="2">
        <v>0.64</v>
      </c>
      <c r="E77" s="2" t="s">
        <v>25</v>
      </c>
      <c r="F77" s="115"/>
      <c r="G77" s="112">
        <f t="shared" si="22"/>
        <v>0</v>
      </c>
      <c r="H77" s="115"/>
      <c r="I77" s="112">
        <f t="shared" si="14"/>
        <v>0</v>
      </c>
      <c r="J77" s="115"/>
      <c r="K77" s="143">
        <f t="shared" si="23"/>
        <v>0</v>
      </c>
      <c r="L77" s="115"/>
      <c r="M77" s="143">
        <f t="shared" si="24"/>
        <v>0</v>
      </c>
      <c r="N77" s="115"/>
      <c r="O77" s="143">
        <f t="shared" si="25"/>
        <v>0</v>
      </c>
      <c r="P77" s="115"/>
      <c r="Q77" s="112">
        <f t="shared" si="26"/>
        <v>0</v>
      </c>
      <c r="R77" s="115"/>
      <c r="S77" s="143">
        <f t="shared" si="27"/>
        <v>0</v>
      </c>
      <c r="T77" s="115"/>
      <c r="U77" s="143">
        <f t="shared" si="15"/>
        <v>0</v>
      </c>
      <c r="V77" s="115"/>
      <c r="W77" s="112">
        <f t="shared" si="16"/>
        <v>0</v>
      </c>
      <c r="X77" s="115"/>
      <c r="Y77" s="112">
        <f t="shared" si="17"/>
        <v>0</v>
      </c>
      <c r="Z77" s="115"/>
      <c r="AA77" s="112">
        <f t="shared" si="18"/>
        <v>0</v>
      </c>
      <c r="AB77" s="115"/>
      <c r="AC77" s="112">
        <f t="shared" si="19"/>
        <v>0</v>
      </c>
      <c r="AD77" s="113">
        <f t="shared" si="21"/>
        <v>0</v>
      </c>
      <c r="AE77" s="114">
        <f t="shared" si="20"/>
        <v>0</v>
      </c>
    </row>
    <row r="78" spans="1:31" ht="20.100000000000001" customHeight="1">
      <c r="A78" s="2">
        <v>63</v>
      </c>
      <c r="B78" s="2" t="s">
        <v>69</v>
      </c>
      <c r="C78" s="2" t="s">
        <v>14</v>
      </c>
      <c r="D78" s="2">
        <v>0.64</v>
      </c>
      <c r="E78" s="2" t="s">
        <v>24</v>
      </c>
      <c r="F78" s="115"/>
      <c r="G78" s="112">
        <f t="shared" si="22"/>
        <v>0</v>
      </c>
      <c r="H78" s="115"/>
      <c r="I78" s="112">
        <f t="shared" si="14"/>
        <v>0</v>
      </c>
      <c r="J78" s="115"/>
      <c r="K78" s="143">
        <f t="shared" si="23"/>
        <v>0</v>
      </c>
      <c r="L78" s="115"/>
      <c r="M78" s="143">
        <f t="shared" si="24"/>
        <v>0</v>
      </c>
      <c r="N78" s="115"/>
      <c r="O78" s="143">
        <f t="shared" si="25"/>
        <v>0</v>
      </c>
      <c r="P78" s="115"/>
      <c r="Q78" s="112">
        <f t="shared" si="26"/>
        <v>0</v>
      </c>
      <c r="R78" s="115"/>
      <c r="S78" s="143">
        <f t="shared" si="27"/>
        <v>0</v>
      </c>
      <c r="T78" s="115"/>
      <c r="U78" s="143">
        <f t="shared" si="15"/>
        <v>0</v>
      </c>
      <c r="V78" s="115"/>
      <c r="W78" s="112">
        <f t="shared" si="16"/>
        <v>0</v>
      </c>
      <c r="X78" s="115"/>
      <c r="Y78" s="112">
        <f t="shared" si="17"/>
        <v>0</v>
      </c>
      <c r="Z78" s="115"/>
      <c r="AA78" s="112">
        <f t="shared" si="18"/>
        <v>0</v>
      </c>
      <c r="AB78" s="115"/>
      <c r="AC78" s="112">
        <f t="shared" si="19"/>
        <v>0</v>
      </c>
      <c r="AD78" s="113">
        <f t="shared" si="21"/>
        <v>0</v>
      </c>
      <c r="AE78" s="114">
        <f t="shared" si="20"/>
        <v>0</v>
      </c>
    </row>
    <row r="79" spans="1:31" ht="20.100000000000001" customHeight="1">
      <c r="A79" s="2"/>
      <c r="B79" s="2"/>
      <c r="C79" s="2"/>
      <c r="D79" s="2"/>
      <c r="E79" s="2"/>
      <c r="F79" s="115"/>
      <c r="G79" s="112">
        <f t="shared" si="22"/>
        <v>0</v>
      </c>
      <c r="H79" s="115"/>
      <c r="I79" s="112">
        <f t="shared" si="14"/>
        <v>0</v>
      </c>
      <c r="J79" s="115"/>
      <c r="K79" s="143">
        <f t="shared" si="23"/>
        <v>0</v>
      </c>
      <c r="L79" s="115"/>
      <c r="M79" s="143">
        <f t="shared" si="24"/>
        <v>0</v>
      </c>
      <c r="N79" s="115"/>
      <c r="O79" s="143">
        <f t="shared" si="25"/>
        <v>0</v>
      </c>
      <c r="P79" s="115"/>
      <c r="Q79" s="112">
        <f t="shared" si="26"/>
        <v>0</v>
      </c>
      <c r="R79" s="115"/>
      <c r="S79" s="143">
        <f t="shared" si="27"/>
        <v>0</v>
      </c>
      <c r="T79" s="115"/>
      <c r="U79" s="143">
        <f t="shared" si="15"/>
        <v>0</v>
      </c>
      <c r="V79" s="115"/>
      <c r="W79" s="112">
        <f t="shared" si="16"/>
        <v>0</v>
      </c>
      <c r="X79" s="115"/>
      <c r="Y79" s="112">
        <f t="shared" si="17"/>
        <v>0</v>
      </c>
      <c r="Z79" s="115"/>
      <c r="AA79" s="112">
        <f t="shared" si="18"/>
        <v>0</v>
      </c>
      <c r="AB79" s="115"/>
      <c r="AC79" s="112">
        <f t="shared" si="19"/>
        <v>0</v>
      </c>
      <c r="AD79" s="113">
        <f t="shared" si="21"/>
        <v>0</v>
      </c>
      <c r="AE79" s="114">
        <f t="shared" si="20"/>
        <v>0</v>
      </c>
    </row>
    <row r="80" spans="1:31" ht="20.100000000000001" customHeight="1">
      <c r="A80" s="2">
        <v>64</v>
      </c>
      <c r="B80" s="2" t="s">
        <v>70</v>
      </c>
      <c r="C80" s="2" t="s">
        <v>14</v>
      </c>
      <c r="D80" s="2">
        <v>0.64</v>
      </c>
      <c r="E80" s="2" t="s">
        <v>24</v>
      </c>
      <c r="F80" s="115"/>
      <c r="G80" s="112">
        <f t="shared" si="22"/>
        <v>0</v>
      </c>
      <c r="H80" s="115"/>
      <c r="I80" s="112">
        <f t="shared" si="14"/>
        <v>0</v>
      </c>
      <c r="J80" s="115"/>
      <c r="K80" s="143">
        <f t="shared" si="23"/>
        <v>0</v>
      </c>
      <c r="L80" s="115"/>
      <c r="M80" s="143">
        <f t="shared" si="24"/>
        <v>0</v>
      </c>
      <c r="N80" s="115"/>
      <c r="O80" s="143">
        <f t="shared" si="25"/>
        <v>0</v>
      </c>
      <c r="P80" s="115"/>
      <c r="Q80" s="112">
        <f t="shared" si="26"/>
        <v>0</v>
      </c>
      <c r="R80" s="115"/>
      <c r="S80" s="143">
        <f t="shared" si="27"/>
        <v>0</v>
      </c>
      <c r="T80" s="115"/>
      <c r="U80" s="143">
        <f t="shared" si="15"/>
        <v>0</v>
      </c>
      <c r="V80" s="115"/>
      <c r="W80" s="112">
        <f t="shared" si="16"/>
        <v>0</v>
      </c>
      <c r="X80" s="115"/>
      <c r="Y80" s="112">
        <f t="shared" si="17"/>
        <v>0</v>
      </c>
      <c r="Z80" s="115"/>
      <c r="AA80" s="112">
        <f t="shared" si="18"/>
        <v>0</v>
      </c>
      <c r="AB80" s="115"/>
      <c r="AC80" s="112">
        <f t="shared" si="19"/>
        <v>0</v>
      </c>
      <c r="AD80" s="113">
        <f t="shared" si="21"/>
        <v>0</v>
      </c>
      <c r="AE80" s="114">
        <f t="shared" si="20"/>
        <v>0</v>
      </c>
    </row>
    <row r="81" spans="1:31" ht="20.100000000000001" customHeight="1">
      <c r="A81" s="2">
        <v>65</v>
      </c>
      <c r="B81" s="2" t="s">
        <v>71</v>
      </c>
      <c r="C81" s="2" t="s">
        <v>14</v>
      </c>
      <c r="D81" s="2">
        <v>0.64</v>
      </c>
      <c r="E81" s="2" t="s">
        <v>15</v>
      </c>
      <c r="F81" s="115"/>
      <c r="G81" s="112">
        <f t="shared" si="22"/>
        <v>0</v>
      </c>
      <c r="H81" s="115"/>
      <c r="I81" s="112">
        <f t="shared" si="14"/>
        <v>0</v>
      </c>
      <c r="J81" s="115"/>
      <c r="K81" s="143">
        <f t="shared" si="23"/>
        <v>0</v>
      </c>
      <c r="L81" s="115"/>
      <c r="M81" s="143">
        <f t="shared" si="24"/>
        <v>0</v>
      </c>
      <c r="N81" s="115"/>
      <c r="O81" s="143">
        <f t="shared" si="25"/>
        <v>0</v>
      </c>
      <c r="P81" s="115"/>
      <c r="Q81" s="112">
        <f t="shared" si="26"/>
        <v>0</v>
      </c>
      <c r="R81" s="115"/>
      <c r="S81" s="143">
        <f t="shared" si="27"/>
        <v>0</v>
      </c>
      <c r="T81" s="115"/>
      <c r="U81" s="143">
        <f t="shared" si="15"/>
        <v>0</v>
      </c>
      <c r="V81" s="115"/>
      <c r="W81" s="112">
        <f t="shared" si="16"/>
        <v>0</v>
      </c>
      <c r="X81" s="115"/>
      <c r="Y81" s="112">
        <f t="shared" si="17"/>
        <v>0</v>
      </c>
      <c r="Z81" s="115"/>
      <c r="AA81" s="112">
        <f t="shared" si="18"/>
        <v>0</v>
      </c>
      <c r="AB81" s="115"/>
      <c r="AC81" s="112">
        <f t="shared" si="19"/>
        <v>0</v>
      </c>
      <c r="AD81" s="113">
        <f t="shared" si="21"/>
        <v>0</v>
      </c>
      <c r="AE81" s="114">
        <f t="shared" si="20"/>
        <v>0</v>
      </c>
    </row>
    <row r="82" spans="1:31" ht="20.100000000000001" customHeight="1">
      <c r="A82" s="2"/>
      <c r="B82" s="2"/>
      <c r="C82" s="2"/>
      <c r="D82" s="2"/>
      <c r="E82" s="2"/>
      <c r="F82" s="115"/>
      <c r="G82" s="112">
        <f t="shared" si="22"/>
        <v>0</v>
      </c>
      <c r="H82" s="115"/>
      <c r="I82" s="112">
        <f t="shared" si="14"/>
        <v>0</v>
      </c>
      <c r="J82" s="115"/>
      <c r="K82" s="143">
        <f t="shared" si="23"/>
        <v>0</v>
      </c>
      <c r="L82" s="115"/>
      <c r="M82" s="143">
        <f t="shared" si="24"/>
        <v>0</v>
      </c>
      <c r="N82" s="115"/>
      <c r="O82" s="143">
        <f t="shared" si="25"/>
        <v>0</v>
      </c>
      <c r="P82" s="115"/>
      <c r="Q82" s="112">
        <f t="shared" si="26"/>
        <v>0</v>
      </c>
      <c r="R82" s="115"/>
      <c r="S82" s="143">
        <f t="shared" si="27"/>
        <v>0</v>
      </c>
      <c r="T82" s="115"/>
      <c r="U82" s="143">
        <f t="shared" si="15"/>
        <v>0</v>
      </c>
      <c r="V82" s="115"/>
      <c r="W82" s="112">
        <f t="shared" si="16"/>
        <v>0</v>
      </c>
      <c r="X82" s="115"/>
      <c r="Y82" s="112">
        <f t="shared" si="17"/>
        <v>0</v>
      </c>
      <c r="Z82" s="115"/>
      <c r="AA82" s="112">
        <f t="shared" si="18"/>
        <v>0</v>
      </c>
      <c r="AB82" s="115"/>
      <c r="AC82" s="112">
        <f t="shared" si="19"/>
        <v>0</v>
      </c>
      <c r="AD82" s="113">
        <f t="shared" si="21"/>
        <v>0</v>
      </c>
      <c r="AE82" s="114">
        <f t="shared" si="20"/>
        <v>0</v>
      </c>
    </row>
    <row r="83" spans="1:31" ht="20.100000000000001" customHeight="1">
      <c r="A83" s="2">
        <v>66</v>
      </c>
      <c r="B83" s="2" t="s">
        <v>72</v>
      </c>
      <c r="C83" s="2" t="s">
        <v>17</v>
      </c>
      <c r="D83" s="2">
        <v>1</v>
      </c>
      <c r="E83" s="2" t="s">
        <v>24</v>
      </c>
      <c r="F83" s="115"/>
      <c r="G83" s="112">
        <f t="shared" si="22"/>
        <v>0</v>
      </c>
      <c r="H83" s="115"/>
      <c r="I83" s="112">
        <f t="shared" si="14"/>
        <v>0</v>
      </c>
      <c r="J83" s="115"/>
      <c r="K83" s="143">
        <f t="shared" si="23"/>
        <v>0</v>
      </c>
      <c r="L83" s="115"/>
      <c r="M83" s="143">
        <f t="shared" si="24"/>
        <v>0</v>
      </c>
      <c r="N83" s="115"/>
      <c r="O83" s="143">
        <f t="shared" si="25"/>
        <v>0</v>
      </c>
      <c r="P83" s="115"/>
      <c r="Q83" s="112">
        <f t="shared" si="26"/>
        <v>0</v>
      </c>
      <c r="R83" s="115"/>
      <c r="S83" s="143">
        <f t="shared" si="27"/>
        <v>0</v>
      </c>
      <c r="T83" s="115"/>
      <c r="U83" s="143">
        <f t="shared" si="15"/>
        <v>0</v>
      </c>
      <c r="V83" s="115"/>
      <c r="W83" s="112">
        <f t="shared" si="16"/>
        <v>0</v>
      </c>
      <c r="X83" s="115"/>
      <c r="Y83" s="112">
        <f t="shared" si="17"/>
        <v>0</v>
      </c>
      <c r="Z83" s="115"/>
      <c r="AA83" s="112">
        <f t="shared" si="18"/>
        <v>0</v>
      </c>
      <c r="AB83" s="115"/>
      <c r="AC83" s="112">
        <f t="shared" si="19"/>
        <v>0</v>
      </c>
      <c r="AD83" s="113">
        <f t="shared" si="21"/>
        <v>0</v>
      </c>
      <c r="AE83" s="114">
        <f t="shared" si="20"/>
        <v>0</v>
      </c>
    </row>
    <row r="84" spans="1:31" ht="20.100000000000001" customHeight="1">
      <c r="A84" s="2">
        <v>67</v>
      </c>
      <c r="B84" s="2" t="s">
        <v>73</v>
      </c>
      <c r="C84" s="2" t="s">
        <v>17</v>
      </c>
      <c r="D84" s="2">
        <v>1</v>
      </c>
      <c r="E84" s="2" t="s">
        <v>24</v>
      </c>
      <c r="F84" s="115"/>
      <c r="G84" s="112">
        <f t="shared" si="22"/>
        <v>0</v>
      </c>
      <c r="H84" s="115"/>
      <c r="I84" s="112">
        <f t="shared" si="14"/>
        <v>0</v>
      </c>
      <c r="J84" s="115"/>
      <c r="K84" s="143">
        <f t="shared" si="23"/>
        <v>0</v>
      </c>
      <c r="L84" s="115"/>
      <c r="M84" s="143">
        <f t="shared" si="24"/>
        <v>0</v>
      </c>
      <c r="N84" s="115"/>
      <c r="O84" s="143">
        <f t="shared" si="25"/>
        <v>0</v>
      </c>
      <c r="P84" s="115"/>
      <c r="Q84" s="112">
        <f t="shared" si="26"/>
        <v>0</v>
      </c>
      <c r="R84" s="115"/>
      <c r="S84" s="143">
        <f t="shared" si="27"/>
        <v>0</v>
      </c>
      <c r="T84" s="115"/>
      <c r="U84" s="143">
        <f t="shared" si="15"/>
        <v>0</v>
      </c>
      <c r="V84" s="115"/>
      <c r="W84" s="112">
        <f t="shared" si="16"/>
        <v>0</v>
      </c>
      <c r="X84" s="115"/>
      <c r="Y84" s="112">
        <f t="shared" si="17"/>
        <v>0</v>
      </c>
      <c r="Z84" s="115"/>
      <c r="AA84" s="112">
        <f t="shared" si="18"/>
        <v>0</v>
      </c>
      <c r="AB84" s="115"/>
      <c r="AC84" s="112">
        <f t="shared" si="19"/>
        <v>0</v>
      </c>
      <c r="AD84" s="113">
        <f t="shared" si="21"/>
        <v>0</v>
      </c>
      <c r="AE84" s="114">
        <f t="shared" si="20"/>
        <v>0</v>
      </c>
    </row>
    <row r="85" spans="1:31" ht="20.100000000000001" customHeight="1">
      <c r="A85" s="2">
        <v>68</v>
      </c>
      <c r="B85" s="2" t="s">
        <v>74</v>
      </c>
      <c r="C85" s="2" t="s">
        <v>17</v>
      </c>
      <c r="D85" s="2">
        <v>1</v>
      </c>
      <c r="E85" s="2" t="s">
        <v>15</v>
      </c>
      <c r="F85" s="115"/>
      <c r="G85" s="112">
        <f t="shared" si="22"/>
        <v>0</v>
      </c>
      <c r="H85" s="115"/>
      <c r="I85" s="112">
        <f t="shared" si="14"/>
        <v>0</v>
      </c>
      <c r="J85" s="115"/>
      <c r="K85" s="143">
        <f t="shared" si="23"/>
        <v>0</v>
      </c>
      <c r="L85" s="115"/>
      <c r="M85" s="143">
        <f t="shared" si="24"/>
        <v>0</v>
      </c>
      <c r="N85" s="115"/>
      <c r="O85" s="143">
        <f t="shared" si="25"/>
        <v>0</v>
      </c>
      <c r="P85" s="115"/>
      <c r="Q85" s="112">
        <f t="shared" si="26"/>
        <v>0</v>
      </c>
      <c r="R85" s="115"/>
      <c r="S85" s="143">
        <f t="shared" si="27"/>
        <v>0</v>
      </c>
      <c r="T85" s="115"/>
      <c r="U85" s="143">
        <f t="shared" si="15"/>
        <v>0</v>
      </c>
      <c r="V85" s="115"/>
      <c r="W85" s="112">
        <f t="shared" si="16"/>
        <v>0</v>
      </c>
      <c r="X85" s="115"/>
      <c r="Y85" s="112">
        <f t="shared" si="17"/>
        <v>0</v>
      </c>
      <c r="Z85" s="115"/>
      <c r="AA85" s="112">
        <f t="shared" si="18"/>
        <v>0</v>
      </c>
      <c r="AB85" s="115"/>
      <c r="AC85" s="112">
        <f t="shared" si="19"/>
        <v>0</v>
      </c>
      <c r="AD85" s="113">
        <f t="shared" si="21"/>
        <v>0</v>
      </c>
      <c r="AE85" s="114">
        <f t="shared" si="20"/>
        <v>0</v>
      </c>
    </row>
    <row r="86" spans="1:31" ht="20.100000000000001" customHeight="1">
      <c r="A86" s="2">
        <v>69</v>
      </c>
      <c r="B86" s="2" t="s">
        <v>75</v>
      </c>
      <c r="C86" s="2" t="s">
        <v>17</v>
      </c>
      <c r="D86" s="2">
        <v>0.6</v>
      </c>
      <c r="E86" s="2" t="s">
        <v>24</v>
      </c>
      <c r="F86" s="115"/>
      <c r="G86" s="112">
        <f t="shared" si="22"/>
        <v>0</v>
      </c>
      <c r="H86" s="115"/>
      <c r="I86" s="112">
        <f t="shared" si="14"/>
        <v>0</v>
      </c>
      <c r="J86" s="115"/>
      <c r="K86" s="143">
        <f t="shared" si="23"/>
        <v>0</v>
      </c>
      <c r="L86" s="115"/>
      <c r="M86" s="143">
        <f t="shared" si="24"/>
        <v>0</v>
      </c>
      <c r="N86" s="115"/>
      <c r="O86" s="143">
        <f t="shared" si="25"/>
        <v>0</v>
      </c>
      <c r="P86" s="115"/>
      <c r="Q86" s="112">
        <f t="shared" si="26"/>
        <v>0</v>
      </c>
      <c r="R86" s="115"/>
      <c r="S86" s="143">
        <f t="shared" si="27"/>
        <v>0</v>
      </c>
      <c r="T86" s="115"/>
      <c r="U86" s="143">
        <f t="shared" si="15"/>
        <v>0</v>
      </c>
      <c r="V86" s="115"/>
      <c r="W86" s="112">
        <f t="shared" si="16"/>
        <v>0</v>
      </c>
      <c r="X86" s="115"/>
      <c r="Y86" s="112">
        <f t="shared" si="17"/>
        <v>0</v>
      </c>
      <c r="Z86" s="115"/>
      <c r="AA86" s="112">
        <f t="shared" si="18"/>
        <v>0</v>
      </c>
      <c r="AB86" s="115"/>
      <c r="AC86" s="112">
        <f t="shared" si="19"/>
        <v>0</v>
      </c>
      <c r="AD86" s="113">
        <f t="shared" si="21"/>
        <v>0</v>
      </c>
      <c r="AE86" s="114">
        <f t="shared" si="20"/>
        <v>0</v>
      </c>
    </row>
    <row r="87" spans="1:31" ht="20.100000000000001" customHeight="1">
      <c r="A87" s="2">
        <v>70</v>
      </c>
      <c r="B87" s="2" t="s">
        <v>76</v>
      </c>
      <c r="C87" s="2" t="s">
        <v>14</v>
      </c>
      <c r="D87" s="2">
        <v>0.64</v>
      </c>
      <c r="E87" s="2" t="s">
        <v>25</v>
      </c>
      <c r="F87" s="115"/>
      <c r="G87" s="112">
        <f t="shared" si="22"/>
        <v>0</v>
      </c>
      <c r="H87" s="115"/>
      <c r="I87" s="112">
        <f t="shared" si="14"/>
        <v>0</v>
      </c>
      <c r="J87" s="115"/>
      <c r="K87" s="143">
        <f t="shared" si="23"/>
        <v>0</v>
      </c>
      <c r="L87" s="115"/>
      <c r="M87" s="143">
        <f t="shared" si="24"/>
        <v>0</v>
      </c>
      <c r="N87" s="115"/>
      <c r="O87" s="143">
        <f t="shared" si="25"/>
        <v>0</v>
      </c>
      <c r="P87" s="115"/>
      <c r="Q87" s="112">
        <f t="shared" si="26"/>
        <v>0</v>
      </c>
      <c r="R87" s="115"/>
      <c r="S87" s="143">
        <f t="shared" si="27"/>
        <v>0</v>
      </c>
      <c r="T87" s="115"/>
      <c r="U87" s="143">
        <f t="shared" si="15"/>
        <v>0</v>
      </c>
      <c r="V87" s="115"/>
      <c r="W87" s="112">
        <f t="shared" si="16"/>
        <v>0</v>
      </c>
      <c r="X87" s="115"/>
      <c r="Y87" s="112">
        <f t="shared" si="17"/>
        <v>0</v>
      </c>
      <c r="Z87" s="115"/>
      <c r="AA87" s="112">
        <f t="shared" si="18"/>
        <v>0</v>
      </c>
      <c r="AB87" s="115"/>
      <c r="AC87" s="112">
        <f t="shared" si="19"/>
        <v>0</v>
      </c>
      <c r="AD87" s="113">
        <f t="shared" si="21"/>
        <v>0</v>
      </c>
      <c r="AE87" s="114">
        <f t="shared" si="20"/>
        <v>0</v>
      </c>
    </row>
    <row r="88" spans="1:31" ht="20.100000000000001" customHeight="1">
      <c r="A88" s="2"/>
      <c r="B88" s="2"/>
      <c r="C88" s="2"/>
      <c r="D88" s="2"/>
      <c r="E88" s="2"/>
      <c r="F88" s="115"/>
      <c r="G88" s="112">
        <f t="shared" si="22"/>
        <v>0</v>
      </c>
      <c r="H88" s="115"/>
      <c r="I88" s="112">
        <f t="shared" si="14"/>
        <v>0</v>
      </c>
      <c r="J88" s="115"/>
      <c r="K88" s="143">
        <f t="shared" si="23"/>
        <v>0</v>
      </c>
      <c r="L88" s="115"/>
      <c r="M88" s="143">
        <f t="shared" si="24"/>
        <v>0</v>
      </c>
      <c r="N88" s="115"/>
      <c r="O88" s="143">
        <f t="shared" si="25"/>
        <v>0</v>
      </c>
      <c r="P88" s="115"/>
      <c r="Q88" s="112">
        <f t="shared" si="26"/>
        <v>0</v>
      </c>
      <c r="R88" s="115"/>
      <c r="S88" s="143">
        <f t="shared" si="27"/>
        <v>0</v>
      </c>
      <c r="T88" s="115"/>
      <c r="U88" s="143">
        <f t="shared" si="15"/>
        <v>0</v>
      </c>
      <c r="V88" s="115"/>
      <c r="W88" s="112">
        <f t="shared" si="16"/>
        <v>0</v>
      </c>
      <c r="X88" s="115"/>
      <c r="Y88" s="112">
        <f t="shared" si="17"/>
        <v>0</v>
      </c>
      <c r="Z88" s="115"/>
      <c r="AA88" s="112">
        <f t="shared" si="18"/>
        <v>0</v>
      </c>
      <c r="AB88" s="115"/>
      <c r="AC88" s="112">
        <f t="shared" si="19"/>
        <v>0</v>
      </c>
      <c r="AD88" s="113">
        <f t="shared" si="21"/>
        <v>0</v>
      </c>
      <c r="AE88" s="114">
        <f t="shared" si="20"/>
        <v>0</v>
      </c>
    </row>
    <row r="89" spans="1:31" ht="20.100000000000001" customHeight="1">
      <c r="A89" s="2">
        <v>71</v>
      </c>
      <c r="B89" s="2" t="s">
        <v>77</v>
      </c>
      <c r="C89" s="2" t="s">
        <v>17</v>
      </c>
      <c r="D89" s="2">
        <v>1</v>
      </c>
      <c r="E89" s="2" t="s">
        <v>24</v>
      </c>
      <c r="F89" s="115"/>
      <c r="G89" s="112">
        <f t="shared" si="22"/>
        <v>0</v>
      </c>
      <c r="H89" s="115"/>
      <c r="I89" s="112">
        <f t="shared" si="14"/>
        <v>0</v>
      </c>
      <c r="J89" s="115"/>
      <c r="K89" s="143">
        <f t="shared" si="23"/>
        <v>0</v>
      </c>
      <c r="L89" s="115"/>
      <c r="M89" s="143">
        <f t="shared" si="24"/>
        <v>0</v>
      </c>
      <c r="N89" s="115"/>
      <c r="O89" s="143">
        <f t="shared" si="25"/>
        <v>0</v>
      </c>
      <c r="P89" s="115"/>
      <c r="Q89" s="112">
        <f t="shared" si="26"/>
        <v>0</v>
      </c>
      <c r="R89" s="115"/>
      <c r="S89" s="143">
        <f t="shared" si="27"/>
        <v>0</v>
      </c>
      <c r="T89" s="115"/>
      <c r="U89" s="143">
        <f t="shared" si="15"/>
        <v>0</v>
      </c>
      <c r="V89" s="115"/>
      <c r="W89" s="112">
        <f t="shared" si="16"/>
        <v>0</v>
      </c>
      <c r="X89" s="115"/>
      <c r="Y89" s="112">
        <f t="shared" si="17"/>
        <v>0</v>
      </c>
      <c r="Z89" s="115"/>
      <c r="AA89" s="112">
        <f t="shared" si="18"/>
        <v>0</v>
      </c>
      <c r="AB89" s="115"/>
      <c r="AC89" s="112">
        <f t="shared" si="19"/>
        <v>0</v>
      </c>
      <c r="AD89" s="113">
        <f t="shared" si="21"/>
        <v>0</v>
      </c>
      <c r="AE89" s="114">
        <f t="shared" si="20"/>
        <v>0</v>
      </c>
    </row>
    <row r="90" spans="1:31" ht="20.100000000000001" customHeight="1">
      <c r="A90" s="2">
        <v>72</v>
      </c>
      <c r="B90" s="2" t="s">
        <v>77</v>
      </c>
      <c r="C90" s="2" t="s">
        <v>17</v>
      </c>
      <c r="D90" s="2">
        <v>1</v>
      </c>
      <c r="E90" s="2" t="s">
        <v>15</v>
      </c>
      <c r="F90" s="115"/>
      <c r="G90" s="112">
        <f t="shared" si="22"/>
        <v>0</v>
      </c>
      <c r="H90" s="115"/>
      <c r="I90" s="112">
        <f t="shared" si="14"/>
        <v>0</v>
      </c>
      <c r="J90" s="115"/>
      <c r="K90" s="143">
        <f t="shared" si="23"/>
        <v>0</v>
      </c>
      <c r="L90" s="115"/>
      <c r="M90" s="143">
        <f t="shared" si="24"/>
        <v>0</v>
      </c>
      <c r="N90" s="115"/>
      <c r="O90" s="143">
        <f t="shared" si="25"/>
        <v>0</v>
      </c>
      <c r="P90" s="115"/>
      <c r="Q90" s="112">
        <f t="shared" si="26"/>
        <v>0</v>
      </c>
      <c r="R90" s="115"/>
      <c r="S90" s="143">
        <f t="shared" si="27"/>
        <v>0</v>
      </c>
      <c r="T90" s="115"/>
      <c r="U90" s="143">
        <f t="shared" si="15"/>
        <v>0</v>
      </c>
      <c r="V90" s="115"/>
      <c r="W90" s="112">
        <f t="shared" si="16"/>
        <v>0</v>
      </c>
      <c r="X90" s="115"/>
      <c r="Y90" s="112">
        <f t="shared" si="17"/>
        <v>0</v>
      </c>
      <c r="Z90" s="115"/>
      <c r="AA90" s="112">
        <f t="shared" si="18"/>
        <v>0</v>
      </c>
      <c r="AB90" s="115"/>
      <c r="AC90" s="112">
        <f t="shared" si="19"/>
        <v>0</v>
      </c>
      <c r="AD90" s="113">
        <f t="shared" si="21"/>
        <v>0</v>
      </c>
      <c r="AE90" s="114">
        <f t="shared" si="20"/>
        <v>0</v>
      </c>
    </row>
    <row r="91" spans="1:31" ht="20.100000000000001" customHeight="1">
      <c r="A91" s="2">
        <v>73</v>
      </c>
      <c r="B91" s="2" t="s">
        <v>78</v>
      </c>
      <c r="C91" s="2" t="s">
        <v>17</v>
      </c>
      <c r="D91" s="2">
        <v>0.6</v>
      </c>
      <c r="E91" s="2" t="s">
        <v>24</v>
      </c>
      <c r="F91" s="115"/>
      <c r="G91" s="112">
        <f t="shared" si="22"/>
        <v>0</v>
      </c>
      <c r="H91" s="115"/>
      <c r="I91" s="112">
        <f t="shared" si="14"/>
        <v>0</v>
      </c>
      <c r="J91" s="115"/>
      <c r="K91" s="143">
        <f t="shared" si="23"/>
        <v>0</v>
      </c>
      <c r="L91" s="115"/>
      <c r="M91" s="143">
        <f t="shared" si="24"/>
        <v>0</v>
      </c>
      <c r="N91" s="115"/>
      <c r="O91" s="143">
        <f t="shared" si="25"/>
        <v>0</v>
      </c>
      <c r="P91" s="115"/>
      <c r="Q91" s="112">
        <f t="shared" si="26"/>
        <v>0</v>
      </c>
      <c r="R91" s="115"/>
      <c r="S91" s="143">
        <f t="shared" si="27"/>
        <v>0</v>
      </c>
      <c r="T91" s="115"/>
      <c r="U91" s="143">
        <f t="shared" si="15"/>
        <v>0</v>
      </c>
      <c r="V91" s="115"/>
      <c r="W91" s="112">
        <f t="shared" si="16"/>
        <v>0</v>
      </c>
      <c r="X91" s="115"/>
      <c r="Y91" s="112">
        <f t="shared" si="17"/>
        <v>0</v>
      </c>
      <c r="Z91" s="115"/>
      <c r="AA91" s="112">
        <f t="shared" si="18"/>
        <v>0</v>
      </c>
      <c r="AB91" s="115"/>
      <c r="AC91" s="112">
        <f t="shared" si="19"/>
        <v>0</v>
      </c>
      <c r="AD91" s="113">
        <f t="shared" si="21"/>
        <v>0</v>
      </c>
      <c r="AE91" s="114">
        <f t="shared" si="20"/>
        <v>0</v>
      </c>
    </row>
    <row r="92" spans="1:31" ht="20.100000000000001" customHeight="1">
      <c r="A92" s="2">
        <v>74</v>
      </c>
      <c r="B92" s="2" t="s">
        <v>79</v>
      </c>
      <c r="C92" s="2" t="s">
        <v>14</v>
      </c>
      <c r="D92" s="2">
        <v>0.64</v>
      </c>
      <c r="E92" s="2" t="s">
        <v>25</v>
      </c>
      <c r="F92" s="115"/>
      <c r="G92" s="112">
        <f t="shared" si="22"/>
        <v>0</v>
      </c>
      <c r="H92" s="115"/>
      <c r="I92" s="112">
        <f t="shared" si="14"/>
        <v>0</v>
      </c>
      <c r="J92" s="115"/>
      <c r="K92" s="143">
        <f t="shared" si="23"/>
        <v>0</v>
      </c>
      <c r="L92" s="115"/>
      <c r="M92" s="143">
        <f t="shared" si="24"/>
        <v>0</v>
      </c>
      <c r="N92" s="115"/>
      <c r="O92" s="143">
        <f t="shared" si="25"/>
        <v>0</v>
      </c>
      <c r="P92" s="115"/>
      <c r="Q92" s="112">
        <f t="shared" si="26"/>
        <v>0</v>
      </c>
      <c r="R92" s="115"/>
      <c r="S92" s="143">
        <f t="shared" si="27"/>
        <v>0</v>
      </c>
      <c r="T92" s="115"/>
      <c r="U92" s="143">
        <f t="shared" si="15"/>
        <v>0</v>
      </c>
      <c r="V92" s="115"/>
      <c r="W92" s="112">
        <f t="shared" si="16"/>
        <v>0</v>
      </c>
      <c r="X92" s="115"/>
      <c r="Y92" s="112">
        <f t="shared" si="17"/>
        <v>0</v>
      </c>
      <c r="Z92" s="115"/>
      <c r="AA92" s="112">
        <f t="shared" si="18"/>
        <v>0</v>
      </c>
      <c r="AB92" s="115"/>
      <c r="AC92" s="112">
        <f t="shared" si="19"/>
        <v>0</v>
      </c>
      <c r="AD92" s="113">
        <f t="shared" si="21"/>
        <v>0</v>
      </c>
      <c r="AE92" s="114">
        <f t="shared" si="20"/>
        <v>0</v>
      </c>
    </row>
    <row r="93" spans="1:31" ht="20.100000000000001" customHeight="1">
      <c r="A93" s="2"/>
      <c r="B93" s="2"/>
      <c r="C93" s="2"/>
      <c r="D93" s="2"/>
      <c r="E93" s="2"/>
      <c r="F93" s="115"/>
      <c r="G93" s="112">
        <f t="shared" si="22"/>
        <v>0</v>
      </c>
      <c r="H93" s="115"/>
      <c r="I93" s="112">
        <f t="shared" si="14"/>
        <v>0</v>
      </c>
      <c r="J93" s="115"/>
      <c r="K93" s="143">
        <f t="shared" si="23"/>
        <v>0</v>
      </c>
      <c r="L93" s="115"/>
      <c r="M93" s="143">
        <f t="shared" si="24"/>
        <v>0</v>
      </c>
      <c r="N93" s="115"/>
      <c r="O93" s="143">
        <f t="shared" si="25"/>
        <v>0</v>
      </c>
      <c r="P93" s="115"/>
      <c r="Q93" s="112">
        <f t="shared" si="26"/>
        <v>0</v>
      </c>
      <c r="R93" s="115"/>
      <c r="S93" s="112"/>
      <c r="T93" s="115"/>
      <c r="U93" s="143">
        <f t="shared" si="15"/>
        <v>0</v>
      </c>
      <c r="V93" s="115"/>
      <c r="W93" s="112"/>
      <c r="X93" s="115"/>
      <c r="Y93" s="112"/>
      <c r="Z93" s="115"/>
      <c r="AA93" s="112"/>
      <c r="AB93" s="115"/>
      <c r="AC93" s="112"/>
      <c r="AD93" s="113">
        <f t="shared" si="21"/>
        <v>0</v>
      </c>
      <c r="AE93" s="114"/>
    </row>
    <row r="94" spans="1:31" ht="20.100000000000001" customHeight="1">
      <c r="A94" s="2">
        <v>75</v>
      </c>
      <c r="B94" s="72" t="s">
        <v>80</v>
      </c>
      <c r="C94" s="2" t="s">
        <v>17</v>
      </c>
      <c r="D94" s="2">
        <v>0.75</v>
      </c>
      <c r="E94" s="2"/>
      <c r="F94" s="115"/>
      <c r="G94" s="112">
        <f t="shared" si="22"/>
        <v>0</v>
      </c>
      <c r="H94" s="115"/>
      <c r="I94" s="112">
        <f t="shared" si="14"/>
        <v>0</v>
      </c>
      <c r="J94" s="115"/>
      <c r="K94" s="143">
        <f t="shared" si="23"/>
        <v>0</v>
      </c>
      <c r="L94" s="115"/>
      <c r="M94" s="143">
        <f t="shared" si="24"/>
        <v>0</v>
      </c>
      <c r="N94" s="115"/>
      <c r="O94" s="143">
        <f t="shared" si="25"/>
        <v>0</v>
      </c>
      <c r="P94" s="115"/>
      <c r="Q94" s="112">
        <f t="shared" si="26"/>
        <v>0</v>
      </c>
      <c r="R94" s="115"/>
      <c r="S94" s="112"/>
      <c r="T94" s="115"/>
      <c r="U94" s="143">
        <f t="shared" si="15"/>
        <v>0</v>
      </c>
      <c r="V94" s="115"/>
      <c r="W94" s="112"/>
      <c r="X94" s="115"/>
      <c r="Y94" s="112"/>
      <c r="Z94" s="115"/>
      <c r="AA94" s="112"/>
      <c r="AB94" s="115"/>
      <c r="AC94" s="112"/>
      <c r="AD94" s="113">
        <f t="shared" si="21"/>
        <v>0</v>
      </c>
      <c r="AE94" s="114"/>
    </row>
    <row r="95" spans="1:31" ht="20.100000000000001" customHeight="1">
      <c r="A95" s="2">
        <v>76</v>
      </c>
      <c r="B95" s="2" t="s">
        <v>80</v>
      </c>
      <c r="C95" s="2" t="s">
        <v>14</v>
      </c>
      <c r="D95" s="2">
        <v>0.6</v>
      </c>
      <c r="E95" s="9"/>
      <c r="F95" s="111"/>
      <c r="G95" s="112">
        <f t="shared" si="22"/>
        <v>0</v>
      </c>
      <c r="H95" s="111"/>
      <c r="I95" s="112">
        <f t="shared" si="14"/>
        <v>0</v>
      </c>
      <c r="J95" s="111"/>
      <c r="K95" s="143">
        <f t="shared" si="23"/>
        <v>0</v>
      </c>
      <c r="L95" s="111"/>
      <c r="M95" s="143">
        <f t="shared" si="24"/>
        <v>0</v>
      </c>
      <c r="N95" s="111"/>
      <c r="O95" s="143">
        <f t="shared" si="25"/>
        <v>0</v>
      </c>
      <c r="P95" s="111"/>
      <c r="Q95" s="112">
        <f t="shared" si="26"/>
        <v>0</v>
      </c>
      <c r="R95" s="111"/>
      <c r="S95" s="112"/>
      <c r="T95" s="111"/>
      <c r="U95" s="143">
        <f t="shared" si="15"/>
        <v>0</v>
      </c>
      <c r="V95" s="111"/>
      <c r="W95" s="112"/>
      <c r="X95" s="111"/>
      <c r="Y95" s="112"/>
      <c r="Z95" s="111"/>
      <c r="AA95" s="112"/>
      <c r="AB95" s="111"/>
      <c r="AC95" s="112">
        <f t="shared" ref="AC95" si="28">AB95*$E95</f>
        <v>0</v>
      </c>
      <c r="AD95" s="113">
        <f t="shared" si="21"/>
        <v>0</v>
      </c>
      <c r="AE95" s="114">
        <f t="shared" ref="AE95" si="29">AD95*$E95</f>
        <v>0</v>
      </c>
    </row>
    <row r="96" spans="1:31" ht="20.100000000000001" customHeight="1">
      <c r="A96" s="2">
        <v>77</v>
      </c>
      <c r="B96" s="71" t="s">
        <v>80</v>
      </c>
      <c r="C96" s="2" t="s">
        <v>14</v>
      </c>
      <c r="D96" s="2">
        <v>0.64</v>
      </c>
      <c r="E96" s="2" t="s">
        <v>24</v>
      </c>
      <c r="F96" s="115"/>
      <c r="G96" s="112">
        <f t="shared" si="22"/>
        <v>0</v>
      </c>
      <c r="H96" s="115"/>
      <c r="I96" s="112">
        <f t="shared" si="14"/>
        <v>0</v>
      </c>
      <c r="J96" s="115"/>
      <c r="K96" s="143">
        <f t="shared" si="23"/>
        <v>0</v>
      </c>
      <c r="L96" s="115">
        <v>5029</v>
      </c>
      <c r="M96" s="143">
        <f t="shared" si="24"/>
        <v>3218.56</v>
      </c>
      <c r="N96" s="115">
        <v>520</v>
      </c>
      <c r="O96" s="143">
        <f t="shared" si="25"/>
        <v>332.8</v>
      </c>
      <c r="P96" s="115">
        <v>192</v>
      </c>
      <c r="Q96" s="112">
        <f t="shared" si="26"/>
        <v>122.88</v>
      </c>
      <c r="R96" s="115">
        <v>192</v>
      </c>
      <c r="S96" s="143">
        <f>R96*$D96</f>
        <v>122.88</v>
      </c>
      <c r="T96" s="115">
        <v>72</v>
      </c>
      <c r="U96" s="143">
        <f t="shared" si="15"/>
        <v>46.08</v>
      </c>
      <c r="V96" s="115">
        <v>576</v>
      </c>
      <c r="W96" s="143">
        <f>V96*$D96</f>
        <v>368.64</v>
      </c>
      <c r="X96" s="115">
        <v>24</v>
      </c>
      <c r="Y96" s="143">
        <f>X96*$D96</f>
        <v>15.36</v>
      </c>
      <c r="Z96" s="115">
        <v>264</v>
      </c>
      <c r="AA96" s="143">
        <f>Z96*$D96</f>
        <v>168.96</v>
      </c>
      <c r="AB96" s="115">
        <v>120</v>
      </c>
      <c r="AC96" s="143">
        <f>AB96*$D96</f>
        <v>76.8</v>
      </c>
      <c r="AD96" s="113">
        <f>(AB96+Z96+X96+V96+T96+R96+P96+N96+L96+J96+H96+F96)</f>
        <v>6989</v>
      </c>
      <c r="AE96" s="144">
        <f>AD96*$D96</f>
        <v>4472.96</v>
      </c>
    </row>
    <row r="97" spans="1:31" ht="20.100000000000001" customHeight="1">
      <c r="A97" s="2"/>
      <c r="B97" s="71"/>
      <c r="C97" s="2"/>
      <c r="D97" s="2"/>
      <c r="E97" s="2"/>
      <c r="F97" s="111"/>
      <c r="G97" s="112">
        <f t="shared" si="22"/>
        <v>0</v>
      </c>
      <c r="H97" s="111"/>
      <c r="I97" s="112">
        <f t="shared" si="14"/>
        <v>0</v>
      </c>
      <c r="J97" s="111"/>
      <c r="K97" s="143">
        <f t="shared" si="23"/>
        <v>0</v>
      </c>
      <c r="L97" s="111"/>
      <c r="M97" s="143">
        <f t="shared" si="24"/>
        <v>0</v>
      </c>
      <c r="N97" s="111"/>
      <c r="O97" s="143">
        <f t="shared" si="25"/>
        <v>0</v>
      </c>
      <c r="P97" s="111"/>
      <c r="Q97" s="112">
        <f t="shared" si="26"/>
        <v>0</v>
      </c>
      <c r="R97" s="111"/>
      <c r="S97" s="143">
        <f t="shared" ref="S97:S100" si="30">R97*$D97</f>
        <v>0</v>
      </c>
      <c r="T97" s="111"/>
      <c r="U97" s="143">
        <f t="shared" si="15"/>
        <v>0</v>
      </c>
      <c r="V97" s="111"/>
      <c r="W97" s="143">
        <f t="shared" ref="W97:W98" si="31">V97*$D97</f>
        <v>0</v>
      </c>
      <c r="X97" s="111"/>
      <c r="Y97" s="143">
        <f t="shared" ref="Y97:Y98" si="32">X97*$D97</f>
        <v>0</v>
      </c>
      <c r="Z97" s="111"/>
      <c r="AA97" s="143">
        <f t="shared" ref="AA97:AA98" si="33">Z97*$D97</f>
        <v>0</v>
      </c>
      <c r="AB97" s="111"/>
      <c r="AC97" s="143">
        <f t="shared" ref="AC97:AC98" si="34">AB97*$D97</f>
        <v>0</v>
      </c>
      <c r="AD97" s="113">
        <f t="shared" si="21"/>
        <v>0</v>
      </c>
      <c r="AE97" s="144">
        <f>AD97*$D97</f>
        <v>0</v>
      </c>
    </row>
    <row r="98" spans="1:31" ht="20.100000000000001" customHeight="1">
      <c r="A98" s="2">
        <v>78</v>
      </c>
      <c r="B98" s="71" t="s">
        <v>81</v>
      </c>
      <c r="C98" s="2" t="s">
        <v>14</v>
      </c>
      <c r="D98" s="2">
        <v>0.64</v>
      </c>
      <c r="E98" s="2" t="s">
        <v>82</v>
      </c>
      <c r="F98" s="115"/>
      <c r="G98" s="112">
        <f t="shared" si="22"/>
        <v>0</v>
      </c>
      <c r="H98" s="115"/>
      <c r="I98" s="112">
        <f t="shared" si="14"/>
        <v>0</v>
      </c>
      <c r="J98" s="115"/>
      <c r="K98" s="143">
        <f t="shared" si="23"/>
        <v>0</v>
      </c>
      <c r="L98" s="115"/>
      <c r="M98" s="143">
        <f t="shared" si="24"/>
        <v>0</v>
      </c>
      <c r="N98" s="115"/>
      <c r="O98" s="143">
        <f t="shared" si="25"/>
        <v>0</v>
      </c>
      <c r="P98" s="115"/>
      <c r="Q98" s="112">
        <f t="shared" si="26"/>
        <v>0</v>
      </c>
      <c r="R98" s="115"/>
      <c r="S98" s="143">
        <f t="shared" si="30"/>
        <v>0</v>
      </c>
      <c r="T98" s="115"/>
      <c r="U98" s="143">
        <f t="shared" si="15"/>
        <v>0</v>
      </c>
      <c r="V98" s="115"/>
      <c r="W98" s="143">
        <f t="shared" si="31"/>
        <v>0</v>
      </c>
      <c r="X98" s="115"/>
      <c r="Y98" s="143">
        <f t="shared" si="32"/>
        <v>0</v>
      </c>
      <c r="Z98" s="115"/>
      <c r="AA98" s="143">
        <f t="shared" si="33"/>
        <v>0</v>
      </c>
      <c r="AB98" s="115"/>
      <c r="AC98" s="143">
        <f t="shared" si="34"/>
        <v>0</v>
      </c>
      <c r="AD98" s="113">
        <f t="shared" si="21"/>
        <v>0</v>
      </c>
      <c r="AE98" s="114">
        <f>AD98*$D98</f>
        <v>0</v>
      </c>
    </row>
    <row r="99" spans="1:31" ht="20.100000000000001" customHeight="1">
      <c r="A99" s="2">
        <v>79</v>
      </c>
      <c r="B99" s="72" t="s">
        <v>83</v>
      </c>
      <c r="C99" s="2" t="s">
        <v>17</v>
      </c>
      <c r="D99" s="2">
        <v>1</v>
      </c>
      <c r="E99" s="2" t="s">
        <v>38</v>
      </c>
      <c r="F99" s="115"/>
      <c r="G99" s="112">
        <f t="shared" si="22"/>
        <v>0</v>
      </c>
      <c r="H99" s="115"/>
      <c r="I99" s="112">
        <f t="shared" si="14"/>
        <v>0</v>
      </c>
      <c r="J99" s="115"/>
      <c r="K99" s="143">
        <f t="shared" si="23"/>
        <v>0</v>
      </c>
      <c r="L99" s="115"/>
      <c r="M99" s="143">
        <f t="shared" si="24"/>
        <v>0</v>
      </c>
      <c r="N99" s="115"/>
      <c r="O99" s="143">
        <f t="shared" si="25"/>
        <v>0</v>
      </c>
      <c r="P99" s="115"/>
      <c r="Q99" s="112">
        <f t="shared" si="26"/>
        <v>0</v>
      </c>
      <c r="R99" s="115"/>
      <c r="S99" s="143">
        <f t="shared" si="30"/>
        <v>0</v>
      </c>
      <c r="T99" s="115"/>
      <c r="U99" s="143">
        <f t="shared" si="15"/>
        <v>0</v>
      </c>
      <c r="V99" s="115"/>
      <c r="W99" s="112"/>
      <c r="X99" s="115"/>
      <c r="Y99" s="112"/>
      <c r="Z99" s="115"/>
      <c r="AA99" s="112"/>
      <c r="AB99" s="115"/>
      <c r="AC99" s="112"/>
      <c r="AD99" s="113">
        <f t="shared" si="21"/>
        <v>0</v>
      </c>
      <c r="AE99" s="114"/>
    </row>
    <row r="100" spans="1:31" ht="20.100000000000001" customHeight="1">
      <c r="A100" s="2">
        <v>80</v>
      </c>
      <c r="B100" s="72" t="s">
        <v>83</v>
      </c>
      <c r="C100" s="2" t="s">
        <v>17</v>
      </c>
      <c r="D100" s="2">
        <v>0.6</v>
      </c>
      <c r="E100" s="2" t="s">
        <v>38</v>
      </c>
      <c r="F100" s="115"/>
      <c r="G100" s="112">
        <f t="shared" si="22"/>
        <v>0</v>
      </c>
      <c r="H100" s="115"/>
      <c r="I100" s="112">
        <f t="shared" si="14"/>
        <v>0</v>
      </c>
      <c r="J100" s="115"/>
      <c r="K100" s="143">
        <f t="shared" si="23"/>
        <v>0</v>
      </c>
      <c r="L100" s="115"/>
      <c r="M100" s="143">
        <f t="shared" si="24"/>
        <v>0</v>
      </c>
      <c r="N100" s="115"/>
      <c r="O100" s="143">
        <f t="shared" si="25"/>
        <v>0</v>
      </c>
      <c r="P100" s="115"/>
      <c r="Q100" s="112">
        <f t="shared" si="26"/>
        <v>0</v>
      </c>
      <c r="R100" s="115"/>
      <c r="S100" s="143">
        <f t="shared" si="30"/>
        <v>0</v>
      </c>
      <c r="T100" s="115"/>
      <c r="U100" s="143">
        <f t="shared" si="15"/>
        <v>0</v>
      </c>
      <c r="V100" s="115"/>
      <c r="W100" s="112"/>
      <c r="X100" s="115"/>
      <c r="Y100" s="112"/>
      <c r="Z100" s="115"/>
      <c r="AA100" s="112"/>
      <c r="AB100" s="115"/>
      <c r="AC100" s="112"/>
      <c r="AD100" s="113">
        <f t="shared" si="21"/>
        <v>0</v>
      </c>
      <c r="AE100" s="114"/>
    </row>
    <row r="101" spans="1:31" ht="20.100000000000001" customHeight="1">
      <c r="A101" s="2"/>
      <c r="B101" s="2"/>
      <c r="C101" s="2"/>
      <c r="D101" s="2"/>
      <c r="E101" s="2"/>
      <c r="F101" s="115"/>
      <c r="G101" s="112">
        <f t="shared" si="22"/>
        <v>0</v>
      </c>
      <c r="H101" s="115"/>
      <c r="I101" s="112">
        <f t="shared" si="14"/>
        <v>0</v>
      </c>
      <c r="J101" s="115"/>
      <c r="K101" s="143">
        <f t="shared" si="23"/>
        <v>0</v>
      </c>
      <c r="L101" s="115"/>
      <c r="M101" s="143">
        <f t="shared" si="24"/>
        <v>0</v>
      </c>
      <c r="N101" s="115"/>
      <c r="O101" s="143">
        <f t="shared" si="25"/>
        <v>0</v>
      </c>
      <c r="P101" s="115"/>
      <c r="Q101" s="112">
        <f t="shared" si="26"/>
        <v>0</v>
      </c>
      <c r="R101" s="115"/>
      <c r="S101" s="112">
        <f>R101*$D101</f>
        <v>0</v>
      </c>
      <c r="T101" s="115"/>
      <c r="U101" s="143">
        <f t="shared" si="15"/>
        <v>0</v>
      </c>
      <c r="V101" s="115"/>
      <c r="W101" s="112">
        <f>V101*$D101</f>
        <v>0</v>
      </c>
      <c r="X101" s="115"/>
      <c r="Y101" s="112">
        <f>X101*$D101</f>
        <v>0</v>
      </c>
      <c r="Z101" s="115"/>
      <c r="AA101" s="112">
        <f>Z101*$E101</f>
        <v>0</v>
      </c>
      <c r="AB101" s="115"/>
      <c r="AC101" s="112">
        <f>AB101*$E101</f>
        <v>0</v>
      </c>
      <c r="AD101" s="113">
        <f t="shared" si="21"/>
        <v>0</v>
      </c>
      <c r="AE101" s="114"/>
    </row>
    <row r="102" spans="1:31" ht="20.100000000000001" customHeight="1">
      <c r="A102" s="2">
        <v>81</v>
      </c>
      <c r="B102" s="72" t="s">
        <v>84</v>
      </c>
      <c r="C102" s="2" t="s">
        <v>14</v>
      </c>
      <c r="D102" s="2">
        <v>0.64</v>
      </c>
      <c r="E102" s="2" t="s">
        <v>25</v>
      </c>
      <c r="F102" s="115"/>
      <c r="G102" s="112">
        <f t="shared" si="22"/>
        <v>0</v>
      </c>
      <c r="H102" s="115"/>
      <c r="I102" s="112">
        <f t="shared" si="14"/>
        <v>0</v>
      </c>
      <c r="J102" s="115"/>
      <c r="K102" s="143">
        <f t="shared" si="23"/>
        <v>0</v>
      </c>
      <c r="L102" s="115"/>
      <c r="M102" s="143">
        <f t="shared" si="24"/>
        <v>0</v>
      </c>
      <c r="N102" s="115"/>
      <c r="O102" s="143">
        <f t="shared" si="25"/>
        <v>0</v>
      </c>
      <c r="P102" s="115"/>
      <c r="Q102" s="112">
        <f t="shared" si="26"/>
        <v>0</v>
      </c>
      <c r="R102" s="115"/>
      <c r="S102" s="112">
        <f>R102*$D102</f>
        <v>0</v>
      </c>
      <c r="T102" s="115"/>
      <c r="U102" s="143">
        <f t="shared" si="15"/>
        <v>0</v>
      </c>
      <c r="V102" s="115"/>
      <c r="W102" s="112">
        <f>V102*$D102</f>
        <v>0</v>
      </c>
      <c r="X102" s="115"/>
      <c r="Y102" s="112">
        <f>X102*$D102</f>
        <v>0</v>
      </c>
      <c r="Z102" s="115"/>
      <c r="AA102" s="112">
        <f>Z102*$D102</f>
        <v>0</v>
      </c>
      <c r="AB102" s="115"/>
      <c r="AC102" s="112">
        <f>AB102*$D102</f>
        <v>0</v>
      </c>
      <c r="AD102" s="113">
        <f t="shared" si="21"/>
        <v>0</v>
      </c>
      <c r="AE102" s="114">
        <f>AD102*$D102</f>
        <v>0</v>
      </c>
    </row>
    <row r="103" spans="1:31" ht="20.100000000000001" customHeight="1">
      <c r="A103" s="2">
        <v>82</v>
      </c>
      <c r="B103" s="72" t="s">
        <v>84</v>
      </c>
      <c r="C103" s="2" t="s">
        <v>17</v>
      </c>
      <c r="D103" s="2">
        <v>0.6</v>
      </c>
      <c r="E103" s="2"/>
      <c r="F103" s="115"/>
      <c r="G103" s="112">
        <f t="shared" si="22"/>
        <v>0</v>
      </c>
      <c r="H103" s="115"/>
      <c r="I103" s="112">
        <f t="shared" si="14"/>
        <v>0</v>
      </c>
      <c r="J103" s="115"/>
      <c r="K103" s="143">
        <f t="shared" si="23"/>
        <v>0</v>
      </c>
      <c r="L103" s="115"/>
      <c r="M103" s="143">
        <f t="shared" si="24"/>
        <v>0</v>
      </c>
      <c r="N103" s="115"/>
      <c r="O103" s="143">
        <f t="shared" si="25"/>
        <v>0</v>
      </c>
      <c r="P103" s="115"/>
      <c r="Q103" s="112">
        <f t="shared" si="26"/>
        <v>0</v>
      </c>
      <c r="R103" s="115"/>
      <c r="S103" s="112">
        <f t="shared" ref="S103:S127" si="35">R103*$D103</f>
        <v>0</v>
      </c>
      <c r="T103" s="115"/>
      <c r="U103" s="143">
        <f t="shared" si="15"/>
        <v>0</v>
      </c>
      <c r="V103" s="115"/>
      <c r="W103" s="112"/>
      <c r="X103" s="115"/>
      <c r="Y103" s="112"/>
      <c r="Z103" s="115"/>
      <c r="AA103" s="112"/>
      <c r="AB103" s="115"/>
      <c r="AC103" s="112"/>
      <c r="AD103" s="113">
        <f t="shared" si="21"/>
        <v>0</v>
      </c>
      <c r="AE103" s="114"/>
    </row>
    <row r="104" spans="1:31" ht="20.100000000000001" customHeight="1">
      <c r="A104" s="2"/>
      <c r="B104" s="2"/>
      <c r="C104" s="2"/>
      <c r="D104" s="2"/>
      <c r="E104" s="2"/>
      <c r="F104" s="115"/>
      <c r="G104" s="112">
        <f t="shared" si="22"/>
        <v>0</v>
      </c>
      <c r="H104" s="115"/>
      <c r="I104" s="112">
        <f t="shared" si="14"/>
        <v>0</v>
      </c>
      <c r="J104" s="115"/>
      <c r="K104" s="143">
        <f t="shared" si="23"/>
        <v>0</v>
      </c>
      <c r="L104" s="115"/>
      <c r="M104" s="143">
        <f t="shared" si="24"/>
        <v>0</v>
      </c>
      <c r="N104" s="115"/>
      <c r="O104" s="143">
        <f t="shared" si="25"/>
        <v>0</v>
      </c>
      <c r="P104" s="115"/>
      <c r="Q104" s="112">
        <f t="shared" si="26"/>
        <v>0</v>
      </c>
      <c r="R104" s="115"/>
      <c r="S104" s="112">
        <f t="shared" si="35"/>
        <v>0</v>
      </c>
      <c r="T104" s="115"/>
      <c r="U104" s="143">
        <f t="shared" si="15"/>
        <v>0</v>
      </c>
      <c r="V104" s="115"/>
      <c r="W104" s="112"/>
      <c r="X104" s="115"/>
      <c r="Y104" s="112"/>
      <c r="Z104" s="115"/>
      <c r="AA104" s="112"/>
      <c r="AB104" s="115"/>
      <c r="AC104" s="112"/>
      <c r="AD104" s="113">
        <f t="shared" si="21"/>
        <v>0</v>
      </c>
      <c r="AE104" s="114"/>
    </row>
    <row r="105" spans="1:31" ht="20.100000000000001" customHeight="1">
      <c r="A105" s="2">
        <v>83</v>
      </c>
      <c r="B105" s="72" t="s">
        <v>85</v>
      </c>
      <c r="C105" s="2" t="s">
        <v>17</v>
      </c>
      <c r="D105" s="2">
        <v>1</v>
      </c>
      <c r="E105" s="2"/>
      <c r="F105" s="115"/>
      <c r="G105" s="112">
        <f t="shared" si="22"/>
        <v>0</v>
      </c>
      <c r="H105" s="115"/>
      <c r="I105" s="112">
        <f t="shared" si="14"/>
        <v>0</v>
      </c>
      <c r="J105" s="115"/>
      <c r="K105" s="143">
        <f t="shared" si="23"/>
        <v>0</v>
      </c>
      <c r="L105" s="115"/>
      <c r="M105" s="143">
        <f t="shared" si="24"/>
        <v>0</v>
      </c>
      <c r="N105" s="115"/>
      <c r="O105" s="143">
        <f t="shared" si="25"/>
        <v>0</v>
      </c>
      <c r="P105" s="115"/>
      <c r="Q105" s="112">
        <f t="shared" si="26"/>
        <v>0</v>
      </c>
      <c r="R105" s="115"/>
      <c r="S105" s="112">
        <f t="shared" si="35"/>
        <v>0</v>
      </c>
      <c r="T105" s="115"/>
      <c r="U105" s="143">
        <f t="shared" si="15"/>
        <v>0</v>
      </c>
      <c r="V105" s="115"/>
      <c r="W105" s="112"/>
      <c r="X105" s="115"/>
      <c r="Y105" s="112"/>
      <c r="Z105" s="115"/>
      <c r="AA105" s="112"/>
      <c r="AB105" s="115"/>
      <c r="AC105" s="112"/>
      <c r="AD105" s="113">
        <f t="shared" si="21"/>
        <v>0</v>
      </c>
      <c r="AE105" s="114"/>
    </row>
    <row r="106" spans="1:31" ht="20.100000000000001" customHeight="1">
      <c r="A106" s="2">
        <v>84</v>
      </c>
      <c r="B106" s="72" t="s">
        <v>85</v>
      </c>
      <c r="C106" s="2" t="s">
        <v>14</v>
      </c>
      <c r="D106" s="2">
        <v>0.64</v>
      </c>
      <c r="E106" s="2" t="s">
        <v>25</v>
      </c>
      <c r="F106" s="115"/>
      <c r="G106" s="112">
        <f t="shared" si="22"/>
        <v>0</v>
      </c>
      <c r="H106" s="115"/>
      <c r="I106" s="112">
        <f t="shared" si="14"/>
        <v>0</v>
      </c>
      <c r="J106" s="115"/>
      <c r="K106" s="143">
        <f t="shared" si="23"/>
        <v>0</v>
      </c>
      <c r="L106" s="115"/>
      <c r="M106" s="143">
        <f t="shared" si="24"/>
        <v>0</v>
      </c>
      <c r="N106" s="115"/>
      <c r="O106" s="143">
        <f t="shared" si="25"/>
        <v>0</v>
      </c>
      <c r="P106" s="115"/>
      <c r="Q106" s="112">
        <f t="shared" si="26"/>
        <v>0</v>
      </c>
      <c r="R106" s="115"/>
      <c r="S106" s="112">
        <f t="shared" si="35"/>
        <v>0</v>
      </c>
      <c r="T106" s="115"/>
      <c r="U106" s="143">
        <f t="shared" si="15"/>
        <v>0</v>
      </c>
      <c r="V106" s="115"/>
      <c r="W106" s="112">
        <f>V106*$D106</f>
        <v>0</v>
      </c>
      <c r="X106" s="115"/>
      <c r="Y106" s="112">
        <f>X106*$D106</f>
        <v>0</v>
      </c>
      <c r="Z106" s="115"/>
      <c r="AA106" s="112">
        <f>Z106*$D106</f>
        <v>0</v>
      </c>
      <c r="AB106" s="115"/>
      <c r="AC106" s="112">
        <f>AB106*$D106</f>
        <v>0</v>
      </c>
      <c r="AD106" s="113">
        <f t="shared" si="21"/>
        <v>0</v>
      </c>
      <c r="AE106" s="114">
        <f>AD106*$D106</f>
        <v>0</v>
      </c>
    </row>
    <row r="107" spans="1:31" ht="20.100000000000001" customHeight="1">
      <c r="A107" s="2"/>
      <c r="B107" s="2"/>
      <c r="C107" s="2"/>
      <c r="D107" s="2"/>
      <c r="E107" s="2"/>
      <c r="F107" s="115"/>
      <c r="G107" s="112">
        <f t="shared" si="22"/>
        <v>0</v>
      </c>
      <c r="H107" s="115"/>
      <c r="I107" s="112">
        <f t="shared" si="14"/>
        <v>0</v>
      </c>
      <c r="J107" s="115"/>
      <c r="K107" s="143">
        <f t="shared" si="23"/>
        <v>0</v>
      </c>
      <c r="L107" s="115"/>
      <c r="M107" s="143">
        <f t="shared" si="24"/>
        <v>0</v>
      </c>
      <c r="N107" s="115"/>
      <c r="O107" s="143">
        <f t="shared" si="25"/>
        <v>0</v>
      </c>
      <c r="P107" s="115"/>
      <c r="Q107" s="112">
        <f t="shared" si="26"/>
        <v>0</v>
      </c>
      <c r="R107" s="115"/>
      <c r="S107" s="112">
        <f t="shared" si="35"/>
        <v>0</v>
      </c>
      <c r="T107" s="115"/>
      <c r="U107" s="143">
        <f t="shared" si="15"/>
        <v>0</v>
      </c>
      <c r="V107" s="115"/>
      <c r="W107" s="112"/>
      <c r="X107" s="115"/>
      <c r="Y107" s="112"/>
      <c r="Z107" s="115"/>
      <c r="AA107" s="112"/>
      <c r="AB107" s="115"/>
      <c r="AC107" s="112"/>
      <c r="AD107" s="113">
        <f t="shared" si="21"/>
        <v>0</v>
      </c>
      <c r="AE107" s="114"/>
    </row>
    <row r="108" spans="1:31" ht="20.100000000000001" customHeight="1">
      <c r="A108" s="2">
        <v>85</v>
      </c>
      <c r="B108" s="2" t="s">
        <v>86</v>
      </c>
      <c r="C108" s="2" t="s">
        <v>14</v>
      </c>
      <c r="D108" s="2">
        <v>0.7</v>
      </c>
      <c r="E108" s="2" t="s">
        <v>15</v>
      </c>
      <c r="F108" s="111">
        <v>910</v>
      </c>
      <c r="G108" s="112">
        <f t="shared" si="22"/>
        <v>637</v>
      </c>
      <c r="H108" s="111">
        <v>517</v>
      </c>
      <c r="I108" s="112">
        <f t="shared" si="14"/>
        <v>361.9</v>
      </c>
      <c r="J108" s="111">
        <v>250</v>
      </c>
      <c r="K108" s="143">
        <f t="shared" si="23"/>
        <v>175</v>
      </c>
      <c r="L108" s="111">
        <v>515</v>
      </c>
      <c r="M108" s="143">
        <f t="shared" si="24"/>
        <v>360.5</v>
      </c>
      <c r="N108" s="111">
        <v>738</v>
      </c>
      <c r="O108" s="143">
        <f t="shared" si="25"/>
        <v>516.6</v>
      </c>
      <c r="P108" s="111">
        <v>352</v>
      </c>
      <c r="Q108" s="112">
        <f t="shared" si="26"/>
        <v>246.39999999999998</v>
      </c>
      <c r="R108" s="111">
        <v>415</v>
      </c>
      <c r="S108" s="112">
        <f t="shared" si="35"/>
        <v>290.5</v>
      </c>
      <c r="T108" s="111">
        <v>305</v>
      </c>
      <c r="U108" s="143">
        <f t="shared" si="15"/>
        <v>213.5</v>
      </c>
      <c r="V108" s="111">
        <v>840</v>
      </c>
      <c r="W108" s="112">
        <f>V108*$D108</f>
        <v>588</v>
      </c>
      <c r="X108" s="111">
        <v>446</v>
      </c>
      <c r="Y108" s="143">
        <f>X108*$D108</f>
        <v>312.2</v>
      </c>
      <c r="Z108" s="111">
        <v>180</v>
      </c>
      <c r="AA108" s="112">
        <f>Z108*$D108</f>
        <v>125.99999999999999</v>
      </c>
      <c r="AB108" s="111">
        <v>1272</v>
      </c>
      <c r="AC108" s="143">
        <f>AB108*$D108</f>
        <v>890.4</v>
      </c>
      <c r="AD108" s="113">
        <f t="shared" si="21"/>
        <v>6740</v>
      </c>
      <c r="AE108" s="144">
        <f>AD108*$D108</f>
        <v>4718</v>
      </c>
    </row>
    <row r="109" spans="1:31" ht="20.100000000000001" customHeight="1">
      <c r="A109" s="2">
        <v>86</v>
      </c>
      <c r="B109" s="2" t="s">
        <v>87</v>
      </c>
      <c r="C109" s="2" t="s">
        <v>14</v>
      </c>
      <c r="D109" s="2">
        <v>0.35</v>
      </c>
      <c r="E109" s="2" t="s">
        <v>24</v>
      </c>
      <c r="F109" s="111">
        <v>339</v>
      </c>
      <c r="G109" s="112">
        <f t="shared" si="22"/>
        <v>118.64999999999999</v>
      </c>
      <c r="H109" s="111">
        <v>98</v>
      </c>
      <c r="I109" s="112">
        <f t="shared" si="14"/>
        <v>34.299999999999997</v>
      </c>
      <c r="J109" s="111">
        <v>185</v>
      </c>
      <c r="K109" s="143">
        <f t="shared" si="23"/>
        <v>64.75</v>
      </c>
      <c r="L109" s="111">
        <v>65</v>
      </c>
      <c r="M109" s="143">
        <f t="shared" si="24"/>
        <v>22.75</v>
      </c>
      <c r="N109" s="111">
        <v>67</v>
      </c>
      <c r="O109" s="143">
        <f t="shared" si="25"/>
        <v>23.45</v>
      </c>
      <c r="P109" s="111">
        <v>34</v>
      </c>
      <c r="Q109" s="112">
        <f t="shared" si="26"/>
        <v>11.899999999999999</v>
      </c>
      <c r="R109" s="111">
        <v>39</v>
      </c>
      <c r="S109" s="112">
        <f t="shared" si="35"/>
        <v>13.649999999999999</v>
      </c>
      <c r="T109" s="111">
        <v>30</v>
      </c>
      <c r="U109" s="143">
        <f t="shared" si="15"/>
        <v>10.5</v>
      </c>
      <c r="V109" s="111">
        <v>195</v>
      </c>
      <c r="W109" s="112">
        <f t="shared" ref="W109:W119" si="36">V109*$D109</f>
        <v>68.25</v>
      </c>
      <c r="X109" s="111">
        <v>30</v>
      </c>
      <c r="Y109" s="143">
        <f t="shared" ref="Y109:Y125" si="37">X109*$D109</f>
        <v>10.5</v>
      </c>
      <c r="Z109" s="111">
        <v>60</v>
      </c>
      <c r="AA109" s="112">
        <f t="shared" ref="AA109:AA120" si="38">Z109*$D109</f>
        <v>21</v>
      </c>
      <c r="AB109" s="111">
        <v>342</v>
      </c>
      <c r="AC109" s="143">
        <f t="shared" ref="AC109:AC120" si="39">AB109*$D109</f>
        <v>119.69999999999999</v>
      </c>
      <c r="AD109" s="113">
        <f t="shared" si="21"/>
        <v>1484</v>
      </c>
      <c r="AE109" s="144">
        <f t="shared" ref="AE109:AE120" si="40">AD109*$D109</f>
        <v>519.4</v>
      </c>
    </row>
    <row r="110" spans="1:31" ht="20.100000000000001" customHeight="1">
      <c r="A110" s="2"/>
      <c r="B110" s="2"/>
      <c r="C110" s="2"/>
      <c r="D110" s="2"/>
      <c r="E110" s="2"/>
      <c r="F110" s="115"/>
      <c r="G110" s="112">
        <f t="shared" si="22"/>
        <v>0</v>
      </c>
      <c r="H110" s="115"/>
      <c r="I110" s="112">
        <f t="shared" si="14"/>
        <v>0</v>
      </c>
      <c r="J110" s="115"/>
      <c r="K110" s="143">
        <f t="shared" si="23"/>
        <v>0</v>
      </c>
      <c r="L110" s="115"/>
      <c r="M110" s="143">
        <f t="shared" si="24"/>
        <v>0</v>
      </c>
      <c r="N110" s="115"/>
      <c r="O110" s="143">
        <f t="shared" si="25"/>
        <v>0</v>
      </c>
      <c r="P110" s="115"/>
      <c r="Q110" s="112">
        <f t="shared" si="26"/>
        <v>0</v>
      </c>
      <c r="R110" s="115"/>
      <c r="S110" s="112">
        <f t="shared" si="35"/>
        <v>0</v>
      </c>
      <c r="T110" s="115"/>
      <c r="U110" s="143">
        <f t="shared" si="15"/>
        <v>0</v>
      </c>
      <c r="V110" s="115"/>
      <c r="W110" s="112">
        <f t="shared" si="36"/>
        <v>0</v>
      </c>
      <c r="X110" s="115"/>
      <c r="Y110" s="143">
        <f t="shared" si="37"/>
        <v>0</v>
      </c>
      <c r="Z110" s="115"/>
      <c r="AA110" s="112">
        <f t="shared" si="38"/>
        <v>0</v>
      </c>
      <c r="AB110" s="115"/>
      <c r="AC110" s="143">
        <f t="shared" si="39"/>
        <v>0</v>
      </c>
      <c r="AD110" s="113">
        <f t="shared" si="21"/>
        <v>0</v>
      </c>
      <c r="AE110" s="144">
        <f t="shared" si="40"/>
        <v>0</v>
      </c>
    </row>
    <row r="111" spans="1:31" ht="20.100000000000001" customHeight="1">
      <c r="A111" s="2">
        <v>87</v>
      </c>
      <c r="B111" s="2" t="s">
        <v>88</v>
      </c>
      <c r="C111" s="2" t="s">
        <v>17</v>
      </c>
      <c r="D111" s="2">
        <v>1</v>
      </c>
      <c r="E111" s="2" t="s">
        <v>15</v>
      </c>
      <c r="F111" s="115"/>
      <c r="G111" s="112">
        <f t="shared" si="22"/>
        <v>0</v>
      </c>
      <c r="H111" s="115"/>
      <c r="I111" s="112">
        <f t="shared" si="14"/>
        <v>0</v>
      </c>
      <c r="J111" s="115"/>
      <c r="K111" s="143">
        <f t="shared" si="23"/>
        <v>0</v>
      </c>
      <c r="L111" s="115"/>
      <c r="M111" s="143">
        <f t="shared" si="24"/>
        <v>0</v>
      </c>
      <c r="N111" s="115"/>
      <c r="O111" s="143">
        <f t="shared" si="25"/>
        <v>0</v>
      </c>
      <c r="P111" s="115"/>
      <c r="Q111" s="112">
        <f t="shared" si="26"/>
        <v>0</v>
      </c>
      <c r="R111" s="115"/>
      <c r="S111" s="112">
        <f t="shared" si="35"/>
        <v>0</v>
      </c>
      <c r="T111" s="115"/>
      <c r="U111" s="143">
        <f t="shared" si="15"/>
        <v>0</v>
      </c>
      <c r="V111" s="115"/>
      <c r="W111" s="112">
        <f t="shared" si="36"/>
        <v>0</v>
      </c>
      <c r="X111" s="115"/>
      <c r="Y111" s="143">
        <f t="shared" si="37"/>
        <v>0</v>
      </c>
      <c r="Z111" s="115"/>
      <c r="AA111" s="112">
        <f t="shared" si="38"/>
        <v>0</v>
      </c>
      <c r="AB111" s="115"/>
      <c r="AC111" s="143">
        <f t="shared" si="39"/>
        <v>0</v>
      </c>
      <c r="AD111" s="113">
        <f t="shared" si="21"/>
        <v>0</v>
      </c>
      <c r="AE111" s="144">
        <f t="shared" si="40"/>
        <v>0</v>
      </c>
    </row>
    <row r="112" spans="1:31" ht="20.100000000000001" customHeight="1">
      <c r="A112" s="2">
        <v>88</v>
      </c>
      <c r="B112" s="2" t="s">
        <v>89</v>
      </c>
      <c r="C112" s="2" t="s">
        <v>17</v>
      </c>
      <c r="D112" s="2">
        <v>1</v>
      </c>
      <c r="E112" s="2" t="s">
        <v>90</v>
      </c>
      <c r="F112" s="115"/>
      <c r="G112" s="112">
        <f t="shared" si="22"/>
        <v>0</v>
      </c>
      <c r="H112" s="115"/>
      <c r="I112" s="112">
        <f t="shared" si="14"/>
        <v>0</v>
      </c>
      <c r="J112" s="115"/>
      <c r="K112" s="143">
        <f t="shared" si="23"/>
        <v>0</v>
      </c>
      <c r="L112" s="115"/>
      <c r="M112" s="143">
        <f t="shared" si="24"/>
        <v>0</v>
      </c>
      <c r="N112" s="115"/>
      <c r="O112" s="143">
        <f t="shared" si="25"/>
        <v>0</v>
      </c>
      <c r="P112" s="115"/>
      <c r="Q112" s="112">
        <f t="shared" si="26"/>
        <v>0</v>
      </c>
      <c r="R112" s="115"/>
      <c r="S112" s="112">
        <f t="shared" si="35"/>
        <v>0</v>
      </c>
      <c r="T112" s="115"/>
      <c r="U112" s="143">
        <f t="shared" si="15"/>
        <v>0</v>
      </c>
      <c r="V112" s="115"/>
      <c r="W112" s="112">
        <f t="shared" si="36"/>
        <v>0</v>
      </c>
      <c r="X112" s="115"/>
      <c r="Y112" s="143">
        <f t="shared" si="37"/>
        <v>0</v>
      </c>
      <c r="Z112" s="115"/>
      <c r="AA112" s="112">
        <f t="shared" si="38"/>
        <v>0</v>
      </c>
      <c r="AB112" s="115"/>
      <c r="AC112" s="143">
        <f t="shared" si="39"/>
        <v>0</v>
      </c>
      <c r="AD112" s="113">
        <f t="shared" si="21"/>
        <v>0</v>
      </c>
      <c r="AE112" s="144">
        <f t="shared" si="40"/>
        <v>0</v>
      </c>
    </row>
    <row r="113" spans="1:31" ht="20.100000000000001" customHeight="1">
      <c r="A113" s="2">
        <v>89</v>
      </c>
      <c r="B113" s="2" t="s">
        <v>91</v>
      </c>
      <c r="C113" s="2" t="s">
        <v>17</v>
      </c>
      <c r="D113" s="2">
        <v>1</v>
      </c>
      <c r="E113" s="2" t="s">
        <v>24</v>
      </c>
      <c r="F113" s="115"/>
      <c r="G113" s="112">
        <f t="shared" si="22"/>
        <v>0</v>
      </c>
      <c r="H113" s="115"/>
      <c r="I113" s="112">
        <f t="shared" si="14"/>
        <v>0</v>
      </c>
      <c r="J113" s="115"/>
      <c r="K113" s="143">
        <f t="shared" si="23"/>
        <v>0</v>
      </c>
      <c r="L113" s="115"/>
      <c r="M113" s="143">
        <f t="shared" si="24"/>
        <v>0</v>
      </c>
      <c r="N113" s="115"/>
      <c r="O113" s="143">
        <f t="shared" si="25"/>
        <v>0</v>
      </c>
      <c r="P113" s="115"/>
      <c r="Q113" s="112">
        <f t="shared" si="26"/>
        <v>0</v>
      </c>
      <c r="R113" s="115"/>
      <c r="S113" s="112">
        <f t="shared" si="35"/>
        <v>0</v>
      </c>
      <c r="T113" s="115"/>
      <c r="U113" s="143">
        <f t="shared" si="15"/>
        <v>0</v>
      </c>
      <c r="V113" s="115"/>
      <c r="W113" s="112">
        <f t="shared" si="36"/>
        <v>0</v>
      </c>
      <c r="X113" s="115"/>
      <c r="Y113" s="143">
        <f t="shared" si="37"/>
        <v>0</v>
      </c>
      <c r="Z113" s="115"/>
      <c r="AA113" s="112">
        <f t="shared" si="38"/>
        <v>0</v>
      </c>
      <c r="AB113" s="115"/>
      <c r="AC113" s="143">
        <f t="shared" si="39"/>
        <v>0</v>
      </c>
      <c r="AD113" s="113">
        <f t="shared" si="21"/>
        <v>0</v>
      </c>
      <c r="AE113" s="144">
        <f t="shared" si="40"/>
        <v>0</v>
      </c>
    </row>
    <row r="114" spans="1:31" ht="20.100000000000001" customHeight="1">
      <c r="A114" s="2">
        <v>90</v>
      </c>
      <c r="B114" s="2" t="s">
        <v>92</v>
      </c>
      <c r="C114" s="2" t="s">
        <v>14</v>
      </c>
      <c r="D114" s="2">
        <v>0.64</v>
      </c>
      <c r="E114" s="2" t="s">
        <v>24</v>
      </c>
      <c r="F114" s="111">
        <v>186336</v>
      </c>
      <c r="G114" s="112">
        <f t="shared" si="22"/>
        <v>119255.04000000001</v>
      </c>
      <c r="H114" s="111">
        <v>172130</v>
      </c>
      <c r="I114" s="112">
        <f t="shared" si="14"/>
        <v>110163.2</v>
      </c>
      <c r="J114" s="111">
        <v>170904</v>
      </c>
      <c r="K114" s="143">
        <f t="shared" si="23"/>
        <v>109378.56</v>
      </c>
      <c r="L114" s="111">
        <v>168240</v>
      </c>
      <c r="M114" s="143">
        <f t="shared" si="24"/>
        <v>107673.60000000001</v>
      </c>
      <c r="N114" s="111">
        <v>135120</v>
      </c>
      <c r="O114" s="143">
        <f t="shared" si="25"/>
        <v>86476.800000000003</v>
      </c>
      <c r="P114" s="111">
        <v>178344</v>
      </c>
      <c r="Q114" s="112">
        <f t="shared" si="26"/>
        <v>114140.16</v>
      </c>
      <c r="R114" s="111">
        <v>180288</v>
      </c>
      <c r="S114" s="112">
        <f t="shared" si="35"/>
        <v>115384.32000000001</v>
      </c>
      <c r="T114" s="111">
        <v>190538</v>
      </c>
      <c r="U114" s="143">
        <f t="shared" si="15"/>
        <v>121944.32000000001</v>
      </c>
      <c r="V114" s="111">
        <v>179088</v>
      </c>
      <c r="W114" s="112">
        <f t="shared" si="36"/>
        <v>114616.32000000001</v>
      </c>
      <c r="X114" s="111">
        <v>213576</v>
      </c>
      <c r="Y114" s="143">
        <f t="shared" si="37"/>
        <v>136688.64000000001</v>
      </c>
      <c r="Z114" s="111">
        <v>201456</v>
      </c>
      <c r="AA114" s="112">
        <f t="shared" si="38"/>
        <v>128931.84</v>
      </c>
      <c r="AB114" s="111">
        <v>221976</v>
      </c>
      <c r="AC114" s="143">
        <f t="shared" si="39"/>
        <v>142064.64000000001</v>
      </c>
      <c r="AD114" s="113">
        <f t="shared" si="21"/>
        <v>2197996</v>
      </c>
      <c r="AE114" s="144">
        <f t="shared" si="40"/>
        <v>1406717.44</v>
      </c>
    </row>
    <row r="115" spans="1:31" ht="20.100000000000001" customHeight="1">
      <c r="A115" s="2">
        <v>91</v>
      </c>
      <c r="B115" s="2" t="s">
        <v>93</v>
      </c>
      <c r="C115" s="2" t="s">
        <v>14</v>
      </c>
      <c r="D115" s="2">
        <v>0.64</v>
      </c>
      <c r="E115" s="2" t="s">
        <v>25</v>
      </c>
      <c r="F115" s="111">
        <v>15862</v>
      </c>
      <c r="G115" s="112">
        <f t="shared" si="22"/>
        <v>10151.68</v>
      </c>
      <c r="H115" s="111">
        <v>16128</v>
      </c>
      <c r="I115" s="112">
        <f t="shared" si="14"/>
        <v>10321.92</v>
      </c>
      <c r="J115" s="111">
        <v>15082</v>
      </c>
      <c r="K115" s="143">
        <f t="shared" si="23"/>
        <v>9652.48</v>
      </c>
      <c r="L115" s="111">
        <v>17766</v>
      </c>
      <c r="M115" s="143">
        <f t="shared" si="24"/>
        <v>11370.24</v>
      </c>
      <c r="N115" s="111">
        <v>11270</v>
      </c>
      <c r="O115" s="143">
        <f t="shared" si="25"/>
        <v>7212.8</v>
      </c>
      <c r="P115" s="111">
        <v>17654</v>
      </c>
      <c r="Q115" s="112">
        <f t="shared" si="26"/>
        <v>11298.56</v>
      </c>
      <c r="R115" s="111">
        <v>16464</v>
      </c>
      <c r="S115" s="112">
        <f t="shared" si="35"/>
        <v>10536.960000000001</v>
      </c>
      <c r="T115" s="111">
        <v>14602</v>
      </c>
      <c r="U115" s="143">
        <f t="shared" si="15"/>
        <v>9345.2800000000007</v>
      </c>
      <c r="V115" s="111">
        <v>16268</v>
      </c>
      <c r="W115" s="112">
        <f t="shared" si="36"/>
        <v>10411.52</v>
      </c>
      <c r="X115" s="111">
        <v>14196</v>
      </c>
      <c r="Y115" s="143">
        <f t="shared" si="37"/>
        <v>9085.44</v>
      </c>
      <c r="Z115" s="111">
        <v>11200</v>
      </c>
      <c r="AA115" s="112">
        <f t="shared" si="38"/>
        <v>7168</v>
      </c>
      <c r="AB115" s="111">
        <v>25116</v>
      </c>
      <c r="AC115" s="143">
        <f t="shared" si="39"/>
        <v>16074.24</v>
      </c>
      <c r="AD115" s="113">
        <f t="shared" si="21"/>
        <v>191608</v>
      </c>
      <c r="AE115" s="144">
        <f t="shared" si="40"/>
        <v>122629.12</v>
      </c>
    </row>
    <row r="116" spans="1:31" ht="20.100000000000001" customHeight="1">
      <c r="A116" s="2">
        <v>92</v>
      </c>
      <c r="B116" s="2" t="s">
        <v>94</v>
      </c>
      <c r="C116" s="2" t="s">
        <v>14</v>
      </c>
      <c r="D116" s="2">
        <v>0.64</v>
      </c>
      <c r="E116" s="2" t="s">
        <v>24</v>
      </c>
      <c r="F116" s="111">
        <v>13608</v>
      </c>
      <c r="G116" s="112">
        <f t="shared" si="22"/>
        <v>8709.1200000000008</v>
      </c>
      <c r="H116" s="111">
        <v>8376</v>
      </c>
      <c r="I116" s="112">
        <f t="shared" si="14"/>
        <v>5360.64</v>
      </c>
      <c r="J116" s="111">
        <v>5904</v>
      </c>
      <c r="K116" s="143">
        <f t="shared" si="23"/>
        <v>3778.56</v>
      </c>
      <c r="L116" s="111">
        <v>7968</v>
      </c>
      <c r="M116" s="143">
        <f t="shared" si="24"/>
        <v>5099.5200000000004</v>
      </c>
      <c r="N116" s="111">
        <v>6480</v>
      </c>
      <c r="O116" s="143">
        <f t="shared" si="25"/>
        <v>4147.2</v>
      </c>
      <c r="P116" s="111">
        <v>8280</v>
      </c>
      <c r="Q116" s="112">
        <f t="shared" si="26"/>
        <v>5299.2</v>
      </c>
      <c r="R116" s="111">
        <v>9480</v>
      </c>
      <c r="S116" s="112">
        <f t="shared" si="35"/>
        <v>6067.2</v>
      </c>
      <c r="T116" s="111">
        <v>7728</v>
      </c>
      <c r="U116" s="143">
        <f t="shared" si="15"/>
        <v>4945.92</v>
      </c>
      <c r="V116" s="111">
        <v>9840</v>
      </c>
      <c r="W116" s="112">
        <f t="shared" si="36"/>
        <v>6297.6</v>
      </c>
      <c r="X116" s="111">
        <v>5688</v>
      </c>
      <c r="Y116" s="143">
        <f t="shared" si="37"/>
        <v>3640.32</v>
      </c>
      <c r="Z116" s="111">
        <v>3552</v>
      </c>
      <c r="AA116" s="112">
        <f t="shared" si="38"/>
        <v>2273.2800000000002</v>
      </c>
      <c r="AB116" s="111">
        <v>6360</v>
      </c>
      <c r="AC116" s="143">
        <f t="shared" si="39"/>
        <v>4070.4</v>
      </c>
      <c r="AD116" s="113">
        <f t="shared" si="21"/>
        <v>93264</v>
      </c>
      <c r="AE116" s="144">
        <f t="shared" si="40"/>
        <v>59688.959999999999</v>
      </c>
    </row>
    <row r="117" spans="1:31" ht="20.100000000000001" customHeight="1">
      <c r="A117" s="2">
        <v>93</v>
      </c>
      <c r="B117" s="2" t="s">
        <v>95</v>
      </c>
      <c r="C117" s="2" t="s">
        <v>14</v>
      </c>
      <c r="D117" s="2">
        <v>0.64</v>
      </c>
      <c r="E117" s="2" t="s">
        <v>25</v>
      </c>
      <c r="F117" s="111">
        <v>5348</v>
      </c>
      <c r="G117" s="112">
        <f t="shared" si="22"/>
        <v>3422.7200000000003</v>
      </c>
      <c r="H117" s="111">
        <v>4774</v>
      </c>
      <c r="I117" s="112">
        <f t="shared" si="14"/>
        <v>3055.36</v>
      </c>
      <c r="J117" s="111">
        <v>4704</v>
      </c>
      <c r="K117" s="143">
        <f t="shared" si="23"/>
        <v>3010.56</v>
      </c>
      <c r="L117" s="111">
        <v>3710</v>
      </c>
      <c r="M117" s="143">
        <f t="shared" si="24"/>
        <v>2374.4</v>
      </c>
      <c r="N117" s="111">
        <v>3836</v>
      </c>
      <c r="O117" s="143">
        <f t="shared" si="25"/>
        <v>2455.04</v>
      </c>
      <c r="P117" s="111">
        <v>3766</v>
      </c>
      <c r="Q117" s="112">
        <f t="shared" si="26"/>
        <v>2410.2400000000002</v>
      </c>
      <c r="R117" s="111">
        <v>3766</v>
      </c>
      <c r="S117" s="112">
        <f t="shared" si="35"/>
        <v>2410.2400000000002</v>
      </c>
      <c r="T117" s="111">
        <v>4438</v>
      </c>
      <c r="U117" s="143">
        <f t="shared" si="15"/>
        <v>2840.32</v>
      </c>
      <c r="V117" s="111">
        <v>4200</v>
      </c>
      <c r="W117" s="112">
        <f t="shared" si="36"/>
        <v>2688</v>
      </c>
      <c r="X117" s="111">
        <v>4291</v>
      </c>
      <c r="Y117" s="143">
        <f t="shared" si="37"/>
        <v>2746.2400000000002</v>
      </c>
      <c r="Z117" s="111">
        <v>2030</v>
      </c>
      <c r="AA117" s="112">
        <f t="shared" si="38"/>
        <v>1299.2</v>
      </c>
      <c r="AB117" s="111">
        <v>5082</v>
      </c>
      <c r="AC117" s="143">
        <f t="shared" si="39"/>
        <v>3252.48</v>
      </c>
      <c r="AD117" s="113">
        <f t="shared" si="21"/>
        <v>49945</v>
      </c>
      <c r="AE117" s="144">
        <f t="shared" si="40"/>
        <v>31964.799999999999</v>
      </c>
    </row>
    <row r="118" spans="1:31" ht="20.100000000000001" customHeight="1">
      <c r="A118" s="2">
        <v>94</v>
      </c>
      <c r="B118" s="2" t="s">
        <v>96</v>
      </c>
      <c r="C118" s="2" t="s">
        <v>14</v>
      </c>
      <c r="D118" s="2">
        <v>0.64</v>
      </c>
      <c r="E118" s="2" t="s">
        <v>25</v>
      </c>
      <c r="F118" s="115"/>
      <c r="G118" s="112">
        <f t="shared" si="22"/>
        <v>0</v>
      </c>
      <c r="H118" s="115"/>
      <c r="I118" s="112">
        <f t="shared" si="14"/>
        <v>0</v>
      </c>
      <c r="J118" s="115"/>
      <c r="K118" s="143">
        <f t="shared" si="23"/>
        <v>0</v>
      </c>
      <c r="L118" s="115"/>
      <c r="M118" s="143">
        <f t="shared" si="24"/>
        <v>0</v>
      </c>
      <c r="N118" s="115"/>
      <c r="O118" s="143">
        <f t="shared" si="25"/>
        <v>0</v>
      </c>
      <c r="P118" s="115"/>
      <c r="Q118" s="112">
        <f t="shared" si="26"/>
        <v>0</v>
      </c>
      <c r="R118" s="115"/>
      <c r="S118" s="112">
        <f t="shared" si="35"/>
        <v>0</v>
      </c>
      <c r="T118" s="115"/>
      <c r="U118" s="143">
        <f t="shared" si="15"/>
        <v>0</v>
      </c>
      <c r="V118" s="115"/>
      <c r="W118" s="112">
        <f t="shared" si="36"/>
        <v>0</v>
      </c>
      <c r="X118" s="115"/>
      <c r="Y118" s="143">
        <f t="shared" si="37"/>
        <v>0</v>
      </c>
      <c r="Z118" s="115"/>
      <c r="AA118" s="112">
        <f t="shared" si="38"/>
        <v>0</v>
      </c>
      <c r="AB118" s="115"/>
      <c r="AC118" s="143">
        <f t="shared" si="39"/>
        <v>0</v>
      </c>
      <c r="AD118" s="113">
        <f t="shared" si="21"/>
        <v>0</v>
      </c>
      <c r="AE118" s="144">
        <f t="shared" si="40"/>
        <v>0</v>
      </c>
    </row>
    <row r="119" spans="1:31" ht="20.100000000000001" customHeight="1">
      <c r="A119" s="2">
        <v>95</v>
      </c>
      <c r="B119" s="2" t="s">
        <v>97</v>
      </c>
      <c r="C119" s="2" t="s">
        <v>14</v>
      </c>
      <c r="D119" s="2">
        <v>0.64</v>
      </c>
      <c r="E119" s="2" t="s">
        <v>25</v>
      </c>
      <c r="F119" s="115"/>
      <c r="G119" s="112">
        <f t="shared" si="22"/>
        <v>0</v>
      </c>
      <c r="H119" s="115"/>
      <c r="I119" s="112">
        <f t="shared" si="14"/>
        <v>0</v>
      </c>
      <c r="J119" s="115"/>
      <c r="K119" s="143">
        <f t="shared" si="23"/>
        <v>0</v>
      </c>
      <c r="L119" s="115"/>
      <c r="M119" s="143">
        <f t="shared" si="24"/>
        <v>0</v>
      </c>
      <c r="N119" s="115"/>
      <c r="O119" s="143">
        <f t="shared" si="25"/>
        <v>0</v>
      </c>
      <c r="P119" s="115"/>
      <c r="Q119" s="112">
        <f t="shared" si="26"/>
        <v>0</v>
      </c>
      <c r="R119" s="115"/>
      <c r="S119" s="112">
        <f t="shared" si="35"/>
        <v>0</v>
      </c>
      <c r="T119" s="115"/>
      <c r="U119" s="143">
        <f t="shared" si="15"/>
        <v>0</v>
      </c>
      <c r="V119" s="115"/>
      <c r="W119" s="112">
        <f t="shared" si="36"/>
        <v>0</v>
      </c>
      <c r="X119" s="115"/>
      <c r="Y119" s="143">
        <f t="shared" si="37"/>
        <v>0</v>
      </c>
      <c r="Z119" s="115"/>
      <c r="AA119" s="112">
        <f t="shared" si="38"/>
        <v>0</v>
      </c>
      <c r="AB119" s="115"/>
      <c r="AC119" s="143">
        <f t="shared" si="39"/>
        <v>0</v>
      </c>
      <c r="AD119" s="113">
        <f t="shared" si="21"/>
        <v>0</v>
      </c>
      <c r="AE119" s="144">
        <f t="shared" si="40"/>
        <v>0</v>
      </c>
    </row>
    <row r="120" spans="1:31" ht="20.100000000000001" customHeight="1">
      <c r="A120" s="2">
        <v>96</v>
      </c>
      <c r="B120" s="2" t="s">
        <v>98</v>
      </c>
      <c r="C120" s="2" t="s">
        <v>14</v>
      </c>
      <c r="D120" s="2">
        <v>0.64</v>
      </c>
      <c r="E120" s="2" t="s">
        <v>24</v>
      </c>
      <c r="F120" s="115"/>
      <c r="G120" s="112">
        <f t="shared" si="22"/>
        <v>0</v>
      </c>
      <c r="H120" s="115"/>
      <c r="I120" s="112">
        <f t="shared" si="14"/>
        <v>0</v>
      </c>
      <c r="J120" s="115"/>
      <c r="K120" s="143">
        <f t="shared" si="23"/>
        <v>0</v>
      </c>
      <c r="L120" s="115"/>
      <c r="M120" s="143">
        <f t="shared" si="24"/>
        <v>0</v>
      </c>
      <c r="N120" s="115"/>
      <c r="O120" s="143">
        <f t="shared" si="25"/>
        <v>0</v>
      </c>
      <c r="P120" s="115"/>
      <c r="Q120" s="112">
        <f t="shared" si="26"/>
        <v>0</v>
      </c>
      <c r="R120" s="115"/>
      <c r="S120" s="112">
        <f t="shared" si="35"/>
        <v>0</v>
      </c>
      <c r="T120" s="115"/>
      <c r="U120" s="143">
        <f t="shared" si="15"/>
        <v>0</v>
      </c>
      <c r="V120" s="115"/>
      <c r="W120" s="112">
        <f>V120*$D120</f>
        <v>0</v>
      </c>
      <c r="X120" s="115"/>
      <c r="Y120" s="143">
        <f t="shared" si="37"/>
        <v>0</v>
      </c>
      <c r="Z120" s="115"/>
      <c r="AA120" s="112">
        <f t="shared" si="38"/>
        <v>0</v>
      </c>
      <c r="AB120" s="115"/>
      <c r="AC120" s="143">
        <f t="shared" si="39"/>
        <v>0</v>
      </c>
      <c r="AD120" s="113">
        <f t="shared" si="21"/>
        <v>0</v>
      </c>
      <c r="AE120" s="144">
        <f t="shared" si="40"/>
        <v>0</v>
      </c>
    </row>
    <row r="121" spans="1:31" ht="20.100000000000001" customHeight="1">
      <c r="A121" s="2">
        <v>97</v>
      </c>
      <c r="B121" s="2" t="s">
        <v>99</v>
      </c>
      <c r="C121" s="2"/>
      <c r="D121" s="2">
        <v>0.64</v>
      </c>
      <c r="E121" s="2"/>
      <c r="F121" s="115"/>
      <c r="G121" s="112">
        <f t="shared" si="22"/>
        <v>0</v>
      </c>
      <c r="H121" s="115"/>
      <c r="I121" s="112">
        <f t="shared" si="14"/>
        <v>0</v>
      </c>
      <c r="J121" s="115"/>
      <c r="K121" s="143">
        <f t="shared" si="23"/>
        <v>0</v>
      </c>
      <c r="L121" s="115"/>
      <c r="M121" s="143">
        <f t="shared" si="24"/>
        <v>0</v>
      </c>
      <c r="N121" s="115"/>
      <c r="O121" s="143">
        <f t="shared" si="25"/>
        <v>0</v>
      </c>
      <c r="P121" s="115"/>
      <c r="Q121" s="112">
        <f t="shared" si="26"/>
        <v>0</v>
      </c>
      <c r="R121" s="115"/>
      <c r="S121" s="112">
        <f t="shared" si="35"/>
        <v>0</v>
      </c>
      <c r="T121" s="115"/>
      <c r="U121" s="143">
        <f t="shared" si="15"/>
        <v>0</v>
      </c>
      <c r="V121" s="115"/>
      <c r="W121" s="112"/>
      <c r="X121" s="115"/>
      <c r="Y121" s="143">
        <f t="shared" si="37"/>
        <v>0</v>
      </c>
      <c r="Z121" s="115"/>
      <c r="AA121" s="112"/>
      <c r="AB121" s="115"/>
      <c r="AC121" s="112"/>
      <c r="AD121" s="113">
        <f t="shared" si="21"/>
        <v>0</v>
      </c>
      <c r="AE121" s="114"/>
    </row>
    <row r="122" spans="1:31" ht="20.100000000000001" customHeight="1">
      <c r="A122" s="2">
        <v>98</v>
      </c>
      <c r="B122" s="2" t="s">
        <v>100</v>
      </c>
      <c r="C122" s="2"/>
      <c r="D122" s="2">
        <v>0.64</v>
      </c>
      <c r="E122" s="2" t="s">
        <v>101</v>
      </c>
      <c r="F122" s="111">
        <v>680</v>
      </c>
      <c r="G122" s="112">
        <f t="shared" si="22"/>
        <v>435.2</v>
      </c>
      <c r="H122" s="111">
        <v>612</v>
      </c>
      <c r="I122" s="112">
        <f t="shared" si="14"/>
        <v>391.68</v>
      </c>
      <c r="J122" s="111">
        <v>612</v>
      </c>
      <c r="K122" s="143">
        <f t="shared" si="23"/>
        <v>391.68</v>
      </c>
      <c r="L122" s="111">
        <v>646</v>
      </c>
      <c r="M122" s="143">
        <f t="shared" si="24"/>
        <v>413.44</v>
      </c>
      <c r="N122" s="111"/>
      <c r="O122" s="143">
        <f t="shared" si="25"/>
        <v>0</v>
      </c>
      <c r="P122" s="111"/>
      <c r="Q122" s="112">
        <f t="shared" si="26"/>
        <v>0</v>
      </c>
      <c r="R122" s="111"/>
      <c r="S122" s="112">
        <f t="shared" si="35"/>
        <v>0</v>
      </c>
      <c r="T122" s="111"/>
      <c r="U122" s="143">
        <f t="shared" si="15"/>
        <v>0</v>
      </c>
      <c r="V122" s="111"/>
      <c r="W122" s="112">
        <f>V122*$D122</f>
        <v>0</v>
      </c>
      <c r="X122" s="111"/>
      <c r="Y122" s="143">
        <f t="shared" si="37"/>
        <v>0</v>
      </c>
      <c r="Z122" s="111"/>
      <c r="AA122" s="112">
        <f>Z122*$D122</f>
        <v>0</v>
      </c>
      <c r="AB122" s="111"/>
      <c r="AC122" s="112">
        <f>AB122*$D122</f>
        <v>0</v>
      </c>
      <c r="AD122" s="113">
        <f t="shared" si="21"/>
        <v>2550</v>
      </c>
      <c r="AE122" s="114">
        <f>AD122*$D122</f>
        <v>1632</v>
      </c>
    </row>
    <row r="123" spans="1:31" ht="20.100000000000001" customHeight="1">
      <c r="A123" s="2"/>
      <c r="B123" s="2"/>
      <c r="C123" s="2"/>
      <c r="D123" s="2"/>
      <c r="E123" s="9"/>
      <c r="F123" s="111"/>
      <c r="G123" s="112">
        <f t="shared" si="22"/>
        <v>0</v>
      </c>
      <c r="H123" s="111"/>
      <c r="I123" s="112">
        <f t="shared" si="14"/>
        <v>0</v>
      </c>
      <c r="J123" s="111"/>
      <c r="K123" s="143">
        <f t="shared" si="23"/>
        <v>0</v>
      </c>
      <c r="L123" s="111"/>
      <c r="M123" s="143">
        <f t="shared" si="24"/>
        <v>0</v>
      </c>
      <c r="N123" s="111"/>
      <c r="O123" s="143">
        <f t="shared" si="25"/>
        <v>0</v>
      </c>
      <c r="P123" s="111"/>
      <c r="Q123" s="112">
        <f t="shared" si="26"/>
        <v>0</v>
      </c>
      <c r="R123" s="111"/>
      <c r="S123" s="112">
        <f t="shared" si="35"/>
        <v>0</v>
      </c>
      <c r="T123" s="111"/>
      <c r="U123" s="143">
        <f t="shared" si="15"/>
        <v>0</v>
      </c>
      <c r="V123" s="111"/>
      <c r="W123" s="112">
        <f t="shared" ref="W123:W127" si="41">V123*$D123</f>
        <v>0</v>
      </c>
      <c r="X123" s="111"/>
      <c r="Y123" s="143">
        <f t="shared" si="37"/>
        <v>0</v>
      </c>
      <c r="Z123" s="111"/>
      <c r="AA123" s="112"/>
      <c r="AB123" s="111"/>
      <c r="AC123" s="112"/>
      <c r="AD123" s="113">
        <f t="shared" si="21"/>
        <v>0</v>
      </c>
      <c r="AE123" s="114"/>
    </row>
    <row r="124" spans="1:31" ht="20.100000000000001" customHeight="1">
      <c r="A124" s="2">
        <v>99</v>
      </c>
      <c r="B124" s="2" t="s">
        <v>102</v>
      </c>
      <c r="C124" s="2" t="s">
        <v>14</v>
      </c>
      <c r="D124" s="2">
        <v>0.7</v>
      </c>
      <c r="E124" s="2" t="s">
        <v>15</v>
      </c>
      <c r="F124" s="115"/>
      <c r="G124" s="112">
        <f t="shared" si="22"/>
        <v>0</v>
      </c>
      <c r="H124" s="115"/>
      <c r="I124" s="112">
        <f t="shared" si="14"/>
        <v>0</v>
      </c>
      <c r="J124" s="115"/>
      <c r="K124" s="143">
        <f t="shared" si="23"/>
        <v>0</v>
      </c>
      <c r="L124" s="115"/>
      <c r="M124" s="143">
        <f t="shared" si="24"/>
        <v>0</v>
      </c>
      <c r="N124" s="115"/>
      <c r="O124" s="143">
        <f t="shared" si="25"/>
        <v>0</v>
      </c>
      <c r="P124" s="115"/>
      <c r="Q124" s="112">
        <f t="shared" si="26"/>
        <v>0</v>
      </c>
      <c r="R124" s="115"/>
      <c r="S124" s="112">
        <f t="shared" si="35"/>
        <v>0</v>
      </c>
      <c r="T124" s="115"/>
      <c r="U124" s="143">
        <f t="shared" si="15"/>
        <v>0</v>
      </c>
      <c r="V124" s="115"/>
      <c r="W124" s="112">
        <f t="shared" si="41"/>
        <v>0</v>
      </c>
      <c r="X124" s="115"/>
      <c r="Y124" s="143">
        <f t="shared" si="37"/>
        <v>0</v>
      </c>
      <c r="Z124" s="115"/>
      <c r="AA124" s="112">
        <f>Z124*$D124</f>
        <v>0</v>
      </c>
      <c r="AB124" s="115"/>
      <c r="AC124" s="112">
        <f>AB124*$D124</f>
        <v>0</v>
      </c>
      <c r="AD124" s="113">
        <f t="shared" si="21"/>
        <v>0</v>
      </c>
      <c r="AE124" s="114">
        <f>AD124*$D124</f>
        <v>0</v>
      </c>
    </row>
    <row r="125" spans="1:31" ht="20.100000000000001" customHeight="1">
      <c r="A125" s="2">
        <v>100</v>
      </c>
      <c r="B125" s="2" t="s">
        <v>103</v>
      </c>
      <c r="C125" s="2"/>
      <c r="D125" s="2">
        <v>20</v>
      </c>
      <c r="E125" s="2">
        <v>1</v>
      </c>
      <c r="F125" s="115"/>
      <c r="G125" s="112">
        <f t="shared" si="22"/>
        <v>0</v>
      </c>
      <c r="H125" s="115"/>
      <c r="I125" s="112">
        <f t="shared" si="14"/>
        <v>0</v>
      </c>
      <c r="J125" s="115"/>
      <c r="K125" s="143">
        <f t="shared" si="23"/>
        <v>0</v>
      </c>
      <c r="L125" s="115"/>
      <c r="M125" s="143">
        <f t="shared" si="24"/>
        <v>0</v>
      </c>
      <c r="N125" s="115"/>
      <c r="O125" s="143">
        <f t="shared" si="25"/>
        <v>0</v>
      </c>
      <c r="P125" s="115"/>
      <c r="Q125" s="112">
        <f t="shared" si="26"/>
        <v>0</v>
      </c>
      <c r="R125" s="115"/>
      <c r="S125" s="112">
        <f t="shared" si="35"/>
        <v>0</v>
      </c>
      <c r="T125" s="115"/>
      <c r="U125" s="143">
        <f t="shared" si="15"/>
        <v>0</v>
      </c>
      <c r="V125" s="115"/>
      <c r="W125" s="112">
        <f t="shared" si="41"/>
        <v>0</v>
      </c>
      <c r="X125" s="115"/>
      <c r="Y125" s="143">
        <f t="shared" si="37"/>
        <v>0</v>
      </c>
      <c r="Z125" s="115"/>
      <c r="AA125" s="112">
        <f t="shared" ref="AA125" si="42">Z125*$E125</f>
        <v>0</v>
      </c>
      <c r="AB125" s="115"/>
      <c r="AC125" s="112">
        <f t="shared" ref="AC125" si="43">AB125*$E125</f>
        <v>0</v>
      </c>
      <c r="AD125" s="113">
        <f t="shared" si="21"/>
        <v>0</v>
      </c>
      <c r="AE125" s="114">
        <f t="shared" ref="AE125" si="44">AD125*$E125</f>
        <v>0</v>
      </c>
    </row>
    <row r="126" spans="1:31" ht="20.100000000000001" customHeight="1">
      <c r="A126" s="2"/>
      <c r="B126" s="2"/>
      <c r="C126" s="2"/>
      <c r="D126" s="2"/>
      <c r="E126" s="2"/>
      <c r="F126" s="115"/>
      <c r="G126" s="112">
        <f t="shared" si="22"/>
        <v>0</v>
      </c>
      <c r="H126" s="115"/>
      <c r="I126" s="112">
        <f t="shared" si="14"/>
        <v>0</v>
      </c>
      <c r="J126" s="115"/>
      <c r="K126" s="143">
        <f t="shared" si="23"/>
        <v>0</v>
      </c>
      <c r="L126" s="115"/>
      <c r="M126" s="143">
        <f t="shared" si="24"/>
        <v>0</v>
      </c>
      <c r="N126" s="115"/>
      <c r="O126" s="143">
        <f t="shared" si="25"/>
        <v>0</v>
      </c>
      <c r="P126" s="115"/>
      <c r="Q126" s="112">
        <f t="shared" si="26"/>
        <v>0</v>
      </c>
      <c r="R126" s="115"/>
      <c r="S126" s="112">
        <f t="shared" si="35"/>
        <v>0</v>
      </c>
      <c r="T126" s="115"/>
      <c r="U126" s="143">
        <f t="shared" si="15"/>
        <v>0</v>
      </c>
      <c r="V126" s="115"/>
      <c r="W126" s="112">
        <f t="shared" si="41"/>
        <v>0</v>
      </c>
      <c r="X126" s="115"/>
      <c r="Y126" s="112"/>
      <c r="Z126" s="115"/>
      <c r="AA126" s="112"/>
      <c r="AB126" s="115"/>
      <c r="AC126" s="112"/>
      <c r="AD126" s="113">
        <f t="shared" si="21"/>
        <v>0</v>
      </c>
      <c r="AE126" s="114"/>
    </row>
    <row r="127" spans="1:31" ht="20.100000000000001" customHeight="1">
      <c r="A127" s="2"/>
      <c r="B127" s="2"/>
      <c r="C127" s="2"/>
      <c r="D127" s="2"/>
      <c r="E127" s="2"/>
      <c r="F127" s="115"/>
      <c r="G127" s="112">
        <f t="shared" si="22"/>
        <v>0</v>
      </c>
      <c r="H127" s="115"/>
      <c r="I127" s="112"/>
      <c r="J127" s="115"/>
      <c r="K127" s="112"/>
      <c r="L127" s="115"/>
      <c r="M127" s="112"/>
      <c r="N127" s="115"/>
      <c r="O127" s="112"/>
      <c r="P127" s="115"/>
      <c r="Q127" s="112"/>
      <c r="R127" s="115"/>
      <c r="S127" s="112">
        <f t="shared" si="35"/>
        <v>0</v>
      </c>
      <c r="T127" s="115"/>
      <c r="U127" s="143">
        <f t="shared" si="15"/>
        <v>0</v>
      </c>
      <c r="V127" s="115"/>
      <c r="W127" s="112">
        <f t="shared" si="41"/>
        <v>0</v>
      </c>
      <c r="X127" s="115"/>
      <c r="Y127" s="112"/>
      <c r="Z127" s="115"/>
      <c r="AA127" s="112"/>
      <c r="AB127" s="115"/>
      <c r="AC127" s="112"/>
      <c r="AD127" s="113">
        <f t="shared" si="21"/>
        <v>0</v>
      </c>
      <c r="AE127" s="114"/>
    </row>
    <row r="128" spans="1:31" ht="20.100000000000001" customHeight="1">
      <c r="A128" s="2"/>
      <c r="B128" s="16"/>
      <c r="C128" s="16"/>
      <c r="D128" s="16"/>
      <c r="E128" s="9"/>
      <c r="F128" s="115"/>
      <c r="G128" s="112"/>
      <c r="H128" s="115"/>
      <c r="I128" s="112"/>
      <c r="J128" s="115"/>
      <c r="K128" s="112"/>
      <c r="L128" s="115"/>
      <c r="M128" s="112"/>
      <c r="N128" s="115"/>
      <c r="O128" s="112"/>
      <c r="P128" s="115"/>
      <c r="Q128" s="112"/>
      <c r="R128" s="115"/>
      <c r="S128" s="112"/>
      <c r="T128" s="115"/>
      <c r="U128" s="112"/>
      <c r="V128" s="115"/>
      <c r="W128" s="112"/>
      <c r="X128" s="115"/>
      <c r="Y128" s="112"/>
      <c r="Z128" s="115"/>
      <c r="AA128" s="112"/>
      <c r="AB128" s="115"/>
      <c r="AC128" s="112"/>
      <c r="AD128" s="113"/>
      <c r="AE128" s="114"/>
    </row>
    <row r="129" spans="1:31" ht="20.100000000000001" customHeight="1">
      <c r="A129" s="10"/>
      <c r="B129" s="73" t="s">
        <v>104</v>
      </c>
      <c r="C129" s="73"/>
      <c r="D129" s="74"/>
      <c r="E129" s="13"/>
      <c r="F129" s="116">
        <f t="shared" ref="F129:AE129" si="45">SUM(F4:F128)</f>
        <v>868076</v>
      </c>
      <c r="G129" s="117">
        <f t="shared" si="45"/>
        <v>561000.53</v>
      </c>
      <c r="H129" s="116">
        <f t="shared" si="45"/>
        <v>703567</v>
      </c>
      <c r="I129" s="117">
        <f t="shared" si="45"/>
        <v>453398.52</v>
      </c>
      <c r="J129" s="116">
        <f t="shared" si="45"/>
        <v>700409</v>
      </c>
      <c r="K129" s="117">
        <f t="shared" si="45"/>
        <v>453549.18999999994</v>
      </c>
      <c r="L129" s="116">
        <f t="shared" si="45"/>
        <v>687993</v>
      </c>
      <c r="M129" s="117">
        <f t="shared" si="45"/>
        <v>445211.09</v>
      </c>
      <c r="N129" s="116">
        <f t="shared" si="45"/>
        <v>596933</v>
      </c>
      <c r="O129" s="117">
        <f t="shared" si="45"/>
        <v>387230.60999999993</v>
      </c>
      <c r="P129" s="116">
        <f t="shared" si="45"/>
        <v>727689</v>
      </c>
      <c r="Q129" s="117">
        <f t="shared" si="45"/>
        <v>471066.70000000007</v>
      </c>
      <c r="R129" s="116">
        <f t="shared" si="45"/>
        <v>786996</v>
      </c>
      <c r="S129" s="117">
        <f t="shared" si="45"/>
        <v>509609.91000000003</v>
      </c>
      <c r="T129" s="116">
        <f t="shared" si="45"/>
        <v>788661</v>
      </c>
      <c r="U129" s="117">
        <f t="shared" si="45"/>
        <v>508896.12000000005</v>
      </c>
      <c r="V129" s="116">
        <f t="shared" si="45"/>
        <v>748311</v>
      </c>
      <c r="W129" s="117">
        <f t="shared" si="45"/>
        <v>484025.73000000004</v>
      </c>
      <c r="X129" s="116">
        <f t="shared" si="45"/>
        <v>831736</v>
      </c>
      <c r="Y129" s="117">
        <f t="shared" si="45"/>
        <v>536759.69999999995</v>
      </c>
      <c r="Z129" s="116">
        <f t="shared" si="45"/>
        <v>828638</v>
      </c>
      <c r="AA129" s="117">
        <f t="shared" si="45"/>
        <v>537132.14</v>
      </c>
      <c r="AB129" s="116">
        <f t="shared" si="45"/>
        <v>1032520</v>
      </c>
      <c r="AC129" s="117">
        <f t="shared" si="45"/>
        <v>667591.06000000006</v>
      </c>
      <c r="AD129" s="118">
        <f t="shared" si="45"/>
        <v>9301529</v>
      </c>
      <c r="AE129" s="119">
        <f t="shared" si="45"/>
        <v>6015471.2999999998</v>
      </c>
    </row>
    <row r="130" spans="1:31" ht="20.100000000000001" customHeight="1">
      <c r="A130" s="14"/>
      <c r="B130" s="16"/>
      <c r="C130" s="16"/>
      <c r="D130" s="16"/>
      <c r="E130" s="9"/>
      <c r="F130" s="115"/>
      <c r="G130" s="112"/>
      <c r="H130" s="115"/>
      <c r="I130" s="112"/>
      <c r="J130" s="115"/>
      <c r="K130" s="112"/>
      <c r="L130" s="115"/>
      <c r="M130" s="112"/>
      <c r="N130" s="115"/>
      <c r="O130" s="112"/>
      <c r="P130" s="115"/>
      <c r="Q130" s="112"/>
      <c r="R130" s="115"/>
      <c r="S130" s="112"/>
      <c r="T130" s="115"/>
      <c r="U130" s="112"/>
      <c r="V130" s="115"/>
      <c r="W130" s="112"/>
      <c r="X130" s="115"/>
      <c r="Y130" s="112"/>
      <c r="Z130" s="115"/>
      <c r="AA130" s="112"/>
      <c r="AB130" s="115"/>
      <c r="AC130" s="112"/>
      <c r="AD130" s="113"/>
      <c r="AE130" s="114"/>
    </row>
    <row r="131" spans="1:31" ht="20.100000000000001" customHeight="1">
      <c r="A131" s="2">
        <v>101</v>
      </c>
      <c r="B131" s="2" t="s">
        <v>105</v>
      </c>
      <c r="C131" s="2" t="s">
        <v>14</v>
      </c>
      <c r="D131" s="2">
        <v>0.7</v>
      </c>
      <c r="E131" s="2" t="s">
        <v>15</v>
      </c>
      <c r="F131" s="115">
        <v>209</v>
      </c>
      <c r="G131" s="143">
        <f>F131*$D131</f>
        <v>146.29999999999998</v>
      </c>
      <c r="H131" s="115">
        <v>392</v>
      </c>
      <c r="I131" s="143">
        <f>H131*D131</f>
        <v>274.39999999999998</v>
      </c>
      <c r="J131" s="115">
        <v>72</v>
      </c>
      <c r="K131" s="143">
        <f>J131*$D131</f>
        <v>50.4</v>
      </c>
      <c r="L131" s="115">
        <v>128</v>
      </c>
      <c r="M131" s="143">
        <f>L131*$D131</f>
        <v>89.6</v>
      </c>
      <c r="N131" s="115">
        <v>49</v>
      </c>
      <c r="O131" s="143">
        <f>N131*$D131</f>
        <v>34.299999999999997</v>
      </c>
      <c r="P131" s="115">
        <v>311</v>
      </c>
      <c r="Q131" s="143">
        <f>P131*$D131</f>
        <v>217.7</v>
      </c>
      <c r="R131" s="115">
        <v>71</v>
      </c>
      <c r="S131" s="143">
        <f>R131*$D131</f>
        <v>49.699999999999996</v>
      </c>
      <c r="T131" s="115">
        <v>60</v>
      </c>
      <c r="U131" s="112">
        <f>T131*$D131</f>
        <v>42</v>
      </c>
      <c r="V131" s="115">
        <v>33</v>
      </c>
      <c r="W131" s="143">
        <f>V131*$D131</f>
        <v>23.099999999999998</v>
      </c>
      <c r="X131" s="115">
        <v>75</v>
      </c>
      <c r="Y131" s="143">
        <f>X131*$D131</f>
        <v>52.5</v>
      </c>
      <c r="Z131" s="115">
        <v>18</v>
      </c>
      <c r="AA131" s="143">
        <f>Z131*$D131</f>
        <v>12.6</v>
      </c>
      <c r="AB131" s="115">
        <v>54</v>
      </c>
      <c r="AC131" s="143">
        <f>AB131*$D131</f>
        <v>37.799999999999997</v>
      </c>
      <c r="AD131" s="113">
        <f>(AB131+Z131+X131+V131+T131+R131+P131+N131+L131+J131+H131+F131)</f>
        <v>1472</v>
      </c>
      <c r="AE131" s="144">
        <f>AD131*$D131</f>
        <v>1030.3999999999999</v>
      </c>
    </row>
    <row r="132" spans="1:31" ht="20.100000000000001" customHeight="1">
      <c r="A132" s="2">
        <v>102</v>
      </c>
      <c r="B132" s="2" t="s">
        <v>106</v>
      </c>
      <c r="C132" s="2" t="s">
        <v>14</v>
      </c>
      <c r="D132" s="2">
        <v>0.35</v>
      </c>
      <c r="E132" s="2" t="s">
        <v>24</v>
      </c>
      <c r="F132" s="115">
        <v>102</v>
      </c>
      <c r="G132" s="143">
        <f t="shared" ref="G132:G142" si="46">F132*$D132</f>
        <v>35.699999999999996</v>
      </c>
      <c r="H132" s="115">
        <v>6</v>
      </c>
      <c r="I132" s="143">
        <f t="shared" ref="I132:I142" si="47">H132*D132</f>
        <v>2.0999999999999996</v>
      </c>
      <c r="J132" s="115"/>
      <c r="K132" s="143">
        <f t="shared" ref="K132:K142" si="48">J132*$D132</f>
        <v>0</v>
      </c>
      <c r="L132" s="115">
        <v>1</v>
      </c>
      <c r="M132" s="143">
        <f t="shared" ref="M132:M142" si="49">L132*$D132</f>
        <v>0.35</v>
      </c>
      <c r="N132" s="115"/>
      <c r="O132" s="143">
        <f t="shared" ref="O132:O142" si="50">N132*$D132</f>
        <v>0</v>
      </c>
      <c r="P132" s="115"/>
      <c r="Q132" s="143">
        <f t="shared" ref="Q132:Q142" si="51">P132*$D132</f>
        <v>0</v>
      </c>
      <c r="R132" s="115"/>
      <c r="S132" s="143">
        <f t="shared" ref="S132:S142" si="52">R132*$D132</f>
        <v>0</v>
      </c>
      <c r="T132" s="115"/>
      <c r="U132" s="112">
        <f t="shared" ref="U132:U142" si="53">T132*$D132</f>
        <v>0</v>
      </c>
      <c r="V132" s="115"/>
      <c r="W132" s="143">
        <f t="shared" ref="W132:W142" si="54">V132*$D132</f>
        <v>0</v>
      </c>
      <c r="X132" s="115">
        <v>12</v>
      </c>
      <c r="Y132" s="143">
        <f t="shared" ref="Y132:Y142" si="55">X132*$D132</f>
        <v>4.1999999999999993</v>
      </c>
      <c r="Z132" s="115">
        <v>12</v>
      </c>
      <c r="AA132" s="143">
        <f t="shared" ref="AA132:AA142" si="56">Z132*$D132</f>
        <v>4.1999999999999993</v>
      </c>
      <c r="AB132" s="115">
        <v>48</v>
      </c>
      <c r="AC132" s="143">
        <f t="shared" ref="AC132:AC142" si="57">AB132*$D132</f>
        <v>16.799999999999997</v>
      </c>
      <c r="AD132" s="113">
        <f t="shared" ref="AD132:AD142" si="58">(AB132+Z132+X132+V132+T132+R132+P132+N132+L132+J132+H132+F132)</f>
        <v>181</v>
      </c>
      <c r="AE132" s="144">
        <f t="shared" ref="AE132:AE142" si="59">AD132*$D132</f>
        <v>63.349999999999994</v>
      </c>
    </row>
    <row r="133" spans="1:31" ht="20.100000000000001" customHeight="1">
      <c r="A133" s="2">
        <v>103</v>
      </c>
      <c r="B133" s="2" t="s">
        <v>107</v>
      </c>
      <c r="C133" s="2" t="s">
        <v>14</v>
      </c>
      <c r="D133" s="2">
        <v>0.17499999999999999</v>
      </c>
      <c r="E133" s="2" t="s">
        <v>108</v>
      </c>
      <c r="F133" s="115"/>
      <c r="G133" s="143">
        <f t="shared" si="46"/>
        <v>0</v>
      </c>
      <c r="H133" s="115"/>
      <c r="I133" s="143">
        <f t="shared" si="47"/>
        <v>0</v>
      </c>
      <c r="J133" s="115"/>
      <c r="K133" s="143">
        <f t="shared" si="48"/>
        <v>0</v>
      </c>
      <c r="L133" s="115"/>
      <c r="M133" s="143">
        <f t="shared" si="49"/>
        <v>0</v>
      </c>
      <c r="N133" s="115"/>
      <c r="O133" s="143">
        <f t="shared" si="50"/>
        <v>0</v>
      </c>
      <c r="P133" s="115"/>
      <c r="Q133" s="143">
        <f t="shared" si="51"/>
        <v>0</v>
      </c>
      <c r="R133" s="115"/>
      <c r="S133" s="143">
        <f t="shared" si="52"/>
        <v>0</v>
      </c>
      <c r="T133" s="115"/>
      <c r="U133" s="112">
        <f t="shared" si="53"/>
        <v>0</v>
      </c>
      <c r="V133" s="115"/>
      <c r="W133" s="143">
        <f t="shared" si="54"/>
        <v>0</v>
      </c>
      <c r="X133" s="115"/>
      <c r="Y133" s="143">
        <f t="shared" si="55"/>
        <v>0</v>
      </c>
      <c r="Z133" s="115"/>
      <c r="AA133" s="143">
        <f t="shared" si="56"/>
        <v>0</v>
      </c>
      <c r="AB133" s="115"/>
      <c r="AC133" s="143">
        <f t="shared" si="57"/>
        <v>0</v>
      </c>
      <c r="AD133" s="113">
        <f t="shared" si="58"/>
        <v>0</v>
      </c>
      <c r="AE133" s="144">
        <f t="shared" si="59"/>
        <v>0</v>
      </c>
    </row>
    <row r="134" spans="1:31" ht="20.100000000000001" customHeight="1">
      <c r="A134" s="2">
        <v>104</v>
      </c>
      <c r="B134" s="2" t="s">
        <v>109</v>
      </c>
      <c r="C134" s="2" t="s">
        <v>14</v>
      </c>
      <c r="D134" s="2">
        <v>0.7</v>
      </c>
      <c r="E134" s="2" t="s">
        <v>15</v>
      </c>
      <c r="F134" s="115">
        <v>1243</v>
      </c>
      <c r="G134" s="143">
        <f t="shared" si="46"/>
        <v>870.09999999999991</v>
      </c>
      <c r="H134" s="115">
        <v>972</v>
      </c>
      <c r="I134" s="143">
        <f t="shared" si="47"/>
        <v>680.4</v>
      </c>
      <c r="J134" s="115">
        <v>910</v>
      </c>
      <c r="K134" s="143">
        <f t="shared" si="48"/>
        <v>637</v>
      </c>
      <c r="L134" s="115">
        <v>759</v>
      </c>
      <c r="M134" s="143">
        <f t="shared" si="49"/>
        <v>531.29999999999995</v>
      </c>
      <c r="N134" s="115">
        <v>837</v>
      </c>
      <c r="O134" s="143">
        <f t="shared" si="50"/>
        <v>585.9</v>
      </c>
      <c r="P134" s="115">
        <v>559</v>
      </c>
      <c r="Q134" s="143">
        <f t="shared" si="51"/>
        <v>391.29999999999995</v>
      </c>
      <c r="R134" s="115">
        <v>616</v>
      </c>
      <c r="S134" s="143">
        <f t="shared" si="52"/>
        <v>431.2</v>
      </c>
      <c r="T134" s="115">
        <v>671</v>
      </c>
      <c r="U134" s="112">
        <f t="shared" si="53"/>
        <v>469.7</v>
      </c>
      <c r="V134" s="115">
        <v>625</v>
      </c>
      <c r="W134" s="143">
        <f t="shared" si="54"/>
        <v>437.5</v>
      </c>
      <c r="X134" s="115">
        <v>439</v>
      </c>
      <c r="Y134" s="143">
        <f t="shared" si="55"/>
        <v>307.29999999999995</v>
      </c>
      <c r="Z134" s="115">
        <v>471</v>
      </c>
      <c r="AA134" s="143">
        <f t="shared" si="56"/>
        <v>329.7</v>
      </c>
      <c r="AB134" s="115">
        <v>1158</v>
      </c>
      <c r="AC134" s="143">
        <f t="shared" si="57"/>
        <v>810.59999999999991</v>
      </c>
      <c r="AD134" s="113">
        <f t="shared" si="58"/>
        <v>9260</v>
      </c>
      <c r="AE134" s="144">
        <f t="shared" si="59"/>
        <v>6482</v>
      </c>
    </row>
    <row r="135" spans="1:31" ht="20.100000000000001" customHeight="1">
      <c r="A135" s="2">
        <v>105</v>
      </c>
      <c r="B135" s="2" t="s">
        <v>110</v>
      </c>
      <c r="C135" s="2" t="s">
        <v>14</v>
      </c>
      <c r="D135" s="2">
        <v>0.35</v>
      </c>
      <c r="E135" s="2" t="s">
        <v>24</v>
      </c>
      <c r="F135" s="115">
        <v>2052</v>
      </c>
      <c r="G135" s="143">
        <f t="shared" si="46"/>
        <v>718.19999999999993</v>
      </c>
      <c r="H135" s="115">
        <v>1638</v>
      </c>
      <c r="I135" s="143">
        <f t="shared" si="47"/>
        <v>573.29999999999995</v>
      </c>
      <c r="J135" s="115">
        <v>925</v>
      </c>
      <c r="K135" s="143">
        <f t="shared" si="48"/>
        <v>323.75</v>
      </c>
      <c r="L135" s="115">
        <v>1689</v>
      </c>
      <c r="M135" s="143">
        <f t="shared" si="49"/>
        <v>591.15</v>
      </c>
      <c r="N135" s="115">
        <v>873</v>
      </c>
      <c r="O135" s="143">
        <f t="shared" si="50"/>
        <v>305.54999999999995</v>
      </c>
      <c r="P135" s="115">
        <v>858</v>
      </c>
      <c r="Q135" s="143">
        <f t="shared" si="51"/>
        <v>300.29999999999995</v>
      </c>
      <c r="R135" s="115">
        <v>644</v>
      </c>
      <c r="S135" s="143">
        <f t="shared" si="52"/>
        <v>225.39999999999998</v>
      </c>
      <c r="T135" s="115">
        <v>1074</v>
      </c>
      <c r="U135" s="112">
        <f t="shared" si="53"/>
        <v>375.9</v>
      </c>
      <c r="V135" s="115">
        <v>944</v>
      </c>
      <c r="W135" s="143">
        <f t="shared" si="54"/>
        <v>330.4</v>
      </c>
      <c r="X135" s="115">
        <v>821</v>
      </c>
      <c r="Y135" s="143">
        <f t="shared" si="55"/>
        <v>287.34999999999997</v>
      </c>
      <c r="Z135" s="115">
        <v>688</v>
      </c>
      <c r="AA135" s="143">
        <f t="shared" si="56"/>
        <v>240.79999999999998</v>
      </c>
      <c r="AB135" s="115">
        <v>1560</v>
      </c>
      <c r="AC135" s="143">
        <f t="shared" si="57"/>
        <v>546</v>
      </c>
      <c r="AD135" s="113">
        <f t="shared" si="58"/>
        <v>13766</v>
      </c>
      <c r="AE135" s="144">
        <f t="shared" si="59"/>
        <v>4818.0999999999995</v>
      </c>
    </row>
    <row r="136" spans="1:31" ht="20.100000000000001" customHeight="1">
      <c r="A136" s="2">
        <v>106</v>
      </c>
      <c r="B136" s="2" t="s">
        <v>111</v>
      </c>
      <c r="C136" s="2" t="s">
        <v>14</v>
      </c>
      <c r="D136" s="2">
        <v>0.17499999999999999</v>
      </c>
      <c r="E136" s="2" t="s">
        <v>108</v>
      </c>
      <c r="F136" s="115">
        <v>838</v>
      </c>
      <c r="G136" s="143">
        <f t="shared" si="46"/>
        <v>146.64999999999998</v>
      </c>
      <c r="H136" s="115">
        <v>532</v>
      </c>
      <c r="I136" s="143">
        <f t="shared" si="47"/>
        <v>93.1</v>
      </c>
      <c r="J136" s="115">
        <v>158</v>
      </c>
      <c r="K136" s="143">
        <f t="shared" si="48"/>
        <v>27.65</v>
      </c>
      <c r="L136" s="115">
        <v>492</v>
      </c>
      <c r="M136" s="143">
        <f t="shared" si="49"/>
        <v>86.1</v>
      </c>
      <c r="N136" s="115">
        <v>227</v>
      </c>
      <c r="O136" s="143">
        <f t="shared" si="50"/>
        <v>39.724999999999994</v>
      </c>
      <c r="P136" s="115">
        <v>272</v>
      </c>
      <c r="Q136" s="143">
        <f t="shared" si="51"/>
        <v>47.599999999999994</v>
      </c>
      <c r="R136" s="115">
        <v>245</v>
      </c>
      <c r="S136" s="143">
        <f t="shared" si="52"/>
        <v>42.875</v>
      </c>
      <c r="T136" s="115">
        <v>197</v>
      </c>
      <c r="U136" s="112">
        <f t="shared" si="53"/>
        <v>34.474999999999994</v>
      </c>
      <c r="V136" s="115">
        <v>392</v>
      </c>
      <c r="W136" s="143">
        <f t="shared" si="54"/>
        <v>68.599999999999994</v>
      </c>
      <c r="X136" s="115">
        <v>940</v>
      </c>
      <c r="Y136" s="143">
        <f t="shared" si="55"/>
        <v>164.5</v>
      </c>
      <c r="Z136" s="115">
        <v>160</v>
      </c>
      <c r="AA136" s="143">
        <f t="shared" si="56"/>
        <v>28</v>
      </c>
      <c r="AB136" s="115">
        <v>2595</v>
      </c>
      <c r="AC136" s="143">
        <f t="shared" si="57"/>
        <v>454.12499999999994</v>
      </c>
      <c r="AD136" s="113">
        <f t="shared" si="58"/>
        <v>7048</v>
      </c>
      <c r="AE136" s="144">
        <f t="shared" si="59"/>
        <v>1233.3999999999999</v>
      </c>
    </row>
    <row r="137" spans="1:31" ht="20.100000000000001" customHeight="1">
      <c r="A137" s="2">
        <v>107</v>
      </c>
      <c r="B137" s="2" t="s">
        <v>112</v>
      </c>
      <c r="C137" s="2" t="s">
        <v>14</v>
      </c>
      <c r="D137" s="2">
        <v>0.7</v>
      </c>
      <c r="E137" s="2" t="s">
        <v>15</v>
      </c>
      <c r="F137" s="115">
        <v>84</v>
      </c>
      <c r="G137" s="143">
        <f t="shared" si="46"/>
        <v>58.8</v>
      </c>
      <c r="H137" s="115">
        <v>216</v>
      </c>
      <c r="I137" s="143">
        <f t="shared" si="47"/>
        <v>151.19999999999999</v>
      </c>
      <c r="J137" s="115">
        <v>36</v>
      </c>
      <c r="K137" s="143">
        <f t="shared" si="48"/>
        <v>25.2</v>
      </c>
      <c r="L137" s="115">
        <v>96</v>
      </c>
      <c r="M137" s="143">
        <f t="shared" si="49"/>
        <v>67.199999999999989</v>
      </c>
      <c r="N137" s="115">
        <v>96</v>
      </c>
      <c r="O137" s="143">
        <f t="shared" si="50"/>
        <v>67.199999999999989</v>
      </c>
      <c r="P137" s="115">
        <v>96</v>
      </c>
      <c r="Q137" s="143">
        <f t="shared" si="51"/>
        <v>67.199999999999989</v>
      </c>
      <c r="R137" s="115">
        <v>156</v>
      </c>
      <c r="S137" s="143">
        <f t="shared" si="52"/>
        <v>109.19999999999999</v>
      </c>
      <c r="T137" s="115">
        <v>120</v>
      </c>
      <c r="U137" s="112">
        <f t="shared" si="53"/>
        <v>84</v>
      </c>
      <c r="V137" s="115">
        <v>228</v>
      </c>
      <c r="W137" s="143">
        <f t="shared" si="54"/>
        <v>159.6</v>
      </c>
      <c r="X137" s="115">
        <v>180</v>
      </c>
      <c r="Y137" s="143">
        <f t="shared" si="55"/>
        <v>125.99999999999999</v>
      </c>
      <c r="Z137" s="115">
        <v>216</v>
      </c>
      <c r="AA137" s="143">
        <f t="shared" si="56"/>
        <v>151.19999999999999</v>
      </c>
      <c r="AB137" s="115">
        <v>540</v>
      </c>
      <c r="AC137" s="143">
        <f t="shared" si="57"/>
        <v>378</v>
      </c>
      <c r="AD137" s="113">
        <f t="shared" si="58"/>
        <v>2064</v>
      </c>
      <c r="AE137" s="144">
        <f t="shared" si="59"/>
        <v>1444.8</v>
      </c>
    </row>
    <row r="138" spans="1:31" ht="20.100000000000001" customHeight="1">
      <c r="A138" s="2">
        <v>108</v>
      </c>
      <c r="B138" s="2" t="s">
        <v>113</v>
      </c>
      <c r="C138" s="2" t="s">
        <v>14</v>
      </c>
      <c r="D138" s="2">
        <v>0.7</v>
      </c>
      <c r="E138" s="2" t="s">
        <v>15</v>
      </c>
      <c r="F138" s="115"/>
      <c r="G138" s="143">
        <f t="shared" si="46"/>
        <v>0</v>
      </c>
      <c r="H138" s="115"/>
      <c r="I138" s="143">
        <f t="shared" si="47"/>
        <v>0</v>
      </c>
      <c r="J138" s="115"/>
      <c r="K138" s="143">
        <f t="shared" si="48"/>
        <v>0</v>
      </c>
      <c r="L138" s="115"/>
      <c r="M138" s="143">
        <f t="shared" si="49"/>
        <v>0</v>
      </c>
      <c r="N138" s="115"/>
      <c r="O138" s="143">
        <f t="shared" si="50"/>
        <v>0</v>
      </c>
      <c r="P138" s="115"/>
      <c r="Q138" s="143">
        <f t="shared" si="51"/>
        <v>0</v>
      </c>
      <c r="R138" s="115"/>
      <c r="S138" s="143">
        <f t="shared" si="52"/>
        <v>0</v>
      </c>
      <c r="T138" s="115"/>
      <c r="U138" s="112">
        <f t="shared" si="53"/>
        <v>0</v>
      </c>
      <c r="V138" s="115"/>
      <c r="W138" s="143">
        <f t="shared" si="54"/>
        <v>0</v>
      </c>
      <c r="X138" s="115"/>
      <c r="Y138" s="143">
        <f t="shared" si="55"/>
        <v>0</v>
      </c>
      <c r="Z138" s="115"/>
      <c r="AA138" s="143">
        <f t="shared" si="56"/>
        <v>0</v>
      </c>
      <c r="AB138" s="115"/>
      <c r="AC138" s="143">
        <f t="shared" si="57"/>
        <v>0</v>
      </c>
      <c r="AD138" s="113">
        <f t="shared" si="58"/>
        <v>0</v>
      </c>
      <c r="AE138" s="144">
        <f t="shared" si="59"/>
        <v>0</v>
      </c>
    </row>
    <row r="139" spans="1:31" ht="20.100000000000001" customHeight="1">
      <c r="A139" s="2">
        <v>109</v>
      </c>
      <c r="B139" s="2" t="s">
        <v>114</v>
      </c>
      <c r="C139" s="2" t="s">
        <v>14</v>
      </c>
      <c r="D139" s="2">
        <v>0.35</v>
      </c>
      <c r="E139" s="2" t="s">
        <v>24</v>
      </c>
      <c r="F139" s="115"/>
      <c r="G139" s="143">
        <f t="shared" si="46"/>
        <v>0</v>
      </c>
      <c r="H139" s="115"/>
      <c r="I139" s="143">
        <f t="shared" si="47"/>
        <v>0</v>
      </c>
      <c r="J139" s="115"/>
      <c r="K139" s="143">
        <f t="shared" si="48"/>
        <v>0</v>
      </c>
      <c r="L139" s="115"/>
      <c r="M139" s="143">
        <f t="shared" si="49"/>
        <v>0</v>
      </c>
      <c r="N139" s="115"/>
      <c r="O139" s="143">
        <f t="shared" si="50"/>
        <v>0</v>
      </c>
      <c r="P139" s="115"/>
      <c r="Q139" s="143">
        <f t="shared" si="51"/>
        <v>0</v>
      </c>
      <c r="R139" s="115"/>
      <c r="S139" s="143">
        <f t="shared" si="52"/>
        <v>0</v>
      </c>
      <c r="T139" s="115"/>
      <c r="U139" s="112">
        <f t="shared" si="53"/>
        <v>0</v>
      </c>
      <c r="V139" s="115"/>
      <c r="W139" s="143">
        <f t="shared" si="54"/>
        <v>0</v>
      </c>
      <c r="X139" s="115"/>
      <c r="Y139" s="143">
        <f t="shared" si="55"/>
        <v>0</v>
      </c>
      <c r="Z139" s="115"/>
      <c r="AA139" s="143">
        <f t="shared" si="56"/>
        <v>0</v>
      </c>
      <c r="AB139" s="115"/>
      <c r="AC139" s="143">
        <f t="shared" si="57"/>
        <v>0</v>
      </c>
      <c r="AD139" s="113">
        <f t="shared" si="58"/>
        <v>0</v>
      </c>
      <c r="AE139" s="144">
        <f t="shared" si="59"/>
        <v>0</v>
      </c>
    </row>
    <row r="140" spans="1:31" ht="20.100000000000001" customHeight="1">
      <c r="A140" s="2">
        <v>110</v>
      </c>
      <c r="B140" s="2" t="s">
        <v>115</v>
      </c>
      <c r="C140" s="2" t="s">
        <v>14</v>
      </c>
      <c r="D140" s="2">
        <v>0.7</v>
      </c>
      <c r="E140" s="2" t="s">
        <v>15</v>
      </c>
      <c r="F140" s="115"/>
      <c r="G140" s="143">
        <f t="shared" si="46"/>
        <v>0</v>
      </c>
      <c r="H140" s="115"/>
      <c r="I140" s="143">
        <f t="shared" si="47"/>
        <v>0</v>
      </c>
      <c r="J140" s="115"/>
      <c r="K140" s="143">
        <f t="shared" si="48"/>
        <v>0</v>
      </c>
      <c r="L140" s="115"/>
      <c r="M140" s="143">
        <f t="shared" si="49"/>
        <v>0</v>
      </c>
      <c r="N140" s="115"/>
      <c r="O140" s="143">
        <f t="shared" si="50"/>
        <v>0</v>
      </c>
      <c r="P140" s="115"/>
      <c r="Q140" s="143">
        <f t="shared" si="51"/>
        <v>0</v>
      </c>
      <c r="R140" s="115"/>
      <c r="S140" s="143">
        <f t="shared" si="52"/>
        <v>0</v>
      </c>
      <c r="T140" s="115"/>
      <c r="U140" s="112">
        <f t="shared" si="53"/>
        <v>0</v>
      </c>
      <c r="V140" s="115"/>
      <c r="W140" s="143">
        <f t="shared" si="54"/>
        <v>0</v>
      </c>
      <c r="X140" s="115"/>
      <c r="Y140" s="143">
        <f t="shared" si="55"/>
        <v>0</v>
      </c>
      <c r="Z140" s="115"/>
      <c r="AA140" s="143">
        <f t="shared" si="56"/>
        <v>0</v>
      </c>
      <c r="AB140" s="115"/>
      <c r="AC140" s="143">
        <f t="shared" si="57"/>
        <v>0</v>
      </c>
      <c r="AD140" s="113">
        <f t="shared" si="58"/>
        <v>0</v>
      </c>
      <c r="AE140" s="144">
        <f t="shared" si="59"/>
        <v>0</v>
      </c>
    </row>
    <row r="141" spans="1:31" ht="20.100000000000001" customHeight="1">
      <c r="A141" s="2">
        <v>111</v>
      </c>
      <c r="B141" s="2" t="s">
        <v>116</v>
      </c>
      <c r="C141" s="2" t="s">
        <v>14</v>
      </c>
      <c r="D141" s="2">
        <v>0.35</v>
      </c>
      <c r="E141" s="2" t="s">
        <v>24</v>
      </c>
      <c r="F141" s="115"/>
      <c r="G141" s="143">
        <f t="shared" si="46"/>
        <v>0</v>
      </c>
      <c r="H141" s="115"/>
      <c r="I141" s="143">
        <f t="shared" si="47"/>
        <v>0</v>
      </c>
      <c r="J141" s="115"/>
      <c r="K141" s="143">
        <f t="shared" si="48"/>
        <v>0</v>
      </c>
      <c r="L141" s="115"/>
      <c r="M141" s="143">
        <f t="shared" si="49"/>
        <v>0</v>
      </c>
      <c r="N141" s="115"/>
      <c r="O141" s="143">
        <f t="shared" si="50"/>
        <v>0</v>
      </c>
      <c r="P141" s="115"/>
      <c r="Q141" s="143">
        <f t="shared" si="51"/>
        <v>0</v>
      </c>
      <c r="R141" s="115"/>
      <c r="S141" s="143">
        <f t="shared" si="52"/>
        <v>0</v>
      </c>
      <c r="T141" s="115"/>
      <c r="U141" s="112">
        <f t="shared" si="53"/>
        <v>0</v>
      </c>
      <c r="V141" s="115"/>
      <c r="W141" s="143">
        <f t="shared" si="54"/>
        <v>0</v>
      </c>
      <c r="X141" s="115"/>
      <c r="Y141" s="143">
        <f t="shared" si="55"/>
        <v>0</v>
      </c>
      <c r="Z141" s="115"/>
      <c r="AA141" s="143">
        <f t="shared" si="56"/>
        <v>0</v>
      </c>
      <c r="AB141" s="115"/>
      <c r="AC141" s="143">
        <f t="shared" si="57"/>
        <v>0</v>
      </c>
      <c r="AD141" s="113">
        <f t="shared" si="58"/>
        <v>0</v>
      </c>
      <c r="AE141" s="144">
        <f t="shared" si="59"/>
        <v>0</v>
      </c>
    </row>
    <row r="142" spans="1:31" ht="20.100000000000001" customHeight="1">
      <c r="A142" s="2">
        <v>112</v>
      </c>
      <c r="B142" s="16" t="s">
        <v>117</v>
      </c>
      <c r="C142" s="16" t="s">
        <v>14</v>
      </c>
      <c r="D142" s="2">
        <v>0.7</v>
      </c>
      <c r="E142" s="15" t="s">
        <v>118</v>
      </c>
      <c r="F142" s="115"/>
      <c r="G142" s="143">
        <f t="shared" si="46"/>
        <v>0</v>
      </c>
      <c r="H142" s="115"/>
      <c r="I142" s="143">
        <f t="shared" si="47"/>
        <v>0</v>
      </c>
      <c r="J142" s="115"/>
      <c r="K142" s="143">
        <f t="shared" si="48"/>
        <v>0</v>
      </c>
      <c r="L142" s="115"/>
      <c r="M142" s="143">
        <f t="shared" si="49"/>
        <v>0</v>
      </c>
      <c r="N142" s="115"/>
      <c r="O142" s="143">
        <f t="shared" si="50"/>
        <v>0</v>
      </c>
      <c r="P142" s="115"/>
      <c r="Q142" s="143">
        <f t="shared" si="51"/>
        <v>0</v>
      </c>
      <c r="R142" s="115"/>
      <c r="S142" s="143">
        <f t="shared" si="52"/>
        <v>0</v>
      </c>
      <c r="T142" s="115"/>
      <c r="U142" s="112">
        <f t="shared" si="53"/>
        <v>0</v>
      </c>
      <c r="V142" s="115"/>
      <c r="W142" s="143">
        <f t="shared" si="54"/>
        <v>0</v>
      </c>
      <c r="X142" s="115"/>
      <c r="Y142" s="143">
        <f t="shared" si="55"/>
        <v>0</v>
      </c>
      <c r="Z142" s="115"/>
      <c r="AA142" s="143">
        <f t="shared" si="56"/>
        <v>0</v>
      </c>
      <c r="AB142" s="115"/>
      <c r="AC142" s="143">
        <f t="shared" si="57"/>
        <v>0</v>
      </c>
      <c r="AD142" s="113">
        <f t="shared" si="58"/>
        <v>0</v>
      </c>
      <c r="AE142" s="144">
        <f t="shared" si="59"/>
        <v>0</v>
      </c>
    </row>
    <row r="143" spans="1:31" ht="20.100000000000001" customHeight="1">
      <c r="A143" s="16"/>
      <c r="B143" s="16"/>
      <c r="C143" s="16"/>
      <c r="D143" s="16"/>
      <c r="E143" s="9"/>
      <c r="F143" s="115"/>
      <c r="G143" s="112"/>
      <c r="H143" s="115"/>
      <c r="I143" s="112"/>
      <c r="J143" s="115"/>
      <c r="K143" s="112"/>
      <c r="L143" s="115"/>
      <c r="M143" s="112"/>
      <c r="N143" s="115"/>
      <c r="O143" s="112"/>
      <c r="P143" s="115"/>
      <c r="Q143" s="112"/>
      <c r="R143" s="115"/>
      <c r="S143" s="112"/>
      <c r="T143" s="115"/>
      <c r="U143" s="112"/>
      <c r="V143" s="115"/>
      <c r="W143" s="112"/>
      <c r="X143" s="115"/>
      <c r="Y143" s="112"/>
      <c r="Z143" s="115"/>
      <c r="AA143" s="112"/>
      <c r="AB143" s="115"/>
      <c r="AC143" s="112"/>
      <c r="AD143" s="113"/>
      <c r="AE143" s="114"/>
    </row>
    <row r="144" spans="1:31" ht="20.100000000000001" customHeight="1">
      <c r="A144" s="17"/>
      <c r="B144" s="73" t="s">
        <v>119</v>
      </c>
      <c r="C144" s="73"/>
      <c r="D144" s="73"/>
      <c r="E144" s="13"/>
      <c r="F144" s="116">
        <f t="shared" ref="F144:AE144" si="60">SUM(F130:F143)</f>
        <v>4528</v>
      </c>
      <c r="G144" s="117">
        <f t="shared" si="60"/>
        <v>1975.7499999999998</v>
      </c>
      <c r="H144" s="116">
        <f t="shared" si="60"/>
        <v>3756</v>
      </c>
      <c r="I144" s="117">
        <f t="shared" si="60"/>
        <v>1774.4999999999998</v>
      </c>
      <c r="J144" s="116">
        <f t="shared" si="60"/>
        <v>2101</v>
      </c>
      <c r="K144" s="117">
        <f t="shared" si="60"/>
        <v>1064</v>
      </c>
      <c r="L144" s="116">
        <f t="shared" si="60"/>
        <v>3165</v>
      </c>
      <c r="M144" s="117">
        <f t="shared" si="60"/>
        <v>1365.7</v>
      </c>
      <c r="N144" s="116">
        <f t="shared" si="60"/>
        <v>2082</v>
      </c>
      <c r="O144" s="117">
        <f t="shared" si="60"/>
        <v>1032.675</v>
      </c>
      <c r="P144" s="116">
        <f t="shared" si="60"/>
        <v>2096</v>
      </c>
      <c r="Q144" s="117">
        <f t="shared" si="60"/>
        <v>1024.0999999999999</v>
      </c>
      <c r="R144" s="116">
        <f t="shared" si="60"/>
        <v>1732</v>
      </c>
      <c r="S144" s="117">
        <f t="shared" si="60"/>
        <v>858.375</v>
      </c>
      <c r="T144" s="116">
        <f t="shared" si="60"/>
        <v>2122</v>
      </c>
      <c r="U144" s="117">
        <f t="shared" si="60"/>
        <v>1006.0749999999999</v>
      </c>
      <c r="V144" s="116">
        <f t="shared" si="60"/>
        <v>2222</v>
      </c>
      <c r="W144" s="117">
        <f t="shared" si="60"/>
        <v>1019.2</v>
      </c>
      <c r="X144" s="116">
        <f t="shared" si="60"/>
        <v>2467</v>
      </c>
      <c r="Y144" s="117">
        <f t="shared" si="60"/>
        <v>941.84999999999991</v>
      </c>
      <c r="Z144" s="116">
        <f t="shared" si="60"/>
        <v>1565</v>
      </c>
      <c r="AA144" s="117">
        <f t="shared" si="60"/>
        <v>766.5</v>
      </c>
      <c r="AB144" s="116">
        <f t="shared" si="60"/>
        <v>5955</v>
      </c>
      <c r="AC144" s="117">
        <f t="shared" si="60"/>
        <v>2243.3249999999998</v>
      </c>
      <c r="AD144" s="118">
        <f t="shared" si="60"/>
        <v>33791</v>
      </c>
      <c r="AE144" s="119">
        <f t="shared" si="60"/>
        <v>15072.049999999997</v>
      </c>
    </row>
    <row r="145" spans="1:31" ht="20.100000000000001" customHeight="1">
      <c r="A145" s="75"/>
      <c r="B145" s="74" t="s">
        <v>120</v>
      </c>
      <c r="C145" s="74"/>
      <c r="D145" s="74"/>
      <c r="E145" s="74"/>
      <c r="F145" s="120">
        <f t="shared" ref="F145:AE145" si="61">+F129+F144</f>
        <v>872604</v>
      </c>
      <c r="G145" s="121">
        <f t="shared" si="61"/>
        <v>562976.28</v>
      </c>
      <c r="H145" s="120">
        <f t="shared" si="61"/>
        <v>707323</v>
      </c>
      <c r="I145" s="121">
        <f t="shared" si="61"/>
        <v>455173.02</v>
      </c>
      <c r="J145" s="120">
        <f t="shared" si="61"/>
        <v>702510</v>
      </c>
      <c r="K145" s="121">
        <f t="shared" si="61"/>
        <v>454613.18999999994</v>
      </c>
      <c r="L145" s="120">
        <f t="shared" si="61"/>
        <v>691158</v>
      </c>
      <c r="M145" s="121">
        <f t="shared" si="61"/>
        <v>446576.79000000004</v>
      </c>
      <c r="N145" s="120">
        <f t="shared" si="61"/>
        <v>599015</v>
      </c>
      <c r="O145" s="121">
        <f t="shared" si="61"/>
        <v>388263.28499999992</v>
      </c>
      <c r="P145" s="120">
        <f t="shared" si="61"/>
        <v>729785</v>
      </c>
      <c r="Q145" s="121">
        <f t="shared" si="61"/>
        <v>472090.80000000005</v>
      </c>
      <c r="R145" s="120">
        <f t="shared" si="61"/>
        <v>788728</v>
      </c>
      <c r="S145" s="121">
        <f t="shared" si="61"/>
        <v>510468.28500000003</v>
      </c>
      <c r="T145" s="120">
        <f t="shared" si="61"/>
        <v>790783</v>
      </c>
      <c r="U145" s="121">
        <f t="shared" si="61"/>
        <v>509902.19500000007</v>
      </c>
      <c r="V145" s="120">
        <f t="shared" si="61"/>
        <v>750533</v>
      </c>
      <c r="W145" s="121">
        <f t="shared" si="61"/>
        <v>485044.93000000005</v>
      </c>
      <c r="X145" s="120">
        <f t="shared" si="61"/>
        <v>834203</v>
      </c>
      <c r="Y145" s="121">
        <f t="shared" si="61"/>
        <v>537701.54999999993</v>
      </c>
      <c r="Z145" s="120">
        <f t="shared" si="61"/>
        <v>830203</v>
      </c>
      <c r="AA145" s="121">
        <f t="shared" si="61"/>
        <v>537898.64</v>
      </c>
      <c r="AB145" s="120">
        <f t="shared" si="61"/>
        <v>1038475</v>
      </c>
      <c r="AC145" s="121">
        <f t="shared" si="61"/>
        <v>669834.38500000001</v>
      </c>
      <c r="AD145" s="122">
        <f t="shared" si="61"/>
        <v>9335320</v>
      </c>
      <c r="AE145" s="119">
        <f t="shared" si="61"/>
        <v>6030543.3499999996</v>
      </c>
    </row>
  </sheetData>
  <mergeCells count="19">
    <mergeCell ref="A1:C1"/>
    <mergeCell ref="F2:G2"/>
    <mergeCell ref="H2:I2"/>
    <mergeCell ref="J2:K2"/>
    <mergeCell ref="L2:M2"/>
    <mergeCell ref="A2:A3"/>
    <mergeCell ref="B2:B3"/>
    <mergeCell ref="C2:C3"/>
    <mergeCell ref="D2:D3"/>
    <mergeCell ref="E2:E3"/>
    <mergeCell ref="Z2:AA2"/>
    <mergeCell ref="AB2:AC2"/>
    <mergeCell ref="AD2:AE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5"/>
  <sheetViews>
    <sheetView topLeftCell="A10" workbookViewId="0">
      <selection activeCell="D11" sqref="D11"/>
    </sheetView>
  </sheetViews>
  <sheetFormatPr defaultRowHeight="21"/>
  <cols>
    <col min="1" max="1" width="3.7109375" customWidth="1"/>
    <col min="2" max="2" width="21" customWidth="1"/>
    <col min="3" max="3" width="9.140625" customWidth="1"/>
    <col min="4" max="4" width="11.28515625" customWidth="1"/>
    <col min="5" max="5" width="11.85546875" customWidth="1"/>
    <col min="7" max="7" width="10.42578125" hidden="1" customWidth="1"/>
    <col min="9" max="9" width="10.42578125" hidden="1" customWidth="1"/>
    <col min="11" max="11" width="10.140625" hidden="1" customWidth="1"/>
    <col min="13" max="13" width="10.140625" hidden="1" customWidth="1"/>
    <col min="15" max="15" width="10.140625" hidden="1" customWidth="1"/>
    <col min="17" max="17" width="10.5703125" hidden="1" customWidth="1"/>
    <col min="19" max="19" width="10.42578125" hidden="1" customWidth="1"/>
    <col min="21" max="21" width="10.85546875" hidden="1" customWidth="1"/>
    <col min="23" max="23" width="10.140625" hidden="1" customWidth="1"/>
    <col min="25" max="25" width="9.85546875" hidden="1" customWidth="1"/>
    <col min="27" max="27" width="10" hidden="1" customWidth="1"/>
    <col min="29" max="29" width="10.5703125" hidden="1" customWidth="1"/>
    <col min="30" max="30" width="11.7109375" customWidth="1"/>
    <col min="31" max="31" width="14.28515625" customWidth="1"/>
  </cols>
  <sheetData>
    <row r="1" spans="1:31" ht="24.75">
      <c r="A1" s="258" t="s">
        <v>0</v>
      </c>
      <c r="B1" s="258"/>
      <c r="C1" s="258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45292</v>
      </c>
      <c r="G2" s="253"/>
      <c r="H2" s="252">
        <v>45323</v>
      </c>
      <c r="I2" s="253"/>
      <c r="J2" s="252">
        <v>45352</v>
      </c>
      <c r="K2" s="253"/>
      <c r="L2" s="252">
        <v>45383</v>
      </c>
      <c r="M2" s="253"/>
      <c r="N2" s="252">
        <v>45413</v>
      </c>
      <c r="O2" s="253"/>
      <c r="P2" s="252">
        <v>45444</v>
      </c>
      <c r="Q2" s="253"/>
      <c r="R2" s="252">
        <v>45474</v>
      </c>
      <c r="S2" s="253"/>
      <c r="T2" s="252">
        <v>45505</v>
      </c>
      <c r="U2" s="253"/>
      <c r="V2" s="252">
        <v>45536</v>
      </c>
      <c r="W2" s="253"/>
      <c r="X2" s="252">
        <v>45566</v>
      </c>
      <c r="Y2" s="253"/>
      <c r="Z2" s="252">
        <v>45597</v>
      </c>
      <c r="AA2" s="253"/>
      <c r="AB2" s="252">
        <v>45627</v>
      </c>
      <c r="AC2" s="253"/>
      <c r="AD2" s="256" t="s">
        <v>9</v>
      </c>
      <c r="AE2" s="257"/>
    </row>
    <row r="3" spans="1:31">
      <c r="A3" s="238"/>
      <c r="B3" s="238"/>
      <c r="C3" s="238"/>
      <c r="D3" s="240"/>
      <c r="E3" s="240"/>
      <c r="F3" s="55" t="s">
        <v>11</v>
      </c>
      <c r="G3" s="56" t="s">
        <v>12</v>
      </c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83" t="s">
        <v>11</v>
      </c>
      <c r="AE3" s="84" t="s">
        <v>12</v>
      </c>
    </row>
    <row r="4" spans="1:31" ht="20.100000000000001" customHeight="1">
      <c r="A4" s="63">
        <v>1</v>
      </c>
      <c r="B4" s="63" t="s">
        <v>13</v>
      </c>
      <c r="C4" s="63" t="s">
        <v>14</v>
      </c>
      <c r="D4" s="63">
        <v>0.7</v>
      </c>
      <c r="E4" s="63" t="s">
        <v>15</v>
      </c>
      <c r="F4" s="146">
        <v>2178</v>
      </c>
      <c r="G4" s="147">
        <f>F4*$D4</f>
        <v>1524.6</v>
      </c>
      <c r="H4" s="92">
        <v>2118</v>
      </c>
      <c r="I4" s="147">
        <f>H4*$D4</f>
        <v>1482.6</v>
      </c>
      <c r="J4" s="92">
        <v>2737</v>
      </c>
      <c r="K4" s="147">
        <f>J4*$D4</f>
        <v>1915.8999999999999</v>
      </c>
      <c r="L4" s="92">
        <v>2268</v>
      </c>
      <c r="M4" s="147">
        <f>L4*$D4</f>
        <v>1587.6</v>
      </c>
      <c r="N4" s="92">
        <v>1992</v>
      </c>
      <c r="O4" s="147">
        <f>N4*$D4</f>
        <v>1394.3999999999999</v>
      </c>
      <c r="P4" s="92">
        <v>1452</v>
      </c>
      <c r="Q4" s="147">
        <f>P4*$D4</f>
        <v>1016.4</v>
      </c>
      <c r="R4" s="92">
        <v>2598</v>
      </c>
      <c r="S4" s="147">
        <f>R4*$D4</f>
        <v>1818.6</v>
      </c>
      <c r="T4" s="92">
        <v>2496</v>
      </c>
      <c r="U4" s="147">
        <f>T4*$D4</f>
        <v>1747.1999999999998</v>
      </c>
      <c r="V4" s="92">
        <v>1668</v>
      </c>
      <c r="W4" s="147">
        <f>V4*$D4</f>
        <v>1167.5999999999999</v>
      </c>
      <c r="X4" s="92">
        <v>948</v>
      </c>
      <c r="Y4" s="147">
        <f>X4*$D4</f>
        <v>663.59999999999991</v>
      </c>
      <c r="Z4" s="92">
        <v>1212</v>
      </c>
      <c r="AA4" s="147">
        <f>Z4*$D4</f>
        <v>848.4</v>
      </c>
      <c r="AB4" s="7">
        <v>3264</v>
      </c>
      <c r="AC4" s="147">
        <f>AB4*$D4</f>
        <v>2284.7999999999997</v>
      </c>
      <c r="AD4" s="94">
        <f>(AB4+Z4+X4+V4+T4+R4+P4+N4+L4+J4+H4+F4)</f>
        <v>24931</v>
      </c>
      <c r="AE4" s="148">
        <f>AD4*$D4</f>
        <v>17451.699999999997</v>
      </c>
    </row>
    <row r="5" spans="1:31" ht="20.100000000000001" customHeight="1">
      <c r="A5" s="63"/>
      <c r="B5" s="63"/>
      <c r="C5" s="63"/>
      <c r="D5" s="63"/>
      <c r="E5" s="63"/>
      <c r="F5" s="7"/>
      <c r="G5" s="147">
        <f t="shared" ref="G5:G64" si="0">F5*$D5</f>
        <v>0</v>
      </c>
      <c r="H5" s="7"/>
      <c r="I5" s="147">
        <f t="shared" ref="I5:I64" si="1">H5*$D5</f>
        <v>0</v>
      </c>
      <c r="J5" s="7"/>
      <c r="K5" s="147">
        <f t="shared" ref="K5:K64" si="2">J5*$D5</f>
        <v>0</v>
      </c>
      <c r="L5" s="7"/>
      <c r="M5" s="147">
        <f t="shared" ref="M5:M64" si="3">L5*$D5</f>
        <v>0</v>
      </c>
      <c r="N5" s="7"/>
      <c r="O5" s="147">
        <f t="shared" ref="O5:O64" si="4">N5*$D5</f>
        <v>0</v>
      </c>
      <c r="P5" s="7"/>
      <c r="Q5" s="147">
        <f t="shared" ref="Q5:Q64" si="5">P5*$D5</f>
        <v>0</v>
      </c>
      <c r="R5" s="7"/>
      <c r="S5" s="147">
        <f t="shared" ref="S5:S64" si="6">R5*$D5</f>
        <v>0</v>
      </c>
      <c r="T5" s="7"/>
      <c r="U5" s="147">
        <f t="shared" ref="U5:U64" si="7">T5*$D5</f>
        <v>0</v>
      </c>
      <c r="V5" s="7"/>
      <c r="W5" s="147">
        <f t="shared" ref="W5:W64" si="8">V5*$D5</f>
        <v>0</v>
      </c>
      <c r="X5" s="7"/>
      <c r="Y5" s="147">
        <f t="shared" ref="Y5:Y64" si="9">X5*$D5</f>
        <v>0</v>
      </c>
      <c r="Z5" s="7"/>
      <c r="AA5" s="147">
        <f t="shared" ref="AA5:AA64" si="10">Z5*$D5</f>
        <v>0</v>
      </c>
      <c r="AB5" s="7"/>
      <c r="AC5" s="147">
        <f t="shared" ref="AC5:AC64" si="11">AB5*$D5</f>
        <v>0</v>
      </c>
      <c r="AD5" s="94">
        <f t="shared" ref="AD5:AD68" si="12">(AB5+Z5+X5+V5+T5+R5+P5+N5+L5+J5+H5+F5)</f>
        <v>0</v>
      </c>
      <c r="AE5" s="148">
        <f t="shared" ref="AE5:AE64" si="13">AD5*$D5</f>
        <v>0</v>
      </c>
    </row>
    <row r="6" spans="1:31" ht="20.100000000000001" customHeight="1">
      <c r="A6" s="63">
        <v>2</v>
      </c>
      <c r="B6" s="63" t="s">
        <v>16</v>
      </c>
      <c r="C6" s="63" t="s">
        <v>17</v>
      </c>
      <c r="D6" s="63">
        <v>1</v>
      </c>
      <c r="E6" s="63" t="s">
        <v>15</v>
      </c>
      <c r="F6" s="7"/>
      <c r="G6" s="147">
        <f t="shared" si="0"/>
        <v>0</v>
      </c>
      <c r="H6" s="7"/>
      <c r="I6" s="147">
        <f t="shared" si="1"/>
        <v>0</v>
      </c>
      <c r="J6" s="7"/>
      <c r="K6" s="147">
        <f t="shared" si="2"/>
        <v>0</v>
      </c>
      <c r="L6" s="7"/>
      <c r="M6" s="147">
        <f t="shared" si="3"/>
        <v>0</v>
      </c>
      <c r="N6" s="7"/>
      <c r="O6" s="147">
        <f t="shared" si="4"/>
        <v>0</v>
      </c>
      <c r="P6" s="7"/>
      <c r="Q6" s="147">
        <f t="shared" si="5"/>
        <v>0</v>
      </c>
      <c r="R6" s="7"/>
      <c r="S6" s="147">
        <f t="shared" si="6"/>
        <v>0</v>
      </c>
      <c r="T6" s="7"/>
      <c r="U6" s="147">
        <f t="shared" si="7"/>
        <v>0</v>
      </c>
      <c r="V6" s="7"/>
      <c r="W6" s="147">
        <f t="shared" si="8"/>
        <v>0</v>
      </c>
      <c r="X6" s="7"/>
      <c r="Y6" s="147">
        <f t="shared" si="9"/>
        <v>0</v>
      </c>
      <c r="Z6" s="7"/>
      <c r="AA6" s="147">
        <f t="shared" si="10"/>
        <v>0</v>
      </c>
      <c r="AB6" s="7"/>
      <c r="AC6" s="147">
        <f t="shared" si="11"/>
        <v>0</v>
      </c>
      <c r="AD6" s="94">
        <f t="shared" si="12"/>
        <v>0</v>
      </c>
      <c r="AE6" s="148">
        <f t="shared" si="13"/>
        <v>0</v>
      </c>
    </row>
    <row r="7" spans="1:31" ht="20.100000000000001" customHeight="1">
      <c r="A7" s="63">
        <v>3</v>
      </c>
      <c r="B7" s="63" t="s">
        <v>18</v>
      </c>
      <c r="C7" s="63" t="s">
        <v>17</v>
      </c>
      <c r="D7" s="63">
        <v>1</v>
      </c>
      <c r="E7" s="63" t="s">
        <v>15</v>
      </c>
      <c r="F7" s="92"/>
      <c r="G7" s="147">
        <f t="shared" si="0"/>
        <v>0</v>
      </c>
      <c r="H7" s="92">
        <v>240</v>
      </c>
      <c r="I7" s="147">
        <f t="shared" si="1"/>
        <v>240</v>
      </c>
      <c r="J7" s="92"/>
      <c r="K7" s="147">
        <f t="shared" si="2"/>
        <v>0</v>
      </c>
      <c r="L7" s="92"/>
      <c r="M7" s="147">
        <f t="shared" si="3"/>
        <v>0</v>
      </c>
      <c r="N7" s="92">
        <v>660</v>
      </c>
      <c r="O7" s="147">
        <f t="shared" si="4"/>
        <v>660</v>
      </c>
      <c r="P7" s="92"/>
      <c r="Q7" s="147">
        <f t="shared" si="5"/>
        <v>0</v>
      </c>
      <c r="R7" s="92"/>
      <c r="S7" s="147">
        <f>R7*$D7</f>
        <v>0</v>
      </c>
      <c r="T7" s="92"/>
      <c r="U7" s="147">
        <f t="shared" si="7"/>
        <v>0</v>
      </c>
      <c r="V7" s="92"/>
      <c r="W7" s="147">
        <f t="shared" si="8"/>
        <v>0</v>
      </c>
      <c r="X7" s="92"/>
      <c r="Y7" s="147">
        <f t="shared" si="9"/>
        <v>0</v>
      </c>
      <c r="Z7" s="92"/>
      <c r="AA7" s="147">
        <f t="shared" si="10"/>
        <v>0</v>
      </c>
      <c r="AB7" s="7"/>
      <c r="AC7" s="147">
        <f t="shared" si="11"/>
        <v>0</v>
      </c>
      <c r="AD7" s="94">
        <f t="shared" si="12"/>
        <v>900</v>
      </c>
      <c r="AE7" s="148">
        <f t="shared" si="13"/>
        <v>900</v>
      </c>
    </row>
    <row r="8" spans="1:31" ht="20.100000000000001" customHeight="1">
      <c r="A8" s="63">
        <v>4</v>
      </c>
      <c r="B8" s="63" t="s">
        <v>19</v>
      </c>
      <c r="C8" s="63" t="s">
        <v>17</v>
      </c>
      <c r="D8" s="63">
        <v>0.6</v>
      </c>
      <c r="E8" s="63" t="s">
        <v>15</v>
      </c>
      <c r="F8" s="7"/>
      <c r="G8" s="147">
        <f t="shared" si="0"/>
        <v>0</v>
      </c>
      <c r="H8" s="7"/>
      <c r="I8" s="147">
        <f t="shared" si="1"/>
        <v>0</v>
      </c>
      <c r="J8" s="7"/>
      <c r="K8" s="147">
        <f t="shared" si="2"/>
        <v>0</v>
      </c>
      <c r="L8" s="7"/>
      <c r="M8" s="147">
        <f t="shared" si="3"/>
        <v>0</v>
      </c>
      <c r="N8" s="7"/>
      <c r="O8" s="147">
        <f t="shared" si="4"/>
        <v>0</v>
      </c>
      <c r="P8" s="7"/>
      <c r="Q8" s="147">
        <f t="shared" si="5"/>
        <v>0</v>
      </c>
      <c r="R8" s="7"/>
      <c r="S8" s="147">
        <f t="shared" si="6"/>
        <v>0</v>
      </c>
      <c r="T8" s="7"/>
      <c r="U8" s="147">
        <f t="shared" si="7"/>
        <v>0</v>
      </c>
      <c r="V8" s="7"/>
      <c r="W8" s="147">
        <f t="shared" si="8"/>
        <v>0</v>
      </c>
      <c r="X8" s="7"/>
      <c r="Y8" s="147">
        <f t="shared" si="9"/>
        <v>0</v>
      </c>
      <c r="Z8" s="7"/>
      <c r="AA8" s="147">
        <f t="shared" si="10"/>
        <v>0</v>
      </c>
      <c r="AB8" s="7"/>
      <c r="AC8" s="147">
        <f t="shared" si="11"/>
        <v>0</v>
      </c>
      <c r="AD8" s="94">
        <f t="shared" si="12"/>
        <v>0</v>
      </c>
      <c r="AE8" s="148">
        <f t="shared" si="13"/>
        <v>0</v>
      </c>
    </row>
    <row r="9" spans="1:31" ht="20.100000000000001" customHeight="1">
      <c r="A9" s="63">
        <v>5</v>
      </c>
      <c r="B9" s="63" t="s">
        <v>20</v>
      </c>
      <c r="C9" s="63" t="s">
        <v>17</v>
      </c>
      <c r="D9" s="63">
        <v>0.35</v>
      </c>
      <c r="E9" s="63" t="s">
        <v>21</v>
      </c>
      <c r="F9" s="7"/>
      <c r="G9" s="147">
        <f t="shared" si="0"/>
        <v>0</v>
      </c>
      <c r="H9" s="7"/>
      <c r="I9" s="147">
        <f t="shared" si="1"/>
        <v>0</v>
      </c>
      <c r="J9" s="7"/>
      <c r="K9" s="147">
        <f t="shared" si="2"/>
        <v>0</v>
      </c>
      <c r="L9" s="7"/>
      <c r="M9" s="147">
        <f t="shared" si="3"/>
        <v>0</v>
      </c>
      <c r="N9" s="7"/>
      <c r="O9" s="147">
        <f t="shared" si="4"/>
        <v>0</v>
      </c>
      <c r="P9" s="7"/>
      <c r="Q9" s="147">
        <f t="shared" si="5"/>
        <v>0</v>
      </c>
      <c r="R9" s="7"/>
      <c r="S9" s="147">
        <f t="shared" si="6"/>
        <v>0</v>
      </c>
      <c r="T9" s="7"/>
      <c r="U9" s="147">
        <f t="shared" si="7"/>
        <v>0</v>
      </c>
      <c r="V9" s="7"/>
      <c r="W9" s="147">
        <f t="shared" si="8"/>
        <v>0</v>
      </c>
      <c r="X9" s="7"/>
      <c r="Y9" s="147">
        <f t="shared" si="9"/>
        <v>0</v>
      </c>
      <c r="Z9" s="7"/>
      <c r="AA9" s="147">
        <f t="shared" si="10"/>
        <v>0</v>
      </c>
      <c r="AB9" s="7"/>
      <c r="AC9" s="147">
        <f t="shared" si="11"/>
        <v>0</v>
      </c>
      <c r="AD9" s="94">
        <f t="shared" si="12"/>
        <v>0</v>
      </c>
      <c r="AE9" s="148">
        <f t="shared" si="13"/>
        <v>0</v>
      </c>
    </row>
    <row r="10" spans="1:31" ht="20.100000000000001" customHeight="1">
      <c r="A10" s="63">
        <v>6</v>
      </c>
      <c r="B10" s="63" t="s">
        <v>22</v>
      </c>
      <c r="C10" s="63" t="s">
        <v>14</v>
      </c>
      <c r="D10" s="63">
        <v>0.7</v>
      </c>
      <c r="E10" s="63" t="s">
        <v>15</v>
      </c>
      <c r="F10" s="7"/>
      <c r="G10" s="147">
        <f t="shared" si="0"/>
        <v>0</v>
      </c>
      <c r="H10" s="7"/>
      <c r="I10" s="147">
        <f t="shared" si="1"/>
        <v>0</v>
      </c>
      <c r="J10" s="7"/>
      <c r="K10" s="147">
        <f t="shared" si="2"/>
        <v>0</v>
      </c>
      <c r="L10" s="7"/>
      <c r="M10" s="147">
        <f t="shared" si="3"/>
        <v>0</v>
      </c>
      <c r="N10" s="7"/>
      <c r="O10" s="147">
        <f t="shared" si="4"/>
        <v>0</v>
      </c>
      <c r="P10" s="7"/>
      <c r="Q10" s="147">
        <f t="shared" si="5"/>
        <v>0</v>
      </c>
      <c r="R10" s="7"/>
      <c r="S10" s="147">
        <f t="shared" si="6"/>
        <v>0</v>
      </c>
      <c r="T10" s="7"/>
      <c r="U10" s="147">
        <f t="shared" si="7"/>
        <v>0</v>
      </c>
      <c r="V10" s="7"/>
      <c r="W10" s="147">
        <f t="shared" si="8"/>
        <v>0</v>
      </c>
      <c r="X10" s="7"/>
      <c r="Y10" s="147">
        <f t="shared" si="9"/>
        <v>0</v>
      </c>
      <c r="Z10" s="7"/>
      <c r="AA10" s="147">
        <f t="shared" si="10"/>
        <v>0</v>
      </c>
      <c r="AB10" s="7"/>
      <c r="AC10" s="147">
        <f t="shared" si="11"/>
        <v>0</v>
      </c>
      <c r="AD10" s="94">
        <f t="shared" si="12"/>
        <v>0</v>
      </c>
      <c r="AE10" s="148">
        <f t="shared" si="13"/>
        <v>0</v>
      </c>
    </row>
    <row r="11" spans="1:31" ht="20.100000000000001" customHeight="1">
      <c r="A11" s="63">
        <v>7</v>
      </c>
      <c r="B11" s="63" t="s">
        <v>23</v>
      </c>
      <c r="C11" s="63" t="s">
        <v>14</v>
      </c>
      <c r="D11" s="63">
        <v>0.64</v>
      </c>
      <c r="E11" s="63" t="s">
        <v>24</v>
      </c>
      <c r="F11" s="7"/>
      <c r="G11" s="147">
        <f t="shared" si="0"/>
        <v>0</v>
      </c>
      <c r="H11" s="7"/>
      <c r="I11" s="147">
        <f t="shared" si="1"/>
        <v>0</v>
      </c>
      <c r="J11" s="7"/>
      <c r="K11" s="147">
        <f t="shared" si="2"/>
        <v>0</v>
      </c>
      <c r="L11" s="7"/>
      <c r="M11" s="147">
        <f t="shared" si="3"/>
        <v>0</v>
      </c>
      <c r="N11" s="7"/>
      <c r="O11" s="147">
        <f t="shared" si="4"/>
        <v>0</v>
      </c>
      <c r="P11" s="7"/>
      <c r="Q11" s="147">
        <f t="shared" si="5"/>
        <v>0</v>
      </c>
      <c r="R11" s="7"/>
      <c r="S11" s="147">
        <f t="shared" si="6"/>
        <v>0</v>
      </c>
      <c r="T11" s="7"/>
      <c r="U11" s="147">
        <f t="shared" si="7"/>
        <v>0</v>
      </c>
      <c r="V11" s="7"/>
      <c r="W11" s="147">
        <f t="shared" si="8"/>
        <v>0</v>
      </c>
      <c r="X11" s="7"/>
      <c r="Y11" s="147">
        <f t="shared" si="9"/>
        <v>0</v>
      </c>
      <c r="Z11" s="7"/>
      <c r="AA11" s="147">
        <f t="shared" si="10"/>
        <v>0</v>
      </c>
      <c r="AB11" s="7"/>
      <c r="AC11" s="147">
        <f t="shared" si="11"/>
        <v>0</v>
      </c>
      <c r="AD11" s="94">
        <f t="shared" si="12"/>
        <v>0</v>
      </c>
      <c r="AE11" s="148">
        <f t="shared" si="13"/>
        <v>0</v>
      </c>
    </row>
    <row r="12" spans="1:31" ht="20.100000000000001" customHeight="1">
      <c r="A12" s="63">
        <v>8</v>
      </c>
      <c r="B12" s="63" t="s">
        <v>23</v>
      </c>
      <c r="C12" s="63" t="s">
        <v>14</v>
      </c>
      <c r="D12" s="63">
        <v>0.64</v>
      </c>
      <c r="E12" s="63" t="s">
        <v>25</v>
      </c>
      <c r="F12" s="146">
        <v>175070</v>
      </c>
      <c r="G12" s="147">
        <f t="shared" si="0"/>
        <v>112044.8</v>
      </c>
      <c r="H12" s="92">
        <v>155676</v>
      </c>
      <c r="I12" s="147">
        <f t="shared" si="1"/>
        <v>99632.639999999999</v>
      </c>
      <c r="J12" s="92">
        <v>162568</v>
      </c>
      <c r="K12" s="147">
        <f t="shared" si="2"/>
        <v>104043.52</v>
      </c>
      <c r="L12" s="92">
        <v>148862</v>
      </c>
      <c r="M12" s="147">
        <f t="shared" si="3"/>
        <v>95271.680000000008</v>
      </c>
      <c r="N12" s="92">
        <v>160404</v>
      </c>
      <c r="O12" s="147">
        <f t="shared" si="4"/>
        <v>102658.56</v>
      </c>
      <c r="P12" s="92">
        <v>149233</v>
      </c>
      <c r="Q12" s="147">
        <f t="shared" si="5"/>
        <v>95509.119999999995</v>
      </c>
      <c r="R12" s="92">
        <v>157353</v>
      </c>
      <c r="S12" s="147">
        <f t="shared" si="6"/>
        <v>100705.92</v>
      </c>
      <c r="T12" s="92">
        <v>179116</v>
      </c>
      <c r="U12" s="147">
        <f t="shared" si="7"/>
        <v>114634.24000000001</v>
      </c>
      <c r="V12" s="92">
        <v>170683</v>
      </c>
      <c r="W12" s="147">
        <f t="shared" si="8"/>
        <v>109237.12</v>
      </c>
      <c r="X12" s="92">
        <v>185136</v>
      </c>
      <c r="Y12" s="147">
        <f t="shared" si="9"/>
        <v>118487.04000000001</v>
      </c>
      <c r="Z12" s="92">
        <v>155498</v>
      </c>
      <c r="AA12" s="147">
        <f t="shared" si="10"/>
        <v>99518.720000000001</v>
      </c>
      <c r="AB12" s="7">
        <v>193405</v>
      </c>
      <c r="AC12" s="147">
        <f t="shared" si="11"/>
        <v>123779.2</v>
      </c>
      <c r="AD12" s="94">
        <f t="shared" si="12"/>
        <v>1993004</v>
      </c>
      <c r="AE12" s="148">
        <f t="shared" si="13"/>
        <v>1275522.5600000001</v>
      </c>
    </row>
    <row r="13" spans="1:31" ht="20.100000000000001" customHeight="1">
      <c r="A13" s="63">
        <v>9</v>
      </c>
      <c r="B13" s="63" t="s">
        <v>23</v>
      </c>
      <c r="C13" s="63" t="s">
        <v>14</v>
      </c>
      <c r="D13" s="63">
        <v>0.64</v>
      </c>
      <c r="E13" s="63" t="s">
        <v>15</v>
      </c>
      <c r="F13" s="7"/>
      <c r="G13" s="147">
        <f t="shared" si="0"/>
        <v>0</v>
      </c>
      <c r="H13" s="7"/>
      <c r="I13" s="147">
        <f t="shared" si="1"/>
        <v>0</v>
      </c>
      <c r="J13" s="7"/>
      <c r="K13" s="147">
        <f t="shared" si="2"/>
        <v>0</v>
      </c>
      <c r="L13" s="7"/>
      <c r="M13" s="147">
        <f t="shared" si="3"/>
        <v>0</v>
      </c>
      <c r="N13" s="7"/>
      <c r="O13" s="147">
        <f t="shared" si="4"/>
        <v>0</v>
      </c>
      <c r="P13" s="7"/>
      <c r="Q13" s="147">
        <f t="shared" si="5"/>
        <v>0</v>
      </c>
      <c r="R13" s="7"/>
      <c r="S13" s="147">
        <f t="shared" si="6"/>
        <v>0</v>
      </c>
      <c r="T13" s="7"/>
      <c r="U13" s="147">
        <f t="shared" si="7"/>
        <v>0</v>
      </c>
      <c r="V13" s="7"/>
      <c r="W13" s="147">
        <f t="shared" si="8"/>
        <v>0</v>
      </c>
      <c r="X13" s="7"/>
      <c r="Y13" s="147">
        <f t="shared" si="9"/>
        <v>0</v>
      </c>
      <c r="Z13" s="7"/>
      <c r="AA13" s="147">
        <f t="shared" si="10"/>
        <v>0</v>
      </c>
      <c r="AB13" s="7"/>
      <c r="AC13" s="147">
        <f t="shared" si="11"/>
        <v>0</v>
      </c>
      <c r="AD13" s="94">
        <f t="shared" si="12"/>
        <v>0</v>
      </c>
      <c r="AE13" s="148">
        <f t="shared" si="13"/>
        <v>0</v>
      </c>
    </row>
    <row r="14" spans="1:31" ht="20.100000000000001" customHeight="1">
      <c r="A14" s="63">
        <v>10</v>
      </c>
      <c r="B14" s="63" t="s">
        <v>26</v>
      </c>
      <c r="C14" s="63" t="s">
        <v>14</v>
      </c>
      <c r="D14" s="63">
        <v>0.64</v>
      </c>
      <c r="E14" s="63" t="s">
        <v>25</v>
      </c>
      <c r="F14" s="7"/>
      <c r="G14" s="147">
        <f t="shared" si="0"/>
        <v>0</v>
      </c>
      <c r="H14" s="7"/>
      <c r="I14" s="147">
        <f t="shared" si="1"/>
        <v>0</v>
      </c>
      <c r="J14" s="7"/>
      <c r="K14" s="147">
        <f t="shared" si="2"/>
        <v>0</v>
      </c>
      <c r="L14" s="7"/>
      <c r="M14" s="147">
        <f t="shared" si="3"/>
        <v>0</v>
      </c>
      <c r="N14" s="7"/>
      <c r="O14" s="147">
        <f t="shared" si="4"/>
        <v>0</v>
      </c>
      <c r="P14" s="7"/>
      <c r="Q14" s="147">
        <f t="shared" si="5"/>
        <v>0</v>
      </c>
      <c r="R14" s="7"/>
      <c r="S14" s="147">
        <f t="shared" si="6"/>
        <v>0</v>
      </c>
      <c r="T14" s="7"/>
      <c r="U14" s="147">
        <f t="shared" si="7"/>
        <v>0</v>
      </c>
      <c r="V14" s="7"/>
      <c r="W14" s="147">
        <f t="shared" si="8"/>
        <v>0</v>
      </c>
      <c r="X14" s="7"/>
      <c r="Y14" s="147">
        <f t="shared" si="9"/>
        <v>0</v>
      </c>
      <c r="Z14" s="7"/>
      <c r="AA14" s="147">
        <f t="shared" si="10"/>
        <v>0</v>
      </c>
      <c r="AB14" s="7"/>
      <c r="AC14" s="147">
        <f t="shared" si="11"/>
        <v>0</v>
      </c>
      <c r="AD14" s="94">
        <f t="shared" si="12"/>
        <v>0</v>
      </c>
      <c r="AE14" s="148">
        <f t="shared" si="13"/>
        <v>0</v>
      </c>
    </row>
    <row r="15" spans="1:31" ht="20.100000000000001" customHeight="1">
      <c r="A15" s="63"/>
      <c r="B15" s="63"/>
      <c r="C15" s="63"/>
      <c r="D15" s="63"/>
      <c r="E15" s="63"/>
      <c r="F15" s="7"/>
      <c r="G15" s="147">
        <f t="shared" si="0"/>
        <v>0</v>
      </c>
      <c r="H15" s="7"/>
      <c r="I15" s="147">
        <f t="shared" si="1"/>
        <v>0</v>
      </c>
      <c r="J15" s="7"/>
      <c r="K15" s="147">
        <f t="shared" si="2"/>
        <v>0</v>
      </c>
      <c r="L15" s="7"/>
      <c r="M15" s="147">
        <f t="shared" si="3"/>
        <v>0</v>
      </c>
      <c r="N15" s="7"/>
      <c r="O15" s="147">
        <f t="shared" si="4"/>
        <v>0</v>
      </c>
      <c r="P15" s="7"/>
      <c r="Q15" s="147">
        <f t="shared" si="5"/>
        <v>0</v>
      </c>
      <c r="R15" s="7"/>
      <c r="S15" s="147">
        <f t="shared" si="6"/>
        <v>0</v>
      </c>
      <c r="T15" s="7"/>
      <c r="U15" s="147">
        <f t="shared" si="7"/>
        <v>0</v>
      </c>
      <c r="V15" s="7"/>
      <c r="W15" s="147">
        <f t="shared" si="8"/>
        <v>0</v>
      </c>
      <c r="X15" s="7"/>
      <c r="Y15" s="147">
        <f t="shared" si="9"/>
        <v>0</v>
      </c>
      <c r="Z15" s="7"/>
      <c r="AA15" s="147">
        <f t="shared" si="10"/>
        <v>0</v>
      </c>
      <c r="AB15" s="7"/>
      <c r="AC15" s="147">
        <f t="shared" si="11"/>
        <v>0</v>
      </c>
      <c r="AD15" s="94">
        <f t="shared" si="12"/>
        <v>0</v>
      </c>
      <c r="AE15" s="148">
        <f t="shared" si="13"/>
        <v>0</v>
      </c>
    </row>
    <row r="16" spans="1:31" ht="20.100000000000001" customHeight="1">
      <c r="A16" s="63">
        <v>11</v>
      </c>
      <c r="B16" s="63" t="s">
        <v>27</v>
      </c>
      <c r="C16" s="63" t="s">
        <v>17</v>
      </c>
      <c r="D16" s="63">
        <v>1</v>
      </c>
      <c r="E16" s="63" t="s">
        <v>15</v>
      </c>
      <c r="F16" s="146">
        <v>15300</v>
      </c>
      <c r="G16" s="147">
        <f t="shared" si="0"/>
        <v>15300</v>
      </c>
      <c r="H16" s="92">
        <v>13344</v>
      </c>
      <c r="I16" s="147">
        <f t="shared" si="1"/>
        <v>13344</v>
      </c>
      <c r="J16" s="92">
        <v>11724</v>
      </c>
      <c r="K16" s="147">
        <f t="shared" si="2"/>
        <v>11724</v>
      </c>
      <c r="L16" s="92">
        <v>18996</v>
      </c>
      <c r="M16" s="147">
        <f t="shared" si="3"/>
        <v>18996</v>
      </c>
      <c r="N16" s="92">
        <v>9228</v>
      </c>
      <c r="O16" s="147">
        <f t="shared" si="4"/>
        <v>9228</v>
      </c>
      <c r="P16" s="92">
        <v>13296</v>
      </c>
      <c r="Q16" s="147">
        <f t="shared" si="5"/>
        <v>13296</v>
      </c>
      <c r="R16" s="92">
        <v>18504</v>
      </c>
      <c r="S16" s="147">
        <f t="shared" si="6"/>
        <v>18504</v>
      </c>
      <c r="T16" s="92">
        <v>21840</v>
      </c>
      <c r="U16" s="147">
        <f t="shared" si="7"/>
        <v>21840</v>
      </c>
      <c r="V16" s="92">
        <v>19896</v>
      </c>
      <c r="W16" s="147">
        <f t="shared" si="8"/>
        <v>19896</v>
      </c>
      <c r="X16" s="92">
        <v>28848</v>
      </c>
      <c r="Y16" s="147">
        <f t="shared" si="9"/>
        <v>28848</v>
      </c>
      <c r="Z16" s="92">
        <v>25560</v>
      </c>
      <c r="AA16" s="147">
        <f t="shared" si="10"/>
        <v>25560</v>
      </c>
      <c r="AB16" s="7">
        <v>36288</v>
      </c>
      <c r="AC16" s="147">
        <f t="shared" si="11"/>
        <v>36288</v>
      </c>
      <c r="AD16" s="94">
        <f t="shared" si="12"/>
        <v>232824</v>
      </c>
      <c r="AE16" s="148">
        <f t="shared" si="13"/>
        <v>232824</v>
      </c>
    </row>
    <row r="17" spans="1:31" ht="20.100000000000001" customHeight="1">
      <c r="A17" s="63">
        <v>12</v>
      </c>
      <c r="B17" s="63" t="s">
        <v>28</v>
      </c>
      <c r="C17" s="63" t="s">
        <v>17</v>
      </c>
      <c r="D17" s="63">
        <v>1</v>
      </c>
      <c r="E17" s="63" t="s">
        <v>15</v>
      </c>
      <c r="F17" s="7"/>
      <c r="G17" s="147">
        <f t="shared" si="0"/>
        <v>0</v>
      </c>
      <c r="H17" s="7"/>
      <c r="I17" s="147">
        <f t="shared" si="1"/>
        <v>0</v>
      </c>
      <c r="J17" s="7"/>
      <c r="K17" s="147">
        <f t="shared" si="2"/>
        <v>0</v>
      </c>
      <c r="L17" s="7"/>
      <c r="M17" s="147">
        <f t="shared" si="3"/>
        <v>0</v>
      </c>
      <c r="N17" s="7"/>
      <c r="O17" s="147">
        <f t="shared" si="4"/>
        <v>0</v>
      </c>
      <c r="P17" s="7"/>
      <c r="Q17" s="147">
        <f t="shared" si="5"/>
        <v>0</v>
      </c>
      <c r="R17" s="7"/>
      <c r="S17" s="147">
        <f t="shared" si="6"/>
        <v>0</v>
      </c>
      <c r="T17" s="7"/>
      <c r="U17" s="147">
        <f t="shared" si="7"/>
        <v>0</v>
      </c>
      <c r="V17" s="7"/>
      <c r="W17" s="147">
        <f t="shared" si="8"/>
        <v>0</v>
      </c>
      <c r="X17" s="7"/>
      <c r="Y17" s="147">
        <f t="shared" si="9"/>
        <v>0</v>
      </c>
      <c r="Z17" s="7"/>
      <c r="AA17" s="147">
        <f t="shared" si="10"/>
        <v>0</v>
      </c>
      <c r="AB17" s="7"/>
      <c r="AC17" s="147">
        <f t="shared" si="11"/>
        <v>0</v>
      </c>
      <c r="AD17" s="94">
        <f t="shared" si="12"/>
        <v>0</v>
      </c>
      <c r="AE17" s="148">
        <f t="shared" si="13"/>
        <v>0</v>
      </c>
    </row>
    <row r="18" spans="1:31" ht="20.100000000000001" customHeight="1">
      <c r="A18" s="63">
        <v>13</v>
      </c>
      <c r="B18" s="63" t="s">
        <v>29</v>
      </c>
      <c r="C18" s="63" t="s">
        <v>17</v>
      </c>
      <c r="D18" s="63">
        <v>0.6</v>
      </c>
      <c r="E18" s="63" t="s">
        <v>15</v>
      </c>
      <c r="F18" s="146">
        <v>900</v>
      </c>
      <c r="G18" s="147">
        <f t="shared" si="0"/>
        <v>540</v>
      </c>
      <c r="H18" s="92">
        <v>564</v>
      </c>
      <c r="I18" s="147">
        <f t="shared" si="1"/>
        <v>338.4</v>
      </c>
      <c r="J18" s="92">
        <v>744</v>
      </c>
      <c r="K18" s="147">
        <f t="shared" si="2"/>
        <v>446.4</v>
      </c>
      <c r="L18" s="92">
        <v>612</v>
      </c>
      <c r="M18" s="147">
        <f t="shared" si="3"/>
        <v>367.2</v>
      </c>
      <c r="N18" s="92">
        <v>12</v>
      </c>
      <c r="O18" s="147">
        <f t="shared" si="4"/>
        <v>7.1999999999999993</v>
      </c>
      <c r="P18" s="92">
        <v>336</v>
      </c>
      <c r="Q18" s="147">
        <f t="shared" si="5"/>
        <v>201.6</v>
      </c>
      <c r="R18" s="92">
        <v>408</v>
      </c>
      <c r="S18" s="147">
        <f t="shared" si="6"/>
        <v>244.79999999999998</v>
      </c>
      <c r="T18" s="92">
        <v>336</v>
      </c>
      <c r="U18" s="147">
        <f t="shared" si="7"/>
        <v>201.6</v>
      </c>
      <c r="V18" s="92">
        <v>840</v>
      </c>
      <c r="W18" s="147">
        <f t="shared" si="8"/>
        <v>504</v>
      </c>
      <c r="X18" s="92">
        <v>1152</v>
      </c>
      <c r="Y18" s="147">
        <f t="shared" si="9"/>
        <v>691.19999999999993</v>
      </c>
      <c r="Z18" s="92">
        <v>1776</v>
      </c>
      <c r="AA18" s="147">
        <f t="shared" si="10"/>
        <v>1065.5999999999999</v>
      </c>
      <c r="AB18" s="7">
        <v>600</v>
      </c>
      <c r="AC18" s="147">
        <f t="shared" si="11"/>
        <v>360</v>
      </c>
      <c r="AD18" s="94">
        <f t="shared" si="12"/>
        <v>8280</v>
      </c>
      <c r="AE18" s="148">
        <f t="shared" si="13"/>
        <v>4968</v>
      </c>
    </row>
    <row r="19" spans="1:31" ht="20.100000000000001" customHeight="1">
      <c r="A19" s="63">
        <v>14</v>
      </c>
      <c r="B19" s="63" t="s">
        <v>30</v>
      </c>
      <c r="C19" s="63" t="s">
        <v>17</v>
      </c>
      <c r="D19" s="63">
        <v>0.6</v>
      </c>
      <c r="E19" s="63" t="s">
        <v>15</v>
      </c>
      <c r="F19" s="7"/>
      <c r="G19" s="147">
        <f t="shared" si="0"/>
        <v>0</v>
      </c>
      <c r="H19" s="7"/>
      <c r="I19" s="147">
        <f t="shared" si="1"/>
        <v>0</v>
      </c>
      <c r="J19" s="7"/>
      <c r="K19" s="147">
        <f t="shared" si="2"/>
        <v>0</v>
      </c>
      <c r="L19" s="7"/>
      <c r="M19" s="147">
        <f t="shared" si="3"/>
        <v>0</v>
      </c>
      <c r="N19" s="7"/>
      <c r="O19" s="147">
        <f t="shared" si="4"/>
        <v>0</v>
      </c>
      <c r="P19" s="7"/>
      <c r="Q19" s="147">
        <f t="shared" si="5"/>
        <v>0</v>
      </c>
      <c r="R19" s="7"/>
      <c r="S19" s="147">
        <f t="shared" si="6"/>
        <v>0</v>
      </c>
      <c r="T19" s="7"/>
      <c r="U19" s="147">
        <f t="shared" si="7"/>
        <v>0</v>
      </c>
      <c r="V19" s="7"/>
      <c r="W19" s="147">
        <f t="shared" si="8"/>
        <v>0</v>
      </c>
      <c r="X19" s="7"/>
      <c r="Y19" s="147">
        <f t="shared" si="9"/>
        <v>0</v>
      </c>
      <c r="Z19" s="7"/>
      <c r="AA19" s="147">
        <f t="shared" si="10"/>
        <v>0</v>
      </c>
      <c r="AB19" s="7"/>
      <c r="AC19" s="147">
        <f t="shared" si="11"/>
        <v>0</v>
      </c>
      <c r="AD19" s="94">
        <f t="shared" si="12"/>
        <v>0</v>
      </c>
      <c r="AE19" s="148">
        <f t="shared" si="13"/>
        <v>0</v>
      </c>
    </row>
    <row r="20" spans="1:31" ht="20.100000000000001" customHeight="1">
      <c r="A20" s="63">
        <v>15</v>
      </c>
      <c r="B20" s="63" t="s">
        <v>31</v>
      </c>
      <c r="C20" s="63" t="s">
        <v>17</v>
      </c>
      <c r="D20" s="63">
        <v>0.35</v>
      </c>
      <c r="E20" s="63" t="s">
        <v>21</v>
      </c>
      <c r="F20" s="7"/>
      <c r="G20" s="147">
        <f t="shared" si="0"/>
        <v>0</v>
      </c>
      <c r="H20" s="7"/>
      <c r="I20" s="147">
        <f t="shared" si="1"/>
        <v>0</v>
      </c>
      <c r="J20" s="7"/>
      <c r="K20" s="147">
        <f t="shared" si="2"/>
        <v>0</v>
      </c>
      <c r="L20" s="7"/>
      <c r="M20" s="147">
        <f t="shared" si="3"/>
        <v>0</v>
      </c>
      <c r="N20" s="7"/>
      <c r="O20" s="147">
        <f t="shared" si="4"/>
        <v>0</v>
      </c>
      <c r="P20" s="7"/>
      <c r="Q20" s="147">
        <f t="shared" si="5"/>
        <v>0</v>
      </c>
      <c r="R20" s="7"/>
      <c r="S20" s="147">
        <f t="shared" si="6"/>
        <v>0</v>
      </c>
      <c r="T20" s="7"/>
      <c r="U20" s="147">
        <f t="shared" si="7"/>
        <v>0</v>
      </c>
      <c r="V20" s="7"/>
      <c r="W20" s="147">
        <f t="shared" si="8"/>
        <v>0</v>
      </c>
      <c r="X20" s="7"/>
      <c r="Y20" s="147">
        <f t="shared" si="9"/>
        <v>0</v>
      </c>
      <c r="Z20" s="7"/>
      <c r="AA20" s="147">
        <f t="shared" si="10"/>
        <v>0</v>
      </c>
      <c r="AB20" s="7"/>
      <c r="AC20" s="147">
        <f t="shared" si="11"/>
        <v>0</v>
      </c>
      <c r="AD20" s="94">
        <f t="shared" si="12"/>
        <v>0</v>
      </c>
      <c r="AE20" s="148">
        <f t="shared" si="13"/>
        <v>0</v>
      </c>
    </row>
    <row r="21" spans="1:31" ht="20.100000000000001" customHeight="1">
      <c r="A21" s="63">
        <v>16</v>
      </c>
      <c r="B21" s="63" t="s">
        <v>32</v>
      </c>
      <c r="C21" s="63" t="s">
        <v>17</v>
      </c>
      <c r="D21" s="63">
        <v>0.35</v>
      </c>
      <c r="E21" s="63" t="s">
        <v>21</v>
      </c>
      <c r="F21" s="7"/>
      <c r="G21" s="147">
        <f t="shared" si="0"/>
        <v>0</v>
      </c>
      <c r="H21" s="7"/>
      <c r="I21" s="147">
        <f t="shared" si="1"/>
        <v>0</v>
      </c>
      <c r="J21" s="7"/>
      <c r="K21" s="147">
        <f t="shared" si="2"/>
        <v>0</v>
      </c>
      <c r="L21" s="7"/>
      <c r="M21" s="147">
        <f t="shared" si="3"/>
        <v>0</v>
      </c>
      <c r="N21" s="7"/>
      <c r="O21" s="147">
        <f t="shared" si="4"/>
        <v>0</v>
      </c>
      <c r="P21" s="7"/>
      <c r="Q21" s="147">
        <f t="shared" si="5"/>
        <v>0</v>
      </c>
      <c r="R21" s="7"/>
      <c r="S21" s="147">
        <f t="shared" si="6"/>
        <v>0</v>
      </c>
      <c r="T21" s="7"/>
      <c r="U21" s="147">
        <f t="shared" si="7"/>
        <v>0</v>
      </c>
      <c r="V21" s="7"/>
      <c r="W21" s="147">
        <f t="shared" si="8"/>
        <v>0</v>
      </c>
      <c r="X21" s="7"/>
      <c r="Y21" s="147">
        <f t="shared" si="9"/>
        <v>0</v>
      </c>
      <c r="Z21" s="7"/>
      <c r="AA21" s="147">
        <f t="shared" si="10"/>
        <v>0</v>
      </c>
      <c r="AB21" s="7"/>
      <c r="AC21" s="147">
        <f t="shared" si="11"/>
        <v>0</v>
      </c>
      <c r="AD21" s="94">
        <f t="shared" si="12"/>
        <v>0</v>
      </c>
      <c r="AE21" s="148">
        <f t="shared" si="13"/>
        <v>0</v>
      </c>
    </row>
    <row r="22" spans="1:31" ht="20.100000000000001" customHeight="1">
      <c r="A22" s="63">
        <v>17</v>
      </c>
      <c r="B22" s="63" t="s">
        <v>33</v>
      </c>
      <c r="C22" s="63" t="s">
        <v>14</v>
      </c>
      <c r="D22" s="63">
        <v>0.64</v>
      </c>
      <c r="E22" s="63" t="s">
        <v>25</v>
      </c>
      <c r="F22" s="146">
        <v>75935</v>
      </c>
      <c r="G22" s="147">
        <f t="shared" si="0"/>
        <v>48598.400000000001</v>
      </c>
      <c r="H22" s="92">
        <v>64518</v>
      </c>
      <c r="I22" s="147">
        <f t="shared" si="1"/>
        <v>41291.520000000004</v>
      </c>
      <c r="J22" s="92">
        <v>69272</v>
      </c>
      <c r="K22" s="147">
        <f t="shared" si="2"/>
        <v>44334.080000000002</v>
      </c>
      <c r="L22" s="92">
        <v>59570</v>
      </c>
      <c r="M22" s="147">
        <f t="shared" si="3"/>
        <v>38124.800000000003</v>
      </c>
      <c r="N22" s="92">
        <v>65708</v>
      </c>
      <c r="O22" s="147">
        <f t="shared" si="4"/>
        <v>42053.120000000003</v>
      </c>
      <c r="P22" s="92">
        <v>66472</v>
      </c>
      <c r="Q22" s="147">
        <f t="shared" si="5"/>
        <v>42542.080000000002</v>
      </c>
      <c r="R22" s="92">
        <v>71516</v>
      </c>
      <c r="S22" s="147">
        <f t="shared" si="6"/>
        <v>45770.239999999998</v>
      </c>
      <c r="T22" s="92">
        <v>59500</v>
      </c>
      <c r="U22" s="147">
        <f t="shared" si="7"/>
        <v>38080</v>
      </c>
      <c r="V22" s="92">
        <v>66640</v>
      </c>
      <c r="W22" s="147">
        <f t="shared" si="8"/>
        <v>42649.599999999999</v>
      </c>
      <c r="X22" s="92">
        <v>76510</v>
      </c>
      <c r="Y22" s="147">
        <f t="shared" si="9"/>
        <v>48966.400000000001</v>
      </c>
      <c r="Z22" s="92">
        <v>66934</v>
      </c>
      <c r="AA22" s="147">
        <f t="shared" si="10"/>
        <v>42837.760000000002</v>
      </c>
      <c r="AB22" s="7">
        <v>79688</v>
      </c>
      <c r="AC22" s="147">
        <f t="shared" si="11"/>
        <v>51000.32</v>
      </c>
      <c r="AD22" s="94">
        <f t="shared" si="12"/>
        <v>822263</v>
      </c>
      <c r="AE22" s="148">
        <f t="shared" si="13"/>
        <v>526248.32000000007</v>
      </c>
    </row>
    <row r="23" spans="1:31" ht="20.100000000000001" customHeight="1">
      <c r="A23" s="63">
        <v>18</v>
      </c>
      <c r="B23" s="63" t="s">
        <v>34</v>
      </c>
      <c r="C23" s="63" t="s">
        <v>14</v>
      </c>
      <c r="D23" s="63">
        <v>0.64</v>
      </c>
      <c r="E23" s="63" t="s">
        <v>25</v>
      </c>
      <c r="F23" s="7"/>
      <c r="G23" s="147">
        <f t="shared" si="0"/>
        <v>0</v>
      </c>
      <c r="H23" s="7"/>
      <c r="I23" s="147">
        <f t="shared" si="1"/>
        <v>0</v>
      </c>
      <c r="J23" s="7"/>
      <c r="K23" s="147">
        <f t="shared" si="2"/>
        <v>0</v>
      </c>
      <c r="L23" s="7"/>
      <c r="M23" s="147">
        <f t="shared" si="3"/>
        <v>0</v>
      </c>
      <c r="N23" s="7"/>
      <c r="O23" s="147">
        <f t="shared" si="4"/>
        <v>0</v>
      </c>
      <c r="P23" s="7"/>
      <c r="Q23" s="147">
        <f t="shared" si="5"/>
        <v>0</v>
      </c>
      <c r="R23" s="7"/>
      <c r="S23" s="147">
        <f t="shared" si="6"/>
        <v>0</v>
      </c>
      <c r="T23" s="7"/>
      <c r="U23" s="147">
        <f t="shared" si="7"/>
        <v>0</v>
      </c>
      <c r="V23" s="7"/>
      <c r="W23" s="147">
        <f t="shared" si="8"/>
        <v>0</v>
      </c>
      <c r="X23" s="7"/>
      <c r="Y23" s="147">
        <f t="shared" si="9"/>
        <v>0</v>
      </c>
      <c r="Z23" s="7"/>
      <c r="AA23" s="147">
        <f t="shared" si="10"/>
        <v>0</v>
      </c>
      <c r="AB23" s="7"/>
      <c r="AC23" s="147">
        <f t="shared" si="11"/>
        <v>0</v>
      </c>
      <c r="AD23" s="94">
        <f t="shared" si="12"/>
        <v>0</v>
      </c>
      <c r="AE23" s="148">
        <f t="shared" si="13"/>
        <v>0</v>
      </c>
    </row>
    <row r="24" spans="1:31" ht="20.100000000000001" customHeight="1">
      <c r="A24" s="63">
        <v>19</v>
      </c>
      <c r="B24" s="63" t="s">
        <v>35</v>
      </c>
      <c r="C24" s="63" t="s">
        <v>14</v>
      </c>
      <c r="D24" s="63">
        <v>0.64</v>
      </c>
      <c r="E24" s="63" t="s">
        <v>25</v>
      </c>
      <c r="F24" s="7"/>
      <c r="G24" s="147">
        <f t="shared" si="0"/>
        <v>0</v>
      </c>
      <c r="H24" s="7"/>
      <c r="I24" s="147">
        <f t="shared" si="1"/>
        <v>0</v>
      </c>
      <c r="J24" s="7"/>
      <c r="K24" s="147">
        <f t="shared" si="2"/>
        <v>0</v>
      </c>
      <c r="L24" s="7"/>
      <c r="M24" s="147">
        <f t="shared" si="3"/>
        <v>0</v>
      </c>
      <c r="N24" s="7"/>
      <c r="O24" s="147">
        <f t="shared" si="4"/>
        <v>0</v>
      </c>
      <c r="P24" s="7"/>
      <c r="Q24" s="147">
        <f t="shared" si="5"/>
        <v>0</v>
      </c>
      <c r="R24" s="7"/>
      <c r="S24" s="147">
        <f t="shared" si="6"/>
        <v>0</v>
      </c>
      <c r="T24" s="7"/>
      <c r="U24" s="147">
        <f t="shared" si="7"/>
        <v>0</v>
      </c>
      <c r="V24" s="7"/>
      <c r="W24" s="147">
        <f t="shared" si="8"/>
        <v>0</v>
      </c>
      <c r="X24" s="7"/>
      <c r="Y24" s="147">
        <f t="shared" si="9"/>
        <v>0</v>
      </c>
      <c r="Z24" s="7"/>
      <c r="AA24" s="147">
        <f t="shared" si="10"/>
        <v>0</v>
      </c>
      <c r="AB24" s="7"/>
      <c r="AC24" s="147">
        <f t="shared" si="11"/>
        <v>0</v>
      </c>
      <c r="AD24" s="94">
        <f t="shared" si="12"/>
        <v>0</v>
      </c>
      <c r="AE24" s="148">
        <f t="shared" si="13"/>
        <v>0</v>
      </c>
    </row>
    <row r="25" spans="1:31" ht="20.100000000000001" customHeight="1">
      <c r="A25" s="63"/>
      <c r="B25" s="63"/>
      <c r="C25" s="63"/>
      <c r="D25" s="63"/>
      <c r="E25" s="63"/>
      <c r="F25" s="7"/>
      <c r="G25" s="147">
        <f t="shared" si="0"/>
        <v>0</v>
      </c>
      <c r="H25" s="7"/>
      <c r="I25" s="147">
        <f t="shared" si="1"/>
        <v>0</v>
      </c>
      <c r="J25" s="7"/>
      <c r="K25" s="147">
        <f t="shared" si="2"/>
        <v>0</v>
      </c>
      <c r="L25" s="7"/>
      <c r="M25" s="147">
        <f t="shared" si="3"/>
        <v>0</v>
      </c>
      <c r="N25" s="7"/>
      <c r="O25" s="147">
        <f t="shared" si="4"/>
        <v>0</v>
      </c>
      <c r="P25" s="7"/>
      <c r="Q25" s="147">
        <f t="shared" si="5"/>
        <v>0</v>
      </c>
      <c r="R25" s="7"/>
      <c r="S25" s="147">
        <f t="shared" si="6"/>
        <v>0</v>
      </c>
      <c r="T25" s="7"/>
      <c r="U25" s="147">
        <f t="shared" si="7"/>
        <v>0</v>
      </c>
      <c r="V25" s="7"/>
      <c r="W25" s="147">
        <f t="shared" si="8"/>
        <v>0</v>
      </c>
      <c r="X25" s="7"/>
      <c r="Y25" s="147">
        <f t="shared" si="9"/>
        <v>0</v>
      </c>
      <c r="Z25" s="7"/>
      <c r="AA25" s="147">
        <f t="shared" si="10"/>
        <v>0</v>
      </c>
      <c r="AB25" s="7"/>
      <c r="AC25" s="147">
        <f t="shared" si="11"/>
        <v>0</v>
      </c>
      <c r="AD25" s="94">
        <f t="shared" si="12"/>
        <v>0</v>
      </c>
      <c r="AE25" s="148">
        <f t="shared" si="13"/>
        <v>0</v>
      </c>
    </row>
    <row r="26" spans="1:31" ht="20.100000000000001" customHeight="1">
      <c r="A26" s="63">
        <v>20</v>
      </c>
      <c r="B26" s="63" t="s">
        <v>36</v>
      </c>
      <c r="C26" s="63" t="s">
        <v>17</v>
      </c>
      <c r="D26" s="63">
        <v>1</v>
      </c>
      <c r="E26" s="63" t="s">
        <v>24</v>
      </c>
      <c r="F26" s="7"/>
      <c r="G26" s="147">
        <f t="shared" si="0"/>
        <v>0</v>
      </c>
      <c r="H26" s="7"/>
      <c r="I26" s="147">
        <f t="shared" si="1"/>
        <v>0</v>
      </c>
      <c r="J26" s="7"/>
      <c r="K26" s="147">
        <f t="shared" si="2"/>
        <v>0</v>
      </c>
      <c r="L26" s="7"/>
      <c r="M26" s="147">
        <f t="shared" si="3"/>
        <v>0</v>
      </c>
      <c r="N26" s="7"/>
      <c r="O26" s="147">
        <f t="shared" si="4"/>
        <v>0</v>
      </c>
      <c r="P26" s="7"/>
      <c r="Q26" s="147">
        <f t="shared" si="5"/>
        <v>0</v>
      </c>
      <c r="R26" s="7"/>
      <c r="S26" s="147">
        <f t="shared" si="6"/>
        <v>0</v>
      </c>
      <c r="T26" s="7"/>
      <c r="U26" s="147">
        <f t="shared" si="7"/>
        <v>0</v>
      </c>
      <c r="V26" s="7"/>
      <c r="W26" s="147">
        <f t="shared" si="8"/>
        <v>0</v>
      </c>
      <c r="X26" s="7"/>
      <c r="Y26" s="147">
        <f t="shared" si="9"/>
        <v>0</v>
      </c>
      <c r="Z26" s="7"/>
      <c r="AA26" s="147">
        <f t="shared" si="10"/>
        <v>0</v>
      </c>
      <c r="AB26" s="7"/>
      <c r="AC26" s="147">
        <f t="shared" si="11"/>
        <v>0</v>
      </c>
      <c r="AD26" s="94">
        <f t="shared" si="12"/>
        <v>0</v>
      </c>
      <c r="AE26" s="148">
        <f t="shared" si="13"/>
        <v>0</v>
      </c>
    </row>
    <row r="27" spans="1:31" ht="20.100000000000001" customHeight="1">
      <c r="A27" s="63">
        <v>21</v>
      </c>
      <c r="B27" s="63" t="s">
        <v>37</v>
      </c>
      <c r="C27" s="63" t="s">
        <v>17</v>
      </c>
      <c r="D27" s="63">
        <v>0.6</v>
      </c>
      <c r="E27" s="63" t="s">
        <v>38</v>
      </c>
      <c r="F27" s="7"/>
      <c r="G27" s="147">
        <f t="shared" si="0"/>
        <v>0</v>
      </c>
      <c r="H27" s="7"/>
      <c r="I27" s="147">
        <f t="shared" si="1"/>
        <v>0</v>
      </c>
      <c r="J27" s="7"/>
      <c r="K27" s="147">
        <f t="shared" si="2"/>
        <v>0</v>
      </c>
      <c r="L27" s="7"/>
      <c r="M27" s="147">
        <f t="shared" si="3"/>
        <v>0</v>
      </c>
      <c r="N27" s="7"/>
      <c r="O27" s="147">
        <f t="shared" si="4"/>
        <v>0</v>
      </c>
      <c r="P27" s="7"/>
      <c r="Q27" s="147">
        <f t="shared" si="5"/>
        <v>0</v>
      </c>
      <c r="R27" s="7"/>
      <c r="S27" s="147">
        <f t="shared" si="6"/>
        <v>0</v>
      </c>
      <c r="T27" s="7"/>
      <c r="U27" s="147">
        <f t="shared" si="7"/>
        <v>0</v>
      </c>
      <c r="V27" s="7"/>
      <c r="W27" s="147">
        <f t="shared" si="8"/>
        <v>0</v>
      </c>
      <c r="X27" s="7"/>
      <c r="Y27" s="147">
        <f t="shared" si="9"/>
        <v>0</v>
      </c>
      <c r="Z27" s="7"/>
      <c r="AA27" s="147">
        <f t="shared" si="10"/>
        <v>0</v>
      </c>
      <c r="AB27" s="7"/>
      <c r="AC27" s="147">
        <f t="shared" si="11"/>
        <v>0</v>
      </c>
      <c r="AD27" s="94">
        <f t="shared" si="12"/>
        <v>0</v>
      </c>
      <c r="AE27" s="148">
        <f t="shared" si="13"/>
        <v>0</v>
      </c>
    </row>
    <row r="28" spans="1:31" ht="20.100000000000001" customHeight="1">
      <c r="A28" s="63">
        <v>22</v>
      </c>
      <c r="B28" s="63" t="s">
        <v>39</v>
      </c>
      <c r="C28" s="63" t="s">
        <v>14</v>
      </c>
      <c r="D28" s="63">
        <v>0.64</v>
      </c>
      <c r="E28" s="63" t="s">
        <v>25</v>
      </c>
      <c r="F28" s="146">
        <v>91784</v>
      </c>
      <c r="G28" s="147">
        <f t="shared" si="0"/>
        <v>58741.760000000002</v>
      </c>
      <c r="H28" s="92">
        <v>70816</v>
      </c>
      <c r="I28" s="147">
        <f t="shared" si="1"/>
        <v>45322.239999999998</v>
      </c>
      <c r="J28" s="92">
        <v>67550</v>
      </c>
      <c r="K28" s="147">
        <f t="shared" si="2"/>
        <v>43232</v>
      </c>
      <c r="L28" s="92">
        <v>56644</v>
      </c>
      <c r="M28" s="147">
        <f t="shared" si="3"/>
        <v>36252.160000000003</v>
      </c>
      <c r="N28" s="92">
        <v>80334</v>
      </c>
      <c r="O28" s="147">
        <f t="shared" si="4"/>
        <v>51413.760000000002</v>
      </c>
      <c r="P28" s="92">
        <v>84071</v>
      </c>
      <c r="Q28" s="147">
        <f t="shared" si="5"/>
        <v>53805.440000000002</v>
      </c>
      <c r="R28" s="92">
        <v>80080</v>
      </c>
      <c r="S28" s="147">
        <f t="shared" si="6"/>
        <v>51251.200000000004</v>
      </c>
      <c r="T28" s="92">
        <v>73961</v>
      </c>
      <c r="U28" s="147">
        <f t="shared" si="7"/>
        <v>47335.040000000001</v>
      </c>
      <c r="V28" s="92">
        <v>72380</v>
      </c>
      <c r="W28" s="147">
        <f t="shared" si="8"/>
        <v>46323.200000000004</v>
      </c>
      <c r="X28" s="92">
        <v>74174</v>
      </c>
      <c r="Y28" s="147">
        <f t="shared" si="9"/>
        <v>47471.360000000001</v>
      </c>
      <c r="Z28" s="92">
        <v>68837</v>
      </c>
      <c r="AA28" s="147">
        <f t="shared" si="10"/>
        <v>44055.68</v>
      </c>
      <c r="AB28" s="7">
        <v>70386</v>
      </c>
      <c r="AC28" s="147">
        <f t="shared" si="11"/>
        <v>45047.040000000001</v>
      </c>
      <c r="AD28" s="94">
        <f t="shared" si="12"/>
        <v>891017</v>
      </c>
      <c r="AE28" s="148">
        <f t="shared" si="13"/>
        <v>570250.88</v>
      </c>
    </row>
    <row r="29" spans="1:31" ht="20.100000000000001" customHeight="1">
      <c r="A29" s="63">
        <v>23</v>
      </c>
      <c r="B29" s="63" t="s">
        <v>40</v>
      </c>
      <c r="C29" s="63" t="s">
        <v>14</v>
      </c>
      <c r="D29" s="63">
        <v>0.64</v>
      </c>
      <c r="E29" s="63" t="s">
        <v>25</v>
      </c>
      <c r="F29" s="7"/>
      <c r="G29" s="147">
        <f t="shared" si="0"/>
        <v>0</v>
      </c>
      <c r="H29" s="7"/>
      <c r="I29" s="147">
        <f t="shared" si="1"/>
        <v>0</v>
      </c>
      <c r="J29" s="7"/>
      <c r="K29" s="147">
        <f t="shared" si="2"/>
        <v>0</v>
      </c>
      <c r="L29" s="7"/>
      <c r="M29" s="147">
        <f t="shared" si="3"/>
        <v>0</v>
      </c>
      <c r="N29" s="7"/>
      <c r="O29" s="147">
        <f t="shared" si="4"/>
        <v>0</v>
      </c>
      <c r="P29" s="7"/>
      <c r="Q29" s="147">
        <f t="shared" si="5"/>
        <v>0</v>
      </c>
      <c r="R29" s="7"/>
      <c r="S29" s="147">
        <f t="shared" si="6"/>
        <v>0</v>
      </c>
      <c r="T29" s="7"/>
      <c r="U29" s="147">
        <f t="shared" si="7"/>
        <v>0</v>
      </c>
      <c r="V29" s="7"/>
      <c r="W29" s="147">
        <f t="shared" si="8"/>
        <v>0</v>
      </c>
      <c r="X29" s="7"/>
      <c r="Y29" s="147">
        <f t="shared" si="9"/>
        <v>0</v>
      </c>
      <c r="Z29" s="7"/>
      <c r="AA29" s="147">
        <f t="shared" si="10"/>
        <v>0</v>
      </c>
      <c r="AB29" s="7"/>
      <c r="AC29" s="147">
        <f t="shared" si="11"/>
        <v>0</v>
      </c>
      <c r="AD29" s="94">
        <f t="shared" si="12"/>
        <v>0</v>
      </c>
      <c r="AE29" s="148">
        <f t="shared" si="13"/>
        <v>0</v>
      </c>
    </row>
    <row r="30" spans="1:31" ht="20.100000000000001" customHeight="1">
      <c r="A30" s="63"/>
      <c r="B30" s="63"/>
      <c r="C30" s="63"/>
      <c r="D30" s="63"/>
      <c r="E30" s="63"/>
      <c r="F30" s="7"/>
      <c r="G30" s="147">
        <f t="shared" si="0"/>
        <v>0</v>
      </c>
      <c r="H30" s="7"/>
      <c r="I30" s="147">
        <f t="shared" si="1"/>
        <v>0</v>
      </c>
      <c r="J30" s="7"/>
      <c r="K30" s="147">
        <f t="shared" si="2"/>
        <v>0</v>
      </c>
      <c r="L30" s="7"/>
      <c r="M30" s="147">
        <f t="shared" si="3"/>
        <v>0</v>
      </c>
      <c r="N30" s="7"/>
      <c r="O30" s="147">
        <f t="shared" si="4"/>
        <v>0</v>
      </c>
      <c r="P30" s="7"/>
      <c r="Q30" s="147">
        <f t="shared" si="5"/>
        <v>0</v>
      </c>
      <c r="R30" s="7"/>
      <c r="S30" s="147">
        <f t="shared" si="6"/>
        <v>0</v>
      </c>
      <c r="T30" s="7"/>
      <c r="U30" s="147">
        <f t="shared" si="7"/>
        <v>0</v>
      </c>
      <c r="V30" s="7"/>
      <c r="W30" s="147">
        <f t="shared" si="8"/>
        <v>0</v>
      </c>
      <c r="X30" s="7"/>
      <c r="Y30" s="147">
        <f t="shared" si="9"/>
        <v>0</v>
      </c>
      <c r="Z30" s="7"/>
      <c r="AA30" s="147">
        <f t="shared" si="10"/>
        <v>0</v>
      </c>
      <c r="AB30" s="7"/>
      <c r="AC30" s="147">
        <f t="shared" si="11"/>
        <v>0</v>
      </c>
      <c r="AD30" s="94">
        <f t="shared" si="12"/>
        <v>0</v>
      </c>
      <c r="AE30" s="148">
        <f t="shared" si="13"/>
        <v>0</v>
      </c>
    </row>
    <row r="31" spans="1:31" ht="20.100000000000001" customHeight="1">
      <c r="A31" s="63">
        <v>24</v>
      </c>
      <c r="B31" s="63" t="s">
        <v>41</v>
      </c>
      <c r="C31" s="63" t="s">
        <v>17</v>
      </c>
      <c r="D31" s="63">
        <v>1</v>
      </c>
      <c r="E31" s="63" t="s">
        <v>15</v>
      </c>
      <c r="F31" s="7"/>
      <c r="G31" s="147">
        <f t="shared" si="0"/>
        <v>0</v>
      </c>
      <c r="H31" s="7"/>
      <c r="I31" s="147">
        <f t="shared" si="1"/>
        <v>0</v>
      </c>
      <c r="J31" s="7"/>
      <c r="K31" s="147">
        <f t="shared" si="2"/>
        <v>0</v>
      </c>
      <c r="L31" s="7"/>
      <c r="M31" s="147">
        <f t="shared" si="3"/>
        <v>0</v>
      </c>
      <c r="N31" s="7"/>
      <c r="O31" s="147">
        <f t="shared" si="4"/>
        <v>0</v>
      </c>
      <c r="P31" s="7"/>
      <c r="Q31" s="147">
        <f t="shared" si="5"/>
        <v>0</v>
      </c>
      <c r="R31" s="7"/>
      <c r="S31" s="147">
        <f t="shared" si="6"/>
        <v>0</v>
      </c>
      <c r="T31" s="7"/>
      <c r="U31" s="147">
        <f t="shared" si="7"/>
        <v>0</v>
      </c>
      <c r="V31" s="7"/>
      <c r="W31" s="147">
        <f t="shared" si="8"/>
        <v>0</v>
      </c>
      <c r="X31" s="7"/>
      <c r="Y31" s="147">
        <f t="shared" si="9"/>
        <v>0</v>
      </c>
      <c r="Z31" s="7"/>
      <c r="AA31" s="147">
        <f t="shared" si="10"/>
        <v>0</v>
      </c>
      <c r="AB31" s="7"/>
      <c r="AC31" s="147">
        <f t="shared" si="11"/>
        <v>0</v>
      </c>
      <c r="AD31" s="94">
        <f t="shared" si="12"/>
        <v>0</v>
      </c>
      <c r="AE31" s="148">
        <f t="shared" si="13"/>
        <v>0</v>
      </c>
    </row>
    <row r="32" spans="1:31" ht="20.100000000000001" customHeight="1">
      <c r="A32" s="63">
        <v>25</v>
      </c>
      <c r="B32" s="63" t="s">
        <v>42</v>
      </c>
      <c r="C32" s="63" t="s">
        <v>17</v>
      </c>
      <c r="D32" s="63">
        <v>1</v>
      </c>
      <c r="E32" s="63" t="s">
        <v>15</v>
      </c>
      <c r="F32" s="7"/>
      <c r="G32" s="147">
        <f t="shared" si="0"/>
        <v>0</v>
      </c>
      <c r="H32" s="7"/>
      <c r="I32" s="147">
        <f t="shared" si="1"/>
        <v>0</v>
      </c>
      <c r="J32" s="7"/>
      <c r="K32" s="147">
        <f t="shared" si="2"/>
        <v>0</v>
      </c>
      <c r="L32" s="7"/>
      <c r="M32" s="147">
        <f t="shared" si="3"/>
        <v>0</v>
      </c>
      <c r="N32" s="7"/>
      <c r="O32" s="147">
        <f t="shared" si="4"/>
        <v>0</v>
      </c>
      <c r="P32" s="7"/>
      <c r="Q32" s="147">
        <f t="shared" si="5"/>
        <v>0</v>
      </c>
      <c r="R32" s="7"/>
      <c r="S32" s="147">
        <f t="shared" si="6"/>
        <v>0</v>
      </c>
      <c r="T32" s="7"/>
      <c r="U32" s="147">
        <f t="shared" si="7"/>
        <v>0</v>
      </c>
      <c r="V32" s="7"/>
      <c r="W32" s="147">
        <f t="shared" si="8"/>
        <v>0</v>
      </c>
      <c r="X32" s="7"/>
      <c r="Y32" s="147">
        <f t="shared" si="9"/>
        <v>0</v>
      </c>
      <c r="Z32" s="7"/>
      <c r="AA32" s="147">
        <f t="shared" si="10"/>
        <v>0</v>
      </c>
      <c r="AB32" s="7"/>
      <c r="AC32" s="147">
        <f t="shared" si="11"/>
        <v>0</v>
      </c>
      <c r="AD32" s="94">
        <f t="shared" si="12"/>
        <v>0</v>
      </c>
      <c r="AE32" s="148">
        <f t="shared" si="13"/>
        <v>0</v>
      </c>
    </row>
    <row r="33" spans="1:31" ht="20.100000000000001" customHeight="1">
      <c r="A33" s="63">
        <v>26</v>
      </c>
      <c r="B33" s="63" t="s">
        <v>43</v>
      </c>
      <c r="C33" s="63" t="s">
        <v>17</v>
      </c>
      <c r="D33" s="63">
        <v>0.6</v>
      </c>
      <c r="E33" s="63" t="s">
        <v>15</v>
      </c>
      <c r="F33" s="7"/>
      <c r="G33" s="147">
        <f t="shared" si="0"/>
        <v>0</v>
      </c>
      <c r="H33" s="7"/>
      <c r="I33" s="147">
        <f t="shared" si="1"/>
        <v>0</v>
      </c>
      <c r="J33" s="7"/>
      <c r="K33" s="147">
        <f t="shared" si="2"/>
        <v>0</v>
      </c>
      <c r="L33" s="7"/>
      <c r="M33" s="147">
        <f t="shared" si="3"/>
        <v>0</v>
      </c>
      <c r="N33" s="7"/>
      <c r="O33" s="147">
        <f t="shared" si="4"/>
        <v>0</v>
      </c>
      <c r="P33" s="7"/>
      <c r="Q33" s="147">
        <f t="shared" si="5"/>
        <v>0</v>
      </c>
      <c r="R33" s="7"/>
      <c r="S33" s="147">
        <f t="shared" si="6"/>
        <v>0</v>
      </c>
      <c r="T33" s="7"/>
      <c r="U33" s="147">
        <f t="shared" si="7"/>
        <v>0</v>
      </c>
      <c r="V33" s="7"/>
      <c r="W33" s="147">
        <f t="shared" si="8"/>
        <v>0</v>
      </c>
      <c r="X33" s="7"/>
      <c r="Y33" s="147">
        <f t="shared" si="9"/>
        <v>0</v>
      </c>
      <c r="Z33" s="7"/>
      <c r="AA33" s="147">
        <f t="shared" si="10"/>
        <v>0</v>
      </c>
      <c r="AB33" s="7"/>
      <c r="AC33" s="147">
        <f t="shared" si="11"/>
        <v>0</v>
      </c>
      <c r="AD33" s="94">
        <f t="shared" si="12"/>
        <v>0</v>
      </c>
      <c r="AE33" s="148">
        <f t="shared" si="13"/>
        <v>0</v>
      </c>
    </row>
    <row r="34" spans="1:31" ht="20.100000000000001" customHeight="1">
      <c r="A34" s="63">
        <v>27</v>
      </c>
      <c r="B34" s="63" t="s">
        <v>44</v>
      </c>
      <c r="C34" s="63" t="s">
        <v>17</v>
      </c>
      <c r="D34" s="63">
        <v>0.6</v>
      </c>
      <c r="E34" s="63" t="s">
        <v>15</v>
      </c>
      <c r="F34" s="7"/>
      <c r="G34" s="147">
        <f t="shared" si="0"/>
        <v>0</v>
      </c>
      <c r="H34" s="7"/>
      <c r="I34" s="147">
        <f t="shared" si="1"/>
        <v>0</v>
      </c>
      <c r="J34" s="7"/>
      <c r="K34" s="147">
        <f t="shared" si="2"/>
        <v>0</v>
      </c>
      <c r="L34" s="7"/>
      <c r="M34" s="147">
        <f t="shared" si="3"/>
        <v>0</v>
      </c>
      <c r="N34" s="7"/>
      <c r="O34" s="147">
        <f t="shared" si="4"/>
        <v>0</v>
      </c>
      <c r="P34" s="7"/>
      <c r="Q34" s="147">
        <f t="shared" si="5"/>
        <v>0</v>
      </c>
      <c r="R34" s="7"/>
      <c r="S34" s="147">
        <f t="shared" si="6"/>
        <v>0</v>
      </c>
      <c r="T34" s="7"/>
      <c r="U34" s="147">
        <f t="shared" si="7"/>
        <v>0</v>
      </c>
      <c r="V34" s="7"/>
      <c r="W34" s="147">
        <f t="shared" si="8"/>
        <v>0</v>
      </c>
      <c r="X34" s="7"/>
      <c r="Y34" s="147">
        <f t="shared" si="9"/>
        <v>0</v>
      </c>
      <c r="Z34" s="7"/>
      <c r="AA34" s="147">
        <f t="shared" si="10"/>
        <v>0</v>
      </c>
      <c r="AB34" s="7"/>
      <c r="AC34" s="147">
        <f t="shared" si="11"/>
        <v>0</v>
      </c>
      <c r="AD34" s="94">
        <f t="shared" si="12"/>
        <v>0</v>
      </c>
      <c r="AE34" s="148">
        <f t="shared" si="13"/>
        <v>0</v>
      </c>
    </row>
    <row r="35" spans="1:31" ht="20.100000000000001" customHeight="1">
      <c r="A35" s="63">
        <v>28</v>
      </c>
      <c r="B35" s="63" t="s">
        <v>45</v>
      </c>
      <c r="C35" s="63" t="s">
        <v>17</v>
      </c>
      <c r="D35" s="63">
        <v>0.35</v>
      </c>
      <c r="E35" s="63" t="s">
        <v>21</v>
      </c>
      <c r="F35" s="7"/>
      <c r="G35" s="147">
        <f t="shared" si="0"/>
        <v>0</v>
      </c>
      <c r="H35" s="7"/>
      <c r="I35" s="147">
        <f t="shared" si="1"/>
        <v>0</v>
      </c>
      <c r="J35" s="7"/>
      <c r="K35" s="147">
        <f t="shared" si="2"/>
        <v>0</v>
      </c>
      <c r="L35" s="7"/>
      <c r="M35" s="147">
        <f t="shared" si="3"/>
        <v>0</v>
      </c>
      <c r="N35" s="7"/>
      <c r="O35" s="147">
        <f t="shared" si="4"/>
        <v>0</v>
      </c>
      <c r="P35" s="7"/>
      <c r="Q35" s="147">
        <f t="shared" si="5"/>
        <v>0</v>
      </c>
      <c r="R35" s="7"/>
      <c r="S35" s="147">
        <f t="shared" si="6"/>
        <v>0</v>
      </c>
      <c r="T35" s="7"/>
      <c r="U35" s="147">
        <f t="shared" si="7"/>
        <v>0</v>
      </c>
      <c r="V35" s="7"/>
      <c r="W35" s="147">
        <f t="shared" si="8"/>
        <v>0</v>
      </c>
      <c r="X35" s="7"/>
      <c r="Y35" s="147">
        <f t="shared" si="9"/>
        <v>0</v>
      </c>
      <c r="Z35" s="7"/>
      <c r="AA35" s="147">
        <f t="shared" si="10"/>
        <v>0</v>
      </c>
      <c r="AB35" s="7"/>
      <c r="AC35" s="147">
        <f t="shared" si="11"/>
        <v>0</v>
      </c>
      <c r="AD35" s="94">
        <f t="shared" si="12"/>
        <v>0</v>
      </c>
      <c r="AE35" s="148">
        <f t="shared" si="13"/>
        <v>0</v>
      </c>
    </row>
    <row r="36" spans="1:31" ht="20.100000000000001" customHeight="1">
      <c r="A36" s="63">
        <v>29</v>
      </c>
      <c r="B36" s="63" t="s">
        <v>46</v>
      </c>
      <c r="C36" s="63" t="s">
        <v>14</v>
      </c>
      <c r="D36" s="63">
        <v>0.7</v>
      </c>
      <c r="E36" s="63" t="s">
        <v>15</v>
      </c>
      <c r="F36" s="146">
        <v>6204</v>
      </c>
      <c r="G36" s="147">
        <f t="shared" si="0"/>
        <v>4342.7999999999993</v>
      </c>
      <c r="H36" s="92">
        <v>5268</v>
      </c>
      <c r="I36" s="147">
        <f t="shared" si="1"/>
        <v>3687.6</v>
      </c>
      <c r="J36" s="92">
        <v>4440</v>
      </c>
      <c r="K36" s="147">
        <f t="shared" si="2"/>
        <v>3108</v>
      </c>
      <c r="L36" s="92">
        <v>3996</v>
      </c>
      <c r="M36" s="147">
        <f t="shared" si="3"/>
        <v>2797.2</v>
      </c>
      <c r="N36" s="92">
        <v>2436</v>
      </c>
      <c r="O36" s="147">
        <f t="shared" si="4"/>
        <v>1705.1999999999998</v>
      </c>
      <c r="P36" s="92">
        <v>4006</v>
      </c>
      <c r="Q36" s="147">
        <f t="shared" si="5"/>
        <v>2804.2</v>
      </c>
      <c r="R36" s="92">
        <v>4020</v>
      </c>
      <c r="S36" s="147">
        <f t="shared" si="6"/>
        <v>2814</v>
      </c>
      <c r="T36" s="92">
        <v>3900</v>
      </c>
      <c r="U36" s="147">
        <f t="shared" si="7"/>
        <v>2730</v>
      </c>
      <c r="V36" s="92">
        <v>4788</v>
      </c>
      <c r="W36" s="147">
        <f t="shared" si="8"/>
        <v>3351.6</v>
      </c>
      <c r="X36" s="92">
        <v>4680</v>
      </c>
      <c r="Y36" s="147">
        <f t="shared" si="9"/>
        <v>3276</v>
      </c>
      <c r="Z36" s="92">
        <v>4452</v>
      </c>
      <c r="AA36" s="147">
        <f t="shared" si="10"/>
        <v>3116.3999999999996</v>
      </c>
      <c r="AB36" s="7">
        <v>5232</v>
      </c>
      <c r="AC36" s="147">
        <f t="shared" si="11"/>
        <v>3662.3999999999996</v>
      </c>
      <c r="AD36" s="94">
        <f t="shared" si="12"/>
        <v>53422</v>
      </c>
      <c r="AE36" s="148">
        <f t="shared" si="13"/>
        <v>37395.399999999994</v>
      </c>
    </row>
    <row r="37" spans="1:31" ht="20.100000000000001" customHeight="1">
      <c r="A37" s="63">
        <v>30</v>
      </c>
      <c r="B37" s="63" t="s">
        <v>47</v>
      </c>
      <c r="C37" s="63" t="s">
        <v>14</v>
      </c>
      <c r="D37" s="63">
        <v>0.7</v>
      </c>
      <c r="E37" s="63" t="s">
        <v>15</v>
      </c>
      <c r="F37" s="7"/>
      <c r="G37" s="147">
        <f t="shared" si="0"/>
        <v>0</v>
      </c>
      <c r="H37" s="92"/>
      <c r="I37" s="147">
        <f t="shared" si="1"/>
        <v>0</v>
      </c>
      <c r="J37" s="92"/>
      <c r="K37" s="147">
        <f t="shared" si="2"/>
        <v>0</v>
      </c>
      <c r="L37" s="92"/>
      <c r="M37" s="147">
        <f t="shared" si="3"/>
        <v>0</v>
      </c>
      <c r="N37" s="92"/>
      <c r="O37" s="147">
        <f t="shared" si="4"/>
        <v>0</v>
      </c>
      <c r="P37" s="92"/>
      <c r="Q37" s="147">
        <f t="shared" si="5"/>
        <v>0</v>
      </c>
      <c r="R37" s="92"/>
      <c r="S37" s="147">
        <f t="shared" si="6"/>
        <v>0</v>
      </c>
      <c r="T37" s="92"/>
      <c r="U37" s="147">
        <f t="shared" si="7"/>
        <v>0</v>
      </c>
      <c r="V37" s="92"/>
      <c r="W37" s="147">
        <f t="shared" si="8"/>
        <v>0</v>
      </c>
      <c r="X37" s="92"/>
      <c r="Y37" s="147">
        <f t="shared" si="9"/>
        <v>0</v>
      </c>
      <c r="Z37" s="92"/>
      <c r="AA37" s="147">
        <f t="shared" si="10"/>
        <v>0</v>
      </c>
      <c r="AB37" s="7"/>
      <c r="AC37" s="147">
        <f t="shared" si="11"/>
        <v>0</v>
      </c>
      <c r="AD37" s="94">
        <f t="shared" si="12"/>
        <v>0</v>
      </c>
      <c r="AE37" s="148">
        <f t="shared" si="13"/>
        <v>0</v>
      </c>
    </row>
    <row r="38" spans="1:31" ht="20.100000000000001" customHeight="1">
      <c r="A38" s="63">
        <v>31</v>
      </c>
      <c r="B38" s="63" t="s">
        <v>48</v>
      </c>
      <c r="C38" s="63" t="s">
        <v>14</v>
      </c>
      <c r="D38" s="63">
        <v>0.68</v>
      </c>
      <c r="E38" s="63" t="s">
        <v>15</v>
      </c>
      <c r="F38" s="146">
        <v>1200</v>
      </c>
      <c r="G38" s="147">
        <f t="shared" si="0"/>
        <v>816.00000000000011</v>
      </c>
      <c r="H38" s="92">
        <v>611</v>
      </c>
      <c r="I38" s="147">
        <f t="shared" si="1"/>
        <v>415.48</v>
      </c>
      <c r="J38" s="92">
        <v>1647</v>
      </c>
      <c r="K38" s="147">
        <f t="shared" si="2"/>
        <v>1119.96</v>
      </c>
      <c r="L38" s="92">
        <v>1038</v>
      </c>
      <c r="M38" s="147">
        <f t="shared" si="3"/>
        <v>705.84</v>
      </c>
      <c r="N38" s="92">
        <v>283</v>
      </c>
      <c r="O38" s="147">
        <f t="shared" si="4"/>
        <v>192.44000000000003</v>
      </c>
      <c r="P38" s="92">
        <v>674</v>
      </c>
      <c r="Q38" s="147">
        <f t="shared" si="5"/>
        <v>458.32000000000005</v>
      </c>
      <c r="R38" s="92">
        <v>670</v>
      </c>
      <c r="S38" s="147">
        <f t="shared" si="6"/>
        <v>455.6</v>
      </c>
      <c r="T38" s="92">
        <v>624</v>
      </c>
      <c r="U38" s="147">
        <f t="shared" si="7"/>
        <v>424.32000000000005</v>
      </c>
      <c r="V38" s="92">
        <v>984</v>
      </c>
      <c r="W38" s="147">
        <f t="shared" si="8"/>
        <v>669.12</v>
      </c>
      <c r="X38" s="92">
        <v>712</v>
      </c>
      <c r="Y38" s="147">
        <f t="shared" si="9"/>
        <v>484.16</v>
      </c>
      <c r="Z38" s="92">
        <v>528</v>
      </c>
      <c r="AA38" s="147">
        <f t="shared" si="10"/>
        <v>359.04</v>
      </c>
      <c r="AB38" s="7">
        <v>492</v>
      </c>
      <c r="AC38" s="147">
        <f t="shared" si="11"/>
        <v>334.56</v>
      </c>
      <c r="AD38" s="94">
        <f t="shared" si="12"/>
        <v>9463</v>
      </c>
      <c r="AE38" s="148">
        <f t="shared" si="13"/>
        <v>6434.84</v>
      </c>
    </row>
    <row r="39" spans="1:31" ht="20.100000000000001" customHeight="1">
      <c r="A39" s="63">
        <v>32</v>
      </c>
      <c r="B39" s="63" t="s">
        <v>48</v>
      </c>
      <c r="C39" s="63" t="s">
        <v>14</v>
      </c>
      <c r="D39" s="63">
        <v>0.64</v>
      </c>
      <c r="E39" s="63" t="s">
        <v>15</v>
      </c>
      <c r="F39" s="7"/>
      <c r="G39" s="147">
        <f t="shared" si="0"/>
        <v>0</v>
      </c>
      <c r="H39" s="7"/>
      <c r="I39" s="147">
        <f t="shared" si="1"/>
        <v>0</v>
      </c>
      <c r="J39" s="7"/>
      <c r="K39" s="147">
        <f t="shared" si="2"/>
        <v>0</v>
      </c>
      <c r="L39" s="7"/>
      <c r="M39" s="147">
        <f t="shared" si="3"/>
        <v>0</v>
      </c>
      <c r="N39" s="7"/>
      <c r="O39" s="147">
        <f t="shared" si="4"/>
        <v>0</v>
      </c>
      <c r="P39" s="7"/>
      <c r="Q39" s="147">
        <f t="shared" si="5"/>
        <v>0</v>
      </c>
      <c r="R39" s="7"/>
      <c r="S39" s="147">
        <f t="shared" si="6"/>
        <v>0</v>
      </c>
      <c r="T39" s="7"/>
      <c r="U39" s="147">
        <f t="shared" si="7"/>
        <v>0</v>
      </c>
      <c r="V39" s="7"/>
      <c r="W39" s="147">
        <f t="shared" si="8"/>
        <v>0</v>
      </c>
      <c r="X39" s="7"/>
      <c r="Y39" s="147">
        <f t="shared" si="9"/>
        <v>0</v>
      </c>
      <c r="Z39" s="7"/>
      <c r="AA39" s="147">
        <f t="shared" si="10"/>
        <v>0</v>
      </c>
      <c r="AB39" s="7"/>
      <c r="AC39" s="147">
        <f t="shared" si="11"/>
        <v>0</v>
      </c>
      <c r="AD39" s="94">
        <f t="shared" si="12"/>
        <v>0</v>
      </c>
      <c r="AE39" s="148">
        <f t="shared" si="13"/>
        <v>0</v>
      </c>
    </row>
    <row r="40" spans="1:31" ht="20.100000000000001" customHeight="1">
      <c r="A40" s="63">
        <v>33</v>
      </c>
      <c r="B40" s="63" t="s">
        <v>49</v>
      </c>
      <c r="C40" s="63" t="s">
        <v>14</v>
      </c>
      <c r="D40" s="63">
        <v>0.64</v>
      </c>
      <c r="E40" s="63" t="s">
        <v>25</v>
      </c>
      <c r="F40" s="7"/>
      <c r="G40" s="147">
        <f t="shared" si="0"/>
        <v>0</v>
      </c>
      <c r="H40" s="7"/>
      <c r="I40" s="147">
        <f t="shared" si="1"/>
        <v>0</v>
      </c>
      <c r="J40" s="7"/>
      <c r="K40" s="147">
        <f t="shared" si="2"/>
        <v>0</v>
      </c>
      <c r="L40" s="7"/>
      <c r="M40" s="147">
        <f t="shared" si="3"/>
        <v>0</v>
      </c>
      <c r="N40" s="7"/>
      <c r="O40" s="147">
        <f t="shared" si="4"/>
        <v>0</v>
      </c>
      <c r="P40" s="7"/>
      <c r="Q40" s="147">
        <f t="shared" si="5"/>
        <v>0</v>
      </c>
      <c r="R40" s="7"/>
      <c r="S40" s="147">
        <f t="shared" si="6"/>
        <v>0</v>
      </c>
      <c r="T40" s="7"/>
      <c r="U40" s="147">
        <f t="shared" si="7"/>
        <v>0</v>
      </c>
      <c r="V40" s="7"/>
      <c r="W40" s="147">
        <f t="shared" si="8"/>
        <v>0</v>
      </c>
      <c r="X40" s="7"/>
      <c r="Y40" s="147">
        <f t="shared" si="9"/>
        <v>0</v>
      </c>
      <c r="Z40" s="7"/>
      <c r="AA40" s="147">
        <f t="shared" si="10"/>
        <v>0</v>
      </c>
      <c r="AB40" s="7"/>
      <c r="AC40" s="147">
        <f t="shared" si="11"/>
        <v>0</v>
      </c>
      <c r="AD40" s="94">
        <f t="shared" si="12"/>
        <v>0</v>
      </c>
      <c r="AE40" s="148">
        <f t="shared" si="13"/>
        <v>0</v>
      </c>
    </row>
    <row r="41" spans="1:31" ht="20.100000000000001" customHeight="1">
      <c r="A41" s="63">
        <v>34</v>
      </c>
      <c r="B41" s="63" t="s">
        <v>47</v>
      </c>
      <c r="C41" s="63" t="s">
        <v>14</v>
      </c>
      <c r="D41" s="63">
        <v>0.64</v>
      </c>
      <c r="E41" s="63" t="s">
        <v>25</v>
      </c>
      <c r="F41" s="146">
        <v>58324</v>
      </c>
      <c r="G41" s="147">
        <f t="shared" si="0"/>
        <v>37327.360000000001</v>
      </c>
      <c r="H41" s="92">
        <v>52393</v>
      </c>
      <c r="I41" s="147">
        <f t="shared" si="1"/>
        <v>33531.520000000004</v>
      </c>
      <c r="J41" s="92">
        <v>52290</v>
      </c>
      <c r="K41" s="147">
        <f t="shared" si="2"/>
        <v>33465.599999999999</v>
      </c>
      <c r="L41" s="92">
        <v>51660</v>
      </c>
      <c r="M41" s="147">
        <f t="shared" si="3"/>
        <v>33062.400000000001</v>
      </c>
      <c r="N41" s="92">
        <v>50582</v>
      </c>
      <c r="O41" s="147">
        <f t="shared" si="4"/>
        <v>32372.48</v>
      </c>
      <c r="P41" s="92">
        <v>50162</v>
      </c>
      <c r="Q41" s="147">
        <f t="shared" si="5"/>
        <v>32103.68</v>
      </c>
      <c r="R41" s="92">
        <v>47579</v>
      </c>
      <c r="S41" s="147">
        <f t="shared" si="6"/>
        <v>30450.560000000001</v>
      </c>
      <c r="T41" s="92">
        <v>54922</v>
      </c>
      <c r="U41" s="147">
        <f t="shared" si="7"/>
        <v>35150.080000000002</v>
      </c>
      <c r="V41" s="92">
        <v>54362</v>
      </c>
      <c r="W41" s="147">
        <f t="shared" si="8"/>
        <v>34791.68</v>
      </c>
      <c r="X41" s="92">
        <v>53634</v>
      </c>
      <c r="Y41" s="147">
        <f t="shared" si="9"/>
        <v>34325.760000000002</v>
      </c>
      <c r="Z41" s="92">
        <v>53928</v>
      </c>
      <c r="AA41" s="147">
        <f t="shared" si="10"/>
        <v>34513.919999999998</v>
      </c>
      <c r="AB41" s="7">
        <v>54544</v>
      </c>
      <c r="AC41" s="147">
        <f t="shared" si="11"/>
        <v>34908.160000000003</v>
      </c>
      <c r="AD41" s="94">
        <f t="shared" si="12"/>
        <v>634380</v>
      </c>
      <c r="AE41" s="148">
        <f t="shared" si="13"/>
        <v>406003.20000000001</v>
      </c>
    </row>
    <row r="42" spans="1:31" ht="20.100000000000001" customHeight="1">
      <c r="A42" s="63">
        <v>35</v>
      </c>
      <c r="B42" s="63" t="s">
        <v>47</v>
      </c>
      <c r="C42" s="63" t="s">
        <v>14</v>
      </c>
      <c r="D42" s="63">
        <v>0.64</v>
      </c>
      <c r="E42" s="63" t="s">
        <v>24</v>
      </c>
      <c r="F42" s="7"/>
      <c r="G42" s="147">
        <f t="shared" si="0"/>
        <v>0</v>
      </c>
      <c r="H42" s="7"/>
      <c r="I42" s="147">
        <f t="shared" si="1"/>
        <v>0</v>
      </c>
      <c r="J42" s="7"/>
      <c r="K42" s="147">
        <f t="shared" si="2"/>
        <v>0</v>
      </c>
      <c r="L42" s="7"/>
      <c r="M42" s="147">
        <f t="shared" si="3"/>
        <v>0</v>
      </c>
      <c r="N42" s="7"/>
      <c r="O42" s="147">
        <f t="shared" si="4"/>
        <v>0</v>
      </c>
      <c r="P42" s="7"/>
      <c r="Q42" s="147">
        <f t="shared" si="5"/>
        <v>0</v>
      </c>
      <c r="R42" s="7"/>
      <c r="S42" s="147">
        <f t="shared" si="6"/>
        <v>0</v>
      </c>
      <c r="T42" s="7"/>
      <c r="U42" s="147">
        <f t="shared" si="7"/>
        <v>0</v>
      </c>
      <c r="V42" s="7"/>
      <c r="W42" s="147">
        <f t="shared" si="8"/>
        <v>0</v>
      </c>
      <c r="X42" s="7"/>
      <c r="Y42" s="147">
        <f t="shared" si="9"/>
        <v>0</v>
      </c>
      <c r="Z42" s="7"/>
      <c r="AA42" s="147">
        <f t="shared" si="10"/>
        <v>0</v>
      </c>
      <c r="AB42" s="7"/>
      <c r="AC42" s="147">
        <f t="shared" si="11"/>
        <v>0</v>
      </c>
      <c r="AD42" s="94">
        <f t="shared" si="12"/>
        <v>0</v>
      </c>
      <c r="AE42" s="148">
        <f t="shared" si="13"/>
        <v>0</v>
      </c>
    </row>
    <row r="43" spans="1:31" ht="20.100000000000001" customHeight="1">
      <c r="A43" s="63">
        <v>36</v>
      </c>
      <c r="B43" s="63" t="s">
        <v>50</v>
      </c>
      <c r="C43" s="63" t="s">
        <v>14</v>
      </c>
      <c r="D43" s="63">
        <v>0.68</v>
      </c>
      <c r="E43" s="63" t="s">
        <v>25</v>
      </c>
      <c r="F43" s="7"/>
      <c r="G43" s="147">
        <f t="shared" si="0"/>
        <v>0</v>
      </c>
      <c r="H43" s="7"/>
      <c r="I43" s="147">
        <f t="shared" si="1"/>
        <v>0</v>
      </c>
      <c r="J43" s="7"/>
      <c r="K43" s="147">
        <f t="shared" si="2"/>
        <v>0</v>
      </c>
      <c r="L43" s="7"/>
      <c r="M43" s="147">
        <f t="shared" si="3"/>
        <v>0</v>
      </c>
      <c r="N43" s="7"/>
      <c r="O43" s="147">
        <f t="shared" si="4"/>
        <v>0</v>
      </c>
      <c r="P43" s="7"/>
      <c r="Q43" s="147">
        <f t="shared" si="5"/>
        <v>0</v>
      </c>
      <c r="R43" s="7"/>
      <c r="S43" s="147">
        <f t="shared" si="6"/>
        <v>0</v>
      </c>
      <c r="T43" s="7"/>
      <c r="U43" s="147">
        <f t="shared" si="7"/>
        <v>0</v>
      </c>
      <c r="V43" s="7"/>
      <c r="W43" s="147">
        <f t="shared" si="8"/>
        <v>0</v>
      </c>
      <c r="X43" s="7"/>
      <c r="Y43" s="147">
        <f t="shared" si="9"/>
        <v>0</v>
      </c>
      <c r="Z43" s="7"/>
      <c r="AA43" s="147">
        <f t="shared" si="10"/>
        <v>0</v>
      </c>
      <c r="AB43" s="7"/>
      <c r="AC43" s="147">
        <f t="shared" si="11"/>
        <v>0</v>
      </c>
      <c r="AD43" s="94">
        <f t="shared" si="12"/>
        <v>0</v>
      </c>
      <c r="AE43" s="148">
        <f t="shared" si="13"/>
        <v>0</v>
      </c>
    </row>
    <row r="44" spans="1:31" ht="20.100000000000001" customHeight="1">
      <c r="A44" s="63">
        <v>37</v>
      </c>
      <c r="B44" s="63" t="s">
        <v>50</v>
      </c>
      <c r="C44" s="63" t="s">
        <v>14</v>
      </c>
      <c r="D44" s="63">
        <v>0.64</v>
      </c>
      <c r="E44" s="63" t="s">
        <v>25</v>
      </c>
      <c r="F44" s="92"/>
      <c r="G44" s="147">
        <f t="shared" si="0"/>
        <v>0</v>
      </c>
      <c r="H44" s="92"/>
      <c r="I44" s="147">
        <f t="shared" si="1"/>
        <v>0</v>
      </c>
      <c r="J44" s="92">
        <v>1470</v>
      </c>
      <c r="K44" s="147">
        <f t="shared" si="2"/>
        <v>940.80000000000007</v>
      </c>
      <c r="L44" s="92">
        <v>7000</v>
      </c>
      <c r="M44" s="147">
        <f t="shared" si="3"/>
        <v>4480</v>
      </c>
      <c r="N44" s="92">
        <v>1826</v>
      </c>
      <c r="O44" s="147">
        <f t="shared" si="4"/>
        <v>1168.6400000000001</v>
      </c>
      <c r="P44" s="92">
        <v>2906</v>
      </c>
      <c r="Q44" s="147">
        <f t="shared" si="5"/>
        <v>1859.8400000000001</v>
      </c>
      <c r="R44" s="92">
        <v>3304</v>
      </c>
      <c r="S44" s="147">
        <f t="shared" si="6"/>
        <v>2114.56</v>
      </c>
      <c r="T44" s="92">
        <v>3584</v>
      </c>
      <c r="U44" s="147">
        <f t="shared" si="7"/>
        <v>2293.7600000000002</v>
      </c>
      <c r="V44" s="92">
        <v>1974</v>
      </c>
      <c r="W44" s="147">
        <f t="shared" si="8"/>
        <v>1263.3600000000001</v>
      </c>
      <c r="X44" s="92">
        <v>3724</v>
      </c>
      <c r="Y44" s="147">
        <f t="shared" si="9"/>
        <v>2383.36</v>
      </c>
      <c r="Z44" s="92">
        <v>2646</v>
      </c>
      <c r="AA44" s="147">
        <f t="shared" si="10"/>
        <v>1693.44</v>
      </c>
      <c r="AB44" s="7">
        <v>3262</v>
      </c>
      <c r="AC44" s="147">
        <f t="shared" si="11"/>
        <v>2087.6799999999998</v>
      </c>
      <c r="AD44" s="94">
        <f t="shared" si="12"/>
        <v>31696</v>
      </c>
      <c r="AE44" s="148">
        <f t="shared" si="13"/>
        <v>20285.439999999999</v>
      </c>
    </row>
    <row r="45" spans="1:31" ht="20.100000000000001" customHeight="1">
      <c r="A45" s="63">
        <v>38</v>
      </c>
      <c r="B45" s="63" t="s">
        <v>51</v>
      </c>
      <c r="C45" s="63" t="s">
        <v>14</v>
      </c>
      <c r="D45" s="63">
        <v>0.64</v>
      </c>
      <c r="E45" s="63" t="s">
        <v>25</v>
      </c>
      <c r="F45" s="7"/>
      <c r="G45" s="147">
        <f t="shared" si="0"/>
        <v>0</v>
      </c>
      <c r="H45" s="7"/>
      <c r="I45" s="147">
        <f t="shared" si="1"/>
        <v>0</v>
      </c>
      <c r="J45" s="7"/>
      <c r="K45" s="147">
        <f t="shared" si="2"/>
        <v>0</v>
      </c>
      <c r="L45" s="7"/>
      <c r="M45" s="147">
        <f t="shared" si="3"/>
        <v>0</v>
      </c>
      <c r="N45" s="7"/>
      <c r="O45" s="147">
        <f t="shared" si="4"/>
        <v>0</v>
      </c>
      <c r="P45" s="7"/>
      <c r="Q45" s="147">
        <f t="shared" si="5"/>
        <v>0</v>
      </c>
      <c r="R45" s="7"/>
      <c r="S45" s="147">
        <f t="shared" si="6"/>
        <v>0</v>
      </c>
      <c r="T45" s="7"/>
      <c r="U45" s="147">
        <f t="shared" si="7"/>
        <v>0</v>
      </c>
      <c r="V45" s="7"/>
      <c r="W45" s="147">
        <f t="shared" si="8"/>
        <v>0</v>
      </c>
      <c r="X45" s="7"/>
      <c r="Y45" s="147">
        <f t="shared" si="9"/>
        <v>0</v>
      </c>
      <c r="Z45" s="7"/>
      <c r="AA45" s="147">
        <f t="shared" si="10"/>
        <v>0</v>
      </c>
      <c r="AB45" s="7"/>
      <c r="AC45" s="147">
        <f t="shared" si="11"/>
        <v>0</v>
      </c>
      <c r="AD45" s="94">
        <f t="shared" si="12"/>
        <v>0</v>
      </c>
      <c r="AE45" s="148">
        <f t="shared" si="13"/>
        <v>0</v>
      </c>
    </row>
    <row r="46" spans="1:31" ht="20.100000000000001" customHeight="1">
      <c r="A46" s="63">
        <v>39</v>
      </c>
      <c r="B46" s="63" t="s">
        <v>51</v>
      </c>
      <c r="C46" s="63" t="s">
        <v>14</v>
      </c>
      <c r="D46" s="63">
        <v>0.64</v>
      </c>
      <c r="E46" s="63" t="s">
        <v>25</v>
      </c>
      <c r="F46" s="7"/>
      <c r="G46" s="147">
        <f t="shared" si="0"/>
        <v>0</v>
      </c>
      <c r="H46" s="7"/>
      <c r="I46" s="147">
        <f t="shared" si="1"/>
        <v>0</v>
      </c>
      <c r="J46" s="7"/>
      <c r="K46" s="147">
        <f t="shared" si="2"/>
        <v>0</v>
      </c>
      <c r="L46" s="7"/>
      <c r="M46" s="147">
        <f t="shared" si="3"/>
        <v>0</v>
      </c>
      <c r="N46" s="7"/>
      <c r="O46" s="147">
        <f t="shared" si="4"/>
        <v>0</v>
      </c>
      <c r="P46" s="7"/>
      <c r="Q46" s="147">
        <f t="shared" si="5"/>
        <v>0</v>
      </c>
      <c r="R46" s="7"/>
      <c r="S46" s="147">
        <f t="shared" si="6"/>
        <v>0</v>
      </c>
      <c r="T46" s="7"/>
      <c r="U46" s="147">
        <f t="shared" si="7"/>
        <v>0</v>
      </c>
      <c r="V46" s="7"/>
      <c r="W46" s="147">
        <f t="shared" si="8"/>
        <v>0</v>
      </c>
      <c r="X46" s="7"/>
      <c r="Y46" s="147">
        <f t="shared" si="9"/>
        <v>0</v>
      </c>
      <c r="Z46" s="7"/>
      <c r="AA46" s="147">
        <f t="shared" si="10"/>
        <v>0</v>
      </c>
      <c r="AB46" s="7"/>
      <c r="AC46" s="147">
        <f t="shared" si="11"/>
        <v>0</v>
      </c>
      <c r="AD46" s="94">
        <f t="shared" si="12"/>
        <v>0</v>
      </c>
      <c r="AE46" s="148">
        <f t="shared" si="13"/>
        <v>0</v>
      </c>
    </row>
    <row r="47" spans="1:31" ht="20.100000000000001" customHeight="1">
      <c r="A47" s="63">
        <v>40</v>
      </c>
      <c r="B47" s="63" t="s">
        <v>51</v>
      </c>
      <c r="C47" s="63" t="s">
        <v>14</v>
      </c>
      <c r="D47" s="63">
        <v>0.64</v>
      </c>
      <c r="E47" s="63" t="s">
        <v>25</v>
      </c>
      <c r="F47" s="7"/>
      <c r="G47" s="147">
        <f t="shared" si="0"/>
        <v>0</v>
      </c>
      <c r="H47" s="7"/>
      <c r="I47" s="147">
        <f t="shared" si="1"/>
        <v>0</v>
      </c>
      <c r="J47" s="7"/>
      <c r="K47" s="147">
        <f t="shared" si="2"/>
        <v>0</v>
      </c>
      <c r="L47" s="7"/>
      <c r="M47" s="147">
        <f t="shared" si="3"/>
        <v>0</v>
      </c>
      <c r="N47" s="7"/>
      <c r="O47" s="147">
        <f t="shared" si="4"/>
        <v>0</v>
      </c>
      <c r="P47" s="7"/>
      <c r="Q47" s="147">
        <f t="shared" si="5"/>
        <v>0</v>
      </c>
      <c r="R47" s="7"/>
      <c r="S47" s="147">
        <f t="shared" si="6"/>
        <v>0</v>
      </c>
      <c r="T47" s="7"/>
      <c r="U47" s="147">
        <f t="shared" si="7"/>
        <v>0</v>
      </c>
      <c r="V47" s="7"/>
      <c r="W47" s="147">
        <f t="shared" si="8"/>
        <v>0</v>
      </c>
      <c r="X47" s="7"/>
      <c r="Y47" s="147">
        <f t="shared" si="9"/>
        <v>0</v>
      </c>
      <c r="Z47" s="7"/>
      <c r="AA47" s="147">
        <f t="shared" si="10"/>
        <v>0</v>
      </c>
      <c r="AB47" s="7"/>
      <c r="AC47" s="147">
        <f t="shared" si="11"/>
        <v>0</v>
      </c>
      <c r="AD47" s="94">
        <f t="shared" si="12"/>
        <v>0</v>
      </c>
      <c r="AE47" s="148">
        <f t="shared" si="13"/>
        <v>0</v>
      </c>
    </row>
    <row r="48" spans="1:31" ht="20.100000000000001" customHeight="1">
      <c r="A48" s="63"/>
      <c r="B48" s="63"/>
      <c r="C48" s="63"/>
      <c r="D48" s="63"/>
      <c r="E48" s="63"/>
      <c r="F48" s="7"/>
      <c r="G48" s="147">
        <f t="shared" si="0"/>
        <v>0</v>
      </c>
      <c r="H48" s="7"/>
      <c r="I48" s="147">
        <f t="shared" si="1"/>
        <v>0</v>
      </c>
      <c r="J48" s="7"/>
      <c r="K48" s="147">
        <f t="shared" si="2"/>
        <v>0</v>
      </c>
      <c r="L48" s="7"/>
      <c r="M48" s="147">
        <f t="shared" si="3"/>
        <v>0</v>
      </c>
      <c r="N48" s="7"/>
      <c r="O48" s="147">
        <f t="shared" si="4"/>
        <v>0</v>
      </c>
      <c r="P48" s="7"/>
      <c r="Q48" s="147">
        <f t="shared" si="5"/>
        <v>0</v>
      </c>
      <c r="R48" s="7"/>
      <c r="S48" s="147">
        <f t="shared" si="6"/>
        <v>0</v>
      </c>
      <c r="T48" s="7"/>
      <c r="U48" s="147">
        <f t="shared" si="7"/>
        <v>0</v>
      </c>
      <c r="V48" s="7"/>
      <c r="W48" s="147">
        <f t="shared" si="8"/>
        <v>0</v>
      </c>
      <c r="X48" s="7"/>
      <c r="Y48" s="147">
        <f t="shared" si="9"/>
        <v>0</v>
      </c>
      <c r="Z48" s="7"/>
      <c r="AA48" s="147">
        <f t="shared" si="10"/>
        <v>0</v>
      </c>
      <c r="AB48" s="7"/>
      <c r="AC48" s="147">
        <f t="shared" si="11"/>
        <v>0</v>
      </c>
      <c r="AD48" s="94">
        <f t="shared" si="12"/>
        <v>0</v>
      </c>
      <c r="AE48" s="148">
        <f t="shared" si="13"/>
        <v>0</v>
      </c>
    </row>
    <row r="49" spans="1:31" ht="20.100000000000001" customHeight="1">
      <c r="A49" s="63">
        <v>41</v>
      </c>
      <c r="B49" s="63" t="s">
        <v>52</v>
      </c>
      <c r="C49" s="63" t="s">
        <v>17</v>
      </c>
      <c r="D49" s="63">
        <v>1</v>
      </c>
      <c r="E49" s="63" t="s">
        <v>15</v>
      </c>
      <c r="F49" s="7"/>
      <c r="G49" s="147">
        <f t="shared" si="0"/>
        <v>0</v>
      </c>
      <c r="H49" s="7"/>
      <c r="I49" s="147">
        <f t="shared" si="1"/>
        <v>0</v>
      </c>
      <c r="J49" s="7"/>
      <c r="K49" s="147">
        <f t="shared" si="2"/>
        <v>0</v>
      </c>
      <c r="L49" s="7"/>
      <c r="M49" s="147">
        <f t="shared" si="3"/>
        <v>0</v>
      </c>
      <c r="N49" s="7"/>
      <c r="O49" s="147">
        <f t="shared" si="4"/>
        <v>0</v>
      </c>
      <c r="P49" s="7"/>
      <c r="Q49" s="147">
        <f t="shared" si="5"/>
        <v>0</v>
      </c>
      <c r="R49" s="7"/>
      <c r="S49" s="147">
        <f t="shared" si="6"/>
        <v>0</v>
      </c>
      <c r="T49" s="7"/>
      <c r="U49" s="147">
        <f t="shared" si="7"/>
        <v>0</v>
      </c>
      <c r="V49" s="7"/>
      <c r="W49" s="147">
        <f t="shared" si="8"/>
        <v>0</v>
      </c>
      <c r="X49" s="7"/>
      <c r="Y49" s="147">
        <f t="shared" si="9"/>
        <v>0</v>
      </c>
      <c r="Z49" s="7"/>
      <c r="AA49" s="147">
        <f t="shared" si="10"/>
        <v>0</v>
      </c>
      <c r="AB49" s="7"/>
      <c r="AC49" s="147">
        <f t="shared" si="11"/>
        <v>0</v>
      </c>
      <c r="AD49" s="94">
        <f t="shared" si="12"/>
        <v>0</v>
      </c>
      <c r="AE49" s="148">
        <f t="shared" si="13"/>
        <v>0</v>
      </c>
    </row>
    <row r="50" spans="1:31" ht="20.100000000000001" customHeight="1">
      <c r="A50" s="63">
        <v>42</v>
      </c>
      <c r="B50" s="63" t="s">
        <v>52</v>
      </c>
      <c r="C50" s="63" t="s">
        <v>17</v>
      </c>
      <c r="D50" s="63">
        <v>1</v>
      </c>
      <c r="E50" s="63" t="s">
        <v>24</v>
      </c>
      <c r="F50" s="7"/>
      <c r="G50" s="147">
        <f t="shared" si="0"/>
        <v>0</v>
      </c>
      <c r="H50" s="7"/>
      <c r="I50" s="147">
        <f t="shared" si="1"/>
        <v>0</v>
      </c>
      <c r="J50" s="7"/>
      <c r="K50" s="147">
        <f t="shared" si="2"/>
        <v>0</v>
      </c>
      <c r="L50" s="7"/>
      <c r="M50" s="147">
        <f t="shared" si="3"/>
        <v>0</v>
      </c>
      <c r="N50" s="7"/>
      <c r="O50" s="147">
        <f t="shared" si="4"/>
        <v>0</v>
      </c>
      <c r="P50" s="7"/>
      <c r="Q50" s="147">
        <f t="shared" si="5"/>
        <v>0</v>
      </c>
      <c r="R50" s="7"/>
      <c r="S50" s="147">
        <f t="shared" si="6"/>
        <v>0</v>
      </c>
      <c r="T50" s="7"/>
      <c r="U50" s="147">
        <f t="shared" si="7"/>
        <v>0</v>
      </c>
      <c r="V50" s="7"/>
      <c r="W50" s="147">
        <f t="shared" si="8"/>
        <v>0</v>
      </c>
      <c r="X50" s="7"/>
      <c r="Y50" s="147">
        <f t="shared" si="9"/>
        <v>0</v>
      </c>
      <c r="Z50" s="7"/>
      <c r="AA50" s="147">
        <f t="shared" si="10"/>
        <v>0</v>
      </c>
      <c r="AB50" s="7"/>
      <c r="AC50" s="147">
        <f t="shared" si="11"/>
        <v>0</v>
      </c>
      <c r="AD50" s="94">
        <f t="shared" si="12"/>
        <v>0</v>
      </c>
      <c r="AE50" s="148">
        <f t="shared" si="13"/>
        <v>0</v>
      </c>
    </row>
    <row r="51" spans="1:31" ht="20.100000000000001" customHeight="1">
      <c r="A51" s="63">
        <v>43</v>
      </c>
      <c r="B51" s="63" t="s">
        <v>53</v>
      </c>
      <c r="C51" s="63" t="s">
        <v>14</v>
      </c>
      <c r="D51" s="63">
        <v>0.64</v>
      </c>
      <c r="E51" s="63" t="s">
        <v>25</v>
      </c>
      <c r="F51" s="92">
        <v>204793</v>
      </c>
      <c r="G51" s="147">
        <f t="shared" si="0"/>
        <v>131067.52</v>
      </c>
      <c r="H51" s="92">
        <v>124476</v>
      </c>
      <c r="I51" s="147">
        <f t="shared" si="1"/>
        <v>79664.639999999999</v>
      </c>
      <c r="J51" s="92">
        <v>119466</v>
      </c>
      <c r="K51" s="147">
        <f t="shared" si="2"/>
        <v>76458.240000000005</v>
      </c>
      <c r="L51" s="92">
        <v>121002</v>
      </c>
      <c r="M51" s="147">
        <f t="shared" si="3"/>
        <v>77441.279999999999</v>
      </c>
      <c r="N51" s="92">
        <v>136738</v>
      </c>
      <c r="O51" s="147">
        <f t="shared" si="4"/>
        <v>87512.320000000007</v>
      </c>
      <c r="P51" s="92">
        <v>143416</v>
      </c>
      <c r="Q51" s="147">
        <f t="shared" si="5"/>
        <v>91786.240000000005</v>
      </c>
      <c r="R51" s="92">
        <v>140525</v>
      </c>
      <c r="S51" s="147">
        <f t="shared" si="6"/>
        <v>89936</v>
      </c>
      <c r="T51" s="92">
        <v>137417</v>
      </c>
      <c r="U51" s="147">
        <f t="shared" si="7"/>
        <v>87946.880000000005</v>
      </c>
      <c r="V51" s="92">
        <v>149520</v>
      </c>
      <c r="W51" s="147">
        <f t="shared" si="8"/>
        <v>95692.800000000003</v>
      </c>
      <c r="X51" s="92">
        <v>136758</v>
      </c>
      <c r="Y51" s="147">
        <f t="shared" si="9"/>
        <v>87525.119999999995</v>
      </c>
      <c r="Z51" s="92">
        <v>148316</v>
      </c>
      <c r="AA51" s="147">
        <f t="shared" si="10"/>
        <v>94922.240000000005</v>
      </c>
      <c r="AB51" s="7">
        <v>159250</v>
      </c>
      <c r="AC51" s="147">
        <f t="shared" si="11"/>
        <v>101920</v>
      </c>
      <c r="AD51" s="94">
        <f t="shared" si="12"/>
        <v>1721677</v>
      </c>
      <c r="AE51" s="148">
        <f t="shared" si="13"/>
        <v>1101873.28</v>
      </c>
    </row>
    <row r="52" spans="1:31" ht="20.100000000000001" customHeight="1">
      <c r="A52" s="63">
        <v>44</v>
      </c>
      <c r="B52" s="63" t="s">
        <v>53</v>
      </c>
      <c r="C52" s="63" t="s">
        <v>14</v>
      </c>
      <c r="D52" s="63">
        <v>0.64</v>
      </c>
      <c r="E52" s="63" t="s">
        <v>24</v>
      </c>
      <c r="F52" s="7"/>
      <c r="G52" s="147">
        <f t="shared" si="0"/>
        <v>0</v>
      </c>
      <c r="H52" s="7"/>
      <c r="I52" s="147">
        <f t="shared" si="1"/>
        <v>0</v>
      </c>
      <c r="J52" s="7"/>
      <c r="K52" s="147">
        <f t="shared" si="2"/>
        <v>0</v>
      </c>
      <c r="L52" s="7"/>
      <c r="M52" s="147">
        <f t="shared" si="3"/>
        <v>0</v>
      </c>
      <c r="N52" s="7"/>
      <c r="O52" s="147">
        <f t="shared" si="4"/>
        <v>0</v>
      </c>
      <c r="P52" s="7"/>
      <c r="Q52" s="147">
        <f t="shared" si="5"/>
        <v>0</v>
      </c>
      <c r="R52" s="7"/>
      <c r="S52" s="147">
        <f t="shared" si="6"/>
        <v>0</v>
      </c>
      <c r="T52" s="7"/>
      <c r="U52" s="147">
        <f t="shared" si="7"/>
        <v>0</v>
      </c>
      <c r="V52" s="7"/>
      <c r="W52" s="147">
        <f t="shared" si="8"/>
        <v>0</v>
      </c>
      <c r="X52" s="7"/>
      <c r="Y52" s="147">
        <f t="shared" si="9"/>
        <v>0</v>
      </c>
      <c r="Z52" s="7"/>
      <c r="AA52" s="147">
        <f t="shared" si="10"/>
        <v>0</v>
      </c>
      <c r="AB52" s="7"/>
      <c r="AC52" s="147">
        <f t="shared" si="11"/>
        <v>0</v>
      </c>
      <c r="AD52" s="94">
        <f t="shared" si="12"/>
        <v>0</v>
      </c>
      <c r="AE52" s="148">
        <f t="shared" si="13"/>
        <v>0</v>
      </c>
    </row>
    <row r="53" spans="1:31" ht="20.100000000000001" customHeight="1">
      <c r="A53" s="63"/>
      <c r="B53" s="63"/>
      <c r="C53" s="63"/>
      <c r="D53" s="63"/>
      <c r="E53" s="63"/>
      <c r="F53" s="7"/>
      <c r="G53" s="147">
        <f t="shared" si="0"/>
        <v>0</v>
      </c>
      <c r="H53" s="7"/>
      <c r="I53" s="147">
        <f t="shared" si="1"/>
        <v>0</v>
      </c>
      <c r="J53" s="7"/>
      <c r="K53" s="147">
        <f t="shared" si="2"/>
        <v>0</v>
      </c>
      <c r="L53" s="7"/>
      <c r="M53" s="147">
        <f t="shared" si="3"/>
        <v>0</v>
      </c>
      <c r="N53" s="7"/>
      <c r="O53" s="147">
        <f t="shared" si="4"/>
        <v>0</v>
      </c>
      <c r="P53" s="7"/>
      <c r="Q53" s="147">
        <f t="shared" si="5"/>
        <v>0</v>
      </c>
      <c r="R53" s="7"/>
      <c r="S53" s="147">
        <f t="shared" si="6"/>
        <v>0</v>
      </c>
      <c r="T53" s="7"/>
      <c r="U53" s="147">
        <f t="shared" si="7"/>
        <v>0</v>
      </c>
      <c r="V53" s="7"/>
      <c r="W53" s="147">
        <f t="shared" si="8"/>
        <v>0</v>
      </c>
      <c r="X53" s="7"/>
      <c r="Y53" s="147">
        <f t="shared" si="9"/>
        <v>0</v>
      </c>
      <c r="Z53" s="7"/>
      <c r="AA53" s="147">
        <f t="shared" si="10"/>
        <v>0</v>
      </c>
      <c r="AB53" s="7"/>
      <c r="AC53" s="147">
        <f t="shared" si="11"/>
        <v>0</v>
      </c>
      <c r="AD53" s="94">
        <f t="shared" si="12"/>
        <v>0</v>
      </c>
      <c r="AE53" s="148">
        <f t="shared" si="13"/>
        <v>0</v>
      </c>
    </row>
    <row r="54" spans="1:31" ht="20.100000000000001" customHeight="1">
      <c r="A54" s="63"/>
      <c r="B54" s="63"/>
      <c r="C54" s="63"/>
      <c r="D54" s="63"/>
      <c r="E54" s="63"/>
      <c r="F54" s="7"/>
      <c r="G54" s="147">
        <f t="shared" si="0"/>
        <v>0</v>
      </c>
      <c r="H54" s="7"/>
      <c r="I54" s="147">
        <f t="shared" si="1"/>
        <v>0</v>
      </c>
      <c r="J54" s="7"/>
      <c r="K54" s="147">
        <f t="shared" si="2"/>
        <v>0</v>
      </c>
      <c r="L54" s="7"/>
      <c r="M54" s="147">
        <f t="shared" si="3"/>
        <v>0</v>
      </c>
      <c r="N54" s="7"/>
      <c r="O54" s="147">
        <f t="shared" si="4"/>
        <v>0</v>
      </c>
      <c r="P54" s="7"/>
      <c r="Q54" s="147">
        <f t="shared" si="5"/>
        <v>0</v>
      </c>
      <c r="R54" s="7"/>
      <c r="S54" s="147">
        <f t="shared" si="6"/>
        <v>0</v>
      </c>
      <c r="T54" s="7"/>
      <c r="U54" s="147">
        <f t="shared" si="7"/>
        <v>0</v>
      </c>
      <c r="V54" s="7"/>
      <c r="W54" s="147">
        <f t="shared" si="8"/>
        <v>0</v>
      </c>
      <c r="X54" s="7"/>
      <c r="Y54" s="147">
        <f t="shared" si="9"/>
        <v>0</v>
      </c>
      <c r="Z54" s="7"/>
      <c r="AA54" s="147">
        <f t="shared" si="10"/>
        <v>0</v>
      </c>
      <c r="AB54" s="7"/>
      <c r="AC54" s="147">
        <f t="shared" si="11"/>
        <v>0</v>
      </c>
      <c r="AD54" s="94">
        <f t="shared" si="12"/>
        <v>0</v>
      </c>
      <c r="AE54" s="148">
        <f t="shared" si="13"/>
        <v>0</v>
      </c>
    </row>
    <row r="55" spans="1:31" ht="20.100000000000001" customHeight="1">
      <c r="A55" s="63">
        <v>45</v>
      </c>
      <c r="B55" s="63" t="s">
        <v>54</v>
      </c>
      <c r="C55" s="63" t="s">
        <v>17</v>
      </c>
      <c r="D55" s="63">
        <v>1</v>
      </c>
      <c r="E55" s="63" t="s">
        <v>15</v>
      </c>
      <c r="F55" s="7"/>
      <c r="G55" s="147">
        <f t="shared" si="0"/>
        <v>0</v>
      </c>
      <c r="H55" s="7"/>
      <c r="I55" s="147">
        <f t="shared" si="1"/>
        <v>0</v>
      </c>
      <c r="J55" s="7"/>
      <c r="K55" s="147">
        <f t="shared" si="2"/>
        <v>0</v>
      </c>
      <c r="L55" s="7"/>
      <c r="M55" s="147">
        <f t="shared" si="3"/>
        <v>0</v>
      </c>
      <c r="N55" s="7"/>
      <c r="O55" s="147">
        <f t="shared" si="4"/>
        <v>0</v>
      </c>
      <c r="P55" s="7"/>
      <c r="Q55" s="147">
        <f t="shared" si="5"/>
        <v>0</v>
      </c>
      <c r="R55" s="7"/>
      <c r="S55" s="147">
        <f t="shared" si="6"/>
        <v>0</v>
      </c>
      <c r="T55" s="7"/>
      <c r="U55" s="147">
        <f t="shared" si="7"/>
        <v>0</v>
      </c>
      <c r="V55" s="7"/>
      <c r="W55" s="147">
        <f t="shared" si="8"/>
        <v>0</v>
      </c>
      <c r="X55" s="7"/>
      <c r="Y55" s="147">
        <f t="shared" si="9"/>
        <v>0</v>
      </c>
      <c r="Z55" s="7"/>
      <c r="AA55" s="147">
        <f t="shared" si="10"/>
        <v>0</v>
      </c>
      <c r="AB55" s="7"/>
      <c r="AC55" s="147">
        <f t="shared" si="11"/>
        <v>0</v>
      </c>
      <c r="AD55" s="94">
        <f t="shared" si="12"/>
        <v>0</v>
      </c>
      <c r="AE55" s="148">
        <f t="shared" si="13"/>
        <v>0</v>
      </c>
    </row>
    <row r="56" spans="1:31" ht="20.100000000000001" customHeight="1">
      <c r="A56" s="63">
        <v>46</v>
      </c>
      <c r="B56" s="63" t="s">
        <v>55</v>
      </c>
      <c r="C56" s="63" t="s">
        <v>17</v>
      </c>
      <c r="D56" s="63">
        <v>0.6</v>
      </c>
      <c r="E56" s="63" t="s">
        <v>15</v>
      </c>
      <c r="F56" s="7"/>
      <c r="G56" s="147">
        <f t="shared" si="0"/>
        <v>0</v>
      </c>
      <c r="H56" s="7"/>
      <c r="I56" s="147">
        <f t="shared" si="1"/>
        <v>0</v>
      </c>
      <c r="J56" s="7"/>
      <c r="K56" s="147">
        <f t="shared" si="2"/>
        <v>0</v>
      </c>
      <c r="L56" s="7"/>
      <c r="M56" s="147">
        <f t="shared" si="3"/>
        <v>0</v>
      </c>
      <c r="N56" s="7"/>
      <c r="O56" s="147">
        <f t="shared" si="4"/>
        <v>0</v>
      </c>
      <c r="P56" s="7"/>
      <c r="Q56" s="147">
        <f t="shared" si="5"/>
        <v>0</v>
      </c>
      <c r="R56" s="7"/>
      <c r="S56" s="147">
        <f t="shared" si="6"/>
        <v>0</v>
      </c>
      <c r="T56" s="7"/>
      <c r="U56" s="147">
        <f t="shared" si="7"/>
        <v>0</v>
      </c>
      <c r="V56" s="7"/>
      <c r="W56" s="147">
        <f t="shared" si="8"/>
        <v>0</v>
      </c>
      <c r="X56" s="7"/>
      <c r="Y56" s="147">
        <f t="shared" si="9"/>
        <v>0</v>
      </c>
      <c r="Z56" s="7"/>
      <c r="AA56" s="147">
        <f t="shared" si="10"/>
        <v>0</v>
      </c>
      <c r="AB56" s="7"/>
      <c r="AC56" s="147">
        <f t="shared" si="11"/>
        <v>0</v>
      </c>
      <c r="AD56" s="94">
        <f t="shared" si="12"/>
        <v>0</v>
      </c>
      <c r="AE56" s="148">
        <f t="shared" si="13"/>
        <v>0</v>
      </c>
    </row>
    <row r="57" spans="1:31" ht="20.100000000000001" customHeight="1">
      <c r="A57" s="63">
        <v>47</v>
      </c>
      <c r="B57" s="63" t="s">
        <v>56</v>
      </c>
      <c r="C57" s="63" t="s">
        <v>14</v>
      </c>
      <c r="D57" s="63">
        <v>0.64</v>
      </c>
      <c r="E57" s="63" t="s">
        <v>25</v>
      </c>
      <c r="F57" s="146">
        <v>67704</v>
      </c>
      <c r="G57" s="147">
        <f t="shared" si="0"/>
        <v>43330.559999999998</v>
      </c>
      <c r="H57" s="92">
        <v>60746</v>
      </c>
      <c r="I57" s="147">
        <f t="shared" si="1"/>
        <v>38877.440000000002</v>
      </c>
      <c r="J57" s="92">
        <v>59836</v>
      </c>
      <c r="K57" s="147">
        <f t="shared" si="2"/>
        <v>38295.040000000001</v>
      </c>
      <c r="L57" s="92">
        <v>50484</v>
      </c>
      <c r="M57" s="147">
        <f t="shared" si="3"/>
        <v>32309.760000000002</v>
      </c>
      <c r="N57" s="92">
        <v>59738</v>
      </c>
      <c r="O57" s="147">
        <f t="shared" si="4"/>
        <v>38232.32</v>
      </c>
      <c r="P57" s="92">
        <v>58751</v>
      </c>
      <c r="Q57" s="147">
        <f t="shared" si="5"/>
        <v>37600.639999999999</v>
      </c>
      <c r="R57" s="92">
        <v>60256</v>
      </c>
      <c r="S57" s="147">
        <f t="shared" si="6"/>
        <v>38563.840000000004</v>
      </c>
      <c r="T57" s="92">
        <v>54824</v>
      </c>
      <c r="U57" s="147">
        <f t="shared" si="7"/>
        <v>35087.360000000001</v>
      </c>
      <c r="V57" s="92">
        <v>60466</v>
      </c>
      <c r="W57" s="147">
        <f t="shared" si="8"/>
        <v>38698.239999999998</v>
      </c>
      <c r="X57" s="92">
        <v>67844</v>
      </c>
      <c r="Y57" s="147">
        <f t="shared" si="9"/>
        <v>43420.160000000003</v>
      </c>
      <c r="Z57" s="92">
        <v>63854</v>
      </c>
      <c r="AA57" s="147">
        <f t="shared" si="10"/>
        <v>40866.559999999998</v>
      </c>
      <c r="AB57" s="7">
        <v>77781</v>
      </c>
      <c r="AC57" s="147">
        <f t="shared" si="11"/>
        <v>49779.840000000004</v>
      </c>
      <c r="AD57" s="94">
        <f t="shared" si="12"/>
        <v>742284</v>
      </c>
      <c r="AE57" s="148">
        <f t="shared" si="13"/>
        <v>475061.76000000001</v>
      </c>
    </row>
    <row r="58" spans="1:31" ht="20.100000000000001" customHeight="1">
      <c r="A58" s="63">
        <v>48</v>
      </c>
      <c r="B58" s="63" t="s">
        <v>56</v>
      </c>
      <c r="C58" s="63" t="s">
        <v>14</v>
      </c>
      <c r="D58" s="63">
        <v>0.64</v>
      </c>
      <c r="E58" s="63" t="s">
        <v>24</v>
      </c>
      <c r="F58" s="7"/>
      <c r="G58" s="147">
        <f t="shared" si="0"/>
        <v>0</v>
      </c>
      <c r="H58" s="7"/>
      <c r="I58" s="147">
        <f t="shared" si="1"/>
        <v>0</v>
      </c>
      <c r="J58" s="7"/>
      <c r="K58" s="147">
        <f t="shared" si="2"/>
        <v>0</v>
      </c>
      <c r="L58" s="7"/>
      <c r="M58" s="147">
        <f t="shared" si="3"/>
        <v>0</v>
      </c>
      <c r="N58" s="7"/>
      <c r="O58" s="147">
        <f t="shared" si="4"/>
        <v>0</v>
      </c>
      <c r="P58" s="7"/>
      <c r="Q58" s="147">
        <f t="shared" si="5"/>
        <v>0</v>
      </c>
      <c r="R58" s="7"/>
      <c r="S58" s="147">
        <f t="shared" si="6"/>
        <v>0</v>
      </c>
      <c r="T58" s="7"/>
      <c r="U58" s="147">
        <f t="shared" si="7"/>
        <v>0</v>
      </c>
      <c r="V58" s="7"/>
      <c r="W58" s="147">
        <f t="shared" si="8"/>
        <v>0</v>
      </c>
      <c r="X58" s="7"/>
      <c r="Y58" s="147">
        <f t="shared" si="9"/>
        <v>0</v>
      </c>
      <c r="Z58" s="7"/>
      <c r="AA58" s="147">
        <f t="shared" si="10"/>
        <v>0</v>
      </c>
      <c r="AB58" s="7"/>
      <c r="AC58" s="147">
        <f t="shared" si="11"/>
        <v>0</v>
      </c>
      <c r="AD58" s="94">
        <f t="shared" si="12"/>
        <v>0</v>
      </c>
      <c r="AE58" s="148">
        <f t="shared" si="13"/>
        <v>0</v>
      </c>
    </row>
    <row r="59" spans="1:31" ht="20.100000000000001" customHeight="1">
      <c r="A59" s="63"/>
      <c r="B59" s="63"/>
      <c r="C59" s="63"/>
      <c r="D59" s="63"/>
      <c r="E59" s="63"/>
      <c r="F59" s="7"/>
      <c r="G59" s="147">
        <f t="shared" si="0"/>
        <v>0</v>
      </c>
      <c r="H59" s="7"/>
      <c r="I59" s="147">
        <f t="shared" si="1"/>
        <v>0</v>
      </c>
      <c r="J59" s="7"/>
      <c r="K59" s="147">
        <f t="shared" si="2"/>
        <v>0</v>
      </c>
      <c r="L59" s="7"/>
      <c r="M59" s="147">
        <f t="shared" si="3"/>
        <v>0</v>
      </c>
      <c r="N59" s="7"/>
      <c r="O59" s="147">
        <f t="shared" si="4"/>
        <v>0</v>
      </c>
      <c r="P59" s="7"/>
      <c r="Q59" s="147">
        <f t="shared" si="5"/>
        <v>0</v>
      </c>
      <c r="R59" s="7"/>
      <c r="S59" s="147">
        <f t="shared" si="6"/>
        <v>0</v>
      </c>
      <c r="T59" s="7"/>
      <c r="U59" s="147">
        <f t="shared" si="7"/>
        <v>0</v>
      </c>
      <c r="V59" s="7"/>
      <c r="W59" s="147">
        <f t="shared" si="8"/>
        <v>0</v>
      </c>
      <c r="X59" s="7"/>
      <c r="Y59" s="147">
        <f t="shared" si="9"/>
        <v>0</v>
      </c>
      <c r="Z59" s="7"/>
      <c r="AA59" s="147">
        <f t="shared" si="10"/>
        <v>0</v>
      </c>
      <c r="AB59" s="7"/>
      <c r="AC59" s="147">
        <f t="shared" si="11"/>
        <v>0</v>
      </c>
      <c r="AD59" s="94">
        <f t="shared" si="12"/>
        <v>0</v>
      </c>
      <c r="AE59" s="148">
        <f t="shared" si="13"/>
        <v>0</v>
      </c>
    </row>
    <row r="60" spans="1:31" ht="20.100000000000001" customHeight="1">
      <c r="A60" s="63">
        <v>49</v>
      </c>
      <c r="B60" s="63" t="s">
        <v>57</v>
      </c>
      <c r="C60" s="63" t="s">
        <v>17</v>
      </c>
      <c r="D60" s="63">
        <v>1</v>
      </c>
      <c r="E60" s="63" t="s">
        <v>15</v>
      </c>
      <c r="F60" s="7"/>
      <c r="G60" s="147">
        <f t="shared" si="0"/>
        <v>0</v>
      </c>
      <c r="H60" s="7"/>
      <c r="I60" s="147">
        <f t="shared" si="1"/>
        <v>0</v>
      </c>
      <c r="J60" s="7"/>
      <c r="K60" s="147">
        <f t="shared" si="2"/>
        <v>0</v>
      </c>
      <c r="L60" s="7"/>
      <c r="M60" s="147">
        <f t="shared" si="3"/>
        <v>0</v>
      </c>
      <c r="N60" s="7"/>
      <c r="O60" s="147">
        <f t="shared" si="4"/>
        <v>0</v>
      </c>
      <c r="P60" s="7"/>
      <c r="Q60" s="147">
        <f t="shared" si="5"/>
        <v>0</v>
      </c>
      <c r="R60" s="7"/>
      <c r="S60" s="147">
        <f t="shared" si="6"/>
        <v>0</v>
      </c>
      <c r="T60" s="7"/>
      <c r="U60" s="147">
        <f t="shared" si="7"/>
        <v>0</v>
      </c>
      <c r="V60" s="7"/>
      <c r="W60" s="147">
        <f t="shared" si="8"/>
        <v>0</v>
      </c>
      <c r="X60" s="7"/>
      <c r="Y60" s="147">
        <f t="shared" si="9"/>
        <v>0</v>
      </c>
      <c r="Z60" s="7"/>
      <c r="AA60" s="147">
        <f t="shared" si="10"/>
        <v>0</v>
      </c>
      <c r="AB60" s="7"/>
      <c r="AC60" s="147">
        <f t="shared" si="11"/>
        <v>0</v>
      </c>
      <c r="AD60" s="94">
        <f t="shared" si="12"/>
        <v>0</v>
      </c>
      <c r="AE60" s="148">
        <f t="shared" si="13"/>
        <v>0</v>
      </c>
    </row>
    <row r="61" spans="1:31" ht="20.100000000000001" customHeight="1">
      <c r="A61" s="63">
        <v>50</v>
      </c>
      <c r="B61" s="64" t="s">
        <v>58</v>
      </c>
      <c r="C61" s="63"/>
      <c r="D61" s="63">
        <v>0.6</v>
      </c>
      <c r="E61" s="63"/>
      <c r="F61" s="7"/>
      <c r="G61" s="147">
        <f t="shared" si="0"/>
        <v>0</v>
      </c>
      <c r="H61" s="7"/>
      <c r="I61" s="147">
        <f t="shared" si="1"/>
        <v>0</v>
      </c>
      <c r="J61" s="7"/>
      <c r="K61" s="147">
        <f t="shared" si="2"/>
        <v>0</v>
      </c>
      <c r="L61" s="7"/>
      <c r="M61" s="147">
        <f t="shared" si="3"/>
        <v>0</v>
      </c>
      <c r="N61" s="7"/>
      <c r="O61" s="147">
        <f t="shared" si="4"/>
        <v>0</v>
      </c>
      <c r="P61" s="7"/>
      <c r="Q61" s="147">
        <f t="shared" si="5"/>
        <v>0</v>
      </c>
      <c r="R61" s="7"/>
      <c r="S61" s="147">
        <f t="shared" si="6"/>
        <v>0</v>
      </c>
      <c r="T61" s="7"/>
      <c r="U61" s="147">
        <f t="shared" si="7"/>
        <v>0</v>
      </c>
      <c r="V61" s="7"/>
      <c r="W61" s="147">
        <f t="shared" si="8"/>
        <v>0</v>
      </c>
      <c r="X61" s="7"/>
      <c r="Y61" s="147">
        <f t="shared" si="9"/>
        <v>0</v>
      </c>
      <c r="Z61" s="7"/>
      <c r="AA61" s="147">
        <f t="shared" si="10"/>
        <v>0</v>
      </c>
      <c r="AB61" s="7"/>
      <c r="AC61" s="147">
        <f t="shared" si="11"/>
        <v>0</v>
      </c>
      <c r="AD61" s="94">
        <f t="shared" si="12"/>
        <v>0</v>
      </c>
      <c r="AE61" s="148">
        <f t="shared" si="13"/>
        <v>0</v>
      </c>
    </row>
    <row r="62" spans="1:31" ht="20.100000000000001" customHeight="1">
      <c r="A62" s="63">
        <v>51</v>
      </c>
      <c r="B62" s="63" t="s">
        <v>59</v>
      </c>
      <c r="C62" s="63" t="s">
        <v>17</v>
      </c>
      <c r="D62" s="63">
        <v>0.35</v>
      </c>
      <c r="E62" s="63" t="s">
        <v>21</v>
      </c>
      <c r="F62" s="7"/>
      <c r="G62" s="147">
        <f t="shared" si="0"/>
        <v>0</v>
      </c>
      <c r="H62" s="7"/>
      <c r="I62" s="147">
        <f t="shared" si="1"/>
        <v>0</v>
      </c>
      <c r="J62" s="7"/>
      <c r="K62" s="147">
        <f t="shared" si="2"/>
        <v>0</v>
      </c>
      <c r="L62" s="7"/>
      <c r="M62" s="147">
        <f t="shared" si="3"/>
        <v>0</v>
      </c>
      <c r="N62" s="7"/>
      <c r="O62" s="147">
        <f t="shared" si="4"/>
        <v>0</v>
      </c>
      <c r="P62" s="7"/>
      <c r="Q62" s="147">
        <f t="shared" si="5"/>
        <v>0</v>
      </c>
      <c r="R62" s="7"/>
      <c r="S62" s="147">
        <f t="shared" si="6"/>
        <v>0</v>
      </c>
      <c r="T62" s="7"/>
      <c r="U62" s="147">
        <f t="shared" si="7"/>
        <v>0</v>
      </c>
      <c r="V62" s="7"/>
      <c r="W62" s="147">
        <f t="shared" si="8"/>
        <v>0</v>
      </c>
      <c r="X62" s="7"/>
      <c r="Y62" s="147">
        <f t="shared" si="9"/>
        <v>0</v>
      </c>
      <c r="Z62" s="7"/>
      <c r="AA62" s="147">
        <f t="shared" si="10"/>
        <v>0</v>
      </c>
      <c r="AB62" s="7"/>
      <c r="AC62" s="147">
        <f t="shared" si="11"/>
        <v>0</v>
      </c>
      <c r="AD62" s="94">
        <f t="shared" si="12"/>
        <v>0</v>
      </c>
      <c r="AE62" s="148">
        <f t="shared" si="13"/>
        <v>0</v>
      </c>
    </row>
    <row r="63" spans="1:31" ht="20.100000000000001" customHeight="1">
      <c r="A63" s="63">
        <v>52</v>
      </c>
      <c r="B63" s="63" t="s">
        <v>60</v>
      </c>
      <c r="C63" s="63" t="s">
        <v>14</v>
      </c>
      <c r="D63" s="63">
        <v>0.64</v>
      </c>
      <c r="E63" s="63" t="s">
        <v>25</v>
      </c>
      <c r="F63" s="7">
        <v>6426</v>
      </c>
      <c r="G63" s="147">
        <f t="shared" si="0"/>
        <v>4112.6400000000003</v>
      </c>
      <c r="H63" s="7">
        <v>5473</v>
      </c>
      <c r="I63" s="147">
        <f t="shared" si="1"/>
        <v>3502.7200000000003</v>
      </c>
      <c r="J63" s="7">
        <v>6440</v>
      </c>
      <c r="K63" s="147">
        <f t="shared" si="2"/>
        <v>4121.6000000000004</v>
      </c>
      <c r="L63" s="7">
        <v>3542</v>
      </c>
      <c r="M63" s="147">
        <f t="shared" si="3"/>
        <v>2266.88</v>
      </c>
      <c r="N63" s="7">
        <v>5124</v>
      </c>
      <c r="O63" s="147">
        <f t="shared" si="4"/>
        <v>3279.36</v>
      </c>
      <c r="P63" s="7">
        <v>6335</v>
      </c>
      <c r="Q63" s="147">
        <f t="shared" si="5"/>
        <v>4054.4</v>
      </c>
      <c r="R63" s="7">
        <v>5614</v>
      </c>
      <c r="S63" s="147">
        <f t="shared" si="6"/>
        <v>3592.96</v>
      </c>
      <c r="T63" s="7">
        <v>8190</v>
      </c>
      <c r="U63" s="147">
        <f t="shared" si="7"/>
        <v>5241.6000000000004</v>
      </c>
      <c r="V63" s="7">
        <v>8190</v>
      </c>
      <c r="W63" s="147">
        <f t="shared" si="8"/>
        <v>5241.6000000000004</v>
      </c>
      <c r="X63" s="7">
        <v>5670</v>
      </c>
      <c r="Y63" s="147">
        <f t="shared" si="9"/>
        <v>3628.8</v>
      </c>
      <c r="Z63" s="7">
        <v>5670</v>
      </c>
      <c r="AA63" s="147">
        <f t="shared" si="10"/>
        <v>3628.8</v>
      </c>
      <c r="AB63" s="7">
        <v>6510</v>
      </c>
      <c r="AC63" s="147">
        <f t="shared" si="11"/>
        <v>4166.3999999999996</v>
      </c>
      <c r="AD63" s="94">
        <f t="shared" si="12"/>
        <v>73184</v>
      </c>
      <c r="AE63" s="148">
        <f t="shared" si="13"/>
        <v>46837.760000000002</v>
      </c>
    </row>
    <row r="64" spans="1:31" ht="20.100000000000001" customHeight="1">
      <c r="A64" s="63">
        <v>53</v>
      </c>
      <c r="B64" s="63" t="s">
        <v>61</v>
      </c>
      <c r="C64" s="63" t="s">
        <v>14</v>
      </c>
      <c r="D64" s="63">
        <v>0.64</v>
      </c>
      <c r="E64" s="63" t="s">
        <v>25</v>
      </c>
      <c r="F64" s="7"/>
      <c r="G64" s="147">
        <f t="shared" si="0"/>
        <v>0</v>
      </c>
      <c r="H64" s="7"/>
      <c r="I64" s="147">
        <f t="shared" si="1"/>
        <v>0</v>
      </c>
      <c r="J64" s="7">
        <v>2942</v>
      </c>
      <c r="K64" s="147">
        <f t="shared" si="2"/>
        <v>1882.88</v>
      </c>
      <c r="L64" s="7">
        <v>651</v>
      </c>
      <c r="M64" s="147">
        <f t="shared" si="3"/>
        <v>416.64</v>
      </c>
      <c r="N64" s="7">
        <v>2143</v>
      </c>
      <c r="O64" s="147">
        <f t="shared" si="4"/>
        <v>1371.52</v>
      </c>
      <c r="P64" s="7">
        <v>1267</v>
      </c>
      <c r="Q64" s="147">
        <f t="shared" si="5"/>
        <v>810.88</v>
      </c>
      <c r="R64" s="7">
        <v>371</v>
      </c>
      <c r="S64" s="147">
        <f t="shared" si="6"/>
        <v>237.44</v>
      </c>
      <c r="T64" s="7">
        <v>336</v>
      </c>
      <c r="U64" s="147">
        <f t="shared" si="7"/>
        <v>215.04</v>
      </c>
      <c r="V64" s="7">
        <v>770</v>
      </c>
      <c r="W64" s="147">
        <f t="shared" si="8"/>
        <v>492.8</v>
      </c>
      <c r="X64" s="7">
        <v>3164</v>
      </c>
      <c r="Y64" s="147">
        <f t="shared" si="9"/>
        <v>2024.96</v>
      </c>
      <c r="Z64" s="7">
        <v>196</v>
      </c>
      <c r="AA64" s="147">
        <f t="shared" si="10"/>
        <v>125.44</v>
      </c>
      <c r="AB64" s="7">
        <v>280</v>
      </c>
      <c r="AC64" s="147">
        <f t="shared" si="11"/>
        <v>179.20000000000002</v>
      </c>
      <c r="AD64" s="94">
        <f t="shared" si="12"/>
        <v>12120</v>
      </c>
      <c r="AE64" s="148">
        <f t="shared" si="13"/>
        <v>7756.8</v>
      </c>
    </row>
    <row r="65" spans="1:31" ht="20.100000000000001" customHeight="1">
      <c r="A65" s="63"/>
      <c r="B65" s="63"/>
      <c r="C65" s="63"/>
      <c r="D65" s="63"/>
      <c r="E65" s="63"/>
      <c r="F65" s="7"/>
      <c r="G65" s="93"/>
      <c r="H65" s="7"/>
      <c r="I65" s="93"/>
      <c r="J65" s="7"/>
      <c r="K65" s="93"/>
      <c r="L65" s="7"/>
      <c r="M65" s="93"/>
      <c r="N65" s="7"/>
      <c r="O65" s="93"/>
      <c r="P65" s="7"/>
      <c r="Q65" s="93"/>
      <c r="R65" s="7"/>
      <c r="S65" s="93"/>
      <c r="T65" s="7"/>
      <c r="U65" s="93"/>
      <c r="V65" s="7"/>
      <c r="W65" s="93"/>
      <c r="X65" s="7"/>
      <c r="Y65" s="93"/>
      <c r="Z65" s="7"/>
      <c r="AA65" s="93"/>
      <c r="AB65" s="7"/>
      <c r="AC65" s="93"/>
      <c r="AD65" s="94">
        <f t="shared" si="12"/>
        <v>0</v>
      </c>
      <c r="AE65" s="95"/>
    </row>
    <row r="66" spans="1:31" ht="20.100000000000001" customHeight="1">
      <c r="A66" s="63">
        <v>54</v>
      </c>
      <c r="B66" s="63" t="s">
        <v>62</v>
      </c>
      <c r="C66" s="63" t="s">
        <v>17</v>
      </c>
      <c r="D66" s="63">
        <v>1</v>
      </c>
      <c r="E66" s="63" t="s">
        <v>15</v>
      </c>
      <c r="F66" s="7"/>
      <c r="G66" s="93">
        <f>F66*$D66</f>
        <v>0</v>
      </c>
      <c r="H66" s="7"/>
      <c r="I66" s="93">
        <f>H66*$D66</f>
        <v>0</v>
      </c>
      <c r="J66" s="7"/>
      <c r="K66" s="93">
        <f>J66*$D66</f>
        <v>0</v>
      </c>
      <c r="L66" s="7"/>
      <c r="M66" s="93">
        <f>L66*$D66</f>
        <v>0</v>
      </c>
      <c r="N66" s="7"/>
      <c r="O66" s="93">
        <f>N66*$D66</f>
        <v>0</v>
      </c>
      <c r="P66" s="7"/>
      <c r="Q66" s="93">
        <f>P66*$D66</f>
        <v>0</v>
      </c>
      <c r="R66" s="7"/>
      <c r="S66" s="93">
        <f>R66*$D66</f>
        <v>0</v>
      </c>
      <c r="T66" s="7"/>
      <c r="U66" s="93">
        <f>T66*$D66</f>
        <v>0</v>
      </c>
      <c r="V66" s="7"/>
      <c r="W66" s="93">
        <f>V66*$D66</f>
        <v>0</v>
      </c>
      <c r="X66" s="7"/>
      <c r="Y66" s="93">
        <f>X66*$D66</f>
        <v>0</v>
      </c>
      <c r="Z66" s="7"/>
      <c r="AA66" s="93">
        <f>Z66*$D66</f>
        <v>0</v>
      </c>
      <c r="AB66" s="7"/>
      <c r="AC66" s="93">
        <f>AB66*$D66</f>
        <v>0</v>
      </c>
      <c r="AD66" s="94">
        <f t="shared" si="12"/>
        <v>0</v>
      </c>
      <c r="AE66" s="95">
        <f>AD66*$D66</f>
        <v>0</v>
      </c>
    </row>
    <row r="67" spans="1:31" ht="20.100000000000001" customHeight="1">
      <c r="A67" s="63">
        <v>55</v>
      </c>
      <c r="B67" s="63" t="s">
        <v>63</v>
      </c>
      <c r="C67" s="63" t="s">
        <v>17</v>
      </c>
      <c r="D67" s="63">
        <v>0.6</v>
      </c>
      <c r="E67" s="63" t="s">
        <v>15</v>
      </c>
      <c r="F67" s="7"/>
      <c r="G67" s="93">
        <f t="shared" ref="G67:G92" si="14">F67*$D67</f>
        <v>0</v>
      </c>
      <c r="H67" s="7"/>
      <c r="I67" s="93">
        <f t="shared" ref="I67:I92" si="15">H67*$D67</f>
        <v>0</v>
      </c>
      <c r="J67" s="7"/>
      <c r="K67" s="93">
        <f t="shared" ref="K67:K92" si="16">J67*$D67</f>
        <v>0</v>
      </c>
      <c r="L67" s="7"/>
      <c r="M67" s="93">
        <f t="shared" ref="M67:M92" si="17">L67*$D67</f>
        <v>0</v>
      </c>
      <c r="N67" s="7"/>
      <c r="O67" s="93">
        <f t="shared" ref="O67:O92" si="18">N67*$D67</f>
        <v>0</v>
      </c>
      <c r="P67" s="7"/>
      <c r="Q67" s="93">
        <f t="shared" ref="Q67:Q92" si="19">P67*$D67</f>
        <v>0</v>
      </c>
      <c r="R67" s="7"/>
      <c r="S67" s="93">
        <f t="shared" ref="S67:S92" si="20">R67*$D67</f>
        <v>0</v>
      </c>
      <c r="T67" s="7"/>
      <c r="U67" s="93">
        <f t="shared" ref="U67:U92" si="21">T67*$D67</f>
        <v>0</v>
      </c>
      <c r="V67" s="7"/>
      <c r="W67" s="93">
        <f t="shared" ref="W67:W92" si="22">V67*$D67</f>
        <v>0</v>
      </c>
      <c r="X67" s="7"/>
      <c r="Y67" s="93">
        <f t="shared" ref="Y67:Y92" si="23">X67*$D67</f>
        <v>0</v>
      </c>
      <c r="Z67" s="7"/>
      <c r="AA67" s="93">
        <f t="shared" ref="AA67:AA92" si="24">Z67*$D67</f>
        <v>0</v>
      </c>
      <c r="AB67" s="7"/>
      <c r="AC67" s="93">
        <f t="shared" ref="AC67:AC92" si="25">AB67*$D67</f>
        <v>0</v>
      </c>
      <c r="AD67" s="94">
        <f t="shared" si="12"/>
        <v>0</v>
      </c>
      <c r="AE67" s="95">
        <f t="shared" ref="AE67:AE92" si="26">AD67*$D67</f>
        <v>0</v>
      </c>
    </row>
    <row r="68" spans="1:31" ht="20.100000000000001" customHeight="1">
      <c r="A68" s="63">
        <v>56</v>
      </c>
      <c r="B68" s="63" t="s">
        <v>64</v>
      </c>
      <c r="C68" s="63" t="s">
        <v>14</v>
      </c>
      <c r="D68" s="63">
        <v>0.64</v>
      </c>
      <c r="E68" s="63" t="s">
        <v>25</v>
      </c>
      <c r="F68" s="7"/>
      <c r="G68" s="93">
        <f t="shared" si="14"/>
        <v>0</v>
      </c>
      <c r="H68" s="7"/>
      <c r="I68" s="93">
        <f t="shared" si="15"/>
        <v>0</v>
      </c>
      <c r="J68" s="7"/>
      <c r="K68" s="93">
        <f t="shared" si="16"/>
        <v>0</v>
      </c>
      <c r="L68" s="7"/>
      <c r="M68" s="93">
        <f t="shared" si="17"/>
        <v>0</v>
      </c>
      <c r="N68" s="7"/>
      <c r="O68" s="93">
        <f t="shared" si="18"/>
        <v>0</v>
      </c>
      <c r="P68" s="7"/>
      <c r="Q68" s="93">
        <f t="shared" si="19"/>
        <v>0</v>
      </c>
      <c r="R68" s="7"/>
      <c r="S68" s="93">
        <f t="shared" si="20"/>
        <v>0</v>
      </c>
      <c r="T68" s="7"/>
      <c r="U68" s="93">
        <f t="shared" si="21"/>
        <v>0</v>
      </c>
      <c r="V68" s="7"/>
      <c r="W68" s="93">
        <f t="shared" si="22"/>
        <v>0</v>
      </c>
      <c r="X68" s="7"/>
      <c r="Y68" s="93">
        <f t="shared" si="23"/>
        <v>0</v>
      </c>
      <c r="Z68" s="7"/>
      <c r="AA68" s="93">
        <f t="shared" si="24"/>
        <v>0</v>
      </c>
      <c r="AB68" s="7"/>
      <c r="AC68" s="93">
        <f t="shared" si="25"/>
        <v>0</v>
      </c>
      <c r="AD68" s="94">
        <f t="shared" si="12"/>
        <v>0</v>
      </c>
      <c r="AE68" s="95">
        <f t="shared" si="26"/>
        <v>0</v>
      </c>
    </row>
    <row r="69" spans="1:31" ht="20.100000000000001" customHeight="1">
      <c r="A69" s="63"/>
      <c r="B69" s="63"/>
      <c r="C69" s="63"/>
      <c r="D69" s="63"/>
      <c r="E69" s="63"/>
      <c r="F69" s="7"/>
      <c r="G69" s="93">
        <f t="shared" si="14"/>
        <v>0</v>
      </c>
      <c r="H69" s="7"/>
      <c r="I69" s="93">
        <f t="shared" si="15"/>
        <v>0</v>
      </c>
      <c r="J69" s="7"/>
      <c r="K69" s="93">
        <f t="shared" si="16"/>
        <v>0</v>
      </c>
      <c r="L69" s="7"/>
      <c r="M69" s="93">
        <f t="shared" si="17"/>
        <v>0</v>
      </c>
      <c r="N69" s="7"/>
      <c r="O69" s="93">
        <f t="shared" si="18"/>
        <v>0</v>
      </c>
      <c r="P69" s="7"/>
      <c r="Q69" s="93">
        <f t="shared" si="19"/>
        <v>0</v>
      </c>
      <c r="R69" s="7"/>
      <c r="S69" s="93">
        <f t="shared" si="20"/>
        <v>0</v>
      </c>
      <c r="T69" s="7"/>
      <c r="U69" s="93">
        <f t="shared" si="21"/>
        <v>0</v>
      </c>
      <c r="V69" s="7"/>
      <c r="W69" s="93">
        <f t="shared" si="22"/>
        <v>0</v>
      </c>
      <c r="X69" s="7"/>
      <c r="Y69" s="93">
        <f t="shared" si="23"/>
        <v>0</v>
      </c>
      <c r="Z69" s="7"/>
      <c r="AA69" s="93">
        <f t="shared" si="24"/>
        <v>0</v>
      </c>
      <c r="AB69" s="7"/>
      <c r="AC69" s="93">
        <f t="shared" si="25"/>
        <v>0</v>
      </c>
      <c r="AD69" s="94">
        <f t="shared" ref="AD69:AD126" si="27">(AB69+Z69+X69+V69+T69+R69+P69+N69+L69+J69+H69+F69)</f>
        <v>0</v>
      </c>
      <c r="AE69" s="95">
        <f t="shared" si="26"/>
        <v>0</v>
      </c>
    </row>
    <row r="70" spans="1:31" ht="20.100000000000001" customHeight="1">
      <c r="A70" s="63">
        <v>57</v>
      </c>
      <c r="B70" s="63" t="s">
        <v>65</v>
      </c>
      <c r="C70" s="63" t="s">
        <v>17</v>
      </c>
      <c r="D70" s="63">
        <v>1</v>
      </c>
      <c r="E70" s="63" t="s">
        <v>15</v>
      </c>
      <c r="F70" s="7"/>
      <c r="G70" s="93">
        <f t="shared" si="14"/>
        <v>0</v>
      </c>
      <c r="H70" s="7"/>
      <c r="I70" s="93">
        <f t="shared" si="15"/>
        <v>0</v>
      </c>
      <c r="J70" s="7"/>
      <c r="K70" s="93">
        <f t="shared" si="16"/>
        <v>0</v>
      </c>
      <c r="L70" s="7"/>
      <c r="M70" s="93">
        <f t="shared" si="17"/>
        <v>0</v>
      </c>
      <c r="N70" s="7"/>
      <c r="O70" s="93">
        <f t="shared" si="18"/>
        <v>0</v>
      </c>
      <c r="P70" s="7"/>
      <c r="Q70" s="93">
        <f t="shared" si="19"/>
        <v>0</v>
      </c>
      <c r="R70" s="7"/>
      <c r="S70" s="93">
        <f t="shared" si="20"/>
        <v>0</v>
      </c>
      <c r="T70" s="7"/>
      <c r="U70" s="93">
        <f t="shared" si="21"/>
        <v>0</v>
      </c>
      <c r="V70" s="7"/>
      <c r="W70" s="93">
        <f t="shared" si="22"/>
        <v>0</v>
      </c>
      <c r="X70" s="7"/>
      <c r="Y70" s="93">
        <f t="shared" si="23"/>
        <v>0</v>
      </c>
      <c r="Z70" s="7"/>
      <c r="AA70" s="93">
        <f t="shared" si="24"/>
        <v>0</v>
      </c>
      <c r="AB70" s="7"/>
      <c r="AC70" s="93">
        <f t="shared" si="25"/>
        <v>0</v>
      </c>
      <c r="AD70" s="94">
        <f t="shared" si="27"/>
        <v>0</v>
      </c>
      <c r="AE70" s="95">
        <f t="shared" si="26"/>
        <v>0</v>
      </c>
    </row>
    <row r="71" spans="1:31" ht="20.100000000000001" customHeight="1">
      <c r="A71" s="63">
        <v>58</v>
      </c>
      <c r="B71" s="63" t="s">
        <v>66</v>
      </c>
      <c r="C71" s="63" t="s">
        <v>17</v>
      </c>
      <c r="D71" s="63">
        <v>0.6</v>
      </c>
      <c r="E71" s="63" t="s">
        <v>15</v>
      </c>
      <c r="F71" s="7"/>
      <c r="G71" s="93">
        <f t="shared" si="14"/>
        <v>0</v>
      </c>
      <c r="H71" s="7"/>
      <c r="I71" s="93">
        <f t="shared" si="15"/>
        <v>0</v>
      </c>
      <c r="J71" s="7"/>
      <c r="K71" s="93">
        <f t="shared" si="16"/>
        <v>0</v>
      </c>
      <c r="L71" s="7"/>
      <c r="M71" s="93">
        <f t="shared" si="17"/>
        <v>0</v>
      </c>
      <c r="N71" s="7"/>
      <c r="O71" s="93">
        <f t="shared" si="18"/>
        <v>0</v>
      </c>
      <c r="P71" s="7"/>
      <c r="Q71" s="93">
        <f t="shared" si="19"/>
        <v>0</v>
      </c>
      <c r="R71" s="7"/>
      <c r="S71" s="93">
        <f t="shared" si="20"/>
        <v>0</v>
      </c>
      <c r="T71" s="7"/>
      <c r="U71" s="93">
        <f t="shared" si="21"/>
        <v>0</v>
      </c>
      <c r="V71" s="7"/>
      <c r="W71" s="93">
        <f t="shared" si="22"/>
        <v>0</v>
      </c>
      <c r="X71" s="7"/>
      <c r="Y71" s="93">
        <f t="shared" si="23"/>
        <v>0</v>
      </c>
      <c r="Z71" s="7"/>
      <c r="AA71" s="93">
        <f t="shared" si="24"/>
        <v>0</v>
      </c>
      <c r="AB71" s="7"/>
      <c r="AC71" s="93">
        <f t="shared" si="25"/>
        <v>0</v>
      </c>
      <c r="AD71" s="94">
        <f t="shared" si="27"/>
        <v>0</v>
      </c>
      <c r="AE71" s="95">
        <f t="shared" si="26"/>
        <v>0</v>
      </c>
    </row>
    <row r="72" spans="1:31" ht="20.100000000000001" customHeight="1">
      <c r="A72" s="63">
        <v>59</v>
      </c>
      <c r="B72" s="63" t="s">
        <v>67</v>
      </c>
      <c r="C72" s="63" t="s">
        <v>14</v>
      </c>
      <c r="D72" s="63">
        <v>0.64</v>
      </c>
      <c r="E72" s="63" t="s">
        <v>25</v>
      </c>
      <c r="F72" s="7"/>
      <c r="G72" s="93">
        <f t="shared" si="14"/>
        <v>0</v>
      </c>
      <c r="H72" s="7"/>
      <c r="I72" s="93">
        <f t="shared" si="15"/>
        <v>0</v>
      </c>
      <c r="J72" s="7"/>
      <c r="K72" s="93">
        <f t="shared" si="16"/>
        <v>0</v>
      </c>
      <c r="L72" s="7"/>
      <c r="M72" s="93">
        <f t="shared" si="17"/>
        <v>0</v>
      </c>
      <c r="N72" s="7"/>
      <c r="O72" s="93">
        <f t="shared" si="18"/>
        <v>0</v>
      </c>
      <c r="P72" s="7"/>
      <c r="Q72" s="93">
        <f t="shared" si="19"/>
        <v>0</v>
      </c>
      <c r="R72" s="7"/>
      <c r="S72" s="93">
        <f t="shared" si="20"/>
        <v>0</v>
      </c>
      <c r="T72" s="7"/>
      <c r="U72" s="93">
        <f t="shared" si="21"/>
        <v>0</v>
      </c>
      <c r="V72" s="7"/>
      <c r="W72" s="93">
        <f t="shared" si="22"/>
        <v>0</v>
      </c>
      <c r="X72" s="7"/>
      <c r="Y72" s="93">
        <f t="shared" si="23"/>
        <v>0</v>
      </c>
      <c r="Z72" s="7"/>
      <c r="AA72" s="93">
        <f t="shared" si="24"/>
        <v>0</v>
      </c>
      <c r="AB72" s="7"/>
      <c r="AC72" s="93">
        <f t="shared" si="25"/>
        <v>0</v>
      </c>
      <c r="AD72" s="94">
        <f t="shared" si="27"/>
        <v>0</v>
      </c>
      <c r="AE72" s="95">
        <f t="shared" si="26"/>
        <v>0</v>
      </c>
    </row>
    <row r="73" spans="1:31" ht="20.100000000000001" customHeight="1">
      <c r="A73" s="63"/>
      <c r="B73" s="63"/>
      <c r="C73" s="63"/>
      <c r="D73" s="63"/>
      <c r="E73" s="63"/>
      <c r="F73" s="7"/>
      <c r="G73" s="93">
        <f t="shared" si="14"/>
        <v>0</v>
      </c>
      <c r="H73" s="7"/>
      <c r="I73" s="93">
        <f t="shared" si="15"/>
        <v>0</v>
      </c>
      <c r="J73" s="7"/>
      <c r="K73" s="93">
        <f t="shared" si="16"/>
        <v>0</v>
      </c>
      <c r="L73" s="7"/>
      <c r="M73" s="93">
        <f t="shared" si="17"/>
        <v>0</v>
      </c>
      <c r="N73" s="7"/>
      <c r="O73" s="93">
        <f t="shared" si="18"/>
        <v>0</v>
      </c>
      <c r="P73" s="7"/>
      <c r="Q73" s="93">
        <f t="shared" si="19"/>
        <v>0</v>
      </c>
      <c r="R73" s="7"/>
      <c r="S73" s="93">
        <f t="shared" si="20"/>
        <v>0</v>
      </c>
      <c r="T73" s="7"/>
      <c r="U73" s="93">
        <f t="shared" si="21"/>
        <v>0</v>
      </c>
      <c r="V73" s="7"/>
      <c r="W73" s="93">
        <f t="shared" si="22"/>
        <v>0</v>
      </c>
      <c r="X73" s="7"/>
      <c r="Y73" s="93">
        <f t="shared" si="23"/>
        <v>0</v>
      </c>
      <c r="Z73" s="7"/>
      <c r="AA73" s="93">
        <f t="shared" si="24"/>
        <v>0</v>
      </c>
      <c r="AB73" s="7"/>
      <c r="AC73" s="93">
        <f t="shared" si="25"/>
        <v>0</v>
      </c>
      <c r="AD73" s="94">
        <f t="shared" si="27"/>
        <v>0</v>
      </c>
      <c r="AE73" s="95">
        <f t="shared" si="26"/>
        <v>0</v>
      </c>
    </row>
    <row r="74" spans="1:31" ht="20.100000000000001" customHeight="1">
      <c r="A74" s="63">
        <v>60</v>
      </c>
      <c r="B74" s="63" t="s">
        <v>68</v>
      </c>
      <c r="C74" s="63" t="s">
        <v>14</v>
      </c>
      <c r="D74" s="63">
        <v>0.64</v>
      </c>
      <c r="E74" s="63" t="s">
        <v>25</v>
      </c>
      <c r="F74" s="7"/>
      <c r="G74" s="93">
        <f t="shared" si="14"/>
        <v>0</v>
      </c>
      <c r="H74" s="7"/>
      <c r="I74" s="93">
        <f t="shared" si="15"/>
        <v>0</v>
      </c>
      <c r="J74" s="7"/>
      <c r="K74" s="93">
        <f t="shared" si="16"/>
        <v>0</v>
      </c>
      <c r="L74" s="7"/>
      <c r="M74" s="93">
        <f t="shared" si="17"/>
        <v>0</v>
      </c>
      <c r="N74" s="7"/>
      <c r="O74" s="93">
        <f t="shared" si="18"/>
        <v>0</v>
      </c>
      <c r="P74" s="7"/>
      <c r="Q74" s="93">
        <f t="shared" si="19"/>
        <v>0</v>
      </c>
      <c r="R74" s="7"/>
      <c r="S74" s="93">
        <f t="shared" si="20"/>
        <v>0</v>
      </c>
      <c r="T74" s="7"/>
      <c r="U74" s="93">
        <f t="shared" si="21"/>
        <v>0</v>
      </c>
      <c r="V74" s="7"/>
      <c r="W74" s="93">
        <f t="shared" si="22"/>
        <v>0</v>
      </c>
      <c r="X74" s="7"/>
      <c r="Y74" s="93">
        <f t="shared" si="23"/>
        <v>0</v>
      </c>
      <c r="Z74" s="7"/>
      <c r="AA74" s="93">
        <f t="shared" si="24"/>
        <v>0</v>
      </c>
      <c r="AB74" s="7"/>
      <c r="AC74" s="93">
        <f t="shared" si="25"/>
        <v>0</v>
      </c>
      <c r="AD74" s="94">
        <f t="shared" si="27"/>
        <v>0</v>
      </c>
      <c r="AE74" s="95">
        <f t="shared" si="26"/>
        <v>0</v>
      </c>
    </row>
    <row r="75" spans="1:31" ht="20.100000000000001" customHeight="1">
      <c r="A75" s="63">
        <v>61</v>
      </c>
      <c r="B75" s="63" t="s">
        <v>68</v>
      </c>
      <c r="C75" s="63" t="s">
        <v>14</v>
      </c>
      <c r="D75" s="63">
        <v>0.64</v>
      </c>
      <c r="E75" s="63" t="s">
        <v>24</v>
      </c>
      <c r="F75" s="92">
        <v>5832</v>
      </c>
      <c r="G75" s="93">
        <f t="shared" si="14"/>
        <v>3732.48</v>
      </c>
      <c r="H75" s="92">
        <v>7320</v>
      </c>
      <c r="I75" s="93">
        <f t="shared" si="15"/>
        <v>4684.8</v>
      </c>
      <c r="J75" s="92">
        <v>12024</v>
      </c>
      <c r="K75" s="93">
        <f t="shared" si="16"/>
        <v>7695.3600000000006</v>
      </c>
      <c r="L75" s="92">
        <v>6528</v>
      </c>
      <c r="M75" s="93">
        <f t="shared" si="17"/>
        <v>4177.92</v>
      </c>
      <c r="N75" s="92">
        <v>7944</v>
      </c>
      <c r="O75" s="93">
        <f t="shared" si="18"/>
        <v>5084.16</v>
      </c>
      <c r="P75" s="92">
        <v>9492</v>
      </c>
      <c r="Q75" s="93">
        <f t="shared" si="19"/>
        <v>6074.88</v>
      </c>
      <c r="R75" s="92">
        <v>11832</v>
      </c>
      <c r="S75" s="93">
        <f t="shared" si="20"/>
        <v>7572.4800000000005</v>
      </c>
      <c r="T75" s="92">
        <v>12852</v>
      </c>
      <c r="U75" s="93">
        <f t="shared" si="21"/>
        <v>8225.2800000000007</v>
      </c>
      <c r="V75" s="92">
        <v>10104</v>
      </c>
      <c r="W75" s="93">
        <f t="shared" si="22"/>
        <v>6466.56</v>
      </c>
      <c r="X75" s="92">
        <v>12240</v>
      </c>
      <c r="Y75" s="93">
        <f t="shared" si="23"/>
        <v>7833.6</v>
      </c>
      <c r="Z75" s="92">
        <v>8880</v>
      </c>
      <c r="AA75" s="93">
        <f t="shared" si="24"/>
        <v>5683.2</v>
      </c>
      <c r="AB75" s="7">
        <v>12951</v>
      </c>
      <c r="AC75" s="93">
        <f t="shared" si="25"/>
        <v>8288.64</v>
      </c>
      <c r="AD75" s="94">
        <f t="shared" si="27"/>
        <v>117999</v>
      </c>
      <c r="AE75" s="95">
        <f t="shared" si="26"/>
        <v>75519.360000000001</v>
      </c>
    </row>
    <row r="76" spans="1:31" ht="20.100000000000001" customHeight="1">
      <c r="A76" s="63"/>
      <c r="B76" s="63"/>
      <c r="C76" s="63"/>
      <c r="D76" s="63"/>
      <c r="E76" s="63"/>
      <c r="F76" s="7"/>
      <c r="G76" s="93">
        <f t="shared" si="14"/>
        <v>0</v>
      </c>
      <c r="H76" s="7"/>
      <c r="I76" s="93">
        <f t="shared" si="15"/>
        <v>0</v>
      </c>
      <c r="J76" s="7"/>
      <c r="K76" s="93">
        <f t="shared" si="16"/>
        <v>0</v>
      </c>
      <c r="L76" s="7"/>
      <c r="M76" s="93">
        <f t="shared" si="17"/>
        <v>0</v>
      </c>
      <c r="N76" s="7"/>
      <c r="O76" s="93">
        <f t="shared" si="18"/>
        <v>0</v>
      </c>
      <c r="P76" s="7"/>
      <c r="Q76" s="93">
        <f t="shared" si="19"/>
        <v>0</v>
      </c>
      <c r="R76" s="7"/>
      <c r="S76" s="93">
        <f t="shared" si="20"/>
        <v>0</v>
      </c>
      <c r="T76" s="7"/>
      <c r="U76" s="93">
        <f t="shared" si="21"/>
        <v>0</v>
      </c>
      <c r="V76" s="7"/>
      <c r="W76" s="93">
        <f t="shared" si="22"/>
        <v>0</v>
      </c>
      <c r="X76" s="7"/>
      <c r="Y76" s="93">
        <f t="shared" si="23"/>
        <v>0</v>
      </c>
      <c r="Z76" s="7"/>
      <c r="AA76" s="93">
        <f t="shared" si="24"/>
        <v>0</v>
      </c>
      <c r="AB76" s="7"/>
      <c r="AC76" s="93">
        <f t="shared" si="25"/>
        <v>0</v>
      </c>
      <c r="AD76" s="94">
        <f t="shared" si="27"/>
        <v>0</v>
      </c>
      <c r="AE76" s="95">
        <f t="shared" si="26"/>
        <v>0</v>
      </c>
    </row>
    <row r="77" spans="1:31" ht="20.100000000000001" customHeight="1">
      <c r="A77" s="63">
        <v>62</v>
      </c>
      <c r="B77" s="63" t="s">
        <v>69</v>
      </c>
      <c r="C77" s="63" t="s">
        <v>14</v>
      </c>
      <c r="D77" s="63">
        <v>0.64</v>
      </c>
      <c r="E77" s="63" t="s">
        <v>25</v>
      </c>
      <c r="F77" s="7"/>
      <c r="G77" s="93">
        <f t="shared" si="14"/>
        <v>0</v>
      </c>
      <c r="H77" s="7"/>
      <c r="I77" s="93">
        <f t="shared" si="15"/>
        <v>0</v>
      </c>
      <c r="J77" s="7"/>
      <c r="K77" s="93">
        <f t="shared" si="16"/>
        <v>0</v>
      </c>
      <c r="L77" s="7"/>
      <c r="M77" s="93">
        <f t="shared" si="17"/>
        <v>0</v>
      </c>
      <c r="N77" s="7"/>
      <c r="O77" s="93">
        <f t="shared" si="18"/>
        <v>0</v>
      </c>
      <c r="P77" s="7"/>
      <c r="Q77" s="93">
        <f t="shared" si="19"/>
        <v>0</v>
      </c>
      <c r="R77" s="7"/>
      <c r="S77" s="93">
        <f t="shared" si="20"/>
        <v>0</v>
      </c>
      <c r="T77" s="7"/>
      <c r="U77" s="93">
        <f t="shared" si="21"/>
        <v>0</v>
      </c>
      <c r="V77" s="7"/>
      <c r="W77" s="93">
        <f t="shared" si="22"/>
        <v>0</v>
      </c>
      <c r="X77" s="7"/>
      <c r="Y77" s="93">
        <f t="shared" si="23"/>
        <v>0</v>
      </c>
      <c r="Z77" s="7"/>
      <c r="AA77" s="93">
        <f t="shared" si="24"/>
        <v>0</v>
      </c>
      <c r="AB77" s="7"/>
      <c r="AC77" s="93">
        <f t="shared" si="25"/>
        <v>0</v>
      </c>
      <c r="AD77" s="94">
        <f t="shared" si="27"/>
        <v>0</v>
      </c>
      <c r="AE77" s="95">
        <f t="shared" si="26"/>
        <v>0</v>
      </c>
    </row>
    <row r="78" spans="1:31" ht="20.100000000000001" customHeight="1">
      <c r="A78" s="63">
        <v>63</v>
      </c>
      <c r="B78" s="63" t="s">
        <v>69</v>
      </c>
      <c r="C78" s="63" t="s">
        <v>14</v>
      </c>
      <c r="D78" s="63">
        <v>0.64</v>
      </c>
      <c r="E78" s="63" t="s">
        <v>24</v>
      </c>
      <c r="F78" s="7"/>
      <c r="G78" s="93">
        <f t="shared" si="14"/>
        <v>0</v>
      </c>
      <c r="H78" s="7"/>
      <c r="I78" s="93">
        <f t="shared" si="15"/>
        <v>0</v>
      </c>
      <c r="J78" s="7"/>
      <c r="K78" s="93">
        <f t="shared" si="16"/>
        <v>0</v>
      </c>
      <c r="L78" s="7"/>
      <c r="M78" s="93">
        <f t="shared" si="17"/>
        <v>0</v>
      </c>
      <c r="N78" s="7"/>
      <c r="O78" s="93">
        <f t="shared" si="18"/>
        <v>0</v>
      </c>
      <c r="P78" s="7"/>
      <c r="Q78" s="93">
        <f t="shared" si="19"/>
        <v>0</v>
      </c>
      <c r="R78" s="7"/>
      <c r="S78" s="93">
        <f t="shared" si="20"/>
        <v>0</v>
      </c>
      <c r="T78" s="7"/>
      <c r="U78" s="93">
        <f t="shared" si="21"/>
        <v>0</v>
      </c>
      <c r="V78" s="7"/>
      <c r="W78" s="93">
        <f t="shared" si="22"/>
        <v>0</v>
      </c>
      <c r="X78" s="7"/>
      <c r="Y78" s="93">
        <f t="shared" si="23"/>
        <v>0</v>
      </c>
      <c r="Z78" s="7"/>
      <c r="AA78" s="93">
        <f t="shared" si="24"/>
        <v>0</v>
      </c>
      <c r="AB78" s="7"/>
      <c r="AC78" s="93">
        <f t="shared" si="25"/>
        <v>0</v>
      </c>
      <c r="AD78" s="94">
        <f t="shared" si="27"/>
        <v>0</v>
      </c>
      <c r="AE78" s="95">
        <f t="shared" si="26"/>
        <v>0</v>
      </c>
    </row>
    <row r="79" spans="1:31" ht="20.100000000000001" customHeight="1">
      <c r="A79" s="63"/>
      <c r="B79" s="63"/>
      <c r="C79" s="63"/>
      <c r="D79" s="63"/>
      <c r="E79" s="63"/>
      <c r="F79" s="7"/>
      <c r="G79" s="93">
        <f t="shared" si="14"/>
        <v>0</v>
      </c>
      <c r="H79" s="7"/>
      <c r="I79" s="93">
        <f t="shared" si="15"/>
        <v>0</v>
      </c>
      <c r="J79" s="7"/>
      <c r="K79" s="93">
        <f t="shared" si="16"/>
        <v>0</v>
      </c>
      <c r="L79" s="7"/>
      <c r="M79" s="93">
        <f t="shared" si="17"/>
        <v>0</v>
      </c>
      <c r="N79" s="7"/>
      <c r="O79" s="93">
        <f t="shared" si="18"/>
        <v>0</v>
      </c>
      <c r="P79" s="7"/>
      <c r="Q79" s="93">
        <f t="shared" si="19"/>
        <v>0</v>
      </c>
      <c r="R79" s="7"/>
      <c r="S79" s="93">
        <f t="shared" si="20"/>
        <v>0</v>
      </c>
      <c r="T79" s="7"/>
      <c r="U79" s="93">
        <f t="shared" si="21"/>
        <v>0</v>
      </c>
      <c r="V79" s="7"/>
      <c r="W79" s="93">
        <f t="shared" si="22"/>
        <v>0</v>
      </c>
      <c r="X79" s="7"/>
      <c r="Y79" s="93">
        <f t="shared" si="23"/>
        <v>0</v>
      </c>
      <c r="Z79" s="7"/>
      <c r="AA79" s="93">
        <f t="shared" si="24"/>
        <v>0</v>
      </c>
      <c r="AB79" s="7"/>
      <c r="AC79" s="93">
        <f t="shared" si="25"/>
        <v>0</v>
      </c>
      <c r="AD79" s="94">
        <f t="shared" si="27"/>
        <v>0</v>
      </c>
      <c r="AE79" s="95">
        <f t="shared" si="26"/>
        <v>0</v>
      </c>
    </row>
    <row r="80" spans="1:31" ht="20.100000000000001" customHeight="1">
      <c r="A80" s="63">
        <v>64</v>
      </c>
      <c r="B80" s="63" t="s">
        <v>70</v>
      </c>
      <c r="C80" s="63" t="s">
        <v>14</v>
      </c>
      <c r="D80" s="63">
        <v>0.64</v>
      </c>
      <c r="E80" s="63" t="s">
        <v>24</v>
      </c>
      <c r="F80" s="7"/>
      <c r="G80" s="93">
        <f t="shared" si="14"/>
        <v>0</v>
      </c>
      <c r="H80" s="7"/>
      <c r="I80" s="93">
        <f t="shared" si="15"/>
        <v>0</v>
      </c>
      <c r="J80" s="7"/>
      <c r="K80" s="93">
        <f t="shared" si="16"/>
        <v>0</v>
      </c>
      <c r="L80" s="7"/>
      <c r="M80" s="93">
        <f t="shared" si="17"/>
        <v>0</v>
      </c>
      <c r="N80" s="7"/>
      <c r="O80" s="93">
        <f t="shared" si="18"/>
        <v>0</v>
      </c>
      <c r="P80" s="7"/>
      <c r="Q80" s="93">
        <f t="shared" si="19"/>
        <v>0</v>
      </c>
      <c r="R80" s="7"/>
      <c r="S80" s="93">
        <f t="shared" si="20"/>
        <v>0</v>
      </c>
      <c r="T80" s="7"/>
      <c r="U80" s="93">
        <f t="shared" si="21"/>
        <v>0</v>
      </c>
      <c r="V80" s="7"/>
      <c r="W80" s="93">
        <f t="shared" si="22"/>
        <v>0</v>
      </c>
      <c r="X80" s="7"/>
      <c r="Y80" s="93">
        <f t="shared" si="23"/>
        <v>0</v>
      </c>
      <c r="Z80" s="7"/>
      <c r="AA80" s="93">
        <f t="shared" si="24"/>
        <v>0</v>
      </c>
      <c r="AB80" s="7"/>
      <c r="AC80" s="93">
        <f t="shared" si="25"/>
        <v>0</v>
      </c>
      <c r="AD80" s="94">
        <f t="shared" si="27"/>
        <v>0</v>
      </c>
      <c r="AE80" s="95">
        <f t="shared" si="26"/>
        <v>0</v>
      </c>
    </row>
    <row r="81" spans="1:31" ht="20.100000000000001" customHeight="1">
      <c r="A81" s="63">
        <v>65</v>
      </c>
      <c r="B81" s="63" t="s">
        <v>71</v>
      </c>
      <c r="C81" s="63" t="s">
        <v>14</v>
      </c>
      <c r="D81" s="63">
        <v>0.64</v>
      </c>
      <c r="E81" s="63" t="s">
        <v>15</v>
      </c>
      <c r="F81" s="7"/>
      <c r="G81" s="93">
        <f t="shared" si="14"/>
        <v>0</v>
      </c>
      <c r="H81" s="7"/>
      <c r="I81" s="93">
        <f t="shared" si="15"/>
        <v>0</v>
      </c>
      <c r="J81" s="7"/>
      <c r="K81" s="93">
        <f t="shared" si="16"/>
        <v>0</v>
      </c>
      <c r="L81" s="7"/>
      <c r="M81" s="93">
        <f t="shared" si="17"/>
        <v>0</v>
      </c>
      <c r="N81" s="7"/>
      <c r="O81" s="93">
        <f t="shared" si="18"/>
        <v>0</v>
      </c>
      <c r="P81" s="7"/>
      <c r="Q81" s="93">
        <f t="shared" si="19"/>
        <v>0</v>
      </c>
      <c r="R81" s="7"/>
      <c r="S81" s="93">
        <f t="shared" si="20"/>
        <v>0</v>
      </c>
      <c r="T81" s="7"/>
      <c r="U81" s="93">
        <f t="shared" si="21"/>
        <v>0</v>
      </c>
      <c r="V81" s="7"/>
      <c r="W81" s="93">
        <f t="shared" si="22"/>
        <v>0</v>
      </c>
      <c r="X81" s="7"/>
      <c r="Y81" s="93">
        <f t="shared" si="23"/>
        <v>0</v>
      </c>
      <c r="Z81" s="7"/>
      <c r="AA81" s="93">
        <f t="shared" si="24"/>
        <v>0</v>
      </c>
      <c r="AB81" s="7"/>
      <c r="AC81" s="93">
        <f t="shared" si="25"/>
        <v>0</v>
      </c>
      <c r="AD81" s="94">
        <f t="shared" si="27"/>
        <v>0</v>
      </c>
      <c r="AE81" s="95">
        <f t="shared" si="26"/>
        <v>0</v>
      </c>
    </row>
    <row r="82" spans="1:31" ht="20.100000000000001" customHeight="1">
      <c r="A82" s="63"/>
      <c r="B82" s="63"/>
      <c r="C82" s="63"/>
      <c r="D82" s="63"/>
      <c r="E82" s="63"/>
      <c r="F82" s="7"/>
      <c r="G82" s="93">
        <f t="shared" si="14"/>
        <v>0</v>
      </c>
      <c r="H82" s="7"/>
      <c r="I82" s="93">
        <f t="shared" si="15"/>
        <v>0</v>
      </c>
      <c r="J82" s="7"/>
      <c r="K82" s="93">
        <f t="shared" si="16"/>
        <v>0</v>
      </c>
      <c r="L82" s="7"/>
      <c r="M82" s="93">
        <f t="shared" si="17"/>
        <v>0</v>
      </c>
      <c r="N82" s="7"/>
      <c r="O82" s="93">
        <f t="shared" si="18"/>
        <v>0</v>
      </c>
      <c r="P82" s="7"/>
      <c r="Q82" s="93">
        <f t="shared" si="19"/>
        <v>0</v>
      </c>
      <c r="R82" s="7"/>
      <c r="S82" s="93">
        <f t="shared" si="20"/>
        <v>0</v>
      </c>
      <c r="T82" s="7"/>
      <c r="U82" s="93">
        <f t="shared" si="21"/>
        <v>0</v>
      </c>
      <c r="V82" s="7"/>
      <c r="W82" s="93">
        <f t="shared" si="22"/>
        <v>0</v>
      </c>
      <c r="X82" s="7"/>
      <c r="Y82" s="93">
        <f t="shared" si="23"/>
        <v>0</v>
      </c>
      <c r="Z82" s="7"/>
      <c r="AA82" s="93">
        <f t="shared" si="24"/>
        <v>0</v>
      </c>
      <c r="AB82" s="7"/>
      <c r="AC82" s="93">
        <f t="shared" si="25"/>
        <v>0</v>
      </c>
      <c r="AD82" s="94">
        <f t="shared" si="27"/>
        <v>0</v>
      </c>
      <c r="AE82" s="95">
        <f t="shared" si="26"/>
        <v>0</v>
      </c>
    </row>
    <row r="83" spans="1:31" ht="20.100000000000001" customHeight="1">
      <c r="A83" s="63">
        <v>66</v>
      </c>
      <c r="B83" s="63" t="s">
        <v>72</v>
      </c>
      <c r="C83" s="63" t="s">
        <v>17</v>
      </c>
      <c r="D83" s="63">
        <v>1</v>
      </c>
      <c r="E83" s="63" t="s">
        <v>24</v>
      </c>
      <c r="F83" s="7"/>
      <c r="G83" s="93">
        <f t="shared" si="14"/>
        <v>0</v>
      </c>
      <c r="H83" s="7"/>
      <c r="I83" s="93">
        <f t="shared" si="15"/>
        <v>0</v>
      </c>
      <c r="J83" s="7"/>
      <c r="K83" s="93">
        <f t="shared" si="16"/>
        <v>0</v>
      </c>
      <c r="L83" s="7"/>
      <c r="M83" s="93">
        <f t="shared" si="17"/>
        <v>0</v>
      </c>
      <c r="N83" s="7"/>
      <c r="O83" s="93">
        <f t="shared" si="18"/>
        <v>0</v>
      </c>
      <c r="P83" s="7"/>
      <c r="Q83" s="93">
        <f t="shared" si="19"/>
        <v>0</v>
      </c>
      <c r="R83" s="7"/>
      <c r="S83" s="93">
        <f t="shared" si="20"/>
        <v>0</v>
      </c>
      <c r="T83" s="7"/>
      <c r="U83" s="93">
        <f t="shared" si="21"/>
        <v>0</v>
      </c>
      <c r="V83" s="7"/>
      <c r="W83" s="93">
        <f t="shared" si="22"/>
        <v>0</v>
      </c>
      <c r="X83" s="7"/>
      <c r="Y83" s="93">
        <f t="shared" si="23"/>
        <v>0</v>
      </c>
      <c r="Z83" s="7"/>
      <c r="AA83" s="93">
        <f t="shared" si="24"/>
        <v>0</v>
      </c>
      <c r="AB83" s="7"/>
      <c r="AC83" s="93">
        <f t="shared" si="25"/>
        <v>0</v>
      </c>
      <c r="AD83" s="94">
        <f t="shared" si="27"/>
        <v>0</v>
      </c>
      <c r="AE83" s="95">
        <f t="shared" si="26"/>
        <v>0</v>
      </c>
    </row>
    <row r="84" spans="1:31" ht="20.100000000000001" customHeight="1">
      <c r="A84" s="63">
        <v>67</v>
      </c>
      <c r="B84" s="63" t="s">
        <v>73</v>
      </c>
      <c r="C84" s="63" t="s">
        <v>17</v>
      </c>
      <c r="D84" s="63">
        <v>1</v>
      </c>
      <c r="E84" s="63" t="s">
        <v>24</v>
      </c>
      <c r="F84" s="7"/>
      <c r="G84" s="93">
        <f t="shared" si="14"/>
        <v>0</v>
      </c>
      <c r="H84" s="7"/>
      <c r="I84" s="93">
        <f t="shared" si="15"/>
        <v>0</v>
      </c>
      <c r="J84" s="7"/>
      <c r="K84" s="93">
        <f t="shared" si="16"/>
        <v>0</v>
      </c>
      <c r="L84" s="7"/>
      <c r="M84" s="93">
        <f t="shared" si="17"/>
        <v>0</v>
      </c>
      <c r="N84" s="7"/>
      <c r="O84" s="93">
        <f t="shared" si="18"/>
        <v>0</v>
      </c>
      <c r="P84" s="7"/>
      <c r="Q84" s="93">
        <f t="shared" si="19"/>
        <v>0</v>
      </c>
      <c r="R84" s="7"/>
      <c r="S84" s="93">
        <f t="shared" si="20"/>
        <v>0</v>
      </c>
      <c r="T84" s="7"/>
      <c r="U84" s="93">
        <f t="shared" si="21"/>
        <v>0</v>
      </c>
      <c r="V84" s="7"/>
      <c r="W84" s="93">
        <f t="shared" si="22"/>
        <v>0</v>
      </c>
      <c r="X84" s="7"/>
      <c r="Y84" s="93">
        <f t="shared" si="23"/>
        <v>0</v>
      </c>
      <c r="Z84" s="7"/>
      <c r="AA84" s="93">
        <f t="shared" si="24"/>
        <v>0</v>
      </c>
      <c r="AB84" s="7"/>
      <c r="AC84" s="93">
        <f t="shared" si="25"/>
        <v>0</v>
      </c>
      <c r="AD84" s="94">
        <f t="shared" si="27"/>
        <v>0</v>
      </c>
      <c r="AE84" s="95">
        <f t="shared" si="26"/>
        <v>0</v>
      </c>
    </row>
    <row r="85" spans="1:31" ht="20.100000000000001" customHeight="1">
      <c r="A85" s="63">
        <v>68</v>
      </c>
      <c r="B85" s="63" t="s">
        <v>74</v>
      </c>
      <c r="C85" s="63" t="s">
        <v>17</v>
      </c>
      <c r="D85" s="63">
        <v>1</v>
      </c>
      <c r="E85" s="63" t="s">
        <v>15</v>
      </c>
      <c r="F85" s="7"/>
      <c r="G85" s="93">
        <f t="shared" si="14"/>
        <v>0</v>
      </c>
      <c r="H85" s="7"/>
      <c r="I85" s="93">
        <f t="shared" si="15"/>
        <v>0</v>
      </c>
      <c r="J85" s="7"/>
      <c r="K85" s="93">
        <f t="shared" si="16"/>
        <v>0</v>
      </c>
      <c r="L85" s="7"/>
      <c r="M85" s="93">
        <f t="shared" si="17"/>
        <v>0</v>
      </c>
      <c r="N85" s="7"/>
      <c r="O85" s="93">
        <f t="shared" si="18"/>
        <v>0</v>
      </c>
      <c r="P85" s="7"/>
      <c r="Q85" s="93">
        <f t="shared" si="19"/>
        <v>0</v>
      </c>
      <c r="R85" s="7"/>
      <c r="S85" s="93">
        <f t="shared" si="20"/>
        <v>0</v>
      </c>
      <c r="T85" s="7"/>
      <c r="U85" s="93">
        <f t="shared" si="21"/>
        <v>0</v>
      </c>
      <c r="V85" s="7"/>
      <c r="W85" s="93">
        <f t="shared" si="22"/>
        <v>0</v>
      </c>
      <c r="X85" s="7"/>
      <c r="Y85" s="93">
        <f t="shared" si="23"/>
        <v>0</v>
      </c>
      <c r="Z85" s="7"/>
      <c r="AA85" s="93">
        <f t="shared" si="24"/>
        <v>0</v>
      </c>
      <c r="AB85" s="7"/>
      <c r="AC85" s="93">
        <f t="shared" si="25"/>
        <v>0</v>
      </c>
      <c r="AD85" s="94">
        <f t="shared" si="27"/>
        <v>0</v>
      </c>
      <c r="AE85" s="95">
        <f t="shared" si="26"/>
        <v>0</v>
      </c>
    </row>
    <row r="86" spans="1:31" ht="20.100000000000001" customHeight="1">
      <c r="A86" s="63">
        <v>69</v>
      </c>
      <c r="B86" s="63" t="s">
        <v>75</v>
      </c>
      <c r="C86" s="63" t="s">
        <v>17</v>
      </c>
      <c r="D86" s="63">
        <v>0.6</v>
      </c>
      <c r="E86" s="63" t="s">
        <v>24</v>
      </c>
      <c r="F86" s="92"/>
      <c r="G86" s="93">
        <f t="shared" si="14"/>
        <v>0</v>
      </c>
      <c r="H86" s="92"/>
      <c r="I86" s="93">
        <f t="shared" si="15"/>
        <v>0</v>
      </c>
      <c r="J86" s="92"/>
      <c r="K86" s="93">
        <f t="shared" si="16"/>
        <v>0</v>
      </c>
      <c r="L86" s="92"/>
      <c r="M86" s="93">
        <f t="shared" si="17"/>
        <v>0</v>
      </c>
      <c r="N86" s="92">
        <v>12608</v>
      </c>
      <c r="O86" s="93">
        <f t="shared" si="18"/>
        <v>7564.7999999999993</v>
      </c>
      <c r="P86" s="92">
        <v>6380</v>
      </c>
      <c r="Q86" s="93">
        <f t="shared" si="19"/>
        <v>3828</v>
      </c>
      <c r="R86" s="92">
        <v>18960</v>
      </c>
      <c r="S86" s="93">
        <f t="shared" si="20"/>
        <v>11376</v>
      </c>
      <c r="T86" s="92">
        <v>12922</v>
      </c>
      <c r="U86" s="93">
        <f t="shared" si="21"/>
        <v>7753.2</v>
      </c>
      <c r="V86" s="92">
        <v>27118</v>
      </c>
      <c r="W86" s="93">
        <f t="shared" si="22"/>
        <v>16270.8</v>
      </c>
      <c r="X86" s="92">
        <v>29069</v>
      </c>
      <c r="Y86" s="93">
        <f t="shared" si="23"/>
        <v>17441.399999999998</v>
      </c>
      <c r="Z86" s="92">
        <v>28498</v>
      </c>
      <c r="AA86" s="93">
        <f t="shared" si="24"/>
        <v>17098.8</v>
      </c>
      <c r="AB86" s="7">
        <v>30810</v>
      </c>
      <c r="AC86" s="93">
        <f t="shared" si="25"/>
        <v>18486</v>
      </c>
      <c r="AD86" s="94">
        <f t="shared" si="27"/>
        <v>166365</v>
      </c>
      <c r="AE86" s="95">
        <f t="shared" si="26"/>
        <v>99819</v>
      </c>
    </row>
    <row r="87" spans="1:31" ht="20.100000000000001" customHeight="1">
      <c r="A87" s="63">
        <v>70</v>
      </c>
      <c r="B87" s="63" t="s">
        <v>76</v>
      </c>
      <c r="C87" s="63" t="s">
        <v>14</v>
      </c>
      <c r="D87" s="63">
        <v>0.64</v>
      </c>
      <c r="E87" s="63" t="s">
        <v>25</v>
      </c>
      <c r="F87" s="92"/>
      <c r="G87" s="93">
        <f t="shared" si="14"/>
        <v>0</v>
      </c>
      <c r="H87" s="92"/>
      <c r="I87" s="93">
        <f t="shared" si="15"/>
        <v>0</v>
      </c>
      <c r="J87" s="92">
        <v>5419</v>
      </c>
      <c r="K87" s="93">
        <f t="shared" si="16"/>
        <v>3468.16</v>
      </c>
      <c r="L87" s="92">
        <v>840</v>
      </c>
      <c r="M87" s="93">
        <f t="shared" si="17"/>
        <v>537.6</v>
      </c>
      <c r="N87" s="92">
        <v>2533</v>
      </c>
      <c r="O87" s="93">
        <f t="shared" si="18"/>
        <v>1621.1200000000001</v>
      </c>
      <c r="P87" s="92">
        <v>2394</v>
      </c>
      <c r="Q87" s="93">
        <f t="shared" si="19"/>
        <v>1532.16</v>
      </c>
      <c r="R87" s="92">
        <v>623</v>
      </c>
      <c r="S87" s="93">
        <f t="shared" si="20"/>
        <v>398.72</v>
      </c>
      <c r="T87" s="92">
        <v>504</v>
      </c>
      <c r="U87" s="93">
        <f t="shared" si="21"/>
        <v>322.56</v>
      </c>
      <c r="V87" s="92">
        <v>322</v>
      </c>
      <c r="W87" s="93">
        <f t="shared" si="22"/>
        <v>206.08</v>
      </c>
      <c r="X87" s="92">
        <v>373</v>
      </c>
      <c r="Y87" s="93">
        <f t="shared" si="23"/>
        <v>238.72</v>
      </c>
      <c r="Z87" s="92">
        <v>1512</v>
      </c>
      <c r="AA87" s="93">
        <f t="shared" si="24"/>
        <v>967.68000000000006</v>
      </c>
      <c r="AB87" s="7">
        <v>168</v>
      </c>
      <c r="AC87" s="93">
        <f t="shared" si="25"/>
        <v>107.52</v>
      </c>
      <c r="AD87" s="94">
        <f t="shared" si="27"/>
        <v>14688</v>
      </c>
      <c r="AE87" s="95">
        <f t="shared" si="26"/>
        <v>9400.32</v>
      </c>
    </row>
    <row r="88" spans="1:31" ht="20.100000000000001" customHeight="1">
      <c r="A88" s="63"/>
      <c r="B88" s="63"/>
      <c r="C88" s="63"/>
      <c r="D88" s="63"/>
      <c r="E88" s="63"/>
      <c r="F88" s="7"/>
      <c r="G88" s="93">
        <f t="shared" si="14"/>
        <v>0</v>
      </c>
      <c r="H88" s="7"/>
      <c r="I88" s="93">
        <f t="shared" si="15"/>
        <v>0</v>
      </c>
      <c r="J88" s="7"/>
      <c r="K88" s="93">
        <f t="shared" si="16"/>
        <v>0</v>
      </c>
      <c r="L88" s="7"/>
      <c r="M88" s="93">
        <f t="shared" si="17"/>
        <v>0</v>
      </c>
      <c r="N88" s="7"/>
      <c r="O88" s="93">
        <f t="shared" si="18"/>
        <v>0</v>
      </c>
      <c r="P88" s="7"/>
      <c r="Q88" s="93">
        <f t="shared" si="19"/>
        <v>0</v>
      </c>
      <c r="R88" s="7"/>
      <c r="S88" s="93">
        <f t="shared" si="20"/>
        <v>0</v>
      </c>
      <c r="T88" s="7"/>
      <c r="U88" s="93">
        <f t="shared" si="21"/>
        <v>0</v>
      </c>
      <c r="V88" s="7"/>
      <c r="W88" s="93">
        <f t="shared" si="22"/>
        <v>0</v>
      </c>
      <c r="X88" s="7"/>
      <c r="Y88" s="93">
        <f t="shared" si="23"/>
        <v>0</v>
      </c>
      <c r="Z88" s="7"/>
      <c r="AA88" s="93">
        <f t="shared" si="24"/>
        <v>0</v>
      </c>
      <c r="AB88" s="7"/>
      <c r="AC88" s="93">
        <f t="shared" si="25"/>
        <v>0</v>
      </c>
      <c r="AD88" s="94">
        <f t="shared" si="27"/>
        <v>0</v>
      </c>
      <c r="AE88" s="95">
        <f t="shared" si="26"/>
        <v>0</v>
      </c>
    </row>
    <row r="89" spans="1:31" ht="20.100000000000001" customHeight="1">
      <c r="A89" s="63">
        <v>71</v>
      </c>
      <c r="B89" s="63" t="s">
        <v>77</v>
      </c>
      <c r="C89" s="63" t="s">
        <v>17</v>
      </c>
      <c r="D89" s="63">
        <v>1</v>
      </c>
      <c r="E89" s="63" t="s">
        <v>24</v>
      </c>
      <c r="F89" s="7"/>
      <c r="G89" s="93">
        <f t="shared" si="14"/>
        <v>0</v>
      </c>
      <c r="H89" s="7"/>
      <c r="I89" s="93">
        <f t="shared" si="15"/>
        <v>0</v>
      </c>
      <c r="J89" s="7"/>
      <c r="K89" s="93">
        <f t="shared" si="16"/>
        <v>0</v>
      </c>
      <c r="L89" s="7"/>
      <c r="M89" s="93">
        <f t="shared" si="17"/>
        <v>0</v>
      </c>
      <c r="N89" s="7"/>
      <c r="O89" s="93">
        <f t="shared" si="18"/>
        <v>0</v>
      </c>
      <c r="P89" s="7"/>
      <c r="Q89" s="93">
        <f t="shared" si="19"/>
        <v>0</v>
      </c>
      <c r="R89" s="7"/>
      <c r="S89" s="93">
        <f t="shared" si="20"/>
        <v>0</v>
      </c>
      <c r="T89" s="7"/>
      <c r="U89" s="93">
        <f t="shared" si="21"/>
        <v>0</v>
      </c>
      <c r="V89" s="7"/>
      <c r="W89" s="93">
        <f t="shared" si="22"/>
        <v>0</v>
      </c>
      <c r="X89" s="7"/>
      <c r="Y89" s="93">
        <f t="shared" si="23"/>
        <v>0</v>
      </c>
      <c r="Z89" s="7"/>
      <c r="AA89" s="93">
        <f t="shared" si="24"/>
        <v>0</v>
      </c>
      <c r="AB89" s="7"/>
      <c r="AC89" s="93">
        <f t="shared" si="25"/>
        <v>0</v>
      </c>
      <c r="AD89" s="94">
        <f t="shared" si="27"/>
        <v>0</v>
      </c>
      <c r="AE89" s="95">
        <f t="shared" si="26"/>
        <v>0</v>
      </c>
    </row>
    <row r="90" spans="1:31" ht="20.100000000000001" customHeight="1">
      <c r="A90" s="63">
        <v>72</v>
      </c>
      <c r="B90" s="63" t="s">
        <v>77</v>
      </c>
      <c r="C90" s="63" t="s">
        <v>17</v>
      </c>
      <c r="D90" s="63">
        <v>1</v>
      </c>
      <c r="E90" s="63" t="s">
        <v>15</v>
      </c>
      <c r="F90" s="92"/>
      <c r="G90" s="93">
        <f t="shared" si="14"/>
        <v>0</v>
      </c>
      <c r="H90" s="92"/>
      <c r="I90" s="93">
        <f t="shared" si="15"/>
        <v>0</v>
      </c>
      <c r="J90" s="92"/>
      <c r="K90" s="93">
        <f t="shared" si="16"/>
        <v>0</v>
      </c>
      <c r="L90" s="92"/>
      <c r="M90" s="93">
        <f t="shared" si="17"/>
        <v>0</v>
      </c>
      <c r="N90" s="92"/>
      <c r="O90" s="93">
        <f t="shared" si="18"/>
        <v>0</v>
      </c>
      <c r="P90" s="92"/>
      <c r="Q90" s="93">
        <f t="shared" si="19"/>
        <v>0</v>
      </c>
      <c r="R90" s="92"/>
      <c r="S90" s="93">
        <f t="shared" si="20"/>
        <v>0</v>
      </c>
      <c r="T90" s="92"/>
      <c r="U90" s="93">
        <f t="shared" si="21"/>
        <v>0</v>
      </c>
      <c r="V90" s="92">
        <v>1800</v>
      </c>
      <c r="W90" s="93">
        <f t="shared" si="22"/>
        <v>1800</v>
      </c>
      <c r="X90" s="92">
        <v>1225</v>
      </c>
      <c r="Y90" s="93">
        <f t="shared" si="23"/>
        <v>1225</v>
      </c>
      <c r="Z90" s="92">
        <v>2352</v>
      </c>
      <c r="AA90" s="93">
        <f t="shared" si="24"/>
        <v>2352</v>
      </c>
      <c r="AB90" s="7">
        <v>3829</v>
      </c>
      <c r="AC90" s="93">
        <f t="shared" si="25"/>
        <v>3829</v>
      </c>
      <c r="AD90" s="94">
        <f t="shared" si="27"/>
        <v>9206</v>
      </c>
      <c r="AE90" s="95">
        <f t="shared" si="26"/>
        <v>9206</v>
      </c>
    </row>
    <row r="91" spans="1:31" ht="20.100000000000001" customHeight="1">
      <c r="A91" s="63">
        <v>73</v>
      </c>
      <c r="B91" s="63" t="s">
        <v>78</v>
      </c>
      <c r="C91" s="63" t="s">
        <v>17</v>
      </c>
      <c r="D91" s="63">
        <v>0.6</v>
      </c>
      <c r="E91" s="63" t="s">
        <v>24</v>
      </c>
      <c r="F91" s="92"/>
      <c r="G91" s="93">
        <f t="shared" si="14"/>
        <v>0</v>
      </c>
      <c r="H91" s="92"/>
      <c r="I91" s="93">
        <f t="shared" si="15"/>
        <v>0</v>
      </c>
      <c r="J91" s="92"/>
      <c r="K91" s="93">
        <f t="shared" si="16"/>
        <v>0</v>
      </c>
      <c r="L91" s="92"/>
      <c r="M91" s="93">
        <f t="shared" si="17"/>
        <v>0</v>
      </c>
      <c r="N91" s="92"/>
      <c r="O91" s="93">
        <f t="shared" si="18"/>
        <v>0</v>
      </c>
      <c r="P91" s="92"/>
      <c r="Q91" s="93">
        <f t="shared" si="19"/>
        <v>0</v>
      </c>
      <c r="R91" s="92"/>
      <c r="S91" s="93">
        <f t="shared" si="20"/>
        <v>0</v>
      </c>
      <c r="T91" s="92"/>
      <c r="U91" s="93">
        <f t="shared" si="21"/>
        <v>0</v>
      </c>
      <c r="V91" s="92">
        <v>3192</v>
      </c>
      <c r="W91" s="93">
        <f t="shared" si="22"/>
        <v>1915.1999999999998</v>
      </c>
      <c r="X91" s="92">
        <v>3095</v>
      </c>
      <c r="Y91" s="93">
        <f t="shared" si="23"/>
        <v>1857</v>
      </c>
      <c r="Z91" s="92">
        <v>2112</v>
      </c>
      <c r="AA91" s="93">
        <f t="shared" si="24"/>
        <v>1267.2</v>
      </c>
      <c r="AB91" s="7">
        <v>3870</v>
      </c>
      <c r="AC91" s="93">
        <f t="shared" si="25"/>
        <v>2322</v>
      </c>
      <c r="AD91" s="94">
        <f t="shared" si="27"/>
        <v>12269</v>
      </c>
      <c r="AE91" s="95">
        <f t="shared" si="26"/>
        <v>7361.4</v>
      </c>
    </row>
    <row r="92" spans="1:31" ht="20.100000000000001" customHeight="1">
      <c r="A92" s="63">
        <v>74</v>
      </c>
      <c r="B92" s="63" t="s">
        <v>79</v>
      </c>
      <c r="C92" s="63" t="s">
        <v>14</v>
      </c>
      <c r="D92" s="63">
        <v>0.64</v>
      </c>
      <c r="E92" s="63" t="s">
        <v>25</v>
      </c>
      <c r="F92" s="7"/>
      <c r="G92" s="93">
        <f t="shared" si="14"/>
        <v>0</v>
      </c>
      <c r="H92" s="7"/>
      <c r="I92" s="93">
        <f t="shared" si="15"/>
        <v>0</v>
      </c>
      <c r="J92" s="7"/>
      <c r="K92" s="93">
        <f t="shared" si="16"/>
        <v>0</v>
      </c>
      <c r="L92" s="7"/>
      <c r="M92" s="93">
        <f t="shared" si="17"/>
        <v>0</v>
      </c>
      <c r="N92" s="7"/>
      <c r="O92" s="93">
        <f t="shared" si="18"/>
        <v>0</v>
      </c>
      <c r="P92" s="7"/>
      <c r="Q92" s="93">
        <f t="shared" si="19"/>
        <v>0</v>
      </c>
      <c r="R92" s="7"/>
      <c r="S92" s="93">
        <f t="shared" si="20"/>
        <v>0</v>
      </c>
      <c r="T92" s="7"/>
      <c r="U92" s="93">
        <f t="shared" si="21"/>
        <v>0</v>
      </c>
      <c r="V92" s="7"/>
      <c r="W92" s="93">
        <f t="shared" si="22"/>
        <v>0</v>
      </c>
      <c r="X92" s="7"/>
      <c r="Y92" s="93">
        <f t="shared" si="23"/>
        <v>0</v>
      </c>
      <c r="Z92" s="7"/>
      <c r="AA92" s="93">
        <f t="shared" si="24"/>
        <v>0</v>
      </c>
      <c r="AB92" s="7"/>
      <c r="AC92" s="93">
        <f t="shared" si="25"/>
        <v>0</v>
      </c>
      <c r="AD92" s="94">
        <f t="shared" si="27"/>
        <v>0</v>
      </c>
      <c r="AE92" s="95">
        <f t="shared" si="26"/>
        <v>0</v>
      </c>
    </row>
    <row r="93" spans="1:31" ht="20.100000000000001" customHeight="1">
      <c r="A93" s="63"/>
      <c r="B93" s="63"/>
      <c r="C93" s="63"/>
      <c r="D93" s="63"/>
      <c r="E93" s="63"/>
      <c r="F93" s="7"/>
      <c r="G93" s="93"/>
      <c r="H93" s="7"/>
      <c r="I93" s="93"/>
      <c r="J93" s="7"/>
      <c r="K93" s="93"/>
      <c r="L93" s="7"/>
      <c r="M93" s="93"/>
      <c r="N93" s="7"/>
      <c r="O93" s="93"/>
      <c r="P93" s="7"/>
      <c r="Q93" s="93"/>
      <c r="R93" s="7"/>
      <c r="S93" s="93"/>
      <c r="T93" s="7"/>
      <c r="U93" s="93"/>
      <c r="V93" s="7"/>
      <c r="W93" s="93"/>
      <c r="X93" s="7"/>
      <c r="Y93" s="93"/>
      <c r="Z93" s="7"/>
      <c r="AA93" s="93"/>
      <c r="AB93" s="7"/>
      <c r="AC93" s="93"/>
      <c r="AD93" s="94">
        <f t="shared" si="27"/>
        <v>0</v>
      </c>
      <c r="AE93" s="95"/>
    </row>
    <row r="94" spans="1:31" ht="20.100000000000001" customHeight="1">
      <c r="A94" s="63">
        <v>75</v>
      </c>
      <c r="B94" s="65" t="s">
        <v>80</v>
      </c>
      <c r="C94" s="63" t="s">
        <v>17</v>
      </c>
      <c r="D94" s="63">
        <v>0.75</v>
      </c>
      <c r="E94" s="63"/>
      <c r="F94" s="7"/>
      <c r="G94" s="93"/>
      <c r="H94" s="7"/>
      <c r="I94" s="93"/>
      <c r="J94" s="7"/>
      <c r="K94" s="93"/>
      <c r="L94" s="7"/>
      <c r="M94" s="93"/>
      <c r="N94" s="7"/>
      <c r="O94" s="93"/>
      <c r="P94" s="7"/>
      <c r="Q94" s="93"/>
      <c r="R94" s="7"/>
      <c r="S94" s="93"/>
      <c r="T94" s="7"/>
      <c r="U94" s="93"/>
      <c r="V94" s="7"/>
      <c r="W94" s="93"/>
      <c r="X94" s="7"/>
      <c r="Y94" s="93"/>
      <c r="Z94" s="7"/>
      <c r="AA94" s="93"/>
      <c r="AB94" s="7"/>
      <c r="AC94" s="93"/>
      <c r="AD94" s="94">
        <f t="shared" si="27"/>
        <v>0</v>
      </c>
      <c r="AE94" s="95"/>
    </row>
    <row r="95" spans="1:31" ht="20.100000000000001" customHeight="1">
      <c r="A95" s="63">
        <v>76</v>
      </c>
      <c r="B95" s="63" t="s">
        <v>80</v>
      </c>
      <c r="C95" s="63" t="s">
        <v>14</v>
      </c>
      <c r="D95" s="63">
        <v>0.6</v>
      </c>
      <c r="E95" s="62"/>
      <c r="F95" s="92"/>
      <c r="G95" s="93">
        <f t="shared" ref="G95" si="28">F95*$E95</f>
        <v>0</v>
      </c>
      <c r="H95" s="92"/>
      <c r="I95" s="93">
        <f t="shared" ref="I95" si="29">H95*$E95</f>
        <v>0</v>
      </c>
      <c r="J95" s="92"/>
      <c r="K95" s="93">
        <f t="shared" ref="K95" si="30">J95*$E95</f>
        <v>0</v>
      </c>
      <c r="L95" s="92"/>
      <c r="M95" s="93">
        <f t="shared" ref="M95" si="31">L95*$E95</f>
        <v>0</v>
      </c>
      <c r="N95" s="92"/>
      <c r="O95" s="93">
        <f t="shared" ref="O95" si="32">N95*$E95</f>
        <v>0</v>
      </c>
      <c r="P95" s="92"/>
      <c r="Q95" s="93">
        <f t="shared" ref="Q95" si="33">P95*$E95</f>
        <v>0</v>
      </c>
      <c r="R95" s="92"/>
      <c r="S95" s="93">
        <f t="shared" ref="S95" si="34">R95*$E95</f>
        <v>0</v>
      </c>
      <c r="T95" s="92"/>
      <c r="U95" s="93">
        <f t="shared" ref="U95" si="35">T95*$E95</f>
        <v>0</v>
      </c>
      <c r="V95" s="7"/>
      <c r="W95" s="93">
        <f t="shared" ref="W95" si="36">V95*$E95</f>
        <v>0</v>
      </c>
      <c r="X95" s="7"/>
      <c r="Y95" s="93">
        <f t="shared" ref="Y95" si="37">X95*$E95</f>
        <v>0</v>
      </c>
      <c r="Z95" s="7"/>
      <c r="AA95" s="93">
        <f t="shared" ref="AA95" si="38">Z95*$E95</f>
        <v>0</v>
      </c>
      <c r="AB95" s="7"/>
      <c r="AC95" s="93">
        <f t="shared" ref="AC95" si="39">AB95*$E95</f>
        <v>0</v>
      </c>
      <c r="AD95" s="94">
        <f t="shared" si="27"/>
        <v>0</v>
      </c>
      <c r="AE95" s="95">
        <f t="shared" ref="AE95" si="40">AD95*$E95</f>
        <v>0</v>
      </c>
    </row>
    <row r="96" spans="1:31" ht="20.100000000000001" customHeight="1">
      <c r="A96" s="63">
        <v>77</v>
      </c>
      <c r="B96" s="64" t="s">
        <v>80</v>
      </c>
      <c r="C96" s="63" t="s">
        <v>14</v>
      </c>
      <c r="D96" s="63">
        <v>0.64</v>
      </c>
      <c r="E96" s="63" t="s">
        <v>24</v>
      </c>
      <c r="F96" s="7"/>
      <c r="G96" s="93">
        <f>F96*$D96</f>
        <v>0</v>
      </c>
      <c r="H96" s="7">
        <v>144</v>
      </c>
      <c r="I96" s="147">
        <f>H96*$D96</f>
        <v>92.16</v>
      </c>
      <c r="J96" s="7">
        <v>4149</v>
      </c>
      <c r="K96" s="147">
        <f>J96*$D96</f>
        <v>2655.36</v>
      </c>
      <c r="L96" s="7">
        <v>18550</v>
      </c>
      <c r="M96" s="93">
        <f>L96*$D96</f>
        <v>11872</v>
      </c>
      <c r="N96" s="7">
        <v>20986</v>
      </c>
      <c r="O96" s="147">
        <f>N96*$D96</f>
        <v>13431.04</v>
      </c>
      <c r="P96" s="7">
        <v>17002</v>
      </c>
      <c r="Q96" s="147">
        <f>P96*$D96</f>
        <v>10881.28</v>
      </c>
      <c r="R96" s="7">
        <v>21224</v>
      </c>
      <c r="S96" s="147">
        <f>R96*$D96</f>
        <v>13583.36</v>
      </c>
      <c r="T96" s="7">
        <v>18204</v>
      </c>
      <c r="U96" s="147">
        <f>T96*$D96</f>
        <v>11650.56</v>
      </c>
      <c r="V96" s="7">
        <v>17136</v>
      </c>
      <c r="W96" s="147">
        <f>V96*$D96</f>
        <v>10967.04</v>
      </c>
      <c r="X96" s="7">
        <v>20256</v>
      </c>
      <c r="Y96" s="147">
        <f>X96*$D96</f>
        <v>12963.84</v>
      </c>
      <c r="Z96" s="7">
        <v>18185</v>
      </c>
      <c r="AA96" s="147">
        <f>Z96*$D96</f>
        <v>11638.4</v>
      </c>
      <c r="AB96" s="7">
        <v>11232</v>
      </c>
      <c r="AC96" s="147">
        <f>AB96*$D96</f>
        <v>7188.4800000000005</v>
      </c>
      <c r="AD96" s="94">
        <f t="shared" si="27"/>
        <v>167068</v>
      </c>
      <c r="AE96" s="148">
        <f>AD96*$D96</f>
        <v>106923.52</v>
      </c>
    </row>
    <row r="97" spans="1:31" ht="20.100000000000001" customHeight="1">
      <c r="A97" s="63"/>
      <c r="B97" s="64"/>
      <c r="C97" s="63"/>
      <c r="D97" s="63"/>
      <c r="E97" s="63"/>
      <c r="F97" s="7"/>
      <c r="G97" s="93"/>
      <c r="H97" s="7"/>
      <c r="I97" s="93"/>
      <c r="J97" s="7"/>
      <c r="K97" s="147">
        <f t="shared" ref="K97:K102" si="41">J97*$D97</f>
        <v>0</v>
      </c>
      <c r="L97" s="7"/>
      <c r="M97" s="93">
        <f>L97*$D97</f>
        <v>0</v>
      </c>
      <c r="N97" s="7"/>
      <c r="O97" s="93"/>
      <c r="P97" s="7"/>
      <c r="Q97" s="93"/>
      <c r="R97" s="7"/>
      <c r="S97" s="147">
        <f t="shared" ref="S97:S108" si="42">R97*$D97</f>
        <v>0</v>
      </c>
      <c r="T97" s="7"/>
      <c r="U97" s="93"/>
      <c r="V97" s="7"/>
      <c r="W97" s="147">
        <f>V97*$D97</f>
        <v>0</v>
      </c>
      <c r="X97" s="7"/>
      <c r="Y97" s="93"/>
      <c r="Z97" s="7"/>
      <c r="AA97" s="93"/>
      <c r="AB97" s="7"/>
      <c r="AC97" s="93"/>
      <c r="AD97" s="94">
        <f t="shared" si="27"/>
        <v>0</v>
      </c>
      <c r="AE97" s="95"/>
    </row>
    <row r="98" spans="1:31" ht="20.100000000000001" customHeight="1">
      <c r="A98" s="63">
        <v>78</v>
      </c>
      <c r="B98" s="64" t="s">
        <v>81</v>
      </c>
      <c r="C98" s="63" t="s">
        <v>14</v>
      </c>
      <c r="D98" s="63">
        <v>0.64</v>
      </c>
      <c r="E98" s="63" t="s">
        <v>82</v>
      </c>
      <c r="F98" s="7"/>
      <c r="G98" s="93">
        <f>F98*$D98</f>
        <v>0</v>
      </c>
      <c r="H98" s="7"/>
      <c r="I98" s="93">
        <f>H98*$D98</f>
        <v>0</v>
      </c>
      <c r="J98" s="7"/>
      <c r="K98" s="147">
        <f t="shared" si="41"/>
        <v>0</v>
      </c>
      <c r="L98" s="7"/>
      <c r="M98" s="93">
        <f>L98*$D98</f>
        <v>0</v>
      </c>
      <c r="N98" s="7"/>
      <c r="O98" s="93">
        <f>N98*$D98</f>
        <v>0</v>
      </c>
      <c r="P98" s="7"/>
      <c r="Q98" s="93">
        <f>P98*$D98</f>
        <v>0</v>
      </c>
      <c r="R98" s="7"/>
      <c r="S98" s="147">
        <f t="shared" si="42"/>
        <v>0</v>
      </c>
      <c r="T98" s="7"/>
      <c r="U98" s="93">
        <f>T98*$D98</f>
        <v>0</v>
      </c>
      <c r="V98" s="7"/>
      <c r="W98" s="147">
        <f>V98*$D98</f>
        <v>0</v>
      </c>
      <c r="X98" s="7"/>
      <c r="Y98" s="93">
        <f>X98*$D98</f>
        <v>0</v>
      </c>
      <c r="Z98" s="7"/>
      <c r="AA98" s="93">
        <f>Z98*$D98</f>
        <v>0</v>
      </c>
      <c r="AB98" s="7"/>
      <c r="AC98" s="93">
        <f>AB98*$D98</f>
        <v>0</v>
      </c>
      <c r="AD98" s="94">
        <f t="shared" si="27"/>
        <v>0</v>
      </c>
      <c r="AE98" s="95">
        <f>AD98*$D98</f>
        <v>0</v>
      </c>
    </row>
    <row r="99" spans="1:31" ht="20.100000000000001" customHeight="1">
      <c r="A99" s="63">
        <v>79</v>
      </c>
      <c r="B99" s="65" t="s">
        <v>83</v>
      </c>
      <c r="C99" s="63" t="s">
        <v>17</v>
      </c>
      <c r="D99" s="63">
        <v>1</v>
      </c>
      <c r="E99" s="63" t="s">
        <v>38</v>
      </c>
      <c r="F99" s="7"/>
      <c r="G99" s="93"/>
      <c r="H99" s="7"/>
      <c r="I99" s="93"/>
      <c r="J99" s="7"/>
      <c r="K99" s="147">
        <f t="shared" si="41"/>
        <v>0</v>
      </c>
      <c r="L99" s="7"/>
      <c r="M99" s="93"/>
      <c r="N99" s="7"/>
      <c r="O99" s="93"/>
      <c r="P99" s="7"/>
      <c r="Q99" s="93"/>
      <c r="R99" s="7"/>
      <c r="S99" s="147">
        <f t="shared" si="42"/>
        <v>0</v>
      </c>
      <c r="T99" s="7"/>
      <c r="U99" s="93"/>
      <c r="V99" s="7"/>
      <c r="W99" s="93"/>
      <c r="X99" s="7"/>
      <c r="Y99" s="93"/>
      <c r="Z99" s="7"/>
      <c r="AA99" s="93"/>
      <c r="AB99" s="7"/>
      <c r="AC99" s="93"/>
      <c r="AD99" s="94">
        <f t="shared" si="27"/>
        <v>0</v>
      </c>
      <c r="AE99" s="95"/>
    </row>
    <row r="100" spans="1:31" ht="20.100000000000001" customHeight="1">
      <c r="A100" s="63">
        <v>80</v>
      </c>
      <c r="B100" s="65" t="s">
        <v>83</v>
      </c>
      <c r="C100" s="63" t="s">
        <v>17</v>
      </c>
      <c r="D100" s="63">
        <v>0.6</v>
      </c>
      <c r="E100" s="63" t="s">
        <v>38</v>
      </c>
      <c r="F100" s="7"/>
      <c r="G100" s="93"/>
      <c r="H100" s="7"/>
      <c r="I100" s="93"/>
      <c r="J100" s="7"/>
      <c r="K100" s="147">
        <f t="shared" si="41"/>
        <v>0</v>
      </c>
      <c r="L100" s="7"/>
      <c r="M100" s="93"/>
      <c r="N100" s="7"/>
      <c r="O100" s="93"/>
      <c r="P100" s="7"/>
      <c r="Q100" s="93"/>
      <c r="R100" s="7"/>
      <c r="S100" s="147">
        <f t="shared" si="42"/>
        <v>0</v>
      </c>
      <c r="T100" s="7"/>
      <c r="U100" s="93"/>
      <c r="V100" s="7"/>
      <c r="W100" s="93"/>
      <c r="X100" s="7"/>
      <c r="Y100" s="93"/>
      <c r="Z100" s="7"/>
      <c r="AA100" s="93"/>
      <c r="AB100" s="7"/>
      <c r="AC100" s="93"/>
      <c r="AD100" s="94">
        <f t="shared" si="27"/>
        <v>0</v>
      </c>
      <c r="AE100" s="95"/>
    </row>
    <row r="101" spans="1:31" ht="20.100000000000001" customHeight="1">
      <c r="A101" s="63"/>
      <c r="B101" s="63"/>
      <c r="C101" s="63"/>
      <c r="D101" s="63"/>
      <c r="E101" s="63"/>
      <c r="F101" s="7"/>
      <c r="G101" s="93">
        <f>F101*$E101</f>
        <v>0</v>
      </c>
      <c r="H101" s="7"/>
      <c r="I101" s="93">
        <f>H101*$E101</f>
        <v>0</v>
      </c>
      <c r="J101" s="7"/>
      <c r="K101" s="147">
        <f>J101*$D101</f>
        <v>0</v>
      </c>
      <c r="L101" s="7"/>
      <c r="M101" s="93">
        <f>L101*$E101</f>
        <v>0</v>
      </c>
      <c r="N101" s="7"/>
      <c r="O101" s="93">
        <f>N101*$E101</f>
        <v>0</v>
      </c>
      <c r="P101" s="7"/>
      <c r="Q101" s="93">
        <f>P101*$D101</f>
        <v>0</v>
      </c>
      <c r="R101" s="7"/>
      <c r="S101" s="147">
        <f t="shared" si="42"/>
        <v>0</v>
      </c>
      <c r="T101" s="7"/>
      <c r="U101" s="93">
        <f>T101*$E101</f>
        <v>0</v>
      </c>
      <c r="V101" s="7"/>
      <c r="W101" s="93">
        <f>V101*$E101</f>
        <v>0</v>
      </c>
      <c r="X101" s="7"/>
      <c r="Y101" s="93">
        <f>X101*$E101</f>
        <v>0</v>
      </c>
      <c r="Z101" s="7"/>
      <c r="AA101" s="93">
        <f>Z101*$E101</f>
        <v>0</v>
      </c>
      <c r="AB101" s="7"/>
      <c r="AC101" s="93">
        <f>AB101*$E101</f>
        <v>0</v>
      </c>
      <c r="AD101" s="94">
        <f t="shared" si="27"/>
        <v>0</v>
      </c>
      <c r="AE101" s="95"/>
    </row>
    <row r="102" spans="1:31" ht="20.100000000000001" customHeight="1">
      <c r="A102" s="63">
        <v>81</v>
      </c>
      <c r="B102" s="65" t="s">
        <v>84</v>
      </c>
      <c r="C102" s="63" t="s">
        <v>14</v>
      </c>
      <c r="D102" s="63">
        <v>0.64</v>
      </c>
      <c r="E102" s="63" t="s">
        <v>25</v>
      </c>
      <c r="F102" s="7"/>
      <c r="G102" s="93">
        <f>F102*$D102</f>
        <v>0</v>
      </c>
      <c r="H102" s="7"/>
      <c r="I102" s="93">
        <f>H102*$D102</f>
        <v>0</v>
      </c>
      <c r="J102" s="7"/>
      <c r="K102" s="147">
        <f t="shared" si="41"/>
        <v>0</v>
      </c>
      <c r="L102" s="7"/>
      <c r="M102" s="93">
        <f>L102*$D102</f>
        <v>0</v>
      </c>
      <c r="N102" s="7"/>
      <c r="O102" s="93">
        <f>N102*$D102</f>
        <v>0</v>
      </c>
      <c r="P102" s="7"/>
      <c r="Q102" s="93">
        <f>P102*$D102</f>
        <v>0</v>
      </c>
      <c r="R102" s="7"/>
      <c r="S102" s="147">
        <f t="shared" si="42"/>
        <v>0</v>
      </c>
      <c r="T102" s="7"/>
      <c r="U102" s="93">
        <f>T102*$D102</f>
        <v>0</v>
      </c>
      <c r="V102" s="7"/>
      <c r="W102" s="93">
        <f>V102*$D102</f>
        <v>0</v>
      </c>
      <c r="X102" s="7"/>
      <c r="Y102" s="93">
        <f>X102*$D102</f>
        <v>0</v>
      </c>
      <c r="Z102" s="7"/>
      <c r="AA102" s="93">
        <f>Z102*$D102</f>
        <v>0</v>
      </c>
      <c r="AB102" s="7"/>
      <c r="AC102" s="93">
        <f>AB102*$D102</f>
        <v>0</v>
      </c>
      <c r="AD102" s="94">
        <f t="shared" si="27"/>
        <v>0</v>
      </c>
      <c r="AE102" s="95">
        <f>AD102*$D102</f>
        <v>0</v>
      </c>
    </row>
    <row r="103" spans="1:31" ht="20.100000000000001" customHeight="1">
      <c r="A103" s="63">
        <v>82</v>
      </c>
      <c r="B103" s="65" t="s">
        <v>84</v>
      </c>
      <c r="C103" s="63" t="s">
        <v>17</v>
      </c>
      <c r="D103" s="63">
        <v>0.6</v>
      </c>
      <c r="E103" s="63"/>
      <c r="F103" s="7"/>
      <c r="G103" s="93"/>
      <c r="H103" s="7"/>
      <c r="I103" s="93"/>
      <c r="J103" s="7"/>
      <c r="K103" s="93"/>
      <c r="L103" s="7"/>
      <c r="M103" s="93"/>
      <c r="N103" s="7"/>
      <c r="O103" s="93"/>
      <c r="P103" s="7"/>
      <c r="Q103" s="93"/>
      <c r="R103" s="7"/>
      <c r="S103" s="147">
        <f t="shared" si="42"/>
        <v>0</v>
      </c>
      <c r="T103" s="7"/>
      <c r="U103" s="93"/>
      <c r="V103" s="7"/>
      <c r="W103" s="93"/>
      <c r="X103" s="7"/>
      <c r="Y103" s="93"/>
      <c r="Z103" s="7"/>
      <c r="AA103" s="93"/>
      <c r="AB103" s="7"/>
      <c r="AC103" s="93"/>
      <c r="AD103" s="94">
        <f t="shared" si="27"/>
        <v>0</v>
      </c>
      <c r="AE103" s="95"/>
    </row>
    <row r="104" spans="1:31" ht="20.100000000000001" customHeight="1">
      <c r="A104" s="63"/>
      <c r="B104" s="63"/>
      <c r="C104" s="63"/>
      <c r="D104" s="63"/>
      <c r="E104" s="63"/>
      <c r="F104" s="7"/>
      <c r="G104" s="93"/>
      <c r="H104" s="7"/>
      <c r="I104" s="93"/>
      <c r="J104" s="7"/>
      <c r="K104" s="93"/>
      <c r="L104" s="7"/>
      <c r="M104" s="93"/>
      <c r="N104" s="7"/>
      <c r="O104" s="93"/>
      <c r="P104" s="7"/>
      <c r="Q104" s="93"/>
      <c r="R104" s="7"/>
      <c r="S104" s="147">
        <f t="shared" si="42"/>
        <v>0</v>
      </c>
      <c r="T104" s="7"/>
      <c r="U104" s="93"/>
      <c r="V104" s="7"/>
      <c r="W104" s="93"/>
      <c r="X104" s="7"/>
      <c r="Y104" s="93"/>
      <c r="Z104" s="7"/>
      <c r="AA104" s="93"/>
      <c r="AB104" s="7"/>
      <c r="AC104" s="93"/>
      <c r="AD104" s="94">
        <f t="shared" si="27"/>
        <v>0</v>
      </c>
      <c r="AE104" s="95"/>
    </row>
    <row r="105" spans="1:31" ht="20.100000000000001" customHeight="1">
      <c r="A105" s="63">
        <v>83</v>
      </c>
      <c r="B105" s="65" t="s">
        <v>85</v>
      </c>
      <c r="C105" s="63" t="s">
        <v>17</v>
      </c>
      <c r="D105" s="63">
        <v>1</v>
      </c>
      <c r="E105" s="63"/>
      <c r="F105" s="7"/>
      <c r="G105" s="93"/>
      <c r="H105" s="7"/>
      <c r="I105" s="93"/>
      <c r="J105" s="7"/>
      <c r="K105" s="93"/>
      <c r="L105" s="7"/>
      <c r="M105" s="93"/>
      <c r="N105" s="7"/>
      <c r="O105" s="93"/>
      <c r="P105" s="7"/>
      <c r="Q105" s="93"/>
      <c r="R105" s="7"/>
      <c r="S105" s="147">
        <f t="shared" si="42"/>
        <v>0</v>
      </c>
      <c r="T105" s="7"/>
      <c r="U105" s="93"/>
      <c r="V105" s="7"/>
      <c r="W105" s="93"/>
      <c r="X105" s="7"/>
      <c r="Y105" s="93"/>
      <c r="Z105" s="7"/>
      <c r="AA105" s="93"/>
      <c r="AB105" s="7"/>
      <c r="AC105" s="93"/>
      <c r="AD105" s="94">
        <f t="shared" si="27"/>
        <v>0</v>
      </c>
      <c r="AE105" s="95"/>
    </row>
    <row r="106" spans="1:31" ht="20.100000000000001" customHeight="1">
      <c r="A106" s="63">
        <v>84</v>
      </c>
      <c r="B106" s="65" t="s">
        <v>85</v>
      </c>
      <c r="C106" s="63" t="s">
        <v>14</v>
      </c>
      <c r="D106" s="63">
        <v>0.64</v>
      </c>
      <c r="E106" s="63" t="s">
        <v>25</v>
      </c>
      <c r="F106" s="7"/>
      <c r="G106" s="93">
        <f>F106*$D106</f>
        <v>0</v>
      </c>
      <c r="H106" s="7"/>
      <c r="I106" s="93">
        <f>H106*$D106</f>
        <v>0</v>
      </c>
      <c r="J106" s="7"/>
      <c r="K106" s="93">
        <f>J106*$D106</f>
        <v>0</v>
      </c>
      <c r="L106" s="7"/>
      <c r="M106" s="93">
        <f>L106*$D106</f>
        <v>0</v>
      </c>
      <c r="N106" s="7"/>
      <c r="O106" s="93">
        <f>N106*$D106</f>
        <v>0</v>
      </c>
      <c r="P106" s="7"/>
      <c r="Q106" s="93">
        <f>P106*$D106</f>
        <v>0</v>
      </c>
      <c r="R106" s="7"/>
      <c r="S106" s="147">
        <f t="shared" si="42"/>
        <v>0</v>
      </c>
      <c r="T106" s="7"/>
      <c r="U106" s="93">
        <f>T106*$D106</f>
        <v>0</v>
      </c>
      <c r="V106" s="7"/>
      <c r="W106" s="93">
        <f>V106*$D106</f>
        <v>0</v>
      </c>
      <c r="X106" s="7"/>
      <c r="Y106" s="93">
        <f>X106*$D106</f>
        <v>0</v>
      </c>
      <c r="Z106" s="7"/>
      <c r="AA106" s="93">
        <f>Z106*$D106</f>
        <v>0</v>
      </c>
      <c r="AB106" s="7"/>
      <c r="AC106" s="93">
        <f>AB106*$D106</f>
        <v>0</v>
      </c>
      <c r="AD106" s="94">
        <f t="shared" si="27"/>
        <v>0</v>
      </c>
      <c r="AE106" s="95">
        <f>AD106*$D106</f>
        <v>0</v>
      </c>
    </row>
    <row r="107" spans="1:31" ht="20.100000000000001" customHeight="1">
      <c r="A107" s="63"/>
      <c r="B107" s="63"/>
      <c r="C107" s="63"/>
      <c r="D107" s="63"/>
      <c r="E107" s="63"/>
      <c r="F107" s="7"/>
      <c r="G107" s="93"/>
      <c r="H107" s="7"/>
      <c r="I107" s="93"/>
      <c r="J107" s="7"/>
      <c r="K107" s="93"/>
      <c r="L107" s="7"/>
      <c r="M107" s="93"/>
      <c r="N107" s="7"/>
      <c r="O107" s="93"/>
      <c r="P107" s="7"/>
      <c r="Q107" s="93"/>
      <c r="R107" s="7"/>
      <c r="S107" s="147">
        <f t="shared" si="42"/>
        <v>0</v>
      </c>
      <c r="T107" s="7"/>
      <c r="U107" s="93"/>
      <c r="V107" s="7"/>
      <c r="W107" s="93"/>
      <c r="X107" s="7"/>
      <c r="Y107" s="93"/>
      <c r="Z107" s="7"/>
      <c r="AA107" s="93"/>
      <c r="AB107" s="7"/>
      <c r="AC107" s="93"/>
      <c r="AD107" s="94">
        <f t="shared" si="27"/>
        <v>0</v>
      </c>
      <c r="AE107" s="95"/>
    </row>
    <row r="108" spans="1:31" ht="20.100000000000001" customHeight="1">
      <c r="A108" s="63">
        <v>85</v>
      </c>
      <c r="B108" s="63" t="s">
        <v>86</v>
      </c>
      <c r="C108" s="63" t="s">
        <v>14</v>
      </c>
      <c r="D108" s="63">
        <v>0.7</v>
      </c>
      <c r="E108" s="63" t="s">
        <v>15</v>
      </c>
      <c r="F108" s="92">
        <v>372</v>
      </c>
      <c r="G108" s="147">
        <f>F108*$D108</f>
        <v>260.39999999999998</v>
      </c>
      <c r="H108" s="92">
        <v>1045</v>
      </c>
      <c r="I108" s="147">
        <f>H108*$D108</f>
        <v>731.5</v>
      </c>
      <c r="J108" s="92">
        <v>2335</v>
      </c>
      <c r="K108" s="147">
        <f>J108*$D108</f>
        <v>1634.5</v>
      </c>
      <c r="L108" s="92">
        <v>252</v>
      </c>
      <c r="M108" s="147">
        <f>L108*$D108</f>
        <v>176.39999999999998</v>
      </c>
      <c r="N108" s="92">
        <v>870</v>
      </c>
      <c r="O108" s="93">
        <f>N108*$D108</f>
        <v>609</v>
      </c>
      <c r="P108" s="92">
        <v>448</v>
      </c>
      <c r="Q108" s="147">
        <f>P108*$D108</f>
        <v>313.59999999999997</v>
      </c>
      <c r="R108" s="92">
        <v>2144</v>
      </c>
      <c r="S108" s="147">
        <f t="shared" si="42"/>
        <v>1500.8</v>
      </c>
      <c r="T108" s="92">
        <v>1209</v>
      </c>
      <c r="U108" s="147">
        <f>T108*$D108</f>
        <v>846.3</v>
      </c>
      <c r="V108" s="92">
        <v>324</v>
      </c>
      <c r="W108" s="147">
        <f>V108*$D108</f>
        <v>226.79999999999998</v>
      </c>
      <c r="X108" s="92">
        <v>772</v>
      </c>
      <c r="Y108" s="147">
        <f>X108*$D108</f>
        <v>540.4</v>
      </c>
      <c r="Z108" s="92">
        <v>948</v>
      </c>
      <c r="AA108" s="147">
        <f>Z108*$D108</f>
        <v>663.59999999999991</v>
      </c>
      <c r="AB108" s="7">
        <v>12</v>
      </c>
      <c r="AC108" s="147">
        <f>AB108*$D108</f>
        <v>8.3999999999999986</v>
      </c>
      <c r="AD108" s="94">
        <f t="shared" si="27"/>
        <v>10731</v>
      </c>
      <c r="AE108" s="148">
        <f>AD108*$D108</f>
        <v>7511.7</v>
      </c>
    </row>
    <row r="109" spans="1:31" ht="20.100000000000001" customHeight="1">
      <c r="A109" s="63">
        <v>86</v>
      </c>
      <c r="B109" s="63" t="s">
        <v>87</v>
      </c>
      <c r="C109" s="63" t="s">
        <v>14</v>
      </c>
      <c r="D109" s="63">
        <v>0.35</v>
      </c>
      <c r="E109" s="63" t="s">
        <v>24</v>
      </c>
      <c r="F109" s="92">
        <v>24</v>
      </c>
      <c r="G109" s="147">
        <f t="shared" ref="G109:G120" si="43">F109*$D109</f>
        <v>8.3999999999999986</v>
      </c>
      <c r="H109" s="92">
        <v>234</v>
      </c>
      <c r="I109" s="147">
        <f t="shared" ref="I109:I120" si="44">H109*$D109</f>
        <v>81.899999999999991</v>
      </c>
      <c r="J109" s="92">
        <v>474</v>
      </c>
      <c r="K109" s="147">
        <f t="shared" ref="K109:K120" si="45">J109*$D109</f>
        <v>165.89999999999998</v>
      </c>
      <c r="L109" s="92">
        <v>412</v>
      </c>
      <c r="M109" s="147">
        <f t="shared" ref="M109:M120" si="46">L109*$D109</f>
        <v>144.19999999999999</v>
      </c>
      <c r="N109" s="92">
        <v>510</v>
      </c>
      <c r="O109" s="93">
        <f t="shared" ref="O109:O120" si="47">N109*$D109</f>
        <v>178.5</v>
      </c>
      <c r="P109" s="92">
        <v>399</v>
      </c>
      <c r="Q109" s="147">
        <f t="shared" ref="Q109:Q120" si="48">P109*$D109</f>
        <v>139.64999999999998</v>
      </c>
      <c r="R109" s="92">
        <v>1270</v>
      </c>
      <c r="S109" s="147">
        <f>R109*$D109</f>
        <v>444.5</v>
      </c>
      <c r="T109" s="92">
        <v>966</v>
      </c>
      <c r="U109" s="147">
        <f t="shared" ref="U109:U120" si="49">T109*$D109</f>
        <v>338.09999999999997</v>
      </c>
      <c r="V109" s="92">
        <v>330</v>
      </c>
      <c r="W109" s="147">
        <f t="shared" ref="W109:W120" si="50">V109*$D109</f>
        <v>115.49999999999999</v>
      </c>
      <c r="X109" s="92">
        <v>899</v>
      </c>
      <c r="Y109" s="147">
        <f t="shared" ref="Y109:Y120" si="51">X109*$D109</f>
        <v>314.64999999999998</v>
      </c>
      <c r="Z109" s="92">
        <v>810</v>
      </c>
      <c r="AA109" s="147">
        <f t="shared" ref="AA109:AA120" si="52">Z109*$D109</f>
        <v>283.5</v>
      </c>
      <c r="AB109" s="7">
        <v>12</v>
      </c>
      <c r="AC109" s="147">
        <f t="shared" ref="AC109:AC120" si="53">AB109*$D109</f>
        <v>4.1999999999999993</v>
      </c>
      <c r="AD109" s="94">
        <f t="shared" si="27"/>
        <v>6340</v>
      </c>
      <c r="AE109" s="148">
        <f>AD109*$D109</f>
        <v>2219</v>
      </c>
    </row>
    <row r="110" spans="1:31" ht="20.100000000000001" customHeight="1">
      <c r="A110" s="63"/>
      <c r="B110" s="63"/>
      <c r="C110" s="63"/>
      <c r="D110" s="63"/>
      <c r="E110" s="63"/>
      <c r="F110" s="7"/>
      <c r="G110" s="147">
        <f t="shared" si="43"/>
        <v>0</v>
      </c>
      <c r="H110" s="7"/>
      <c r="I110" s="147">
        <f t="shared" si="44"/>
        <v>0</v>
      </c>
      <c r="J110" s="7"/>
      <c r="K110" s="147">
        <f t="shared" si="45"/>
        <v>0</v>
      </c>
      <c r="L110" s="7"/>
      <c r="M110" s="147">
        <f t="shared" si="46"/>
        <v>0</v>
      </c>
      <c r="N110" s="7"/>
      <c r="O110" s="93">
        <f t="shared" si="47"/>
        <v>0</v>
      </c>
      <c r="P110" s="7"/>
      <c r="Q110" s="147">
        <f t="shared" si="48"/>
        <v>0</v>
      </c>
      <c r="R110" s="7"/>
      <c r="S110" s="147">
        <f t="shared" ref="S110:S120" si="54">R110*$D110</f>
        <v>0</v>
      </c>
      <c r="T110" s="7"/>
      <c r="U110" s="147">
        <f t="shared" si="49"/>
        <v>0</v>
      </c>
      <c r="V110" s="7"/>
      <c r="W110" s="147">
        <f t="shared" si="50"/>
        <v>0</v>
      </c>
      <c r="X110" s="7"/>
      <c r="Y110" s="147">
        <f t="shared" si="51"/>
        <v>0</v>
      </c>
      <c r="Z110" s="7"/>
      <c r="AA110" s="147">
        <f t="shared" si="52"/>
        <v>0</v>
      </c>
      <c r="AB110" s="7"/>
      <c r="AC110" s="147">
        <f t="shared" si="53"/>
        <v>0</v>
      </c>
      <c r="AD110" s="94">
        <f t="shared" si="27"/>
        <v>0</v>
      </c>
      <c r="AE110" s="148">
        <f t="shared" ref="AE110:AE120" si="55">AD110*$D110</f>
        <v>0</v>
      </c>
    </row>
    <row r="111" spans="1:31" ht="20.100000000000001" customHeight="1">
      <c r="A111" s="63">
        <v>87</v>
      </c>
      <c r="B111" s="63" t="s">
        <v>88</v>
      </c>
      <c r="C111" s="63" t="s">
        <v>17</v>
      </c>
      <c r="D111" s="63">
        <v>1</v>
      </c>
      <c r="E111" s="63" t="s">
        <v>15</v>
      </c>
      <c r="F111" s="7"/>
      <c r="G111" s="147">
        <f t="shared" si="43"/>
        <v>0</v>
      </c>
      <c r="H111" s="7"/>
      <c r="I111" s="147">
        <f t="shared" si="44"/>
        <v>0</v>
      </c>
      <c r="J111" s="7"/>
      <c r="K111" s="147">
        <f t="shared" si="45"/>
        <v>0</v>
      </c>
      <c r="L111" s="7"/>
      <c r="M111" s="147">
        <f t="shared" si="46"/>
        <v>0</v>
      </c>
      <c r="N111" s="7"/>
      <c r="O111" s="93">
        <f t="shared" si="47"/>
        <v>0</v>
      </c>
      <c r="P111" s="7"/>
      <c r="Q111" s="147">
        <f t="shared" si="48"/>
        <v>0</v>
      </c>
      <c r="R111" s="7"/>
      <c r="S111" s="147">
        <f t="shared" si="54"/>
        <v>0</v>
      </c>
      <c r="T111" s="7"/>
      <c r="U111" s="147">
        <f t="shared" si="49"/>
        <v>0</v>
      </c>
      <c r="V111" s="7"/>
      <c r="W111" s="147">
        <f t="shared" si="50"/>
        <v>0</v>
      </c>
      <c r="X111" s="7"/>
      <c r="Y111" s="147">
        <f t="shared" si="51"/>
        <v>0</v>
      </c>
      <c r="Z111" s="7"/>
      <c r="AA111" s="147">
        <f t="shared" si="52"/>
        <v>0</v>
      </c>
      <c r="AB111" s="7"/>
      <c r="AC111" s="147">
        <f t="shared" si="53"/>
        <v>0</v>
      </c>
      <c r="AD111" s="94">
        <f t="shared" si="27"/>
        <v>0</v>
      </c>
      <c r="AE111" s="148">
        <f t="shared" si="55"/>
        <v>0</v>
      </c>
    </row>
    <row r="112" spans="1:31" ht="20.100000000000001" customHeight="1">
      <c r="A112" s="63">
        <v>88</v>
      </c>
      <c r="B112" s="63" t="s">
        <v>89</v>
      </c>
      <c r="C112" s="63" t="s">
        <v>17</v>
      </c>
      <c r="D112" s="63">
        <v>1</v>
      </c>
      <c r="E112" s="63" t="s">
        <v>90</v>
      </c>
      <c r="F112" s="7"/>
      <c r="G112" s="147">
        <f t="shared" si="43"/>
        <v>0</v>
      </c>
      <c r="H112" s="7"/>
      <c r="I112" s="147">
        <f t="shared" si="44"/>
        <v>0</v>
      </c>
      <c r="J112" s="7"/>
      <c r="K112" s="147">
        <f t="shared" si="45"/>
        <v>0</v>
      </c>
      <c r="L112" s="7"/>
      <c r="M112" s="147">
        <f t="shared" si="46"/>
        <v>0</v>
      </c>
      <c r="N112" s="7"/>
      <c r="O112" s="93">
        <f t="shared" si="47"/>
        <v>0</v>
      </c>
      <c r="P112" s="7"/>
      <c r="Q112" s="147">
        <f t="shared" si="48"/>
        <v>0</v>
      </c>
      <c r="R112" s="7"/>
      <c r="S112" s="147">
        <f t="shared" si="54"/>
        <v>0</v>
      </c>
      <c r="T112" s="7"/>
      <c r="U112" s="147">
        <f t="shared" si="49"/>
        <v>0</v>
      </c>
      <c r="V112" s="7"/>
      <c r="W112" s="147">
        <f t="shared" si="50"/>
        <v>0</v>
      </c>
      <c r="X112" s="7"/>
      <c r="Y112" s="147">
        <f t="shared" si="51"/>
        <v>0</v>
      </c>
      <c r="Z112" s="7"/>
      <c r="AA112" s="147">
        <f t="shared" si="52"/>
        <v>0</v>
      </c>
      <c r="AB112" s="7"/>
      <c r="AC112" s="147">
        <f t="shared" si="53"/>
        <v>0</v>
      </c>
      <c r="AD112" s="94">
        <f t="shared" si="27"/>
        <v>0</v>
      </c>
      <c r="AE112" s="148">
        <f t="shared" si="55"/>
        <v>0</v>
      </c>
    </row>
    <row r="113" spans="1:31" ht="20.100000000000001" customHeight="1">
      <c r="A113" s="63">
        <v>89</v>
      </c>
      <c r="B113" s="63" t="s">
        <v>91</v>
      </c>
      <c r="C113" s="63" t="s">
        <v>17</v>
      </c>
      <c r="D113" s="63">
        <v>1</v>
      </c>
      <c r="E113" s="63" t="s">
        <v>24</v>
      </c>
      <c r="F113" s="7"/>
      <c r="G113" s="147">
        <f t="shared" si="43"/>
        <v>0</v>
      </c>
      <c r="H113" s="7"/>
      <c r="I113" s="147">
        <f t="shared" si="44"/>
        <v>0</v>
      </c>
      <c r="J113" s="7"/>
      <c r="K113" s="147">
        <f t="shared" si="45"/>
        <v>0</v>
      </c>
      <c r="L113" s="7"/>
      <c r="M113" s="147">
        <f t="shared" si="46"/>
        <v>0</v>
      </c>
      <c r="N113" s="7"/>
      <c r="O113" s="93">
        <f t="shared" si="47"/>
        <v>0</v>
      </c>
      <c r="P113" s="7"/>
      <c r="Q113" s="147">
        <f t="shared" si="48"/>
        <v>0</v>
      </c>
      <c r="R113" s="7"/>
      <c r="S113" s="147">
        <f t="shared" si="54"/>
        <v>0</v>
      </c>
      <c r="T113" s="7"/>
      <c r="U113" s="147">
        <f t="shared" si="49"/>
        <v>0</v>
      </c>
      <c r="V113" s="7"/>
      <c r="W113" s="147">
        <f t="shared" si="50"/>
        <v>0</v>
      </c>
      <c r="X113" s="7"/>
      <c r="Y113" s="147">
        <f t="shared" si="51"/>
        <v>0</v>
      </c>
      <c r="Z113" s="7"/>
      <c r="AA113" s="147">
        <f t="shared" si="52"/>
        <v>0</v>
      </c>
      <c r="AB113" s="7"/>
      <c r="AC113" s="147">
        <f t="shared" si="53"/>
        <v>0</v>
      </c>
      <c r="AD113" s="94">
        <f t="shared" si="27"/>
        <v>0</v>
      </c>
      <c r="AE113" s="148">
        <f t="shared" si="55"/>
        <v>0</v>
      </c>
    </row>
    <row r="114" spans="1:31" ht="20.100000000000001" customHeight="1">
      <c r="A114" s="63">
        <v>90</v>
      </c>
      <c r="B114" s="63" t="s">
        <v>92</v>
      </c>
      <c r="C114" s="63" t="s">
        <v>14</v>
      </c>
      <c r="D114" s="63">
        <v>0.64</v>
      </c>
      <c r="E114" s="63" t="s">
        <v>24</v>
      </c>
      <c r="F114" s="92">
        <v>205104</v>
      </c>
      <c r="G114" s="147">
        <f t="shared" si="43"/>
        <v>131266.56</v>
      </c>
      <c r="H114" s="92">
        <v>188737</v>
      </c>
      <c r="I114" s="147">
        <f t="shared" si="44"/>
        <v>120791.68000000001</v>
      </c>
      <c r="J114" s="92">
        <v>178271</v>
      </c>
      <c r="K114" s="147">
        <f t="shared" si="45"/>
        <v>114093.44</v>
      </c>
      <c r="L114" s="92">
        <v>172056</v>
      </c>
      <c r="M114" s="147">
        <f t="shared" si="46"/>
        <v>110115.84</v>
      </c>
      <c r="N114" s="92">
        <v>191772</v>
      </c>
      <c r="O114" s="93">
        <f t="shared" si="47"/>
        <v>122734.08</v>
      </c>
      <c r="P114" s="92">
        <v>175896</v>
      </c>
      <c r="Q114" s="147">
        <f t="shared" si="48"/>
        <v>112573.44</v>
      </c>
      <c r="R114" s="92">
        <v>189492</v>
      </c>
      <c r="S114" s="147">
        <f t="shared" si="54"/>
        <v>121274.88</v>
      </c>
      <c r="T114" s="92">
        <v>192528</v>
      </c>
      <c r="U114" s="147">
        <f t="shared" si="49"/>
        <v>123217.92</v>
      </c>
      <c r="V114" s="92">
        <v>203688</v>
      </c>
      <c r="W114" s="147">
        <f t="shared" si="50"/>
        <v>130360.32000000001</v>
      </c>
      <c r="X114" s="92">
        <v>209141</v>
      </c>
      <c r="Y114" s="147">
        <f t="shared" si="51"/>
        <v>133850.23999999999</v>
      </c>
      <c r="Z114" s="92">
        <v>227352</v>
      </c>
      <c r="AA114" s="147">
        <f t="shared" si="52"/>
        <v>145505.28</v>
      </c>
      <c r="AB114" s="7">
        <v>225907</v>
      </c>
      <c r="AC114" s="147">
        <f t="shared" si="53"/>
        <v>144580.48000000001</v>
      </c>
      <c r="AD114" s="94">
        <f t="shared" si="27"/>
        <v>2359944</v>
      </c>
      <c r="AE114" s="148">
        <f t="shared" si="55"/>
        <v>1510364.1599999999</v>
      </c>
    </row>
    <row r="115" spans="1:31" ht="20.100000000000001" customHeight="1">
      <c r="A115" s="63">
        <v>91</v>
      </c>
      <c r="B115" s="63" t="s">
        <v>93</v>
      </c>
      <c r="C115" s="63" t="s">
        <v>14</v>
      </c>
      <c r="D115" s="63">
        <v>0.64</v>
      </c>
      <c r="E115" s="63" t="s">
        <v>25</v>
      </c>
      <c r="F115" s="92">
        <v>18844</v>
      </c>
      <c r="G115" s="147">
        <f t="shared" si="43"/>
        <v>12060.16</v>
      </c>
      <c r="H115" s="92">
        <v>11788</v>
      </c>
      <c r="I115" s="147">
        <f t="shared" si="44"/>
        <v>7544.32</v>
      </c>
      <c r="J115" s="92">
        <v>16646</v>
      </c>
      <c r="K115" s="147">
        <f t="shared" si="45"/>
        <v>10653.44</v>
      </c>
      <c r="L115" s="92">
        <v>15669</v>
      </c>
      <c r="M115" s="147">
        <f t="shared" si="46"/>
        <v>10028.16</v>
      </c>
      <c r="N115" s="92">
        <v>14661</v>
      </c>
      <c r="O115" s="93">
        <f t="shared" si="47"/>
        <v>9383.0400000000009</v>
      </c>
      <c r="P115" s="92">
        <v>16002</v>
      </c>
      <c r="Q115" s="147">
        <f t="shared" si="48"/>
        <v>10241.280000000001</v>
      </c>
      <c r="R115" s="92">
        <v>18228</v>
      </c>
      <c r="S115" s="147">
        <f t="shared" si="54"/>
        <v>11665.92</v>
      </c>
      <c r="T115" s="92">
        <v>16450</v>
      </c>
      <c r="U115" s="147">
        <f t="shared" si="49"/>
        <v>10528</v>
      </c>
      <c r="V115" s="92">
        <v>15610</v>
      </c>
      <c r="W115" s="147">
        <f t="shared" si="50"/>
        <v>9990.4</v>
      </c>
      <c r="X115" s="92">
        <v>16590</v>
      </c>
      <c r="Y115" s="147">
        <f t="shared" si="51"/>
        <v>10617.6</v>
      </c>
      <c r="Z115" s="92">
        <v>17080</v>
      </c>
      <c r="AA115" s="147">
        <f t="shared" si="52"/>
        <v>10931.2</v>
      </c>
      <c r="AB115" s="7">
        <v>20748</v>
      </c>
      <c r="AC115" s="147">
        <f t="shared" si="53"/>
        <v>13278.720000000001</v>
      </c>
      <c r="AD115" s="94">
        <f t="shared" si="27"/>
        <v>198316</v>
      </c>
      <c r="AE115" s="148">
        <f t="shared" si="55"/>
        <v>126922.24000000001</v>
      </c>
    </row>
    <row r="116" spans="1:31" ht="20.100000000000001" customHeight="1">
      <c r="A116" s="63">
        <v>92</v>
      </c>
      <c r="B116" s="63" t="s">
        <v>94</v>
      </c>
      <c r="C116" s="63" t="s">
        <v>14</v>
      </c>
      <c r="D116" s="63">
        <v>0.64</v>
      </c>
      <c r="E116" s="63" t="s">
        <v>24</v>
      </c>
      <c r="F116" s="92">
        <v>8088</v>
      </c>
      <c r="G116" s="147">
        <f t="shared" si="43"/>
        <v>5176.32</v>
      </c>
      <c r="H116" s="92">
        <v>4320</v>
      </c>
      <c r="I116" s="147">
        <f t="shared" si="44"/>
        <v>2764.8</v>
      </c>
      <c r="J116" s="92">
        <v>7296</v>
      </c>
      <c r="K116" s="147">
        <f t="shared" si="45"/>
        <v>4669.4400000000005</v>
      </c>
      <c r="L116" s="92">
        <v>5184</v>
      </c>
      <c r="M116" s="147">
        <f t="shared" si="46"/>
        <v>3317.76</v>
      </c>
      <c r="N116" s="92">
        <v>6432</v>
      </c>
      <c r="O116" s="93">
        <f t="shared" si="47"/>
        <v>4116.4800000000005</v>
      </c>
      <c r="P116" s="92">
        <v>6576</v>
      </c>
      <c r="Q116" s="147">
        <f t="shared" si="48"/>
        <v>4208.6400000000003</v>
      </c>
      <c r="R116" s="92">
        <v>7464</v>
      </c>
      <c r="S116" s="147">
        <f t="shared" si="54"/>
        <v>4776.96</v>
      </c>
      <c r="T116" s="92">
        <v>5064</v>
      </c>
      <c r="U116" s="147">
        <f t="shared" si="49"/>
        <v>3240.96</v>
      </c>
      <c r="V116" s="92">
        <v>5832</v>
      </c>
      <c r="W116" s="147">
        <f t="shared" si="50"/>
        <v>3732.48</v>
      </c>
      <c r="X116" s="92">
        <v>5952</v>
      </c>
      <c r="Y116" s="147">
        <f t="shared" si="51"/>
        <v>3809.28</v>
      </c>
      <c r="Z116" s="92">
        <v>6744</v>
      </c>
      <c r="AA116" s="147">
        <f t="shared" si="52"/>
        <v>4316.16</v>
      </c>
      <c r="AB116" s="7">
        <v>7800</v>
      </c>
      <c r="AC116" s="147">
        <f t="shared" si="53"/>
        <v>4992</v>
      </c>
      <c r="AD116" s="94">
        <f t="shared" si="27"/>
        <v>76752</v>
      </c>
      <c r="AE116" s="148">
        <f t="shared" si="55"/>
        <v>49121.279999999999</v>
      </c>
    </row>
    <row r="117" spans="1:31" ht="20.100000000000001" customHeight="1">
      <c r="A117" s="63">
        <v>93</v>
      </c>
      <c r="B117" s="63" t="s">
        <v>95</v>
      </c>
      <c r="C117" s="63" t="s">
        <v>14</v>
      </c>
      <c r="D117" s="63">
        <v>0.64</v>
      </c>
      <c r="E117" s="63" t="s">
        <v>25</v>
      </c>
      <c r="F117" s="92">
        <v>5096</v>
      </c>
      <c r="G117" s="147">
        <f t="shared" si="43"/>
        <v>3261.44</v>
      </c>
      <c r="H117" s="92">
        <v>3948</v>
      </c>
      <c r="I117" s="147">
        <f t="shared" si="44"/>
        <v>2526.7200000000003</v>
      </c>
      <c r="J117" s="92">
        <v>4368</v>
      </c>
      <c r="K117" s="147">
        <f t="shared" si="45"/>
        <v>2795.52</v>
      </c>
      <c r="L117" s="92">
        <v>3262</v>
      </c>
      <c r="M117" s="147">
        <f t="shared" si="46"/>
        <v>2087.6799999999998</v>
      </c>
      <c r="N117" s="92">
        <v>5068</v>
      </c>
      <c r="O117" s="93">
        <f t="shared" si="47"/>
        <v>3243.52</v>
      </c>
      <c r="P117" s="92">
        <v>3430</v>
      </c>
      <c r="Q117" s="147">
        <f t="shared" si="48"/>
        <v>2195.2000000000003</v>
      </c>
      <c r="R117" s="92">
        <v>4102</v>
      </c>
      <c r="S117" s="147">
        <f t="shared" si="54"/>
        <v>2625.28</v>
      </c>
      <c r="T117" s="92">
        <v>2912</v>
      </c>
      <c r="U117" s="147">
        <f t="shared" si="49"/>
        <v>1863.68</v>
      </c>
      <c r="V117" s="92">
        <v>3024</v>
      </c>
      <c r="W117" s="147">
        <f t="shared" si="50"/>
        <v>1935.3600000000001</v>
      </c>
      <c r="X117" s="92">
        <v>3850</v>
      </c>
      <c r="Y117" s="147">
        <f t="shared" si="51"/>
        <v>2464</v>
      </c>
      <c r="Z117" s="92">
        <v>3150</v>
      </c>
      <c r="AA117" s="147">
        <f t="shared" si="52"/>
        <v>2016</v>
      </c>
      <c r="AB117" s="7">
        <v>5110</v>
      </c>
      <c r="AC117" s="147">
        <f t="shared" si="53"/>
        <v>3270.4</v>
      </c>
      <c r="AD117" s="94">
        <f t="shared" si="27"/>
        <v>47320</v>
      </c>
      <c r="AE117" s="148">
        <f t="shared" si="55"/>
        <v>30284.799999999999</v>
      </c>
    </row>
    <row r="118" spans="1:31" ht="20.100000000000001" customHeight="1">
      <c r="A118" s="63">
        <v>94</v>
      </c>
      <c r="B118" s="63" t="s">
        <v>96</v>
      </c>
      <c r="C118" s="63" t="s">
        <v>14</v>
      </c>
      <c r="D118" s="63">
        <v>0.64</v>
      </c>
      <c r="E118" s="63" t="s">
        <v>25</v>
      </c>
      <c r="F118" s="7"/>
      <c r="G118" s="147">
        <f t="shared" si="43"/>
        <v>0</v>
      </c>
      <c r="H118" s="7"/>
      <c r="I118" s="147">
        <f t="shared" si="44"/>
        <v>0</v>
      </c>
      <c r="J118" s="7"/>
      <c r="K118" s="147">
        <f t="shared" si="45"/>
        <v>0</v>
      </c>
      <c r="L118" s="7"/>
      <c r="M118" s="147">
        <f t="shared" si="46"/>
        <v>0</v>
      </c>
      <c r="N118" s="7"/>
      <c r="O118" s="93">
        <f t="shared" si="47"/>
        <v>0</v>
      </c>
      <c r="P118" s="7"/>
      <c r="Q118" s="147">
        <f t="shared" si="48"/>
        <v>0</v>
      </c>
      <c r="R118" s="7"/>
      <c r="S118" s="147">
        <f t="shared" si="54"/>
        <v>0</v>
      </c>
      <c r="T118" s="7"/>
      <c r="U118" s="147">
        <f t="shared" si="49"/>
        <v>0</v>
      </c>
      <c r="V118" s="7"/>
      <c r="W118" s="147">
        <f t="shared" si="50"/>
        <v>0</v>
      </c>
      <c r="X118" s="7"/>
      <c r="Y118" s="147">
        <f t="shared" si="51"/>
        <v>0</v>
      </c>
      <c r="Z118" s="7"/>
      <c r="AA118" s="147">
        <f t="shared" si="52"/>
        <v>0</v>
      </c>
      <c r="AB118" s="7"/>
      <c r="AC118" s="147">
        <f t="shared" si="53"/>
        <v>0</v>
      </c>
      <c r="AD118" s="94">
        <f t="shared" si="27"/>
        <v>0</v>
      </c>
      <c r="AE118" s="148">
        <f t="shared" si="55"/>
        <v>0</v>
      </c>
    </row>
    <row r="119" spans="1:31" ht="20.100000000000001" customHeight="1">
      <c r="A119" s="63">
        <v>95</v>
      </c>
      <c r="B119" s="63" t="s">
        <v>97</v>
      </c>
      <c r="C119" s="63" t="s">
        <v>14</v>
      </c>
      <c r="D119" s="63">
        <v>0.64</v>
      </c>
      <c r="E119" s="63" t="s">
        <v>25</v>
      </c>
      <c r="F119" s="7"/>
      <c r="G119" s="147">
        <f t="shared" si="43"/>
        <v>0</v>
      </c>
      <c r="H119" s="7"/>
      <c r="I119" s="147">
        <f t="shared" si="44"/>
        <v>0</v>
      </c>
      <c r="J119" s="7"/>
      <c r="K119" s="147">
        <f t="shared" si="45"/>
        <v>0</v>
      </c>
      <c r="L119" s="7"/>
      <c r="M119" s="147">
        <f t="shared" si="46"/>
        <v>0</v>
      </c>
      <c r="N119" s="7"/>
      <c r="O119" s="93">
        <f t="shared" si="47"/>
        <v>0</v>
      </c>
      <c r="P119" s="7"/>
      <c r="Q119" s="147">
        <f t="shared" si="48"/>
        <v>0</v>
      </c>
      <c r="R119" s="7"/>
      <c r="S119" s="147">
        <f t="shared" si="54"/>
        <v>0</v>
      </c>
      <c r="T119" s="7"/>
      <c r="U119" s="147">
        <f t="shared" si="49"/>
        <v>0</v>
      </c>
      <c r="V119" s="7"/>
      <c r="W119" s="147">
        <f t="shared" si="50"/>
        <v>0</v>
      </c>
      <c r="X119" s="7"/>
      <c r="Y119" s="147">
        <f t="shared" si="51"/>
        <v>0</v>
      </c>
      <c r="Z119" s="7"/>
      <c r="AA119" s="147">
        <f t="shared" si="52"/>
        <v>0</v>
      </c>
      <c r="AB119" s="7"/>
      <c r="AC119" s="147">
        <f t="shared" si="53"/>
        <v>0</v>
      </c>
      <c r="AD119" s="94">
        <f t="shared" si="27"/>
        <v>0</v>
      </c>
      <c r="AE119" s="148">
        <f t="shared" si="55"/>
        <v>0</v>
      </c>
    </row>
    <row r="120" spans="1:31" ht="20.100000000000001" customHeight="1">
      <c r="A120" s="63">
        <v>96</v>
      </c>
      <c r="B120" s="63" t="s">
        <v>98</v>
      </c>
      <c r="C120" s="63" t="s">
        <v>14</v>
      </c>
      <c r="D120" s="63">
        <v>0.64</v>
      </c>
      <c r="E120" s="63" t="s">
        <v>24</v>
      </c>
      <c r="F120" s="7"/>
      <c r="G120" s="147">
        <f t="shared" si="43"/>
        <v>0</v>
      </c>
      <c r="H120" s="7"/>
      <c r="I120" s="147">
        <f t="shared" si="44"/>
        <v>0</v>
      </c>
      <c r="J120" s="7"/>
      <c r="K120" s="147">
        <f t="shared" si="45"/>
        <v>0</v>
      </c>
      <c r="L120" s="7"/>
      <c r="M120" s="147">
        <f t="shared" si="46"/>
        <v>0</v>
      </c>
      <c r="N120" s="7"/>
      <c r="O120" s="93">
        <f t="shared" si="47"/>
        <v>0</v>
      </c>
      <c r="P120" s="7"/>
      <c r="Q120" s="147">
        <f t="shared" si="48"/>
        <v>0</v>
      </c>
      <c r="R120" s="7"/>
      <c r="S120" s="147">
        <f t="shared" si="54"/>
        <v>0</v>
      </c>
      <c r="T120" s="7"/>
      <c r="U120" s="147">
        <f t="shared" si="49"/>
        <v>0</v>
      </c>
      <c r="V120" s="7"/>
      <c r="W120" s="147">
        <f t="shared" si="50"/>
        <v>0</v>
      </c>
      <c r="X120" s="7"/>
      <c r="Y120" s="147">
        <f t="shared" si="51"/>
        <v>0</v>
      </c>
      <c r="Z120" s="7"/>
      <c r="AA120" s="147">
        <f t="shared" si="52"/>
        <v>0</v>
      </c>
      <c r="AB120" s="7"/>
      <c r="AC120" s="147">
        <f t="shared" si="53"/>
        <v>0</v>
      </c>
      <c r="AD120" s="94">
        <f t="shared" si="27"/>
        <v>0</v>
      </c>
      <c r="AE120" s="148">
        <f t="shared" si="55"/>
        <v>0</v>
      </c>
    </row>
    <row r="121" spans="1:31" ht="20.100000000000001" customHeight="1">
      <c r="A121" s="63">
        <v>97</v>
      </c>
      <c r="B121" s="63" t="s">
        <v>99</v>
      </c>
      <c r="C121" s="63"/>
      <c r="D121" s="63">
        <v>0.64</v>
      </c>
      <c r="E121" s="63"/>
      <c r="F121" s="7"/>
      <c r="G121" s="93"/>
      <c r="H121" s="7"/>
      <c r="I121" s="93"/>
      <c r="J121" s="7"/>
      <c r="K121" s="93"/>
      <c r="L121" s="7"/>
      <c r="M121" s="93"/>
      <c r="N121" s="7"/>
      <c r="O121" s="93"/>
      <c r="P121" s="7"/>
      <c r="Q121" s="93"/>
      <c r="R121" s="7"/>
      <c r="S121" s="93"/>
      <c r="T121" s="7"/>
      <c r="U121" s="93"/>
      <c r="V121" s="7"/>
      <c r="W121" s="93"/>
      <c r="X121" s="7"/>
      <c r="Y121" s="93"/>
      <c r="Z121" s="7"/>
      <c r="AA121" s="93"/>
      <c r="AB121" s="7"/>
      <c r="AC121" s="93"/>
      <c r="AD121" s="94">
        <f t="shared" si="27"/>
        <v>0</v>
      </c>
      <c r="AE121" s="95"/>
    </row>
    <row r="122" spans="1:31" ht="20.100000000000001" customHeight="1">
      <c r="A122" s="63">
        <v>98</v>
      </c>
      <c r="B122" s="63" t="s">
        <v>100</v>
      </c>
      <c r="C122" s="63"/>
      <c r="D122" s="63">
        <v>0.64</v>
      </c>
      <c r="E122" s="63" t="s">
        <v>101</v>
      </c>
      <c r="F122" s="7"/>
      <c r="G122" s="93">
        <f>F122*$D122</f>
        <v>0</v>
      </c>
      <c r="H122" s="7"/>
      <c r="I122" s="93">
        <f>H122*$D122</f>
        <v>0</v>
      </c>
      <c r="J122" s="7"/>
      <c r="K122" s="93">
        <f>J122*$D122</f>
        <v>0</v>
      </c>
      <c r="L122" s="7"/>
      <c r="M122" s="93">
        <f>L122*$D122</f>
        <v>0</v>
      </c>
      <c r="N122" s="7"/>
      <c r="O122" s="93">
        <f>N122*$D122</f>
        <v>0</v>
      </c>
      <c r="P122" s="7"/>
      <c r="Q122" s="93">
        <f>P122*$D122</f>
        <v>0</v>
      </c>
      <c r="R122" s="7"/>
      <c r="S122" s="93">
        <f>R122*$D122</f>
        <v>0</v>
      </c>
      <c r="T122" s="7"/>
      <c r="U122" s="93">
        <f>T122*$D122</f>
        <v>0</v>
      </c>
      <c r="V122" s="7"/>
      <c r="W122" s="93">
        <f>V122*$D122</f>
        <v>0</v>
      </c>
      <c r="X122" s="7"/>
      <c r="Y122" s="93">
        <f>X122*$D122</f>
        <v>0</v>
      </c>
      <c r="Z122" s="7"/>
      <c r="AA122" s="93">
        <f>Z122*$D122</f>
        <v>0</v>
      </c>
      <c r="AB122" s="7"/>
      <c r="AC122" s="93">
        <f>AB122*$D122</f>
        <v>0</v>
      </c>
      <c r="AD122" s="94">
        <f t="shared" si="27"/>
        <v>0</v>
      </c>
      <c r="AE122" s="95">
        <f>AD122*$D122</f>
        <v>0</v>
      </c>
    </row>
    <row r="123" spans="1:31" ht="20.100000000000001" customHeight="1">
      <c r="A123" s="63"/>
      <c r="B123" s="63"/>
      <c r="C123" s="63"/>
      <c r="D123" s="63"/>
      <c r="E123" s="62"/>
      <c r="F123" s="92"/>
      <c r="G123" s="93"/>
      <c r="H123" s="92"/>
      <c r="I123" s="93"/>
      <c r="J123" s="92"/>
      <c r="K123" s="93"/>
      <c r="L123" s="92"/>
      <c r="M123" s="93"/>
      <c r="N123" s="92"/>
      <c r="O123" s="93"/>
      <c r="P123" s="92"/>
      <c r="Q123" s="93"/>
      <c r="R123" s="92"/>
      <c r="S123" s="93"/>
      <c r="T123" s="92"/>
      <c r="U123" s="93"/>
      <c r="V123" s="92"/>
      <c r="W123" s="93"/>
      <c r="X123" s="92"/>
      <c r="Y123" s="93"/>
      <c r="Z123" s="92"/>
      <c r="AA123" s="93"/>
      <c r="AB123" s="92"/>
      <c r="AC123" s="93"/>
      <c r="AD123" s="94">
        <f t="shared" si="27"/>
        <v>0</v>
      </c>
      <c r="AE123" s="95"/>
    </row>
    <row r="124" spans="1:31" ht="20.100000000000001" customHeight="1">
      <c r="A124" s="63">
        <v>99</v>
      </c>
      <c r="B124" s="63" t="s">
        <v>102</v>
      </c>
      <c r="C124" s="63" t="s">
        <v>14</v>
      </c>
      <c r="D124" s="63">
        <v>0.7</v>
      </c>
      <c r="E124" s="63" t="s">
        <v>15</v>
      </c>
      <c r="F124" s="7"/>
      <c r="G124" s="93">
        <f>F124*$D124</f>
        <v>0</v>
      </c>
      <c r="H124" s="7"/>
      <c r="I124" s="93">
        <f>H124*$D124</f>
        <v>0</v>
      </c>
      <c r="J124" s="7"/>
      <c r="K124" s="93">
        <f>J124*$D124</f>
        <v>0</v>
      </c>
      <c r="L124" s="7"/>
      <c r="M124" s="93">
        <f>L124*$D124</f>
        <v>0</v>
      </c>
      <c r="N124" s="7"/>
      <c r="O124" s="93">
        <f>N124*$D124</f>
        <v>0</v>
      </c>
      <c r="P124" s="7"/>
      <c r="Q124" s="93">
        <f>P124*$D124</f>
        <v>0</v>
      </c>
      <c r="R124" s="7"/>
      <c r="S124" s="93">
        <f>R124*$D124</f>
        <v>0</v>
      </c>
      <c r="T124" s="7"/>
      <c r="U124" s="93">
        <f>T124*$D124</f>
        <v>0</v>
      </c>
      <c r="V124" s="7"/>
      <c r="W124" s="93">
        <f>V124*$D124</f>
        <v>0</v>
      </c>
      <c r="X124" s="7"/>
      <c r="Y124" s="93">
        <f>X124*$D124</f>
        <v>0</v>
      </c>
      <c r="Z124" s="7"/>
      <c r="AA124" s="93">
        <f>Z124*$D124</f>
        <v>0</v>
      </c>
      <c r="AB124" s="7"/>
      <c r="AC124" s="93">
        <f>AB124*$D124</f>
        <v>0</v>
      </c>
      <c r="AD124" s="94">
        <f t="shared" si="27"/>
        <v>0</v>
      </c>
      <c r="AE124" s="95">
        <f>AD124*$D124</f>
        <v>0</v>
      </c>
    </row>
    <row r="125" spans="1:31" ht="20.100000000000001" customHeight="1">
      <c r="A125" s="63">
        <v>100</v>
      </c>
      <c r="B125" s="63" t="s">
        <v>103</v>
      </c>
      <c r="C125" s="63"/>
      <c r="D125" s="63">
        <v>20</v>
      </c>
      <c r="E125" s="63">
        <v>1</v>
      </c>
      <c r="F125" s="7"/>
      <c r="G125" s="93">
        <f t="shared" ref="G125" si="56">F125*$E125</f>
        <v>0</v>
      </c>
      <c r="H125" s="7"/>
      <c r="I125" s="93">
        <f t="shared" ref="I125" si="57">H125*$E125</f>
        <v>0</v>
      </c>
      <c r="J125" s="7"/>
      <c r="K125" s="93">
        <f t="shared" ref="K125:Y125" si="58">J125*$E125</f>
        <v>0</v>
      </c>
      <c r="L125" s="7"/>
      <c r="M125" s="93">
        <f t="shared" si="58"/>
        <v>0</v>
      </c>
      <c r="N125" s="7"/>
      <c r="O125" s="93">
        <f t="shared" si="58"/>
        <v>0</v>
      </c>
      <c r="P125" s="7"/>
      <c r="Q125" s="93">
        <f t="shared" si="58"/>
        <v>0</v>
      </c>
      <c r="R125" s="7"/>
      <c r="S125" s="93">
        <f t="shared" si="58"/>
        <v>0</v>
      </c>
      <c r="T125" s="7"/>
      <c r="U125" s="93">
        <f t="shared" si="58"/>
        <v>0</v>
      </c>
      <c r="V125" s="7"/>
      <c r="W125" s="93">
        <f t="shared" si="58"/>
        <v>0</v>
      </c>
      <c r="X125" s="7"/>
      <c r="Y125" s="93">
        <f t="shared" si="58"/>
        <v>0</v>
      </c>
      <c r="Z125" s="7"/>
      <c r="AA125" s="93">
        <f t="shared" ref="AA125:AC125" si="59">Z125*$E125</f>
        <v>0</v>
      </c>
      <c r="AB125" s="7"/>
      <c r="AC125" s="93">
        <f t="shared" si="59"/>
        <v>0</v>
      </c>
      <c r="AD125" s="94">
        <f t="shared" si="27"/>
        <v>0</v>
      </c>
      <c r="AE125" s="95">
        <f t="shared" ref="AE125" si="60">AD125*$E125</f>
        <v>0</v>
      </c>
    </row>
    <row r="126" spans="1:31" ht="20.100000000000001" customHeight="1">
      <c r="A126" s="63"/>
      <c r="B126" s="63"/>
      <c r="C126" s="63"/>
      <c r="D126" s="63"/>
      <c r="E126" s="63"/>
      <c r="F126" s="7"/>
      <c r="G126" s="93"/>
      <c r="H126" s="7"/>
      <c r="I126" s="93"/>
      <c r="J126" s="7"/>
      <c r="K126" s="93"/>
      <c r="L126" s="7"/>
      <c r="M126" s="93"/>
      <c r="N126" s="7"/>
      <c r="O126" s="93"/>
      <c r="P126" s="7"/>
      <c r="Q126" s="93"/>
      <c r="R126" s="7"/>
      <c r="S126" s="93"/>
      <c r="T126" s="7"/>
      <c r="U126" s="93"/>
      <c r="V126" s="7"/>
      <c r="W126" s="93"/>
      <c r="X126" s="7"/>
      <c r="Y126" s="93"/>
      <c r="Z126" s="7"/>
      <c r="AA126" s="93"/>
      <c r="AB126" s="7"/>
      <c r="AC126" s="93"/>
      <c r="AD126" s="94">
        <f t="shared" si="27"/>
        <v>0</v>
      </c>
      <c r="AE126" s="95"/>
    </row>
    <row r="127" spans="1:31" ht="20.100000000000001" customHeight="1">
      <c r="A127" s="63"/>
      <c r="B127" s="63"/>
      <c r="C127" s="63"/>
      <c r="D127" s="63"/>
      <c r="E127" s="63"/>
      <c r="F127" s="7"/>
      <c r="G127" s="93"/>
      <c r="H127" s="7"/>
      <c r="I127" s="93"/>
      <c r="J127" s="7"/>
      <c r="K127" s="93"/>
      <c r="L127" s="7"/>
      <c r="M127" s="93"/>
      <c r="N127" s="7"/>
      <c r="O127" s="93"/>
      <c r="P127" s="7"/>
      <c r="Q127" s="93"/>
      <c r="R127" s="7"/>
      <c r="S127" s="93"/>
      <c r="T127" s="7"/>
      <c r="U127" s="93"/>
      <c r="V127" s="7"/>
      <c r="W127" s="93"/>
      <c r="X127" s="7"/>
      <c r="Y127" s="93"/>
      <c r="Z127" s="7"/>
      <c r="AA127" s="93"/>
      <c r="AB127" s="7"/>
      <c r="AC127" s="93"/>
      <c r="AD127" s="94"/>
      <c r="AE127" s="95"/>
    </row>
    <row r="128" spans="1:31" ht="20.100000000000001" customHeight="1">
      <c r="A128" s="63"/>
      <c r="B128" s="8"/>
      <c r="C128" s="8"/>
      <c r="D128" s="8"/>
      <c r="E128" s="62"/>
      <c r="F128" s="7"/>
      <c r="G128" s="93"/>
      <c r="H128" s="7"/>
      <c r="I128" s="93"/>
      <c r="J128" s="7"/>
      <c r="K128" s="93"/>
      <c r="L128" s="7"/>
      <c r="M128" s="93"/>
      <c r="N128" s="7"/>
      <c r="O128" s="93"/>
      <c r="P128" s="7"/>
      <c r="Q128" s="93"/>
      <c r="R128" s="7"/>
      <c r="S128" s="93"/>
      <c r="T128" s="7"/>
      <c r="U128" s="93"/>
      <c r="V128" s="7"/>
      <c r="W128" s="93"/>
      <c r="X128" s="7"/>
      <c r="Y128" s="93"/>
      <c r="Z128" s="7"/>
      <c r="AA128" s="93"/>
      <c r="AB128" s="7"/>
      <c r="AC128" s="93"/>
      <c r="AD128" s="94"/>
      <c r="AE128" s="95"/>
    </row>
    <row r="129" spans="1:31" ht="20.100000000000001" customHeight="1">
      <c r="A129" s="66"/>
      <c r="B129" s="11" t="s">
        <v>104</v>
      </c>
      <c r="C129" s="11"/>
      <c r="D129" s="12"/>
      <c r="E129" s="67"/>
      <c r="F129" s="101">
        <f t="shared" ref="F129:AE129" si="61">SUM(F4:F128)</f>
        <v>949178</v>
      </c>
      <c r="G129" s="102">
        <f t="shared" si="61"/>
        <v>613512.19999999995</v>
      </c>
      <c r="H129" s="101">
        <f t="shared" si="61"/>
        <v>773779</v>
      </c>
      <c r="I129" s="102">
        <f t="shared" si="61"/>
        <v>500548.67999999993</v>
      </c>
      <c r="J129" s="101">
        <f t="shared" si="61"/>
        <v>794108</v>
      </c>
      <c r="K129" s="102">
        <f t="shared" si="61"/>
        <v>512919.13999999996</v>
      </c>
      <c r="L129" s="101">
        <f t="shared" si="61"/>
        <v>749078</v>
      </c>
      <c r="M129" s="102">
        <f t="shared" si="61"/>
        <v>486537</v>
      </c>
      <c r="N129" s="101">
        <f t="shared" si="61"/>
        <v>840592</v>
      </c>
      <c r="O129" s="102">
        <f t="shared" si="61"/>
        <v>541215.06000000006</v>
      </c>
      <c r="P129" s="101">
        <f t="shared" si="61"/>
        <v>820396</v>
      </c>
      <c r="Q129" s="102">
        <f t="shared" si="61"/>
        <v>529836.97000000009</v>
      </c>
      <c r="R129" s="101">
        <f t="shared" si="61"/>
        <v>868137</v>
      </c>
      <c r="S129" s="102">
        <f t="shared" si="61"/>
        <v>561678.62</v>
      </c>
      <c r="T129" s="101">
        <f t="shared" si="61"/>
        <v>864657</v>
      </c>
      <c r="U129" s="102">
        <f t="shared" si="61"/>
        <v>560913.68000000005</v>
      </c>
      <c r="V129" s="101">
        <f t="shared" si="61"/>
        <v>901641</v>
      </c>
      <c r="W129" s="102">
        <f t="shared" si="61"/>
        <v>583965.26</v>
      </c>
      <c r="X129" s="101">
        <f t="shared" si="61"/>
        <v>946416</v>
      </c>
      <c r="Y129" s="102">
        <f t="shared" si="61"/>
        <v>615351.65</v>
      </c>
      <c r="Z129" s="101">
        <f t="shared" si="61"/>
        <v>917030</v>
      </c>
      <c r="AA129" s="102">
        <f t="shared" si="61"/>
        <v>595835.02</v>
      </c>
      <c r="AB129" s="101">
        <f t="shared" si="61"/>
        <v>1013431</v>
      </c>
      <c r="AC129" s="102">
        <f t="shared" si="61"/>
        <v>662153.44000000006</v>
      </c>
      <c r="AD129" s="103">
        <f t="shared" si="61"/>
        <v>10438443</v>
      </c>
      <c r="AE129" s="104">
        <f t="shared" si="61"/>
        <v>6764466.7200000007</v>
      </c>
    </row>
    <row r="130" spans="1:31" ht="20.100000000000001" customHeight="1">
      <c r="A130" s="68"/>
      <c r="B130" s="8"/>
      <c r="C130" s="8"/>
      <c r="D130" s="8"/>
      <c r="E130" s="62"/>
      <c r="F130" s="7"/>
      <c r="G130" s="93"/>
      <c r="H130" s="7"/>
      <c r="I130" s="93"/>
      <c r="J130" s="7"/>
      <c r="K130" s="93"/>
      <c r="L130" s="7"/>
      <c r="M130" s="93"/>
      <c r="N130" s="7"/>
      <c r="O130" s="93"/>
      <c r="P130" s="7"/>
      <c r="Q130" s="93"/>
      <c r="R130" s="7"/>
      <c r="S130" s="93"/>
      <c r="T130" s="7"/>
      <c r="U130" s="93"/>
      <c r="V130" s="7"/>
      <c r="W130" s="93"/>
      <c r="X130" s="7"/>
      <c r="Y130" s="93"/>
      <c r="Z130" s="7"/>
      <c r="AA130" s="93"/>
      <c r="AB130" s="7"/>
      <c r="AC130" s="93"/>
      <c r="AD130" s="94"/>
      <c r="AE130" s="95"/>
    </row>
    <row r="131" spans="1:31" ht="20.100000000000001" customHeight="1">
      <c r="A131" s="63">
        <v>101</v>
      </c>
      <c r="B131" s="63" t="s">
        <v>105</v>
      </c>
      <c r="C131" s="63" t="s">
        <v>14</v>
      </c>
      <c r="D131" s="63">
        <v>0.7</v>
      </c>
      <c r="E131" s="63" t="s">
        <v>15</v>
      </c>
      <c r="F131" s="7">
        <v>36</v>
      </c>
      <c r="G131" s="147">
        <f>F131*$D131</f>
        <v>25.2</v>
      </c>
      <c r="H131" s="7">
        <v>24</v>
      </c>
      <c r="I131" s="147">
        <f>H131*$D131</f>
        <v>16.799999999999997</v>
      </c>
      <c r="J131" s="7">
        <v>48</v>
      </c>
      <c r="K131" s="147">
        <f>J131*$D131</f>
        <v>33.599999999999994</v>
      </c>
      <c r="L131" s="7"/>
      <c r="M131" s="93">
        <f>L131*$D131</f>
        <v>0</v>
      </c>
      <c r="N131" s="7"/>
      <c r="O131" s="93">
        <f>N131*$D131</f>
        <v>0</v>
      </c>
      <c r="P131" s="7"/>
      <c r="Q131" s="93">
        <f>P131*$D131</f>
        <v>0</v>
      </c>
      <c r="R131" s="7">
        <v>1</v>
      </c>
      <c r="S131" s="147">
        <f>R131*$D131</f>
        <v>0.7</v>
      </c>
      <c r="T131" s="7">
        <v>27</v>
      </c>
      <c r="U131" s="147">
        <f>T131*$D131</f>
        <v>18.899999999999999</v>
      </c>
      <c r="V131" s="7">
        <v>1</v>
      </c>
      <c r="W131" s="147">
        <f>V131*$D131</f>
        <v>0.7</v>
      </c>
      <c r="X131" s="7">
        <v>1</v>
      </c>
      <c r="Y131" s="147">
        <f>X131*$D131</f>
        <v>0.7</v>
      </c>
      <c r="Z131" s="7">
        <v>4</v>
      </c>
      <c r="AA131" s="147">
        <f>Z131*$D131</f>
        <v>2.8</v>
      </c>
      <c r="AB131" s="7">
        <v>1</v>
      </c>
      <c r="AC131" s="147">
        <f>AB131*$D131</f>
        <v>0.7</v>
      </c>
      <c r="AD131" s="94">
        <f>(AB131+Z131+X131+V131+T131+R131+P131+N131+L131+J131+H131+F131)</f>
        <v>143</v>
      </c>
      <c r="AE131" s="148">
        <f>AD131*$D131</f>
        <v>100.1</v>
      </c>
    </row>
    <row r="132" spans="1:31" ht="20.100000000000001" customHeight="1">
      <c r="A132" s="63">
        <v>102</v>
      </c>
      <c r="B132" s="63" t="s">
        <v>106</v>
      </c>
      <c r="C132" s="63" t="s">
        <v>14</v>
      </c>
      <c r="D132" s="63">
        <v>0.35</v>
      </c>
      <c r="E132" s="63" t="s">
        <v>24</v>
      </c>
      <c r="F132" s="7">
        <v>48</v>
      </c>
      <c r="G132" s="147">
        <f t="shared" ref="G132:G142" si="62">F132*$D132</f>
        <v>16.799999999999997</v>
      </c>
      <c r="H132" s="7">
        <v>28</v>
      </c>
      <c r="I132" s="147">
        <f t="shared" ref="I132:I142" si="63">H132*$D132</f>
        <v>9.7999999999999989</v>
      </c>
      <c r="J132" s="7">
        <v>112</v>
      </c>
      <c r="K132" s="147">
        <f t="shared" ref="K132:K142" si="64">J132*$D132</f>
        <v>39.199999999999996</v>
      </c>
      <c r="L132" s="7"/>
      <c r="M132" s="93">
        <f t="shared" ref="M132:M142" si="65">L132*$D132</f>
        <v>0</v>
      </c>
      <c r="N132" s="7"/>
      <c r="O132" s="93">
        <f t="shared" ref="O132:O142" si="66">N132*$D132</f>
        <v>0</v>
      </c>
      <c r="P132" s="7"/>
      <c r="Q132" s="93">
        <f t="shared" ref="Q132:Q142" si="67">P132*$D132</f>
        <v>0</v>
      </c>
      <c r="R132" s="7"/>
      <c r="S132" s="147">
        <f t="shared" ref="S132:S142" si="68">R132*$D132</f>
        <v>0</v>
      </c>
      <c r="T132" s="7">
        <v>48</v>
      </c>
      <c r="U132" s="147">
        <f t="shared" ref="U132:U142" si="69">T132*$D132</f>
        <v>16.799999999999997</v>
      </c>
      <c r="V132" s="7"/>
      <c r="W132" s="147">
        <f t="shared" ref="W132:W142" si="70">V132*$D132</f>
        <v>0</v>
      </c>
      <c r="X132" s="7"/>
      <c r="Y132" s="147">
        <f t="shared" ref="Y132:Y142" si="71">X132*$D132</f>
        <v>0</v>
      </c>
      <c r="Z132" s="7">
        <v>1</v>
      </c>
      <c r="AA132" s="147">
        <f t="shared" ref="AA132:AA142" si="72">Z132*$D132</f>
        <v>0.35</v>
      </c>
      <c r="AB132" s="7">
        <v>10</v>
      </c>
      <c r="AC132" s="147">
        <f t="shared" ref="AC132:AC143" si="73">AB132*$D132</f>
        <v>3.5</v>
      </c>
      <c r="AD132" s="94">
        <f t="shared" ref="AD132:AD142" si="74">(AB132+Z132+X132+V132+T132+R132+P132+N132+L132+J132+H132+F132)</f>
        <v>247</v>
      </c>
      <c r="AE132" s="148">
        <f t="shared" ref="AE132:AE142" si="75">AD132*$D132</f>
        <v>86.449999999999989</v>
      </c>
    </row>
    <row r="133" spans="1:31" ht="20.100000000000001" customHeight="1">
      <c r="A133" s="63">
        <v>103</v>
      </c>
      <c r="B133" s="63" t="s">
        <v>107</v>
      </c>
      <c r="C133" s="63" t="s">
        <v>14</v>
      </c>
      <c r="D133" s="63">
        <v>0.17499999999999999</v>
      </c>
      <c r="E133" s="63" t="s">
        <v>108</v>
      </c>
      <c r="F133" s="7"/>
      <c r="G133" s="147">
        <f t="shared" si="62"/>
        <v>0</v>
      </c>
      <c r="H133" s="7">
        <v>55</v>
      </c>
      <c r="I133" s="147">
        <f t="shared" si="63"/>
        <v>9.625</v>
      </c>
      <c r="J133" s="7">
        <v>270</v>
      </c>
      <c r="K133" s="147">
        <f t="shared" si="64"/>
        <v>47.25</v>
      </c>
      <c r="L133" s="7"/>
      <c r="M133" s="93">
        <f t="shared" si="65"/>
        <v>0</v>
      </c>
      <c r="N133" s="7"/>
      <c r="O133" s="93">
        <f t="shared" si="66"/>
        <v>0</v>
      </c>
      <c r="P133" s="7"/>
      <c r="Q133" s="93">
        <f t="shared" si="67"/>
        <v>0</v>
      </c>
      <c r="R133" s="7"/>
      <c r="S133" s="147">
        <f t="shared" si="68"/>
        <v>0</v>
      </c>
      <c r="T133" s="7"/>
      <c r="U133" s="147">
        <f t="shared" si="69"/>
        <v>0</v>
      </c>
      <c r="V133" s="7"/>
      <c r="W133" s="147">
        <f t="shared" si="70"/>
        <v>0</v>
      </c>
      <c r="X133" s="7"/>
      <c r="Y133" s="147">
        <f t="shared" si="71"/>
        <v>0</v>
      </c>
      <c r="Z133" s="7"/>
      <c r="AA133" s="147">
        <f t="shared" si="72"/>
        <v>0</v>
      </c>
      <c r="AB133" s="7"/>
      <c r="AC133" s="147">
        <f t="shared" si="73"/>
        <v>0</v>
      </c>
      <c r="AD133" s="94">
        <f t="shared" si="74"/>
        <v>325</v>
      </c>
      <c r="AE133" s="148">
        <f t="shared" si="75"/>
        <v>56.874999999999993</v>
      </c>
    </row>
    <row r="134" spans="1:31" ht="20.100000000000001" customHeight="1">
      <c r="A134" s="63">
        <v>104</v>
      </c>
      <c r="B134" s="63" t="s">
        <v>109</v>
      </c>
      <c r="C134" s="63" t="s">
        <v>14</v>
      </c>
      <c r="D134" s="63">
        <v>0.7</v>
      </c>
      <c r="E134" s="63" t="s">
        <v>15</v>
      </c>
      <c r="F134" s="7">
        <v>588</v>
      </c>
      <c r="G134" s="147">
        <f t="shared" si="62"/>
        <v>411.59999999999997</v>
      </c>
      <c r="H134" s="7">
        <v>956</v>
      </c>
      <c r="I134" s="147">
        <f t="shared" si="63"/>
        <v>669.19999999999993</v>
      </c>
      <c r="J134" s="7">
        <v>967</v>
      </c>
      <c r="K134" s="147">
        <f t="shared" si="64"/>
        <v>676.9</v>
      </c>
      <c r="L134" s="7">
        <v>516</v>
      </c>
      <c r="M134" s="93">
        <f t="shared" si="65"/>
        <v>361.2</v>
      </c>
      <c r="N134" s="7">
        <v>220</v>
      </c>
      <c r="O134" s="93">
        <f t="shared" si="66"/>
        <v>154</v>
      </c>
      <c r="P134" s="7">
        <v>623</v>
      </c>
      <c r="Q134" s="93">
        <f t="shared" si="67"/>
        <v>436.09999999999997</v>
      </c>
      <c r="R134" s="7">
        <v>657</v>
      </c>
      <c r="S134" s="147">
        <f t="shared" si="68"/>
        <v>459.9</v>
      </c>
      <c r="T134" s="7">
        <v>291</v>
      </c>
      <c r="U134" s="147">
        <f t="shared" si="69"/>
        <v>203.7</v>
      </c>
      <c r="V134" s="7">
        <v>228</v>
      </c>
      <c r="W134" s="147">
        <f t="shared" si="70"/>
        <v>159.6</v>
      </c>
      <c r="X134" s="7">
        <v>450</v>
      </c>
      <c r="Y134" s="147">
        <f t="shared" si="71"/>
        <v>315</v>
      </c>
      <c r="Z134" s="7">
        <v>234</v>
      </c>
      <c r="AA134" s="147">
        <f t="shared" si="72"/>
        <v>163.79999999999998</v>
      </c>
      <c r="AB134" s="7">
        <v>90</v>
      </c>
      <c r="AC134" s="147">
        <f t="shared" si="73"/>
        <v>62.999999999999993</v>
      </c>
      <c r="AD134" s="94">
        <f t="shared" si="74"/>
        <v>5820</v>
      </c>
      <c r="AE134" s="148">
        <f t="shared" si="75"/>
        <v>4073.9999999999995</v>
      </c>
    </row>
    <row r="135" spans="1:31" ht="20.100000000000001" customHeight="1">
      <c r="A135" s="63">
        <v>105</v>
      </c>
      <c r="B135" s="63" t="s">
        <v>110</v>
      </c>
      <c r="C135" s="63" t="s">
        <v>14</v>
      </c>
      <c r="D135" s="63">
        <v>0.35</v>
      </c>
      <c r="E135" s="63" t="s">
        <v>24</v>
      </c>
      <c r="F135" s="7">
        <v>792</v>
      </c>
      <c r="G135" s="147">
        <f t="shared" si="62"/>
        <v>277.2</v>
      </c>
      <c r="H135" s="7">
        <v>647</v>
      </c>
      <c r="I135" s="147">
        <f t="shared" si="63"/>
        <v>226.45</v>
      </c>
      <c r="J135" s="7">
        <v>1040</v>
      </c>
      <c r="K135" s="147">
        <f t="shared" si="64"/>
        <v>364</v>
      </c>
      <c r="L135" s="7">
        <v>691</v>
      </c>
      <c r="M135" s="93">
        <f t="shared" si="65"/>
        <v>241.85</v>
      </c>
      <c r="N135" s="7">
        <v>386</v>
      </c>
      <c r="O135" s="93">
        <f t="shared" si="66"/>
        <v>135.1</v>
      </c>
      <c r="P135" s="7">
        <v>428</v>
      </c>
      <c r="Q135" s="93">
        <f t="shared" si="67"/>
        <v>149.79999999999998</v>
      </c>
      <c r="R135" s="7">
        <v>749</v>
      </c>
      <c r="S135" s="147">
        <f t="shared" si="68"/>
        <v>262.14999999999998</v>
      </c>
      <c r="T135" s="7">
        <v>888</v>
      </c>
      <c r="U135" s="147">
        <f t="shared" si="69"/>
        <v>310.79999999999995</v>
      </c>
      <c r="V135" s="7">
        <v>684</v>
      </c>
      <c r="W135" s="147">
        <f t="shared" si="70"/>
        <v>239.39999999999998</v>
      </c>
      <c r="X135" s="7">
        <v>1092</v>
      </c>
      <c r="Y135" s="147">
        <f t="shared" si="71"/>
        <v>382.2</v>
      </c>
      <c r="Z135" s="7">
        <v>936</v>
      </c>
      <c r="AA135" s="147">
        <f t="shared" si="72"/>
        <v>327.59999999999997</v>
      </c>
      <c r="AB135" s="7">
        <v>288</v>
      </c>
      <c r="AC135" s="147">
        <f t="shared" si="73"/>
        <v>100.8</v>
      </c>
      <c r="AD135" s="94">
        <f t="shared" si="74"/>
        <v>8621</v>
      </c>
      <c r="AE135" s="148">
        <f t="shared" si="75"/>
        <v>3017.35</v>
      </c>
    </row>
    <row r="136" spans="1:31" ht="20.100000000000001" customHeight="1">
      <c r="A136" s="63">
        <v>106</v>
      </c>
      <c r="B136" s="63" t="s">
        <v>111</v>
      </c>
      <c r="C136" s="63" t="s">
        <v>14</v>
      </c>
      <c r="D136" s="63">
        <v>0.17499999999999999</v>
      </c>
      <c r="E136" s="63" t="s">
        <v>108</v>
      </c>
      <c r="F136" s="7">
        <v>48</v>
      </c>
      <c r="G136" s="147">
        <f t="shared" si="62"/>
        <v>8.3999999999999986</v>
      </c>
      <c r="H136" s="7">
        <v>268</v>
      </c>
      <c r="I136" s="147">
        <f t="shared" si="63"/>
        <v>46.9</v>
      </c>
      <c r="J136" s="7">
        <v>520</v>
      </c>
      <c r="K136" s="147">
        <f t="shared" si="64"/>
        <v>91</v>
      </c>
      <c r="L136" s="7">
        <v>526</v>
      </c>
      <c r="M136" s="93">
        <f t="shared" si="65"/>
        <v>92.05</v>
      </c>
      <c r="N136" s="7">
        <v>234</v>
      </c>
      <c r="O136" s="93">
        <f t="shared" si="66"/>
        <v>40.949999999999996</v>
      </c>
      <c r="P136" s="7">
        <v>437</v>
      </c>
      <c r="Q136" s="93">
        <f t="shared" si="67"/>
        <v>76.474999999999994</v>
      </c>
      <c r="R136" s="7">
        <v>118</v>
      </c>
      <c r="S136" s="147">
        <f t="shared" si="68"/>
        <v>20.65</v>
      </c>
      <c r="T136" s="7">
        <v>612</v>
      </c>
      <c r="U136" s="147">
        <f t="shared" si="69"/>
        <v>107.1</v>
      </c>
      <c r="V136" s="7">
        <v>294</v>
      </c>
      <c r="W136" s="147">
        <f t="shared" si="70"/>
        <v>51.449999999999996</v>
      </c>
      <c r="X136" s="7">
        <v>237</v>
      </c>
      <c r="Y136" s="147">
        <f t="shared" si="71"/>
        <v>41.474999999999994</v>
      </c>
      <c r="Z136" s="7">
        <v>258</v>
      </c>
      <c r="AA136" s="147">
        <f t="shared" si="72"/>
        <v>45.15</v>
      </c>
      <c r="AB136" s="7">
        <v>12</v>
      </c>
      <c r="AC136" s="147">
        <f t="shared" si="73"/>
        <v>2.0999999999999996</v>
      </c>
      <c r="AD136" s="94">
        <f t="shared" si="74"/>
        <v>3564</v>
      </c>
      <c r="AE136" s="148">
        <f t="shared" si="75"/>
        <v>623.69999999999993</v>
      </c>
    </row>
    <row r="137" spans="1:31" ht="20.100000000000001" customHeight="1">
      <c r="A137" s="63">
        <v>107</v>
      </c>
      <c r="B137" s="63" t="s">
        <v>112</v>
      </c>
      <c r="C137" s="63" t="s">
        <v>14</v>
      </c>
      <c r="D137" s="63">
        <v>0.7</v>
      </c>
      <c r="E137" s="63" t="s">
        <v>15</v>
      </c>
      <c r="F137" s="7">
        <v>240</v>
      </c>
      <c r="G137" s="147">
        <f t="shared" si="62"/>
        <v>168</v>
      </c>
      <c r="H137" s="7">
        <v>228</v>
      </c>
      <c r="I137" s="147">
        <f t="shared" si="63"/>
        <v>159.6</v>
      </c>
      <c r="J137" s="7">
        <v>384</v>
      </c>
      <c r="K137" s="147">
        <f t="shared" si="64"/>
        <v>268.79999999999995</v>
      </c>
      <c r="L137" s="7">
        <v>180</v>
      </c>
      <c r="M137" s="93">
        <f t="shared" si="65"/>
        <v>125.99999999999999</v>
      </c>
      <c r="N137" s="7">
        <v>228</v>
      </c>
      <c r="O137" s="93">
        <f t="shared" si="66"/>
        <v>159.6</v>
      </c>
      <c r="P137" s="7">
        <v>144</v>
      </c>
      <c r="Q137" s="93">
        <f t="shared" si="67"/>
        <v>100.8</v>
      </c>
      <c r="R137" s="7">
        <v>504</v>
      </c>
      <c r="S137" s="147">
        <f t="shared" si="68"/>
        <v>352.79999999999995</v>
      </c>
      <c r="T137" s="7">
        <v>408</v>
      </c>
      <c r="U137" s="147">
        <f t="shared" si="69"/>
        <v>285.59999999999997</v>
      </c>
      <c r="V137" s="7"/>
      <c r="W137" s="147">
        <f t="shared" si="70"/>
        <v>0</v>
      </c>
      <c r="X137" s="7"/>
      <c r="Y137" s="147">
        <f t="shared" si="71"/>
        <v>0</v>
      </c>
      <c r="Z137" s="7"/>
      <c r="AA137" s="147">
        <f t="shared" si="72"/>
        <v>0</v>
      </c>
      <c r="AB137" s="7"/>
      <c r="AC137" s="147">
        <f t="shared" si="73"/>
        <v>0</v>
      </c>
      <c r="AD137" s="94">
        <f t="shared" si="74"/>
        <v>2316</v>
      </c>
      <c r="AE137" s="148">
        <f t="shared" si="75"/>
        <v>1621.1999999999998</v>
      </c>
    </row>
    <row r="138" spans="1:31" ht="20.100000000000001" customHeight="1">
      <c r="A138" s="63">
        <v>108</v>
      </c>
      <c r="B138" s="63" t="s">
        <v>113</v>
      </c>
      <c r="C138" s="63" t="s">
        <v>14</v>
      </c>
      <c r="D138" s="63">
        <v>0.7</v>
      </c>
      <c r="E138" s="63" t="s">
        <v>15</v>
      </c>
      <c r="F138" s="7"/>
      <c r="G138" s="147">
        <f t="shared" si="62"/>
        <v>0</v>
      </c>
      <c r="H138" s="7"/>
      <c r="I138" s="147">
        <f t="shared" si="63"/>
        <v>0</v>
      </c>
      <c r="J138" s="7"/>
      <c r="K138" s="147">
        <f t="shared" si="64"/>
        <v>0</v>
      </c>
      <c r="L138" s="7"/>
      <c r="M138" s="93">
        <f t="shared" si="65"/>
        <v>0</v>
      </c>
      <c r="N138" s="7"/>
      <c r="O138" s="93">
        <f t="shared" si="66"/>
        <v>0</v>
      </c>
      <c r="P138" s="7"/>
      <c r="Q138" s="93">
        <f t="shared" si="67"/>
        <v>0</v>
      </c>
      <c r="R138" s="7"/>
      <c r="S138" s="147">
        <f t="shared" si="68"/>
        <v>0</v>
      </c>
      <c r="T138" s="7"/>
      <c r="U138" s="147">
        <f t="shared" si="69"/>
        <v>0</v>
      </c>
      <c r="V138" s="7"/>
      <c r="W138" s="147">
        <f t="shared" si="70"/>
        <v>0</v>
      </c>
      <c r="X138" s="7"/>
      <c r="Y138" s="147">
        <f t="shared" si="71"/>
        <v>0</v>
      </c>
      <c r="Z138" s="7"/>
      <c r="AA138" s="147">
        <f t="shared" si="72"/>
        <v>0</v>
      </c>
      <c r="AB138" s="7"/>
      <c r="AC138" s="147">
        <f t="shared" si="73"/>
        <v>0</v>
      </c>
      <c r="AD138" s="94">
        <f t="shared" si="74"/>
        <v>0</v>
      </c>
      <c r="AE138" s="148">
        <f t="shared" si="75"/>
        <v>0</v>
      </c>
    </row>
    <row r="139" spans="1:31" ht="20.100000000000001" customHeight="1">
      <c r="A139" s="63">
        <v>109</v>
      </c>
      <c r="B139" s="63" t="s">
        <v>114</v>
      </c>
      <c r="C139" s="63" t="s">
        <v>14</v>
      </c>
      <c r="D139" s="63">
        <v>0.35</v>
      </c>
      <c r="E139" s="63" t="s">
        <v>24</v>
      </c>
      <c r="F139" s="7"/>
      <c r="G139" s="147">
        <f t="shared" si="62"/>
        <v>0</v>
      </c>
      <c r="H139" s="7"/>
      <c r="I139" s="147">
        <f t="shared" si="63"/>
        <v>0</v>
      </c>
      <c r="J139" s="7"/>
      <c r="K139" s="147">
        <f t="shared" si="64"/>
        <v>0</v>
      </c>
      <c r="L139" s="7"/>
      <c r="M139" s="93">
        <f t="shared" si="65"/>
        <v>0</v>
      </c>
      <c r="N139" s="7"/>
      <c r="O139" s="93">
        <f t="shared" si="66"/>
        <v>0</v>
      </c>
      <c r="P139" s="7"/>
      <c r="Q139" s="93">
        <f t="shared" si="67"/>
        <v>0</v>
      </c>
      <c r="R139" s="7"/>
      <c r="S139" s="147">
        <f t="shared" si="68"/>
        <v>0</v>
      </c>
      <c r="T139" s="7"/>
      <c r="U139" s="147">
        <f t="shared" si="69"/>
        <v>0</v>
      </c>
      <c r="V139" s="7"/>
      <c r="W139" s="147">
        <f t="shared" si="70"/>
        <v>0</v>
      </c>
      <c r="X139" s="7"/>
      <c r="Y139" s="147">
        <f t="shared" si="71"/>
        <v>0</v>
      </c>
      <c r="Z139" s="7"/>
      <c r="AA139" s="147">
        <f t="shared" si="72"/>
        <v>0</v>
      </c>
      <c r="AB139" s="7"/>
      <c r="AC139" s="147">
        <f t="shared" si="73"/>
        <v>0</v>
      </c>
      <c r="AD139" s="94">
        <f t="shared" si="74"/>
        <v>0</v>
      </c>
      <c r="AE139" s="148">
        <f t="shared" si="75"/>
        <v>0</v>
      </c>
    </row>
    <row r="140" spans="1:31" ht="20.100000000000001" customHeight="1">
      <c r="A140" s="63">
        <v>110</v>
      </c>
      <c r="B140" s="63" t="s">
        <v>115</v>
      </c>
      <c r="C140" s="63" t="s">
        <v>14</v>
      </c>
      <c r="D140" s="63">
        <v>0.7</v>
      </c>
      <c r="E140" s="63" t="s">
        <v>15</v>
      </c>
      <c r="F140" s="7"/>
      <c r="G140" s="147">
        <f t="shared" si="62"/>
        <v>0</v>
      </c>
      <c r="H140" s="7"/>
      <c r="I140" s="147">
        <f t="shared" si="63"/>
        <v>0</v>
      </c>
      <c r="J140" s="7"/>
      <c r="K140" s="147">
        <f t="shared" si="64"/>
        <v>0</v>
      </c>
      <c r="L140" s="7"/>
      <c r="M140" s="93">
        <f t="shared" si="65"/>
        <v>0</v>
      </c>
      <c r="N140" s="7"/>
      <c r="O140" s="93">
        <f t="shared" si="66"/>
        <v>0</v>
      </c>
      <c r="P140" s="7"/>
      <c r="Q140" s="93">
        <f t="shared" si="67"/>
        <v>0</v>
      </c>
      <c r="R140" s="7"/>
      <c r="S140" s="147">
        <f t="shared" si="68"/>
        <v>0</v>
      </c>
      <c r="T140" s="7"/>
      <c r="U140" s="147">
        <f t="shared" si="69"/>
        <v>0</v>
      </c>
      <c r="V140" s="7"/>
      <c r="W140" s="147">
        <f t="shared" si="70"/>
        <v>0</v>
      </c>
      <c r="X140" s="7"/>
      <c r="Y140" s="147">
        <f t="shared" si="71"/>
        <v>0</v>
      </c>
      <c r="Z140" s="7">
        <v>9</v>
      </c>
      <c r="AA140" s="147">
        <f t="shared" si="72"/>
        <v>6.3</v>
      </c>
      <c r="AB140" s="7"/>
      <c r="AC140" s="147">
        <f t="shared" si="73"/>
        <v>0</v>
      </c>
      <c r="AD140" s="94">
        <f t="shared" si="74"/>
        <v>9</v>
      </c>
      <c r="AE140" s="148">
        <f t="shared" si="75"/>
        <v>6.3</v>
      </c>
    </row>
    <row r="141" spans="1:31" ht="20.100000000000001" customHeight="1">
      <c r="A141" s="63">
        <v>111</v>
      </c>
      <c r="B141" s="63" t="s">
        <v>116</v>
      </c>
      <c r="C141" s="63" t="s">
        <v>14</v>
      </c>
      <c r="D141" s="63">
        <v>0.35</v>
      </c>
      <c r="E141" s="63" t="s">
        <v>24</v>
      </c>
      <c r="F141" s="7"/>
      <c r="G141" s="147">
        <f t="shared" si="62"/>
        <v>0</v>
      </c>
      <c r="H141" s="7"/>
      <c r="I141" s="147">
        <f t="shared" si="63"/>
        <v>0</v>
      </c>
      <c r="J141" s="7"/>
      <c r="K141" s="147">
        <f t="shared" si="64"/>
        <v>0</v>
      </c>
      <c r="L141" s="7"/>
      <c r="M141" s="93">
        <f t="shared" si="65"/>
        <v>0</v>
      </c>
      <c r="N141" s="7"/>
      <c r="O141" s="93">
        <f t="shared" si="66"/>
        <v>0</v>
      </c>
      <c r="P141" s="7"/>
      <c r="Q141" s="93">
        <f t="shared" si="67"/>
        <v>0</v>
      </c>
      <c r="R141" s="7"/>
      <c r="S141" s="147">
        <f t="shared" si="68"/>
        <v>0</v>
      </c>
      <c r="T141" s="7"/>
      <c r="U141" s="147">
        <f t="shared" si="69"/>
        <v>0</v>
      </c>
      <c r="V141" s="7"/>
      <c r="W141" s="147">
        <f t="shared" si="70"/>
        <v>0</v>
      </c>
      <c r="X141" s="7"/>
      <c r="Y141" s="147">
        <f t="shared" si="71"/>
        <v>0</v>
      </c>
      <c r="Z141" s="7">
        <v>76</v>
      </c>
      <c r="AA141" s="147">
        <f t="shared" si="72"/>
        <v>26.599999999999998</v>
      </c>
      <c r="AB141" s="7"/>
      <c r="AC141" s="147">
        <f t="shared" si="73"/>
        <v>0</v>
      </c>
      <c r="AD141" s="94">
        <f t="shared" si="74"/>
        <v>76</v>
      </c>
      <c r="AE141" s="148">
        <f t="shared" si="75"/>
        <v>26.599999999999998</v>
      </c>
    </row>
    <row r="142" spans="1:31" ht="20.100000000000001" customHeight="1">
      <c r="A142" s="63">
        <v>112</v>
      </c>
      <c r="B142" s="8" t="s">
        <v>117</v>
      </c>
      <c r="C142" s="8" t="s">
        <v>14</v>
      </c>
      <c r="D142" s="63">
        <v>0.7</v>
      </c>
      <c r="E142" s="69" t="s">
        <v>118</v>
      </c>
      <c r="F142" s="7"/>
      <c r="G142" s="147">
        <f t="shared" si="62"/>
        <v>0</v>
      </c>
      <c r="H142" s="7"/>
      <c r="I142" s="147">
        <f t="shared" si="63"/>
        <v>0</v>
      </c>
      <c r="J142" s="7"/>
      <c r="K142" s="147">
        <f t="shared" si="64"/>
        <v>0</v>
      </c>
      <c r="L142" s="7"/>
      <c r="M142" s="93">
        <f t="shared" si="65"/>
        <v>0</v>
      </c>
      <c r="N142" s="7"/>
      <c r="O142" s="93">
        <f t="shared" si="66"/>
        <v>0</v>
      </c>
      <c r="P142" s="7"/>
      <c r="Q142" s="93">
        <f t="shared" si="67"/>
        <v>0</v>
      </c>
      <c r="R142" s="7"/>
      <c r="S142" s="147">
        <f t="shared" si="68"/>
        <v>0</v>
      </c>
      <c r="T142" s="7"/>
      <c r="U142" s="147">
        <f t="shared" si="69"/>
        <v>0</v>
      </c>
      <c r="V142" s="7"/>
      <c r="W142" s="147">
        <f t="shared" si="70"/>
        <v>0</v>
      </c>
      <c r="X142" s="7"/>
      <c r="Y142" s="147">
        <f t="shared" si="71"/>
        <v>0</v>
      </c>
      <c r="Z142" s="7"/>
      <c r="AA142" s="147">
        <f t="shared" si="72"/>
        <v>0</v>
      </c>
      <c r="AB142" s="7"/>
      <c r="AC142" s="147">
        <f t="shared" si="73"/>
        <v>0</v>
      </c>
      <c r="AD142" s="94">
        <f t="shared" si="74"/>
        <v>0</v>
      </c>
      <c r="AE142" s="148">
        <f t="shared" si="75"/>
        <v>0</v>
      </c>
    </row>
    <row r="143" spans="1:31" ht="20.100000000000001" customHeight="1">
      <c r="A143" s="8"/>
      <c r="B143" s="8"/>
      <c r="C143" s="8"/>
      <c r="D143" s="8"/>
      <c r="E143" s="62"/>
      <c r="F143" s="7"/>
      <c r="G143" s="93"/>
      <c r="H143" s="7"/>
      <c r="I143" s="93"/>
      <c r="J143" s="7"/>
      <c r="K143" s="93"/>
      <c r="L143" s="7"/>
      <c r="M143" s="93"/>
      <c r="N143" s="7"/>
      <c r="O143" s="93"/>
      <c r="P143" s="7"/>
      <c r="Q143" s="93"/>
      <c r="R143" s="7"/>
      <c r="S143" s="93"/>
      <c r="T143" s="7"/>
      <c r="U143" s="93"/>
      <c r="V143" s="7"/>
      <c r="W143" s="93"/>
      <c r="X143" s="7"/>
      <c r="Y143" s="93"/>
      <c r="Z143" s="7"/>
      <c r="AA143" s="93"/>
      <c r="AB143" s="7"/>
      <c r="AC143" s="147">
        <f t="shared" si="73"/>
        <v>0</v>
      </c>
      <c r="AD143" s="94"/>
      <c r="AE143" s="95"/>
    </row>
    <row r="144" spans="1:31" ht="20.100000000000001" customHeight="1">
      <c r="A144" s="70"/>
      <c r="B144" s="11" t="s">
        <v>119</v>
      </c>
      <c r="C144" s="11"/>
      <c r="D144" s="11"/>
      <c r="E144" s="67"/>
      <c r="F144" s="101">
        <f t="shared" ref="F144:AE144" si="76">SUM(F130:F143)</f>
        <v>1752</v>
      </c>
      <c r="G144" s="102">
        <f t="shared" si="76"/>
        <v>907.19999999999993</v>
      </c>
      <c r="H144" s="101">
        <f t="shared" si="76"/>
        <v>2206</v>
      </c>
      <c r="I144" s="102">
        <f t="shared" si="76"/>
        <v>1138.375</v>
      </c>
      <c r="J144" s="101">
        <f t="shared" si="76"/>
        <v>3341</v>
      </c>
      <c r="K144" s="102">
        <f t="shared" si="76"/>
        <v>1520.7499999999998</v>
      </c>
      <c r="L144" s="101">
        <f t="shared" si="76"/>
        <v>1913</v>
      </c>
      <c r="M144" s="102">
        <f t="shared" si="76"/>
        <v>821.09999999999991</v>
      </c>
      <c r="N144" s="101">
        <f t="shared" si="76"/>
        <v>1068</v>
      </c>
      <c r="O144" s="102">
        <f t="shared" si="76"/>
        <v>489.65</v>
      </c>
      <c r="P144" s="101">
        <f t="shared" si="76"/>
        <v>1632</v>
      </c>
      <c r="Q144" s="102">
        <f t="shared" si="76"/>
        <v>763.17499999999995</v>
      </c>
      <c r="R144" s="101">
        <f t="shared" si="76"/>
        <v>2029</v>
      </c>
      <c r="S144" s="102">
        <f t="shared" si="76"/>
        <v>1096.1999999999998</v>
      </c>
      <c r="T144" s="101">
        <f t="shared" si="76"/>
        <v>2274</v>
      </c>
      <c r="U144" s="102">
        <f t="shared" si="76"/>
        <v>942.89999999999986</v>
      </c>
      <c r="V144" s="101">
        <f t="shared" si="76"/>
        <v>1207</v>
      </c>
      <c r="W144" s="102">
        <f t="shared" si="76"/>
        <v>451.14999999999992</v>
      </c>
      <c r="X144" s="101">
        <f t="shared" si="76"/>
        <v>1780</v>
      </c>
      <c r="Y144" s="102">
        <f t="shared" si="76"/>
        <v>739.375</v>
      </c>
      <c r="Z144" s="101">
        <f t="shared" si="76"/>
        <v>1518</v>
      </c>
      <c r="AA144" s="102">
        <f t="shared" si="76"/>
        <v>572.59999999999991</v>
      </c>
      <c r="AB144" s="101">
        <f>SUM(AB130:AB143)</f>
        <v>401</v>
      </c>
      <c r="AC144" s="101">
        <f>SUM(AC130:AC143)</f>
        <v>170.1</v>
      </c>
      <c r="AD144" s="103">
        <f t="shared" si="76"/>
        <v>21121</v>
      </c>
      <c r="AE144" s="104">
        <f t="shared" si="76"/>
        <v>9612.5749999999989</v>
      </c>
    </row>
    <row r="145" spans="1:31" ht="20.100000000000001" customHeight="1">
      <c r="A145" s="18"/>
      <c r="B145" s="12" t="s">
        <v>120</v>
      </c>
      <c r="C145" s="12"/>
      <c r="D145" s="12"/>
      <c r="E145" s="12"/>
      <c r="F145" s="105">
        <f t="shared" ref="F145:AE145" si="77">+F129+F144</f>
        <v>950930</v>
      </c>
      <c r="G145" s="106">
        <f t="shared" si="77"/>
        <v>614419.39999999991</v>
      </c>
      <c r="H145" s="105">
        <f t="shared" si="77"/>
        <v>775985</v>
      </c>
      <c r="I145" s="106">
        <f t="shared" si="77"/>
        <v>501687.05499999993</v>
      </c>
      <c r="J145" s="105">
        <f t="shared" si="77"/>
        <v>797449</v>
      </c>
      <c r="K145" s="106">
        <f t="shared" si="77"/>
        <v>514439.88999999996</v>
      </c>
      <c r="L145" s="105">
        <f t="shared" si="77"/>
        <v>750991</v>
      </c>
      <c r="M145" s="106">
        <f t="shared" si="77"/>
        <v>487358.1</v>
      </c>
      <c r="N145" s="105">
        <f t="shared" si="77"/>
        <v>841660</v>
      </c>
      <c r="O145" s="106">
        <f t="shared" si="77"/>
        <v>541704.71000000008</v>
      </c>
      <c r="P145" s="105">
        <f t="shared" si="77"/>
        <v>822028</v>
      </c>
      <c r="Q145" s="106">
        <f t="shared" si="77"/>
        <v>530600.14500000014</v>
      </c>
      <c r="R145" s="105">
        <f t="shared" si="77"/>
        <v>870166</v>
      </c>
      <c r="S145" s="106">
        <f t="shared" si="77"/>
        <v>562774.81999999995</v>
      </c>
      <c r="T145" s="105">
        <f t="shared" si="77"/>
        <v>866931</v>
      </c>
      <c r="U145" s="106">
        <f t="shared" si="77"/>
        <v>561856.58000000007</v>
      </c>
      <c r="V145" s="105">
        <f t="shared" si="77"/>
        <v>902848</v>
      </c>
      <c r="W145" s="106">
        <f t="shared" si="77"/>
        <v>584416.41</v>
      </c>
      <c r="X145" s="105">
        <f t="shared" si="77"/>
        <v>948196</v>
      </c>
      <c r="Y145" s="106">
        <f t="shared" si="77"/>
        <v>616091.02500000002</v>
      </c>
      <c r="Z145" s="105">
        <f t="shared" si="77"/>
        <v>918548</v>
      </c>
      <c r="AA145" s="106">
        <f t="shared" si="77"/>
        <v>596407.62</v>
      </c>
      <c r="AB145" s="106">
        <f t="shared" si="77"/>
        <v>1013832</v>
      </c>
      <c r="AC145" s="106">
        <f t="shared" si="77"/>
        <v>662323.54</v>
      </c>
      <c r="AD145" s="107">
        <f t="shared" si="77"/>
        <v>10459564</v>
      </c>
      <c r="AE145" s="104">
        <f t="shared" si="77"/>
        <v>6774079.2950000009</v>
      </c>
    </row>
  </sheetData>
  <mergeCells count="19">
    <mergeCell ref="A1:C1"/>
    <mergeCell ref="F2:G2"/>
    <mergeCell ref="H2:I2"/>
    <mergeCell ref="J2:K2"/>
    <mergeCell ref="L2:M2"/>
    <mergeCell ref="A2:A3"/>
    <mergeCell ref="B2:B3"/>
    <mergeCell ref="C2:C3"/>
    <mergeCell ref="D2:D3"/>
    <mergeCell ref="E2:E3"/>
    <mergeCell ref="Z2:AA2"/>
    <mergeCell ref="AB2:AC2"/>
    <mergeCell ref="AD2:AE2"/>
    <mergeCell ref="N2:O2"/>
    <mergeCell ref="P2:Q2"/>
    <mergeCell ref="R2:S2"/>
    <mergeCell ref="T2:U2"/>
    <mergeCell ref="V2:W2"/>
    <mergeCell ref="X2:Y2"/>
  </mergeCells>
  <pageMargins left="0" right="0" top="0" bottom="0" header="0.3" footer="0.3"/>
  <pageSetup paperSize="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8"/>
  <sheetViews>
    <sheetView workbookViewId="0">
      <pane xSplit="6" ySplit="3" topLeftCell="P117" activePane="bottomRight" state="frozen"/>
      <selection pane="topRight" activeCell="G1" sqref="G1"/>
      <selection pane="bottomLeft" activeCell="A4" sqref="A4"/>
      <selection pane="bottomRight" activeCell="F115" sqref="F115"/>
    </sheetView>
  </sheetViews>
  <sheetFormatPr defaultRowHeight="21"/>
  <cols>
    <col min="2" max="2" width="27.7109375" bestFit="1" customWidth="1"/>
    <col min="7" max="7" width="7.7109375" customWidth="1"/>
    <col min="8" max="8" width="10.7109375" customWidth="1"/>
    <col min="10" max="10" width="11.28515625" customWidth="1"/>
    <col min="12" max="12" width="11.42578125" customWidth="1"/>
    <col min="13" max="13" width="8.5703125" customWidth="1"/>
    <col min="14" max="14" width="10.5703125" customWidth="1"/>
    <col min="15" max="15" width="7.85546875" customWidth="1"/>
    <col min="16" max="16" width="10.28515625" customWidth="1"/>
    <col min="17" max="17" width="8.5703125" customWidth="1"/>
    <col min="18" max="18" width="10.5703125" customWidth="1"/>
    <col min="19" max="19" width="8" customWidth="1"/>
    <col min="20" max="20" width="10" customWidth="1"/>
    <col min="21" max="21" width="7.7109375" customWidth="1"/>
    <col min="22" max="22" width="10.140625" customWidth="1"/>
    <col min="23" max="23" width="10.7109375" customWidth="1"/>
    <col min="24" max="24" width="10" customWidth="1"/>
    <col min="25" max="25" width="11" customWidth="1"/>
    <col min="26" max="26" width="10.28515625" customWidth="1"/>
    <col min="27" max="27" width="10.85546875" customWidth="1"/>
    <col min="28" max="28" width="12.42578125" customWidth="1"/>
    <col min="29" max="29" width="11.5703125" customWidth="1"/>
    <col min="30" max="30" width="12.140625" customWidth="1"/>
    <col min="31" max="31" width="10.28515625" customWidth="1"/>
  </cols>
  <sheetData>
    <row r="1" spans="1:32" ht="24.75">
      <c r="A1" s="258" t="s">
        <v>0</v>
      </c>
      <c r="B1" s="258"/>
      <c r="C1" s="258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5" t="s">
        <v>6</v>
      </c>
      <c r="G2" s="252">
        <v>45658</v>
      </c>
      <c r="H2" s="253"/>
      <c r="I2" s="252">
        <v>45689</v>
      </c>
      <c r="J2" s="253"/>
      <c r="K2" s="252">
        <v>45717</v>
      </c>
      <c r="L2" s="253"/>
      <c r="M2" s="252">
        <v>45748</v>
      </c>
      <c r="N2" s="253"/>
      <c r="O2" s="252">
        <v>45778</v>
      </c>
      <c r="P2" s="253"/>
      <c r="Q2" s="252">
        <v>45809</v>
      </c>
      <c r="R2" s="253"/>
      <c r="S2" s="252">
        <v>45839</v>
      </c>
      <c r="T2" s="253"/>
      <c r="U2" s="252">
        <v>45870</v>
      </c>
      <c r="V2" s="253"/>
      <c r="W2" s="252">
        <v>45901</v>
      </c>
      <c r="X2" s="253"/>
      <c r="Y2" s="252">
        <v>45931</v>
      </c>
      <c r="Z2" s="253"/>
      <c r="AA2" s="252">
        <v>45962</v>
      </c>
      <c r="AB2" s="253"/>
      <c r="AC2" s="252">
        <v>45992</v>
      </c>
      <c r="AD2" s="253"/>
      <c r="AE2" s="259" t="s">
        <v>10</v>
      </c>
      <c r="AF2" s="260"/>
    </row>
    <row r="3" spans="1:32">
      <c r="A3" s="238"/>
      <c r="B3" s="238"/>
      <c r="C3" s="238"/>
      <c r="D3" s="240"/>
      <c r="E3" s="240"/>
      <c r="F3" s="240"/>
      <c r="G3" s="55" t="s">
        <v>11</v>
      </c>
      <c r="H3" s="87" t="s">
        <v>12</v>
      </c>
      <c r="I3" s="55" t="s">
        <v>11</v>
      </c>
      <c r="J3" s="56" t="s">
        <v>12</v>
      </c>
      <c r="K3" s="55" t="s">
        <v>11</v>
      </c>
      <c r="L3" s="56" t="s">
        <v>12</v>
      </c>
      <c r="M3" s="55" t="s">
        <v>11</v>
      </c>
      <c r="N3" s="56" t="s">
        <v>12</v>
      </c>
      <c r="O3" s="55" t="s">
        <v>11</v>
      </c>
      <c r="P3" s="56" t="s">
        <v>12</v>
      </c>
      <c r="Q3" s="55" t="s">
        <v>11</v>
      </c>
      <c r="R3" s="56" t="s">
        <v>12</v>
      </c>
      <c r="S3" s="55" t="s">
        <v>11</v>
      </c>
      <c r="T3" s="56" t="s">
        <v>12</v>
      </c>
      <c r="U3" s="55" t="s">
        <v>11</v>
      </c>
      <c r="V3" s="56" t="s">
        <v>12</v>
      </c>
      <c r="W3" s="55" t="s">
        <v>11</v>
      </c>
      <c r="X3" s="56" t="s">
        <v>12</v>
      </c>
      <c r="Y3" s="55" t="s">
        <v>11</v>
      </c>
      <c r="Z3" s="56" t="s">
        <v>12</v>
      </c>
      <c r="AA3" s="55" t="s">
        <v>11</v>
      </c>
      <c r="AB3" s="56" t="s">
        <v>12</v>
      </c>
      <c r="AC3" s="55" t="s">
        <v>11</v>
      </c>
      <c r="AD3" s="56" t="s">
        <v>12</v>
      </c>
      <c r="AE3" s="55" t="s">
        <v>11</v>
      </c>
      <c r="AF3" s="56" t="s">
        <v>12</v>
      </c>
    </row>
    <row r="4" spans="1:32" ht="20.100000000000001" customHeight="1">
      <c r="A4" s="2">
        <v>1</v>
      </c>
      <c r="B4" s="2" t="s">
        <v>13</v>
      </c>
      <c r="C4" s="2" t="s">
        <v>14</v>
      </c>
      <c r="D4" s="2">
        <v>0.7</v>
      </c>
      <c r="E4" s="2" t="s">
        <v>15</v>
      </c>
      <c r="F4" s="2">
        <v>1870</v>
      </c>
      <c r="G4" s="52">
        <v>1308</v>
      </c>
      <c r="H4" s="143">
        <f>G4*$D4</f>
        <v>915.59999999999991</v>
      </c>
      <c r="I4" s="52">
        <v>1860</v>
      </c>
      <c r="J4" s="155">
        <f>I4*$D4</f>
        <v>1302</v>
      </c>
      <c r="K4" s="52">
        <v>840</v>
      </c>
      <c r="L4" s="155">
        <f>K4*$D4</f>
        <v>588</v>
      </c>
      <c r="M4" s="52">
        <v>358</v>
      </c>
      <c r="N4" s="155">
        <f>M4*$D4</f>
        <v>250.6</v>
      </c>
      <c r="O4" s="52">
        <v>2640</v>
      </c>
      <c r="P4" s="155">
        <v>1847.9999999999998</v>
      </c>
      <c r="Q4" s="52">
        <v>696</v>
      </c>
      <c r="R4" s="155">
        <f>Q4*$D4</f>
        <v>487.2</v>
      </c>
      <c r="S4" s="52">
        <v>576</v>
      </c>
      <c r="T4" s="155">
        <f>S4*$D4</f>
        <v>403.2</v>
      </c>
      <c r="U4" s="52">
        <v>660</v>
      </c>
      <c r="V4" s="155">
        <f>U4*$D4</f>
        <v>461.99999999999994</v>
      </c>
      <c r="W4" s="52">
        <v>1322</v>
      </c>
      <c r="X4" s="155">
        <v>925.4</v>
      </c>
      <c r="Y4" s="52">
        <v>624</v>
      </c>
      <c r="Z4" s="155">
        <v>436.79999999999995</v>
      </c>
      <c r="AA4" s="52">
        <v>1740</v>
      </c>
      <c r="AB4" s="155">
        <v>1218</v>
      </c>
      <c r="AC4" s="52">
        <v>960</v>
      </c>
      <c r="AD4" s="155">
        <v>672</v>
      </c>
      <c r="AE4" s="156">
        <f t="shared" ref="AE4:AF20" si="0">SUM(G4,I4,K4,M4,O4,Q4,S4,U4,W4,Y4,AA4,AC4)</f>
        <v>13584</v>
      </c>
      <c r="AF4" s="157">
        <f t="shared" si="0"/>
        <v>9508.7999999999993</v>
      </c>
    </row>
    <row r="5" spans="1:32" ht="20.100000000000001" customHeight="1">
      <c r="A5" s="2"/>
      <c r="B5" s="2"/>
      <c r="C5" s="2"/>
      <c r="D5" s="2"/>
      <c r="E5" s="2"/>
      <c r="F5" s="2"/>
      <c r="G5" s="52"/>
      <c r="H5" s="143">
        <f t="shared" ref="H5:H64" si="1">G5*$D5</f>
        <v>0</v>
      </c>
      <c r="I5" s="52"/>
      <c r="J5" s="155">
        <f t="shared" ref="J5:J64" si="2">I5*$D5</f>
        <v>0</v>
      </c>
      <c r="K5" s="52"/>
      <c r="L5" s="155">
        <f t="shared" ref="L5:L64" si="3">K5*$D5</f>
        <v>0</v>
      </c>
      <c r="M5" s="52"/>
      <c r="N5" s="155">
        <f t="shared" ref="N5:N63" si="4">M5*$D5</f>
        <v>0</v>
      </c>
      <c r="O5" s="52"/>
      <c r="P5" s="155">
        <v>0</v>
      </c>
      <c r="Q5" s="52"/>
      <c r="R5" s="155">
        <f t="shared" ref="R5:R68" si="5">Q5*$D5</f>
        <v>0</v>
      </c>
      <c r="S5" s="52"/>
      <c r="T5" s="155">
        <f t="shared" ref="T5:T63" si="6">S5*$D5</f>
        <v>0</v>
      </c>
      <c r="U5" s="52"/>
      <c r="V5" s="155">
        <f t="shared" ref="V5:V64" si="7">U5*$D5</f>
        <v>0</v>
      </c>
      <c r="W5" s="52"/>
      <c r="X5" s="155">
        <v>0</v>
      </c>
      <c r="Y5" s="52"/>
      <c r="Z5" s="155">
        <v>0</v>
      </c>
      <c r="AA5" s="52"/>
      <c r="AB5" s="155">
        <v>0</v>
      </c>
      <c r="AC5" s="52"/>
      <c r="AD5" s="155">
        <v>0</v>
      </c>
      <c r="AE5" s="156">
        <f t="shared" si="0"/>
        <v>0</v>
      </c>
      <c r="AF5" s="157">
        <f t="shared" si="0"/>
        <v>0</v>
      </c>
    </row>
    <row r="6" spans="1:32" ht="20.100000000000001" customHeight="1">
      <c r="A6" s="2">
        <v>2</v>
      </c>
      <c r="B6" s="2" t="s">
        <v>16</v>
      </c>
      <c r="C6" s="2" t="s">
        <v>17</v>
      </c>
      <c r="D6" s="2">
        <v>1</v>
      </c>
      <c r="E6" s="2" t="s">
        <v>15</v>
      </c>
      <c r="F6" s="2"/>
      <c r="G6" s="52"/>
      <c r="H6" s="143">
        <f t="shared" si="1"/>
        <v>0</v>
      </c>
      <c r="I6" s="52"/>
      <c r="J6" s="155">
        <f t="shared" si="2"/>
        <v>0</v>
      </c>
      <c r="K6" s="52"/>
      <c r="L6" s="155">
        <f t="shared" si="3"/>
        <v>0</v>
      </c>
      <c r="M6" s="52"/>
      <c r="N6" s="155">
        <f t="shared" si="4"/>
        <v>0</v>
      </c>
      <c r="O6" s="52"/>
      <c r="P6" s="155">
        <v>0</v>
      </c>
      <c r="Q6" s="52"/>
      <c r="R6" s="155">
        <f t="shared" si="5"/>
        <v>0</v>
      </c>
      <c r="S6" s="52"/>
      <c r="T6" s="155">
        <f t="shared" si="6"/>
        <v>0</v>
      </c>
      <c r="U6" s="52"/>
      <c r="V6" s="155">
        <f t="shared" si="7"/>
        <v>0</v>
      </c>
      <c r="W6" s="52"/>
      <c r="X6" s="155">
        <v>0</v>
      </c>
      <c r="Y6" s="52"/>
      <c r="Z6" s="155">
        <v>0</v>
      </c>
      <c r="AA6" s="52"/>
      <c r="AB6" s="155">
        <v>0</v>
      </c>
      <c r="AC6" s="52"/>
      <c r="AD6" s="155">
        <v>0</v>
      </c>
      <c r="AE6" s="156">
        <f t="shared" si="0"/>
        <v>0</v>
      </c>
      <c r="AF6" s="157">
        <f t="shared" si="0"/>
        <v>0</v>
      </c>
    </row>
    <row r="7" spans="1:32" ht="20.100000000000001" customHeight="1">
      <c r="A7" s="2">
        <v>3</v>
      </c>
      <c r="B7" s="2" t="s">
        <v>18</v>
      </c>
      <c r="C7" s="2" t="s">
        <v>17</v>
      </c>
      <c r="D7" s="2">
        <v>1</v>
      </c>
      <c r="E7" s="2" t="s">
        <v>15</v>
      </c>
      <c r="F7" s="2">
        <v>1580</v>
      </c>
      <c r="G7" s="52"/>
      <c r="H7" s="143">
        <f t="shared" si="1"/>
        <v>0</v>
      </c>
      <c r="I7" s="52"/>
      <c r="J7" s="155">
        <f t="shared" si="2"/>
        <v>0</v>
      </c>
      <c r="K7" s="52"/>
      <c r="L7" s="155">
        <f t="shared" si="3"/>
        <v>0</v>
      </c>
      <c r="M7" s="52"/>
      <c r="N7" s="155">
        <f t="shared" si="4"/>
        <v>0</v>
      </c>
      <c r="O7" s="52"/>
      <c r="P7" s="155">
        <v>0</v>
      </c>
      <c r="Q7" s="52"/>
      <c r="R7" s="155">
        <f t="shared" si="5"/>
        <v>0</v>
      </c>
      <c r="S7" s="52">
        <v>24</v>
      </c>
      <c r="T7" s="155">
        <f t="shared" si="6"/>
        <v>24</v>
      </c>
      <c r="U7" s="52"/>
      <c r="V7" s="155">
        <f t="shared" si="7"/>
        <v>0</v>
      </c>
      <c r="W7" s="52"/>
      <c r="X7" s="155">
        <v>0</v>
      </c>
      <c r="Y7" s="52"/>
      <c r="Z7" s="155">
        <v>0</v>
      </c>
      <c r="AA7" s="52"/>
      <c r="AB7" s="155">
        <v>0</v>
      </c>
      <c r="AC7" s="52"/>
      <c r="AD7" s="155">
        <v>0</v>
      </c>
      <c r="AE7" s="156">
        <f t="shared" si="0"/>
        <v>24</v>
      </c>
      <c r="AF7" s="157">
        <f t="shared" si="0"/>
        <v>24</v>
      </c>
    </row>
    <row r="8" spans="1:32" ht="20.100000000000001" customHeight="1">
      <c r="A8" s="2">
        <v>4</v>
      </c>
      <c r="B8" s="2" t="s">
        <v>19</v>
      </c>
      <c r="C8" s="2" t="s">
        <v>17</v>
      </c>
      <c r="D8" s="2">
        <v>0.6</v>
      </c>
      <c r="E8" s="2" t="s">
        <v>15</v>
      </c>
      <c r="F8" s="2">
        <v>1080</v>
      </c>
      <c r="G8" s="52"/>
      <c r="H8" s="143">
        <f t="shared" si="1"/>
        <v>0</v>
      </c>
      <c r="I8" s="52"/>
      <c r="J8" s="155">
        <f t="shared" si="2"/>
        <v>0</v>
      </c>
      <c r="K8" s="52"/>
      <c r="L8" s="155">
        <f t="shared" si="3"/>
        <v>0</v>
      </c>
      <c r="M8" s="52"/>
      <c r="N8" s="155">
        <f t="shared" si="4"/>
        <v>0</v>
      </c>
      <c r="O8" s="52"/>
      <c r="P8" s="155">
        <v>0</v>
      </c>
      <c r="Q8" s="52"/>
      <c r="R8" s="155">
        <f t="shared" si="5"/>
        <v>0</v>
      </c>
      <c r="S8" s="52"/>
      <c r="T8" s="155">
        <f t="shared" si="6"/>
        <v>0</v>
      </c>
      <c r="U8" s="52"/>
      <c r="V8" s="155">
        <f t="shared" si="7"/>
        <v>0</v>
      </c>
      <c r="W8" s="52"/>
      <c r="X8" s="155">
        <v>0</v>
      </c>
      <c r="Y8" s="52"/>
      <c r="Z8" s="155">
        <v>0</v>
      </c>
      <c r="AA8" s="52"/>
      <c r="AB8" s="155">
        <v>0</v>
      </c>
      <c r="AC8" s="52"/>
      <c r="AD8" s="155">
        <v>0</v>
      </c>
      <c r="AE8" s="156">
        <f t="shared" si="0"/>
        <v>0</v>
      </c>
      <c r="AF8" s="157">
        <f t="shared" si="0"/>
        <v>0</v>
      </c>
    </row>
    <row r="9" spans="1:32" ht="20.100000000000001" customHeight="1">
      <c r="A9" s="2">
        <v>5</v>
      </c>
      <c r="B9" s="2" t="s">
        <v>20</v>
      </c>
      <c r="C9" s="2" t="s">
        <v>17</v>
      </c>
      <c r="D9" s="2">
        <v>0.35</v>
      </c>
      <c r="E9" s="2" t="s">
        <v>21</v>
      </c>
      <c r="F9" s="2"/>
      <c r="G9" s="52"/>
      <c r="H9" s="143">
        <f t="shared" si="1"/>
        <v>0</v>
      </c>
      <c r="I9" s="52"/>
      <c r="J9" s="155">
        <f t="shared" si="2"/>
        <v>0</v>
      </c>
      <c r="K9" s="52"/>
      <c r="L9" s="155">
        <f t="shared" si="3"/>
        <v>0</v>
      </c>
      <c r="M9" s="52"/>
      <c r="N9" s="155">
        <f t="shared" si="4"/>
        <v>0</v>
      </c>
      <c r="O9" s="52"/>
      <c r="P9" s="155">
        <v>0</v>
      </c>
      <c r="Q9" s="52"/>
      <c r="R9" s="155">
        <f t="shared" si="5"/>
        <v>0</v>
      </c>
      <c r="S9" s="52"/>
      <c r="T9" s="155">
        <f t="shared" si="6"/>
        <v>0</v>
      </c>
      <c r="U9" s="52"/>
      <c r="V9" s="155">
        <f t="shared" si="7"/>
        <v>0</v>
      </c>
      <c r="W9" s="52"/>
      <c r="X9" s="155">
        <v>0</v>
      </c>
      <c r="Y9" s="52"/>
      <c r="Z9" s="155">
        <v>0</v>
      </c>
      <c r="AA9" s="52"/>
      <c r="AB9" s="155">
        <v>0</v>
      </c>
      <c r="AC9" s="52"/>
      <c r="AD9" s="155">
        <v>0</v>
      </c>
      <c r="AE9" s="156">
        <f t="shared" si="0"/>
        <v>0</v>
      </c>
      <c r="AF9" s="157">
        <f t="shared" si="0"/>
        <v>0</v>
      </c>
    </row>
    <row r="10" spans="1:32" ht="20.100000000000001" customHeight="1">
      <c r="A10" s="2">
        <v>6</v>
      </c>
      <c r="B10" s="2" t="s">
        <v>22</v>
      </c>
      <c r="C10" s="2" t="s">
        <v>14</v>
      </c>
      <c r="D10" s="2">
        <v>0.7</v>
      </c>
      <c r="E10" s="2" t="s">
        <v>15</v>
      </c>
      <c r="F10" s="2"/>
      <c r="G10" s="52"/>
      <c r="H10" s="143">
        <f t="shared" si="1"/>
        <v>0</v>
      </c>
      <c r="I10" s="52"/>
      <c r="J10" s="155">
        <f t="shared" si="2"/>
        <v>0</v>
      </c>
      <c r="K10" s="52"/>
      <c r="L10" s="155">
        <f t="shared" si="3"/>
        <v>0</v>
      </c>
      <c r="M10" s="52"/>
      <c r="N10" s="155">
        <f t="shared" si="4"/>
        <v>0</v>
      </c>
      <c r="O10" s="52"/>
      <c r="P10" s="155">
        <v>0</v>
      </c>
      <c r="Q10" s="52"/>
      <c r="R10" s="155">
        <f t="shared" si="5"/>
        <v>0</v>
      </c>
      <c r="S10" s="52"/>
      <c r="T10" s="155">
        <f t="shared" si="6"/>
        <v>0</v>
      </c>
      <c r="U10" s="52"/>
      <c r="V10" s="155">
        <f t="shared" si="7"/>
        <v>0</v>
      </c>
      <c r="W10" s="52"/>
      <c r="X10" s="155">
        <v>0</v>
      </c>
      <c r="Y10" s="52"/>
      <c r="Z10" s="155">
        <v>0</v>
      </c>
      <c r="AA10" s="52"/>
      <c r="AB10" s="155">
        <v>0</v>
      </c>
      <c r="AC10" s="52"/>
      <c r="AD10" s="155">
        <v>0</v>
      </c>
      <c r="AE10" s="156">
        <f t="shared" si="0"/>
        <v>0</v>
      </c>
      <c r="AF10" s="157">
        <f t="shared" si="0"/>
        <v>0</v>
      </c>
    </row>
    <row r="11" spans="1:32" ht="20.100000000000001" customHeight="1">
      <c r="A11" s="2">
        <v>7</v>
      </c>
      <c r="B11" s="2" t="s">
        <v>23</v>
      </c>
      <c r="C11" s="2" t="s">
        <v>14</v>
      </c>
      <c r="D11" s="2">
        <v>0.64</v>
      </c>
      <c r="E11" s="2" t="s">
        <v>24</v>
      </c>
      <c r="F11" s="2"/>
      <c r="G11" s="52"/>
      <c r="H11" s="143">
        <f t="shared" si="1"/>
        <v>0</v>
      </c>
      <c r="I11" s="52"/>
      <c r="J11" s="155">
        <f t="shared" si="2"/>
        <v>0</v>
      </c>
      <c r="K11" s="52"/>
      <c r="L11" s="155">
        <f t="shared" si="3"/>
        <v>0</v>
      </c>
      <c r="M11" s="52"/>
      <c r="N11" s="155">
        <f t="shared" si="4"/>
        <v>0</v>
      </c>
      <c r="O11" s="52"/>
      <c r="P11" s="155">
        <v>0</v>
      </c>
      <c r="Q11" s="52"/>
      <c r="R11" s="155">
        <f t="shared" si="5"/>
        <v>0</v>
      </c>
      <c r="S11" s="52"/>
      <c r="T11" s="155">
        <f t="shared" si="6"/>
        <v>0</v>
      </c>
      <c r="U11" s="52"/>
      <c r="V11" s="155">
        <f t="shared" si="7"/>
        <v>0</v>
      </c>
      <c r="W11" s="52"/>
      <c r="X11" s="155">
        <v>0</v>
      </c>
      <c r="Y11" s="52"/>
      <c r="Z11" s="155">
        <v>0</v>
      </c>
      <c r="AA11" s="52"/>
      <c r="AB11" s="155">
        <v>0</v>
      </c>
      <c r="AC11" s="52"/>
      <c r="AD11" s="155">
        <v>0</v>
      </c>
      <c r="AE11" s="156">
        <f t="shared" si="0"/>
        <v>0</v>
      </c>
      <c r="AF11" s="157">
        <f t="shared" si="0"/>
        <v>0</v>
      </c>
    </row>
    <row r="12" spans="1:32" ht="20.100000000000001" customHeight="1">
      <c r="A12" s="2">
        <v>8</v>
      </c>
      <c r="B12" s="2" t="s">
        <v>23</v>
      </c>
      <c r="C12" s="2" t="s">
        <v>14</v>
      </c>
      <c r="D12" s="2">
        <v>0.64</v>
      </c>
      <c r="E12" s="2" t="s">
        <v>25</v>
      </c>
      <c r="F12" s="2">
        <v>1380</v>
      </c>
      <c r="G12" s="52">
        <v>179189</v>
      </c>
      <c r="H12" s="143">
        <f t="shared" si="1"/>
        <v>114680.96000000001</v>
      </c>
      <c r="I12" s="52">
        <v>156743</v>
      </c>
      <c r="J12" s="155">
        <f t="shared" si="2"/>
        <v>100315.52</v>
      </c>
      <c r="K12" s="52">
        <v>209757</v>
      </c>
      <c r="L12" s="155">
        <f t="shared" si="3"/>
        <v>134244.48000000001</v>
      </c>
      <c r="M12" s="52">
        <v>163352</v>
      </c>
      <c r="N12" s="155">
        <f t="shared" si="4"/>
        <v>104545.28</v>
      </c>
      <c r="O12" s="52">
        <v>167668</v>
      </c>
      <c r="P12" s="155">
        <v>107307.52</v>
      </c>
      <c r="Q12" s="52">
        <v>169518</v>
      </c>
      <c r="R12" s="155">
        <f t="shared" si="5"/>
        <v>108491.52</v>
      </c>
      <c r="S12" s="52">
        <v>154737</v>
      </c>
      <c r="T12" s="155">
        <f t="shared" si="6"/>
        <v>99031.680000000008</v>
      </c>
      <c r="U12" s="52">
        <v>177450</v>
      </c>
      <c r="V12" s="155">
        <f t="shared" si="7"/>
        <v>113568</v>
      </c>
      <c r="W12" s="52">
        <v>159414</v>
      </c>
      <c r="X12" s="155">
        <v>102024.96000000001</v>
      </c>
      <c r="Y12" s="52">
        <v>150772</v>
      </c>
      <c r="Z12" s="155">
        <v>96494.080000000002</v>
      </c>
      <c r="AA12" s="52">
        <v>171122</v>
      </c>
      <c r="AB12" s="155">
        <v>109518.08</v>
      </c>
      <c r="AC12" s="52">
        <v>181923</v>
      </c>
      <c r="AD12" s="155">
        <v>116430.72</v>
      </c>
      <c r="AE12" s="156">
        <f t="shared" si="0"/>
        <v>2041645</v>
      </c>
      <c r="AF12" s="157">
        <f t="shared" si="0"/>
        <v>1306652.8</v>
      </c>
    </row>
    <row r="13" spans="1:32" ht="20.100000000000001" customHeight="1">
      <c r="A13" s="2">
        <v>9</v>
      </c>
      <c r="B13" s="2" t="s">
        <v>23</v>
      </c>
      <c r="C13" s="2" t="s">
        <v>14</v>
      </c>
      <c r="D13" s="2">
        <v>0.64</v>
      </c>
      <c r="E13" s="2" t="s">
        <v>15</v>
      </c>
      <c r="F13" s="2"/>
      <c r="G13" s="52"/>
      <c r="H13" s="143">
        <f t="shared" si="1"/>
        <v>0</v>
      </c>
      <c r="I13" s="52"/>
      <c r="J13" s="155">
        <f t="shared" si="2"/>
        <v>0</v>
      </c>
      <c r="K13" s="52"/>
      <c r="L13" s="155">
        <f t="shared" si="3"/>
        <v>0</v>
      </c>
      <c r="M13" s="52"/>
      <c r="N13" s="155">
        <f t="shared" si="4"/>
        <v>0</v>
      </c>
      <c r="O13" s="52"/>
      <c r="P13" s="155">
        <v>0</v>
      </c>
      <c r="Q13" s="52"/>
      <c r="R13" s="155">
        <f t="shared" si="5"/>
        <v>0</v>
      </c>
      <c r="S13" s="52"/>
      <c r="T13" s="155">
        <f t="shared" si="6"/>
        <v>0</v>
      </c>
      <c r="U13" s="52"/>
      <c r="V13" s="155">
        <f t="shared" si="7"/>
        <v>0</v>
      </c>
      <c r="W13" s="52"/>
      <c r="X13" s="155">
        <v>0</v>
      </c>
      <c r="Y13" s="52"/>
      <c r="Z13" s="155">
        <v>0</v>
      </c>
      <c r="AA13" s="52"/>
      <c r="AB13" s="155">
        <v>0</v>
      </c>
      <c r="AC13" s="52"/>
      <c r="AD13" s="155">
        <v>0</v>
      </c>
      <c r="AE13" s="156">
        <f t="shared" si="0"/>
        <v>0</v>
      </c>
      <c r="AF13" s="157">
        <f t="shared" si="0"/>
        <v>0</v>
      </c>
    </row>
    <row r="14" spans="1:32" ht="20.100000000000001" customHeight="1">
      <c r="A14" s="2">
        <v>10</v>
      </c>
      <c r="B14" s="2" t="s">
        <v>26</v>
      </c>
      <c r="C14" s="2" t="s">
        <v>14</v>
      </c>
      <c r="D14" s="2">
        <v>0.64</v>
      </c>
      <c r="E14" s="2" t="s">
        <v>25</v>
      </c>
      <c r="F14" s="2"/>
      <c r="G14" s="52"/>
      <c r="H14" s="143">
        <f t="shared" si="1"/>
        <v>0</v>
      </c>
      <c r="I14" s="52"/>
      <c r="J14" s="155">
        <f t="shared" si="2"/>
        <v>0</v>
      </c>
      <c r="K14" s="52"/>
      <c r="L14" s="155">
        <f t="shared" si="3"/>
        <v>0</v>
      </c>
      <c r="M14" s="52"/>
      <c r="N14" s="155">
        <f t="shared" si="4"/>
        <v>0</v>
      </c>
      <c r="O14" s="52"/>
      <c r="P14" s="155">
        <v>0</v>
      </c>
      <c r="Q14" s="52"/>
      <c r="R14" s="155">
        <f t="shared" si="5"/>
        <v>0</v>
      </c>
      <c r="S14" s="52"/>
      <c r="T14" s="155">
        <f t="shared" si="6"/>
        <v>0</v>
      </c>
      <c r="U14" s="52"/>
      <c r="V14" s="155">
        <f t="shared" si="7"/>
        <v>0</v>
      </c>
      <c r="W14" s="52"/>
      <c r="X14" s="155">
        <v>0</v>
      </c>
      <c r="Y14" s="52"/>
      <c r="Z14" s="155">
        <v>0</v>
      </c>
      <c r="AA14" s="52"/>
      <c r="AB14" s="155">
        <v>0</v>
      </c>
      <c r="AC14" s="52"/>
      <c r="AD14" s="155">
        <v>0</v>
      </c>
      <c r="AE14" s="156">
        <f t="shared" si="0"/>
        <v>0</v>
      </c>
      <c r="AF14" s="157">
        <f t="shared" si="0"/>
        <v>0</v>
      </c>
    </row>
    <row r="15" spans="1:32" ht="20.100000000000001" customHeight="1">
      <c r="A15" s="2"/>
      <c r="B15" s="2"/>
      <c r="C15" s="2"/>
      <c r="D15" s="2"/>
      <c r="E15" s="2"/>
      <c r="F15" s="2"/>
      <c r="G15" s="52"/>
      <c r="H15" s="143">
        <f t="shared" si="1"/>
        <v>0</v>
      </c>
      <c r="I15" s="52"/>
      <c r="J15" s="155">
        <f t="shared" si="2"/>
        <v>0</v>
      </c>
      <c r="K15" s="52"/>
      <c r="L15" s="155">
        <f t="shared" si="3"/>
        <v>0</v>
      </c>
      <c r="M15" s="52"/>
      <c r="N15" s="155">
        <f t="shared" si="4"/>
        <v>0</v>
      </c>
      <c r="O15" s="52"/>
      <c r="P15" s="155">
        <v>0</v>
      </c>
      <c r="Q15" s="52"/>
      <c r="R15" s="155">
        <f t="shared" si="5"/>
        <v>0</v>
      </c>
      <c r="S15" s="52"/>
      <c r="T15" s="155">
        <f t="shared" si="6"/>
        <v>0</v>
      </c>
      <c r="U15" s="52"/>
      <c r="V15" s="155">
        <f t="shared" si="7"/>
        <v>0</v>
      </c>
      <c r="W15" s="52"/>
      <c r="X15" s="155">
        <v>0</v>
      </c>
      <c r="Y15" s="52"/>
      <c r="Z15" s="155">
        <v>0</v>
      </c>
      <c r="AA15" s="52"/>
      <c r="AB15" s="155">
        <v>0</v>
      </c>
      <c r="AC15" s="52"/>
      <c r="AD15" s="155">
        <v>0</v>
      </c>
      <c r="AE15" s="156">
        <f t="shared" si="0"/>
        <v>0</v>
      </c>
      <c r="AF15" s="157">
        <f t="shared" si="0"/>
        <v>0</v>
      </c>
    </row>
    <row r="16" spans="1:32" ht="20.100000000000001" customHeight="1">
      <c r="A16" s="2">
        <v>11</v>
      </c>
      <c r="B16" s="2" t="s">
        <v>27</v>
      </c>
      <c r="C16" s="2" t="s">
        <v>17</v>
      </c>
      <c r="D16" s="2">
        <v>1</v>
      </c>
      <c r="E16" s="2" t="s">
        <v>15</v>
      </c>
      <c r="F16" s="2">
        <v>1530</v>
      </c>
      <c r="G16" s="52">
        <v>33792</v>
      </c>
      <c r="H16" s="143">
        <f t="shared" si="1"/>
        <v>33792</v>
      </c>
      <c r="I16" s="52">
        <v>20238</v>
      </c>
      <c r="J16" s="155">
        <f t="shared" si="2"/>
        <v>20238</v>
      </c>
      <c r="K16" s="52">
        <v>48540</v>
      </c>
      <c r="L16" s="155">
        <f t="shared" si="3"/>
        <v>48540</v>
      </c>
      <c r="M16" s="52">
        <v>22764</v>
      </c>
      <c r="N16" s="155">
        <f t="shared" si="4"/>
        <v>22764</v>
      </c>
      <c r="O16" s="52">
        <v>26844</v>
      </c>
      <c r="P16" s="155">
        <v>26844</v>
      </c>
      <c r="Q16" s="52">
        <v>33972</v>
      </c>
      <c r="R16" s="155">
        <f t="shared" si="5"/>
        <v>33972</v>
      </c>
      <c r="S16" s="52">
        <v>40620</v>
      </c>
      <c r="T16" s="155">
        <f t="shared" si="6"/>
        <v>40620</v>
      </c>
      <c r="U16" s="52">
        <v>36588</v>
      </c>
      <c r="V16" s="155">
        <f t="shared" si="7"/>
        <v>36588</v>
      </c>
      <c r="W16" s="52">
        <v>57684</v>
      </c>
      <c r="X16" s="155">
        <v>57684</v>
      </c>
      <c r="Y16" s="52">
        <v>67716</v>
      </c>
      <c r="Z16" s="155">
        <v>67716</v>
      </c>
      <c r="AA16" s="52">
        <v>32580</v>
      </c>
      <c r="AB16" s="155">
        <v>32580</v>
      </c>
      <c r="AC16" s="52">
        <v>53064</v>
      </c>
      <c r="AD16" s="155">
        <v>53064</v>
      </c>
      <c r="AE16" s="156">
        <f t="shared" si="0"/>
        <v>474402</v>
      </c>
      <c r="AF16" s="157">
        <f t="shared" si="0"/>
        <v>474402</v>
      </c>
    </row>
    <row r="17" spans="1:32" ht="20.100000000000001" customHeight="1">
      <c r="A17" s="2">
        <v>12</v>
      </c>
      <c r="B17" s="2" t="s">
        <v>28</v>
      </c>
      <c r="C17" s="2" t="s">
        <v>17</v>
      </c>
      <c r="D17" s="2">
        <v>1</v>
      </c>
      <c r="E17" s="2" t="s">
        <v>15</v>
      </c>
      <c r="F17" s="2"/>
      <c r="G17" s="52"/>
      <c r="H17" s="143">
        <f t="shared" si="1"/>
        <v>0</v>
      </c>
      <c r="I17" s="52"/>
      <c r="J17" s="155">
        <f t="shared" si="2"/>
        <v>0</v>
      </c>
      <c r="K17" s="52"/>
      <c r="L17" s="155">
        <f t="shared" si="3"/>
        <v>0</v>
      </c>
      <c r="M17" s="52"/>
      <c r="N17" s="155">
        <f t="shared" si="4"/>
        <v>0</v>
      </c>
      <c r="O17" s="52"/>
      <c r="P17" s="155">
        <v>0</v>
      </c>
      <c r="Q17" s="52"/>
      <c r="R17" s="155">
        <f t="shared" si="5"/>
        <v>0</v>
      </c>
      <c r="S17" s="52"/>
      <c r="T17" s="155">
        <f t="shared" si="6"/>
        <v>0</v>
      </c>
      <c r="U17" s="52"/>
      <c r="V17" s="155">
        <f t="shared" si="7"/>
        <v>0</v>
      </c>
      <c r="W17" s="52"/>
      <c r="X17" s="155">
        <v>0</v>
      </c>
      <c r="Y17" s="52"/>
      <c r="Z17" s="155">
        <v>0</v>
      </c>
      <c r="AA17" s="52"/>
      <c r="AB17" s="155">
        <v>0</v>
      </c>
      <c r="AC17" s="52"/>
      <c r="AD17" s="155">
        <v>0</v>
      </c>
      <c r="AE17" s="156">
        <f t="shared" si="0"/>
        <v>0</v>
      </c>
      <c r="AF17" s="157">
        <f t="shared" si="0"/>
        <v>0</v>
      </c>
    </row>
    <row r="18" spans="1:32" ht="20.100000000000001" customHeight="1">
      <c r="A18" s="2">
        <v>13</v>
      </c>
      <c r="B18" s="2" t="s">
        <v>29</v>
      </c>
      <c r="C18" s="2" t="s">
        <v>17</v>
      </c>
      <c r="D18" s="2">
        <v>0.6</v>
      </c>
      <c r="E18" s="2" t="s">
        <v>15</v>
      </c>
      <c r="F18" s="2">
        <v>1090</v>
      </c>
      <c r="G18" s="52">
        <v>672</v>
      </c>
      <c r="H18" s="143">
        <f t="shared" si="1"/>
        <v>403.2</v>
      </c>
      <c r="I18" s="52">
        <v>756</v>
      </c>
      <c r="J18" s="155">
        <f t="shared" si="2"/>
        <v>453.59999999999997</v>
      </c>
      <c r="K18" s="52">
        <v>540</v>
      </c>
      <c r="L18" s="155">
        <f t="shared" si="3"/>
        <v>324</v>
      </c>
      <c r="M18" s="52">
        <v>756</v>
      </c>
      <c r="N18" s="155">
        <f t="shared" si="4"/>
        <v>453.59999999999997</v>
      </c>
      <c r="O18" s="52">
        <v>720</v>
      </c>
      <c r="P18" s="155">
        <v>432</v>
      </c>
      <c r="Q18" s="52">
        <v>456</v>
      </c>
      <c r="R18" s="155">
        <f t="shared" si="5"/>
        <v>273.59999999999997</v>
      </c>
      <c r="S18" s="52">
        <v>648</v>
      </c>
      <c r="T18" s="155">
        <f t="shared" si="6"/>
        <v>388.8</v>
      </c>
      <c r="U18" s="52">
        <v>552</v>
      </c>
      <c r="V18" s="155">
        <f t="shared" si="7"/>
        <v>331.2</v>
      </c>
      <c r="W18" s="52">
        <v>660</v>
      </c>
      <c r="X18" s="155">
        <v>396</v>
      </c>
      <c r="Y18" s="52">
        <v>840</v>
      </c>
      <c r="Z18" s="155">
        <v>504</v>
      </c>
      <c r="AA18" s="52">
        <v>456</v>
      </c>
      <c r="AB18" s="155">
        <v>273.59999999999997</v>
      </c>
      <c r="AC18" s="52">
        <v>516</v>
      </c>
      <c r="AD18" s="155">
        <v>309.59999999999997</v>
      </c>
      <c r="AE18" s="156">
        <f t="shared" si="0"/>
        <v>7572</v>
      </c>
      <c r="AF18" s="157">
        <f t="shared" si="0"/>
        <v>4543.2</v>
      </c>
    </row>
    <row r="19" spans="1:32" ht="20.100000000000001" customHeight="1">
      <c r="A19" s="2">
        <v>14</v>
      </c>
      <c r="B19" s="2" t="s">
        <v>30</v>
      </c>
      <c r="C19" s="2" t="s">
        <v>17</v>
      </c>
      <c r="D19" s="2">
        <v>0.6</v>
      </c>
      <c r="E19" s="2" t="s">
        <v>15</v>
      </c>
      <c r="F19" s="2"/>
      <c r="G19" s="52"/>
      <c r="H19" s="143">
        <f t="shared" si="1"/>
        <v>0</v>
      </c>
      <c r="I19" s="52"/>
      <c r="J19" s="155">
        <f t="shared" si="2"/>
        <v>0</v>
      </c>
      <c r="K19" s="52"/>
      <c r="L19" s="155">
        <f t="shared" si="3"/>
        <v>0</v>
      </c>
      <c r="M19" s="52"/>
      <c r="N19" s="155">
        <f t="shared" si="4"/>
        <v>0</v>
      </c>
      <c r="O19" s="52"/>
      <c r="P19" s="155">
        <v>0</v>
      </c>
      <c r="Q19" s="52"/>
      <c r="R19" s="155">
        <f t="shared" si="5"/>
        <v>0</v>
      </c>
      <c r="S19" s="52"/>
      <c r="T19" s="155">
        <f t="shared" si="6"/>
        <v>0</v>
      </c>
      <c r="U19" s="52"/>
      <c r="V19" s="155">
        <f t="shared" si="7"/>
        <v>0</v>
      </c>
      <c r="W19" s="52"/>
      <c r="X19" s="155">
        <v>0</v>
      </c>
      <c r="Y19" s="52"/>
      <c r="Z19" s="155">
        <v>0</v>
      </c>
      <c r="AA19" s="52"/>
      <c r="AB19" s="155">
        <v>0</v>
      </c>
      <c r="AC19" s="52"/>
      <c r="AD19" s="155">
        <v>0</v>
      </c>
      <c r="AE19" s="156">
        <f t="shared" si="0"/>
        <v>0</v>
      </c>
      <c r="AF19" s="157">
        <f t="shared" si="0"/>
        <v>0</v>
      </c>
    </row>
    <row r="20" spans="1:32" ht="20.100000000000001" customHeight="1">
      <c r="A20" s="2">
        <v>15</v>
      </c>
      <c r="B20" s="2" t="s">
        <v>31</v>
      </c>
      <c r="C20" s="2" t="s">
        <v>17</v>
      </c>
      <c r="D20" s="2">
        <v>0.35</v>
      </c>
      <c r="E20" s="2" t="s">
        <v>21</v>
      </c>
      <c r="F20" s="2"/>
      <c r="G20" s="52"/>
      <c r="H20" s="143">
        <f t="shared" si="1"/>
        <v>0</v>
      </c>
      <c r="I20" s="52"/>
      <c r="J20" s="155">
        <f t="shared" si="2"/>
        <v>0</v>
      </c>
      <c r="K20" s="52"/>
      <c r="L20" s="155">
        <f t="shared" si="3"/>
        <v>0</v>
      </c>
      <c r="M20" s="52"/>
      <c r="N20" s="155">
        <f t="shared" si="4"/>
        <v>0</v>
      </c>
      <c r="O20" s="52"/>
      <c r="P20" s="155">
        <v>0</v>
      </c>
      <c r="Q20" s="52"/>
      <c r="R20" s="155">
        <f t="shared" si="5"/>
        <v>0</v>
      </c>
      <c r="S20" s="52"/>
      <c r="T20" s="155">
        <f t="shared" si="6"/>
        <v>0</v>
      </c>
      <c r="U20" s="52"/>
      <c r="V20" s="155">
        <f t="shared" si="7"/>
        <v>0</v>
      </c>
      <c r="W20" s="52"/>
      <c r="X20" s="155">
        <v>0</v>
      </c>
      <c r="Y20" s="52"/>
      <c r="Z20" s="155">
        <v>0</v>
      </c>
      <c r="AA20" s="52"/>
      <c r="AB20" s="155">
        <v>0</v>
      </c>
      <c r="AC20" s="52"/>
      <c r="AD20" s="155">
        <v>0</v>
      </c>
      <c r="AE20" s="156">
        <f t="shared" si="0"/>
        <v>0</v>
      </c>
      <c r="AF20" s="157">
        <f t="shared" si="0"/>
        <v>0</v>
      </c>
    </row>
    <row r="21" spans="1:32" ht="20.100000000000001" customHeight="1">
      <c r="A21" s="2">
        <v>16</v>
      </c>
      <c r="B21" s="2" t="s">
        <v>32</v>
      </c>
      <c r="C21" s="2" t="s">
        <v>17</v>
      </c>
      <c r="D21" s="2">
        <v>0.35</v>
      </c>
      <c r="E21" s="2" t="s">
        <v>21</v>
      </c>
      <c r="F21" s="2"/>
      <c r="G21" s="52"/>
      <c r="H21" s="143">
        <f t="shared" si="1"/>
        <v>0</v>
      </c>
      <c r="I21" s="52"/>
      <c r="J21" s="155">
        <f t="shared" si="2"/>
        <v>0</v>
      </c>
      <c r="K21" s="52"/>
      <c r="L21" s="155">
        <f t="shared" si="3"/>
        <v>0</v>
      </c>
      <c r="M21" s="52"/>
      <c r="N21" s="155">
        <f t="shared" si="4"/>
        <v>0</v>
      </c>
      <c r="O21" s="52"/>
      <c r="P21" s="155">
        <v>0</v>
      </c>
      <c r="Q21" s="52"/>
      <c r="R21" s="155">
        <f t="shared" si="5"/>
        <v>0</v>
      </c>
      <c r="S21" s="52"/>
      <c r="T21" s="155">
        <f t="shared" si="6"/>
        <v>0</v>
      </c>
      <c r="U21" s="52"/>
      <c r="V21" s="155">
        <f t="shared" si="7"/>
        <v>0</v>
      </c>
      <c r="W21" s="52"/>
      <c r="X21" s="155">
        <v>0</v>
      </c>
      <c r="Y21" s="52"/>
      <c r="Z21" s="155">
        <v>0</v>
      </c>
      <c r="AA21" s="52"/>
      <c r="AB21" s="155">
        <v>0</v>
      </c>
      <c r="AC21" s="52"/>
      <c r="AD21" s="155">
        <v>0</v>
      </c>
      <c r="AE21" s="156">
        <f t="shared" ref="AE21:AF91" si="8">SUM(G21,I21,K21,M21,O21,Q21,S21,U21,W21,Y21,AA21,AC21)</f>
        <v>0</v>
      </c>
      <c r="AF21" s="157">
        <f t="shared" si="8"/>
        <v>0</v>
      </c>
    </row>
    <row r="22" spans="1:32" ht="20.100000000000001" customHeight="1">
      <c r="A22" s="2">
        <v>17</v>
      </c>
      <c r="B22" s="2" t="s">
        <v>33</v>
      </c>
      <c r="C22" s="2" t="s">
        <v>14</v>
      </c>
      <c r="D22" s="2">
        <v>0.64</v>
      </c>
      <c r="E22" s="2" t="s">
        <v>25</v>
      </c>
      <c r="F22" s="2">
        <v>1330</v>
      </c>
      <c r="G22" s="52">
        <v>78915</v>
      </c>
      <c r="H22" s="143">
        <f t="shared" si="1"/>
        <v>50505.599999999999</v>
      </c>
      <c r="I22" s="52">
        <v>57960</v>
      </c>
      <c r="J22" s="155">
        <f t="shared" si="2"/>
        <v>37094.400000000001</v>
      </c>
      <c r="K22" s="52">
        <v>67424</v>
      </c>
      <c r="L22" s="155">
        <f t="shared" si="3"/>
        <v>43151.360000000001</v>
      </c>
      <c r="M22" s="52">
        <v>59108</v>
      </c>
      <c r="N22" s="155">
        <f t="shared" si="4"/>
        <v>37829.120000000003</v>
      </c>
      <c r="O22" s="52">
        <v>62751</v>
      </c>
      <c r="P22" s="155">
        <v>40160.639999999999</v>
      </c>
      <c r="Q22" s="52">
        <v>60505</v>
      </c>
      <c r="R22" s="155">
        <f t="shared" si="5"/>
        <v>38723.200000000004</v>
      </c>
      <c r="S22" s="52">
        <v>62881</v>
      </c>
      <c r="T22" s="155">
        <f t="shared" si="6"/>
        <v>40243.840000000004</v>
      </c>
      <c r="U22" s="52">
        <v>62132</v>
      </c>
      <c r="V22" s="155">
        <f t="shared" si="7"/>
        <v>39764.480000000003</v>
      </c>
      <c r="W22" s="52">
        <v>62320</v>
      </c>
      <c r="X22" s="155">
        <v>39884.800000000003</v>
      </c>
      <c r="Y22" s="52">
        <v>61037</v>
      </c>
      <c r="Z22" s="155">
        <v>39063.68</v>
      </c>
      <c r="AA22" s="52">
        <v>68404</v>
      </c>
      <c r="AB22" s="155">
        <v>43778.559999999998</v>
      </c>
      <c r="AC22" s="52">
        <v>62636</v>
      </c>
      <c r="AD22" s="155">
        <v>40087.040000000001</v>
      </c>
      <c r="AE22" s="156">
        <f t="shared" si="8"/>
        <v>766073</v>
      </c>
      <c r="AF22" s="157">
        <f t="shared" si="8"/>
        <v>490286.72</v>
      </c>
    </row>
    <row r="23" spans="1:32" ht="20.100000000000001" customHeight="1">
      <c r="A23" s="2">
        <v>18</v>
      </c>
      <c r="B23" s="2" t="s">
        <v>34</v>
      </c>
      <c r="C23" s="2" t="s">
        <v>14</v>
      </c>
      <c r="D23" s="2">
        <v>0.64</v>
      </c>
      <c r="E23" s="2" t="s">
        <v>25</v>
      </c>
      <c r="F23" s="2"/>
      <c r="G23" s="52"/>
      <c r="H23" s="143">
        <f t="shared" si="1"/>
        <v>0</v>
      </c>
      <c r="I23" s="52"/>
      <c r="J23" s="155">
        <f t="shared" si="2"/>
        <v>0</v>
      </c>
      <c r="K23" s="52"/>
      <c r="L23" s="155">
        <f t="shared" si="3"/>
        <v>0</v>
      </c>
      <c r="M23" s="52"/>
      <c r="N23" s="155">
        <f t="shared" si="4"/>
        <v>0</v>
      </c>
      <c r="O23" s="52"/>
      <c r="P23" s="155">
        <v>0</v>
      </c>
      <c r="Q23" s="52"/>
      <c r="R23" s="155">
        <f t="shared" si="5"/>
        <v>0</v>
      </c>
      <c r="S23" s="52"/>
      <c r="T23" s="155">
        <f t="shared" si="6"/>
        <v>0</v>
      </c>
      <c r="U23" s="52"/>
      <c r="V23" s="155">
        <f t="shared" si="7"/>
        <v>0</v>
      </c>
      <c r="W23" s="52"/>
      <c r="X23" s="155">
        <v>0</v>
      </c>
      <c r="Y23" s="52"/>
      <c r="Z23" s="155">
        <v>0</v>
      </c>
      <c r="AA23" s="52"/>
      <c r="AB23" s="155">
        <v>0</v>
      </c>
      <c r="AC23" s="52"/>
      <c r="AD23" s="155">
        <v>0</v>
      </c>
      <c r="AE23" s="156">
        <f t="shared" si="8"/>
        <v>0</v>
      </c>
      <c r="AF23" s="157">
        <f t="shared" si="8"/>
        <v>0</v>
      </c>
    </row>
    <row r="24" spans="1:32" ht="20.100000000000001" customHeight="1">
      <c r="A24" s="2">
        <v>19</v>
      </c>
      <c r="B24" s="2" t="s">
        <v>35</v>
      </c>
      <c r="C24" s="2" t="s">
        <v>14</v>
      </c>
      <c r="D24" s="2">
        <v>0.64</v>
      </c>
      <c r="E24" s="2" t="s">
        <v>25</v>
      </c>
      <c r="F24" s="2"/>
      <c r="G24" s="52"/>
      <c r="H24" s="143">
        <f t="shared" si="1"/>
        <v>0</v>
      </c>
      <c r="I24" s="52"/>
      <c r="J24" s="155">
        <f t="shared" si="2"/>
        <v>0</v>
      </c>
      <c r="K24" s="52"/>
      <c r="L24" s="155">
        <f t="shared" si="3"/>
        <v>0</v>
      </c>
      <c r="M24" s="52"/>
      <c r="N24" s="155">
        <f t="shared" si="4"/>
        <v>0</v>
      </c>
      <c r="O24" s="52"/>
      <c r="P24" s="155">
        <v>0</v>
      </c>
      <c r="Q24" s="52"/>
      <c r="R24" s="155">
        <f t="shared" si="5"/>
        <v>0</v>
      </c>
      <c r="S24" s="52"/>
      <c r="T24" s="155">
        <f t="shared" si="6"/>
        <v>0</v>
      </c>
      <c r="U24" s="52"/>
      <c r="V24" s="155">
        <f t="shared" si="7"/>
        <v>0</v>
      </c>
      <c r="W24" s="52"/>
      <c r="X24" s="155">
        <v>0</v>
      </c>
      <c r="Y24" s="52"/>
      <c r="Z24" s="155">
        <v>0</v>
      </c>
      <c r="AA24" s="52"/>
      <c r="AB24" s="155">
        <v>0</v>
      </c>
      <c r="AC24" s="52"/>
      <c r="AD24" s="155">
        <v>0</v>
      </c>
      <c r="AE24" s="156">
        <f t="shared" si="8"/>
        <v>0</v>
      </c>
      <c r="AF24" s="157">
        <f t="shared" si="8"/>
        <v>0</v>
      </c>
    </row>
    <row r="25" spans="1:32" ht="20.100000000000001" customHeight="1">
      <c r="A25" s="2"/>
      <c r="B25" s="2"/>
      <c r="C25" s="2"/>
      <c r="D25" s="2"/>
      <c r="E25" s="2"/>
      <c r="F25" s="2"/>
      <c r="G25" s="52"/>
      <c r="H25" s="143">
        <f t="shared" si="1"/>
        <v>0</v>
      </c>
      <c r="I25" s="52"/>
      <c r="J25" s="155">
        <f t="shared" si="2"/>
        <v>0</v>
      </c>
      <c r="K25" s="52"/>
      <c r="L25" s="155">
        <f t="shared" si="3"/>
        <v>0</v>
      </c>
      <c r="M25" s="52"/>
      <c r="N25" s="155">
        <f t="shared" si="4"/>
        <v>0</v>
      </c>
      <c r="O25" s="52"/>
      <c r="P25" s="155">
        <v>0</v>
      </c>
      <c r="Q25" s="52"/>
      <c r="R25" s="155">
        <f t="shared" si="5"/>
        <v>0</v>
      </c>
      <c r="S25" s="52"/>
      <c r="T25" s="155">
        <f t="shared" si="6"/>
        <v>0</v>
      </c>
      <c r="U25" s="52"/>
      <c r="V25" s="155">
        <f t="shared" si="7"/>
        <v>0</v>
      </c>
      <c r="W25" s="52"/>
      <c r="X25" s="155">
        <v>0</v>
      </c>
      <c r="Y25" s="52"/>
      <c r="Z25" s="155">
        <v>0</v>
      </c>
      <c r="AA25" s="52"/>
      <c r="AB25" s="155">
        <v>0</v>
      </c>
      <c r="AC25" s="52"/>
      <c r="AD25" s="155">
        <v>0</v>
      </c>
      <c r="AE25" s="156">
        <f t="shared" si="8"/>
        <v>0</v>
      </c>
      <c r="AF25" s="157">
        <f t="shared" si="8"/>
        <v>0</v>
      </c>
    </row>
    <row r="26" spans="1:32" ht="20.100000000000001" customHeight="1">
      <c r="A26" s="2">
        <v>20</v>
      </c>
      <c r="B26" s="2" t="s">
        <v>36</v>
      </c>
      <c r="C26" s="2" t="s">
        <v>17</v>
      </c>
      <c r="D26" s="2">
        <v>1</v>
      </c>
      <c r="E26" s="2" t="s">
        <v>24</v>
      </c>
      <c r="F26" s="2">
        <v>1900</v>
      </c>
      <c r="G26" s="52"/>
      <c r="H26" s="143">
        <f t="shared" si="1"/>
        <v>0</v>
      </c>
      <c r="I26" s="52"/>
      <c r="J26" s="155">
        <f t="shared" si="2"/>
        <v>0</v>
      </c>
      <c r="K26" s="52">
        <v>16608</v>
      </c>
      <c r="L26" s="155">
        <f t="shared" si="3"/>
        <v>16608</v>
      </c>
      <c r="M26" s="52">
        <v>6468</v>
      </c>
      <c r="N26" s="155">
        <f t="shared" si="4"/>
        <v>6468</v>
      </c>
      <c r="O26" s="52">
        <v>8040</v>
      </c>
      <c r="P26" s="155">
        <v>8040</v>
      </c>
      <c r="Q26" s="52">
        <v>1188</v>
      </c>
      <c r="R26" s="155">
        <f t="shared" si="5"/>
        <v>1188</v>
      </c>
      <c r="S26" s="52">
        <v>1740</v>
      </c>
      <c r="T26" s="155">
        <f t="shared" si="6"/>
        <v>1740</v>
      </c>
      <c r="U26" s="52">
        <v>1872</v>
      </c>
      <c r="V26" s="155">
        <f t="shared" si="7"/>
        <v>1872</v>
      </c>
      <c r="W26" s="52">
        <v>348</v>
      </c>
      <c r="X26" s="155">
        <v>348</v>
      </c>
      <c r="Y26" s="52">
        <v>1704</v>
      </c>
      <c r="Z26" s="155">
        <v>1704</v>
      </c>
      <c r="AA26" s="52">
        <v>3192</v>
      </c>
      <c r="AB26" s="155">
        <v>3192</v>
      </c>
      <c r="AC26" s="52">
        <v>420</v>
      </c>
      <c r="AD26" s="155">
        <v>420</v>
      </c>
      <c r="AE26" s="156">
        <f t="shared" si="8"/>
        <v>41580</v>
      </c>
      <c r="AF26" s="157">
        <f t="shared" si="8"/>
        <v>41580</v>
      </c>
    </row>
    <row r="27" spans="1:32" ht="20.100000000000001" customHeight="1">
      <c r="A27" s="2">
        <v>21</v>
      </c>
      <c r="B27" s="2" t="s">
        <v>37</v>
      </c>
      <c r="C27" s="2" t="s">
        <v>17</v>
      </c>
      <c r="D27" s="2">
        <v>0.6</v>
      </c>
      <c r="E27" s="2" t="s">
        <v>38</v>
      </c>
      <c r="F27" s="2"/>
      <c r="G27" s="52"/>
      <c r="H27" s="143">
        <f t="shared" si="1"/>
        <v>0</v>
      </c>
      <c r="I27" s="52"/>
      <c r="J27" s="155">
        <f t="shared" si="2"/>
        <v>0</v>
      </c>
      <c r="K27" s="52"/>
      <c r="L27" s="155">
        <f t="shared" si="3"/>
        <v>0</v>
      </c>
      <c r="M27" s="52"/>
      <c r="N27" s="155">
        <f t="shared" si="4"/>
        <v>0</v>
      </c>
      <c r="O27" s="52"/>
      <c r="P27" s="155">
        <v>0</v>
      </c>
      <c r="Q27" s="52"/>
      <c r="R27" s="155">
        <f t="shared" si="5"/>
        <v>0</v>
      </c>
      <c r="S27" s="52"/>
      <c r="T27" s="155">
        <f t="shared" si="6"/>
        <v>0</v>
      </c>
      <c r="U27" s="52"/>
      <c r="V27" s="155">
        <f t="shared" si="7"/>
        <v>0</v>
      </c>
      <c r="W27" s="52"/>
      <c r="X27" s="155">
        <v>0</v>
      </c>
      <c r="Y27" s="52"/>
      <c r="Z27" s="155">
        <v>0</v>
      </c>
      <c r="AA27" s="52"/>
      <c r="AB27" s="155">
        <v>0</v>
      </c>
      <c r="AC27" s="52"/>
      <c r="AD27" s="155">
        <v>0</v>
      </c>
      <c r="AE27" s="156">
        <f t="shared" si="8"/>
        <v>0</v>
      </c>
      <c r="AF27" s="157">
        <f t="shared" si="8"/>
        <v>0</v>
      </c>
    </row>
    <row r="28" spans="1:32" ht="20.100000000000001" customHeight="1">
      <c r="A28" s="2">
        <v>22</v>
      </c>
      <c r="B28" s="2" t="s">
        <v>39</v>
      </c>
      <c r="C28" s="2" t="s">
        <v>14</v>
      </c>
      <c r="D28" s="2">
        <v>0.64</v>
      </c>
      <c r="E28" s="2" t="s">
        <v>25</v>
      </c>
      <c r="F28" s="2">
        <v>1500</v>
      </c>
      <c r="G28" s="52">
        <v>58032</v>
      </c>
      <c r="H28" s="143">
        <f t="shared" si="1"/>
        <v>37140.480000000003</v>
      </c>
      <c r="I28" s="52">
        <v>56770</v>
      </c>
      <c r="J28" s="155">
        <f t="shared" si="2"/>
        <v>36332.800000000003</v>
      </c>
      <c r="K28" s="52">
        <v>36787</v>
      </c>
      <c r="L28" s="155">
        <f t="shared" si="3"/>
        <v>23543.68</v>
      </c>
      <c r="M28" s="52">
        <v>36194</v>
      </c>
      <c r="N28" s="155">
        <f t="shared" si="4"/>
        <v>23164.16</v>
      </c>
      <c r="O28" s="52">
        <v>70375</v>
      </c>
      <c r="P28" s="155">
        <v>45040</v>
      </c>
      <c r="Q28" s="52">
        <v>54995</v>
      </c>
      <c r="R28" s="155">
        <f t="shared" si="5"/>
        <v>35196.800000000003</v>
      </c>
      <c r="S28" s="52">
        <v>53721</v>
      </c>
      <c r="T28" s="155">
        <f t="shared" si="6"/>
        <v>34381.440000000002</v>
      </c>
      <c r="U28" s="52">
        <v>56280</v>
      </c>
      <c r="V28" s="155">
        <f t="shared" si="7"/>
        <v>36019.200000000004</v>
      </c>
      <c r="W28" s="52">
        <v>40221</v>
      </c>
      <c r="X28" s="155">
        <v>25741.440000000002</v>
      </c>
      <c r="Y28" s="52">
        <v>65648</v>
      </c>
      <c r="Z28" s="155">
        <v>42014.720000000001</v>
      </c>
      <c r="AA28" s="52">
        <v>79478</v>
      </c>
      <c r="AB28" s="155">
        <v>50865.919999999998</v>
      </c>
      <c r="AC28" s="52">
        <v>51447</v>
      </c>
      <c r="AD28" s="155">
        <v>32926.080000000002</v>
      </c>
      <c r="AE28" s="156">
        <f t="shared" si="8"/>
        <v>659948</v>
      </c>
      <c r="AF28" s="157">
        <f t="shared" si="8"/>
        <v>422366.71999999997</v>
      </c>
    </row>
    <row r="29" spans="1:32" ht="20.100000000000001" customHeight="1">
      <c r="A29" s="2">
        <v>23</v>
      </c>
      <c r="B29" s="2" t="s">
        <v>40</v>
      </c>
      <c r="C29" s="2" t="s">
        <v>14</v>
      </c>
      <c r="D29" s="2">
        <v>0.64</v>
      </c>
      <c r="E29" s="2" t="s">
        <v>25</v>
      </c>
      <c r="F29" s="2"/>
      <c r="G29" s="52"/>
      <c r="H29" s="143">
        <f t="shared" si="1"/>
        <v>0</v>
      </c>
      <c r="I29" s="52"/>
      <c r="J29" s="155">
        <f t="shared" si="2"/>
        <v>0</v>
      </c>
      <c r="K29" s="52"/>
      <c r="L29" s="155">
        <f t="shared" si="3"/>
        <v>0</v>
      </c>
      <c r="M29" s="52"/>
      <c r="N29" s="155">
        <f t="shared" si="4"/>
        <v>0</v>
      </c>
      <c r="O29" s="52"/>
      <c r="P29" s="155">
        <v>0</v>
      </c>
      <c r="Q29" s="52"/>
      <c r="R29" s="155">
        <f t="shared" si="5"/>
        <v>0</v>
      </c>
      <c r="S29" s="52"/>
      <c r="T29" s="155">
        <f t="shared" si="6"/>
        <v>0</v>
      </c>
      <c r="U29" s="52"/>
      <c r="V29" s="155">
        <f t="shared" si="7"/>
        <v>0</v>
      </c>
      <c r="W29" s="52"/>
      <c r="X29" s="155">
        <v>0</v>
      </c>
      <c r="Y29" s="52"/>
      <c r="Z29" s="155">
        <v>0</v>
      </c>
      <c r="AA29" s="52"/>
      <c r="AB29" s="155">
        <v>0</v>
      </c>
      <c r="AC29" s="52"/>
      <c r="AD29" s="155">
        <v>0</v>
      </c>
      <c r="AE29" s="156">
        <f t="shared" si="8"/>
        <v>0</v>
      </c>
      <c r="AF29" s="157">
        <f t="shared" si="8"/>
        <v>0</v>
      </c>
    </row>
    <row r="30" spans="1:32" ht="20.100000000000001" customHeight="1">
      <c r="A30" s="2"/>
      <c r="B30" s="2"/>
      <c r="C30" s="2"/>
      <c r="D30" s="2"/>
      <c r="E30" s="2"/>
      <c r="F30" s="2"/>
      <c r="G30" s="52"/>
      <c r="H30" s="143">
        <f t="shared" si="1"/>
        <v>0</v>
      </c>
      <c r="I30" s="52"/>
      <c r="J30" s="155">
        <f t="shared" si="2"/>
        <v>0</v>
      </c>
      <c r="K30" s="52"/>
      <c r="L30" s="155">
        <f t="shared" si="3"/>
        <v>0</v>
      </c>
      <c r="M30" s="52"/>
      <c r="N30" s="155">
        <f t="shared" si="4"/>
        <v>0</v>
      </c>
      <c r="O30" s="52"/>
      <c r="P30" s="155">
        <v>0</v>
      </c>
      <c r="Q30" s="52"/>
      <c r="R30" s="155">
        <f t="shared" si="5"/>
        <v>0</v>
      </c>
      <c r="S30" s="52"/>
      <c r="T30" s="155">
        <f t="shared" si="6"/>
        <v>0</v>
      </c>
      <c r="U30" s="52"/>
      <c r="V30" s="155">
        <f t="shared" si="7"/>
        <v>0</v>
      </c>
      <c r="W30" s="52"/>
      <c r="X30" s="155">
        <v>0</v>
      </c>
      <c r="Y30" s="52"/>
      <c r="Z30" s="155">
        <v>0</v>
      </c>
      <c r="AA30" s="52"/>
      <c r="AB30" s="155">
        <v>0</v>
      </c>
      <c r="AC30" s="52"/>
      <c r="AD30" s="155">
        <v>0</v>
      </c>
      <c r="AE30" s="156">
        <f t="shared" si="8"/>
        <v>0</v>
      </c>
      <c r="AF30" s="157">
        <f t="shared" si="8"/>
        <v>0</v>
      </c>
    </row>
    <row r="31" spans="1:32" ht="20.100000000000001" customHeight="1">
      <c r="A31" s="2">
        <v>24</v>
      </c>
      <c r="B31" s="2" t="s">
        <v>41</v>
      </c>
      <c r="C31" s="2" t="s">
        <v>17</v>
      </c>
      <c r="D31" s="2">
        <v>1</v>
      </c>
      <c r="E31" s="2" t="s">
        <v>15</v>
      </c>
      <c r="F31" s="2">
        <v>1680</v>
      </c>
      <c r="G31" s="52"/>
      <c r="H31" s="143">
        <f t="shared" si="1"/>
        <v>0</v>
      </c>
      <c r="I31" s="52"/>
      <c r="J31" s="155">
        <f t="shared" si="2"/>
        <v>0</v>
      </c>
      <c r="K31" s="52"/>
      <c r="L31" s="155">
        <f t="shared" si="3"/>
        <v>0</v>
      </c>
      <c r="M31" s="52"/>
      <c r="N31" s="155">
        <f t="shared" si="4"/>
        <v>0</v>
      </c>
      <c r="O31" s="52">
        <v>840</v>
      </c>
      <c r="P31" s="155">
        <v>840</v>
      </c>
      <c r="Q31" s="52">
        <v>1140</v>
      </c>
      <c r="R31" s="155">
        <f t="shared" si="5"/>
        <v>1140</v>
      </c>
      <c r="S31" s="52"/>
      <c r="T31" s="155">
        <f t="shared" si="6"/>
        <v>0</v>
      </c>
      <c r="U31" s="52"/>
      <c r="V31" s="155">
        <f t="shared" si="7"/>
        <v>0</v>
      </c>
      <c r="W31" s="52"/>
      <c r="X31" s="155">
        <v>0</v>
      </c>
      <c r="Y31" s="52"/>
      <c r="Z31" s="155">
        <v>0</v>
      </c>
      <c r="AA31" s="52"/>
      <c r="AB31" s="155">
        <v>0</v>
      </c>
      <c r="AC31" s="52"/>
      <c r="AD31" s="155">
        <v>0</v>
      </c>
      <c r="AE31" s="156">
        <f t="shared" si="8"/>
        <v>1980</v>
      </c>
      <c r="AF31" s="157">
        <f t="shared" si="8"/>
        <v>1980</v>
      </c>
    </row>
    <row r="32" spans="1:32" ht="20.100000000000001" customHeight="1">
      <c r="A32" s="2">
        <v>25</v>
      </c>
      <c r="B32" s="2" t="s">
        <v>42</v>
      </c>
      <c r="C32" s="2" t="s">
        <v>17</v>
      </c>
      <c r="D32" s="2">
        <v>1</v>
      </c>
      <c r="E32" s="2" t="s">
        <v>15</v>
      </c>
      <c r="F32" s="2"/>
      <c r="G32" s="52"/>
      <c r="H32" s="143">
        <f t="shared" si="1"/>
        <v>0</v>
      </c>
      <c r="I32" s="52"/>
      <c r="J32" s="155">
        <f t="shared" si="2"/>
        <v>0</v>
      </c>
      <c r="K32" s="52"/>
      <c r="L32" s="155">
        <f t="shared" si="3"/>
        <v>0</v>
      </c>
      <c r="M32" s="52"/>
      <c r="N32" s="155">
        <f t="shared" si="4"/>
        <v>0</v>
      </c>
      <c r="O32" s="52"/>
      <c r="P32" s="155">
        <v>0</v>
      </c>
      <c r="Q32" s="52"/>
      <c r="R32" s="155">
        <f t="shared" si="5"/>
        <v>0</v>
      </c>
      <c r="S32" s="52"/>
      <c r="T32" s="155">
        <f t="shared" si="6"/>
        <v>0</v>
      </c>
      <c r="U32" s="52"/>
      <c r="V32" s="155">
        <f t="shared" si="7"/>
        <v>0</v>
      </c>
      <c r="W32" s="52"/>
      <c r="X32" s="155">
        <v>0</v>
      </c>
      <c r="Y32" s="52"/>
      <c r="Z32" s="155">
        <v>0</v>
      </c>
      <c r="AA32" s="52"/>
      <c r="AB32" s="155">
        <v>0</v>
      </c>
      <c r="AC32" s="52"/>
      <c r="AD32" s="155">
        <v>0</v>
      </c>
      <c r="AE32" s="156">
        <f t="shared" si="8"/>
        <v>0</v>
      </c>
      <c r="AF32" s="157">
        <f t="shared" si="8"/>
        <v>0</v>
      </c>
    </row>
    <row r="33" spans="1:32" ht="20.100000000000001" customHeight="1">
      <c r="A33" s="2">
        <v>26</v>
      </c>
      <c r="B33" s="2" t="s">
        <v>43</v>
      </c>
      <c r="C33" s="2" t="s">
        <v>17</v>
      </c>
      <c r="D33" s="2">
        <v>0.6</v>
      </c>
      <c r="E33" s="2" t="s">
        <v>15</v>
      </c>
      <c r="F33" s="2"/>
      <c r="G33" s="52"/>
      <c r="H33" s="143">
        <f t="shared" si="1"/>
        <v>0</v>
      </c>
      <c r="I33" s="52"/>
      <c r="J33" s="155">
        <f t="shared" si="2"/>
        <v>0</v>
      </c>
      <c r="K33" s="52"/>
      <c r="L33" s="155">
        <f t="shared" si="3"/>
        <v>0</v>
      </c>
      <c r="M33" s="52"/>
      <c r="N33" s="155">
        <f t="shared" si="4"/>
        <v>0</v>
      </c>
      <c r="O33" s="52"/>
      <c r="P33" s="155">
        <v>0</v>
      </c>
      <c r="Q33" s="52"/>
      <c r="R33" s="155">
        <f t="shared" si="5"/>
        <v>0</v>
      </c>
      <c r="S33" s="52"/>
      <c r="T33" s="155">
        <f t="shared" si="6"/>
        <v>0</v>
      </c>
      <c r="U33" s="52"/>
      <c r="V33" s="155">
        <f t="shared" si="7"/>
        <v>0</v>
      </c>
      <c r="W33" s="52"/>
      <c r="X33" s="155">
        <v>0</v>
      </c>
      <c r="Y33" s="52"/>
      <c r="Z33" s="155">
        <v>0</v>
      </c>
      <c r="AA33" s="52"/>
      <c r="AB33" s="155">
        <v>0</v>
      </c>
      <c r="AC33" s="52"/>
      <c r="AD33" s="155">
        <v>0</v>
      </c>
      <c r="AE33" s="156">
        <f t="shared" si="8"/>
        <v>0</v>
      </c>
      <c r="AF33" s="157">
        <f t="shared" si="8"/>
        <v>0</v>
      </c>
    </row>
    <row r="34" spans="1:32" ht="20.100000000000001" customHeight="1">
      <c r="A34" s="2">
        <v>27</v>
      </c>
      <c r="B34" s="2" t="s">
        <v>44</v>
      </c>
      <c r="C34" s="2" t="s">
        <v>17</v>
      </c>
      <c r="D34" s="2">
        <v>0.6</v>
      </c>
      <c r="E34" s="2" t="s">
        <v>15</v>
      </c>
      <c r="F34" s="2"/>
      <c r="G34" s="52"/>
      <c r="H34" s="143">
        <f t="shared" si="1"/>
        <v>0</v>
      </c>
      <c r="I34" s="52"/>
      <c r="J34" s="155">
        <f t="shared" si="2"/>
        <v>0</v>
      </c>
      <c r="K34" s="52"/>
      <c r="L34" s="155">
        <f t="shared" si="3"/>
        <v>0</v>
      </c>
      <c r="M34" s="52"/>
      <c r="N34" s="155">
        <f t="shared" si="4"/>
        <v>0</v>
      </c>
      <c r="O34" s="52"/>
      <c r="P34" s="155">
        <v>0</v>
      </c>
      <c r="Q34" s="52"/>
      <c r="R34" s="155">
        <f t="shared" si="5"/>
        <v>0</v>
      </c>
      <c r="S34" s="52"/>
      <c r="T34" s="155">
        <f t="shared" si="6"/>
        <v>0</v>
      </c>
      <c r="U34" s="52"/>
      <c r="V34" s="155">
        <f t="shared" si="7"/>
        <v>0</v>
      </c>
      <c r="W34" s="52"/>
      <c r="X34" s="155">
        <v>0</v>
      </c>
      <c r="Y34" s="52"/>
      <c r="Z34" s="155">
        <v>0</v>
      </c>
      <c r="AA34" s="52"/>
      <c r="AB34" s="155">
        <v>0</v>
      </c>
      <c r="AC34" s="52"/>
      <c r="AD34" s="155">
        <v>0</v>
      </c>
      <c r="AE34" s="156">
        <f t="shared" si="8"/>
        <v>0</v>
      </c>
      <c r="AF34" s="157">
        <f t="shared" si="8"/>
        <v>0</v>
      </c>
    </row>
    <row r="35" spans="1:32" ht="20.100000000000001" customHeight="1">
      <c r="A35" s="2">
        <v>28</v>
      </c>
      <c r="B35" s="2" t="s">
        <v>45</v>
      </c>
      <c r="C35" s="2" t="s">
        <v>17</v>
      </c>
      <c r="D35" s="2">
        <v>0.35</v>
      </c>
      <c r="E35" s="2" t="s">
        <v>21</v>
      </c>
      <c r="F35" s="2"/>
      <c r="G35" s="52"/>
      <c r="H35" s="143">
        <f t="shared" si="1"/>
        <v>0</v>
      </c>
      <c r="I35" s="52"/>
      <c r="J35" s="155">
        <f t="shared" si="2"/>
        <v>0</v>
      </c>
      <c r="K35" s="52"/>
      <c r="L35" s="155">
        <f t="shared" si="3"/>
        <v>0</v>
      </c>
      <c r="M35" s="52"/>
      <c r="N35" s="155">
        <f t="shared" si="4"/>
        <v>0</v>
      </c>
      <c r="O35" s="52"/>
      <c r="P35" s="155">
        <v>0</v>
      </c>
      <c r="Q35" s="52"/>
      <c r="R35" s="155">
        <f t="shared" si="5"/>
        <v>0</v>
      </c>
      <c r="S35" s="52"/>
      <c r="T35" s="155">
        <f t="shared" si="6"/>
        <v>0</v>
      </c>
      <c r="U35" s="52"/>
      <c r="V35" s="155">
        <f t="shared" si="7"/>
        <v>0</v>
      </c>
      <c r="W35" s="52"/>
      <c r="X35" s="155">
        <v>0</v>
      </c>
      <c r="Y35" s="52"/>
      <c r="Z35" s="155">
        <v>0</v>
      </c>
      <c r="AA35" s="52"/>
      <c r="AB35" s="155">
        <v>0</v>
      </c>
      <c r="AC35" s="52"/>
      <c r="AD35" s="155">
        <v>0</v>
      </c>
      <c r="AE35" s="156">
        <f t="shared" si="8"/>
        <v>0</v>
      </c>
      <c r="AF35" s="157">
        <f t="shared" si="8"/>
        <v>0</v>
      </c>
    </row>
    <row r="36" spans="1:32" ht="20.100000000000001" customHeight="1">
      <c r="A36" s="2">
        <v>29</v>
      </c>
      <c r="B36" s="2" t="s">
        <v>46</v>
      </c>
      <c r="C36" s="2" t="s">
        <v>14</v>
      </c>
      <c r="D36" s="2">
        <v>0.7</v>
      </c>
      <c r="E36" s="2" t="s">
        <v>15</v>
      </c>
      <c r="F36" s="2">
        <v>1700</v>
      </c>
      <c r="G36" s="52"/>
      <c r="H36" s="143">
        <f t="shared" si="1"/>
        <v>0</v>
      </c>
      <c r="I36" s="52"/>
      <c r="J36" s="155">
        <f t="shared" si="2"/>
        <v>0</v>
      </c>
      <c r="K36" s="52"/>
      <c r="L36" s="155">
        <f t="shared" si="3"/>
        <v>0</v>
      </c>
      <c r="M36" s="52"/>
      <c r="N36" s="155">
        <f t="shared" si="4"/>
        <v>0</v>
      </c>
      <c r="O36" s="52"/>
      <c r="P36" s="155">
        <v>0</v>
      </c>
      <c r="Q36" s="52"/>
      <c r="R36" s="155">
        <f t="shared" si="5"/>
        <v>0</v>
      </c>
      <c r="S36" s="52"/>
      <c r="T36" s="155">
        <f t="shared" si="6"/>
        <v>0</v>
      </c>
      <c r="U36" s="52"/>
      <c r="V36" s="155">
        <f t="shared" si="7"/>
        <v>0</v>
      </c>
      <c r="W36" s="52"/>
      <c r="X36" s="155">
        <v>0</v>
      </c>
      <c r="Y36" s="52"/>
      <c r="Z36" s="155">
        <v>0</v>
      </c>
      <c r="AA36" s="52"/>
      <c r="AB36" s="155">
        <v>0</v>
      </c>
      <c r="AC36" s="52"/>
      <c r="AD36" s="155">
        <v>0</v>
      </c>
      <c r="AE36" s="156">
        <f t="shared" si="8"/>
        <v>0</v>
      </c>
      <c r="AF36" s="157">
        <f t="shared" si="8"/>
        <v>0</v>
      </c>
    </row>
    <row r="37" spans="1:32" ht="20.100000000000001" customHeight="1">
      <c r="A37" s="2">
        <v>30</v>
      </c>
      <c r="B37" s="2" t="s">
        <v>47</v>
      </c>
      <c r="C37" s="2" t="s">
        <v>14</v>
      </c>
      <c r="D37" s="2">
        <v>0.7</v>
      </c>
      <c r="E37" s="2" t="s">
        <v>15</v>
      </c>
      <c r="F37" s="2">
        <v>1800</v>
      </c>
      <c r="G37" s="52">
        <v>4836</v>
      </c>
      <c r="H37" s="143">
        <f t="shared" si="1"/>
        <v>3385.2</v>
      </c>
      <c r="I37" s="52">
        <v>3924</v>
      </c>
      <c r="J37" s="155">
        <f t="shared" si="2"/>
        <v>2746.7999999999997</v>
      </c>
      <c r="K37" s="52">
        <v>6216</v>
      </c>
      <c r="L37" s="155">
        <f t="shared" si="3"/>
        <v>4351.2</v>
      </c>
      <c r="M37" s="52">
        <v>1416</v>
      </c>
      <c r="N37" s="155">
        <f t="shared" si="4"/>
        <v>991.19999999999993</v>
      </c>
      <c r="O37" s="52">
        <v>2400</v>
      </c>
      <c r="P37" s="155">
        <v>1680</v>
      </c>
      <c r="Q37" s="52">
        <v>4740</v>
      </c>
      <c r="R37" s="155">
        <f t="shared" si="5"/>
        <v>3318</v>
      </c>
      <c r="S37" s="52">
        <v>4320</v>
      </c>
      <c r="T37" s="155">
        <f t="shared" si="6"/>
        <v>3024</v>
      </c>
      <c r="U37" s="52">
        <v>3120</v>
      </c>
      <c r="V37" s="155">
        <f t="shared" si="7"/>
        <v>2184</v>
      </c>
      <c r="W37" s="52">
        <v>1824</v>
      </c>
      <c r="X37" s="155">
        <v>1276.8</v>
      </c>
      <c r="Y37" s="52">
        <v>4923</v>
      </c>
      <c r="Z37" s="155">
        <v>3446.1</v>
      </c>
      <c r="AA37" s="52">
        <v>2664</v>
      </c>
      <c r="AB37" s="155">
        <v>1864.8</v>
      </c>
      <c r="AC37" s="52">
        <v>4852</v>
      </c>
      <c r="AD37" s="155">
        <v>3396.3999999999996</v>
      </c>
      <c r="AE37" s="156">
        <f t="shared" si="8"/>
        <v>45235</v>
      </c>
      <c r="AF37" s="157">
        <f t="shared" si="8"/>
        <v>31664.5</v>
      </c>
    </row>
    <row r="38" spans="1:32" ht="20.100000000000001" customHeight="1">
      <c r="A38" s="2">
        <v>31</v>
      </c>
      <c r="B38" s="2" t="s">
        <v>48</v>
      </c>
      <c r="C38" s="2" t="s">
        <v>14</v>
      </c>
      <c r="D38" s="2">
        <v>0.68</v>
      </c>
      <c r="E38" s="2" t="s">
        <v>15</v>
      </c>
      <c r="F38" s="2">
        <v>1550</v>
      </c>
      <c r="G38" s="52">
        <v>360</v>
      </c>
      <c r="H38" s="143">
        <f t="shared" si="1"/>
        <v>244.8</v>
      </c>
      <c r="I38" s="52">
        <v>360</v>
      </c>
      <c r="J38" s="155">
        <f t="shared" si="2"/>
        <v>244.8</v>
      </c>
      <c r="K38" s="52">
        <v>240</v>
      </c>
      <c r="L38" s="155">
        <f t="shared" si="3"/>
        <v>163.20000000000002</v>
      </c>
      <c r="M38" s="52">
        <v>1116</v>
      </c>
      <c r="N38" s="155">
        <f t="shared" si="4"/>
        <v>758.88000000000011</v>
      </c>
      <c r="O38" s="52">
        <v>480</v>
      </c>
      <c r="P38" s="155">
        <v>326.40000000000003</v>
      </c>
      <c r="Q38" s="52">
        <v>420</v>
      </c>
      <c r="R38" s="155">
        <f t="shared" si="5"/>
        <v>285.60000000000002</v>
      </c>
      <c r="S38" s="52">
        <v>300</v>
      </c>
      <c r="T38" s="155">
        <f t="shared" si="6"/>
        <v>204.00000000000003</v>
      </c>
      <c r="U38" s="52">
        <v>180</v>
      </c>
      <c r="V38" s="155">
        <f t="shared" si="7"/>
        <v>122.4</v>
      </c>
      <c r="W38" s="52">
        <v>540</v>
      </c>
      <c r="X38" s="155">
        <v>367.20000000000005</v>
      </c>
      <c r="Y38" s="52">
        <v>96</v>
      </c>
      <c r="Z38" s="155">
        <v>65.28</v>
      </c>
      <c r="AA38" s="52">
        <v>96</v>
      </c>
      <c r="AB38" s="155">
        <v>65.28</v>
      </c>
      <c r="AC38" s="52">
        <v>72</v>
      </c>
      <c r="AD38" s="155">
        <v>48.96</v>
      </c>
      <c r="AE38" s="156">
        <f t="shared" si="8"/>
        <v>4260</v>
      </c>
      <c r="AF38" s="157">
        <f t="shared" si="8"/>
        <v>2896.8000000000011</v>
      </c>
    </row>
    <row r="39" spans="1:32" ht="20.100000000000001" customHeight="1">
      <c r="A39" s="2">
        <v>32</v>
      </c>
      <c r="B39" s="2" t="s">
        <v>48</v>
      </c>
      <c r="C39" s="2" t="s">
        <v>14</v>
      </c>
      <c r="D39" s="2">
        <v>0.64</v>
      </c>
      <c r="E39" s="2" t="s">
        <v>15</v>
      </c>
      <c r="F39" s="2"/>
      <c r="G39" s="52"/>
      <c r="H39" s="143">
        <f t="shared" si="1"/>
        <v>0</v>
      </c>
      <c r="I39" s="52"/>
      <c r="J39" s="155">
        <f t="shared" si="2"/>
        <v>0</v>
      </c>
      <c r="K39" s="52"/>
      <c r="L39" s="155">
        <f t="shared" si="3"/>
        <v>0</v>
      </c>
      <c r="M39" s="52"/>
      <c r="N39" s="155">
        <f t="shared" si="4"/>
        <v>0</v>
      </c>
      <c r="O39" s="52"/>
      <c r="P39" s="155">
        <v>0</v>
      </c>
      <c r="Q39" s="52"/>
      <c r="R39" s="155">
        <f t="shared" si="5"/>
        <v>0</v>
      </c>
      <c r="S39" s="52"/>
      <c r="T39" s="155">
        <f t="shared" si="6"/>
        <v>0</v>
      </c>
      <c r="U39" s="52"/>
      <c r="V39" s="155">
        <f t="shared" si="7"/>
        <v>0</v>
      </c>
      <c r="W39" s="52"/>
      <c r="X39" s="155">
        <v>0</v>
      </c>
      <c r="Y39" s="52"/>
      <c r="Z39" s="155">
        <v>0</v>
      </c>
      <c r="AA39" s="52"/>
      <c r="AB39" s="155">
        <v>0</v>
      </c>
      <c r="AC39" s="52"/>
      <c r="AD39" s="155">
        <v>0</v>
      </c>
      <c r="AE39" s="156">
        <f t="shared" si="8"/>
        <v>0</v>
      </c>
      <c r="AF39" s="157">
        <f t="shared" si="8"/>
        <v>0</v>
      </c>
    </row>
    <row r="40" spans="1:32" ht="20.100000000000001" customHeight="1">
      <c r="A40" s="2">
        <v>33</v>
      </c>
      <c r="B40" s="2" t="s">
        <v>49</v>
      </c>
      <c r="C40" s="2" t="s">
        <v>14</v>
      </c>
      <c r="D40" s="2">
        <v>0.64</v>
      </c>
      <c r="E40" s="2" t="s">
        <v>25</v>
      </c>
      <c r="F40" s="2"/>
      <c r="G40" s="52"/>
      <c r="H40" s="143">
        <f t="shared" si="1"/>
        <v>0</v>
      </c>
      <c r="I40" s="52"/>
      <c r="J40" s="155">
        <f t="shared" si="2"/>
        <v>0</v>
      </c>
      <c r="K40" s="52"/>
      <c r="L40" s="155">
        <f t="shared" si="3"/>
        <v>0</v>
      </c>
      <c r="M40" s="52"/>
      <c r="N40" s="155">
        <f t="shared" si="4"/>
        <v>0</v>
      </c>
      <c r="O40" s="52"/>
      <c r="P40" s="155">
        <v>0</v>
      </c>
      <c r="Q40" s="52"/>
      <c r="R40" s="155">
        <f t="shared" si="5"/>
        <v>0</v>
      </c>
      <c r="S40" s="52"/>
      <c r="T40" s="155">
        <f t="shared" si="6"/>
        <v>0</v>
      </c>
      <c r="U40" s="52"/>
      <c r="V40" s="155">
        <f t="shared" si="7"/>
        <v>0</v>
      </c>
      <c r="W40" s="52"/>
      <c r="X40" s="155">
        <v>0</v>
      </c>
      <c r="Y40" s="52"/>
      <c r="Z40" s="155">
        <v>0</v>
      </c>
      <c r="AA40" s="52"/>
      <c r="AB40" s="155">
        <v>0</v>
      </c>
      <c r="AC40" s="52"/>
      <c r="AD40" s="155">
        <v>0</v>
      </c>
      <c r="AE40" s="156">
        <f t="shared" si="8"/>
        <v>0</v>
      </c>
      <c r="AF40" s="157">
        <f t="shared" si="8"/>
        <v>0</v>
      </c>
    </row>
    <row r="41" spans="1:32" ht="20.100000000000001" customHeight="1">
      <c r="A41" s="2">
        <v>34</v>
      </c>
      <c r="B41" s="2" t="s">
        <v>47</v>
      </c>
      <c r="C41" s="2" t="s">
        <v>14</v>
      </c>
      <c r="D41" s="2">
        <v>0.64</v>
      </c>
      <c r="E41" s="2" t="s">
        <v>25</v>
      </c>
      <c r="F41" s="2">
        <v>1330</v>
      </c>
      <c r="G41" s="52">
        <v>57739</v>
      </c>
      <c r="H41" s="143">
        <f t="shared" si="1"/>
        <v>36952.959999999999</v>
      </c>
      <c r="I41" s="52">
        <v>45556</v>
      </c>
      <c r="J41" s="155">
        <f t="shared" si="2"/>
        <v>29155.84</v>
      </c>
      <c r="K41" s="52">
        <v>63224</v>
      </c>
      <c r="L41" s="155">
        <f t="shared" si="3"/>
        <v>40463.360000000001</v>
      </c>
      <c r="M41" s="52">
        <v>50397</v>
      </c>
      <c r="N41" s="155">
        <f t="shared" si="4"/>
        <v>32254.080000000002</v>
      </c>
      <c r="O41" s="52">
        <v>50260</v>
      </c>
      <c r="P41" s="155">
        <v>32166.400000000001</v>
      </c>
      <c r="Q41" s="52">
        <v>51932</v>
      </c>
      <c r="R41" s="155">
        <f t="shared" si="5"/>
        <v>33236.480000000003</v>
      </c>
      <c r="S41" s="52">
        <v>43064</v>
      </c>
      <c r="T41" s="155">
        <f t="shared" si="6"/>
        <v>27560.959999999999</v>
      </c>
      <c r="U41" s="52">
        <v>45798</v>
      </c>
      <c r="V41" s="155">
        <f t="shared" si="7"/>
        <v>29310.720000000001</v>
      </c>
      <c r="W41" s="52">
        <v>44562</v>
      </c>
      <c r="X41" s="155">
        <v>28519.68</v>
      </c>
      <c r="Y41" s="52">
        <v>51382</v>
      </c>
      <c r="Z41" s="155">
        <v>32884.480000000003</v>
      </c>
      <c r="AA41" s="52">
        <v>49140</v>
      </c>
      <c r="AB41" s="155">
        <v>31449.600000000002</v>
      </c>
      <c r="AC41" s="52">
        <v>69160</v>
      </c>
      <c r="AD41" s="155">
        <v>44262.400000000001</v>
      </c>
      <c r="AE41" s="156">
        <f t="shared" si="8"/>
        <v>622214</v>
      </c>
      <c r="AF41" s="157">
        <f t="shared" si="8"/>
        <v>398216.95999999996</v>
      </c>
    </row>
    <row r="42" spans="1:32" ht="20.100000000000001" customHeight="1">
      <c r="A42" s="2">
        <v>35</v>
      </c>
      <c r="B42" s="2" t="s">
        <v>47</v>
      </c>
      <c r="C42" s="2" t="s">
        <v>14</v>
      </c>
      <c r="D42" s="2">
        <v>0.64</v>
      </c>
      <c r="E42" s="2" t="s">
        <v>24</v>
      </c>
      <c r="F42" s="2"/>
      <c r="G42" s="52"/>
      <c r="H42" s="143">
        <f t="shared" si="1"/>
        <v>0</v>
      </c>
      <c r="I42" s="52"/>
      <c r="J42" s="155">
        <f t="shared" si="2"/>
        <v>0</v>
      </c>
      <c r="K42" s="52"/>
      <c r="L42" s="155">
        <f t="shared" si="3"/>
        <v>0</v>
      </c>
      <c r="M42" s="52"/>
      <c r="N42" s="155">
        <f t="shared" si="4"/>
        <v>0</v>
      </c>
      <c r="O42" s="52"/>
      <c r="P42" s="155">
        <v>0</v>
      </c>
      <c r="Q42" s="52"/>
      <c r="R42" s="155">
        <f t="shared" si="5"/>
        <v>0</v>
      </c>
      <c r="S42" s="52"/>
      <c r="T42" s="155">
        <f t="shared" si="6"/>
        <v>0</v>
      </c>
      <c r="U42" s="52"/>
      <c r="V42" s="155">
        <f t="shared" si="7"/>
        <v>0</v>
      </c>
      <c r="W42" s="52"/>
      <c r="X42" s="155">
        <v>0</v>
      </c>
      <c r="Y42" s="52"/>
      <c r="Z42" s="155">
        <v>0</v>
      </c>
      <c r="AA42" s="52"/>
      <c r="AB42" s="155">
        <v>0</v>
      </c>
      <c r="AC42" s="52"/>
      <c r="AD42" s="155">
        <v>0</v>
      </c>
      <c r="AE42" s="156">
        <f t="shared" si="8"/>
        <v>0</v>
      </c>
      <c r="AF42" s="157">
        <f t="shared" si="8"/>
        <v>0</v>
      </c>
    </row>
    <row r="43" spans="1:32" ht="20.100000000000001" customHeight="1">
      <c r="A43" s="2">
        <v>36</v>
      </c>
      <c r="B43" s="2" t="s">
        <v>50</v>
      </c>
      <c r="C43" s="2" t="s">
        <v>14</v>
      </c>
      <c r="D43" s="2">
        <v>0.68</v>
      </c>
      <c r="E43" s="2" t="s">
        <v>25</v>
      </c>
      <c r="F43" s="2"/>
      <c r="G43" s="52"/>
      <c r="H43" s="143">
        <f t="shared" si="1"/>
        <v>0</v>
      </c>
      <c r="I43" s="52"/>
      <c r="J43" s="155">
        <f t="shared" si="2"/>
        <v>0</v>
      </c>
      <c r="K43" s="52"/>
      <c r="L43" s="155">
        <f t="shared" si="3"/>
        <v>0</v>
      </c>
      <c r="M43" s="52"/>
      <c r="N43" s="155">
        <f t="shared" si="4"/>
        <v>0</v>
      </c>
      <c r="O43" s="52"/>
      <c r="P43" s="155">
        <v>0</v>
      </c>
      <c r="Q43" s="52"/>
      <c r="R43" s="155">
        <f t="shared" si="5"/>
        <v>0</v>
      </c>
      <c r="S43" s="52"/>
      <c r="T43" s="155">
        <f t="shared" si="6"/>
        <v>0</v>
      </c>
      <c r="U43" s="52"/>
      <c r="V43" s="155">
        <f t="shared" si="7"/>
        <v>0</v>
      </c>
      <c r="W43" s="52"/>
      <c r="X43" s="155">
        <v>0</v>
      </c>
      <c r="Y43" s="52"/>
      <c r="Z43" s="155">
        <v>0</v>
      </c>
      <c r="AA43" s="52"/>
      <c r="AB43" s="155">
        <v>0</v>
      </c>
      <c r="AC43" s="52"/>
      <c r="AD43" s="155">
        <v>0</v>
      </c>
      <c r="AE43" s="156">
        <f t="shared" si="8"/>
        <v>0</v>
      </c>
      <c r="AF43" s="157">
        <f t="shared" si="8"/>
        <v>0</v>
      </c>
    </row>
    <row r="44" spans="1:32" ht="20.100000000000001" customHeight="1">
      <c r="A44" s="2">
        <v>37</v>
      </c>
      <c r="B44" s="2" t="s">
        <v>50</v>
      </c>
      <c r="C44" s="2" t="s">
        <v>14</v>
      </c>
      <c r="D44" s="2">
        <v>0.64</v>
      </c>
      <c r="E44" s="2" t="s">
        <v>25</v>
      </c>
      <c r="F44" s="2">
        <v>1600</v>
      </c>
      <c r="G44" s="52">
        <v>3080</v>
      </c>
      <c r="H44" s="143">
        <f t="shared" si="1"/>
        <v>1971.2</v>
      </c>
      <c r="I44" s="52">
        <v>2198</v>
      </c>
      <c r="J44" s="155">
        <f t="shared" si="2"/>
        <v>1406.72</v>
      </c>
      <c r="K44" s="52">
        <v>1960</v>
      </c>
      <c r="L44" s="155">
        <f t="shared" si="3"/>
        <v>1254.4000000000001</v>
      </c>
      <c r="M44" s="52">
        <v>504</v>
      </c>
      <c r="N44" s="155">
        <f t="shared" si="4"/>
        <v>322.56</v>
      </c>
      <c r="O44" s="52">
        <v>3220</v>
      </c>
      <c r="P44" s="155">
        <v>2060.8000000000002</v>
      </c>
      <c r="Q44" s="52">
        <v>1764</v>
      </c>
      <c r="R44" s="155">
        <f t="shared" si="5"/>
        <v>1128.96</v>
      </c>
      <c r="S44" s="52">
        <v>2086</v>
      </c>
      <c r="T44" s="155">
        <f t="shared" si="6"/>
        <v>1335.04</v>
      </c>
      <c r="U44" s="52">
        <v>2310</v>
      </c>
      <c r="V44" s="155">
        <f t="shared" si="7"/>
        <v>1478.4</v>
      </c>
      <c r="W44" s="52">
        <v>3290</v>
      </c>
      <c r="X44" s="155">
        <v>2105.6</v>
      </c>
      <c r="Y44" s="52">
        <v>2100</v>
      </c>
      <c r="Z44" s="155">
        <v>1344</v>
      </c>
      <c r="AA44" s="52">
        <v>3528</v>
      </c>
      <c r="AB44" s="155">
        <v>2257.92</v>
      </c>
      <c r="AC44" s="52">
        <v>3892</v>
      </c>
      <c r="AD44" s="155">
        <v>2490.88</v>
      </c>
      <c r="AE44" s="156">
        <f t="shared" si="8"/>
        <v>29932</v>
      </c>
      <c r="AF44" s="157">
        <f t="shared" si="8"/>
        <v>19156.48</v>
      </c>
    </row>
    <row r="45" spans="1:32" ht="20.100000000000001" customHeight="1">
      <c r="A45" s="2">
        <v>38</v>
      </c>
      <c r="B45" s="2" t="s">
        <v>51</v>
      </c>
      <c r="C45" s="2" t="s">
        <v>14</v>
      </c>
      <c r="D45" s="2">
        <v>0.64</v>
      </c>
      <c r="E45" s="2" t="s">
        <v>25</v>
      </c>
      <c r="F45" s="2"/>
      <c r="G45" s="52"/>
      <c r="H45" s="143">
        <f t="shared" si="1"/>
        <v>0</v>
      </c>
      <c r="I45" s="52"/>
      <c r="J45" s="155">
        <f t="shared" si="2"/>
        <v>0</v>
      </c>
      <c r="K45" s="52"/>
      <c r="L45" s="155">
        <f t="shared" si="3"/>
        <v>0</v>
      </c>
      <c r="M45" s="52"/>
      <c r="N45" s="155">
        <f t="shared" si="4"/>
        <v>0</v>
      </c>
      <c r="O45" s="52"/>
      <c r="P45" s="155">
        <v>0</v>
      </c>
      <c r="Q45" s="52"/>
      <c r="R45" s="155">
        <f t="shared" si="5"/>
        <v>0</v>
      </c>
      <c r="S45" s="52"/>
      <c r="T45" s="155">
        <f t="shared" si="6"/>
        <v>0</v>
      </c>
      <c r="U45" s="52"/>
      <c r="V45" s="155">
        <f t="shared" si="7"/>
        <v>0</v>
      </c>
      <c r="W45" s="52"/>
      <c r="X45" s="155">
        <v>0</v>
      </c>
      <c r="Y45" s="52"/>
      <c r="Z45" s="155">
        <v>0</v>
      </c>
      <c r="AA45" s="52"/>
      <c r="AB45" s="155">
        <v>0</v>
      </c>
      <c r="AC45" s="52"/>
      <c r="AD45" s="155">
        <v>0</v>
      </c>
      <c r="AE45" s="156">
        <f t="shared" si="8"/>
        <v>0</v>
      </c>
      <c r="AF45" s="157">
        <f t="shared" si="8"/>
        <v>0</v>
      </c>
    </row>
    <row r="46" spans="1:32" ht="20.100000000000001" customHeight="1">
      <c r="A46" s="2">
        <v>39</v>
      </c>
      <c r="B46" s="2" t="s">
        <v>51</v>
      </c>
      <c r="C46" s="2" t="s">
        <v>14</v>
      </c>
      <c r="D46" s="2">
        <v>0.64</v>
      </c>
      <c r="E46" s="2" t="s">
        <v>25</v>
      </c>
      <c r="F46" s="2"/>
      <c r="G46" s="52"/>
      <c r="H46" s="143">
        <f t="shared" si="1"/>
        <v>0</v>
      </c>
      <c r="I46" s="52"/>
      <c r="J46" s="155">
        <f t="shared" si="2"/>
        <v>0</v>
      </c>
      <c r="K46" s="52"/>
      <c r="L46" s="155">
        <f t="shared" si="3"/>
        <v>0</v>
      </c>
      <c r="M46" s="52"/>
      <c r="N46" s="155">
        <f t="shared" si="4"/>
        <v>0</v>
      </c>
      <c r="O46" s="52"/>
      <c r="P46" s="155">
        <v>0</v>
      </c>
      <c r="Q46" s="52"/>
      <c r="R46" s="155">
        <f t="shared" si="5"/>
        <v>0</v>
      </c>
      <c r="S46" s="52"/>
      <c r="T46" s="155">
        <f t="shared" si="6"/>
        <v>0</v>
      </c>
      <c r="U46" s="52"/>
      <c r="V46" s="155">
        <f t="shared" si="7"/>
        <v>0</v>
      </c>
      <c r="W46" s="52"/>
      <c r="X46" s="155">
        <v>0</v>
      </c>
      <c r="Y46" s="52"/>
      <c r="Z46" s="155">
        <v>0</v>
      </c>
      <c r="AA46" s="52"/>
      <c r="AB46" s="155">
        <v>0</v>
      </c>
      <c r="AC46" s="52"/>
      <c r="AD46" s="155">
        <v>0</v>
      </c>
      <c r="AE46" s="156">
        <f t="shared" si="8"/>
        <v>0</v>
      </c>
      <c r="AF46" s="157">
        <f t="shared" si="8"/>
        <v>0</v>
      </c>
    </row>
    <row r="47" spans="1:32" ht="20.100000000000001" customHeight="1">
      <c r="A47" s="2">
        <v>40</v>
      </c>
      <c r="B47" s="2" t="s">
        <v>51</v>
      </c>
      <c r="C47" s="2" t="s">
        <v>14</v>
      </c>
      <c r="D47" s="2">
        <v>0.64</v>
      </c>
      <c r="E47" s="2" t="s">
        <v>25</v>
      </c>
      <c r="F47" s="2"/>
      <c r="G47" s="52"/>
      <c r="H47" s="143">
        <f t="shared" si="1"/>
        <v>0</v>
      </c>
      <c r="I47" s="52"/>
      <c r="J47" s="155">
        <f t="shared" si="2"/>
        <v>0</v>
      </c>
      <c r="K47" s="52"/>
      <c r="L47" s="155">
        <f t="shared" si="3"/>
        <v>0</v>
      </c>
      <c r="M47" s="52"/>
      <c r="N47" s="155">
        <f t="shared" si="4"/>
        <v>0</v>
      </c>
      <c r="O47" s="52"/>
      <c r="P47" s="155">
        <v>0</v>
      </c>
      <c r="Q47" s="52"/>
      <c r="R47" s="155">
        <f t="shared" si="5"/>
        <v>0</v>
      </c>
      <c r="S47" s="52"/>
      <c r="T47" s="155">
        <f t="shared" si="6"/>
        <v>0</v>
      </c>
      <c r="U47" s="52"/>
      <c r="V47" s="155">
        <f t="shared" si="7"/>
        <v>0</v>
      </c>
      <c r="W47" s="52"/>
      <c r="X47" s="155">
        <v>0</v>
      </c>
      <c r="Y47" s="52"/>
      <c r="Z47" s="155">
        <v>0</v>
      </c>
      <c r="AA47" s="52"/>
      <c r="AB47" s="155">
        <v>0</v>
      </c>
      <c r="AC47" s="52"/>
      <c r="AD47" s="155">
        <v>0</v>
      </c>
      <c r="AE47" s="156">
        <f t="shared" si="8"/>
        <v>0</v>
      </c>
      <c r="AF47" s="157">
        <f t="shared" si="8"/>
        <v>0</v>
      </c>
    </row>
    <row r="48" spans="1:32" ht="20.100000000000001" customHeight="1">
      <c r="A48" s="2"/>
      <c r="B48" s="2"/>
      <c r="C48" s="2"/>
      <c r="D48" s="2"/>
      <c r="E48" s="2"/>
      <c r="F48" s="2"/>
      <c r="G48" s="52"/>
      <c r="H48" s="143">
        <f t="shared" si="1"/>
        <v>0</v>
      </c>
      <c r="I48" s="52"/>
      <c r="J48" s="155">
        <f t="shared" si="2"/>
        <v>0</v>
      </c>
      <c r="K48" s="52"/>
      <c r="L48" s="155">
        <f t="shared" si="3"/>
        <v>0</v>
      </c>
      <c r="M48" s="52"/>
      <c r="N48" s="155">
        <f t="shared" si="4"/>
        <v>0</v>
      </c>
      <c r="O48" s="52"/>
      <c r="P48" s="155">
        <v>0</v>
      </c>
      <c r="Q48" s="52"/>
      <c r="R48" s="155">
        <f t="shared" si="5"/>
        <v>0</v>
      </c>
      <c r="S48" s="52"/>
      <c r="T48" s="155">
        <f t="shared" si="6"/>
        <v>0</v>
      </c>
      <c r="U48" s="52"/>
      <c r="V48" s="155">
        <f t="shared" si="7"/>
        <v>0</v>
      </c>
      <c r="W48" s="52"/>
      <c r="X48" s="155">
        <v>0</v>
      </c>
      <c r="Y48" s="52"/>
      <c r="Z48" s="155">
        <v>0</v>
      </c>
      <c r="AA48" s="52"/>
      <c r="AB48" s="155">
        <v>0</v>
      </c>
      <c r="AC48" s="52"/>
      <c r="AD48" s="155">
        <v>0</v>
      </c>
      <c r="AE48" s="156">
        <f t="shared" si="8"/>
        <v>0</v>
      </c>
      <c r="AF48" s="157">
        <f t="shared" si="8"/>
        <v>0</v>
      </c>
    </row>
    <row r="49" spans="1:32" ht="20.100000000000001" customHeight="1">
      <c r="A49" s="2">
        <v>41</v>
      </c>
      <c r="B49" s="2" t="s">
        <v>52</v>
      </c>
      <c r="C49" s="2" t="s">
        <v>17</v>
      </c>
      <c r="D49" s="2">
        <v>1</v>
      </c>
      <c r="E49" s="2" t="s">
        <v>15</v>
      </c>
      <c r="F49" s="2"/>
      <c r="G49" s="52"/>
      <c r="H49" s="143">
        <f t="shared" si="1"/>
        <v>0</v>
      </c>
      <c r="I49" s="52"/>
      <c r="J49" s="155">
        <f t="shared" si="2"/>
        <v>0</v>
      </c>
      <c r="K49" s="52"/>
      <c r="L49" s="155">
        <f t="shared" si="3"/>
        <v>0</v>
      </c>
      <c r="M49" s="52"/>
      <c r="N49" s="155">
        <f t="shared" si="4"/>
        <v>0</v>
      </c>
      <c r="O49" s="52"/>
      <c r="P49" s="155">
        <v>0</v>
      </c>
      <c r="Q49" s="52"/>
      <c r="R49" s="155">
        <f t="shared" si="5"/>
        <v>0</v>
      </c>
      <c r="S49" s="52"/>
      <c r="T49" s="155">
        <f t="shared" si="6"/>
        <v>0</v>
      </c>
      <c r="U49" s="52"/>
      <c r="V49" s="155">
        <f t="shared" si="7"/>
        <v>0</v>
      </c>
      <c r="W49" s="52"/>
      <c r="X49" s="155">
        <v>0</v>
      </c>
      <c r="Y49" s="52"/>
      <c r="Z49" s="155">
        <v>0</v>
      </c>
      <c r="AA49" s="52"/>
      <c r="AB49" s="155">
        <v>0</v>
      </c>
      <c r="AC49" s="52"/>
      <c r="AD49" s="155">
        <v>0</v>
      </c>
      <c r="AE49" s="156">
        <f t="shared" si="8"/>
        <v>0</v>
      </c>
      <c r="AF49" s="157">
        <f t="shared" si="8"/>
        <v>0</v>
      </c>
    </row>
    <row r="50" spans="1:32" ht="20.100000000000001" customHeight="1">
      <c r="A50" s="2">
        <v>42</v>
      </c>
      <c r="B50" s="2" t="s">
        <v>52</v>
      </c>
      <c r="C50" s="2" t="s">
        <v>17</v>
      </c>
      <c r="D50" s="2">
        <v>1</v>
      </c>
      <c r="E50" s="2" t="s">
        <v>24</v>
      </c>
      <c r="F50" s="2"/>
      <c r="G50" s="52"/>
      <c r="H50" s="143">
        <f t="shared" si="1"/>
        <v>0</v>
      </c>
      <c r="I50" s="52"/>
      <c r="J50" s="155">
        <f t="shared" si="2"/>
        <v>0</v>
      </c>
      <c r="K50" s="52"/>
      <c r="L50" s="155">
        <f t="shared" si="3"/>
        <v>0</v>
      </c>
      <c r="M50" s="52"/>
      <c r="N50" s="155">
        <f t="shared" si="4"/>
        <v>0</v>
      </c>
      <c r="O50" s="52"/>
      <c r="P50" s="155">
        <v>0</v>
      </c>
      <c r="Q50" s="52"/>
      <c r="R50" s="155">
        <f t="shared" si="5"/>
        <v>0</v>
      </c>
      <c r="S50" s="52"/>
      <c r="T50" s="155">
        <f t="shared" si="6"/>
        <v>0</v>
      </c>
      <c r="U50" s="52"/>
      <c r="V50" s="155">
        <f t="shared" si="7"/>
        <v>0</v>
      </c>
      <c r="W50" s="52"/>
      <c r="X50" s="155">
        <v>0</v>
      </c>
      <c r="Y50" s="52"/>
      <c r="Z50" s="155">
        <v>0</v>
      </c>
      <c r="AA50" s="52"/>
      <c r="AB50" s="155">
        <v>0</v>
      </c>
      <c r="AC50" s="52"/>
      <c r="AD50" s="155">
        <v>0</v>
      </c>
      <c r="AE50" s="156">
        <f t="shared" si="8"/>
        <v>0</v>
      </c>
      <c r="AF50" s="157">
        <f t="shared" si="8"/>
        <v>0</v>
      </c>
    </row>
    <row r="51" spans="1:32" ht="20.100000000000001" customHeight="1">
      <c r="A51" s="2">
        <v>43</v>
      </c>
      <c r="B51" s="2" t="s">
        <v>53</v>
      </c>
      <c r="C51" s="2" t="s">
        <v>14</v>
      </c>
      <c r="D51" s="2">
        <v>0.64</v>
      </c>
      <c r="E51" s="2" t="s">
        <v>25</v>
      </c>
      <c r="F51" s="2">
        <v>1370</v>
      </c>
      <c r="G51" s="52">
        <v>154924</v>
      </c>
      <c r="H51" s="143">
        <f t="shared" si="1"/>
        <v>99151.360000000001</v>
      </c>
      <c r="I51" s="52">
        <v>128100</v>
      </c>
      <c r="J51" s="155">
        <f t="shared" si="2"/>
        <v>81984</v>
      </c>
      <c r="K51" s="52">
        <v>168241</v>
      </c>
      <c r="L51" s="155">
        <f t="shared" si="3"/>
        <v>107674.24000000001</v>
      </c>
      <c r="M51" s="52">
        <v>113416</v>
      </c>
      <c r="N51" s="155">
        <f t="shared" si="4"/>
        <v>72586.240000000005</v>
      </c>
      <c r="O51" s="52">
        <v>125095</v>
      </c>
      <c r="P51" s="155">
        <v>80060.800000000003</v>
      </c>
      <c r="Q51" s="52">
        <v>129262</v>
      </c>
      <c r="R51" s="155">
        <f t="shared" si="5"/>
        <v>82727.680000000008</v>
      </c>
      <c r="S51" s="52">
        <v>129416</v>
      </c>
      <c r="T51" s="155">
        <f t="shared" si="6"/>
        <v>82826.240000000005</v>
      </c>
      <c r="U51" s="52">
        <v>113666</v>
      </c>
      <c r="V51" s="155">
        <f t="shared" si="7"/>
        <v>72746.240000000005</v>
      </c>
      <c r="W51" s="52">
        <v>130958</v>
      </c>
      <c r="X51" s="155">
        <v>83813.119999999995</v>
      </c>
      <c r="Y51" s="52">
        <v>123398</v>
      </c>
      <c r="Z51" s="155">
        <v>78974.720000000001</v>
      </c>
      <c r="AA51" s="52">
        <v>132608</v>
      </c>
      <c r="AB51" s="155">
        <v>84869.119999999995</v>
      </c>
      <c r="AC51" s="52">
        <v>129794</v>
      </c>
      <c r="AD51" s="155">
        <v>83068.160000000003</v>
      </c>
      <c r="AE51" s="156">
        <f t="shared" si="8"/>
        <v>1578878</v>
      </c>
      <c r="AF51" s="157">
        <f t="shared" si="8"/>
        <v>1010481.9199999999</v>
      </c>
    </row>
    <row r="52" spans="1:32" ht="20.100000000000001" customHeight="1">
      <c r="A52" s="2">
        <v>44</v>
      </c>
      <c r="B52" s="2" t="s">
        <v>53</v>
      </c>
      <c r="C52" s="2" t="s">
        <v>14</v>
      </c>
      <c r="D52" s="2">
        <v>0.64</v>
      </c>
      <c r="E52" s="2" t="s">
        <v>24</v>
      </c>
      <c r="F52" s="2"/>
      <c r="G52" s="52"/>
      <c r="H52" s="143">
        <f t="shared" si="1"/>
        <v>0</v>
      </c>
      <c r="I52" s="52"/>
      <c r="J52" s="155">
        <f t="shared" si="2"/>
        <v>0</v>
      </c>
      <c r="K52" s="52"/>
      <c r="L52" s="155">
        <f t="shared" si="3"/>
        <v>0</v>
      </c>
      <c r="M52" s="52"/>
      <c r="N52" s="155">
        <f t="shared" si="4"/>
        <v>0</v>
      </c>
      <c r="O52" s="52"/>
      <c r="P52" s="155">
        <v>0</v>
      </c>
      <c r="Q52" s="52"/>
      <c r="R52" s="155">
        <f t="shared" si="5"/>
        <v>0</v>
      </c>
      <c r="S52" s="52"/>
      <c r="T52" s="155">
        <f t="shared" si="6"/>
        <v>0</v>
      </c>
      <c r="U52" s="52"/>
      <c r="V52" s="155">
        <f t="shared" si="7"/>
        <v>0</v>
      </c>
      <c r="W52" s="52"/>
      <c r="X52" s="155">
        <v>0</v>
      </c>
      <c r="Y52" s="52"/>
      <c r="Z52" s="155">
        <v>0</v>
      </c>
      <c r="AA52" s="52"/>
      <c r="AB52" s="155">
        <v>0</v>
      </c>
      <c r="AC52" s="52"/>
      <c r="AD52" s="155">
        <v>0</v>
      </c>
      <c r="AE52" s="156">
        <f t="shared" si="8"/>
        <v>0</v>
      </c>
      <c r="AF52" s="157">
        <f t="shared" si="8"/>
        <v>0</v>
      </c>
    </row>
    <row r="53" spans="1:32" ht="20.100000000000001" customHeight="1">
      <c r="A53" s="2"/>
      <c r="B53" s="2"/>
      <c r="C53" s="2"/>
      <c r="D53" s="2"/>
      <c r="E53" s="2"/>
      <c r="F53" s="2"/>
      <c r="G53" s="52"/>
      <c r="H53" s="143">
        <f t="shared" si="1"/>
        <v>0</v>
      </c>
      <c r="I53" s="52"/>
      <c r="J53" s="155">
        <f t="shared" si="2"/>
        <v>0</v>
      </c>
      <c r="K53" s="52"/>
      <c r="L53" s="155">
        <f t="shared" si="3"/>
        <v>0</v>
      </c>
      <c r="M53" s="52"/>
      <c r="N53" s="155">
        <f t="shared" si="4"/>
        <v>0</v>
      </c>
      <c r="O53" s="52"/>
      <c r="P53" s="155">
        <v>0</v>
      </c>
      <c r="Q53" s="52"/>
      <c r="R53" s="155">
        <f t="shared" si="5"/>
        <v>0</v>
      </c>
      <c r="S53" s="52"/>
      <c r="T53" s="155">
        <f t="shared" si="6"/>
        <v>0</v>
      </c>
      <c r="U53" s="52"/>
      <c r="V53" s="155">
        <f t="shared" si="7"/>
        <v>0</v>
      </c>
      <c r="W53" s="52"/>
      <c r="X53" s="155">
        <v>0</v>
      </c>
      <c r="Y53" s="52"/>
      <c r="Z53" s="155">
        <v>0</v>
      </c>
      <c r="AA53" s="52"/>
      <c r="AB53" s="155">
        <v>0</v>
      </c>
      <c r="AC53" s="52"/>
      <c r="AD53" s="155">
        <v>0</v>
      </c>
      <c r="AE53" s="156">
        <f t="shared" si="8"/>
        <v>0</v>
      </c>
      <c r="AF53" s="157">
        <f t="shared" si="8"/>
        <v>0</v>
      </c>
    </row>
    <row r="54" spans="1:32" ht="20.100000000000001" customHeight="1">
      <c r="A54" s="2"/>
      <c r="B54" s="2"/>
      <c r="C54" s="2"/>
      <c r="D54" s="2"/>
      <c r="E54" s="2"/>
      <c r="F54" s="2"/>
      <c r="G54" s="52"/>
      <c r="H54" s="143">
        <f t="shared" si="1"/>
        <v>0</v>
      </c>
      <c r="I54" s="52"/>
      <c r="J54" s="155">
        <f t="shared" si="2"/>
        <v>0</v>
      </c>
      <c r="K54" s="52"/>
      <c r="L54" s="155">
        <f t="shared" si="3"/>
        <v>0</v>
      </c>
      <c r="M54" s="52"/>
      <c r="N54" s="155">
        <f t="shared" si="4"/>
        <v>0</v>
      </c>
      <c r="O54" s="52"/>
      <c r="P54" s="155">
        <v>0</v>
      </c>
      <c r="Q54" s="52"/>
      <c r="R54" s="155">
        <f t="shared" si="5"/>
        <v>0</v>
      </c>
      <c r="S54" s="52"/>
      <c r="T54" s="155">
        <f t="shared" si="6"/>
        <v>0</v>
      </c>
      <c r="U54" s="52"/>
      <c r="V54" s="155">
        <f t="shared" si="7"/>
        <v>0</v>
      </c>
      <c r="W54" s="52"/>
      <c r="X54" s="155">
        <v>0</v>
      </c>
      <c r="Y54" s="52"/>
      <c r="Z54" s="155">
        <v>0</v>
      </c>
      <c r="AA54" s="52"/>
      <c r="AB54" s="155">
        <v>0</v>
      </c>
      <c r="AC54" s="52"/>
      <c r="AD54" s="155">
        <v>0</v>
      </c>
      <c r="AE54" s="156">
        <f t="shared" si="8"/>
        <v>0</v>
      </c>
      <c r="AF54" s="157">
        <f t="shared" si="8"/>
        <v>0</v>
      </c>
    </row>
    <row r="55" spans="1:32" ht="20.100000000000001" customHeight="1">
      <c r="A55" s="2">
        <v>45</v>
      </c>
      <c r="B55" s="2" t="s">
        <v>54</v>
      </c>
      <c r="C55" s="2" t="s">
        <v>17</v>
      </c>
      <c r="D55" s="2">
        <v>1</v>
      </c>
      <c r="E55" s="2" t="s">
        <v>15</v>
      </c>
      <c r="F55" s="2"/>
      <c r="G55" s="52"/>
      <c r="H55" s="143">
        <f t="shared" si="1"/>
        <v>0</v>
      </c>
      <c r="I55" s="52"/>
      <c r="J55" s="155">
        <f t="shared" si="2"/>
        <v>0</v>
      </c>
      <c r="K55" s="52"/>
      <c r="L55" s="155">
        <f t="shared" si="3"/>
        <v>0</v>
      </c>
      <c r="M55" s="52"/>
      <c r="N55" s="155">
        <f t="shared" si="4"/>
        <v>0</v>
      </c>
      <c r="O55" s="52"/>
      <c r="P55" s="155">
        <v>0</v>
      </c>
      <c r="Q55" s="52"/>
      <c r="R55" s="155">
        <f t="shared" si="5"/>
        <v>0</v>
      </c>
      <c r="S55" s="52"/>
      <c r="T55" s="155">
        <f t="shared" si="6"/>
        <v>0</v>
      </c>
      <c r="U55" s="52"/>
      <c r="V55" s="155">
        <f t="shared" si="7"/>
        <v>0</v>
      </c>
      <c r="W55" s="52"/>
      <c r="X55" s="155">
        <v>0</v>
      </c>
      <c r="Y55" s="52"/>
      <c r="Z55" s="155">
        <v>0</v>
      </c>
      <c r="AA55" s="52"/>
      <c r="AB55" s="155">
        <v>0</v>
      </c>
      <c r="AC55" s="52"/>
      <c r="AD55" s="155">
        <v>0</v>
      </c>
      <c r="AE55" s="156">
        <f t="shared" si="8"/>
        <v>0</v>
      </c>
      <c r="AF55" s="157">
        <f t="shared" si="8"/>
        <v>0</v>
      </c>
    </row>
    <row r="56" spans="1:32" ht="20.100000000000001" customHeight="1">
      <c r="A56" s="2">
        <v>46</v>
      </c>
      <c r="B56" s="2" t="s">
        <v>55</v>
      </c>
      <c r="C56" s="2" t="s">
        <v>17</v>
      </c>
      <c r="D56" s="2">
        <v>0.6</v>
      </c>
      <c r="E56" s="2" t="s">
        <v>15</v>
      </c>
      <c r="F56" s="2"/>
      <c r="G56" s="52"/>
      <c r="H56" s="143">
        <f t="shared" si="1"/>
        <v>0</v>
      </c>
      <c r="I56" s="52"/>
      <c r="J56" s="155">
        <f t="shared" si="2"/>
        <v>0</v>
      </c>
      <c r="K56" s="52"/>
      <c r="L56" s="155">
        <f t="shared" si="3"/>
        <v>0</v>
      </c>
      <c r="M56" s="52"/>
      <c r="N56" s="155">
        <f t="shared" si="4"/>
        <v>0</v>
      </c>
      <c r="O56" s="52"/>
      <c r="P56" s="155">
        <v>0</v>
      </c>
      <c r="Q56" s="52"/>
      <c r="R56" s="155">
        <f t="shared" si="5"/>
        <v>0</v>
      </c>
      <c r="S56" s="52"/>
      <c r="T56" s="155">
        <f t="shared" si="6"/>
        <v>0</v>
      </c>
      <c r="U56" s="52"/>
      <c r="V56" s="155">
        <f t="shared" si="7"/>
        <v>0</v>
      </c>
      <c r="W56" s="52"/>
      <c r="X56" s="155">
        <v>0</v>
      </c>
      <c r="Y56" s="52"/>
      <c r="Z56" s="155">
        <v>0</v>
      </c>
      <c r="AA56" s="52"/>
      <c r="AB56" s="155">
        <v>0</v>
      </c>
      <c r="AC56" s="52"/>
      <c r="AD56" s="155">
        <v>0</v>
      </c>
      <c r="AE56" s="156">
        <f t="shared" si="8"/>
        <v>0</v>
      </c>
      <c r="AF56" s="157">
        <f t="shared" si="8"/>
        <v>0</v>
      </c>
    </row>
    <row r="57" spans="1:32" ht="20.100000000000001" customHeight="1">
      <c r="A57" s="2">
        <v>47</v>
      </c>
      <c r="B57" s="2" t="s">
        <v>170</v>
      </c>
      <c r="C57" s="2" t="s">
        <v>14</v>
      </c>
      <c r="D57" s="2">
        <v>0.64</v>
      </c>
      <c r="E57" s="2" t="s">
        <v>25</v>
      </c>
      <c r="F57" s="2">
        <v>1330</v>
      </c>
      <c r="G57" s="52">
        <v>68715</v>
      </c>
      <c r="H57" s="143">
        <f t="shared" si="1"/>
        <v>43977.599999999999</v>
      </c>
      <c r="I57" s="52">
        <v>60634</v>
      </c>
      <c r="J57" s="155">
        <f t="shared" si="2"/>
        <v>38805.760000000002</v>
      </c>
      <c r="K57" s="52">
        <v>70656</v>
      </c>
      <c r="L57" s="155">
        <f t="shared" si="3"/>
        <v>45219.840000000004</v>
      </c>
      <c r="M57" s="52">
        <v>50554</v>
      </c>
      <c r="N57" s="155">
        <f t="shared" si="4"/>
        <v>32354.560000000001</v>
      </c>
      <c r="O57" s="52">
        <v>59329</v>
      </c>
      <c r="P57" s="155">
        <v>37970.559999999998</v>
      </c>
      <c r="Q57" s="52">
        <v>56182</v>
      </c>
      <c r="R57" s="155">
        <f t="shared" si="5"/>
        <v>35956.480000000003</v>
      </c>
      <c r="S57" s="52">
        <v>51492</v>
      </c>
      <c r="T57" s="155">
        <f t="shared" si="6"/>
        <v>32954.879999999997</v>
      </c>
      <c r="U57" s="52">
        <v>53284</v>
      </c>
      <c r="V57" s="155">
        <f t="shared" si="7"/>
        <v>34101.760000000002</v>
      </c>
      <c r="W57" s="52">
        <v>53508</v>
      </c>
      <c r="X57" s="155">
        <v>34245.120000000003</v>
      </c>
      <c r="Y57" s="52">
        <v>58674</v>
      </c>
      <c r="Z57" s="155">
        <v>37551.360000000001</v>
      </c>
      <c r="AA57" s="52">
        <v>56952</v>
      </c>
      <c r="AB57" s="155">
        <v>36449.279999999999</v>
      </c>
      <c r="AC57" s="52">
        <v>58660</v>
      </c>
      <c r="AD57" s="155">
        <v>37542.400000000001</v>
      </c>
      <c r="AE57" s="156">
        <f t="shared" si="8"/>
        <v>698640</v>
      </c>
      <c r="AF57" s="157">
        <f t="shared" si="8"/>
        <v>447129.59999999998</v>
      </c>
    </row>
    <row r="58" spans="1:32" ht="20.100000000000001" customHeight="1">
      <c r="A58" s="2">
        <v>48</v>
      </c>
      <c r="B58" s="2" t="s">
        <v>170</v>
      </c>
      <c r="C58" s="2" t="s">
        <v>14</v>
      </c>
      <c r="D58" s="2">
        <v>0.64</v>
      </c>
      <c r="E58" s="2" t="s">
        <v>24</v>
      </c>
      <c r="F58" s="2"/>
      <c r="G58" s="52"/>
      <c r="H58" s="143">
        <f t="shared" si="1"/>
        <v>0</v>
      </c>
      <c r="I58" s="52"/>
      <c r="J58" s="155">
        <f t="shared" si="2"/>
        <v>0</v>
      </c>
      <c r="K58" s="52"/>
      <c r="L58" s="155">
        <f t="shared" si="3"/>
        <v>0</v>
      </c>
      <c r="M58" s="52"/>
      <c r="N58" s="155">
        <f t="shared" si="4"/>
        <v>0</v>
      </c>
      <c r="O58" s="52"/>
      <c r="P58" s="155">
        <v>0</v>
      </c>
      <c r="Q58" s="52"/>
      <c r="R58" s="155">
        <f t="shared" si="5"/>
        <v>0</v>
      </c>
      <c r="S58" s="52"/>
      <c r="T58" s="155">
        <f t="shared" si="6"/>
        <v>0</v>
      </c>
      <c r="U58" s="52"/>
      <c r="V58" s="155">
        <f t="shared" si="7"/>
        <v>0</v>
      </c>
      <c r="W58" s="52"/>
      <c r="X58" s="155">
        <v>0</v>
      </c>
      <c r="Y58" s="52"/>
      <c r="Z58" s="155">
        <v>0</v>
      </c>
      <c r="AA58" s="52"/>
      <c r="AB58" s="155">
        <v>0</v>
      </c>
      <c r="AC58" s="52"/>
      <c r="AD58" s="155">
        <v>0</v>
      </c>
      <c r="AE58" s="156">
        <f t="shared" si="8"/>
        <v>0</v>
      </c>
      <c r="AF58" s="157">
        <f t="shared" si="8"/>
        <v>0</v>
      </c>
    </row>
    <row r="59" spans="1:32" ht="20.100000000000001" customHeight="1">
      <c r="A59" s="2"/>
      <c r="B59" s="2"/>
      <c r="C59" s="2"/>
      <c r="D59" s="2"/>
      <c r="E59" s="2"/>
      <c r="F59" s="2"/>
      <c r="G59" s="52"/>
      <c r="H59" s="143">
        <f t="shared" si="1"/>
        <v>0</v>
      </c>
      <c r="I59" s="52"/>
      <c r="J59" s="155">
        <f t="shared" si="2"/>
        <v>0</v>
      </c>
      <c r="K59" s="52"/>
      <c r="L59" s="155">
        <f t="shared" si="3"/>
        <v>0</v>
      </c>
      <c r="M59" s="52"/>
      <c r="N59" s="155">
        <f t="shared" si="4"/>
        <v>0</v>
      </c>
      <c r="O59" s="52"/>
      <c r="P59" s="155">
        <v>0</v>
      </c>
      <c r="Q59" s="52"/>
      <c r="R59" s="155">
        <f t="shared" si="5"/>
        <v>0</v>
      </c>
      <c r="S59" s="52"/>
      <c r="T59" s="155">
        <f t="shared" si="6"/>
        <v>0</v>
      </c>
      <c r="U59" s="52"/>
      <c r="V59" s="155">
        <f t="shared" si="7"/>
        <v>0</v>
      </c>
      <c r="W59" s="52"/>
      <c r="X59" s="155">
        <v>0</v>
      </c>
      <c r="Y59" s="52"/>
      <c r="Z59" s="155">
        <v>0</v>
      </c>
      <c r="AA59" s="52"/>
      <c r="AB59" s="155">
        <v>0</v>
      </c>
      <c r="AC59" s="52"/>
      <c r="AD59" s="155">
        <v>0</v>
      </c>
      <c r="AE59" s="156">
        <f t="shared" si="8"/>
        <v>0</v>
      </c>
      <c r="AF59" s="157">
        <f t="shared" si="8"/>
        <v>0</v>
      </c>
    </row>
    <row r="60" spans="1:32" ht="20.100000000000001" customHeight="1">
      <c r="A60" s="2">
        <v>49</v>
      </c>
      <c r="B60" s="2" t="s">
        <v>57</v>
      </c>
      <c r="C60" s="2" t="s">
        <v>17</v>
      </c>
      <c r="D60" s="2">
        <v>1</v>
      </c>
      <c r="E60" s="2" t="s">
        <v>15</v>
      </c>
      <c r="F60" s="2"/>
      <c r="G60" s="52"/>
      <c r="H60" s="143">
        <f t="shared" si="1"/>
        <v>0</v>
      </c>
      <c r="I60" s="52"/>
      <c r="J60" s="155">
        <f t="shared" si="2"/>
        <v>0</v>
      </c>
      <c r="K60" s="52"/>
      <c r="L60" s="155">
        <f t="shared" si="3"/>
        <v>0</v>
      </c>
      <c r="M60" s="52"/>
      <c r="N60" s="155">
        <f t="shared" si="4"/>
        <v>0</v>
      </c>
      <c r="O60" s="52"/>
      <c r="P60" s="155">
        <v>0</v>
      </c>
      <c r="Q60" s="52"/>
      <c r="R60" s="155">
        <f t="shared" si="5"/>
        <v>0</v>
      </c>
      <c r="S60" s="52"/>
      <c r="T60" s="155">
        <f t="shared" si="6"/>
        <v>0</v>
      </c>
      <c r="U60" s="52"/>
      <c r="V60" s="155">
        <f t="shared" si="7"/>
        <v>0</v>
      </c>
      <c r="W60" s="52"/>
      <c r="X60" s="155">
        <v>0</v>
      </c>
      <c r="Y60" s="52"/>
      <c r="Z60" s="155">
        <v>0</v>
      </c>
      <c r="AA60" s="52"/>
      <c r="AB60" s="155">
        <v>0</v>
      </c>
      <c r="AC60" s="52"/>
      <c r="AD60" s="155">
        <v>0</v>
      </c>
      <c r="AE60" s="156">
        <f t="shared" si="8"/>
        <v>0</v>
      </c>
      <c r="AF60" s="157">
        <f t="shared" si="8"/>
        <v>0</v>
      </c>
    </row>
    <row r="61" spans="1:32" ht="20.100000000000001" customHeight="1">
      <c r="A61" s="2">
        <v>50</v>
      </c>
      <c r="B61" s="71" t="s">
        <v>58</v>
      </c>
      <c r="C61" s="2"/>
      <c r="D61" s="2">
        <v>0.6</v>
      </c>
      <c r="E61" s="2"/>
      <c r="F61" s="2"/>
      <c r="G61" s="52"/>
      <c r="H61" s="143">
        <f t="shared" si="1"/>
        <v>0</v>
      </c>
      <c r="I61" s="52"/>
      <c r="J61" s="155">
        <f t="shared" si="2"/>
        <v>0</v>
      </c>
      <c r="K61" s="52"/>
      <c r="L61" s="155">
        <f t="shared" si="3"/>
        <v>0</v>
      </c>
      <c r="M61" s="52"/>
      <c r="N61" s="155">
        <f t="shared" si="4"/>
        <v>0</v>
      </c>
      <c r="O61" s="52"/>
      <c r="P61" s="155">
        <v>0</v>
      </c>
      <c r="Q61" s="52"/>
      <c r="R61" s="155">
        <f t="shared" si="5"/>
        <v>0</v>
      </c>
      <c r="S61" s="52"/>
      <c r="T61" s="155">
        <f t="shared" si="6"/>
        <v>0</v>
      </c>
      <c r="U61" s="52"/>
      <c r="V61" s="155">
        <f t="shared" si="7"/>
        <v>0</v>
      </c>
      <c r="W61" s="52"/>
      <c r="X61" s="155">
        <v>0</v>
      </c>
      <c r="Y61" s="52"/>
      <c r="Z61" s="155">
        <v>0</v>
      </c>
      <c r="AA61" s="52"/>
      <c r="AB61" s="155">
        <v>0</v>
      </c>
      <c r="AC61" s="52"/>
      <c r="AD61" s="155">
        <v>0</v>
      </c>
      <c r="AE61" s="156">
        <f>SUM(G61,I61,K61,M61,O61,Q61,S61,U61,W61,Y61,AA61,AC61)</f>
        <v>0</v>
      </c>
      <c r="AF61" s="157">
        <f>SUM(H61,J61,L61,N61,P61,R61,T61,V61,X61,Z61,AB61,AD61)</f>
        <v>0</v>
      </c>
    </row>
    <row r="62" spans="1:32" ht="20.100000000000001" customHeight="1">
      <c r="A62" s="2">
        <v>51</v>
      </c>
      <c r="B62" s="2" t="s">
        <v>59</v>
      </c>
      <c r="C62" s="2" t="s">
        <v>17</v>
      </c>
      <c r="D62" s="2">
        <v>0.35</v>
      </c>
      <c r="E62" s="2" t="s">
        <v>21</v>
      </c>
      <c r="F62" s="2"/>
      <c r="G62" s="52"/>
      <c r="H62" s="143">
        <f t="shared" si="1"/>
        <v>0</v>
      </c>
      <c r="I62" s="52"/>
      <c r="J62" s="155">
        <f t="shared" si="2"/>
        <v>0</v>
      </c>
      <c r="K62" s="52"/>
      <c r="L62" s="155">
        <f t="shared" si="3"/>
        <v>0</v>
      </c>
      <c r="M62" s="52"/>
      <c r="N62" s="155">
        <f t="shared" si="4"/>
        <v>0</v>
      </c>
      <c r="O62" s="52"/>
      <c r="P62" s="155">
        <v>0</v>
      </c>
      <c r="Q62" s="52"/>
      <c r="R62" s="155">
        <f t="shared" si="5"/>
        <v>0</v>
      </c>
      <c r="S62" s="52"/>
      <c r="T62" s="155">
        <f t="shared" si="6"/>
        <v>0</v>
      </c>
      <c r="U62" s="52"/>
      <c r="V62" s="155">
        <f t="shared" si="7"/>
        <v>0</v>
      </c>
      <c r="W62" s="52"/>
      <c r="X62" s="155">
        <v>0</v>
      </c>
      <c r="Y62" s="52"/>
      <c r="Z62" s="155">
        <v>0</v>
      </c>
      <c r="AA62" s="52"/>
      <c r="AB62" s="155">
        <v>0</v>
      </c>
      <c r="AC62" s="52"/>
      <c r="AD62" s="155">
        <v>0</v>
      </c>
      <c r="AE62" s="156">
        <f t="shared" si="8"/>
        <v>0</v>
      </c>
      <c r="AF62" s="157">
        <f t="shared" si="8"/>
        <v>0</v>
      </c>
    </row>
    <row r="63" spans="1:32" ht="20.100000000000001" customHeight="1">
      <c r="A63" s="2">
        <v>52</v>
      </c>
      <c r="B63" s="2" t="s">
        <v>60</v>
      </c>
      <c r="C63" s="2" t="s">
        <v>14</v>
      </c>
      <c r="D63" s="2">
        <v>0.64</v>
      </c>
      <c r="E63" s="2" t="s">
        <v>25</v>
      </c>
      <c r="F63" s="2">
        <v>1350</v>
      </c>
      <c r="G63" s="52">
        <v>6650</v>
      </c>
      <c r="H63" s="143">
        <f t="shared" si="1"/>
        <v>4256</v>
      </c>
      <c r="I63" s="52">
        <v>3500</v>
      </c>
      <c r="J63" s="155">
        <f t="shared" si="2"/>
        <v>2240</v>
      </c>
      <c r="K63" s="52">
        <v>6762</v>
      </c>
      <c r="L63" s="155">
        <f t="shared" si="3"/>
        <v>4327.68</v>
      </c>
      <c r="M63" s="52">
        <v>3514</v>
      </c>
      <c r="N63" s="155">
        <f t="shared" si="4"/>
        <v>2248.96</v>
      </c>
      <c r="O63" s="52">
        <v>4410</v>
      </c>
      <c r="P63" s="155">
        <v>2822.4</v>
      </c>
      <c r="Q63" s="52">
        <v>6356</v>
      </c>
      <c r="R63" s="155">
        <f>Q63*$D63</f>
        <v>4067.84</v>
      </c>
      <c r="S63" s="52">
        <v>5292</v>
      </c>
      <c r="T63" s="155">
        <f t="shared" si="6"/>
        <v>3386.88</v>
      </c>
      <c r="U63" s="52">
        <v>5614</v>
      </c>
      <c r="V63" s="155">
        <f>U63*$D63</f>
        <v>3592.96</v>
      </c>
      <c r="W63" s="52">
        <v>5390</v>
      </c>
      <c r="X63" s="155">
        <v>3449.6</v>
      </c>
      <c r="Y63" s="52">
        <v>4522</v>
      </c>
      <c r="Z63" s="155">
        <v>2894.08</v>
      </c>
      <c r="AA63" s="52">
        <v>3724</v>
      </c>
      <c r="AB63" s="155">
        <v>2383.36</v>
      </c>
      <c r="AC63" s="52">
        <v>4900</v>
      </c>
      <c r="AD63" s="155">
        <v>3136</v>
      </c>
      <c r="AE63" s="156">
        <f t="shared" si="8"/>
        <v>60634</v>
      </c>
      <c r="AF63" s="157">
        <f t="shared" si="8"/>
        <v>38805.759999999995</v>
      </c>
    </row>
    <row r="64" spans="1:32" ht="20.100000000000001" customHeight="1">
      <c r="A64" s="2">
        <v>53</v>
      </c>
      <c r="B64" s="2" t="s">
        <v>61</v>
      </c>
      <c r="C64" s="2" t="s">
        <v>14</v>
      </c>
      <c r="D64" s="2">
        <v>0.64</v>
      </c>
      <c r="E64" s="2" t="s">
        <v>25</v>
      </c>
      <c r="F64" s="2">
        <v>1180</v>
      </c>
      <c r="G64" s="52">
        <v>210</v>
      </c>
      <c r="H64" s="143">
        <f t="shared" si="1"/>
        <v>134.4</v>
      </c>
      <c r="I64" s="52">
        <v>168</v>
      </c>
      <c r="J64" s="155">
        <f t="shared" si="2"/>
        <v>107.52</v>
      </c>
      <c r="K64" s="52">
        <v>686</v>
      </c>
      <c r="L64" s="155">
        <f t="shared" si="3"/>
        <v>439.04</v>
      </c>
      <c r="M64" s="52">
        <v>112</v>
      </c>
      <c r="N64" s="155">
        <f>M64*$D64</f>
        <v>71.680000000000007</v>
      </c>
      <c r="O64" s="52">
        <v>294</v>
      </c>
      <c r="P64" s="155">
        <v>188.16</v>
      </c>
      <c r="Q64" s="52">
        <v>126</v>
      </c>
      <c r="R64" s="155">
        <f t="shared" si="5"/>
        <v>80.64</v>
      </c>
      <c r="S64" s="52">
        <v>182</v>
      </c>
      <c r="T64" s="155">
        <f>S64*$D64</f>
        <v>116.48</v>
      </c>
      <c r="U64" s="52">
        <v>210</v>
      </c>
      <c r="V64" s="155">
        <f t="shared" si="7"/>
        <v>134.4</v>
      </c>
      <c r="W64" s="52">
        <v>154</v>
      </c>
      <c r="X64" s="155">
        <v>98.56</v>
      </c>
      <c r="Y64" s="52">
        <v>210</v>
      </c>
      <c r="Z64" s="155">
        <v>134.4</v>
      </c>
      <c r="AA64" s="52">
        <v>196</v>
      </c>
      <c r="AB64" s="155">
        <v>125.44</v>
      </c>
      <c r="AC64" s="52">
        <v>210</v>
      </c>
      <c r="AD64" s="155">
        <v>134.4</v>
      </c>
      <c r="AE64" s="156">
        <f t="shared" si="8"/>
        <v>2758</v>
      </c>
      <c r="AF64" s="157">
        <f t="shared" si="8"/>
        <v>1765.1200000000003</v>
      </c>
    </row>
    <row r="65" spans="1:32" ht="20.100000000000001" customHeight="1">
      <c r="A65" s="2"/>
      <c r="B65" s="2"/>
      <c r="C65" s="2"/>
      <c r="D65" s="2"/>
      <c r="E65" s="2"/>
      <c r="F65" s="2"/>
      <c r="G65" s="52"/>
      <c r="H65" s="112"/>
      <c r="I65" s="52"/>
      <c r="J65" s="155"/>
      <c r="K65" s="52"/>
      <c r="L65" s="155"/>
      <c r="M65" s="52"/>
      <c r="N65" s="155">
        <f t="shared" ref="N65:N139" si="9">M65*$D65</f>
        <v>0</v>
      </c>
      <c r="O65" s="52"/>
      <c r="P65" s="155">
        <v>0</v>
      </c>
      <c r="Q65" s="52"/>
      <c r="R65" s="155">
        <f t="shared" si="5"/>
        <v>0</v>
      </c>
      <c r="S65" s="52"/>
      <c r="T65" s="155">
        <f>S65*$D65</f>
        <v>0</v>
      </c>
      <c r="U65" s="52"/>
      <c r="V65" s="155">
        <f>U65*$D65</f>
        <v>0</v>
      </c>
      <c r="W65" s="52"/>
      <c r="X65" s="155">
        <v>0</v>
      </c>
      <c r="Y65" s="52"/>
      <c r="Z65" s="155">
        <v>0</v>
      </c>
      <c r="AA65" s="52"/>
      <c r="AB65" s="155">
        <v>0</v>
      </c>
      <c r="AC65" s="52"/>
      <c r="AD65" s="155">
        <v>0</v>
      </c>
      <c r="AE65" s="156"/>
      <c r="AF65" s="157"/>
    </row>
    <row r="66" spans="1:32" ht="20.100000000000001" customHeight="1">
      <c r="A66" s="2">
        <v>54</v>
      </c>
      <c r="B66" s="2" t="s">
        <v>62</v>
      </c>
      <c r="C66" s="2" t="s">
        <v>17</v>
      </c>
      <c r="D66" s="2">
        <v>1</v>
      </c>
      <c r="E66" s="2" t="s">
        <v>15</v>
      </c>
      <c r="F66" s="2"/>
      <c r="G66" s="52"/>
      <c r="H66" s="112">
        <f>G66*$D66</f>
        <v>0</v>
      </c>
      <c r="I66" s="52"/>
      <c r="J66" s="155">
        <f>I66*$D66</f>
        <v>0</v>
      </c>
      <c r="K66" s="52"/>
      <c r="L66" s="155">
        <f>K66*$D66</f>
        <v>0</v>
      </c>
      <c r="M66" s="52"/>
      <c r="N66" s="155">
        <f t="shared" si="9"/>
        <v>0</v>
      </c>
      <c r="O66" s="52"/>
      <c r="P66" s="155">
        <v>0</v>
      </c>
      <c r="Q66" s="52"/>
      <c r="R66" s="155">
        <f t="shared" si="5"/>
        <v>0</v>
      </c>
      <c r="S66" s="52"/>
      <c r="T66" s="155">
        <f t="shared" ref="T66:T100" si="10">S66*$D66</f>
        <v>0</v>
      </c>
      <c r="U66" s="52"/>
      <c r="V66" s="155">
        <f t="shared" ref="V66:V94" si="11">U66*$D66</f>
        <v>0</v>
      </c>
      <c r="W66" s="52"/>
      <c r="X66" s="155">
        <v>0</v>
      </c>
      <c r="Y66" s="52"/>
      <c r="Z66" s="155">
        <v>0</v>
      </c>
      <c r="AA66" s="52"/>
      <c r="AB66" s="155">
        <v>0</v>
      </c>
      <c r="AC66" s="52"/>
      <c r="AD66" s="155">
        <v>0</v>
      </c>
      <c r="AE66" s="156">
        <f t="shared" si="8"/>
        <v>0</v>
      </c>
      <c r="AF66" s="157">
        <f t="shared" si="8"/>
        <v>0</v>
      </c>
    </row>
    <row r="67" spans="1:32" ht="20.100000000000001" customHeight="1">
      <c r="A67" s="2">
        <v>55</v>
      </c>
      <c r="B67" s="2" t="s">
        <v>63</v>
      </c>
      <c r="C67" s="2" t="s">
        <v>17</v>
      </c>
      <c r="D67" s="2">
        <v>0.6</v>
      </c>
      <c r="E67" s="2" t="s">
        <v>15</v>
      </c>
      <c r="F67" s="2"/>
      <c r="G67" s="52"/>
      <c r="H67" s="112">
        <f t="shared" ref="H67:H96" si="12">G67*$D67</f>
        <v>0</v>
      </c>
      <c r="I67" s="52"/>
      <c r="J67" s="155">
        <f t="shared" ref="J67:J96" si="13">I67*$D67</f>
        <v>0</v>
      </c>
      <c r="K67" s="52"/>
      <c r="L67" s="155">
        <f t="shared" ref="L67:L96" si="14">K67*$D67</f>
        <v>0</v>
      </c>
      <c r="M67" s="52"/>
      <c r="N67" s="155">
        <f t="shared" si="9"/>
        <v>0</v>
      </c>
      <c r="O67" s="52"/>
      <c r="P67" s="155">
        <v>0</v>
      </c>
      <c r="Q67" s="52"/>
      <c r="R67" s="155">
        <f t="shared" si="5"/>
        <v>0</v>
      </c>
      <c r="S67" s="52"/>
      <c r="T67" s="155">
        <f t="shared" si="10"/>
        <v>0</v>
      </c>
      <c r="U67" s="52"/>
      <c r="V67" s="155">
        <f t="shared" si="11"/>
        <v>0</v>
      </c>
      <c r="W67" s="52"/>
      <c r="X67" s="155">
        <v>0</v>
      </c>
      <c r="Y67" s="52"/>
      <c r="Z67" s="155">
        <v>0</v>
      </c>
      <c r="AA67" s="52"/>
      <c r="AB67" s="155">
        <v>0</v>
      </c>
      <c r="AC67" s="52"/>
      <c r="AD67" s="155">
        <v>0</v>
      </c>
      <c r="AE67" s="156">
        <f t="shared" si="8"/>
        <v>0</v>
      </c>
      <c r="AF67" s="157">
        <f t="shared" si="8"/>
        <v>0</v>
      </c>
    </row>
    <row r="68" spans="1:32" ht="20.100000000000001" customHeight="1">
      <c r="A68" s="2">
        <v>56</v>
      </c>
      <c r="B68" s="2" t="s">
        <v>64</v>
      </c>
      <c r="C68" s="2" t="s">
        <v>14</v>
      </c>
      <c r="D68" s="2">
        <v>0.64</v>
      </c>
      <c r="E68" s="2" t="s">
        <v>25</v>
      </c>
      <c r="F68" s="2"/>
      <c r="G68" s="52"/>
      <c r="H68" s="112">
        <f t="shared" si="12"/>
        <v>0</v>
      </c>
      <c r="I68" s="52"/>
      <c r="J68" s="155">
        <f t="shared" si="13"/>
        <v>0</v>
      </c>
      <c r="K68" s="52"/>
      <c r="L68" s="155">
        <f t="shared" si="14"/>
        <v>0</v>
      </c>
      <c r="M68" s="52"/>
      <c r="N68" s="155">
        <f t="shared" si="9"/>
        <v>0</v>
      </c>
      <c r="O68" s="52"/>
      <c r="P68" s="155">
        <v>0</v>
      </c>
      <c r="Q68" s="52"/>
      <c r="R68" s="155">
        <f t="shared" si="5"/>
        <v>0</v>
      </c>
      <c r="S68" s="52"/>
      <c r="T68" s="155">
        <f t="shared" si="10"/>
        <v>0</v>
      </c>
      <c r="U68" s="52"/>
      <c r="V68" s="155">
        <f t="shared" si="11"/>
        <v>0</v>
      </c>
      <c r="W68" s="52"/>
      <c r="X68" s="155">
        <v>0</v>
      </c>
      <c r="Y68" s="52"/>
      <c r="Z68" s="155">
        <v>0</v>
      </c>
      <c r="AA68" s="52"/>
      <c r="AB68" s="155">
        <v>0</v>
      </c>
      <c r="AC68" s="52"/>
      <c r="AD68" s="155">
        <v>0</v>
      </c>
      <c r="AE68" s="156">
        <f t="shared" si="8"/>
        <v>0</v>
      </c>
      <c r="AF68" s="157">
        <f t="shared" si="8"/>
        <v>0</v>
      </c>
    </row>
    <row r="69" spans="1:32" ht="20.100000000000001" customHeight="1">
      <c r="A69" s="2"/>
      <c r="B69" s="2"/>
      <c r="C69" s="2"/>
      <c r="D69" s="2"/>
      <c r="E69" s="2"/>
      <c r="F69" s="2"/>
      <c r="G69" s="52"/>
      <c r="H69" s="112">
        <f t="shared" si="12"/>
        <v>0</v>
      </c>
      <c r="I69" s="52"/>
      <c r="J69" s="155">
        <f t="shared" si="13"/>
        <v>0</v>
      </c>
      <c r="K69" s="52"/>
      <c r="L69" s="155">
        <f t="shared" si="14"/>
        <v>0</v>
      </c>
      <c r="M69" s="52"/>
      <c r="N69" s="155">
        <f t="shared" si="9"/>
        <v>0</v>
      </c>
      <c r="O69" s="52"/>
      <c r="P69" s="155">
        <v>0</v>
      </c>
      <c r="Q69" s="52"/>
      <c r="R69" s="155">
        <f t="shared" ref="R69:R104" si="15">Q69*$D69</f>
        <v>0</v>
      </c>
      <c r="S69" s="52"/>
      <c r="T69" s="155">
        <f t="shared" si="10"/>
        <v>0</v>
      </c>
      <c r="U69" s="52"/>
      <c r="V69" s="155">
        <f t="shared" si="11"/>
        <v>0</v>
      </c>
      <c r="W69" s="52"/>
      <c r="X69" s="155">
        <v>0</v>
      </c>
      <c r="Y69" s="52"/>
      <c r="Z69" s="155">
        <v>0</v>
      </c>
      <c r="AA69" s="52"/>
      <c r="AB69" s="155">
        <v>0</v>
      </c>
      <c r="AC69" s="52"/>
      <c r="AD69" s="155">
        <v>0</v>
      </c>
      <c r="AE69" s="156">
        <f t="shared" si="8"/>
        <v>0</v>
      </c>
      <c r="AF69" s="157">
        <f t="shared" si="8"/>
        <v>0</v>
      </c>
    </row>
    <row r="70" spans="1:32" ht="20.100000000000001" customHeight="1">
      <c r="A70" s="2">
        <v>57</v>
      </c>
      <c r="B70" s="2" t="s">
        <v>65</v>
      </c>
      <c r="C70" s="2" t="s">
        <v>17</v>
      </c>
      <c r="D70" s="2">
        <v>1</v>
      </c>
      <c r="E70" s="2" t="s">
        <v>15</v>
      </c>
      <c r="F70" s="2"/>
      <c r="G70" s="52"/>
      <c r="H70" s="112">
        <f t="shared" si="12"/>
        <v>0</v>
      </c>
      <c r="I70" s="52"/>
      <c r="J70" s="155">
        <f t="shared" si="13"/>
        <v>0</v>
      </c>
      <c r="K70" s="52"/>
      <c r="L70" s="155">
        <f t="shared" si="14"/>
        <v>0</v>
      </c>
      <c r="M70" s="52"/>
      <c r="N70" s="155">
        <f t="shared" si="9"/>
        <v>0</v>
      </c>
      <c r="O70" s="52"/>
      <c r="P70" s="155">
        <v>0</v>
      </c>
      <c r="Q70" s="52"/>
      <c r="R70" s="155">
        <f t="shared" si="15"/>
        <v>0</v>
      </c>
      <c r="S70" s="52"/>
      <c r="T70" s="155">
        <f t="shared" si="10"/>
        <v>0</v>
      </c>
      <c r="U70" s="52"/>
      <c r="V70" s="155">
        <f t="shared" si="11"/>
        <v>0</v>
      </c>
      <c r="W70" s="52"/>
      <c r="X70" s="155">
        <v>0</v>
      </c>
      <c r="Y70" s="52"/>
      <c r="Z70" s="155">
        <v>0</v>
      </c>
      <c r="AA70" s="52"/>
      <c r="AB70" s="155">
        <v>0</v>
      </c>
      <c r="AC70" s="52"/>
      <c r="AD70" s="155">
        <v>0</v>
      </c>
      <c r="AE70" s="156">
        <f t="shared" si="8"/>
        <v>0</v>
      </c>
      <c r="AF70" s="157">
        <f t="shared" si="8"/>
        <v>0</v>
      </c>
    </row>
    <row r="71" spans="1:32" ht="20.100000000000001" customHeight="1">
      <c r="A71" s="2">
        <v>58</v>
      </c>
      <c r="B71" s="2" t="s">
        <v>66</v>
      </c>
      <c r="C71" s="2" t="s">
        <v>17</v>
      </c>
      <c r="D71" s="2">
        <v>0.6</v>
      </c>
      <c r="E71" s="2" t="s">
        <v>15</v>
      </c>
      <c r="F71" s="2"/>
      <c r="G71" s="52"/>
      <c r="H71" s="112">
        <f t="shared" si="12"/>
        <v>0</v>
      </c>
      <c r="I71" s="52"/>
      <c r="J71" s="155">
        <f t="shared" si="13"/>
        <v>0</v>
      </c>
      <c r="K71" s="52"/>
      <c r="L71" s="155">
        <f t="shared" si="14"/>
        <v>0</v>
      </c>
      <c r="M71" s="52"/>
      <c r="N71" s="155">
        <f t="shared" si="9"/>
        <v>0</v>
      </c>
      <c r="O71" s="52"/>
      <c r="P71" s="155">
        <v>0</v>
      </c>
      <c r="Q71" s="52"/>
      <c r="R71" s="155">
        <f t="shared" si="15"/>
        <v>0</v>
      </c>
      <c r="S71" s="52"/>
      <c r="T71" s="155">
        <f t="shared" si="10"/>
        <v>0</v>
      </c>
      <c r="U71" s="52"/>
      <c r="V71" s="155">
        <f t="shared" si="11"/>
        <v>0</v>
      </c>
      <c r="W71" s="52"/>
      <c r="X71" s="155">
        <v>0</v>
      </c>
      <c r="Y71" s="52"/>
      <c r="Z71" s="155">
        <v>0</v>
      </c>
      <c r="AA71" s="52"/>
      <c r="AB71" s="155">
        <v>0</v>
      </c>
      <c r="AC71" s="52"/>
      <c r="AD71" s="155">
        <v>0</v>
      </c>
      <c r="AE71" s="156">
        <f t="shared" si="8"/>
        <v>0</v>
      </c>
      <c r="AF71" s="157">
        <f t="shared" si="8"/>
        <v>0</v>
      </c>
    </row>
    <row r="72" spans="1:32" ht="20.100000000000001" customHeight="1">
      <c r="A72" s="2">
        <v>59</v>
      </c>
      <c r="B72" s="2" t="s">
        <v>67</v>
      </c>
      <c r="C72" s="2" t="s">
        <v>14</v>
      </c>
      <c r="D72" s="2">
        <v>0.64</v>
      </c>
      <c r="E72" s="2" t="s">
        <v>25</v>
      </c>
      <c r="F72" s="2"/>
      <c r="G72" s="52"/>
      <c r="H72" s="112">
        <f t="shared" si="12"/>
        <v>0</v>
      </c>
      <c r="I72" s="52"/>
      <c r="J72" s="155">
        <f t="shared" si="13"/>
        <v>0</v>
      </c>
      <c r="K72" s="52"/>
      <c r="L72" s="155">
        <f t="shared" si="14"/>
        <v>0</v>
      </c>
      <c r="M72" s="52"/>
      <c r="N72" s="155">
        <f t="shared" si="9"/>
        <v>0</v>
      </c>
      <c r="O72" s="52"/>
      <c r="P72" s="155">
        <v>0</v>
      </c>
      <c r="Q72" s="52"/>
      <c r="R72" s="155">
        <f t="shared" si="15"/>
        <v>0</v>
      </c>
      <c r="S72" s="52"/>
      <c r="T72" s="155">
        <f t="shared" si="10"/>
        <v>0</v>
      </c>
      <c r="U72" s="52"/>
      <c r="V72" s="155">
        <f t="shared" si="11"/>
        <v>0</v>
      </c>
      <c r="W72" s="52"/>
      <c r="X72" s="155">
        <v>0</v>
      </c>
      <c r="Y72" s="52"/>
      <c r="Z72" s="155">
        <v>0</v>
      </c>
      <c r="AA72" s="52"/>
      <c r="AB72" s="155">
        <v>0</v>
      </c>
      <c r="AC72" s="52"/>
      <c r="AD72" s="155">
        <v>0</v>
      </c>
      <c r="AE72" s="156">
        <f t="shared" si="8"/>
        <v>0</v>
      </c>
      <c r="AF72" s="157">
        <f t="shared" si="8"/>
        <v>0</v>
      </c>
    </row>
    <row r="73" spans="1:32" ht="20.100000000000001" customHeight="1">
      <c r="A73" s="2"/>
      <c r="B73" s="2"/>
      <c r="C73" s="2"/>
      <c r="D73" s="2"/>
      <c r="E73" s="2"/>
      <c r="F73" s="2"/>
      <c r="G73" s="52"/>
      <c r="H73" s="112">
        <f t="shared" si="12"/>
        <v>0</v>
      </c>
      <c r="I73" s="52"/>
      <c r="J73" s="155">
        <f t="shared" si="13"/>
        <v>0</v>
      </c>
      <c r="K73" s="52"/>
      <c r="L73" s="155">
        <f t="shared" si="14"/>
        <v>0</v>
      </c>
      <c r="M73" s="52"/>
      <c r="N73" s="155">
        <f t="shared" si="9"/>
        <v>0</v>
      </c>
      <c r="O73" s="52"/>
      <c r="P73" s="155">
        <v>0</v>
      </c>
      <c r="Q73" s="52"/>
      <c r="R73" s="155">
        <f t="shared" si="15"/>
        <v>0</v>
      </c>
      <c r="S73" s="52"/>
      <c r="T73" s="155">
        <f t="shared" si="10"/>
        <v>0</v>
      </c>
      <c r="U73" s="52"/>
      <c r="V73" s="155">
        <f t="shared" si="11"/>
        <v>0</v>
      </c>
      <c r="W73" s="52"/>
      <c r="X73" s="155">
        <v>0</v>
      </c>
      <c r="Y73" s="52"/>
      <c r="Z73" s="155">
        <v>0</v>
      </c>
      <c r="AA73" s="52"/>
      <c r="AB73" s="155">
        <v>0</v>
      </c>
      <c r="AC73" s="52"/>
      <c r="AD73" s="155">
        <v>0</v>
      </c>
      <c r="AE73" s="156">
        <f t="shared" si="8"/>
        <v>0</v>
      </c>
      <c r="AF73" s="157">
        <f t="shared" si="8"/>
        <v>0</v>
      </c>
    </row>
    <row r="74" spans="1:32" ht="20.100000000000001" customHeight="1">
      <c r="A74" s="2">
        <v>60</v>
      </c>
      <c r="B74" s="2" t="s">
        <v>68</v>
      </c>
      <c r="C74" s="2" t="s">
        <v>14</v>
      </c>
      <c r="D74" s="2">
        <v>0.64</v>
      </c>
      <c r="E74" s="2" t="s">
        <v>25</v>
      </c>
      <c r="F74" s="2"/>
      <c r="G74" s="52"/>
      <c r="H74" s="112">
        <f t="shared" si="12"/>
        <v>0</v>
      </c>
      <c r="I74" s="52"/>
      <c r="J74" s="155">
        <f t="shared" si="13"/>
        <v>0</v>
      </c>
      <c r="K74" s="52"/>
      <c r="L74" s="155">
        <f t="shared" si="14"/>
        <v>0</v>
      </c>
      <c r="M74" s="52"/>
      <c r="N74" s="155">
        <f t="shared" si="9"/>
        <v>0</v>
      </c>
      <c r="O74" s="52"/>
      <c r="P74" s="155">
        <v>0</v>
      </c>
      <c r="Q74" s="52"/>
      <c r="R74" s="155">
        <f t="shared" si="15"/>
        <v>0</v>
      </c>
      <c r="S74" s="52"/>
      <c r="T74" s="155">
        <f t="shared" si="10"/>
        <v>0</v>
      </c>
      <c r="U74" s="52"/>
      <c r="V74" s="155">
        <f t="shared" si="11"/>
        <v>0</v>
      </c>
      <c r="W74" s="52"/>
      <c r="X74" s="155">
        <v>0</v>
      </c>
      <c r="Y74" s="52"/>
      <c r="Z74" s="155">
        <v>0</v>
      </c>
      <c r="AA74" s="52"/>
      <c r="AB74" s="155">
        <v>0</v>
      </c>
      <c r="AC74" s="52"/>
      <c r="AD74" s="155">
        <v>0</v>
      </c>
      <c r="AE74" s="156">
        <f t="shared" si="8"/>
        <v>0</v>
      </c>
      <c r="AF74" s="157">
        <f t="shared" si="8"/>
        <v>0</v>
      </c>
    </row>
    <row r="75" spans="1:32" ht="20.100000000000001" customHeight="1">
      <c r="A75" s="2">
        <v>61</v>
      </c>
      <c r="B75" s="2" t="s">
        <v>68</v>
      </c>
      <c r="C75" s="2" t="s">
        <v>14</v>
      </c>
      <c r="D75" s="2">
        <v>0.64</v>
      </c>
      <c r="E75" s="2" t="s">
        <v>24</v>
      </c>
      <c r="F75" s="2">
        <v>1330</v>
      </c>
      <c r="G75" s="52">
        <v>10968</v>
      </c>
      <c r="H75" s="112">
        <f t="shared" si="12"/>
        <v>7019.52</v>
      </c>
      <c r="I75" s="52">
        <v>10200</v>
      </c>
      <c r="J75" s="155">
        <f t="shared" si="13"/>
        <v>6528</v>
      </c>
      <c r="K75" s="52">
        <v>14808</v>
      </c>
      <c r="L75" s="155">
        <f t="shared" si="14"/>
        <v>9477.1200000000008</v>
      </c>
      <c r="M75" s="52">
        <v>8928</v>
      </c>
      <c r="N75" s="155">
        <f t="shared" si="9"/>
        <v>5713.92</v>
      </c>
      <c r="O75" s="52">
        <v>13152</v>
      </c>
      <c r="P75" s="155">
        <v>8417.2800000000007</v>
      </c>
      <c r="Q75" s="52">
        <v>13198</v>
      </c>
      <c r="R75" s="155">
        <f t="shared" si="15"/>
        <v>8446.7199999999993</v>
      </c>
      <c r="S75" s="52">
        <v>11976</v>
      </c>
      <c r="T75" s="155">
        <f t="shared" si="10"/>
        <v>7664.64</v>
      </c>
      <c r="U75" s="52">
        <v>11280</v>
      </c>
      <c r="V75" s="155">
        <f t="shared" si="11"/>
        <v>7219.2</v>
      </c>
      <c r="W75" s="52">
        <v>8160</v>
      </c>
      <c r="X75" s="155">
        <v>5222.4000000000005</v>
      </c>
      <c r="Y75" s="52">
        <v>7848</v>
      </c>
      <c r="Z75" s="155">
        <v>5022.72</v>
      </c>
      <c r="AA75" s="52">
        <v>7464</v>
      </c>
      <c r="AB75" s="155">
        <v>4776.96</v>
      </c>
      <c r="AC75" s="52">
        <v>8880</v>
      </c>
      <c r="AD75" s="155">
        <v>5683.2</v>
      </c>
      <c r="AE75" s="156">
        <f t="shared" si="8"/>
        <v>126862</v>
      </c>
      <c r="AF75" s="157">
        <f t="shared" si="8"/>
        <v>81191.679999999993</v>
      </c>
    </row>
    <row r="76" spans="1:32" ht="20.100000000000001" customHeight="1">
      <c r="A76" s="2"/>
      <c r="B76" s="2"/>
      <c r="C76" s="2"/>
      <c r="D76" s="2"/>
      <c r="E76" s="2"/>
      <c r="F76" s="2"/>
      <c r="G76" s="52"/>
      <c r="H76" s="112">
        <f t="shared" si="12"/>
        <v>0</v>
      </c>
      <c r="I76" s="52"/>
      <c r="J76" s="155">
        <f t="shared" si="13"/>
        <v>0</v>
      </c>
      <c r="K76" s="52"/>
      <c r="L76" s="155">
        <f t="shared" si="14"/>
        <v>0</v>
      </c>
      <c r="M76" s="52"/>
      <c r="N76" s="155">
        <f t="shared" si="9"/>
        <v>0</v>
      </c>
      <c r="O76" s="52"/>
      <c r="P76" s="155">
        <v>0</v>
      </c>
      <c r="Q76" s="52"/>
      <c r="R76" s="155">
        <f t="shared" si="15"/>
        <v>0</v>
      </c>
      <c r="S76" s="52"/>
      <c r="T76" s="155">
        <f t="shared" si="10"/>
        <v>0</v>
      </c>
      <c r="U76" s="52"/>
      <c r="V76" s="155">
        <f t="shared" si="11"/>
        <v>0</v>
      </c>
      <c r="W76" s="52"/>
      <c r="X76" s="155">
        <v>0</v>
      </c>
      <c r="Y76" s="52"/>
      <c r="Z76" s="155">
        <v>0</v>
      </c>
      <c r="AA76" s="52"/>
      <c r="AB76" s="155">
        <v>0</v>
      </c>
      <c r="AC76" s="52"/>
      <c r="AD76" s="155">
        <v>0</v>
      </c>
      <c r="AE76" s="156">
        <f t="shared" si="8"/>
        <v>0</v>
      </c>
      <c r="AF76" s="157">
        <f t="shared" si="8"/>
        <v>0</v>
      </c>
    </row>
    <row r="77" spans="1:32" ht="20.100000000000001" customHeight="1">
      <c r="A77" s="2">
        <v>62</v>
      </c>
      <c r="B77" s="2" t="s">
        <v>69</v>
      </c>
      <c r="C77" s="2" t="s">
        <v>14</v>
      </c>
      <c r="D77" s="2">
        <v>0.64</v>
      </c>
      <c r="E77" s="2" t="s">
        <v>25</v>
      </c>
      <c r="F77" s="2"/>
      <c r="G77" s="52"/>
      <c r="H77" s="112">
        <f t="shared" si="12"/>
        <v>0</v>
      </c>
      <c r="I77" s="52"/>
      <c r="J77" s="155">
        <f t="shared" si="13"/>
        <v>0</v>
      </c>
      <c r="K77" s="52"/>
      <c r="L77" s="155">
        <f t="shared" si="14"/>
        <v>0</v>
      </c>
      <c r="M77" s="52"/>
      <c r="N77" s="155">
        <f t="shared" si="9"/>
        <v>0</v>
      </c>
      <c r="O77" s="52"/>
      <c r="P77" s="155">
        <v>0</v>
      </c>
      <c r="Q77" s="52"/>
      <c r="R77" s="155">
        <f t="shared" si="15"/>
        <v>0</v>
      </c>
      <c r="S77" s="52"/>
      <c r="T77" s="155">
        <f t="shared" si="10"/>
        <v>0</v>
      </c>
      <c r="U77" s="52"/>
      <c r="V77" s="155">
        <f t="shared" si="11"/>
        <v>0</v>
      </c>
      <c r="W77" s="52"/>
      <c r="X77" s="155">
        <v>0</v>
      </c>
      <c r="Y77" s="52"/>
      <c r="Z77" s="155">
        <v>0</v>
      </c>
      <c r="AA77" s="52"/>
      <c r="AB77" s="155">
        <v>0</v>
      </c>
      <c r="AC77" s="52"/>
      <c r="AD77" s="155">
        <v>0</v>
      </c>
      <c r="AE77" s="156">
        <f t="shared" si="8"/>
        <v>0</v>
      </c>
      <c r="AF77" s="157">
        <f t="shared" si="8"/>
        <v>0</v>
      </c>
    </row>
    <row r="78" spans="1:32" ht="20.100000000000001" customHeight="1">
      <c r="A78" s="2">
        <v>63</v>
      </c>
      <c r="B78" s="2" t="s">
        <v>69</v>
      </c>
      <c r="C78" s="2" t="s">
        <v>14</v>
      </c>
      <c r="D78" s="2">
        <v>0.64</v>
      </c>
      <c r="E78" s="2" t="s">
        <v>24</v>
      </c>
      <c r="F78" s="2"/>
      <c r="G78" s="52"/>
      <c r="H78" s="112">
        <f t="shared" si="12"/>
        <v>0</v>
      </c>
      <c r="I78" s="52"/>
      <c r="J78" s="155">
        <f t="shared" si="13"/>
        <v>0</v>
      </c>
      <c r="K78" s="52"/>
      <c r="L78" s="155">
        <f t="shared" si="14"/>
        <v>0</v>
      </c>
      <c r="M78" s="52"/>
      <c r="N78" s="155">
        <f t="shared" si="9"/>
        <v>0</v>
      </c>
      <c r="O78" s="52"/>
      <c r="P78" s="155">
        <v>0</v>
      </c>
      <c r="Q78" s="52"/>
      <c r="R78" s="155">
        <f t="shared" si="15"/>
        <v>0</v>
      </c>
      <c r="S78" s="52"/>
      <c r="T78" s="155">
        <f t="shared" si="10"/>
        <v>0</v>
      </c>
      <c r="U78" s="52"/>
      <c r="V78" s="155">
        <f t="shared" si="11"/>
        <v>0</v>
      </c>
      <c r="W78" s="52"/>
      <c r="X78" s="155">
        <v>0</v>
      </c>
      <c r="Y78" s="52"/>
      <c r="Z78" s="155">
        <v>0</v>
      </c>
      <c r="AA78" s="52"/>
      <c r="AB78" s="155">
        <v>0</v>
      </c>
      <c r="AC78" s="52"/>
      <c r="AD78" s="155">
        <v>0</v>
      </c>
      <c r="AE78" s="156">
        <f t="shared" si="8"/>
        <v>0</v>
      </c>
      <c r="AF78" s="157">
        <f t="shared" si="8"/>
        <v>0</v>
      </c>
    </row>
    <row r="79" spans="1:32" ht="20.100000000000001" customHeight="1">
      <c r="A79" s="2"/>
      <c r="B79" s="2"/>
      <c r="C79" s="2"/>
      <c r="D79" s="2"/>
      <c r="E79" s="2"/>
      <c r="F79" s="2"/>
      <c r="G79" s="52"/>
      <c r="H79" s="112">
        <f t="shared" si="12"/>
        <v>0</v>
      </c>
      <c r="I79" s="52"/>
      <c r="J79" s="155">
        <f t="shared" si="13"/>
        <v>0</v>
      </c>
      <c r="K79" s="52"/>
      <c r="L79" s="155">
        <f t="shared" si="14"/>
        <v>0</v>
      </c>
      <c r="M79" s="52"/>
      <c r="N79" s="155">
        <f t="shared" si="9"/>
        <v>0</v>
      </c>
      <c r="O79" s="52"/>
      <c r="P79" s="155">
        <v>0</v>
      </c>
      <c r="Q79" s="52"/>
      <c r="R79" s="155">
        <f t="shared" si="15"/>
        <v>0</v>
      </c>
      <c r="S79" s="52"/>
      <c r="T79" s="155">
        <f t="shared" si="10"/>
        <v>0</v>
      </c>
      <c r="U79" s="52"/>
      <c r="V79" s="155">
        <f t="shared" si="11"/>
        <v>0</v>
      </c>
      <c r="W79" s="52"/>
      <c r="X79" s="155">
        <v>0</v>
      </c>
      <c r="Y79" s="52"/>
      <c r="Z79" s="155">
        <v>0</v>
      </c>
      <c r="AA79" s="52"/>
      <c r="AB79" s="155">
        <v>0</v>
      </c>
      <c r="AC79" s="52"/>
      <c r="AD79" s="155">
        <v>0</v>
      </c>
      <c r="AE79" s="156">
        <f t="shared" si="8"/>
        <v>0</v>
      </c>
      <c r="AF79" s="157">
        <f t="shared" si="8"/>
        <v>0</v>
      </c>
    </row>
    <row r="80" spans="1:32" ht="20.100000000000001" customHeight="1">
      <c r="A80" s="2">
        <v>64</v>
      </c>
      <c r="B80" s="2" t="s">
        <v>70</v>
      </c>
      <c r="C80" s="2" t="s">
        <v>14</v>
      </c>
      <c r="D80" s="2">
        <v>0.64</v>
      </c>
      <c r="E80" s="2" t="s">
        <v>24</v>
      </c>
      <c r="F80" s="2"/>
      <c r="G80" s="52"/>
      <c r="H80" s="112">
        <f t="shared" si="12"/>
        <v>0</v>
      </c>
      <c r="I80" s="52"/>
      <c r="J80" s="155">
        <f t="shared" si="13"/>
        <v>0</v>
      </c>
      <c r="K80" s="52"/>
      <c r="L80" s="155">
        <f t="shared" si="14"/>
        <v>0</v>
      </c>
      <c r="M80" s="52"/>
      <c r="N80" s="155">
        <f t="shared" si="9"/>
        <v>0</v>
      </c>
      <c r="O80" s="52"/>
      <c r="P80" s="155">
        <v>0</v>
      </c>
      <c r="Q80" s="52"/>
      <c r="R80" s="155">
        <f t="shared" si="15"/>
        <v>0</v>
      </c>
      <c r="S80" s="52"/>
      <c r="T80" s="155">
        <f t="shared" si="10"/>
        <v>0</v>
      </c>
      <c r="U80" s="52"/>
      <c r="V80" s="155">
        <f t="shared" si="11"/>
        <v>0</v>
      </c>
      <c r="W80" s="52"/>
      <c r="X80" s="155">
        <v>0</v>
      </c>
      <c r="Y80" s="52"/>
      <c r="Z80" s="155">
        <v>0</v>
      </c>
      <c r="AA80" s="52"/>
      <c r="AB80" s="155">
        <v>0</v>
      </c>
      <c r="AC80" s="52"/>
      <c r="AD80" s="155">
        <v>0</v>
      </c>
      <c r="AE80" s="156">
        <f t="shared" si="8"/>
        <v>0</v>
      </c>
      <c r="AF80" s="157">
        <f t="shared" si="8"/>
        <v>0</v>
      </c>
    </row>
    <row r="81" spans="1:32" ht="20.100000000000001" customHeight="1">
      <c r="A81" s="2">
        <v>65</v>
      </c>
      <c r="B81" s="2" t="s">
        <v>71</v>
      </c>
      <c r="C81" s="2" t="s">
        <v>14</v>
      </c>
      <c r="D81" s="2">
        <v>0.64</v>
      </c>
      <c r="E81" s="2" t="s">
        <v>15</v>
      </c>
      <c r="F81" s="2"/>
      <c r="G81" s="52"/>
      <c r="H81" s="112">
        <f t="shared" si="12"/>
        <v>0</v>
      </c>
      <c r="I81" s="52"/>
      <c r="J81" s="155">
        <f t="shared" si="13"/>
        <v>0</v>
      </c>
      <c r="K81" s="52"/>
      <c r="L81" s="155">
        <f t="shared" si="14"/>
        <v>0</v>
      </c>
      <c r="M81" s="52"/>
      <c r="N81" s="155">
        <f t="shared" si="9"/>
        <v>0</v>
      </c>
      <c r="O81" s="52"/>
      <c r="P81" s="155">
        <v>0</v>
      </c>
      <c r="Q81" s="52"/>
      <c r="R81" s="155">
        <f t="shared" si="15"/>
        <v>0</v>
      </c>
      <c r="S81" s="52"/>
      <c r="T81" s="155">
        <f t="shared" si="10"/>
        <v>0</v>
      </c>
      <c r="U81" s="52"/>
      <c r="V81" s="155">
        <f t="shared" si="11"/>
        <v>0</v>
      </c>
      <c r="W81" s="52"/>
      <c r="X81" s="155">
        <v>0</v>
      </c>
      <c r="Y81" s="52"/>
      <c r="Z81" s="155">
        <v>0</v>
      </c>
      <c r="AA81" s="52"/>
      <c r="AB81" s="155">
        <v>0</v>
      </c>
      <c r="AC81" s="52"/>
      <c r="AD81" s="155">
        <v>0</v>
      </c>
      <c r="AE81" s="156">
        <f t="shared" si="8"/>
        <v>0</v>
      </c>
      <c r="AF81" s="157">
        <f t="shared" si="8"/>
        <v>0</v>
      </c>
    </row>
    <row r="82" spans="1:32" ht="20.100000000000001" customHeight="1">
      <c r="A82" s="2">
        <v>66</v>
      </c>
      <c r="B82" s="2" t="s">
        <v>187</v>
      </c>
      <c r="C82" s="2" t="s">
        <v>14</v>
      </c>
      <c r="D82" s="2">
        <v>0.64</v>
      </c>
      <c r="E82" s="2" t="s">
        <v>25</v>
      </c>
      <c r="F82" s="2"/>
      <c r="G82" s="52"/>
      <c r="H82" s="112">
        <f t="shared" si="12"/>
        <v>0</v>
      </c>
      <c r="I82" s="52"/>
      <c r="J82" s="155">
        <f t="shared" si="13"/>
        <v>0</v>
      </c>
      <c r="K82" s="52"/>
      <c r="L82" s="155">
        <f t="shared" si="14"/>
        <v>0</v>
      </c>
      <c r="M82" s="52"/>
      <c r="N82" s="155">
        <f t="shared" si="9"/>
        <v>0</v>
      </c>
      <c r="O82" s="52"/>
      <c r="P82" s="155">
        <v>0</v>
      </c>
      <c r="Q82" s="52"/>
      <c r="R82" s="155">
        <f t="shared" si="15"/>
        <v>0</v>
      </c>
      <c r="S82" s="52"/>
      <c r="T82" s="155">
        <f t="shared" si="10"/>
        <v>0</v>
      </c>
      <c r="U82" s="52"/>
      <c r="V82" s="155">
        <f t="shared" si="11"/>
        <v>0</v>
      </c>
      <c r="W82" s="52"/>
      <c r="X82" s="155">
        <v>0</v>
      </c>
      <c r="Y82" s="52"/>
      <c r="Z82" s="155">
        <v>0</v>
      </c>
      <c r="AA82" s="52"/>
      <c r="AB82" s="155">
        <v>0</v>
      </c>
      <c r="AC82" s="52"/>
      <c r="AD82" s="155">
        <v>0</v>
      </c>
      <c r="AE82" s="156"/>
      <c r="AF82" s="157">
        <f t="shared" si="8"/>
        <v>0</v>
      </c>
    </row>
    <row r="83" spans="1:32" ht="20.100000000000001" customHeight="1">
      <c r="A83" s="2">
        <v>67</v>
      </c>
      <c r="B83" s="2" t="s">
        <v>187</v>
      </c>
      <c r="C83" s="2" t="s">
        <v>197</v>
      </c>
      <c r="D83" s="2">
        <v>1</v>
      </c>
      <c r="E83" s="2" t="s">
        <v>15</v>
      </c>
      <c r="F83" s="2"/>
      <c r="G83" s="52"/>
      <c r="H83" s="112">
        <f t="shared" si="12"/>
        <v>0</v>
      </c>
      <c r="I83" s="52"/>
      <c r="J83" s="155">
        <f t="shared" si="13"/>
        <v>0</v>
      </c>
      <c r="K83" s="52"/>
      <c r="L83" s="155">
        <f t="shared" si="14"/>
        <v>0</v>
      </c>
      <c r="M83" s="52"/>
      <c r="N83" s="155">
        <f t="shared" si="9"/>
        <v>0</v>
      </c>
      <c r="O83" s="52"/>
      <c r="P83" s="155">
        <v>0</v>
      </c>
      <c r="Q83" s="52"/>
      <c r="R83" s="155">
        <f t="shared" si="15"/>
        <v>0</v>
      </c>
      <c r="S83" s="52"/>
      <c r="T83" s="155">
        <f t="shared" si="10"/>
        <v>0</v>
      </c>
      <c r="U83" s="52"/>
      <c r="V83" s="155">
        <f t="shared" si="11"/>
        <v>0</v>
      </c>
      <c r="W83" s="52"/>
      <c r="X83" s="155">
        <v>0</v>
      </c>
      <c r="Y83" s="52"/>
      <c r="Z83" s="155">
        <v>0</v>
      </c>
      <c r="AA83" s="52"/>
      <c r="AB83" s="155">
        <v>0</v>
      </c>
      <c r="AC83" s="52"/>
      <c r="AD83" s="155">
        <v>0</v>
      </c>
      <c r="AE83" s="156"/>
      <c r="AF83" s="157">
        <f t="shared" si="8"/>
        <v>0</v>
      </c>
    </row>
    <row r="84" spans="1:32" ht="20.100000000000001" customHeight="1">
      <c r="A84" s="2">
        <v>68</v>
      </c>
      <c r="B84" s="2" t="s">
        <v>196</v>
      </c>
      <c r="C84" s="2" t="s">
        <v>197</v>
      </c>
      <c r="D84" s="2">
        <v>1</v>
      </c>
      <c r="E84" s="2" t="s">
        <v>15</v>
      </c>
      <c r="F84" s="2"/>
      <c r="G84" s="52"/>
      <c r="H84" s="112">
        <f t="shared" si="12"/>
        <v>0</v>
      </c>
      <c r="I84" s="52"/>
      <c r="J84" s="155">
        <f t="shared" si="13"/>
        <v>0</v>
      </c>
      <c r="K84" s="52"/>
      <c r="L84" s="155">
        <f t="shared" si="14"/>
        <v>0</v>
      </c>
      <c r="M84" s="52"/>
      <c r="N84" s="155">
        <f t="shared" si="9"/>
        <v>0</v>
      </c>
      <c r="O84" s="52"/>
      <c r="P84" s="155">
        <v>0</v>
      </c>
      <c r="Q84" s="52"/>
      <c r="R84" s="155">
        <f t="shared" si="15"/>
        <v>0</v>
      </c>
      <c r="S84" s="52"/>
      <c r="T84" s="155">
        <f t="shared" si="10"/>
        <v>0</v>
      </c>
      <c r="U84" s="52"/>
      <c r="V84" s="155">
        <f t="shared" si="11"/>
        <v>0</v>
      </c>
      <c r="W84" s="52"/>
      <c r="X84" s="155">
        <v>0</v>
      </c>
      <c r="Y84" s="52"/>
      <c r="Z84" s="155">
        <v>0</v>
      </c>
      <c r="AA84" s="52"/>
      <c r="AB84" s="155">
        <v>0</v>
      </c>
      <c r="AC84" s="52"/>
      <c r="AD84" s="155">
        <v>0</v>
      </c>
      <c r="AE84" s="156"/>
      <c r="AF84" s="157">
        <f t="shared" si="8"/>
        <v>0</v>
      </c>
    </row>
    <row r="85" spans="1:32" ht="20.100000000000001" customHeight="1">
      <c r="A85" s="2"/>
      <c r="B85" s="2"/>
      <c r="C85" s="2"/>
      <c r="D85" s="2"/>
      <c r="E85" s="2"/>
      <c r="F85" s="2"/>
      <c r="G85" s="52"/>
      <c r="H85" s="112">
        <f t="shared" si="12"/>
        <v>0</v>
      </c>
      <c r="I85" s="52"/>
      <c r="J85" s="155">
        <f t="shared" si="13"/>
        <v>0</v>
      </c>
      <c r="K85" s="52"/>
      <c r="L85" s="155">
        <f t="shared" si="14"/>
        <v>0</v>
      </c>
      <c r="M85" s="52"/>
      <c r="N85" s="155">
        <f t="shared" si="9"/>
        <v>0</v>
      </c>
      <c r="O85" s="52"/>
      <c r="P85" s="155">
        <v>0</v>
      </c>
      <c r="Q85" s="52"/>
      <c r="R85" s="155">
        <f t="shared" si="15"/>
        <v>0</v>
      </c>
      <c r="S85" s="52"/>
      <c r="T85" s="155">
        <f t="shared" si="10"/>
        <v>0</v>
      </c>
      <c r="U85" s="52"/>
      <c r="V85" s="155">
        <f t="shared" si="11"/>
        <v>0</v>
      </c>
      <c r="W85" s="52"/>
      <c r="X85" s="155">
        <v>0</v>
      </c>
      <c r="Y85" s="52"/>
      <c r="Z85" s="155">
        <v>0</v>
      </c>
      <c r="AA85" s="52"/>
      <c r="AB85" s="155">
        <v>0</v>
      </c>
      <c r="AC85" s="52"/>
      <c r="AD85" s="155">
        <v>0</v>
      </c>
      <c r="AE85" s="156">
        <f t="shared" si="8"/>
        <v>0</v>
      </c>
      <c r="AF85" s="157">
        <f t="shared" si="8"/>
        <v>0</v>
      </c>
    </row>
    <row r="86" spans="1:32" ht="20.100000000000001" customHeight="1">
      <c r="A86" s="2">
        <v>69</v>
      </c>
      <c r="B86" s="2" t="s">
        <v>72</v>
      </c>
      <c r="C86" s="2" t="s">
        <v>17</v>
      </c>
      <c r="D86" s="2">
        <v>1</v>
      </c>
      <c r="E86" s="2" t="s">
        <v>24</v>
      </c>
      <c r="F86" s="2"/>
      <c r="G86" s="52"/>
      <c r="H86" s="112">
        <f t="shared" si="12"/>
        <v>0</v>
      </c>
      <c r="I86" s="52"/>
      <c r="J86" s="155">
        <f t="shared" si="13"/>
        <v>0</v>
      </c>
      <c r="K86" s="52"/>
      <c r="L86" s="155">
        <f t="shared" si="14"/>
        <v>0</v>
      </c>
      <c r="M86" s="52"/>
      <c r="N86" s="155">
        <f t="shared" si="9"/>
        <v>0</v>
      </c>
      <c r="O86" s="52"/>
      <c r="P86" s="155">
        <v>0</v>
      </c>
      <c r="Q86" s="52"/>
      <c r="R86" s="155">
        <f t="shared" si="15"/>
        <v>0</v>
      </c>
      <c r="S86" s="52"/>
      <c r="T86" s="155">
        <f t="shared" si="10"/>
        <v>0</v>
      </c>
      <c r="U86" s="52"/>
      <c r="V86" s="155">
        <f t="shared" si="11"/>
        <v>0</v>
      </c>
      <c r="W86" s="52"/>
      <c r="X86" s="155">
        <v>0</v>
      </c>
      <c r="Y86" s="52"/>
      <c r="Z86" s="155">
        <v>0</v>
      </c>
      <c r="AA86" s="52"/>
      <c r="AB86" s="155">
        <v>0</v>
      </c>
      <c r="AC86" s="52"/>
      <c r="AD86" s="155">
        <v>0</v>
      </c>
      <c r="AE86" s="156">
        <f t="shared" si="8"/>
        <v>0</v>
      </c>
      <c r="AF86" s="157">
        <f t="shared" si="8"/>
        <v>0</v>
      </c>
    </row>
    <row r="87" spans="1:32" ht="20.100000000000001" customHeight="1">
      <c r="A87" s="2">
        <v>70</v>
      </c>
      <c r="B87" s="2" t="s">
        <v>73</v>
      </c>
      <c r="C87" s="2" t="s">
        <v>17</v>
      </c>
      <c r="D87" s="2">
        <v>1</v>
      </c>
      <c r="E87" s="2" t="s">
        <v>24</v>
      </c>
      <c r="F87" s="2"/>
      <c r="G87" s="52"/>
      <c r="H87" s="112">
        <f t="shared" si="12"/>
        <v>0</v>
      </c>
      <c r="I87" s="52"/>
      <c r="J87" s="155">
        <f t="shared" si="13"/>
        <v>0</v>
      </c>
      <c r="K87" s="52"/>
      <c r="L87" s="155">
        <f t="shared" si="14"/>
        <v>0</v>
      </c>
      <c r="M87" s="52"/>
      <c r="N87" s="155">
        <f t="shared" si="9"/>
        <v>0</v>
      </c>
      <c r="O87" s="52"/>
      <c r="P87" s="155">
        <v>0</v>
      </c>
      <c r="Q87" s="52"/>
      <c r="R87" s="155">
        <f t="shared" si="15"/>
        <v>0</v>
      </c>
      <c r="S87" s="52"/>
      <c r="T87" s="155">
        <f t="shared" si="10"/>
        <v>0</v>
      </c>
      <c r="U87" s="52"/>
      <c r="V87" s="155">
        <f t="shared" si="11"/>
        <v>0</v>
      </c>
      <c r="W87" s="52"/>
      <c r="X87" s="155">
        <v>0</v>
      </c>
      <c r="Y87" s="52"/>
      <c r="Z87" s="155">
        <v>0</v>
      </c>
      <c r="AA87" s="52"/>
      <c r="AB87" s="155">
        <v>0</v>
      </c>
      <c r="AC87" s="52"/>
      <c r="AD87" s="155">
        <v>0</v>
      </c>
      <c r="AE87" s="156">
        <f t="shared" si="8"/>
        <v>0</v>
      </c>
      <c r="AF87" s="157">
        <f t="shared" si="8"/>
        <v>0</v>
      </c>
    </row>
    <row r="88" spans="1:32" ht="20.100000000000001" customHeight="1">
      <c r="A88" s="2">
        <v>71</v>
      </c>
      <c r="B88" s="2" t="s">
        <v>74</v>
      </c>
      <c r="C88" s="2" t="s">
        <v>17</v>
      </c>
      <c r="D88" s="2">
        <v>1</v>
      </c>
      <c r="E88" s="2" t="s">
        <v>15</v>
      </c>
      <c r="F88" s="2"/>
      <c r="G88" s="52"/>
      <c r="H88" s="112">
        <f t="shared" si="12"/>
        <v>0</v>
      </c>
      <c r="I88" s="52"/>
      <c r="J88" s="155">
        <f t="shared" si="13"/>
        <v>0</v>
      </c>
      <c r="K88" s="52"/>
      <c r="L88" s="155">
        <f t="shared" si="14"/>
        <v>0</v>
      </c>
      <c r="M88" s="52"/>
      <c r="N88" s="155">
        <f t="shared" si="9"/>
        <v>0</v>
      </c>
      <c r="O88" s="52"/>
      <c r="P88" s="155">
        <v>0</v>
      </c>
      <c r="Q88" s="52"/>
      <c r="R88" s="155">
        <f t="shared" si="15"/>
        <v>0</v>
      </c>
      <c r="S88" s="52"/>
      <c r="T88" s="155">
        <f t="shared" si="10"/>
        <v>0</v>
      </c>
      <c r="U88" s="52"/>
      <c r="V88" s="155">
        <f t="shared" si="11"/>
        <v>0</v>
      </c>
      <c r="W88" s="52"/>
      <c r="X88" s="155">
        <v>0</v>
      </c>
      <c r="Y88" s="52"/>
      <c r="Z88" s="155">
        <v>0</v>
      </c>
      <c r="AA88" s="52"/>
      <c r="AB88" s="155">
        <v>0</v>
      </c>
      <c r="AC88" s="52"/>
      <c r="AD88" s="155">
        <v>0</v>
      </c>
      <c r="AE88" s="156">
        <f t="shared" si="8"/>
        <v>0</v>
      </c>
      <c r="AF88" s="157">
        <f t="shared" si="8"/>
        <v>0</v>
      </c>
    </row>
    <row r="89" spans="1:32" ht="20.100000000000001" customHeight="1">
      <c r="A89" s="2">
        <v>72</v>
      </c>
      <c r="B89" s="2" t="s">
        <v>75</v>
      </c>
      <c r="C89" s="2" t="s">
        <v>17</v>
      </c>
      <c r="D89" s="2">
        <v>0.6</v>
      </c>
      <c r="E89" s="2" t="s">
        <v>24</v>
      </c>
      <c r="F89" s="2">
        <v>915</v>
      </c>
      <c r="G89" s="158">
        <v>42798</v>
      </c>
      <c r="H89" s="112">
        <f t="shared" si="12"/>
        <v>25678.799999999999</v>
      </c>
      <c r="I89" s="52">
        <v>32991</v>
      </c>
      <c r="J89" s="155">
        <f t="shared" si="13"/>
        <v>19794.599999999999</v>
      </c>
      <c r="K89" s="52">
        <v>26400</v>
      </c>
      <c r="L89" s="155">
        <f t="shared" si="14"/>
        <v>15840</v>
      </c>
      <c r="M89" s="52">
        <v>39264</v>
      </c>
      <c r="N89" s="155">
        <f t="shared" si="9"/>
        <v>23558.399999999998</v>
      </c>
      <c r="O89" s="52">
        <v>37848</v>
      </c>
      <c r="P89" s="155">
        <v>22708.799999999999</v>
      </c>
      <c r="Q89" s="52">
        <v>38424</v>
      </c>
      <c r="R89" s="155">
        <f t="shared" si="15"/>
        <v>23054.399999999998</v>
      </c>
      <c r="S89" s="52">
        <v>33432</v>
      </c>
      <c r="T89" s="155">
        <f t="shared" si="10"/>
        <v>20059.2</v>
      </c>
      <c r="U89" s="52">
        <v>38659</v>
      </c>
      <c r="V89" s="155">
        <f t="shared" si="11"/>
        <v>23195.399999999998</v>
      </c>
      <c r="W89" s="52">
        <v>34248</v>
      </c>
      <c r="X89" s="155">
        <v>20548.8</v>
      </c>
      <c r="Y89" s="52">
        <v>38904</v>
      </c>
      <c r="Z89" s="155">
        <v>23342.399999999998</v>
      </c>
      <c r="AA89" s="52">
        <v>46128</v>
      </c>
      <c r="AB89" s="155">
        <v>27676.799999999999</v>
      </c>
      <c r="AC89" s="52">
        <v>56712</v>
      </c>
      <c r="AD89" s="155">
        <v>34027.199999999997</v>
      </c>
      <c r="AE89" s="156">
        <f t="shared" si="8"/>
        <v>465808</v>
      </c>
      <c r="AF89" s="157">
        <f t="shared" si="8"/>
        <v>279484.79999999993</v>
      </c>
    </row>
    <row r="90" spans="1:32" ht="20.100000000000001" customHeight="1">
      <c r="A90" s="2">
        <v>73</v>
      </c>
      <c r="B90" s="2" t="s">
        <v>76</v>
      </c>
      <c r="C90" s="2" t="s">
        <v>14</v>
      </c>
      <c r="D90" s="2">
        <v>0.64</v>
      </c>
      <c r="E90" s="2" t="s">
        <v>25</v>
      </c>
      <c r="F90" s="2">
        <v>1330</v>
      </c>
      <c r="G90" s="158">
        <v>98</v>
      </c>
      <c r="H90" s="112">
        <f t="shared" si="12"/>
        <v>62.72</v>
      </c>
      <c r="I90" s="52">
        <v>2380</v>
      </c>
      <c r="J90" s="155">
        <f t="shared" si="13"/>
        <v>1523.2</v>
      </c>
      <c r="K90" s="52"/>
      <c r="L90" s="155">
        <f t="shared" si="14"/>
        <v>0</v>
      </c>
      <c r="M90" s="52"/>
      <c r="N90" s="155">
        <f t="shared" si="9"/>
        <v>0</v>
      </c>
      <c r="O90" s="52"/>
      <c r="P90" s="155">
        <v>0</v>
      </c>
      <c r="Q90" s="52"/>
      <c r="R90" s="155">
        <f t="shared" si="15"/>
        <v>0</v>
      </c>
      <c r="S90" s="52">
        <v>700</v>
      </c>
      <c r="T90" s="155">
        <f t="shared" si="10"/>
        <v>448</v>
      </c>
      <c r="U90" s="52"/>
      <c r="V90" s="155">
        <f t="shared" si="11"/>
        <v>0</v>
      </c>
      <c r="W90" s="52">
        <v>700</v>
      </c>
      <c r="X90" s="155">
        <v>448</v>
      </c>
      <c r="Y90" s="52">
        <v>420</v>
      </c>
      <c r="Z90" s="155">
        <v>268.8</v>
      </c>
      <c r="AA90" s="52">
        <v>70</v>
      </c>
      <c r="AB90" s="155">
        <v>44.800000000000004</v>
      </c>
      <c r="AC90" s="52">
        <v>700</v>
      </c>
      <c r="AD90" s="155">
        <v>448</v>
      </c>
      <c r="AE90" s="156">
        <f t="shared" si="8"/>
        <v>5068</v>
      </c>
      <c r="AF90" s="157">
        <f t="shared" si="8"/>
        <v>3243.5200000000004</v>
      </c>
    </row>
    <row r="91" spans="1:32" ht="20.100000000000001" customHeight="1">
      <c r="A91" s="2"/>
      <c r="B91" s="2"/>
      <c r="C91" s="2"/>
      <c r="D91" s="2"/>
      <c r="E91" s="2"/>
      <c r="F91" s="2"/>
      <c r="G91" s="52"/>
      <c r="H91" s="112">
        <f t="shared" si="12"/>
        <v>0</v>
      </c>
      <c r="I91" s="52"/>
      <c r="J91" s="155">
        <f t="shared" si="13"/>
        <v>0</v>
      </c>
      <c r="K91" s="52"/>
      <c r="L91" s="155">
        <f t="shared" si="14"/>
        <v>0</v>
      </c>
      <c r="M91" s="52"/>
      <c r="N91" s="155">
        <f t="shared" si="9"/>
        <v>0</v>
      </c>
      <c r="O91" s="52"/>
      <c r="P91" s="155">
        <v>0</v>
      </c>
      <c r="Q91" s="52"/>
      <c r="R91" s="155">
        <f t="shared" si="15"/>
        <v>0</v>
      </c>
      <c r="S91" s="52"/>
      <c r="T91" s="155">
        <f t="shared" si="10"/>
        <v>0</v>
      </c>
      <c r="U91" s="52"/>
      <c r="V91" s="155">
        <f t="shared" si="11"/>
        <v>0</v>
      </c>
      <c r="W91" s="52"/>
      <c r="X91" s="155">
        <v>0</v>
      </c>
      <c r="Y91" s="52"/>
      <c r="Z91" s="155">
        <v>0</v>
      </c>
      <c r="AA91" s="52"/>
      <c r="AB91" s="155">
        <v>0</v>
      </c>
      <c r="AC91" s="52"/>
      <c r="AD91" s="155">
        <v>0</v>
      </c>
      <c r="AE91" s="156">
        <f t="shared" si="8"/>
        <v>0</v>
      </c>
      <c r="AF91" s="157">
        <f t="shared" si="8"/>
        <v>0</v>
      </c>
    </row>
    <row r="92" spans="1:32" ht="20.100000000000001" customHeight="1">
      <c r="A92" s="2">
        <v>74</v>
      </c>
      <c r="B92" s="2" t="s">
        <v>77</v>
      </c>
      <c r="C92" s="2" t="s">
        <v>17</v>
      </c>
      <c r="D92" s="2">
        <v>1</v>
      </c>
      <c r="E92" s="2" t="s">
        <v>24</v>
      </c>
      <c r="F92" s="2"/>
      <c r="G92" s="52"/>
      <c r="H92" s="112">
        <f t="shared" si="12"/>
        <v>0</v>
      </c>
      <c r="I92" s="52"/>
      <c r="J92" s="155">
        <f t="shared" si="13"/>
        <v>0</v>
      </c>
      <c r="K92" s="52"/>
      <c r="L92" s="155">
        <f t="shared" si="14"/>
        <v>0</v>
      </c>
      <c r="M92" s="52"/>
      <c r="N92" s="155">
        <f t="shared" si="9"/>
        <v>0</v>
      </c>
      <c r="O92" s="52"/>
      <c r="P92" s="155">
        <v>0</v>
      </c>
      <c r="Q92" s="52"/>
      <c r="R92" s="155">
        <f t="shared" si="15"/>
        <v>0</v>
      </c>
      <c r="S92" s="52"/>
      <c r="T92" s="155">
        <f t="shared" si="10"/>
        <v>0</v>
      </c>
      <c r="U92" s="52"/>
      <c r="V92" s="155">
        <f t="shared" si="11"/>
        <v>0</v>
      </c>
      <c r="W92" s="52"/>
      <c r="X92" s="155">
        <v>0</v>
      </c>
      <c r="Y92" s="52"/>
      <c r="Z92" s="155">
        <v>0</v>
      </c>
      <c r="AA92" s="52"/>
      <c r="AB92" s="155">
        <v>0</v>
      </c>
      <c r="AC92" s="52"/>
      <c r="AD92" s="155">
        <v>0</v>
      </c>
      <c r="AE92" s="156">
        <f t="shared" ref="AE92:AF136" si="16">SUM(G92,I92,K92,M92,O92,Q92,S92,U92,W92,Y92,AA92,AC92)</f>
        <v>0</v>
      </c>
      <c r="AF92" s="157">
        <f t="shared" si="16"/>
        <v>0</v>
      </c>
    </row>
    <row r="93" spans="1:32" ht="20.100000000000001" customHeight="1">
      <c r="A93" s="2">
        <v>75</v>
      </c>
      <c r="B93" s="2" t="s">
        <v>77</v>
      </c>
      <c r="C93" s="2" t="s">
        <v>17</v>
      </c>
      <c r="D93" s="2">
        <v>1</v>
      </c>
      <c r="E93" s="2" t="s">
        <v>15</v>
      </c>
      <c r="F93" s="2">
        <v>1220</v>
      </c>
      <c r="G93" s="158">
        <v>8591</v>
      </c>
      <c r="H93" s="112">
        <f t="shared" si="12"/>
        <v>8591</v>
      </c>
      <c r="I93" s="52">
        <v>7187</v>
      </c>
      <c r="J93" s="155">
        <f t="shared" si="13"/>
        <v>7187</v>
      </c>
      <c r="K93" s="52">
        <v>4257</v>
      </c>
      <c r="L93" s="155">
        <f t="shared" si="14"/>
        <v>4257</v>
      </c>
      <c r="M93" s="52">
        <v>4920</v>
      </c>
      <c r="N93" s="155">
        <f t="shared" si="9"/>
        <v>4920</v>
      </c>
      <c r="O93" s="52">
        <v>7955</v>
      </c>
      <c r="P93" s="155">
        <v>7955</v>
      </c>
      <c r="Q93" s="52">
        <v>4860</v>
      </c>
      <c r="R93" s="155">
        <f t="shared" si="15"/>
        <v>4860</v>
      </c>
      <c r="S93" s="52">
        <v>13137</v>
      </c>
      <c r="T93" s="155">
        <f t="shared" si="10"/>
        <v>13137</v>
      </c>
      <c r="U93" s="52">
        <v>8892</v>
      </c>
      <c r="V93" s="155">
        <f t="shared" si="11"/>
        <v>8892</v>
      </c>
      <c r="W93" s="52">
        <v>27768</v>
      </c>
      <c r="X93" s="155">
        <v>27768</v>
      </c>
      <c r="Y93" s="52">
        <v>12502</v>
      </c>
      <c r="Z93" s="155">
        <v>12502</v>
      </c>
      <c r="AA93" s="52">
        <v>30048</v>
      </c>
      <c r="AB93" s="155">
        <v>30048</v>
      </c>
      <c r="AC93" s="52">
        <v>20220</v>
      </c>
      <c r="AD93" s="155">
        <v>20220</v>
      </c>
      <c r="AE93" s="156">
        <f t="shared" si="16"/>
        <v>150337</v>
      </c>
      <c r="AF93" s="157">
        <f t="shared" si="16"/>
        <v>150337</v>
      </c>
    </row>
    <row r="94" spans="1:32" ht="20.100000000000001" customHeight="1">
      <c r="A94" s="2">
        <v>76</v>
      </c>
      <c r="B94" s="2" t="s">
        <v>78</v>
      </c>
      <c r="C94" s="2" t="s">
        <v>17</v>
      </c>
      <c r="D94" s="2">
        <v>0.6</v>
      </c>
      <c r="E94" s="2" t="s">
        <v>24</v>
      </c>
      <c r="F94" s="2">
        <v>915</v>
      </c>
      <c r="G94" s="158">
        <v>3756</v>
      </c>
      <c r="H94" s="112">
        <f t="shared" si="12"/>
        <v>2253.6</v>
      </c>
      <c r="I94" s="52">
        <v>2577</v>
      </c>
      <c r="J94" s="155">
        <f t="shared" si="13"/>
        <v>1546.2</v>
      </c>
      <c r="K94" s="52">
        <v>2112</v>
      </c>
      <c r="L94" s="155">
        <f t="shared" si="14"/>
        <v>1267.2</v>
      </c>
      <c r="M94" s="52">
        <v>1992</v>
      </c>
      <c r="N94" s="155">
        <f t="shared" si="9"/>
        <v>1195.2</v>
      </c>
      <c r="O94" s="52">
        <v>1296</v>
      </c>
      <c r="P94" s="155">
        <v>777.6</v>
      </c>
      <c r="Q94" s="52">
        <v>1536</v>
      </c>
      <c r="R94" s="155">
        <f t="shared" si="15"/>
        <v>921.59999999999991</v>
      </c>
      <c r="S94" s="52">
        <v>984</v>
      </c>
      <c r="T94" s="155">
        <f>S94*$D94</f>
        <v>590.4</v>
      </c>
      <c r="U94" s="52">
        <v>648</v>
      </c>
      <c r="V94" s="155">
        <f t="shared" si="11"/>
        <v>388.8</v>
      </c>
      <c r="W94" s="159">
        <v>2088</v>
      </c>
      <c r="X94" s="155">
        <v>1252.8</v>
      </c>
      <c r="Y94" s="52">
        <v>576</v>
      </c>
      <c r="Z94" s="155">
        <v>345.59999999999997</v>
      </c>
      <c r="AA94" s="52">
        <v>984</v>
      </c>
      <c r="AB94" s="155">
        <v>590.4</v>
      </c>
      <c r="AC94" s="52">
        <v>1608</v>
      </c>
      <c r="AD94" s="155">
        <v>964.8</v>
      </c>
      <c r="AE94" s="156">
        <f>SUM(G94,I94,K94,M94,O94,Q94,S94,U94,V96,Y94,AA94,AC94)</f>
        <v>18069</v>
      </c>
      <c r="AF94" s="157">
        <f t="shared" si="16"/>
        <v>12094.199999999997</v>
      </c>
    </row>
    <row r="95" spans="1:32" ht="20.100000000000001" customHeight="1">
      <c r="A95" s="2">
        <v>77</v>
      </c>
      <c r="B95" s="2" t="s">
        <v>79</v>
      </c>
      <c r="C95" s="2" t="s">
        <v>14</v>
      </c>
      <c r="D95" s="2">
        <v>0.64</v>
      </c>
      <c r="E95" s="2" t="s">
        <v>25</v>
      </c>
      <c r="F95" s="2"/>
      <c r="G95" s="52"/>
      <c r="H95" s="112">
        <f t="shared" si="12"/>
        <v>0</v>
      </c>
      <c r="I95" s="52"/>
      <c r="J95" s="155">
        <f t="shared" si="13"/>
        <v>0</v>
      </c>
      <c r="K95" s="52"/>
      <c r="L95" s="155">
        <f t="shared" si="14"/>
        <v>0</v>
      </c>
      <c r="M95" s="52"/>
      <c r="N95" s="155">
        <f t="shared" si="9"/>
        <v>0</v>
      </c>
      <c r="O95" s="52"/>
      <c r="P95" s="155">
        <v>0</v>
      </c>
      <c r="Q95" s="52"/>
      <c r="R95" s="155">
        <f t="shared" si="15"/>
        <v>0</v>
      </c>
      <c r="S95" s="52"/>
      <c r="T95" s="155">
        <f t="shared" si="10"/>
        <v>0</v>
      </c>
      <c r="U95" s="52"/>
      <c r="V95" s="155">
        <f>U95*$D95</f>
        <v>0</v>
      </c>
      <c r="W95" s="52"/>
      <c r="X95" s="155">
        <v>0</v>
      </c>
      <c r="Y95" s="52"/>
      <c r="Z95" s="155">
        <v>0</v>
      </c>
      <c r="AA95" s="52"/>
      <c r="AB95" s="155">
        <v>0</v>
      </c>
      <c r="AC95" s="52"/>
      <c r="AD95" s="155">
        <v>0</v>
      </c>
      <c r="AE95" s="156">
        <f t="shared" si="16"/>
        <v>0</v>
      </c>
      <c r="AF95" s="157">
        <f t="shared" si="16"/>
        <v>0</v>
      </c>
    </row>
    <row r="96" spans="1:32" ht="20.100000000000001" customHeight="1">
      <c r="A96" s="2"/>
      <c r="B96" s="2"/>
      <c r="C96" s="2"/>
      <c r="D96" s="2"/>
      <c r="E96" s="2"/>
      <c r="F96" s="2"/>
      <c r="G96" s="52"/>
      <c r="H96" s="112">
        <f t="shared" si="12"/>
        <v>0</v>
      </c>
      <c r="I96" s="52"/>
      <c r="J96" s="155">
        <f t="shared" si="13"/>
        <v>0</v>
      </c>
      <c r="K96" s="52"/>
      <c r="L96" s="155">
        <f t="shared" si="14"/>
        <v>0</v>
      </c>
      <c r="M96" s="52"/>
      <c r="N96" s="155">
        <f t="shared" si="9"/>
        <v>0</v>
      </c>
      <c r="O96" s="52"/>
      <c r="P96" s="155">
        <v>0</v>
      </c>
      <c r="Q96" s="52"/>
      <c r="R96" s="155">
        <f t="shared" si="15"/>
        <v>0</v>
      </c>
      <c r="S96" s="52"/>
      <c r="T96" s="155">
        <f t="shared" si="10"/>
        <v>0</v>
      </c>
      <c r="U96" s="52"/>
      <c r="V96" s="155">
        <f t="shared" ref="V96:V138" si="17">U96*$D96</f>
        <v>0</v>
      </c>
      <c r="W96" s="52"/>
      <c r="X96" s="155">
        <v>0</v>
      </c>
      <c r="Y96" s="52"/>
      <c r="Z96" s="155">
        <v>0</v>
      </c>
      <c r="AA96" s="52"/>
      <c r="AB96" s="155">
        <v>0</v>
      </c>
      <c r="AC96" s="52"/>
      <c r="AD96" s="155">
        <v>0</v>
      </c>
      <c r="AE96" s="156"/>
      <c r="AF96" s="157">
        <f t="shared" si="16"/>
        <v>0</v>
      </c>
    </row>
    <row r="97" spans="1:32" ht="20.100000000000001" customHeight="1">
      <c r="A97" s="2">
        <v>78</v>
      </c>
      <c r="B97" s="72" t="s">
        <v>80</v>
      </c>
      <c r="C97" s="2" t="s">
        <v>17</v>
      </c>
      <c r="D97" s="2">
        <v>0.75</v>
      </c>
      <c r="E97" s="2"/>
      <c r="F97" s="2"/>
      <c r="G97" s="52"/>
      <c r="H97" s="112"/>
      <c r="I97" s="52"/>
      <c r="J97" s="155"/>
      <c r="K97" s="52"/>
      <c r="L97" s="155"/>
      <c r="M97" s="52"/>
      <c r="N97" s="155">
        <f t="shared" si="9"/>
        <v>0</v>
      </c>
      <c r="O97" s="52"/>
      <c r="P97" s="155">
        <v>0</v>
      </c>
      <c r="Q97" s="52"/>
      <c r="R97" s="155">
        <f t="shared" si="15"/>
        <v>0</v>
      </c>
      <c r="S97" s="52"/>
      <c r="T97" s="155">
        <f t="shared" si="10"/>
        <v>0</v>
      </c>
      <c r="U97" s="52"/>
      <c r="V97" s="155">
        <f t="shared" si="17"/>
        <v>0</v>
      </c>
      <c r="W97" s="52"/>
      <c r="X97" s="155">
        <v>0</v>
      </c>
      <c r="Y97" s="52"/>
      <c r="Z97" s="155">
        <v>0</v>
      </c>
      <c r="AA97" s="52"/>
      <c r="AB97" s="155">
        <v>0</v>
      </c>
      <c r="AC97" s="52"/>
      <c r="AD97" s="155">
        <v>0</v>
      </c>
      <c r="AE97" s="156"/>
      <c r="AF97" s="157"/>
    </row>
    <row r="98" spans="1:32" ht="20.100000000000001" customHeight="1">
      <c r="A98" s="2">
        <v>79</v>
      </c>
      <c r="B98" s="2" t="s">
        <v>80</v>
      </c>
      <c r="C98" s="2" t="s">
        <v>17</v>
      </c>
      <c r="D98" s="2">
        <v>0.6</v>
      </c>
      <c r="E98" s="9" t="s">
        <v>205</v>
      </c>
      <c r="F98" s="52">
        <v>800</v>
      </c>
      <c r="G98" s="115"/>
      <c r="H98" s="112"/>
      <c r="I98" s="115"/>
      <c r="J98" s="112"/>
      <c r="K98" s="115"/>
      <c r="L98" s="112"/>
      <c r="M98" s="115"/>
      <c r="N98" s="155">
        <f t="shared" si="9"/>
        <v>0</v>
      </c>
      <c r="O98" s="115"/>
      <c r="P98" s="155">
        <v>0</v>
      </c>
      <c r="Q98" s="115">
        <v>6432</v>
      </c>
      <c r="R98" s="155">
        <f t="shared" si="15"/>
        <v>3859.2</v>
      </c>
      <c r="S98" s="115">
        <v>3024</v>
      </c>
      <c r="T98" s="155">
        <f t="shared" si="10"/>
        <v>1814.3999999999999</v>
      </c>
      <c r="U98" s="115">
        <v>1764</v>
      </c>
      <c r="V98" s="155">
        <f t="shared" si="17"/>
        <v>1058.3999999999999</v>
      </c>
      <c r="W98" s="115">
        <v>1188</v>
      </c>
      <c r="X98" s="155">
        <v>712.8</v>
      </c>
      <c r="Y98" s="115">
        <v>192</v>
      </c>
      <c r="Z98" s="155">
        <v>115.19999999999999</v>
      </c>
      <c r="AA98" s="52">
        <v>528</v>
      </c>
      <c r="AB98" s="155">
        <v>316.8</v>
      </c>
      <c r="AC98" s="52">
        <v>732</v>
      </c>
      <c r="AD98" s="155">
        <v>439.2</v>
      </c>
      <c r="AE98" s="156"/>
      <c r="AF98" s="157"/>
    </row>
    <row r="99" spans="1:32" ht="20.100000000000001" customHeight="1">
      <c r="A99" s="2">
        <v>80</v>
      </c>
      <c r="B99" s="71" t="s">
        <v>80</v>
      </c>
      <c r="C99" s="2" t="s">
        <v>14</v>
      </c>
      <c r="D99" s="2">
        <v>0.64</v>
      </c>
      <c r="E99" s="2" t="s">
        <v>24</v>
      </c>
      <c r="F99" s="2">
        <v>800</v>
      </c>
      <c r="G99" s="52">
        <v>14112</v>
      </c>
      <c r="H99" s="143">
        <f>G99*$D99</f>
        <v>9031.68</v>
      </c>
      <c r="I99" s="52">
        <v>17376</v>
      </c>
      <c r="J99" s="155">
        <f>I99*$D99</f>
        <v>11120.64</v>
      </c>
      <c r="K99" s="52">
        <v>20266</v>
      </c>
      <c r="L99" s="155">
        <f>K99*$D99</f>
        <v>12970.24</v>
      </c>
      <c r="M99" s="52">
        <v>21648</v>
      </c>
      <c r="N99" s="155">
        <f t="shared" si="9"/>
        <v>13854.720000000001</v>
      </c>
      <c r="O99" s="52">
        <v>31114</v>
      </c>
      <c r="P99" s="155">
        <v>19912.96</v>
      </c>
      <c r="Q99" s="52">
        <v>13233</v>
      </c>
      <c r="R99" s="155">
        <f t="shared" si="15"/>
        <v>8469.1200000000008</v>
      </c>
      <c r="S99" s="52">
        <v>11904</v>
      </c>
      <c r="T99" s="155">
        <f t="shared" si="10"/>
        <v>7618.56</v>
      </c>
      <c r="U99" s="52">
        <v>10783</v>
      </c>
      <c r="V99" s="155">
        <f t="shared" si="17"/>
        <v>6901.12</v>
      </c>
      <c r="W99" s="52">
        <v>10296</v>
      </c>
      <c r="X99" s="155">
        <v>6589.4400000000005</v>
      </c>
      <c r="Y99" s="52">
        <v>10992</v>
      </c>
      <c r="Z99" s="155">
        <v>7034.88</v>
      </c>
      <c r="AA99" s="52">
        <v>13176</v>
      </c>
      <c r="AB99" s="155">
        <v>8432.64</v>
      </c>
      <c r="AC99" s="52">
        <v>10536</v>
      </c>
      <c r="AD99" s="155">
        <v>6743.04</v>
      </c>
      <c r="AE99" s="156">
        <f>SUM(G99,I99,K99,M99,O99,Q99,S99,U99,W99,Y99,AA99,AC99)</f>
        <v>185436</v>
      </c>
      <c r="AF99" s="157">
        <f>SUM(H99,J99,L99,N99,P99,R99,T99,V99,X99,Z99,AB99,AD99)</f>
        <v>118679.03999999998</v>
      </c>
    </row>
    <row r="100" spans="1:32" ht="20.100000000000001" customHeight="1">
      <c r="A100" s="2"/>
      <c r="B100" s="71"/>
      <c r="C100" s="2"/>
      <c r="D100" s="2"/>
      <c r="E100" s="2"/>
      <c r="F100" s="2"/>
      <c r="G100" s="52"/>
      <c r="H100" s="112"/>
      <c r="I100" s="52"/>
      <c r="J100" s="155"/>
      <c r="K100" s="52"/>
      <c r="L100" s="155">
        <f t="shared" ref="L100:L139" si="18">K100*$D100</f>
        <v>0</v>
      </c>
      <c r="M100" s="52"/>
      <c r="N100" s="155">
        <f t="shared" si="9"/>
        <v>0</v>
      </c>
      <c r="O100" s="52"/>
      <c r="P100" s="155"/>
      <c r="Q100" s="52"/>
      <c r="R100" s="155">
        <f t="shared" si="15"/>
        <v>0</v>
      </c>
      <c r="S100" s="52"/>
      <c r="T100" s="155">
        <f t="shared" si="10"/>
        <v>0</v>
      </c>
      <c r="U100" s="52"/>
      <c r="V100" s="155">
        <f t="shared" si="17"/>
        <v>0</v>
      </c>
      <c r="W100" s="52"/>
      <c r="X100" s="155">
        <v>0</v>
      </c>
      <c r="Y100" s="52"/>
      <c r="Z100" s="155">
        <v>0</v>
      </c>
      <c r="AA100" s="52"/>
      <c r="AB100" s="155">
        <v>0</v>
      </c>
      <c r="AC100" s="52"/>
      <c r="AD100" s="155">
        <v>0</v>
      </c>
      <c r="AE100" s="156"/>
      <c r="AF100" s="157"/>
    </row>
    <row r="101" spans="1:32" ht="20.100000000000001" customHeight="1">
      <c r="A101" s="2">
        <v>81</v>
      </c>
      <c r="B101" s="71" t="s">
        <v>81</v>
      </c>
      <c r="C101" s="2" t="s">
        <v>14</v>
      </c>
      <c r="D101" s="2">
        <v>0.64</v>
      </c>
      <c r="E101" s="2" t="s">
        <v>82</v>
      </c>
      <c r="F101" s="2"/>
      <c r="G101" s="52"/>
      <c r="H101" s="112">
        <f>G101*$D101</f>
        <v>0</v>
      </c>
      <c r="I101" s="52"/>
      <c r="J101" s="155">
        <f>I101*$D101</f>
        <v>0</v>
      </c>
      <c r="K101" s="52"/>
      <c r="L101" s="155">
        <f t="shared" si="18"/>
        <v>0</v>
      </c>
      <c r="M101" s="52"/>
      <c r="N101" s="155">
        <f t="shared" si="9"/>
        <v>0</v>
      </c>
      <c r="O101" s="52"/>
      <c r="P101" s="155">
        <v>0</v>
      </c>
      <c r="Q101" s="52"/>
      <c r="R101" s="155">
        <f t="shared" si="15"/>
        <v>0</v>
      </c>
      <c r="S101" s="52"/>
      <c r="T101" s="155">
        <f>S101*$D101</f>
        <v>0</v>
      </c>
      <c r="U101" s="52"/>
      <c r="V101" s="155">
        <f t="shared" si="17"/>
        <v>0</v>
      </c>
      <c r="W101" s="52"/>
      <c r="X101" s="155">
        <v>0</v>
      </c>
      <c r="Y101" s="52"/>
      <c r="Z101" s="155">
        <v>0</v>
      </c>
      <c r="AA101" s="52"/>
      <c r="AB101" s="155">
        <v>0</v>
      </c>
      <c r="AC101" s="52"/>
      <c r="AD101" s="155">
        <v>0</v>
      </c>
      <c r="AE101" s="156">
        <f>SUM(G101,I101,K101,M101,O101,Q101,S101,U101,W101,Y101,AA101,AC101)</f>
        <v>0</v>
      </c>
      <c r="AF101" s="157">
        <f>SUM(H101,J101,L101,N101,P101,R101,T101,V101,X101,Z101,AB101,AD101)</f>
        <v>0</v>
      </c>
    </row>
    <row r="102" spans="1:32" ht="20.100000000000001" customHeight="1">
      <c r="A102" s="2">
        <v>82</v>
      </c>
      <c r="B102" s="72" t="s">
        <v>83</v>
      </c>
      <c r="C102" s="2" t="s">
        <v>17</v>
      </c>
      <c r="D102" s="2">
        <v>1</v>
      </c>
      <c r="E102" s="2" t="s">
        <v>38</v>
      </c>
      <c r="F102" s="2"/>
      <c r="G102" s="115"/>
      <c r="H102" s="112">
        <f t="shared" ref="H102:H139" si="19">G102*$D102</f>
        <v>0</v>
      </c>
      <c r="I102" s="115"/>
      <c r="J102" s="112"/>
      <c r="K102" s="115"/>
      <c r="L102" s="155">
        <f t="shared" si="18"/>
        <v>0</v>
      </c>
      <c r="M102" s="115"/>
      <c r="N102" s="155">
        <f t="shared" si="9"/>
        <v>0</v>
      </c>
      <c r="O102" s="115"/>
      <c r="P102" s="155">
        <v>0</v>
      </c>
      <c r="Q102" s="115"/>
      <c r="R102" s="155">
        <f t="shared" si="15"/>
        <v>0</v>
      </c>
      <c r="S102" s="115"/>
      <c r="T102" s="155">
        <f t="shared" ref="T102:T111" si="20">S102*$D102</f>
        <v>0</v>
      </c>
      <c r="U102" s="115"/>
      <c r="V102" s="155">
        <f t="shared" si="17"/>
        <v>0</v>
      </c>
      <c r="W102" s="115"/>
      <c r="X102" s="155">
        <v>0</v>
      </c>
      <c r="Y102" s="115"/>
      <c r="Z102" s="155">
        <v>0</v>
      </c>
      <c r="AA102" s="115"/>
      <c r="AB102" s="155">
        <v>0</v>
      </c>
      <c r="AC102" s="115"/>
      <c r="AD102" s="155">
        <v>0</v>
      </c>
      <c r="AE102" s="160"/>
      <c r="AF102" s="112"/>
    </row>
    <row r="103" spans="1:32" ht="20.100000000000001" customHeight="1">
      <c r="A103" s="2">
        <v>83</v>
      </c>
      <c r="B103" s="72" t="s">
        <v>83</v>
      </c>
      <c r="C103" s="2" t="s">
        <v>17</v>
      </c>
      <c r="D103" s="2">
        <v>0.6</v>
      </c>
      <c r="E103" s="2" t="s">
        <v>38</v>
      </c>
      <c r="F103" s="2"/>
      <c r="G103" s="115"/>
      <c r="H103" s="112">
        <f t="shared" si="19"/>
        <v>0</v>
      </c>
      <c r="I103" s="115"/>
      <c r="J103" s="112"/>
      <c r="K103" s="115"/>
      <c r="L103" s="155">
        <f t="shared" si="18"/>
        <v>0</v>
      </c>
      <c r="M103" s="115"/>
      <c r="N103" s="155">
        <f t="shared" si="9"/>
        <v>0</v>
      </c>
      <c r="O103" s="115"/>
      <c r="P103" s="155">
        <v>0</v>
      </c>
      <c r="Q103" s="115"/>
      <c r="R103" s="155">
        <f t="shared" si="15"/>
        <v>0</v>
      </c>
      <c r="S103" s="115"/>
      <c r="T103" s="155">
        <f t="shared" si="20"/>
        <v>0</v>
      </c>
      <c r="U103" s="115"/>
      <c r="V103" s="155">
        <f t="shared" si="17"/>
        <v>0</v>
      </c>
      <c r="W103" s="115"/>
      <c r="X103" s="155">
        <v>0</v>
      </c>
      <c r="Y103" s="115"/>
      <c r="Z103" s="155">
        <v>0</v>
      </c>
      <c r="AA103" s="115"/>
      <c r="AB103" s="155">
        <v>0</v>
      </c>
      <c r="AC103" s="115"/>
      <c r="AD103" s="155">
        <v>0</v>
      </c>
      <c r="AE103" s="160"/>
      <c r="AF103" s="112"/>
    </row>
    <row r="104" spans="1:32" ht="20.100000000000001" customHeight="1">
      <c r="A104" s="2"/>
      <c r="B104" s="2"/>
      <c r="C104" s="2"/>
      <c r="D104" s="2"/>
      <c r="E104" s="2"/>
      <c r="F104" s="2"/>
      <c r="G104" s="52"/>
      <c r="H104" s="112">
        <f t="shared" si="19"/>
        <v>0</v>
      </c>
      <c r="I104" s="52"/>
      <c r="J104" s="155"/>
      <c r="K104" s="52"/>
      <c r="L104" s="155">
        <f t="shared" si="18"/>
        <v>0</v>
      </c>
      <c r="M104" s="52"/>
      <c r="N104" s="155">
        <f t="shared" si="9"/>
        <v>0</v>
      </c>
      <c r="O104" s="52"/>
      <c r="P104" s="155">
        <v>0</v>
      </c>
      <c r="Q104" s="52"/>
      <c r="R104" s="155">
        <f t="shared" si="15"/>
        <v>0</v>
      </c>
      <c r="S104" s="52"/>
      <c r="T104" s="155">
        <f t="shared" si="20"/>
        <v>0</v>
      </c>
      <c r="U104" s="52"/>
      <c r="V104" s="155">
        <f t="shared" si="17"/>
        <v>0</v>
      </c>
      <c r="W104" s="52"/>
      <c r="X104" s="155">
        <v>0</v>
      </c>
      <c r="Y104" s="52"/>
      <c r="Z104" s="155">
        <v>0</v>
      </c>
      <c r="AA104" s="52"/>
      <c r="AB104" s="155">
        <v>0</v>
      </c>
      <c r="AC104" s="52"/>
      <c r="AD104" s="155">
        <v>0</v>
      </c>
      <c r="AE104" s="156"/>
      <c r="AF104" s="157"/>
    </row>
    <row r="105" spans="1:32" ht="20.100000000000001" customHeight="1">
      <c r="A105" s="2">
        <v>84</v>
      </c>
      <c r="B105" s="2" t="s">
        <v>84</v>
      </c>
      <c r="C105" s="2" t="s">
        <v>197</v>
      </c>
      <c r="D105" s="2">
        <v>1</v>
      </c>
      <c r="E105" s="2" t="s">
        <v>200</v>
      </c>
      <c r="F105" s="2"/>
      <c r="G105" s="52"/>
      <c r="H105" s="112"/>
      <c r="I105" s="52"/>
      <c r="J105" s="155"/>
      <c r="K105" s="52"/>
      <c r="L105" s="155"/>
      <c r="M105" s="52"/>
      <c r="N105" s="155"/>
      <c r="O105" s="52"/>
      <c r="P105" s="155">
        <v>0</v>
      </c>
      <c r="Q105" s="52"/>
      <c r="R105" s="155"/>
      <c r="S105" s="52"/>
      <c r="T105" s="155"/>
      <c r="U105" s="52"/>
      <c r="V105" s="155"/>
      <c r="W105" s="52"/>
      <c r="X105" s="155">
        <v>0</v>
      </c>
      <c r="Y105" s="52"/>
      <c r="Z105" s="155">
        <v>0</v>
      </c>
      <c r="AA105" s="52"/>
      <c r="AB105" s="155">
        <v>0</v>
      </c>
      <c r="AC105" s="52"/>
      <c r="AD105" s="155">
        <v>0</v>
      </c>
      <c r="AE105" s="156"/>
      <c r="AF105" s="157"/>
    </row>
    <row r="106" spans="1:32" ht="20.100000000000001" customHeight="1">
      <c r="A106" s="2">
        <v>85</v>
      </c>
      <c r="B106" s="72" t="s">
        <v>84</v>
      </c>
      <c r="C106" s="2" t="s">
        <v>14</v>
      </c>
      <c r="D106" s="2">
        <v>0.64</v>
      </c>
      <c r="E106" s="2" t="s">
        <v>25</v>
      </c>
      <c r="F106" s="2"/>
      <c r="G106" s="52"/>
      <c r="H106" s="112">
        <f t="shared" si="19"/>
        <v>0</v>
      </c>
      <c r="I106" s="52"/>
      <c r="J106" s="155">
        <f>I106*$D106</f>
        <v>0</v>
      </c>
      <c r="K106" s="52"/>
      <c r="L106" s="155">
        <f t="shared" si="18"/>
        <v>0</v>
      </c>
      <c r="M106" s="52"/>
      <c r="N106" s="155">
        <f t="shared" si="9"/>
        <v>0</v>
      </c>
      <c r="O106" s="52"/>
      <c r="P106" s="155">
        <v>0</v>
      </c>
      <c r="Q106" s="52"/>
      <c r="R106" s="155">
        <f>Q106*$D106</f>
        <v>0</v>
      </c>
      <c r="S106" s="52"/>
      <c r="T106" s="155">
        <f t="shared" si="20"/>
        <v>0</v>
      </c>
      <c r="U106" s="52"/>
      <c r="V106" s="155">
        <f t="shared" si="17"/>
        <v>0</v>
      </c>
      <c r="W106" s="52"/>
      <c r="X106" s="155">
        <v>0</v>
      </c>
      <c r="Y106" s="52"/>
      <c r="Z106" s="155">
        <v>0</v>
      </c>
      <c r="AA106" s="52"/>
      <c r="AB106" s="155">
        <v>0</v>
      </c>
      <c r="AC106" s="52"/>
      <c r="AD106" s="155">
        <v>0</v>
      </c>
      <c r="AE106" s="156">
        <f>SUM(G106,I106,K106,M106,O106,Q106,S106,U106,W106,Y106,AA106,AC106)</f>
        <v>0</v>
      </c>
      <c r="AF106" s="157">
        <f>SUM(H106,J106,L106,N106,P106,R106,T106,V106,X106,Z106,AB106,AD106)</f>
        <v>0</v>
      </c>
    </row>
    <row r="107" spans="1:32" ht="20.100000000000001" customHeight="1">
      <c r="A107" s="2">
        <v>86</v>
      </c>
      <c r="B107" s="72" t="s">
        <v>84</v>
      </c>
      <c r="C107" s="2" t="s">
        <v>17</v>
      </c>
      <c r="D107" s="2">
        <v>0.6</v>
      </c>
      <c r="E107" s="2" t="s">
        <v>15</v>
      </c>
      <c r="F107" s="2"/>
      <c r="G107" s="115"/>
      <c r="H107" s="112">
        <f t="shared" si="19"/>
        <v>0</v>
      </c>
      <c r="I107" s="115"/>
      <c r="J107" s="112"/>
      <c r="K107" s="115"/>
      <c r="L107" s="155">
        <f t="shared" si="18"/>
        <v>0</v>
      </c>
      <c r="M107" s="115"/>
      <c r="N107" s="155">
        <f t="shared" si="9"/>
        <v>0</v>
      </c>
      <c r="O107" s="115"/>
      <c r="P107" s="155">
        <v>0</v>
      </c>
      <c r="Q107" s="115"/>
      <c r="R107" s="155">
        <f t="shared" ref="R107:R111" si="21">Q107*$D107</f>
        <v>0</v>
      </c>
      <c r="S107" s="115"/>
      <c r="T107" s="155">
        <f t="shared" si="20"/>
        <v>0</v>
      </c>
      <c r="U107" s="115"/>
      <c r="V107" s="155">
        <f t="shared" si="17"/>
        <v>0</v>
      </c>
      <c r="W107" s="115"/>
      <c r="X107" s="155">
        <v>0</v>
      </c>
      <c r="Y107" s="115"/>
      <c r="Z107" s="155">
        <v>0</v>
      </c>
      <c r="AA107" s="115"/>
      <c r="AB107" s="155">
        <v>0</v>
      </c>
      <c r="AC107" s="115"/>
      <c r="AD107" s="155">
        <v>0</v>
      </c>
      <c r="AE107" s="160"/>
      <c r="AF107" s="112"/>
    </row>
    <row r="108" spans="1:32" ht="20.100000000000001" customHeight="1">
      <c r="A108" s="2"/>
      <c r="B108" s="2"/>
      <c r="C108" s="2"/>
      <c r="D108" s="2"/>
      <c r="E108" s="2"/>
      <c r="F108" s="2"/>
      <c r="G108" s="115"/>
      <c r="H108" s="112">
        <f t="shared" si="19"/>
        <v>0</v>
      </c>
      <c r="I108" s="115"/>
      <c r="J108" s="112"/>
      <c r="K108" s="115"/>
      <c r="L108" s="155">
        <f t="shared" si="18"/>
        <v>0</v>
      </c>
      <c r="M108" s="115"/>
      <c r="N108" s="155">
        <f t="shared" si="9"/>
        <v>0</v>
      </c>
      <c r="O108" s="115"/>
      <c r="P108" s="155">
        <v>0</v>
      </c>
      <c r="Q108" s="115"/>
      <c r="R108" s="155">
        <f t="shared" si="21"/>
        <v>0</v>
      </c>
      <c r="S108" s="115"/>
      <c r="T108" s="155">
        <f t="shared" si="20"/>
        <v>0</v>
      </c>
      <c r="U108" s="115"/>
      <c r="V108" s="155">
        <f t="shared" si="17"/>
        <v>0</v>
      </c>
      <c r="W108" s="115"/>
      <c r="X108" s="155">
        <v>0</v>
      </c>
      <c r="Y108" s="115"/>
      <c r="Z108" s="155">
        <v>0</v>
      </c>
      <c r="AA108" s="115"/>
      <c r="AB108" s="155">
        <v>0</v>
      </c>
      <c r="AC108" s="115"/>
      <c r="AD108" s="155">
        <v>0</v>
      </c>
      <c r="AE108" s="160"/>
      <c r="AF108" s="112"/>
    </row>
    <row r="109" spans="1:32" ht="20.100000000000001" customHeight="1">
      <c r="A109" s="2">
        <v>87</v>
      </c>
      <c r="B109" s="2" t="s">
        <v>85</v>
      </c>
      <c r="C109" s="2" t="s">
        <v>197</v>
      </c>
      <c r="D109" s="2">
        <v>0.6</v>
      </c>
      <c r="E109" s="2" t="s">
        <v>15</v>
      </c>
      <c r="F109" s="2"/>
      <c r="G109" s="115"/>
      <c r="H109" s="112"/>
      <c r="I109" s="115"/>
      <c r="J109" s="112"/>
      <c r="K109" s="115"/>
      <c r="L109" s="155"/>
      <c r="M109" s="115"/>
      <c r="N109" s="155"/>
      <c r="O109" s="115"/>
      <c r="P109" s="155">
        <v>0</v>
      </c>
      <c r="Q109" s="115"/>
      <c r="R109" s="155"/>
      <c r="S109" s="115"/>
      <c r="T109" s="155"/>
      <c r="U109" s="115"/>
      <c r="V109" s="155"/>
      <c r="W109" s="115"/>
      <c r="X109" s="155">
        <v>0</v>
      </c>
      <c r="Y109" s="115"/>
      <c r="Z109" s="155">
        <v>0</v>
      </c>
      <c r="AA109" s="115"/>
      <c r="AB109" s="155">
        <v>0</v>
      </c>
      <c r="AC109" s="115"/>
      <c r="AD109" s="155">
        <v>0</v>
      </c>
      <c r="AE109" s="160"/>
      <c r="AF109" s="112"/>
    </row>
    <row r="110" spans="1:32" ht="20.100000000000001" customHeight="1">
      <c r="A110" s="2">
        <v>88</v>
      </c>
      <c r="B110" s="72" t="s">
        <v>85</v>
      </c>
      <c r="C110" s="2" t="s">
        <v>17</v>
      </c>
      <c r="D110" s="2">
        <v>1</v>
      </c>
      <c r="E110" s="2" t="s">
        <v>15</v>
      </c>
      <c r="F110" s="2"/>
      <c r="G110" s="115"/>
      <c r="H110" s="112">
        <f t="shared" si="19"/>
        <v>0</v>
      </c>
      <c r="I110" s="115"/>
      <c r="J110" s="112"/>
      <c r="K110" s="115"/>
      <c r="L110" s="155">
        <f t="shared" si="18"/>
        <v>0</v>
      </c>
      <c r="M110" s="115"/>
      <c r="N110" s="155">
        <f t="shared" si="9"/>
        <v>0</v>
      </c>
      <c r="O110" s="115"/>
      <c r="P110" s="155">
        <v>0</v>
      </c>
      <c r="Q110" s="115"/>
      <c r="R110" s="155">
        <f t="shared" si="21"/>
        <v>0</v>
      </c>
      <c r="S110" s="115"/>
      <c r="T110" s="155">
        <f t="shared" si="20"/>
        <v>0</v>
      </c>
      <c r="U110" s="115"/>
      <c r="V110" s="155">
        <f t="shared" si="17"/>
        <v>0</v>
      </c>
      <c r="W110" s="115"/>
      <c r="X110" s="155">
        <v>0</v>
      </c>
      <c r="Y110" s="115"/>
      <c r="Z110" s="155">
        <v>0</v>
      </c>
      <c r="AA110" s="115"/>
      <c r="AB110" s="155">
        <v>0</v>
      </c>
      <c r="AC110" s="115"/>
      <c r="AD110" s="155">
        <v>0</v>
      </c>
      <c r="AE110" s="160"/>
      <c r="AF110" s="112"/>
    </row>
    <row r="111" spans="1:32" ht="20.100000000000001" customHeight="1">
      <c r="A111" s="2">
        <v>89</v>
      </c>
      <c r="B111" s="72" t="s">
        <v>85</v>
      </c>
      <c r="C111" s="2" t="s">
        <v>14</v>
      </c>
      <c r="D111" s="2">
        <v>0.64</v>
      </c>
      <c r="E111" s="2" t="s">
        <v>25</v>
      </c>
      <c r="F111" s="2"/>
      <c r="G111" s="52"/>
      <c r="H111" s="112">
        <f t="shared" si="19"/>
        <v>0</v>
      </c>
      <c r="I111" s="52"/>
      <c r="J111" s="155">
        <f>I111*$D111</f>
        <v>0</v>
      </c>
      <c r="K111" s="52"/>
      <c r="L111" s="155">
        <f t="shared" si="18"/>
        <v>0</v>
      </c>
      <c r="M111" s="52"/>
      <c r="N111" s="155">
        <f t="shared" si="9"/>
        <v>0</v>
      </c>
      <c r="O111" s="52"/>
      <c r="P111" s="155">
        <v>0</v>
      </c>
      <c r="Q111" s="52"/>
      <c r="R111" s="155">
        <f t="shared" si="21"/>
        <v>0</v>
      </c>
      <c r="S111" s="52"/>
      <c r="T111" s="155">
        <f t="shared" si="20"/>
        <v>0</v>
      </c>
      <c r="U111" s="52"/>
      <c r="V111" s="155">
        <f t="shared" si="17"/>
        <v>0</v>
      </c>
      <c r="W111" s="52"/>
      <c r="X111" s="155">
        <v>0</v>
      </c>
      <c r="Y111" s="52"/>
      <c r="Z111" s="155">
        <v>0</v>
      </c>
      <c r="AA111" s="52"/>
      <c r="AB111" s="155">
        <v>0</v>
      </c>
      <c r="AC111" s="52"/>
      <c r="AD111" s="155">
        <v>0</v>
      </c>
      <c r="AE111" s="156">
        <f>SUM(G111,I111,K111,M111,O111,Q111,S111,U111,W111,Y111,AA111,AC111)</f>
        <v>0</v>
      </c>
      <c r="AF111" s="157">
        <f>SUM(H111,J111,L111,N111,P111,R111,T111,V111,X111,Z111,AB111,AD111)</f>
        <v>0</v>
      </c>
    </row>
    <row r="112" spans="1:32" ht="20.100000000000001" customHeight="1">
      <c r="A112" s="2"/>
      <c r="B112" s="2"/>
      <c r="C112" s="2"/>
      <c r="D112" s="2"/>
      <c r="E112" s="2"/>
      <c r="F112" s="2"/>
      <c r="G112" s="115"/>
      <c r="H112" s="112">
        <f t="shared" si="19"/>
        <v>0</v>
      </c>
      <c r="I112" s="115"/>
      <c r="J112" s="112"/>
      <c r="K112" s="115"/>
      <c r="L112" s="155">
        <f t="shared" si="18"/>
        <v>0</v>
      </c>
      <c r="M112" s="115"/>
      <c r="N112" s="155">
        <f t="shared" si="9"/>
        <v>0</v>
      </c>
      <c r="O112" s="115"/>
      <c r="P112" s="155">
        <v>0</v>
      </c>
      <c r="Q112" s="115"/>
      <c r="R112" s="155">
        <f>Q112*$D112</f>
        <v>0</v>
      </c>
      <c r="S112" s="115"/>
      <c r="T112" s="155">
        <f>S112*$D112</f>
        <v>0</v>
      </c>
      <c r="U112" s="115"/>
      <c r="V112" s="155">
        <f t="shared" si="17"/>
        <v>0</v>
      </c>
      <c r="W112" s="115"/>
      <c r="X112" s="155">
        <v>0</v>
      </c>
      <c r="Y112" s="115"/>
      <c r="Z112" s="155">
        <v>0</v>
      </c>
      <c r="AA112" s="115"/>
      <c r="AB112" s="155">
        <v>0</v>
      </c>
      <c r="AC112" s="115"/>
      <c r="AD112" s="155">
        <v>0</v>
      </c>
      <c r="AE112" s="160"/>
      <c r="AF112" s="112"/>
    </row>
    <row r="113" spans="1:32" ht="20.100000000000001" customHeight="1">
      <c r="A113" s="2">
        <v>90</v>
      </c>
      <c r="B113" s="2" t="s">
        <v>86</v>
      </c>
      <c r="C113" s="2" t="s">
        <v>14</v>
      </c>
      <c r="D113" s="2">
        <v>0.7</v>
      </c>
      <c r="E113" s="2" t="s">
        <v>15</v>
      </c>
      <c r="F113" s="2">
        <v>3600</v>
      </c>
      <c r="G113" s="158">
        <v>121</v>
      </c>
      <c r="H113" s="112">
        <f t="shared" si="19"/>
        <v>84.699999999999989</v>
      </c>
      <c r="I113" s="52">
        <v>141</v>
      </c>
      <c r="J113" s="155">
        <f>I113*$D113</f>
        <v>98.699999999999989</v>
      </c>
      <c r="K113" s="52">
        <v>234</v>
      </c>
      <c r="L113" s="155">
        <f t="shared" si="18"/>
        <v>163.79999999999998</v>
      </c>
      <c r="M113" s="52">
        <v>51</v>
      </c>
      <c r="N113" s="155">
        <f t="shared" si="9"/>
        <v>35.699999999999996</v>
      </c>
      <c r="O113" s="52">
        <v>540</v>
      </c>
      <c r="P113" s="155">
        <v>378</v>
      </c>
      <c r="Q113" s="52">
        <v>314</v>
      </c>
      <c r="R113" s="155">
        <f t="shared" ref="R113:R133" si="22">Q113*$D113</f>
        <v>219.79999999999998</v>
      </c>
      <c r="S113" s="52">
        <v>546</v>
      </c>
      <c r="T113" s="155">
        <f t="shared" ref="T113:T138" si="23">S113*$D113</f>
        <v>382.2</v>
      </c>
      <c r="U113" s="52">
        <v>435</v>
      </c>
      <c r="V113" s="155">
        <f t="shared" si="17"/>
        <v>304.5</v>
      </c>
      <c r="W113" s="52">
        <v>78</v>
      </c>
      <c r="X113" s="155">
        <v>54.599999999999994</v>
      </c>
      <c r="Y113" s="52">
        <v>240</v>
      </c>
      <c r="Z113" s="155">
        <v>168</v>
      </c>
      <c r="AA113" s="52">
        <v>300</v>
      </c>
      <c r="AB113" s="155">
        <v>210</v>
      </c>
      <c r="AC113" s="52">
        <v>300</v>
      </c>
      <c r="AD113" s="155">
        <v>210</v>
      </c>
      <c r="AE113" s="156">
        <f>SUM(G113,I113,K113,M113,O113,Q113,S113,U113,W113,Y113,AA113,AC113)</f>
        <v>3300</v>
      </c>
      <c r="AF113" s="157">
        <f>SUM(H113,J113,L113,N113,P113,R113,T113,V113,X113,Z113,AB113,AD113)</f>
        <v>2310</v>
      </c>
    </row>
    <row r="114" spans="1:32" ht="20.100000000000001" customHeight="1">
      <c r="A114" s="2">
        <v>91</v>
      </c>
      <c r="B114" s="2" t="s">
        <v>87</v>
      </c>
      <c r="C114" s="2" t="s">
        <v>14</v>
      </c>
      <c r="D114" s="2">
        <v>0.35</v>
      </c>
      <c r="E114" s="2" t="s">
        <v>24</v>
      </c>
      <c r="F114" s="2">
        <v>2100</v>
      </c>
      <c r="G114" s="158">
        <v>26</v>
      </c>
      <c r="H114" s="112">
        <f t="shared" si="19"/>
        <v>9.1</v>
      </c>
      <c r="I114" s="52">
        <v>90</v>
      </c>
      <c r="J114" s="155">
        <f t="shared" ref="J114:J133" si="24">I114*$D114</f>
        <v>31.499999999999996</v>
      </c>
      <c r="K114" s="52">
        <v>264</v>
      </c>
      <c r="L114" s="155">
        <f t="shared" si="18"/>
        <v>92.399999999999991</v>
      </c>
      <c r="M114" s="52">
        <v>481</v>
      </c>
      <c r="N114" s="155">
        <f t="shared" si="9"/>
        <v>168.35</v>
      </c>
      <c r="O114" s="52">
        <v>331</v>
      </c>
      <c r="P114" s="155">
        <v>115.85</v>
      </c>
      <c r="Q114" s="52">
        <v>1260</v>
      </c>
      <c r="R114" s="155">
        <f t="shared" si="22"/>
        <v>441</v>
      </c>
      <c r="S114" s="52">
        <v>521</v>
      </c>
      <c r="T114" s="155">
        <f t="shared" si="23"/>
        <v>182.35</v>
      </c>
      <c r="U114" s="52">
        <v>42</v>
      </c>
      <c r="V114" s="155">
        <f t="shared" si="17"/>
        <v>14.7</v>
      </c>
      <c r="W114" s="52">
        <v>60</v>
      </c>
      <c r="X114" s="155">
        <v>21</v>
      </c>
      <c r="Y114" s="52"/>
      <c r="Z114" s="155">
        <v>0</v>
      </c>
      <c r="AA114" s="52"/>
      <c r="AB114" s="155">
        <v>0</v>
      </c>
      <c r="AC114" s="52"/>
      <c r="AD114" s="155">
        <v>0</v>
      </c>
      <c r="AE114" s="156">
        <f>SUM(G114,I114,K114,M114,O114,Q114,S114,U114,W114,Y114,AA114,AC114)</f>
        <v>3075</v>
      </c>
      <c r="AF114" s="157">
        <f>SUM(H114,J114,L114,N114,P114,R114,T114,V114,X114,Z114,AB114,AD114)</f>
        <v>1076.25</v>
      </c>
    </row>
    <row r="115" spans="1:32" ht="20.100000000000001" customHeight="1">
      <c r="A115" s="2"/>
      <c r="B115" s="2"/>
      <c r="C115" s="2"/>
      <c r="D115" s="2"/>
      <c r="E115" s="2"/>
      <c r="F115" s="2"/>
      <c r="G115" s="52"/>
      <c r="H115" s="112">
        <f t="shared" si="19"/>
        <v>0</v>
      </c>
      <c r="I115" s="52"/>
      <c r="J115" s="155">
        <f t="shared" si="24"/>
        <v>0</v>
      </c>
      <c r="K115" s="52"/>
      <c r="L115" s="155">
        <f t="shared" si="18"/>
        <v>0</v>
      </c>
      <c r="M115" s="52"/>
      <c r="N115" s="155">
        <f t="shared" si="9"/>
        <v>0</v>
      </c>
      <c r="O115" s="52"/>
      <c r="P115" s="155">
        <v>0</v>
      </c>
      <c r="Q115" s="52"/>
      <c r="R115" s="155">
        <f t="shared" si="22"/>
        <v>0</v>
      </c>
      <c r="S115" s="52"/>
      <c r="T115" s="155">
        <f t="shared" si="23"/>
        <v>0</v>
      </c>
      <c r="U115" s="52"/>
      <c r="V115" s="155">
        <f t="shared" si="17"/>
        <v>0</v>
      </c>
      <c r="W115" s="52"/>
      <c r="X115" s="155">
        <v>0</v>
      </c>
      <c r="Y115" s="52"/>
      <c r="Z115" s="155">
        <v>0</v>
      </c>
      <c r="AA115" s="52"/>
      <c r="AB115" s="155">
        <v>0</v>
      </c>
      <c r="AC115" s="52"/>
      <c r="AD115" s="155">
        <v>0</v>
      </c>
      <c r="AE115" s="156">
        <f t="shared" si="16"/>
        <v>0</v>
      </c>
      <c r="AF115" s="157">
        <f t="shared" si="16"/>
        <v>0</v>
      </c>
    </row>
    <row r="116" spans="1:32" ht="20.100000000000001" customHeight="1">
      <c r="A116" s="2">
        <v>92</v>
      </c>
      <c r="B116" s="2" t="s">
        <v>198</v>
      </c>
      <c r="C116" s="2" t="s">
        <v>197</v>
      </c>
      <c r="D116" s="2">
        <v>0.75</v>
      </c>
      <c r="E116" s="2" t="s">
        <v>15</v>
      </c>
      <c r="F116" s="2"/>
      <c r="G116" s="52"/>
      <c r="H116" s="112"/>
      <c r="I116" s="52"/>
      <c r="J116" s="155"/>
      <c r="K116" s="52"/>
      <c r="L116" s="155"/>
      <c r="M116" s="52"/>
      <c r="N116" s="155">
        <f t="shared" si="9"/>
        <v>0</v>
      </c>
      <c r="O116" s="52"/>
      <c r="P116" s="155">
        <v>0</v>
      </c>
      <c r="Q116" s="52"/>
      <c r="R116" s="155">
        <f t="shared" si="22"/>
        <v>0</v>
      </c>
      <c r="S116" s="52"/>
      <c r="T116" s="155">
        <f t="shared" si="23"/>
        <v>0</v>
      </c>
      <c r="U116" s="52"/>
      <c r="V116" s="155">
        <f t="shared" si="17"/>
        <v>0</v>
      </c>
      <c r="W116" s="52"/>
      <c r="X116" s="155">
        <v>0</v>
      </c>
      <c r="Y116" s="52"/>
      <c r="Z116" s="155">
        <v>0</v>
      </c>
      <c r="AA116" s="52"/>
      <c r="AB116" s="155">
        <v>0</v>
      </c>
      <c r="AC116" s="52"/>
      <c r="AD116" s="155">
        <v>0</v>
      </c>
      <c r="AE116" s="156">
        <f t="shared" si="16"/>
        <v>0</v>
      </c>
      <c r="AF116" s="157">
        <f t="shared" si="16"/>
        <v>0</v>
      </c>
    </row>
    <row r="117" spans="1:32" ht="20.100000000000001" customHeight="1">
      <c r="A117" s="2">
        <v>93</v>
      </c>
      <c r="B117" s="2" t="s">
        <v>198</v>
      </c>
      <c r="C117" s="2" t="s">
        <v>197</v>
      </c>
      <c r="D117" s="2">
        <v>0.6</v>
      </c>
      <c r="E117" s="2" t="s">
        <v>15</v>
      </c>
      <c r="F117" s="2">
        <v>800</v>
      </c>
      <c r="G117" s="52"/>
      <c r="H117" s="112"/>
      <c r="I117" s="52"/>
      <c r="J117" s="155"/>
      <c r="K117" s="52"/>
      <c r="L117" s="155"/>
      <c r="M117" s="52"/>
      <c r="N117" s="155">
        <f t="shared" si="9"/>
        <v>0</v>
      </c>
      <c r="O117" s="52"/>
      <c r="P117" s="155">
        <v>0</v>
      </c>
      <c r="Q117" s="52">
        <v>6144</v>
      </c>
      <c r="R117" s="155">
        <f t="shared" si="22"/>
        <v>3686.3999999999996</v>
      </c>
      <c r="S117" s="52">
        <v>4080</v>
      </c>
      <c r="T117" s="155">
        <f t="shared" si="23"/>
        <v>2448</v>
      </c>
      <c r="U117" s="52">
        <v>1485</v>
      </c>
      <c r="V117" s="155">
        <f t="shared" si="17"/>
        <v>891</v>
      </c>
      <c r="W117" s="52">
        <v>2172</v>
      </c>
      <c r="X117" s="155">
        <v>1303.2</v>
      </c>
      <c r="Y117" s="52">
        <v>312</v>
      </c>
      <c r="Z117" s="155">
        <v>187.2</v>
      </c>
      <c r="AA117" s="52">
        <v>1488</v>
      </c>
      <c r="AB117" s="155">
        <v>892.8</v>
      </c>
      <c r="AC117" s="52">
        <v>780</v>
      </c>
      <c r="AD117" s="155">
        <v>468</v>
      </c>
      <c r="AE117" s="156">
        <f t="shared" si="16"/>
        <v>16461</v>
      </c>
      <c r="AF117" s="157">
        <f t="shared" si="16"/>
        <v>9876.6</v>
      </c>
    </row>
    <row r="118" spans="1:32" ht="20.100000000000001" customHeight="1">
      <c r="A118" s="2">
        <v>94</v>
      </c>
      <c r="B118" s="71" t="s">
        <v>198</v>
      </c>
      <c r="C118" s="2" t="s">
        <v>14</v>
      </c>
      <c r="D118" s="2">
        <v>0.64</v>
      </c>
      <c r="E118" s="2" t="s">
        <v>199</v>
      </c>
      <c r="F118" s="2">
        <v>830</v>
      </c>
      <c r="G118" s="52"/>
      <c r="H118" s="112"/>
      <c r="I118" s="52"/>
      <c r="J118" s="155"/>
      <c r="K118" s="52"/>
      <c r="L118" s="155"/>
      <c r="M118" s="52">
        <v>4158</v>
      </c>
      <c r="N118" s="155">
        <f t="shared" si="9"/>
        <v>2661.12</v>
      </c>
      <c r="O118" s="52">
        <v>10876</v>
      </c>
      <c r="P118" s="155">
        <f>O118*D118</f>
        <v>6960.64</v>
      </c>
      <c r="Q118" s="52">
        <v>10206</v>
      </c>
      <c r="R118" s="155">
        <f t="shared" si="22"/>
        <v>6531.84</v>
      </c>
      <c r="S118" s="52">
        <v>13566</v>
      </c>
      <c r="T118" s="155">
        <f t="shared" si="23"/>
        <v>8682.24</v>
      </c>
      <c r="U118" s="52">
        <v>8414</v>
      </c>
      <c r="V118" s="155">
        <f t="shared" si="17"/>
        <v>5384.96</v>
      </c>
      <c r="W118" s="52">
        <v>7784</v>
      </c>
      <c r="X118" s="155">
        <v>4981.76</v>
      </c>
      <c r="Y118" s="52">
        <v>7994</v>
      </c>
      <c r="Z118" s="155">
        <v>5116.16</v>
      </c>
      <c r="AA118" s="52">
        <v>5334</v>
      </c>
      <c r="AB118" s="155">
        <v>3413.76</v>
      </c>
      <c r="AC118" s="52">
        <v>6454</v>
      </c>
      <c r="AD118" s="155">
        <v>4130.5600000000004</v>
      </c>
      <c r="AE118" s="156">
        <f t="shared" si="16"/>
        <v>74786</v>
      </c>
      <c r="AF118" s="157">
        <f t="shared" si="16"/>
        <v>47863.040000000001</v>
      </c>
    </row>
    <row r="119" spans="1:32" ht="20.100000000000001" customHeight="1">
      <c r="A119" s="2"/>
      <c r="B119" s="2"/>
      <c r="C119" s="2"/>
      <c r="D119" s="2"/>
      <c r="E119" s="2"/>
      <c r="F119" s="2"/>
      <c r="G119" s="52"/>
      <c r="H119" s="112"/>
      <c r="I119" s="52"/>
      <c r="J119" s="155"/>
      <c r="K119" s="52"/>
      <c r="L119" s="155"/>
      <c r="M119" s="52"/>
      <c r="N119" s="155"/>
      <c r="O119" s="52"/>
      <c r="P119" s="155"/>
      <c r="Q119" s="52"/>
      <c r="R119" s="155"/>
      <c r="S119" s="52"/>
      <c r="T119" s="155"/>
      <c r="U119" s="52"/>
      <c r="V119" s="155"/>
      <c r="W119" s="52"/>
      <c r="X119" s="155">
        <v>0</v>
      </c>
      <c r="Y119" s="52"/>
      <c r="Z119" s="155">
        <v>0</v>
      </c>
      <c r="AA119" s="52"/>
      <c r="AB119" s="155">
        <v>0</v>
      </c>
      <c r="AC119" s="52"/>
      <c r="AD119" s="155">
        <v>0</v>
      </c>
      <c r="AE119" s="156">
        <f t="shared" si="16"/>
        <v>0</v>
      </c>
      <c r="AF119" s="157">
        <f t="shared" si="16"/>
        <v>0</v>
      </c>
    </row>
    <row r="120" spans="1:32" ht="20.100000000000001" customHeight="1">
      <c r="A120" s="2">
        <v>95</v>
      </c>
      <c r="B120" s="2" t="s">
        <v>210</v>
      </c>
      <c r="C120" s="2" t="s">
        <v>197</v>
      </c>
      <c r="D120" s="2">
        <v>1</v>
      </c>
      <c r="E120" s="2" t="s">
        <v>90</v>
      </c>
      <c r="F120" s="2"/>
      <c r="G120" s="52"/>
      <c r="H120" s="112"/>
      <c r="I120" s="52"/>
      <c r="J120" s="155"/>
      <c r="K120" s="52"/>
      <c r="L120" s="155"/>
      <c r="M120" s="52"/>
      <c r="N120" s="155"/>
      <c r="O120" s="52"/>
      <c r="P120" s="155"/>
      <c r="Q120" s="52"/>
      <c r="R120" s="155"/>
      <c r="S120" s="52"/>
      <c r="T120" s="155"/>
      <c r="U120" s="52"/>
      <c r="V120" s="155"/>
      <c r="W120" s="52"/>
      <c r="X120" s="155"/>
      <c r="Y120" s="52"/>
      <c r="Z120" s="155"/>
      <c r="AA120" s="52"/>
      <c r="AB120" s="155">
        <v>0</v>
      </c>
      <c r="AC120" s="52"/>
      <c r="AD120" s="155">
        <v>0</v>
      </c>
      <c r="AE120" s="156"/>
      <c r="AF120" s="157"/>
    </row>
    <row r="121" spans="1:32" ht="20.100000000000001" customHeight="1">
      <c r="A121" s="2">
        <v>96</v>
      </c>
      <c r="B121" s="2" t="s">
        <v>210</v>
      </c>
      <c r="C121" s="2" t="s">
        <v>197</v>
      </c>
      <c r="D121" s="2"/>
      <c r="E121" s="2" t="s">
        <v>215</v>
      </c>
      <c r="F121" s="2"/>
      <c r="G121" s="52"/>
      <c r="H121" s="112"/>
      <c r="I121" s="52"/>
      <c r="J121" s="155"/>
      <c r="K121" s="52"/>
      <c r="L121" s="155"/>
      <c r="M121" s="52"/>
      <c r="N121" s="155"/>
      <c r="O121" s="52"/>
      <c r="P121" s="155"/>
      <c r="Q121" s="52"/>
      <c r="R121" s="155"/>
      <c r="S121" s="52"/>
      <c r="T121" s="155"/>
      <c r="U121" s="52"/>
      <c r="V121" s="155"/>
      <c r="W121" s="52"/>
      <c r="X121" s="155"/>
      <c r="Y121" s="52"/>
      <c r="Z121" s="155"/>
      <c r="AA121" s="52"/>
      <c r="AB121" s="155">
        <v>0</v>
      </c>
      <c r="AC121" s="52"/>
      <c r="AD121" s="155">
        <v>0</v>
      </c>
      <c r="AE121" s="156"/>
      <c r="AF121" s="157"/>
    </row>
    <row r="122" spans="1:32" ht="20.100000000000001" customHeight="1">
      <c r="A122" s="2">
        <v>97</v>
      </c>
      <c r="B122" s="2" t="s">
        <v>211</v>
      </c>
      <c r="C122" s="2" t="s">
        <v>197</v>
      </c>
      <c r="D122" s="2">
        <v>1</v>
      </c>
      <c r="E122" s="2" t="s">
        <v>38</v>
      </c>
      <c r="F122" s="2">
        <v>1600</v>
      </c>
      <c r="G122" s="52"/>
      <c r="H122" s="112"/>
      <c r="I122" s="52"/>
      <c r="J122" s="155"/>
      <c r="K122" s="52"/>
      <c r="L122" s="155"/>
      <c r="M122" s="52"/>
      <c r="N122" s="155"/>
      <c r="O122" s="52"/>
      <c r="P122" s="155"/>
      <c r="Q122" s="52"/>
      <c r="R122" s="155"/>
      <c r="S122" s="52"/>
      <c r="T122" s="155"/>
      <c r="U122" s="52"/>
      <c r="V122" s="155"/>
      <c r="W122" s="52"/>
      <c r="X122" s="155"/>
      <c r="Y122" s="52">
        <v>447</v>
      </c>
      <c r="Z122" s="155">
        <v>447</v>
      </c>
      <c r="AA122" s="52">
        <v>1195</v>
      </c>
      <c r="AB122" s="155">
        <v>1195</v>
      </c>
      <c r="AC122" s="52">
        <v>396</v>
      </c>
      <c r="AD122" s="155">
        <v>396</v>
      </c>
      <c r="AE122" s="156"/>
      <c r="AF122" s="157"/>
    </row>
    <row r="123" spans="1:32" ht="20.100000000000001" customHeight="1">
      <c r="A123" s="2">
        <v>98</v>
      </c>
      <c r="B123" s="2" t="s">
        <v>211</v>
      </c>
      <c r="C123" s="2" t="s">
        <v>14</v>
      </c>
      <c r="D123" s="2">
        <v>0.68</v>
      </c>
      <c r="E123" s="2" t="s">
        <v>15</v>
      </c>
      <c r="F123" s="2"/>
      <c r="G123" s="52"/>
      <c r="H123" s="112"/>
      <c r="I123" s="52"/>
      <c r="J123" s="155"/>
      <c r="K123" s="52"/>
      <c r="L123" s="155"/>
      <c r="M123" s="52"/>
      <c r="N123" s="155"/>
      <c r="O123" s="52"/>
      <c r="P123" s="155"/>
      <c r="Q123" s="52"/>
      <c r="R123" s="155"/>
      <c r="S123" s="52"/>
      <c r="T123" s="155"/>
      <c r="U123" s="52"/>
      <c r="V123" s="155"/>
      <c r="W123" s="52"/>
      <c r="X123" s="155"/>
      <c r="Y123" s="52"/>
      <c r="Z123" s="155">
        <v>0</v>
      </c>
      <c r="AA123" s="52"/>
      <c r="AB123" s="155">
        <v>0</v>
      </c>
      <c r="AC123" s="52"/>
      <c r="AD123" s="155">
        <v>0</v>
      </c>
      <c r="AE123" s="156"/>
      <c r="AF123" s="157"/>
    </row>
    <row r="124" spans="1:32" ht="20.100000000000001" customHeight="1">
      <c r="A124" s="2">
        <v>99</v>
      </c>
      <c r="B124" s="2" t="s">
        <v>211</v>
      </c>
      <c r="C124" s="2" t="s">
        <v>14</v>
      </c>
      <c r="D124" s="2">
        <v>0.64</v>
      </c>
      <c r="E124" s="2" t="s">
        <v>25</v>
      </c>
      <c r="F124" s="2">
        <v>1500</v>
      </c>
      <c r="G124" s="52"/>
      <c r="H124" s="112"/>
      <c r="I124" s="52"/>
      <c r="J124" s="155"/>
      <c r="K124" s="52"/>
      <c r="L124" s="155"/>
      <c r="M124" s="52"/>
      <c r="N124" s="155"/>
      <c r="O124" s="52"/>
      <c r="P124" s="155"/>
      <c r="Q124" s="52"/>
      <c r="R124" s="155"/>
      <c r="S124" s="52"/>
      <c r="T124" s="155"/>
      <c r="U124" s="52"/>
      <c r="V124" s="155"/>
      <c r="W124" s="52"/>
      <c r="X124" s="155"/>
      <c r="Y124" s="52">
        <v>97</v>
      </c>
      <c r="Z124" s="155">
        <v>62.08</v>
      </c>
      <c r="AA124" s="52">
        <v>28</v>
      </c>
      <c r="AB124" s="155">
        <v>17.920000000000002</v>
      </c>
      <c r="AC124" s="52"/>
      <c r="AD124" s="155">
        <v>0</v>
      </c>
      <c r="AE124" s="156"/>
      <c r="AF124" s="157"/>
    </row>
    <row r="125" spans="1:32" ht="20.100000000000001" customHeight="1">
      <c r="A125" s="2">
        <v>100</v>
      </c>
      <c r="B125" s="2" t="s">
        <v>89</v>
      </c>
      <c r="C125" s="2" t="s">
        <v>17</v>
      </c>
      <c r="D125" s="2">
        <v>1</v>
      </c>
      <c r="E125" s="2" t="s">
        <v>90</v>
      </c>
      <c r="F125" s="2"/>
      <c r="G125" s="52"/>
      <c r="H125" s="112">
        <f t="shared" si="19"/>
        <v>0</v>
      </c>
      <c r="I125" s="52"/>
      <c r="J125" s="155">
        <f t="shared" si="24"/>
        <v>0</v>
      </c>
      <c r="K125" s="52"/>
      <c r="L125" s="155">
        <f t="shared" si="18"/>
        <v>0</v>
      </c>
      <c r="M125" s="52"/>
      <c r="N125" s="155">
        <f t="shared" si="9"/>
        <v>0</v>
      </c>
      <c r="O125" s="52"/>
      <c r="P125" s="155">
        <v>0</v>
      </c>
      <c r="Q125" s="52"/>
      <c r="R125" s="155">
        <f t="shared" si="22"/>
        <v>0</v>
      </c>
      <c r="S125" s="52"/>
      <c r="T125" s="155">
        <f t="shared" si="23"/>
        <v>0</v>
      </c>
      <c r="U125" s="52"/>
      <c r="V125" s="155">
        <f t="shared" si="17"/>
        <v>0</v>
      </c>
      <c r="W125" s="52"/>
      <c r="X125" s="155">
        <v>0</v>
      </c>
      <c r="Y125" s="52"/>
      <c r="Z125" s="155">
        <v>0</v>
      </c>
      <c r="AA125" s="52"/>
      <c r="AB125" s="155">
        <v>0</v>
      </c>
      <c r="AC125" s="52"/>
      <c r="AD125" s="155">
        <v>0</v>
      </c>
      <c r="AE125" s="156">
        <f t="shared" si="16"/>
        <v>0</v>
      </c>
      <c r="AF125" s="157">
        <f t="shared" si="16"/>
        <v>0</v>
      </c>
    </row>
    <row r="126" spans="1:32" ht="20.100000000000001" customHeight="1">
      <c r="A126" s="2">
        <v>101</v>
      </c>
      <c r="B126" s="2" t="s">
        <v>91</v>
      </c>
      <c r="C126" s="2" t="s">
        <v>17</v>
      </c>
      <c r="D126" s="2">
        <v>1</v>
      </c>
      <c r="E126" s="2" t="s">
        <v>24</v>
      </c>
      <c r="F126" s="2"/>
      <c r="G126" s="52"/>
      <c r="H126" s="112">
        <f t="shared" si="19"/>
        <v>0</v>
      </c>
      <c r="I126" s="52"/>
      <c r="J126" s="155">
        <f t="shared" si="24"/>
        <v>0</v>
      </c>
      <c r="K126" s="52"/>
      <c r="L126" s="155">
        <f t="shared" si="18"/>
        <v>0</v>
      </c>
      <c r="M126" s="52"/>
      <c r="N126" s="155">
        <f t="shared" si="9"/>
        <v>0</v>
      </c>
      <c r="O126" s="52"/>
      <c r="P126" s="155">
        <v>0</v>
      </c>
      <c r="Q126" s="52"/>
      <c r="R126" s="155">
        <f t="shared" si="22"/>
        <v>0</v>
      </c>
      <c r="S126" s="52"/>
      <c r="T126" s="155">
        <f t="shared" si="23"/>
        <v>0</v>
      </c>
      <c r="U126" s="52"/>
      <c r="V126" s="155">
        <f t="shared" si="17"/>
        <v>0</v>
      </c>
      <c r="W126" s="52"/>
      <c r="X126" s="155">
        <v>0</v>
      </c>
      <c r="Y126" s="52"/>
      <c r="Z126" s="155">
        <v>0</v>
      </c>
      <c r="AA126" s="52"/>
      <c r="AB126" s="155">
        <v>0</v>
      </c>
      <c r="AC126" s="52"/>
      <c r="AD126" s="155">
        <v>0</v>
      </c>
      <c r="AE126" s="156">
        <f t="shared" si="16"/>
        <v>0</v>
      </c>
      <c r="AF126" s="157">
        <f t="shared" si="16"/>
        <v>0</v>
      </c>
    </row>
    <row r="127" spans="1:32" ht="20.100000000000001" customHeight="1">
      <c r="A127" s="2">
        <v>102</v>
      </c>
      <c r="B127" s="2" t="s">
        <v>92</v>
      </c>
      <c r="C127" s="2" t="s">
        <v>14</v>
      </c>
      <c r="D127" s="2">
        <v>0.64</v>
      </c>
      <c r="E127" s="2" t="s">
        <v>24</v>
      </c>
      <c r="F127" s="2">
        <v>1330</v>
      </c>
      <c r="G127" s="52">
        <v>209448</v>
      </c>
      <c r="H127" s="112">
        <f t="shared" si="19"/>
        <v>134046.72</v>
      </c>
      <c r="I127" s="52">
        <v>178916</v>
      </c>
      <c r="J127" s="155">
        <f t="shared" si="24"/>
        <v>114506.24000000001</v>
      </c>
      <c r="K127" s="52">
        <v>223786</v>
      </c>
      <c r="L127" s="155">
        <f t="shared" si="18"/>
        <v>143223.04000000001</v>
      </c>
      <c r="M127" s="52">
        <v>178440</v>
      </c>
      <c r="N127" s="155">
        <f t="shared" si="9"/>
        <v>114201.60000000001</v>
      </c>
      <c r="O127" s="52">
        <v>177984</v>
      </c>
      <c r="P127" s="155">
        <v>113909.76000000001</v>
      </c>
      <c r="Q127" s="52">
        <v>190848</v>
      </c>
      <c r="R127" s="155">
        <f t="shared" si="22"/>
        <v>122142.72</v>
      </c>
      <c r="S127" s="52">
        <v>194876</v>
      </c>
      <c r="T127" s="155">
        <f t="shared" si="23"/>
        <v>124720.64</v>
      </c>
      <c r="U127" s="52">
        <v>182424</v>
      </c>
      <c r="V127" s="155">
        <f t="shared" si="17"/>
        <v>116751.36</v>
      </c>
      <c r="W127" s="52">
        <v>185736</v>
      </c>
      <c r="X127" s="155">
        <v>118871.04000000001</v>
      </c>
      <c r="Y127" s="52">
        <v>201648</v>
      </c>
      <c r="Z127" s="155">
        <v>129054.72</v>
      </c>
      <c r="AA127" s="52">
        <v>191328</v>
      </c>
      <c r="AB127" s="155">
        <v>122449.92</v>
      </c>
      <c r="AC127" s="52">
        <v>201648</v>
      </c>
      <c r="AD127" s="155">
        <v>129054.72</v>
      </c>
      <c r="AE127" s="156">
        <f t="shared" si="16"/>
        <v>2317082</v>
      </c>
      <c r="AF127" s="157">
        <f t="shared" si="16"/>
        <v>1482932.4799999997</v>
      </c>
    </row>
    <row r="128" spans="1:32" ht="20.100000000000001" customHeight="1">
      <c r="A128" s="2">
        <v>103</v>
      </c>
      <c r="B128" s="2" t="s">
        <v>93</v>
      </c>
      <c r="C128" s="2" t="s">
        <v>14</v>
      </c>
      <c r="D128" s="2">
        <v>0.64</v>
      </c>
      <c r="E128" s="2" t="s">
        <v>25</v>
      </c>
      <c r="F128" s="2">
        <v>1330</v>
      </c>
      <c r="G128" s="52">
        <v>16170</v>
      </c>
      <c r="H128" s="112">
        <f t="shared" si="19"/>
        <v>10348.800000000001</v>
      </c>
      <c r="I128" s="52">
        <v>16310</v>
      </c>
      <c r="J128" s="155">
        <f t="shared" si="24"/>
        <v>10438.4</v>
      </c>
      <c r="K128" s="52">
        <v>17892</v>
      </c>
      <c r="L128" s="155">
        <f t="shared" si="18"/>
        <v>11450.880000000001</v>
      </c>
      <c r="M128" s="52">
        <v>24304</v>
      </c>
      <c r="N128" s="155">
        <f t="shared" si="9"/>
        <v>15554.56</v>
      </c>
      <c r="O128" s="52">
        <v>12362</v>
      </c>
      <c r="P128" s="155">
        <v>7911.68</v>
      </c>
      <c r="Q128" s="52">
        <v>16254</v>
      </c>
      <c r="R128" s="155">
        <f t="shared" si="22"/>
        <v>10402.56</v>
      </c>
      <c r="S128" s="52">
        <v>13622</v>
      </c>
      <c r="T128" s="155">
        <f t="shared" si="23"/>
        <v>8718.08</v>
      </c>
      <c r="U128" s="52">
        <v>15515</v>
      </c>
      <c r="V128" s="155">
        <f t="shared" si="17"/>
        <v>9929.6</v>
      </c>
      <c r="W128" s="52">
        <v>13034</v>
      </c>
      <c r="X128" s="155">
        <v>8341.76</v>
      </c>
      <c r="Y128" s="52">
        <v>16534</v>
      </c>
      <c r="Z128" s="155">
        <v>10581.76</v>
      </c>
      <c r="AA128" s="52">
        <v>13832</v>
      </c>
      <c r="AB128" s="155">
        <v>8852.48</v>
      </c>
      <c r="AC128" s="52">
        <v>17178</v>
      </c>
      <c r="AD128" s="155">
        <v>10993.92</v>
      </c>
      <c r="AE128" s="156">
        <f t="shared" si="16"/>
        <v>193007</v>
      </c>
      <c r="AF128" s="157">
        <f t="shared" si="16"/>
        <v>123524.48</v>
      </c>
    </row>
    <row r="129" spans="1:32" ht="20.100000000000001" customHeight="1">
      <c r="A129" s="2">
        <v>104</v>
      </c>
      <c r="B129" s="2" t="s">
        <v>94</v>
      </c>
      <c r="C129" s="2" t="s">
        <v>14</v>
      </c>
      <c r="D129" s="2">
        <v>0.64</v>
      </c>
      <c r="E129" s="2" t="s">
        <v>24</v>
      </c>
      <c r="F129" s="2">
        <v>1330</v>
      </c>
      <c r="G129" s="52">
        <v>6552</v>
      </c>
      <c r="H129" s="112">
        <f t="shared" si="19"/>
        <v>4193.28</v>
      </c>
      <c r="I129" s="52">
        <v>6624</v>
      </c>
      <c r="J129" s="155">
        <f t="shared" si="24"/>
        <v>4239.3599999999997</v>
      </c>
      <c r="K129" s="52">
        <v>9072</v>
      </c>
      <c r="L129" s="155">
        <f t="shared" si="18"/>
        <v>5806.08</v>
      </c>
      <c r="M129" s="52">
        <v>4824</v>
      </c>
      <c r="N129" s="155">
        <f t="shared" si="9"/>
        <v>3087.36</v>
      </c>
      <c r="O129" s="52">
        <v>7032</v>
      </c>
      <c r="P129" s="155">
        <v>4500.4800000000005</v>
      </c>
      <c r="Q129" s="52">
        <v>4800</v>
      </c>
      <c r="R129" s="155">
        <f t="shared" si="22"/>
        <v>3072</v>
      </c>
      <c r="S129" s="52">
        <v>6792</v>
      </c>
      <c r="T129" s="155">
        <f t="shared" si="23"/>
        <v>4346.88</v>
      </c>
      <c r="U129" s="52">
        <v>4968</v>
      </c>
      <c r="V129" s="155">
        <f t="shared" si="17"/>
        <v>3179.52</v>
      </c>
      <c r="W129" s="52">
        <v>6984</v>
      </c>
      <c r="X129" s="155">
        <v>4469.76</v>
      </c>
      <c r="Y129" s="52">
        <v>3744</v>
      </c>
      <c r="Z129" s="155">
        <v>2396.16</v>
      </c>
      <c r="AA129" s="52">
        <v>6432</v>
      </c>
      <c r="AB129" s="155">
        <v>4116.4800000000005</v>
      </c>
      <c r="AC129" s="52">
        <v>4632</v>
      </c>
      <c r="AD129" s="155">
        <v>2964.48</v>
      </c>
      <c r="AE129" s="156">
        <f t="shared" si="16"/>
        <v>72456</v>
      </c>
      <c r="AF129" s="157">
        <f t="shared" si="16"/>
        <v>46371.840000000011</v>
      </c>
    </row>
    <row r="130" spans="1:32" ht="20.100000000000001" customHeight="1">
      <c r="A130" s="2">
        <v>105</v>
      </c>
      <c r="B130" s="2" t="s">
        <v>95</v>
      </c>
      <c r="C130" s="2" t="s">
        <v>14</v>
      </c>
      <c r="D130" s="2">
        <v>0.64</v>
      </c>
      <c r="E130" s="2" t="s">
        <v>25</v>
      </c>
      <c r="F130" s="2">
        <v>1330</v>
      </c>
      <c r="G130" s="52">
        <v>4690</v>
      </c>
      <c r="H130" s="112">
        <f t="shared" si="19"/>
        <v>3001.6</v>
      </c>
      <c r="I130" s="52">
        <v>5292</v>
      </c>
      <c r="J130" s="155">
        <f t="shared" si="24"/>
        <v>3386.88</v>
      </c>
      <c r="K130" s="52">
        <v>2982</v>
      </c>
      <c r="L130" s="155">
        <f t="shared" si="18"/>
        <v>1908.48</v>
      </c>
      <c r="M130" s="52">
        <v>4060</v>
      </c>
      <c r="N130" s="155">
        <f t="shared" si="9"/>
        <v>2598.4</v>
      </c>
      <c r="O130" s="52">
        <v>2884</v>
      </c>
      <c r="P130" s="155">
        <v>1845.76</v>
      </c>
      <c r="Q130" s="52">
        <v>3486</v>
      </c>
      <c r="R130" s="155">
        <f t="shared" si="22"/>
        <v>2231.04</v>
      </c>
      <c r="S130" s="52">
        <v>3444</v>
      </c>
      <c r="T130" s="155">
        <f t="shared" si="23"/>
        <v>2204.16</v>
      </c>
      <c r="U130" s="52">
        <v>3668</v>
      </c>
      <c r="V130" s="155">
        <f t="shared" si="17"/>
        <v>2347.52</v>
      </c>
      <c r="W130" s="52">
        <v>3710</v>
      </c>
      <c r="X130" s="155">
        <v>2374.4</v>
      </c>
      <c r="Y130" s="52">
        <v>2940</v>
      </c>
      <c r="Z130" s="155">
        <v>1881.6000000000001</v>
      </c>
      <c r="AA130" s="52">
        <v>4466</v>
      </c>
      <c r="AB130" s="155">
        <v>2858.2400000000002</v>
      </c>
      <c r="AC130" s="52">
        <v>3514</v>
      </c>
      <c r="AD130" s="155">
        <v>2248.96</v>
      </c>
      <c r="AE130" s="156">
        <f t="shared" si="16"/>
        <v>45136</v>
      </c>
      <c r="AF130" s="157">
        <f t="shared" si="16"/>
        <v>28887.040000000001</v>
      </c>
    </row>
    <row r="131" spans="1:32" ht="20.100000000000001" customHeight="1">
      <c r="A131" s="2">
        <v>106</v>
      </c>
      <c r="B131" s="2" t="s">
        <v>96</v>
      </c>
      <c r="C131" s="2" t="s">
        <v>14</v>
      </c>
      <c r="D131" s="2">
        <v>0.64</v>
      </c>
      <c r="E131" s="2" t="s">
        <v>25</v>
      </c>
      <c r="F131" s="2"/>
      <c r="G131" s="52"/>
      <c r="H131" s="112">
        <f t="shared" si="19"/>
        <v>0</v>
      </c>
      <c r="I131" s="52"/>
      <c r="J131" s="155">
        <f t="shared" si="24"/>
        <v>0</v>
      </c>
      <c r="K131" s="52"/>
      <c r="L131" s="155">
        <f t="shared" si="18"/>
        <v>0</v>
      </c>
      <c r="M131" s="52"/>
      <c r="N131" s="155">
        <f t="shared" si="9"/>
        <v>0</v>
      </c>
      <c r="O131" s="52"/>
      <c r="P131" s="155">
        <v>0</v>
      </c>
      <c r="Q131" s="52"/>
      <c r="R131" s="155">
        <f t="shared" si="22"/>
        <v>0</v>
      </c>
      <c r="S131" s="52"/>
      <c r="T131" s="155">
        <f t="shared" si="23"/>
        <v>0</v>
      </c>
      <c r="U131" s="52"/>
      <c r="V131" s="155">
        <f t="shared" si="17"/>
        <v>0</v>
      </c>
      <c r="W131" s="52"/>
      <c r="X131" s="155">
        <v>0</v>
      </c>
      <c r="Y131" s="52"/>
      <c r="Z131" s="155">
        <v>0</v>
      </c>
      <c r="AA131" s="52"/>
      <c r="AB131" s="155">
        <v>0</v>
      </c>
      <c r="AC131" s="52"/>
      <c r="AD131" s="155">
        <v>0</v>
      </c>
      <c r="AE131" s="156">
        <f t="shared" si="16"/>
        <v>0</v>
      </c>
      <c r="AF131" s="157">
        <f t="shared" si="16"/>
        <v>0</v>
      </c>
    </row>
    <row r="132" spans="1:32" ht="20.100000000000001" customHeight="1">
      <c r="A132" s="2">
        <v>107</v>
      </c>
      <c r="B132" s="2" t="s">
        <v>97</v>
      </c>
      <c r="C132" s="2" t="s">
        <v>14</v>
      </c>
      <c r="D132" s="2">
        <v>0.64</v>
      </c>
      <c r="E132" s="2" t="s">
        <v>25</v>
      </c>
      <c r="F132" s="2"/>
      <c r="G132" s="52"/>
      <c r="H132" s="112">
        <f t="shared" si="19"/>
        <v>0</v>
      </c>
      <c r="I132" s="52"/>
      <c r="J132" s="155">
        <f t="shared" si="24"/>
        <v>0</v>
      </c>
      <c r="K132" s="52"/>
      <c r="L132" s="155">
        <f t="shared" si="18"/>
        <v>0</v>
      </c>
      <c r="M132" s="52"/>
      <c r="N132" s="155">
        <f t="shared" si="9"/>
        <v>0</v>
      </c>
      <c r="O132" s="52"/>
      <c r="P132" s="155">
        <v>0</v>
      </c>
      <c r="Q132" s="52"/>
      <c r="R132" s="155">
        <f t="shared" si="22"/>
        <v>0</v>
      </c>
      <c r="S132" s="52"/>
      <c r="T132" s="155">
        <f t="shared" si="23"/>
        <v>0</v>
      </c>
      <c r="U132" s="52"/>
      <c r="V132" s="155">
        <f t="shared" si="17"/>
        <v>0</v>
      </c>
      <c r="W132" s="52"/>
      <c r="X132" s="155">
        <v>0</v>
      </c>
      <c r="Y132" s="52"/>
      <c r="Z132" s="155">
        <v>0</v>
      </c>
      <c r="AA132" s="52"/>
      <c r="AB132" s="155">
        <v>0</v>
      </c>
      <c r="AC132" s="52"/>
      <c r="AD132" s="155">
        <v>0</v>
      </c>
      <c r="AE132" s="156">
        <f t="shared" si="16"/>
        <v>0</v>
      </c>
      <c r="AF132" s="157">
        <f t="shared" si="16"/>
        <v>0</v>
      </c>
    </row>
    <row r="133" spans="1:32" ht="20.100000000000001" customHeight="1">
      <c r="A133" s="2">
        <v>108</v>
      </c>
      <c r="B133" s="2" t="s">
        <v>98</v>
      </c>
      <c r="C133" s="2" t="s">
        <v>14</v>
      </c>
      <c r="D133" s="2">
        <v>0.64</v>
      </c>
      <c r="E133" s="2" t="s">
        <v>24</v>
      </c>
      <c r="F133" s="2"/>
      <c r="G133" s="52"/>
      <c r="H133" s="112">
        <f t="shared" si="19"/>
        <v>0</v>
      </c>
      <c r="I133" s="52"/>
      <c r="J133" s="155">
        <f t="shared" si="24"/>
        <v>0</v>
      </c>
      <c r="K133" s="52"/>
      <c r="L133" s="155">
        <f t="shared" si="18"/>
        <v>0</v>
      </c>
      <c r="M133" s="52"/>
      <c r="N133" s="155">
        <f t="shared" si="9"/>
        <v>0</v>
      </c>
      <c r="O133" s="52"/>
      <c r="P133" s="155">
        <v>0</v>
      </c>
      <c r="Q133" s="52"/>
      <c r="R133" s="155">
        <f t="shared" si="22"/>
        <v>0</v>
      </c>
      <c r="S133" s="52"/>
      <c r="T133" s="155">
        <f t="shared" si="23"/>
        <v>0</v>
      </c>
      <c r="U133" s="52"/>
      <c r="V133" s="155">
        <f t="shared" si="17"/>
        <v>0</v>
      </c>
      <c r="W133" s="52"/>
      <c r="X133" s="155">
        <v>0</v>
      </c>
      <c r="Y133" s="52"/>
      <c r="Z133" s="155">
        <v>0</v>
      </c>
      <c r="AA133" s="52"/>
      <c r="AB133" s="155">
        <v>0</v>
      </c>
      <c r="AC133" s="52"/>
      <c r="AD133" s="155">
        <v>0</v>
      </c>
      <c r="AE133" s="156">
        <f t="shared" si="16"/>
        <v>0</v>
      </c>
      <c r="AF133" s="157">
        <f>SUM(H133,J133,L133,N133,P133,R133,U135,V133,X133,Z133,AB133,AD133)</f>
        <v>0</v>
      </c>
    </row>
    <row r="134" spans="1:32" ht="20.100000000000001" customHeight="1">
      <c r="A134" s="2">
        <v>109</v>
      </c>
      <c r="B134" s="2" t="s">
        <v>99</v>
      </c>
      <c r="C134" s="2"/>
      <c r="D134" s="2">
        <v>0.64</v>
      </c>
      <c r="E134" s="2"/>
      <c r="F134" s="2"/>
      <c r="G134" s="115"/>
      <c r="H134" s="112">
        <f t="shared" si="19"/>
        <v>0</v>
      </c>
      <c r="I134" s="115"/>
      <c r="J134" s="112"/>
      <c r="K134" s="115"/>
      <c r="L134" s="155">
        <f t="shared" si="18"/>
        <v>0</v>
      </c>
      <c r="M134" s="115"/>
      <c r="N134" s="155">
        <f t="shared" si="9"/>
        <v>0</v>
      </c>
      <c r="O134" s="115"/>
      <c r="P134" s="155">
        <v>0</v>
      </c>
      <c r="Q134" s="115"/>
      <c r="R134" s="155">
        <f>Q134*$D134</f>
        <v>0</v>
      </c>
      <c r="S134" s="115"/>
      <c r="T134" s="155">
        <f t="shared" si="23"/>
        <v>0</v>
      </c>
      <c r="U134" s="115"/>
      <c r="V134" s="155">
        <f t="shared" si="17"/>
        <v>0</v>
      </c>
      <c r="W134" s="115"/>
      <c r="X134" s="155">
        <v>0</v>
      </c>
      <c r="Y134" s="115"/>
      <c r="Z134" s="155">
        <v>0</v>
      </c>
      <c r="AA134" s="115"/>
      <c r="AB134" s="155">
        <v>0</v>
      </c>
      <c r="AC134" s="115"/>
      <c r="AD134" s="155">
        <v>0</v>
      </c>
      <c r="AE134" s="156">
        <f t="shared" si="16"/>
        <v>0</v>
      </c>
      <c r="AF134" s="157">
        <f>SUM(H134,J134,L134,N134,P134,R134,U136,V134,X134,Z134,AB134,AD134)</f>
        <v>0</v>
      </c>
    </row>
    <row r="135" spans="1:32" ht="20.100000000000001" customHeight="1">
      <c r="A135" s="2">
        <v>110</v>
      </c>
      <c r="B135" s="2" t="s">
        <v>100</v>
      </c>
      <c r="C135" s="2"/>
      <c r="D135" s="2">
        <v>0.64</v>
      </c>
      <c r="E135" s="2" t="s">
        <v>101</v>
      </c>
      <c r="F135" s="2"/>
      <c r="G135" s="115"/>
      <c r="H135" s="112">
        <f t="shared" si="19"/>
        <v>0</v>
      </c>
      <c r="I135" s="115"/>
      <c r="J135" s="112">
        <f>I135*$D135</f>
        <v>0</v>
      </c>
      <c r="K135" s="115"/>
      <c r="L135" s="155">
        <f t="shared" si="18"/>
        <v>0</v>
      </c>
      <c r="M135" s="115"/>
      <c r="N135" s="155">
        <f t="shared" si="9"/>
        <v>0</v>
      </c>
      <c r="O135" s="115"/>
      <c r="P135" s="155">
        <v>0</v>
      </c>
      <c r="Q135" s="115"/>
      <c r="R135" s="155">
        <f>Q135*$D135</f>
        <v>0</v>
      </c>
      <c r="S135" s="115"/>
      <c r="T135" s="155">
        <f t="shared" si="23"/>
        <v>0</v>
      </c>
      <c r="U135" s="155"/>
      <c r="V135" s="155">
        <f t="shared" si="17"/>
        <v>0</v>
      </c>
      <c r="W135" s="115"/>
      <c r="X135" s="155">
        <v>0</v>
      </c>
      <c r="Y135" s="115"/>
      <c r="Z135" s="155">
        <v>0</v>
      </c>
      <c r="AA135" s="115"/>
      <c r="AB135" s="155">
        <v>0</v>
      </c>
      <c r="AC135" s="115"/>
      <c r="AD135" s="155">
        <v>0</v>
      </c>
      <c r="AE135" s="156">
        <f t="shared" si="16"/>
        <v>0</v>
      </c>
      <c r="AF135" s="112">
        <f t="shared" si="16"/>
        <v>0</v>
      </c>
    </row>
    <row r="136" spans="1:32" ht="20.100000000000001" customHeight="1">
      <c r="A136" s="2"/>
      <c r="B136" s="2"/>
      <c r="C136" s="2"/>
      <c r="D136" s="2"/>
      <c r="E136" s="9"/>
      <c r="F136" s="9"/>
      <c r="G136" s="115"/>
      <c r="H136" s="112">
        <f t="shared" si="19"/>
        <v>0</v>
      </c>
      <c r="I136" s="115"/>
      <c r="J136" s="112"/>
      <c r="K136" s="115"/>
      <c r="L136" s="155">
        <f t="shared" si="18"/>
        <v>0</v>
      </c>
      <c r="M136" s="115"/>
      <c r="N136" s="155">
        <f t="shared" si="9"/>
        <v>0</v>
      </c>
      <c r="O136" s="115"/>
      <c r="P136" s="155">
        <v>0</v>
      </c>
      <c r="Q136" s="115"/>
      <c r="R136" s="155">
        <f>Q136*$D136</f>
        <v>0</v>
      </c>
      <c r="S136" s="115"/>
      <c r="T136" s="155">
        <f t="shared" si="23"/>
        <v>0</v>
      </c>
      <c r="U136" s="155"/>
      <c r="V136" s="155">
        <f t="shared" si="17"/>
        <v>0</v>
      </c>
      <c r="W136" s="115"/>
      <c r="X136" s="155"/>
      <c r="Y136" s="115"/>
      <c r="Z136" s="155"/>
      <c r="AA136" s="115"/>
      <c r="AB136" s="155"/>
      <c r="AC136" s="115"/>
      <c r="AD136" s="155"/>
      <c r="AE136" s="156">
        <f t="shared" si="16"/>
        <v>0</v>
      </c>
      <c r="AF136" s="112">
        <f t="shared" si="16"/>
        <v>0</v>
      </c>
    </row>
    <row r="137" spans="1:32" ht="20.100000000000001" customHeight="1">
      <c r="A137" s="2">
        <v>111</v>
      </c>
      <c r="B137" s="2" t="s">
        <v>102</v>
      </c>
      <c r="C137" s="2" t="s">
        <v>14</v>
      </c>
      <c r="D137" s="2">
        <v>0.7</v>
      </c>
      <c r="E137" s="2" t="s">
        <v>15</v>
      </c>
      <c r="F137" s="2"/>
      <c r="G137" s="115"/>
      <c r="H137" s="112">
        <f t="shared" si="19"/>
        <v>0</v>
      </c>
      <c r="I137" s="115"/>
      <c r="J137" s="112">
        <f>I137*$D137</f>
        <v>0</v>
      </c>
      <c r="K137" s="115"/>
      <c r="L137" s="155">
        <f t="shared" si="18"/>
        <v>0</v>
      </c>
      <c r="M137" s="115"/>
      <c r="N137" s="155">
        <f t="shared" si="9"/>
        <v>0</v>
      </c>
      <c r="O137" s="115"/>
      <c r="P137" s="155">
        <v>0</v>
      </c>
      <c r="Q137" s="115"/>
      <c r="R137" s="155">
        <f t="shared" ref="R137:R138" si="25">Q137*$D137</f>
        <v>0</v>
      </c>
      <c r="S137" s="115"/>
      <c r="T137" s="155">
        <f t="shared" si="23"/>
        <v>0</v>
      </c>
      <c r="U137" s="115"/>
      <c r="V137" s="155">
        <f t="shared" si="17"/>
        <v>0</v>
      </c>
      <c r="W137" s="115"/>
      <c r="X137" s="155">
        <v>0</v>
      </c>
      <c r="Y137" s="115"/>
      <c r="Z137" s="155">
        <v>0</v>
      </c>
      <c r="AA137" s="115"/>
      <c r="AB137" s="155">
        <v>0</v>
      </c>
      <c r="AC137" s="115"/>
      <c r="AD137" s="155">
        <v>0</v>
      </c>
      <c r="AE137" s="160">
        <f t="shared" ref="AE137:AF139" si="26">SUM(G137,I137,K137,M137,O137,Q137,S137,U137,W137,Y137,AA137,AC137)</f>
        <v>0</v>
      </c>
      <c r="AF137" s="112">
        <f>SUM(H137,J137,L137,N137,P137,R137,T137,V137,X137,Z137,AB137,AD137)</f>
        <v>0</v>
      </c>
    </row>
    <row r="138" spans="1:32" ht="20.100000000000001" customHeight="1">
      <c r="A138" s="2">
        <v>112</v>
      </c>
      <c r="B138" s="2" t="s">
        <v>103</v>
      </c>
      <c r="C138" s="2"/>
      <c r="D138" s="2">
        <v>20</v>
      </c>
      <c r="E138" s="2">
        <v>1</v>
      </c>
      <c r="F138" s="2"/>
      <c r="G138" s="115"/>
      <c r="H138" s="112">
        <f t="shared" si="19"/>
        <v>0</v>
      </c>
      <c r="I138" s="115"/>
      <c r="J138" s="112">
        <f t="shared" ref="J138" si="27">I138*$E138</f>
        <v>0</v>
      </c>
      <c r="K138" s="115"/>
      <c r="L138" s="155">
        <f t="shared" si="18"/>
        <v>0</v>
      </c>
      <c r="M138" s="115"/>
      <c r="N138" s="155">
        <f t="shared" si="9"/>
        <v>0</v>
      </c>
      <c r="O138" s="115"/>
      <c r="P138" s="155">
        <v>0</v>
      </c>
      <c r="Q138" s="115"/>
      <c r="R138" s="155">
        <f t="shared" si="25"/>
        <v>0</v>
      </c>
      <c r="S138" s="115"/>
      <c r="T138" s="155">
        <f t="shared" si="23"/>
        <v>0</v>
      </c>
      <c r="U138" s="115"/>
      <c r="V138" s="155">
        <f t="shared" si="17"/>
        <v>0</v>
      </c>
      <c r="W138" s="115"/>
      <c r="X138" s="155">
        <v>0</v>
      </c>
      <c r="Y138" s="115"/>
      <c r="Z138" s="155">
        <v>0</v>
      </c>
      <c r="AA138" s="115"/>
      <c r="AB138" s="155">
        <v>0</v>
      </c>
      <c r="AC138" s="115"/>
      <c r="AD138" s="155">
        <v>0</v>
      </c>
      <c r="AE138" s="160">
        <f>SUM(G138,I138,K138,M138,O138,Q138,S138,U138,W138,Y138,AA138,AC138)</f>
        <v>0</v>
      </c>
      <c r="AF138" s="112">
        <f t="shared" si="26"/>
        <v>0</v>
      </c>
    </row>
    <row r="139" spans="1:32" ht="20.100000000000001" customHeight="1">
      <c r="A139" s="2"/>
      <c r="B139" s="2"/>
      <c r="C139" s="2"/>
      <c r="D139" s="2"/>
      <c r="E139" s="2"/>
      <c r="F139" s="2"/>
      <c r="G139" s="115"/>
      <c r="H139" s="112">
        <f t="shared" si="19"/>
        <v>0</v>
      </c>
      <c r="I139" s="115"/>
      <c r="J139" s="112"/>
      <c r="K139" s="115"/>
      <c r="L139" s="155">
        <f t="shared" si="18"/>
        <v>0</v>
      </c>
      <c r="M139" s="115"/>
      <c r="N139" s="155">
        <f t="shared" si="9"/>
        <v>0</v>
      </c>
      <c r="O139" s="115"/>
      <c r="P139" s="155">
        <v>0</v>
      </c>
      <c r="Q139" s="115"/>
      <c r="R139" s="112"/>
      <c r="S139" s="115"/>
      <c r="T139" s="112"/>
      <c r="U139" s="115"/>
      <c r="V139" s="155">
        <f>U139*$D139</f>
        <v>0</v>
      </c>
      <c r="W139" s="115"/>
      <c r="X139" s="112"/>
      <c r="Y139" s="115"/>
      <c r="Z139" s="155"/>
      <c r="AA139" s="115"/>
      <c r="AB139" s="155"/>
      <c r="AC139" s="115"/>
      <c r="AD139" s="155"/>
      <c r="AE139" s="160">
        <f t="shared" ref="AE139" si="28">SUM(G139,I139,K139,M139,O139,Q139,S139,U139,W139,Y139,AA139,AC139)</f>
        <v>0</v>
      </c>
      <c r="AF139" s="112">
        <f t="shared" si="26"/>
        <v>0</v>
      </c>
    </row>
    <row r="140" spans="1:32" ht="20.100000000000001" customHeight="1">
      <c r="A140" s="10"/>
      <c r="B140" s="73" t="s">
        <v>104</v>
      </c>
      <c r="C140" s="73"/>
      <c r="D140" s="74"/>
      <c r="E140" s="13"/>
      <c r="F140" s="13"/>
      <c r="G140" s="116">
        <f t="shared" ref="G140:P140" si="29">SUM(G4:G139)</f>
        <v>965752</v>
      </c>
      <c r="H140" s="117">
        <f t="shared" si="29"/>
        <v>631832.88</v>
      </c>
      <c r="I140" s="116">
        <f t="shared" si="29"/>
        <v>818851</v>
      </c>
      <c r="J140" s="117">
        <f t="shared" si="29"/>
        <v>532828.48</v>
      </c>
      <c r="K140" s="116">
        <f t="shared" si="29"/>
        <v>1020554</v>
      </c>
      <c r="L140" s="117">
        <f t="shared" si="29"/>
        <v>677348.72</v>
      </c>
      <c r="M140" s="116">
        <f t="shared" si="29"/>
        <v>803099</v>
      </c>
      <c r="N140" s="117">
        <f t="shared" si="29"/>
        <v>524612.25</v>
      </c>
      <c r="O140" s="117">
        <f t="shared" si="29"/>
        <v>888740</v>
      </c>
      <c r="P140" s="117">
        <f t="shared" si="29"/>
        <v>583181.49000000011</v>
      </c>
      <c r="Q140" s="116">
        <v>884247</v>
      </c>
      <c r="R140" s="117">
        <f t="shared" ref="R140:AF140" si="30">SUM(R4:R139)</f>
        <v>578612.40000000014</v>
      </c>
      <c r="S140" s="116">
        <f t="shared" si="30"/>
        <v>863703</v>
      </c>
      <c r="T140" s="117">
        <f t="shared" si="30"/>
        <v>571258.19000000006</v>
      </c>
      <c r="U140" s="116">
        <v>848693</v>
      </c>
      <c r="V140" s="116">
        <f t="shared" si="30"/>
        <v>558733.8400000002</v>
      </c>
      <c r="W140" s="116">
        <v>866201</v>
      </c>
      <c r="X140" s="117">
        <v>583840.04</v>
      </c>
      <c r="Y140" s="116">
        <v>899036</v>
      </c>
      <c r="Z140" s="117">
        <v>603753.98</v>
      </c>
      <c r="AA140" s="116">
        <v>928681</v>
      </c>
      <c r="AB140" s="117">
        <v>616783.96</v>
      </c>
      <c r="AC140" s="116">
        <v>956796</v>
      </c>
      <c r="AD140" s="117">
        <v>636981.12</v>
      </c>
      <c r="AE140" s="116">
        <f t="shared" si="30"/>
        <v>10726242</v>
      </c>
      <c r="AF140" s="117">
        <f t="shared" si="30"/>
        <v>7089333.3499999987</v>
      </c>
    </row>
    <row r="141" spans="1:32" ht="20.100000000000001" customHeight="1">
      <c r="A141" s="14"/>
      <c r="B141" s="16"/>
      <c r="C141" s="16"/>
      <c r="D141" s="16"/>
      <c r="E141" s="9"/>
      <c r="F141" s="9"/>
      <c r="G141" s="52"/>
      <c r="H141" s="112"/>
      <c r="I141" s="52"/>
      <c r="J141" s="157"/>
      <c r="K141" s="52"/>
      <c r="L141" s="157"/>
      <c r="M141" s="52"/>
      <c r="N141" s="157"/>
      <c r="O141" s="52"/>
      <c r="P141" s="157"/>
      <c r="Q141" s="52"/>
      <c r="R141" s="157"/>
      <c r="S141" s="52"/>
      <c r="T141" s="157"/>
      <c r="U141" s="52"/>
      <c r="V141" s="157"/>
      <c r="W141" s="52"/>
      <c r="X141" s="157"/>
      <c r="Y141" s="52"/>
      <c r="Z141" s="157"/>
      <c r="AA141" s="52"/>
      <c r="AB141" s="157"/>
      <c r="AC141" s="52"/>
      <c r="AD141" s="157"/>
      <c r="AE141" s="156"/>
      <c r="AF141" s="157"/>
    </row>
    <row r="142" spans="1:32" ht="20.100000000000001" customHeight="1">
      <c r="A142" s="2">
        <v>113</v>
      </c>
      <c r="B142" s="2" t="s">
        <v>105</v>
      </c>
      <c r="C142" s="2" t="s">
        <v>14</v>
      </c>
      <c r="D142" s="2">
        <v>0.7</v>
      </c>
      <c r="E142" s="2" t="s">
        <v>15</v>
      </c>
      <c r="F142" s="2">
        <v>4500</v>
      </c>
      <c r="G142" s="52"/>
      <c r="H142" s="112">
        <f>G142*$D142</f>
        <v>0</v>
      </c>
      <c r="I142" s="52"/>
      <c r="J142" s="155">
        <f>I142*$D142</f>
        <v>0</v>
      </c>
      <c r="K142" s="52"/>
      <c r="L142" s="155">
        <f>K142*$D142</f>
        <v>0</v>
      </c>
      <c r="M142" s="52"/>
      <c r="N142" s="155">
        <f>M142*$D142</f>
        <v>0</v>
      </c>
      <c r="O142" s="52"/>
      <c r="P142" s="155">
        <v>0</v>
      </c>
      <c r="Q142" s="52"/>
      <c r="R142" s="155">
        <f>Q142*$D142</f>
        <v>0</v>
      </c>
      <c r="S142" s="52"/>
      <c r="T142" s="155">
        <f>S142*$D142</f>
        <v>0</v>
      </c>
      <c r="U142" s="52"/>
      <c r="V142" s="155">
        <f>U142*$D142</f>
        <v>0</v>
      </c>
      <c r="W142" s="52"/>
      <c r="X142" s="155">
        <v>0</v>
      </c>
      <c r="Y142" s="52">
        <v>12</v>
      </c>
      <c r="Z142" s="155">
        <v>8.3999999999999986</v>
      </c>
      <c r="AA142" s="52"/>
      <c r="AB142" s="155">
        <v>0</v>
      </c>
      <c r="AC142" s="52"/>
      <c r="AD142" s="155">
        <v>0</v>
      </c>
      <c r="AE142" s="156">
        <f t="shared" ref="AE142:AF155" si="31">SUM(G142,I142,K142,M142,O142,Q142,S142,U142,W142,Y142,AA142,AC142)</f>
        <v>12</v>
      </c>
      <c r="AF142" s="157">
        <f t="shared" si="31"/>
        <v>8.3999999999999986</v>
      </c>
    </row>
    <row r="143" spans="1:32" ht="20.100000000000001" customHeight="1">
      <c r="A143" s="2">
        <v>114</v>
      </c>
      <c r="B143" s="2" t="s">
        <v>106</v>
      </c>
      <c r="C143" s="2" t="s">
        <v>14</v>
      </c>
      <c r="D143" s="2">
        <v>0.35</v>
      </c>
      <c r="E143" s="2" t="s">
        <v>24</v>
      </c>
      <c r="F143" s="2">
        <v>2300</v>
      </c>
      <c r="G143" s="52"/>
      <c r="H143" s="112">
        <f t="shared" ref="H143:H155" si="32">G143*$D143</f>
        <v>0</v>
      </c>
      <c r="I143" s="52"/>
      <c r="J143" s="155">
        <f t="shared" ref="J143:J155" si="33">I143*$D143</f>
        <v>0</v>
      </c>
      <c r="K143" s="52"/>
      <c r="L143" s="155">
        <f t="shared" ref="L143:L155" si="34">K143*$D143</f>
        <v>0</v>
      </c>
      <c r="M143" s="52"/>
      <c r="N143" s="155">
        <f t="shared" ref="N143:N155" si="35">M143*$D143</f>
        <v>0</v>
      </c>
      <c r="O143" s="52"/>
      <c r="P143" s="155">
        <v>0</v>
      </c>
      <c r="Q143" s="52">
        <v>3</v>
      </c>
      <c r="R143" s="155">
        <f t="shared" ref="R143:R155" si="36">Q143*$D143</f>
        <v>1.0499999999999998</v>
      </c>
      <c r="S143" s="52">
        <v>3</v>
      </c>
      <c r="T143" s="155">
        <f t="shared" ref="T143:T155" si="37">S143*$D143</f>
        <v>1.0499999999999998</v>
      </c>
      <c r="U143" s="52"/>
      <c r="V143" s="155">
        <f t="shared" ref="V143:V155" si="38">U143*$D143</f>
        <v>0</v>
      </c>
      <c r="W143" s="52"/>
      <c r="X143" s="155">
        <v>0</v>
      </c>
      <c r="Y143" s="52"/>
      <c r="Z143" s="155">
        <v>0</v>
      </c>
      <c r="AA143" s="52"/>
      <c r="AB143" s="155">
        <v>0</v>
      </c>
      <c r="AC143" s="52"/>
      <c r="AD143" s="155">
        <v>0</v>
      </c>
      <c r="AE143" s="156">
        <f t="shared" si="31"/>
        <v>6</v>
      </c>
      <c r="AF143" s="157">
        <f t="shared" si="31"/>
        <v>2.0999999999999996</v>
      </c>
    </row>
    <row r="144" spans="1:32" ht="20.100000000000001" customHeight="1">
      <c r="A144" s="2">
        <v>115</v>
      </c>
      <c r="B144" s="2" t="s">
        <v>107</v>
      </c>
      <c r="C144" s="2" t="s">
        <v>14</v>
      </c>
      <c r="D144" s="2">
        <v>0.17499999999999999</v>
      </c>
      <c r="E144" s="2" t="s">
        <v>108</v>
      </c>
      <c r="F144" s="2">
        <v>1300</v>
      </c>
      <c r="G144" s="52"/>
      <c r="H144" s="112">
        <f t="shared" si="32"/>
        <v>0</v>
      </c>
      <c r="I144" s="52"/>
      <c r="J144" s="155">
        <f t="shared" si="33"/>
        <v>0</v>
      </c>
      <c r="K144" s="52"/>
      <c r="L144" s="155">
        <f t="shared" si="34"/>
        <v>0</v>
      </c>
      <c r="M144" s="52"/>
      <c r="N144" s="155">
        <f t="shared" si="35"/>
        <v>0</v>
      </c>
      <c r="O144" s="52"/>
      <c r="P144" s="155">
        <v>0</v>
      </c>
      <c r="Q144" s="52"/>
      <c r="R144" s="155">
        <f t="shared" si="36"/>
        <v>0</v>
      </c>
      <c r="S144" s="52"/>
      <c r="T144" s="155">
        <f t="shared" si="37"/>
        <v>0</v>
      </c>
      <c r="U144" s="52"/>
      <c r="V144" s="155">
        <f t="shared" si="38"/>
        <v>0</v>
      </c>
      <c r="W144" s="52"/>
      <c r="X144" s="155">
        <v>0</v>
      </c>
      <c r="Y144" s="52"/>
      <c r="Z144" s="155">
        <v>0</v>
      </c>
      <c r="AA144" s="52"/>
      <c r="AB144" s="155">
        <v>0</v>
      </c>
      <c r="AC144" s="52"/>
      <c r="AD144" s="155">
        <v>0</v>
      </c>
      <c r="AE144" s="156">
        <f t="shared" si="31"/>
        <v>0</v>
      </c>
      <c r="AF144" s="157">
        <f t="shared" si="31"/>
        <v>0</v>
      </c>
    </row>
    <row r="145" spans="1:32" ht="20.100000000000001" customHeight="1">
      <c r="A145" s="2">
        <v>116</v>
      </c>
      <c r="B145" s="2" t="s">
        <v>109</v>
      </c>
      <c r="C145" s="2" t="s">
        <v>14</v>
      </c>
      <c r="D145" s="2">
        <v>0.7</v>
      </c>
      <c r="E145" s="2" t="s">
        <v>15</v>
      </c>
      <c r="F145" s="2">
        <v>5200</v>
      </c>
      <c r="G145" s="52">
        <v>61</v>
      </c>
      <c r="H145" s="112">
        <f t="shared" si="32"/>
        <v>42.699999999999996</v>
      </c>
      <c r="I145" s="52">
        <v>78</v>
      </c>
      <c r="J145" s="155">
        <f t="shared" si="33"/>
        <v>54.599999999999994</v>
      </c>
      <c r="K145" s="52">
        <v>12</v>
      </c>
      <c r="L145" s="155">
        <f t="shared" si="34"/>
        <v>8.3999999999999986</v>
      </c>
      <c r="M145" s="52">
        <v>54</v>
      </c>
      <c r="N145" s="155">
        <f t="shared" si="35"/>
        <v>37.799999999999997</v>
      </c>
      <c r="O145" s="52">
        <v>42</v>
      </c>
      <c r="P145" s="155">
        <v>29.4</v>
      </c>
      <c r="Q145" s="52">
        <v>26</v>
      </c>
      <c r="R145" s="155">
        <f t="shared" si="36"/>
        <v>18.2</v>
      </c>
      <c r="S145" s="52">
        <v>75</v>
      </c>
      <c r="T145" s="155">
        <f t="shared" si="37"/>
        <v>52.5</v>
      </c>
      <c r="U145" s="52">
        <v>21</v>
      </c>
      <c r="V145" s="155">
        <f t="shared" si="38"/>
        <v>14.7</v>
      </c>
      <c r="W145" s="52"/>
      <c r="X145" s="155">
        <v>0</v>
      </c>
      <c r="Y145" s="52">
        <v>96</v>
      </c>
      <c r="Z145" s="155">
        <v>67.199999999999989</v>
      </c>
      <c r="AA145" s="52"/>
      <c r="AB145" s="155">
        <v>0</v>
      </c>
      <c r="AC145" s="52"/>
      <c r="AD145" s="155">
        <v>0</v>
      </c>
      <c r="AE145" s="156">
        <f t="shared" si="31"/>
        <v>465</v>
      </c>
      <c r="AF145" s="157">
        <f t="shared" si="31"/>
        <v>325.5</v>
      </c>
    </row>
    <row r="146" spans="1:32" ht="20.100000000000001" customHeight="1">
      <c r="A146" s="2">
        <v>117</v>
      </c>
      <c r="B146" s="2" t="s">
        <v>110</v>
      </c>
      <c r="C146" s="2" t="s">
        <v>14</v>
      </c>
      <c r="D146" s="2">
        <v>0.35</v>
      </c>
      <c r="E146" s="2" t="s">
        <v>24</v>
      </c>
      <c r="F146" s="2">
        <v>2600</v>
      </c>
      <c r="G146" s="52">
        <v>96</v>
      </c>
      <c r="H146" s="112">
        <f t="shared" si="32"/>
        <v>33.599999999999994</v>
      </c>
      <c r="I146" s="52">
        <v>432</v>
      </c>
      <c r="J146" s="155">
        <f t="shared" si="33"/>
        <v>151.19999999999999</v>
      </c>
      <c r="K146" s="52">
        <v>168</v>
      </c>
      <c r="L146" s="155">
        <f t="shared" si="34"/>
        <v>58.8</v>
      </c>
      <c r="M146" s="52">
        <v>244</v>
      </c>
      <c r="N146" s="155">
        <f t="shared" si="35"/>
        <v>85.399999999999991</v>
      </c>
      <c r="O146" s="52">
        <v>246</v>
      </c>
      <c r="P146" s="155">
        <v>86.1</v>
      </c>
      <c r="Q146" s="52">
        <v>162</v>
      </c>
      <c r="R146" s="155">
        <f t="shared" si="36"/>
        <v>56.699999999999996</v>
      </c>
      <c r="S146" s="52">
        <v>276</v>
      </c>
      <c r="T146" s="155">
        <f t="shared" si="37"/>
        <v>96.6</v>
      </c>
      <c r="U146" s="52">
        <v>234</v>
      </c>
      <c r="V146" s="155">
        <f t="shared" si="38"/>
        <v>81.899999999999991</v>
      </c>
      <c r="W146" s="52">
        <v>48</v>
      </c>
      <c r="X146" s="155">
        <v>16.799999999999997</v>
      </c>
      <c r="Y146" s="52"/>
      <c r="Z146" s="155">
        <v>0</v>
      </c>
      <c r="AA146" s="52"/>
      <c r="AB146" s="155">
        <v>0</v>
      </c>
      <c r="AC146" s="52"/>
      <c r="AD146" s="155">
        <v>0</v>
      </c>
      <c r="AE146" s="156">
        <f t="shared" si="31"/>
        <v>1906</v>
      </c>
      <c r="AF146" s="157">
        <f t="shared" si="31"/>
        <v>667.0999999999998</v>
      </c>
    </row>
    <row r="147" spans="1:32" ht="20.100000000000001" customHeight="1">
      <c r="A147" s="2">
        <v>118</v>
      </c>
      <c r="B147" s="2" t="s">
        <v>111</v>
      </c>
      <c r="C147" s="2" t="s">
        <v>14</v>
      </c>
      <c r="D147" s="2">
        <v>0.17499999999999999</v>
      </c>
      <c r="E147" s="2" t="s">
        <v>108</v>
      </c>
      <c r="F147" s="2">
        <v>1450</v>
      </c>
      <c r="G147" s="52">
        <v>240</v>
      </c>
      <c r="H147" s="112">
        <f t="shared" si="32"/>
        <v>42</v>
      </c>
      <c r="I147" s="52">
        <v>30</v>
      </c>
      <c r="J147" s="155">
        <f t="shared" si="33"/>
        <v>5.25</v>
      </c>
      <c r="K147" s="52"/>
      <c r="L147" s="155">
        <f t="shared" si="34"/>
        <v>0</v>
      </c>
      <c r="M147" s="52">
        <v>22</v>
      </c>
      <c r="N147" s="155">
        <f t="shared" si="35"/>
        <v>3.8499999999999996</v>
      </c>
      <c r="O147" s="52">
        <v>211</v>
      </c>
      <c r="P147" s="155">
        <v>36.924999999999997</v>
      </c>
      <c r="Q147" s="52">
        <v>79</v>
      </c>
      <c r="R147" s="155">
        <f t="shared" si="36"/>
        <v>13.824999999999999</v>
      </c>
      <c r="S147" s="52">
        <v>156</v>
      </c>
      <c r="T147" s="155">
        <f t="shared" si="37"/>
        <v>27.299999999999997</v>
      </c>
      <c r="U147" s="52">
        <v>30</v>
      </c>
      <c r="V147" s="155">
        <f t="shared" si="38"/>
        <v>5.25</v>
      </c>
      <c r="W147" s="52"/>
      <c r="X147" s="155">
        <v>0</v>
      </c>
      <c r="Y147" s="52"/>
      <c r="Z147" s="155">
        <v>0</v>
      </c>
      <c r="AA147" s="52">
        <v>10</v>
      </c>
      <c r="AB147" s="155">
        <v>1.75</v>
      </c>
      <c r="AC147" s="52"/>
      <c r="AD147" s="155">
        <v>0</v>
      </c>
      <c r="AE147" s="156">
        <f t="shared" si="31"/>
        <v>778</v>
      </c>
      <c r="AF147" s="157">
        <f t="shared" si="31"/>
        <v>136.15</v>
      </c>
    </row>
    <row r="148" spans="1:32" ht="20.100000000000001" customHeight="1">
      <c r="A148" s="2">
        <v>119</v>
      </c>
      <c r="B148" s="2" t="s">
        <v>112</v>
      </c>
      <c r="C148" s="2" t="s">
        <v>14</v>
      </c>
      <c r="D148" s="2">
        <v>0.7</v>
      </c>
      <c r="E148" s="2" t="s">
        <v>15</v>
      </c>
      <c r="F148" s="2"/>
      <c r="G148" s="52"/>
      <c r="H148" s="112">
        <f t="shared" si="32"/>
        <v>0</v>
      </c>
      <c r="I148" s="52"/>
      <c r="J148" s="155">
        <f t="shared" si="33"/>
        <v>0</v>
      </c>
      <c r="K148" s="52"/>
      <c r="L148" s="155">
        <f t="shared" si="34"/>
        <v>0</v>
      </c>
      <c r="M148" s="52"/>
      <c r="N148" s="155">
        <f t="shared" si="35"/>
        <v>0</v>
      </c>
      <c r="O148" s="52"/>
      <c r="P148" s="155">
        <v>0</v>
      </c>
      <c r="Q148" s="52"/>
      <c r="R148" s="155">
        <f t="shared" si="36"/>
        <v>0</v>
      </c>
      <c r="S148" s="52"/>
      <c r="T148" s="155">
        <f t="shared" si="37"/>
        <v>0</v>
      </c>
      <c r="U148" s="52"/>
      <c r="V148" s="155">
        <f t="shared" si="38"/>
        <v>0</v>
      </c>
      <c r="W148" s="52"/>
      <c r="X148" s="155">
        <v>0</v>
      </c>
      <c r="Y148" s="52"/>
      <c r="Z148" s="155">
        <v>0</v>
      </c>
      <c r="AA148" s="52"/>
      <c r="AB148" s="155"/>
      <c r="AC148" s="52"/>
      <c r="AD148" s="155">
        <v>0</v>
      </c>
      <c r="AE148" s="156">
        <f t="shared" si="31"/>
        <v>0</v>
      </c>
      <c r="AF148" s="157">
        <f t="shared" si="31"/>
        <v>0</v>
      </c>
    </row>
    <row r="149" spans="1:32" ht="20.100000000000001" customHeight="1">
      <c r="A149" s="2">
        <v>120</v>
      </c>
      <c r="B149" s="2" t="s">
        <v>213</v>
      </c>
      <c r="C149" s="2" t="s">
        <v>14</v>
      </c>
      <c r="D149" s="2">
        <v>0.7</v>
      </c>
      <c r="E149" s="2" t="s">
        <v>15</v>
      </c>
      <c r="F149" s="2"/>
      <c r="G149" s="52"/>
      <c r="H149" s="112"/>
      <c r="I149" s="52"/>
      <c r="J149" s="155"/>
      <c r="K149" s="52"/>
      <c r="L149" s="155"/>
      <c r="M149" s="52"/>
      <c r="N149" s="155"/>
      <c r="O149" s="52"/>
      <c r="P149" s="155"/>
      <c r="Q149" s="52"/>
      <c r="R149" s="155"/>
      <c r="S149" s="52">
        <v>27</v>
      </c>
      <c r="T149" s="155">
        <f t="shared" si="37"/>
        <v>18.899999999999999</v>
      </c>
      <c r="U149" s="52">
        <v>361</v>
      </c>
      <c r="V149" s="155">
        <f t="shared" si="38"/>
        <v>252.7</v>
      </c>
      <c r="W149" s="52">
        <v>1076</v>
      </c>
      <c r="X149" s="155">
        <v>753.19999999999993</v>
      </c>
      <c r="Y149" s="52">
        <v>1406</v>
      </c>
      <c r="Z149" s="155">
        <v>984.19999999999993</v>
      </c>
      <c r="AA149" s="52">
        <v>800</v>
      </c>
      <c r="AB149" s="155">
        <v>560</v>
      </c>
      <c r="AC149" s="52">
        <v>1147</v>
      </c>
      <c r="AD149" s="155">
        <v>802.9</v>
      </c>
      <c r="AE149" s="156">
        <f t="shared" si="31"/>
        <v>4817</v>
      </c>
      <c r="AF149" s="157">
        <f t="shared" si="31"/>
        <v>3371.9</v>
      </c>
    </row>
    <row r="150" spans="1:32" ht="20.100000000000001" customHeight="1">
      <c r="A150" s="2">
        <v>121</v>
      </c>
      <c r="B150" s="2" t="s">
        <v>214</v>
      </c>
      <c r="C150" s="2"/>
      <c r="D150" s="2"/>
      <c r="E150" s="2"/>
      <c r="F150" s="2"/>
      <c r="G150" s="52"/>
      <c r="H150" s="112"/>
      <c r="I150" s="52"/>
      <c r="J150" s="155"/>
      <c r="K150" s="52"/>
      <c r="L150" s="155"/>
      <c r="M150" s="52"/>
      <c r="N150" s="155"/>
      <c r="O150" s="52"/>
      <c r="P150" s="155"/>
      <c r="Q150" s="52"/>
      <c r="R150" s="155"/>
      <c r="S150" s="52"/>
      <c r="T150" s="155"/>
      <c r="U150" s="52"/>
      <c r="V150" s="155"/>
      <c r="W150" s="52"/>
      <c r="X150" s="155"/>
      <c r="Y150" s="52"/>
      <c r="Z150" s="155"/>
      <c r="AA150" s="52"/>
      <c r="AB150" s="155"/>
      <c r="AC150" s="52"/>
      <c r="AD150" s="155"/>
      <c r="AE150" s="156"/>
      <c r="AF150" s="157"/>
    </row>
    <row r="151" spans="1:32" ht="20.100000000000001" customHeight="1">
      <c r="A151" s="2">
        <v>122</v>
      </c>
      <c r="B151" s="2" t="s">
        <v>113</v>
      </c>
      <c r="C151" s="2" t="s">
        <v>14</v>
      </c>
      <c r="D151" s="2">
        <v>0.7</v>
      </c>
      <c r="E151" s="2" t="s">
        <v>15</v>
      </c>
      <c r="F151" s="2"/>
      <c r="G151" s="52"/>
      <c r="H151" s="112">
        <f t="shared" si="32"/>
        <v>0</v>
      </c>
      <c r="I151" s="52"/>
      <c r="J151" s="155">
        <f t="shared" si="33"/>
        <v>0</v>
      </c>
      <c r="K151" s="52"/>
      <c r="L151" s="155">
        <f t="shared" si="34"/>
        <v>0</v>
      </c>
      <c r="M151" s="52"/>
      <c r="N151" s="155">
        <f t="shared" si="35"/>
        <v>0</v>
      </c>
      <c r="O151" s="52"/>
      <c r="P151" s="155">
        <v>0</v>
      </c>
      <c r="Q151" s="52"/>
      <c r="R151" s="155">
        <f t="shared" si="36"/>
        <v>0</v>
      </c>
      <c r="S151" s="52"/>
      <c r="T151" s="155">
        <f t="shared" si="37"/>
        <v>0</v>
      </c>
      <c r="U151" s="52"/>
      <c r="V151" s="155">
        <f t="shared" si="38"/>
        <v>0</v>
      </c>
      <c r="W151" s="52"/>
      <c r="X151" s="155">
        <v>0</v>
      </c>
      <c r="Y151" s="52"/>
      <c r="Z151" s="155">
        <v>0</v>
      </c>
      <c r="AA151" s="52"/>
      <c r="AB151" s="155">
        <v>0</v>
      </c>
      <c r="AC151" s="52"/>
      <c r="AD151" s="155">
        <v>0</v>
      </c>
      <c r="AE151" s="156">
        <f t="shared" si="31"/>
        <v>0</v>
      </c>
      <c r="AF151" s="157">
        <f t="shared" si="31"/>
        <v>0</v>
      </c>
    </row>
    <row r="152" spans="1:32" ht="20.100000000000001" customHeight="1">
      <c r="A152" s="2">
        <v>123</v>
      </c>
      <c r="B152" s="2" t="s">
        <v>114</v>
      </c>
      <c r="C152" s="2" t="s">
        <v>14</v>
      </c>
      <c r="D152" s="2">
        <v>0.35</v>
      </c>
      <c r="E152" s="2" t="s">
        <v>24</v>
      </c>
      <c r="F152" s="2"/>
      <c r="G152" s="52"/>
      <c r="H152" s="112">
        <f t="shared" si="32"/>
        <v>0</v>
      </c>
      <c r="I152" s="52"/>
      <c r="J152" s="155">
        <f t="shared" si="33"/>
        <v>0</v>
      </c>
      <c r="K152" s="52"/>
      <c r="L152" s="155">
        <f t="shared" si="34"/>
        <v>0</v>
      </c>
      <c r="M152" s="52"/>
      <c r="N152" s="155">
        <f t="shared" si="35"/>
        <v>0</v>
      </c>
      <c r="O152" s="52"/>
      <c r="P152" s="155">
        <v>0</v>
      </c>
      <c r="Q152" s="52"/>
      <c r="R152" s="155">
        <f t="shared" si="36"/>
        <v>0</v>
      </c>
      <c r="S152" s="52"/>
      <c r="T152" s="155">
        <f t="shared" si="37"/>
        <v>0</v>
      </c>
      <c r="U152" s="52"/>
      <c r="V152" s="155">
        <f t="shared" si="38"/>
        <v>0</v>
      </c>
      <c r="W152" s="52"/>
      <c r="X152" s="155">
        <v>0</v>
      </c>
      <c r="Y152" s="52"/>
      <c r="Z152" s="155">
        <v>0</v>
      </c>
      <c r="AA152" s="52"/>
      <c r="AB152" s="155">
        <v>0</v>
      </c>
      <c r="AC152" s="52"/>
      <c r="AD152" s="155">
        <v>0</v>
      </c>
      <c r="AE152" s="156">
        <f t="shared" si="31"/>
        <v>0</v>
      </c>
      <c r="AF152" s="157">
        <f t="shared" si="31"/>
        <v>0</v>
      </c>
    </row>
    <row r="153" spans="1:32" ht="20.100000000000001" customHeight="1">
      <c r="A153" s="2">
        <v>124</v>
      </c>
      <c r="B153" s="2" t="s">
        <v>115</v>
      </c>
      <c r="C153" s="2" t="s">
        <v>14</v>
      </c>
      <c r="D153" s="2">
        <v>0.7</v>
      </c>
      <c r="E153" s="2" t="s">
        <v>15</v>
      </c>
      <c r="F153" s="2"/>
      <c r="G153" s="52"/>
      <c r="H153" s="112">
        <f t="shared" si="32"/>
        <v>0</v>
      </c>
      <c r="I153" s="52"/>
      <c r="J153" s="155">
        <f t="shared" si="33"/>
        <v>0</v>
      </c>
      <c r="K153" s="52"/>
      <c r="L153" s="155">
        <f t="shared" si="34"/>
        <v>0</v>
      </c>
      <c r="M153" s="52"/>
      <c r="N153" s="155">
        <f t="shared" si="35"/>
        <v>0</v>
      </c>
      <c r="O153" s="52"/>
      <c r="P153" s="155">
        <v>0</v>
      </c>
      <c r="Q153" s="52"/>
      <c r="R153" s="155">
        <f t="shared" si="36"/>
        <v>0</v>
      </c>
      <c r="S153" s="52"/>
      <c r="T153" s="155">
        <f t="shared" si="37"/>
        <v>0</v>
      </c>
      <c r="U153" s="52"/>
      <c r="V153" s="155">
        <f t="shared" si="38"/>
        <v>0</v>
      </c>
      <c r="W153" s="52"/>
      <c r="X153" s="155">
        <v>0</v>
      </c>
      <c r="Y153" s="52"/>
      <c r="Z153" s="155">
        <v>0</v>
      </c>
      <c r="AA153" s="52"/>
      <c r="AB153" s="155">
        <v>0</v>
      </c>
      <c r="AC153" s="52"/>
      <c r="AD153" s="155">
        <v>0</v>
      </c>
      <c r="AE153" s="156">
        <f t="shared" si="31"/>
        <v>0</v>
      </c>
      <c r="AF153" s="157">
        <f t="shared" si="31"/>
        <v>0</v>
      </c>
    </row>
    <row r="154" spans="1:32" ht="20.100000000000001" customHeight="1">
      <c r="A154" s="2">
        <v>125</v>
      </c>
      <c r="B154" s="2" t="s">
        <v>116</v>
      </c>
      <c r="C154" s="2" t="s">
        <v>14</v>
      </c>
      <c r="D154" s="2">
        <v>0.35</v>
      </c>
      <c r="E154" s="2" t="s">
        <v>24</v>
      </c>
      <c r="F154" s="2"/>
      <c r="G154" s="52"/>
      <c r="H154" s="112">
        <f t="shared" si="32"/>
        <v>0</v>
      </c>
      <c r="I154" s="52"/>
      <c r="J154" s="155">
        <f t="shared" si="33"/>
        <v>0</v>
      </c>
      <c r="K154" s="52"/>
      <c r="L154" s="155">
        <f t="shared" si="34"/>
        <v>0</v>
      </c>
      <c r="M154" s="52"/>
      <c r="N154" s="155">
        <f t="shared" si="35"/>
        <v>0</v>
      </c>
      <c r="O154" s="52"/>
      <c r="P154" s="155">
        <v>0</v>
      </c>
      <c r="Q154" s="52"/>
      <c r="R154" s="155">
        <f t="shared" si="36"/>
        <v>0</v>
      </c>
      <c r="S154" s="52"/>
      <c r="T154" s="155">
        <f t="shared" si="37"/>
        <v>0</v>
      </c>
      <c r="U154" s="52"/>
      <c r="V154" s="155">
        <f t="shared" si="38"/>
        <v>0</v>
      </c>
      <c r="W154" s="52"/>
      <c r="X154" s="155">
        <v>0</v>
      </c>
      <c r="Y154" s="52"/>
      <c r="Z154" s="155">
        <v>0</v>
      </c>
      <c r="AA154" s="52">
        <v>120</v>
      </c>
      <c r="AB154" s="155">
        <v>42</v>
      </c>
      <c r="AC154" s="52"/>
      <c r="AD154" s="155">
        <v>0</v>
      </c>
      <c r="AE154" s="156">
        <f t="shared" si="31"/>
        <v>120</v>
      </c>
      <c r="AF154" s="157">
        <f t="shared" si="31"/>
        <v>42</v>
      </c>
    </row>
    <row r="155" spans="1:32" ht="20.100000000000001" customHeight="1">
      <c r="A155" s="2">
        <v>126</v>
      </c>
      <c r="B155" s="16" t="s">
        <v>117</v>
      </c>
      <c r="C155" s="16" t="s">
        <v>14</v>
      </c>
      <c r="D155" s="2">
        <v>0.7</v>
      </c>
      <c r="E155" s="15" t="s">
        <v>118</v>
      </c>
      <c r="F155" s="9"/>
      <c r="G155" s="115"/>
      <c r="H155" s="112">
        <f t="shared" si="32"/>
        <v>0</v>
      </c>
      <c r="I155" s="115"/>
      <c r="J155" s="155">
        <f t="shared" si="33"/>
        <v>0</v>
      </c>
      <c r="K155" s="115"/>
      <c r="L155" s="155">
        <f t="shared" si="34"/>
        <v>0</v>
      </c>
      <c r="M155" s="115"/>
      <c r="N155" s="155">
        <f t="shared" si="35"/>
        <v>0</v>
      </c>
      <c r="O155" s="115"/>
      <c r="P155" s="155">
        <v>0</v>
      </c>
      <c r="Q155" s="115"/>
      <c r="R155" s="155">
        <f t="shared" si="36"/>
        <v>0</v>
      </c>
      <c r="S155" s="115"/>
      <c r="T155" s="155">
        <f t="shared" si="37"/>
        <v>0</v>
      </c>
      <c r="U155" s="115"/>
      <c r="V155" s="155">
        <f t="shared" si="38"/>
        <v>0</v>
      </c>
      <c r="W155" s="115"/>
      <c r="X155" s="155">
        <v>0</v>
      </c>
      <c r="Y155" s="115"/>
      <c r="Z155" s="155">
        <v>0</v>
      </c>
      <c r="AA155" s="115"/>
      <c r="AB155" s="155">
        <v>0</v>
      </c>
      <c r="AC155" s="115"/>
      <c r="AD155" s="155">
        <v>0</v>
      </c>
      <c r="AE155" s="160">
        <f t="shared" si="31"/>
        <v>0</v>
      </c>
      <c r="AF155" s="112">
        <f t="shared" si="31"/>
        <v>0</v>
      </c>
    </row>
    <row r="156" spans="1:32" ht="20.100000000000001" customHeight="1">
      <c r="A156" s="16"/>
      <c r="B156" s="16"/>
      <c r="C156" s="16"/>
      <c r="D156" s="16"/>
      <c r="E156" s="9"/>
      <c r="F156" s="9"/>
      <c r="G156" s="52"/>
      <c r="H156" s="112"/>
      <c r="I156" s="52"/>
      <c r="J156" s="157"/>
      <c r="K156" s="52"/>
      <c r="L156" s="157"/>
      <c r="M156" s="52"/>
      <c r="N156" s="157"/>
      <c r="O156" s="52"/>
      <c r="P156" s="157">
        <v>0</v>
      </c>
      <c r="Q156" s="52"/>
      <c r="R156" s="157"/>
      <c r="S156" s="52"/>
      <c r="T156" s="157"/>
      <c r="U156" s="52"/>
      <c r="V156" s="157"/>
      <c r="W156" s="52"/>
      <c r="X156" s="157"/>
      <c r="Y156" s="52"/>
      <c r="Z156" s="157"/>
      <c r="AA156" s="52"/>
      <c r="AB156" s="157"/>
      <c r="AC156" s="52"/>
      <c r="AD156" s="157"/>
      <c r="AE156" s="156"/>
      <c r="AF156" s="157"/>
    </row>
    <row r="157" spans="1:32" ht="20.100000000000001" customHeight="1">
      <c r="A157" s="17"/>
      <c r="B157" s="73" t="s">
        <v>119</v>
      </c>
      <c r="C157" s="73"/>
      <c r="D157" s="73"/>
      <c r="E157" s="13"/>
      <c r="F157" s="13"/>
      <c r="G157" s="116">
        <f t="shared" ref="G157:AF157" si="39">SUM(G141:G156)</f>
        <v>397</v>
      </c>
      <c r="H157" s="117">
        <f t="shared" si="39"/>
        <v>118.29999999999998</v>
      </c>
      <c r="I157" s="116">
        <f t="shared" si="39"/>
        <v>540</v>
      </c>
      <c r="J157" s="117">
        <f t="shared" si="39"/>
        <v>211.04999999999998</v>
      </c>
      <c r="K157" s="116">
        <f t="shared" si="39"/>
        <v>180</v>
      </c>
      <c r="L157" s="117">
        <f t="shared" si="39"/>
        <v>67.199999999999989</v>
      </c>
      <c r="M157" s="116">
        <f t="shared" si="39"/>
        <v>320</v>
      </c>
      <c r="N157" s="117">
        <f t="shared" si="39"/>
        <v>127.04999999999998</v>
      </c>
      <c r="O157" s="116">
        <v>499</v>
      </c>
      <c r="P157" s="117">
        <v>152.42500000000001</v>
      </c>
      <c r="Q157" s="116">
        <v>270</v>
      </c>
      <c r="R157" s="117">
        <f t="shared" si="39"/>
        <v>89.774999999999991</v>
      </c>
      <c r="S157" s="116">
        <f t="shared" si="39"/>
        <v>537</v>
      </c>
      <c r="T157" s="117">
        <f t="shared" si="39"/>
        <v>196.35</v>
      </c>
      <c r="U157" s="116">
        <v>646</v>
      </c>
      <c r="V157" s="117">
        <f t="shared" si="39"/>
        <v>354.54999999999995</v>
      </c>
      <c r="W157" s="116">
        <v>1124</v>
      </c>
      <c r="X157" s="117">
        <v>769.99999999999989</v>
      </c>
      <c r="Y157" s="116">
        <v>1514</v>
      </c>
      <c r="Z157" s="117">
        <v>1059.8</v>
      </c>
      <c r="AA157" s="116">
        <v>930</v>
      </c>
      <c r="AB157" s="117">
        <v>603.75</v>
      </c>
      <c r="AC157" s="116">
        <v>1147</v>
      </c>
      <c r="AD157" s="117">
        <v>802.9</v>
      </c>
      <c r="AE157" s="116">
        <f t="shared" si="39"/>
        <v>8104</v>
      </c>
      <c r="AF157" s="117">
        <f t="shared" si="39"/>
        <v>4553.1499999999996</v>
      </c>
    </row>
    <row r="158" spans="1:32" ht="20.100000000000001" customHeight="1">
      <c r="A158" s="75"/>
      <c r="B158" s="74" t="s">
        <v>120</v>
      </c>
      <c r="C158" s="74"/>
      <c r="D158" s="74"/>
      <c r="E158" s="74"/>
      <c r="F158" s="74"/>
      <c r="G158" s="120">
        <f t="shared" ref="G158:AF158" si="40">+G140+G157</f>
        <v>966149</v>
      </c>
      <c r="H158" s="121">
        <f t="shared" si="40"/>
        <v>631951.18000000005</v>
      </c>
      <c r="I158" s="120">
        <f t="shared" si="40"/>
        <v>819391</v>
      </c>
      <c r="J158" s="121">
        <f t="shared" si="40"/>
        <v>533039.53</v>
      </c>
      <c r="K158" s="120">
        <f t="shared" si="40"/>
        <v>1020734</v>
      </c>
      <c r="L158" s="121">
        <f t="shared" si="40"/>
        <v>677415.91999999993</v>
      </c>
      <c r="M158" s="120">
        <f t="shared" si="40"/>
        <v>803419</v>
      </c>
      <c r="N158" s="121">
        <f t="shared" si="40"/>
        <v>524739.30000000005</v>
      </c>
      <c r="O158" s="121">
        <f t="shared" si="40"/>
        <v>889239</v>
      </c>
      <c r="P158" s="121">
        <f t="shared" si="40"/>
        <v>583333.91500000015</v>
      </c>
      <c r="Q158" s="120">
        <v>884517</v>
      </c>
      <c r="R158" s="121">
        <f t="shared" si="40"/>
        <v>578702.17500000016</v>
      </c>
      <c r="S158" s="120">
        <f t="shared" si="40"/>
        <v>864240</v>
      </c>
      <c r="T158" s="121">
        <f t="shared" si="40"/>
        <v>571454.54</v>
      </c>
      <c r="U158" s="120">
        <v>849339</v>
      </c>
      <c r="V158" s="121">
        <f t="shared" si="40"/>
        <v>559088.39000000025</v>
      </c>
      <c r="W158" s="120">
        <v>867325</v>
      </c>
      <c r="X158" s="121">
        <v>584610.04</v>
      </c>
      <c r="Y158" s="120">
        <v>900550</v>
      </c>
      <c r="Z158" s="121">
        <v>604813.78</v>
      </c>
      <c r="AA158" s="120">
        <v>929611</v>
      </c>
      <c r="AB158" s="121">
        <v>617387.71</v>
      </c>
      <c r="AC158" s="120">
        <v>957943</v>
      </c>
      <c r="AD158" s="121">
        <v>637784.02</v>
      </c>
      <c r="AE158" s="120">
        <f t="shared" si="40"/>
        <v>10734346</v>
      </c>
      <c r="AF158" s="121">
        <f t="shared" si="40"/>
        <v>7093886.4999999991</v>
      </c>
    </row>
  </sheetData>
  <mergeCells count="20">
    <mergeCell ref="A1:C1"/>
    <mergeCell ref="G2:H2"/>
    <mergeCell ref="I2:J2"/>
    <mergeCell ref="K2:L2"/>
    <mergeCell ref="AA2:AB2"/>
    <mergeCell ref="M2:N2"/>
    <mergeCell ref="A2:A3"/>
    <mergeCell ref="B2:B3"/>
    <mergeCell ref="C2:C3"/>
    <mergeCell ref="D2:D3"/>
    <mergeCell ref="E2:E3"/>
    <mergeCell ref="F2:F3"/>
    <mergeCell ref="AC2:AD2"/>
    <mergeCell ref="AE2:AF2"/>
    <mergeCell ref="O2:P2"/>
    <mergeCell ref="Q2:R2"/>
    <mergeCell ref="S2:T2"/>
    <mergeCell ref="U2:V2"/>
    <mergeCell ref="W2:X2"/>
    <mergeCell ref="Y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5"/>
  <sheetViews>
    <sheetView topLeftCell="A135" workbookViewId="0">
      <selection activeCell="A163" sqref="A163"/>
    </sheetView>
  </sheetViews>
  <sheetFormatPr defaultRowHeight="21"/>
  <cols>
    <col min="1" max="1" width="5.28515625" customWidth="1"/>
    <col min="2" max="2" width="24.85546875" customWidth="1"/>
    <col min="3" max="3" width="9" customWidth="1"/>
    <col min="4" max="4" width="6" customWidth="1"/>
    <col min="6" max="6" width="8.85546875" customWidth="1"/>
    <col min="7" max="7" width="9" customWidth="1"/>
    <col min="8" max="8" width="10.140625" bestFit="1" customWidth="1"/>
    <col min="9" max="10" width="11.5703125" bestFit="1" customWidth="1"/>
    <col min="31" max="31" width="9.85546875" customWidth="1"/>
    <col min="32" max="32" width="10.42578125" customWidth="1"/>
  </cols>
  <sheetData>
    <row r="1" spans="1:32" ht="24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161" t="s">
        <v>1</v>
      </c>
      <c r="B2" s="161" t="s">
        <v>2</v>
      </c>
      <c r="C2" s="161"/>
      <c r="D2" s="161" t="s">
        <v>4</v>
      </c>
      <c r="E2" s="161" t="s">
        <v>5</v>
      </c>
      <c r="F2" s="161" t="s">
        <v>6</v>
      </c>
      <c r="G2" s="252">
        <v>46023</v>
      </c>
      <c r="H2" s="253"/>
      <c r="I2" s="252">
        <v>46054</v>
      </c>
      <c r="J2" s="253"/>
      <c r="K2" s="252">
        <v>46082</v>
      </c>
      <c r="L2" s="253"/>
      <c r="M2" s="252">
        <v>46113</v>
      </c>
      <c r="N2" s="253"/>
      <c r="O2" s="252">
        <v>46143</v>
      </c>
      <c r="P2" s="253"/>
      <c r="Q2" s="252">
        <v>46174</v>
      </c>
      <c r="R2" s="253"/>
      <c r="S2" s="252">
        <v>46204</v>
      </c>
      <c r="T2" s="253"/>
      <c r="U2" s="252">
        <v>46235</v>
      </c>
      <c r="V2" s="253"/>
      <c r="W2" s="252">
        <v>46266</v>
      </c>
      <c r="X2" s="253"/>
      <c r="Y2" s="252">
        <v>46296</v>
      </c>
      <c r="Z2" s="253"/>
      <c r="AA2" s="252">
        <v>46327</v>
      </c>
      <c r="AB2" s="253"/>
      <c r="AC2" s="252">
        <v>46357</v>
      </c>
      <c r="AD2" s="253"/>
      <c r="AE2" s="259" t="s">
        <v>231</v>
      </c>
      <c r="AF2" s="260"/>
    </row>
    <row r="3" spans="1:32">
      <c r="A3" s="162"/>
      <c r="B3" s="162"/>
      <c r="C3" s="162"/>
      <c r="D3" s="162"/>
      <c r="E3" s="162"/>
      <c r="F3" s="162"/>
      <c r="G3" s="55" t="s">
        <v>11</v>
      </c>
      <c r="H3" s="87" t="s">
        <v>12</v>
      </c>
      <c r="I3" s="55" t="s">
        <v>11</v>
      </c>
      <c r="J3" s="56" t="s">
        <v>12</v>
      </c>
      <c r="K3" s="55" t="s">
        <v>11</v>
      </c>
      <c r="L3" s="56" t="s">
        <v>12</v>
      </c>
      <c r="M3" s="55" t="s">
        <v>11</v>
      </c>
      <c r="N3" s="56" t="s">
        <v>12</v>
      </c>
      <c r="O3" s="55" t="s">
        <v>11</v>
      </c>
      <c r="P3" s="56" t="s">
        <v>12</v>
      </c>
      <c r="Q3" s="55" t="s">
        <v>11</v>
      </c>
      <c r="R3" s="56" t="s">
        <v>12</v>
      </c>
      <c r="S3" s="55" t="s">
        <v>11</v>
      </c>
      <c r="T3" s="56" t="s">
        <v>12</v>
      </c>
      <c r="U3" s="55" t="s">
        <v>11</v>
      </c>
      <c r="V3" s="56" t="s">
        <v>12</v>
      </c>
      <c r="W3" s="55" t="s">
        <v>11</v>
      </c>
      <c r="X3" s="56" t="s">
        <v>12</v>
      </c>
      <c r="Y3" s="55" t="s">
        <v>11</v>
      </c>
      <c r="Z3" s="56" t="s">
        <v>12</v>
      </c>
      <c r="AA3" s="55" t="s">
        <v>11</v>
      </c>
      <c r="AB3" s="56" t="s">
        <v>12</v>
      </c>
      <c r="AC3" s="55" t="s">
        <v>11</v>
      </c>
      <c r="AD3" s="56" t="s">
        <v>12</v>
      </c>
      <c r="AE3" s="55" t="s">
        <v>11</v>
      </c>
      <c r="AF3" s="56" t="s">
        <v>12</v>
      </c>
    </row>
    <row r="4" spans="1:32" ht="20.100000000000001" customHeight="1">
      <c r="A4" s="163">
        <v>1</v>
      </c>
      <c r="B4" s="163" t="s">
        <v>13</v>
      </c>
      <c r="C4" s="163" t="s">
        <v>14</v>
      </c>
      <c r="D4" s="163">
        <v>0.7</v>
      </c>
      <c r="E4" s="163" t="s">
        <v>15</v>
      </c>
      <c r="F4" s="79">
        <v>2020</v>
      </c>
      <c r="G4" s="79">
        <v>1224</v>
      </c>
      <c r="H4" s="79">
        <v>856.8</v>
      </c>
      <c r="I4" s="79">
        <v>900</v>
      </c>
      <c r="J4" s="79">
        <v>630</v>
      </c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220">
        <f>SUM(G4,I4,K4,M4,O4,Q4,S4,U4,W4,Y4,AA4,AC4)</f>
        <v>2124</v>
      </c>
      <c r="AF4" s="220">
        <f>SUM(H4,J4,L4,N4,P4,R4,T4,V4,X4,Z4,AB4,AD4)</f>
        <v>1486.8</v>
      </c>
    </row>
    <row r="5" spans="1:32" ht="20.100000000000001" customHeight="1">
      <c r="A5" s="163"/>
      <c r="B5" s="163"/>
      <c r="C5" s="163"/>
      <c r="D5" s="163"/>
      <c r="E5" s="163"/>
      <c r="F5" s="79"/>
      <c r="G5" s="79"/>
      <c r="H5" s="79">
        <v>0</v>
      </c>
      <c r="I5" s="79"/>
      <c r="J5" s="79">
        <v>0</v>
      </c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220">
        <f t="shared" ref="AE5:AE68" si="0">SUM(G5,I5,K5,M5,O5,Q5,S5,U5,W5,Y5,AA5,AC5)</f>
        <v>0</v>
      </c>
      <c r="AF5" s="220">
        <f t="shared" ref="AF5:AF68" si="1">SUM(H5,J5,L5,N5,P5,R5,T5,V5,X5,Z5,AB5,AD5)</f>
        <v>0</v>
      </c>
    </row>
    <row r="6" spans="1:32" ht="20.100000000000001" customHeight="1">
      <c r="A6" s="163">
        <v>2</v>
      </c>
      <c r="B6" s="163" t="s">
        <v>16</v>
      </c>
      <c r="C6" s="163" t="s">
        <v>17</v>
      </c>
      <c r="D6" s="163">
        <v>1</v>
      </c>
      <c r="E6" s="163" t="s">
        <v>15</v>
      </c>
      <c r="F6" s="79"/>
      <c r="G6" s="79"/>
      <c r="H6" s="79">
        <v>0</v>
      </c>
      <c r="I6" s="79"/>
      <c r="J6" s="79">
        <v>0</v>
      </c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220">
        <f t="shared" si="0"/>
        <v>0</v>
      </c>
      <c r="AF6" s="220">
        <f t="shared" si="1"/>
        <v>0</v>
      </c>
    </row>
    <row r="7" spans="1:32" ht="20.100000000000001" customHeight="1">
      <c r="A7" s="163">
        <v>3</v>
      </c>
      <c r="B7" s="163" t="s">
        <v>18</v>
      </c>
      <c r="C7" s="163" t="s">
        <v>17</v>
      </c>
      <c r="D7" s="163">
        <v>1</v>
      </c>
      <c r="E7" s="163" t="s">
        <v>15</v>
      </c>
      <c r="F7" s="79">
        <v>1680</v>
      </c>
      <c r="G7" s="79"/>
      <c r="H7" s="79">
        <v>0</v>
      </c>
      <c r="I7" s="79"/>
      <c r="J7" s="79">
        <v>0</v>
      </c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220">
        <f t="shared" si="0"/>
        <v>0</v>
      </c>
      <c r="AF7" s="220">
        <f t="shared" si="1"/>
        <v>0</v>
      </c>
    </row>
    <row r="8" spans="1:32" ht="20.100000000000001" customHeight="1">
      <c r="A8" s="163">
        <v>4</v>
      </c>
      <c r="B8" s="163" t="s">
        <v>19</v>
      </c>
      <c r="C8" s="163" t="s">
        <v>17</v>
      </c>
      <c r="D8" s="163">
        <v>0.6</v>
      </c>
      <c r="E8" s="163" t="s">
        <v>15</v>
      </c>
      <c r="F8" s="79">
        <v>1130</v>
      </c>
      <c r="G8" s="79"/>
      <c r="H8" s="79">
        <v>0</v>
      </c>
      <c r="I8" s="79"/>
      <c r="J8" s="79">
        <v>0</v>
      </c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220">
        <f t="shared" si="0"/>
        <v>0</v>
      </c>
      <c r="AF8" s="220">
        <f t="shared" si="1"/>
        <v>0</v>
      </c>
    </row>
    <row r="9" spans="1:32" ht="20.100000000000001" customHeight="1">
      <c r="A9" s="163">
        <v>5</v>
      </c>
      <c r="B9" s="163" t="s">
        <v>20</v>
      </c>
      <c r="C9" s="163" t="s">
        <v>17</v>
      </c>
      <c r="D9" s="163">
        <v>0.35</v>
      </c>
      <c r="E9" s="163" t="s">
        <v>21</v>
      </c>
      <c r="F9" s="79"/>
      <c r="G9" s="79"/>
      <c r="H9" s="79">
        <v>0</v>
      </c>
      <c r="I9" s="79"/>
      <c r="J9" s="79">
        <v>0</v>
      </c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220">
        <f t="shared" si="0"/>
        <v>0</v>
      </c>
      <c r="AF9" s="220">
        <f t="shared" si="1"/>
        <v>0</v>
      </c>
    </row>
    <row r="10" spans="1:32" ht="20.100000000000001" customHeight="1">
      <c r="A10" s="163">
        <v>6</v>
      </c>
      <c r="B10" s="163" t="s">
        <v>22</v>
      </c>
      <c r="C10" s="163" t="s">
        <v>14</v>
      </c>
      <c r="D10" s="163">
        <v>0.7</v>
      </c>
      <c r="E10" s="163" t="s">
        <v>24</v>
      </c>
      <c r="F10" s="79"/>
      <c r="G10" s="79"/>
      <c r="H10" s="79">
        <v>0</v>
      </c>
      <c r="I10" s="79"/>
      <c r="J10" s="79">
        <v>0</v>
      </c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220">
        <f t="shared" si="0"/>
        <v>0</v>
      </c>
      <c r="AF10" s="220">
        <f t="shared" si="1"/>
        <v>0</v>
      </c>
    </row>
    <row r="11" spans="1:32" ht="20.100000000000001" customHeight="1">
      <c r="A11" s="163">
        <v>7</v>
      </c>
      <c r="B11" s="163" t="s">
        <v>23</v>
      </c>
      <c r="C11" s="163" t="s">
        <v>14</v>
      </c>
      <c r="D11" s="163">
        <v>0.64</v>
      </c>
      <c r="E11" s="163" t="s">
        <v>24</v>
      </c>
      <c r="F11" s="79"/>
      <c r="G11" s="79"/>
      <c r="H11" s="79">
        <v>0</v>
      </c>
      <c r="I11" s="79"/>
      <c r="J11" s="79">
        <v>0</v>
      </c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220">
        <f t="shared" si="0"/>
        <v>0</v>
      </c>
      <c r="AF11" s="220">
        <f t="shared" si="1"/>
        <v>0</v>
      </c>
    </row>
    <row r="12" spans="1:32" ht="20.100000000000001" customHeight="1">
      <c r="A12" s="163">
        <v>8</v>
      </c>
      <c r="B12" s="163" t="s">
        <v>23</v>
      </c>
      <c r="C12" s="163" t="s">
        <v>14</v>
      </c>
      <c r="D12" s="163">
        <v>0.64</v>
      </c>
      <c r="E12" s="163" t="s">
        <v>25</v>
      </c>
      <c r="F12" s="79">
        <v>1380</v>
      </c>
      <c r="G12" s="79">
        <v>128898</v>
      </c>
      <c r="H12" s="79">
        <v>82494.720000000001</v>
      </c>
      <c r="I12" s="79">
        <v>121791</v>
      </c>
      <c r="J12" s="79">
        <v>77946.240000000005</v>
      </c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220">
        <f t="shared" si="0"/>
        <v>250689</v>
      </c>
      <c r="AF12" s="220">
        <f t="shared" si="1"/>
        <v>160440.96000000002</v>
      </c>
    </row>
    <row r="13" spans="1:32" ht="20.100000000000001" customHeight="1">
      <c r="A13" s="163">
        <v>9</v>
      </c>
      <c r="B13" s="163" t="s">
        <v>23</v>
      </c>
      <c r="C13" s="163" t="s">
        <v>14</v>
      </c>
      <c r="D13" s="163">
        <v>0.64</v>
      </c>
      <c r="E13" s="163" t="s">
        <v>15</v>
      </c>
      <c r="F13" s="79"/>
      <c r="G13" s="79"/>
      <c r="H13" s="79">
        <v>0</v>
      </c>
      <c r="I13" s="79"/>
      <c r="J13" s="79">
        <v>0</v>
      </c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220">
        <f t="shared" si="0"/>
        <v>0</v>
      </c>
      <c r="AF13" s="220">
        <f t="shared" si="1"/>
        <v>0</v>
      </c>
    </row>
    <row r="14" spans="1:32" ht="20.100000000000001" customHeight="1">
      <c r="A14" s="163">
        <v>10</v>
      </c>
      <c r="B14" s="163" t="s">
        <v>26</v>
      </c>
      <c r="C14" s="163" t="s">
        <v>14</v>
      </c>
      <c r="D14" s="163">
        <v>0.64</v>
      </c>
      <c r="E14" s="163" t="s">
        <v>25</v>
      </c>
      <c r="F14" s="79"/>
      <c r="G14" s="79"/>
      <c r="H14" s="79">
        <v>0</v>
      </c>
      <c r="I14" s="79"/>
      <c r="J14" s="79">
        <v>0</v>
      </c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220">
        <f t="shared" si="0"/>
        <v>0</v>
      </c>
      <c r="AF14" s="220">
        <f t="shared" si="1"/>
        <v>0</v>
      </c>
    </row>
    <row r="15" spans="1:32" ht="20.100000000000001" customHeight="1">
      <c r="A15" s="163"/>
      <c r="B15" s="163"/>
      <c r="C15" s="163"/>
      <c r="D15" s="163"/>
      <c r="E15" s="163"/>
      <c r="F15" s="79"/>
      <c r="G15" s="79"/>
      <c r="H15" s="79">
        <v>0</v>
      </c>
      <c r="I15" s="79"/>
      <c r="J15" s="79">
        <v>0</v>
      </c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220">
        <f t="shared" si="0"/>
        <v>0</v>
      </c>
      <c r="AF15" s="220">
        <f t="shared" si="1"/>
        <v>0</v>
      </c>
    </row>
    <row r="16" spans="1:32" ht="20.100000000000001" customHeight="1">
      <c r="A16" s="163">
        <v>11</v>
      </c>
      <c r="B16" s="163" t="s">
        <v>27</v>
      </c>
      <c r="C16" s="163" t="s">
        <v>17</v>
      </c>
      <c r="D16" s="163">
        <v>1</v>
      </c>
      <c r="E16" s="163" t="s">
        <v>15</v>
      </c>
      <c r="F16" s="79">
        <v>1530</v>
      </c>
      <c r="G16" s="79">
        <v>51190</v>
      </c>
      <c r="H16" s="79">
        <v>51190</v>
      </c>
      <c r="I16" s="79">
        <v>42868</v>
      </c>
      <c r="J16" s="79">
        <v>42868</v>
      </c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220">
        <f t="shared" si="0"/>
        <v>94058</v>
      </c>
      <c r="AF16" s="220">
        <f t="shared" si="1"/>
        <v>94058</v>
      </c>
    </row>
    <row r="17" spans="1:32" ht="20.100000000000001" customHeight="1">
      <c r="A17" s="163">
        <v>12</v>
      </c>
      <c r="B17" s="163" t="s">
        <v>28</v>
      </c>
      <c r="C17" s="163" t="s">
        <v>17</v>
      </c>
      <c r="D17" s="163">
        <v>1</v>
      </c>
      <c r="E17" s="163" t="s">
        <v>15</v>
      </c>
      <c r="F17" s="79"/>
      <c r="G17" s="79"/>
      <c r="H17" s="79">
        <v>0</v>
      </c>
      <c r="I17" s="79"/>
      <c r="J17" s="79">
        <v>0</v>
      </c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220">
        <f t="shared" si="0"/>
        <v>0</v>
      </c>
      <c r="AF17" s="220">
        <f t="shared" si="1"/>
        <v>0</v>
      </c>
    </row>
    <row r="18" spans="1:32" ht="20.100000000000001" customHeight="1">
      <c r="A18" s="163">
        <v>13</v>
      </c>
      <c r="B18" s="163" t="s">
        <v>29</v>
      </c>
      <c r="C18" s="163" t="s">
        <v>17</v>
      </c>
      <c r="D18" s="163">
        <v>0.6</v>
      </c>
      <c r="E18" s="163" t="s">
        <v>15</v>
      </c>
      <c r="F18" s="79">
        <v>1090</v>
      </c>
      <c r="G18" s="79">
        <v>216</v>
      </c>
      <c r="H18" s="79">
        <v>129.6</v>
      </c>
      <c r="I18" s="79"/>
      <c r="J18" s="79">
        <v>0</v>
      </c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220">
        <f t="shared" si="0"/>
        <v>216</v>
      </c>
      <c r="AF18" s="220">
        <f t="shared" si="1"/>
        <v>129.6</v>
      </c>
    </row>
    <row r="19" spans="1:32" ht="20.100000000000001" customHeight="1">
      <c r="A19" s="163">
        <v>14</v>
      </c>
      <c r="B19" s="163" t="s">
        <v>30</v>
      </c>
      <c r="C19" s="163" t="s">
        <v>17</v>
      </c>
      <c r="D19" s="163">
        <v>0.6</v>
      </c>
      <c r="E19" s="163" t="s">
        <v>15</v>
      </c>
      <c r="F19" s="79"/>
      <c r="G19" s="79"/>
      <c r="H19" s="79">
        <v>0</v>
      </c>
      <c r="I19" s="79"/>
      <c r="J19" s="79">
        <v>0</v>
      </c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220">
        <f t="shared" si="0"/>
        <v>0</v>
      </c>
      <c r="AF19" s="220">
        <f t="shared" si="1"/>
        <v>0</v>
      </c>
    </row>
    <row r="20" spans="1:32" ht="20.100000000000001" customHeight="1">
      <c r="A20" s="163">
        <v>15</v>
      </c>
      <c r="B20" s="163" t="s">
        <v>31</v>
      </c>
      <c r="C20" s="163" t="s">
        <v>17</v>
      </c>
      <c r="D20" s="163">
        <v>0.35</v>
      </c>
      <c r="E20" s="163" t="s">
        <v>21</v>
      </c>
      <c r="F20" s="79"/>
      <c r="G20" s="79"/>
      <c r="H20" s="79">
        <v>0</v>
      </c>
      <c r="I20" s="79"/>
      <c r="J20" s="79">
        <v>0</v>
      </c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220">
        <f t="shared" si="0"/>
        <v>0</v>
      </c>
      <c r="AF20" s="220">
        <f t="shared" si="1"/>
        <v>0</v>
      </c>
    </row>
    <row r="21" spans="1:32" ht="20.100000000000001" customHeight="1">
      <c r="A21" s="163">
        <v>16</v>
      </c>
      <c r="B21" s="163" t="s">
        <v>32</v>
      </c>
      <c r="C21" s="163" t="s">
        <v>17</v>
      </c>
      <c r="D21" s="163">
        <v>0.35</v>
      </c>
      <c r="E21" s="163" t="s">
        <v>21</v>
      </c>
      <c r="F21" s="79"/>
      <c r="G21" s="79"/>
      <c r="H21" s="79">
        <v>0</v>
      </c>
      <c r="I21" s="79"/>
      <c r="J21" s="79">
        <v>0</v>
      </c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220">
        <f t="shared" si="0"/>
        <v>0</v>
      </c>
      <c r="AF21" s="220">
        <f t="shared" si="1"/>
        <v>0</v>
      </c>
    </row>
    <row r="22" spans="1:32" ht="20.100000000000001" customHeight="1">
      <c r="A22" s="163">
        <v>17</v>
      </c>
      <c r="B22" s="163" t="s">
        <v>33</v>
      </c>
      <c r="C22" s="163" t="s">
        <v>14</v>
      </c>
      <c r="D22" s="163">
        <v>0.64</v>
      </c>
      <c r="E22" s="163" t="s">
        <v>25</v>
      </c>
      <c r="F22" s="79">
        <v>1330</v>
      </c>
      <c r="G22" s="79">
        <v>58716</v>
      </c>
      <c r="H22" s="79">
        <v>37578.239999999998</v>
      </c>
      <c r="I22" s="79">
        <v>55034</v>
      </c>
      <c r="J22" s="79">
        <v>35221.760000000002</v>
      </c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220">
        <f t="shared" si="0"/>
        <v>113750</v>
      </c>
      <c r="AF22" s="220">
        <f t="shared" si="1"/>
        <v>72800</v>
      </c>
    </row>
    <row r="23" spans="1:32" ht="20.100000000000001" customHeight="1">
      <c r="A23" s="163">
        <v>18</v>
      </c>
      <c r="B23" s="163" t="s">
        <v>34</v>
      </c>
      <c r="C23" s="163" t="s">
        <v>14</v>
      </c>
      <c r="D23" s="163">
        <v>0.64</v>
      </c>
      <c r="E23" s="163" t="s">
        <v>25</v>
      </c>
      <c r="F23" s="79"/>
      <c r="G23" s="79"/>
      <c r="H23" s="79">
        <v>0</v>
      </c>
      <c r="I23" s="79"/>
      <c r="J23" s="79">
        <v>0</v>
      </c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220">
        <f t="shared" si="0"/>
        <v>0</v>
      </c>
      <c r="AF23" s="220">
        <f t="shared" si="1"/>
        <v>0</v>
      </c>
    </row>
    <row r="24" spans="1:32" ht="20.100000000000001" customHeight="1">
      <c r="A24" s="163">
        <v>19</v>
      </c>
      <c r="B24" s="163" t="s">
        <v>35</v>
      </c>
      <c r="C24" s="163" t="s">
        <v>14</v>
      </c>
      <c r="D24" s="163">
        <v>0.64</v>
      </c>
      <c r="E24" s="163" t="s">
        <v>25</v>
      </c>
      <c r="F24" s="79"/>
      <c r="G24" s="79"/>
      <c r="H24" s="79">
        <v>0</v>
      </c>
      <c r="I24" s="79"/>
      <c r="J24" s="79">
        <v>0</v>
      </c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220">
        <f t="shared" si="0"/>
        <v>0</v>
      </c>
      <c r="AF24" s="220">
        <f t="shared" si="1"/>
        <v>0</v>
      </c>
    </row>
    <row r="25" spans="1:32" ht="20.100000000000001" customHeight="1">
      <c r="A25" s="163"/>
      <c r="B25" s="163"/>
      <c r="C25" s="163"/>
      <c r="D25" s="163"/>
      <c r="E25" s="163"/>
      <c r="F25" s="79"/>
      <c r="G25" s="79"/>
      <c r="H25" s="79">
        <v>0</v>
      </c>
      <c r="I25" s="79"/>
      <c r="J25" s="79">
        <v>0</v>
      </c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220">
        <f t="shared" si="0"/>
        <v>0</v>
      </c>
      <c r="AF25" s="220">
        <f t="shared" si="1"/>
        <v>0</v>
      </c>
    </row>
    <row r="26" spans="1:32" ht="20.100000000000001" customHeight="1">
      <c r="A26" s="163">
        <v>20</v>
      </c>
      <c r="B26" s="163" t="s">
        <v>36</v>
      </c>
      <c r="C26" s="163" t="s">
        <v>17</v>
      </c>
      <c r="D26" s="163">
        <v>1</v>
      </c>
      <c r="E26" s="163" t="s">
        <v>15</v>
      </c>
      <c r="F26" s="79">
        <v>2100</v>
      </c>
      <c r="G26" s="79">
        <v>1356</v>
      </c>
      <c r="H26" s="79">
        <v>1356</v>
      </c>
      <c r="I26" s="79">
        <v>1032</v>
      </c>
      <c r="J26" s="79">
        <v>1032</v>
      </c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220">
        <f t="shared" si="0"/>
        <v>2388</v>
      </c>
      <c r="AF26" s="220">
        <f t="shared" si="1"/>
        <v>2388</v>
      </c>
    </row>
    <row r="27" spans="1:32" ht="20.100000000000001" customHeight="1">
      <c r="A27" s="163">
        <v>21</v>
      </c>
      <c r="B27" s="163" t="s">
        <v>37</v>
      </c>
      <c r="C27" s="163" t="s">
        <v>17</v>
      </c>
      <c r="D27" s="163">
        <v>0.6</v>
      </c>
      <c r="E27" s="163" t="s">
        <v>38</v>
      </c>
      <c r="F27" s="79"/>
      <c r="G27" s="79"/>
      <c r="H27" s="79">
        <v>0</v>
      </c>
      <c r="I27" s="79"/>
      <c r="J27" s="79">
        <v>0</v>
      </c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220">
        <f t="shared" si="0"/>
        <v>0</v>
      </c>
      <c r="AF27" s="220">
        <f t="shared" si="1"/>
        <v>0</v>
      </c>
    </row>
    <row r="28" spans="1:32" ht="20.100000000000001" customHeight="1">
      <c r="A28" s="163">
        <v>22</v>
      </c>
      <c r="B28" s="163" t="s">
        <v>39</v>
      </c>
      <c r="C28" s="163" t="s">
        <v>14</v>
      </c>
      <c r="D28" s="163">
        <v>0.64</v>
      </c>
      <c r="E28" s="163" t="s">
        <v>25</v>
      </c>
      <c r="F28" s="79">
        <v>1700</v>
      </c>
      <c r="G28" s="79">
        <v>50320</v>
      </c>
      <c r="H28" s="79">
        <v>32204.799999999999</v>
      </c>
      <c r="I28" s="79">
        <v>27412</v>
      </c>
      <c r="J28" s="79">
        <v>17543.68</v>
      </c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220">
        <f t="shared" si="0"/>
        <v>77732</v>
      </c>
      <c r="AF28" s="220">
        <f t="shared" si="1"/>
        <v>49748.479999999996</v>
      </c>
    </row>
    <row r="29" spans="1:32" ht="20.100000000000001" customHeight="1">
      <c r="A29" s="163">
        <v>23</v>
      </c>
      <c r="B29" s="163" t="s">
        <v>40</v>
      </c>
      <c r="C29" s="163" t="s">
        <v>14</v>
      </c>
      <c r="D29" s="163">
        <v>0.64</v>
      </c>
      <c r="E29" s="163" t="s">
        <v>25</v>
      </c>
      <c r="F29" s="79"/>
      <c r="G29" s="79"/>
      <c r="H29" s="79">
        <v>0</v>
      </c>
      <c r="I29" s="79"/>
      <c r="J29" s="79">
        <v>0</v>
      </c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220">
        <f t="shared" si="0"/>
        <v>0</v>
      </c>
      <c r="AF29" s="220">
        <f t="shared" si="1"/>
        <v>0</v>
      </c>
    </row>
    <row r="30" spans="1:32" ht="20.100000000000001" customHeight="1">
      <c r="A30" s="163"/>
      <c r="B30" s="163"/>
      <c r="C30" s="163"/>
      <c r="D30" s="163"/>
      <c r="E30" s="163"/>
      <c r="F30" s="79"/>
      <c r="G30" s="79"/>
      <c r="H30" s="79">
        <v>0</v>
      </c>
      <c r="I30" s="79"/>
      <c r="J30" s="79">
        <v>0</v>
      </c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220">
        <f t="shared" si="0"/>
        <v>0</v>
      </c>
      <c r="AF30" s="220">
        <f t="shared" si="1"/>
        <v>0</v>
      </c>
    </row>
    <row r="31" spans="1:32" ht="20.100000000000001" customHeight="1">
      <c r="A31" s="163">
        <v>24</v>
      </c>
      <c r="B31" s="163" t="s">
        <v>41</v>
      </c>
      <c r="C31" s="163" t="s">
        <v>17</v>
      </c>
      <c r="D31" s="163">
        <v>1</v>
      </c>
      <c r="E31" s="163" t="s">
        <v>15</v>
      </c>
      <c r="F31" s="79">
        <v>1580</v>
      </c>
      <c r="G31" s="79"/>
      <c r="H31" s="79">
        <v>0</v>
      </c>
      <c r="I31" s="79"/>
      <c r="J31" s="79">
        <v>0</v>
      </c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220">
        <f t="shared" si="0"/>
        <v>0</v>
      </c>
      <c r="AF31" s="220">
        <f t="shared" si="1"/>
        <v>0</v>
      </c>
    </row>
    <row r="32" spans="1:32" ht="20.100000000000001" customHeight="1">
      <c r="A32" s="163">
        <v>25</v>
      </c>
      <c r="B32" s="163" t="s">
        <v>42</v>
      </c>
      <c r="C32" s="163" t="s">
        <v>17</v>
      </c>
      <c r="D32" s="163">
        <v>1</v>
      </c>
      <c r="E32" s="163" t="s">
        <v>15</v>
      </c>
      <c r="F32" s="79"/>
      <c r="G32" s="79"/>
      <c r="H32" s="79">
        <v>0</v>
      </c>
      <c r="I32" s="79"/>
      <c r="J32" s="79">
        <v>0</v>
      </c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220">
        <f t="shared" si="0"/>
        <v>0</v>
      </c>
      <c r="AF32" s="220">
        <f t="shared" si="1"/>
        <v>0</v>
      </c>
    </row>
    <row r="33" spans="1:32" ht="20.100000000000001" customHeight="1">
      <c r="A33" s="163">
        <v>26</v>
      </c>
      <c r="B33" s="163" t="s">
        <v>43</v>
      </c>
      <c r="C33" s="163" t="s">
        <v>17</v>
      </c>
      <c r="D33" s="163">
        <v>0.6</v>
      </c>
      <c r="E33" s="163" t="s">
        <v>15</v>
      </c>
      <c r="F33" s="79"/>
      <c r="G33" s="79"/>
      <c r="H33" s="79">
        <v>0</v>
      </c>
      <c r="I33" s="79"/>
      <c r="J33" s="79">
        <v>0</v>
      </c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220">
        <f t="shared" si="0"/>
        <v>0</v>
      </c>
      <c r="AF33" s="220">
        <f t="shared" si="1"/>
        <v>0</v>
      </c>
    </row>
    <row r="34" spans="1:32" ht="20.100000000000001" customHeight="1">
      <c r="A34" s="163">
        <v>27</v>
      </c>
      <c r="B34" s="163" t="s">
        <v>44</v>
      </c>
      <c r="C34" s="163" t="s">
        <v>17</v>
      </c>
      <c r="D34" s="163">
        <v>0.6</v>
      </c>
      <c r="E34" s="163" t="s">
        <v>15</v>
      </c>
      <c r="F34" s="79"/>
      <c r="G34" s="79"/>
      <c r="H34" s="79">
        <v>0</v>
      </c>
      <c r="I34" s="79"/>
      <c r="J34" s="79">
        <v>0</v>
      </c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220">
        <f t="shared" si="0"/>
        <v>0</v>
      </c>
      <c r="AF34" s="220">
        <f t="shared" si="1"/>
        <v>0</v>
      </c>
    </row>
    <row r="35" spans="1:32" ht="20.100000000000001" customHeight="1">
      <c r="A35" s="163">
        <v>28</v>
      </c>
      <c r="B35" s="163" t="s">
        <v>45</v>
      </c>
      <c r="C35" s="163" t="s">
        <v>17</v>
      </c>
      <c r="D35" s="163">
        <v>0.35</v>
      </c>
      <c r="E35" s="163" t="s">
        <v>21</v>
      </c>
      <c r="F35" s="79"/>
      <c r="G35" s="79"/>
      <c r="H35" s="79">
        <v>0</v>
      </c>
      <c r="I35" s="79"/>
      <c r="J35" s="79">
        <v>0</v>
      </c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220">
        <f t="shared" si="0"/>
        <v>0</v>
      </c>
      <c r="AF35" s="220">
        <f t="shared" si="1"/>
        <v>0</v>
      </c>
    </row>
    <row r="36" spans="1:32" ht="20.100000000000001" customHeight="1">
      <c r="A36" s="163">
        <v>29</v>
      </c>
      <c r="B36" s="163" t="s">
        <v>46</v>
      </c>
      <c r="C36" s="163" t="s">
        <v>14</v>
      </c>
      <c r="D36" s="163">
        <v>0.7</v>
      </c>
      <c r="E36" s="163" t="s">
        <v>15</v>
      </c>
      <c r="F36" s="79"/>
      <c r="G36" s="79"/>
      <c r="H36" s="79">
        <v>0</v>
      </c>
      <c r="I36" s="79"/>
      <c r="J36" s="79">
        <v>0</v>
      </c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220">
        <f t="shared" si="0"/>
        <v>0</v>
      </c>
      <c r="AF36" s="220">
        <f t="shared" si="1"/>
        <v>0</v>
      </c>
    </row>
    <row r="37" spans="1:32" ht="20.100000000000001" customHeight="1">
      <c r="A37" s="163">
        <v>30</v>
      </c>
      <c r="B37" s="163" t="s">
        <v>47</v>
      </c>
      <c r="C37" s="163" t="s">
        <v>14</v>
      </c>
      <c r="D37" s="163">
        <v>0.7</v>
      </c>
      <c r="E37" s="163" t="s">
        <v>15</v>
      </c>
      <c r="F37" s="79">
        <v>1800</v>
      </c>
      <c r="G37" s="79">
        <v>3300</v>
      </c>
      <c r="H37" s="79">
        <v>2310</v>
      </c>
      <c r="I37" s="79">
        <v>2844</v>
      </c>
      <c r="J37" s="79">
        <v>1990.8</v>
      </c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220">
        <f t="shared" si="0"/>
        <v>6144</v>
      </c>
      <c r="AF37" s="220">
        <f t="shared" si="1"/>
        <v>4300.8</v>
      </c>
    </row>
    <row r="38" spans="1:32" ht="20.100000000000001" customHeight="1">
      <c r="A38" s="163">
        <v>31</v>
      </c>
      <c r="B38" s="163" t="s">
        <v>48</v>
      </c>
      <c r="C38" s="163" t="s">
        <v>14</v>
      </c>
      <c r="D38" s="163">
        <v>0.68</v>
      </c>
      <c r="E38" s="163" t="s">
        <v>15</v>
      </c>
      <c r="F38" s="79">
        <v>1550</v>
      </c>
      <c r="G38" s="79">
        <v>96</v>
      </c>
      <c r="H38" s="79">
        <v>65.28</v>
      </c>
      <c r="I38" s="79">
        <v>60</v>
      </c>
      <c r="J38" s="79">
        <v>40.800000000000004</v>
      </c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220">
        <f t="shared" si="0"/>
        <v>156</v>
      </c>
      <c r="AF38" s="220">
        <f t="shared" si="1"/>
        <v>106.08000000000001</v>
      </c>
    </row>
    <row r="39" spans="1:32" ht="20.100000000000001" customHeight="1">
      <c r="A39" s="163">
        <v>32</v>
      </c>
      <c r="B39" s="163" t="s">
        <v>48</v>
      </c>
      <c r="C39" s="163" t="s">
        <v>14</v>
      </c>
      <c r="D39" s="163">
        <v>0.64</v>
      </c>
      <c r="E39" s="163" t="s">
        <v>15</v>
      </c>
      <c r="F39" s="79"/>
      <c r="G39" s="79"/>
      <c r="H39" s="79">
        <v>0</v>
      </c>
      <c r="I39" s="79"/>
      <c r="J39" s="79">
        <v>0</v>
      </c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220">
        <f t="shared" si="0"/>
        <v>0</v>
      </c>
      <c r="AF39" s="220">
        <f t="shared" si="1"/>
        <v>0</v>
      </c>
    </row>
    <row r="40" spans="1:32" ht="20.100000000000001" customHeight="1">
      <c r="A40" s="163">
        <v>33</v>
      </c>
      <c r="B40" s="163" t="s">
        <v>49</v>
      </c>
      <c r="C40" s="163" t="s">
        <v>14</v>
      </c>
      <c r="D40" s="163">
        <v>0.64</v>
      </c>
      <c r="E40" s="163" t="s">
        <v>25</v>
      </c>
      <c r="F40" s="79"/>
      <c r="G40" s="79"/>
      <c r="H40" s="79">
        <v>0</v>
      </c>
      <c r="I40" s="79"/>
      <c r="J40" s="79">
        <v>0</v>
      </c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220">
        <f t="shared" si="0"/>
        <v>0</v>
      </c>
      <c r="AF40" s="220">
        <f t="shared" si="1"/>
        <v>0</v>
      </c>
    </row>
    <row r="41" spans="1:32" ht="20.100000000000001" customHeight="1">
      <c r="A41" s="163">
        <v>34</v>
      </c>
      <c r="B41" s="163" t="s">
        <v>47</v>
      </c>
      <c r="C41" s="163" t="s">
        <v>14</v>
      </c>
      <c r="D41" s="163">
        <v>0.64</v>
      </c>
      <c r="E41" s="163" t="s">
        <v>25</v>
      </c>
      <c r="F41" s="79">
        <v>1330</v>
      </c>
      <c r="G41" s="79">
        <v>47432</v>
      </c>
      <c r="H41" s="79">
        <v>30356.48</v>
      </c>
      <c r="I41" s="79">
        <v>37828</v>
      </c>
      <c r="J41" s="79">
        <v>24209.920000000002</v>
      </c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220">
        <f t="shared" si="0"/>
        <v>85260</v>
      </c>
      <c r="AF41" s="220">
        <f t="shared" si="1"/>
        <v>54566.400000000001</v>
      </c>
    </row>
    <row r="42" spans="1:32" ht="20.100000000000001" customHeight="1">
      <c r="A42" s="163">
        <v>35</v>
      </c>
      <c r="B42" s="163" t="s">
        <v>47</v>
      </c>
      <c r="C42" s="163" t="s">
        <v>14</v>
      </c>
      <c r="D42" s="163">
        <v>0.64</v>
      </c>
      <c r="E42" s="163" t="s">
        <v>24</v>
      </c>
      <c r="F42" s="79"/>
      <c r="G42" s="79"/>
      <c r="H42" s="79">
        <v>0</v>
      </c>
      <c r="I42" s="79"/>
      <c r="J42" s="79">
        <v>0</v>
      </c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220">
        <f t="shared" si="0"/>
        <v>0</v>
      </c>
      <c r="AF42" s="220">
        <f t="shared" si="1"/>
        <v>0</v>
      </c>
    </row>
    <row r="43" spans="1:32" ht="20.100000000000001" customHeight="1">
      <c r="A43" s="163">
        <v>36</v>
      </c>
      <c r="B43" s="163" t="s">
        <v>50</v>
      </c>
      <c r="C43" s="163" t="s">
        <v>14</v>
      </c>
      <c r="D43" s="163">
        <v>0.68</v>
      </c>
      <c r="E43" s="163" t="s">
        <v>25</v>
      </c>
      <c r="F43" s="79"/>
      <c r="G43" s="79"/>
      <c r="H43" s="79">
        <v>0</v>
      </c>
      <c r="I43" s="79"/>
      <c r="J43" s="79">
        <v>0</v>
      </c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220">
        <f t="shared" si="0"/>
        <v>0</v>
      </c>
      <c r="AF43" s="220">
        <f t="shared" si="1"/>
        <v>0</v>
      </c>
    </row>
    <row r="44" spans="1:32" ht="20.100000000000001" customHeight="1">
      <c r="A44" s="163">
        <v>37</v>
      </c>
      <c r="B44" s="163" t="s">
        <v>50</v>
      </c>
      <c r="C44" s="163" t="s">
        <v>14</v>
      </c>
      <c r="D44" s="163">
        <v>0.64</v>
      </c>
      <c r="E44" s="163" t="s">
        <v>25</v>
      </c>
      <c r="F44" s="79">
        <v>1600</v>
      </c>
      <c r="G44" s="79">
        <v>1820</v>
      </c>
      <c r="H44" s="79">
        <v>1164.8</v>
      </c>
      <c r="I44" s="79">
        <v>2982</v>
      </c>
      <c r="J44" s="79">
        <v>1908.48</v>
      </c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220">
        <f t="shared" si="0"/>
        <v>4802</v>
      </c>
      <c r="AF44" s="220">
        <f t="shared" si="1"/>
        <v>3073.2799999999997</v>
      </c>
    </row>
    <row r="45" spans="1:32" ht="20.100000000000001" customHeight="1">
      <c r="A45" s="163">
        <v>38</v>
      </c>
      <c r="B45" s="163" t="s">
        <v>51</v>
      </c>
      <c r="C45" s="163" t="s">
        <v>14</v>
      </c>
      <c r="D45" s="163">
        <v>0.64</v>
      </c>
      <c r="E45" s="163" t="s">
        <v>25</v>
      </c>
      <c r="F45" s="79"/>
      <c r="G45" s="79"/>
      <c r="H45" s="79">
        <v>0</v>
      </c>
      <c r="I45" s="79"/>
      <c r="J45" s="79">
        <v>0</v>
      </c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220">
        <f t="shared" si="0"/>
        <v>0</v>
      </c>
      <c r="AF45" s="220">
        <f t="shared" si="1"/>
        <v>0</v>
      </c>
    </row>
    <row r="46" spans="1:32" ht="20.100000000000001" customHeight="1">
      <c r="A46" s="163">
        <v>39</v>
      </c>
      <c r="B46" s="163" t="s">
        <v>51</v>
      </c>
      <c r="C46" s="163" t="s">
        <v>14</v>
      </c>
      <c r="D46" s="163">
        <v>0.64</v>
      </c>
      <c r="E46" s="163" t="s">
        <v>25</v>
      </c>
      <c r="F46" s="79"/>
      <c r="G46" s="79"/>
      <c r="H46" s="79">
        <v>0</v>
      </c>
      <c r="I46" s="79"/>
      <c r="J46" s="79">
        <v>0</v>
      </c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220">
        <f t="shared" si="0"/>
        <v>0</v>
      </c>
      <c r="AF46" s="220">
        <f t="shared" si="1"/>
        <v>0</v>
      </c>
    </row>
    <row r="47" spans="1:32" ht="20.100000000000001" customHeight="1">
      <c r="A47" s="163">
        <v>40</v>
      </c>
      <c r="B47" s="163" t="s">
        <v>51</v>
      </c>
      <c r="C47" s="163" t="s">
        <v>14</v>
      </c>
      <c r="D47" s="163">
        <v>0.64</v>
      </c>
      <c r="E47" s="163" t="s">
        <v>25</v>
      </c>
      <c r="F47" s="79"/>
      <c r="G47" s="79"/>
      <c r="H47" s="79">
        <v>0</v>
      </c>
      <c r="I47" s="79"/>
      <c r="J47" s="79">
        <v>0</v>
      </c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220">
        <f t="shared" si="0"/>
        <v>0</v>
      </c>
      <c r="AF47" s="220">
        <f t="shared" si="1"/>
        <v>0</v>
      </c>
    </row>
    <row r="48" spans="1:32" ht="20.100000000000001" customHeight="1">
      <c r="A48" s="163"/>
      <c r="B48" s="163"/>
      <c r="C48" s="163"/>
      <c r="D48" s="163"/>
      <c r="E48" s="163"/>
      <c r="F48" s="79"/>
      <c r="G48" s="79"/>
      <c r="H48" s="79">
        <v>0</v>
      </c>
      <c r="I48" s="79"/>
      <c r="J48" s="79">
        <v>0</v>
      </c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220">
        <f t="shared" si="0"/>
        <v>0</v>
      </c>
      <c r="AF48" s="220">
        <f t="shared" si="1"/>
        <v>0</v>
      </c>
    </row>
    <row r="49" spans="1:32" ht="20.100000000000001" customHeight="1">
      <c r="A49" s="163">
        <v>41</v>
      </c>
      <c r="B49" s="163" t="s">
        <v>52</v>
      </c>
      <c r="C49" s="163" t="s">
        <v>17</v>
      </c>
      <c r="D49" s="163">
        <v>1</v>
      </c>
      <c r="E49" s="163" t="s">
        <v>15</v>
      </c>
      <c r="F49" s="79"/>
      <c r="G49" s="79"/>
      <c r="H49" s="79">
        <v>0</v>
      </c>
      <c r="I49" s="79">
        <v>486</v>
      </c>
      <c r="J49" s="79">
        <v>486</v>
      </c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220">
        <f t="shared" si="0"/>
        <v>486</v>
      </c>
      <c r="AF49" s="220">
        <f t="shared" si="1"/>
        <v>486</v>
      </c>
    </row>
    <row r="50" spans="1:32" ht="20.100000000000001" customHeight="1">
      <c r="A50" s="163">
        <v>42</v>
      </c>
      <c r="B50" s="163" t="s">
        <v>52</v>
      </c>
      <c r="C50" s="163" t="s">
        <v>17</v>
      </c>
      <c r="D50" s="163">
        <v>1</v>
      </c>
      <c r="E50" s="163" t="s">
        <v>24</v>
      </c>
      <c r="F50" s="79"/>
      <c r="G50" s="79"/>
      <c r="H50" s="79">
        <v>0</v>
      </c>
      <c r="I50" s="79"/>
      <c r="J50" s="79">
        <v>0</v>
      </c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220">
        <f t="shared" si="0"/>
        <v>0</v>
      </c>
      <c r="AF50" s="220">
        <f t="shared" si="1"/>
        <v>0</v>
      </c>
    </row>
    <row r="51" spans="1:32" ht="20.100000000000001" customHeight="1">
      <c r="A51" s="163">
        <v>43</v>
      </c>
      <c r="B51" s="163" t="s">
        <v>53</v>
      </c>
      <c r="C51" s="163" t="s">
        <v>14</v>
      </c>
      <c r="D51" s="163">
        <v>0.64</v>
      </c>
      <c r="E51" s="163" t="s">
        <v>25</v>
      </c>
      <c r="F51" s="79">
        <v>1370</v>
      </c>
      <c r="G51" s="79">
        <v>129486</v>
      </c>
      <c r="H51" s="79">
        <v>82871.040000000008</v>
      </c>
      <c r="I51" s="79">
        <v>110882</v>
      </c>
      <c r="J51" s="79">
        <v>70964.479999999996</v>
      </c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220">
        <f t="shared" si="0"/>
        <v>240368</v>
      </c>
      <c r="AF51" s="220">
        <f t="shared" si="1"/>
        <v>153835.52000000002</v>
      </c>
    </row>
    <row r="52" spans="1:32" ht="20.100000000000001" customHeight="1">
      <c r="A52" s="163">
        <v>44</v>
      </c>
      <c r="B52" s="163" t="s">
        <v>53</v>
      </c>
      <c r="C52" s="163" t="s">
        <v>14</v>
      </c>
      <c r="D52" s="163">
        <v>0.64</v>
      </c>
      <c r="E52" s="163" t="s">
        <v>24</v>
      </c>
      <c r="F52" s="79"/>
      <c r="G52" s="79"/>
      <c r="H52" s="79">
        <v>0</v>
      </c>
      <c r="I52" s="79"/>
      <c r="J52" s="79">
        <v>0</v>
      </c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220">
        <f t="shared" si="0"/>
        <v>0</v>
      </c>
      <c r="AF52" s="220">
        <f t="shared" si="1"/>
        <v>0</v>
      </c>
    </row>
    <row r="53" spans="1:32" ht="20.100000000000001" customHeight="1">
      <c r="A53" s="163"/>
      <c r="B53" s="163"/>
      <c r="C53" s="163"/>
      <c r="D53" s="163"/>
      <c r="E53" s="163"/>
      <c r="F53" s="79"/>
      <c r="G53" s="79"/>
      <c r="H53" s="79">
        <v>0</v>
      </c>
      <c r="I53" s="79"/>
      <c r="J53" s="79">
        <v>0</v>
      </c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220">
        <f t="shared" si="0"/>
        <v>0</v>
      </c>
      <c r="AF53" s="220">
        <f t="shared" si="1"/>
        <v>0</v>
      </c>
    </row>
    <row r="54" spans="1:32" ht="20.100000000000001" customHeight="1">
      <c r="A54" s="163"/>
      <c r="B54" s="163"/>
      <c r="C54" s="163"/>
      <c r="D54" s="163"/>
      <c r="E54" s="163"/>
      <c r="F54" s="79"/>
      <c r="G54" s="79"/>
      <c r="H54" s="79">
        <v>0</v>
      </c>
      <c r="I54" s="79"/>
      <c r="J54" s="79">
        <v>0</v>
      </c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220">
        <f t="shared" si="0"/>
        <v>0</v>
      </c>
      <c r="AF54" s="220">
        <f t="shared" si="1"/>
        <v>0</v>
      </c>
    </row>
    <row r="55" spans="1:32" ht="20.100000000000001" customHeight="1">
      <c r="A55" s="163">
        <v>45</v>
      </c>
      <c r="B55" s="163" t="s">
        <v>54</v>
      </c>
      <c r="C55" s="163" t="s">
        <v>17</v>
      </c>
      <c r="D55" s="163">
        <v>1</v>
      </c>
      <c r="E55" s="163" t="s">
        <v>15</v>
      </c>
      <c r="F55" s="79"/>
      <c r="G55" s="79"/>
      <c r="H55" s="79">
        <v>0</v>
      </c>
      <c r="I55" s="79"/>
      <c r="J55" s="79">
        <v>0</v>
      </c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220">
        <f t="shared" si="0"/>
        <v>0</v>
      </c>
      <c r="AF55" s="220">
        <f t="shared" si="1"/>
        <v>0</v>
      </c>
    </row>
    <row r="56" spans="1:32" ht="20.100000000000001" customHeight="1">
      <c r="A56" s="163">
        <v>46</v>
      </c>
      <c r="B56" s="163" t="s">
        <v>55</v>
      </c>
      <c r="C56" s="163" t="s">
        <v>17</v>
      </c>
      <c r="D56" s="163">
        <v>0.6</v>
      </c>
      <c r="E56" s="163" t="s">
        <v>15</v>
      </c>
      <c r="F56" s="79"/>
      <c r="G56" s="79"/>
      <c r="H56" s="79">
        <v>0</v>
      </c>
      <c r="I56" s="79"/>
      <c r="J56" s="79">
        <v>0</v>
      </c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220">
        <f t="shared" si="0"/>
        <v>0</v>
      </c>
      <c r="AF56" s="220">
        <f t="shared" si="1"/>
        <v>0</v>
      </c>
    </row>
    <row r="57" spans="1:32" ht="20.100000000000001" customHeight="1">
      <c r="A57" s="163">
        <v>47</v>
      </c>
      <c r="B57" s="163" t="s">
        <v>170</v>
      </c>
      <c r="C57" s="163" t="s">
        <v>14</v>
      </c>
      <c r="D57" s="163">
        <v>0.64</v>
      </c>
      <c r="E57" s="163" t="s">
        <v>25</v>
      </c>
      <c r="F57" s="79">
        <v>1330</v>
      </c>
      <c r="G57" s="79">
        <v>58674</v>
      </c>
      <c r="H57" s="79">
        <v>37551.360000000001</v>
      </c>
      <c r="I57" s="79">
        <v>52385</v>
      </c>
      <c r="J57" s="79">
        <v>33526.400000000001</v>
      </c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220">
        <f t="shared" si="0"/>
        <v>111059</v>
      </c>
      <c r="AF57" s="220">
        <f t="shared" si="1"/>
        <v>71077.760000000009</v>
      </c>
    </row>
    <row r="58" spans="1:32" ht="20.100000000000001" customHeight="1">
      <c r="A58" s="163">
        <v>48</v>
      </c>
      <c r="B58" s="163" t="s">
        <v>170</v>
      </c>
      <c r="C58" s="163" t="s">
        <v>14</v>
      </c>
      <c r="D58" s="163">
        <v>0.64</v>
      </c>
      <c r="E58" s="163" t="s">
        <v>24</v>
      </c>
      <c r="F58" s="79"/>
      <c r="G58" s="79"/>
      <c r="H58" s="79">
        <v>0</v>
      </c>
      <c r="I58" s="79"/>
      <c r="J58" s="79">
        <v>0</v>
      </c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220">
        <f t="shared" si="0"/>
        <v>0</v>
      </c>
      <c r="AF58" s="220">
        <f t="shared" si="1"/>
        <v>0</v>
      </c>
    </row>
    <row r="59" spans="1:32" ht="20.100000000000001" customHeight="1">
      <c r="A59" s="163"/>
      <c r="B59" s="163"/>
      <c r="C59" s="163"/>
      <c r="D59" s="163"/>
      <c r="E59" s="163"/>
      <c r="F59" s="79"/>
      <c r="G59" s="79"/>
      <c r="H59" s="79">
        <v>0</v>
      </c>
      <c r="I59" s="79"/>
      <c r="J59" s="79">
        <v>0</v>
      </c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220">
        <f t="shared" si="0"/>
        <v>0</v>
      </c>
      <c r="AF59" s="220">
        <f t="shared" si="1"/>
        <v>0</v>
      </c>
    </row>
    <row r="60" spans="1:32" ht="20.100000000000001" customHeight="1">
      <c r="A60" s="163">
        <v>49</v>
      </c>
      <c r="B60" s="163" t="s">
        <v>57</v>
      </c>
      <c r="C60" s="163" t="s">
        <v>17</v>
      </c>
      <c r="D60" s="163">
        <v>1</v>
      </c>
      <c r="E60" s="163" t="s">
        <v>15</v>
      </c>
      <c r="F60" s="79"/>
      <c r="G60" s="79"/>
      <c r="H60" s="79">
        <v>0</v>
      </c>
      <c r="I60" s="79"/>
      <c r="J60" s="79">
        <v>0</v>
      </c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220">
        <f t="shared" si="0"/>
        <v>0</v>
      </c>
      <c r="AF60" s="220">
        <f t="shared" si="1"/>
        <v>0</v>
      </c>
    </row>
    <row r="61" spans="1:32" ht="20.100000000000001" customHeight="1">
      <c r="A61" s="163">
        <v>50</v>
      </c>
      <c r="B61" s="163" t="s">
        <v>221</v>
      </c>
      <c r="C61" s="163"/>
      <c r="D61" s="163">
        <v>0.6</v>
      </c>
      <c r="E61" s="163"/>
      <c r="F61" s="79"/>
      <c r="G61" s="79"/>
      <c r="H61" s="79">
        <v>0</v>
      </c>
      <c r="I61" s="79"/>
      <c r="J61" s="79">
        <v>0</v>
      </c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220">
        <f t="shared" si="0"/>
        <v>0</v>
      </c>
      <c r="AF61" s="220">
        <f t="shared" si="1"/>
        <v>0</v>
      </c>
    </row>
    <row r="62" spans="1:32" ht="20.100000000000001" customHeight="1">
      <c r="A62" s="163">
        <v>51</v>
      </c>
      <c r="B62" s="163" t="s">
        <v>59</v>
      </c>
      <c r="C62" s="163" t="s">
        <v>17</v>
      </c>
      <c r="D62" s="163">
        <v>0.35</v>
      </c>
      <c r="E62" s="163" t="s">
        <v>21</v>
      </c>
      <c r="F62" s="79"/>
      <c r="G62" s="79"/>
      <c r="H62" s="79">
        <v>0</v>
      </c>
      <c r="I62" s="79"/>
      <c r="J62" s="79">
        <v>0</v>
      </c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220">
        <f t="shared" si="0"/>
        <v>0</v>
      </c>
      <c r="AF62" s="220">
        <f t="shared" si="1"/>
        <v>0</v>
      </c>
    </row>
    <row r="63" spans="1:32" ht="20.100000000000001" customHeight="1">
      <c r="A63" s="163">
        <v>52</v>
      </c>
      <c r="B63" s="163" t="s">
        <v>60</v>
      </c>
      <c r="C63" s="163" t="s">
        <v>14</v>
      </c>
      <c r="D63" s="163">
        <v>0.64</v>
      </c>
      <c r="E63" s="163" t="s">
        <v>25</v>
      </c>
      <c r="F63" s="79">
        <v>1350</v>
      </c>
      <c r="G63" s="79">
        <v>5698</v>
      </c>
      <c r="H63" s="79">
        <v>3646.7200000000003</v>
      </c>
      <c r="I63" s="79">
        <v>3360</v>
      </c>
      <c r="J63" s="79">
        <v>2150.4</v>
      </c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220">
        <f t="shared" si="0"/>
        <v>9058</v>
      </c>
      <c r="AF63" s="220">
        <f t="shared" si="1"/>
        <v>5797.1200000000008</v>
      </c>
    </row>
    <row r="64" spans="1:32" ht="20.100000000000001" customHeight="1">
      <c r="A64" s="163">
        <v>53</v>
      </c>
      <c r="B64" s="163" t="s">
        <v>61</v>
      </c>
      <c r="C64" s="163" t="s">
        <v>14</v>
      </c>
      <c r="D64" s="163">
        <v>0.64</v>
      </c>
      <c r="E64" s="163" t="s">
        <v>25</v>
      </c>
      <c r="F64" s="79">
        <v>1280</v>
      </c>
      <c r="G64" s="79">
        <v>210</v>
      </c>
      <c r="H64" s="79">
        <v>134.4</v>
      </c>
      <c r="I64" s="79">
        <v>224</v>
      </c>
      <c r="J64" s="79">
        <v>143.36000000000001</v>
      </c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220">
        <f t="shared" si="0"/>
        <v>434</v>
      </c>
      <c r="AF64" s="220">
        <f t="shared" si="1"/>
        <v>277.76</v>
      </c>
    </row>
    <row r="65" spans="1:32" ht="20.100000000000001" customHeight="1">
      <c r="A65" s="163"/>
      <c r="B65" s="163"/>
      <c r="C65" s="163"/>
      <c r="D65" s="163"/>
      <c r="E65" s="163"/>
      <c r="F65" s="79"/>
      <c r="G65" s="79"/>
      <c r="H65" s="79">
        <v>0</v>
      </c>
      <c r="I65" s="79"/>
      <c r="J65" s="79">
        <v>0</v>
      </c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220">
        <f t="shared" si="0"/>
        <v>0</v>
      </c>
      <c r="AF65" s="220">
        <f t="shared" si="1"/>
        <v>0</v>
      </c>
    </row>
    <row r="66" spans="1:32" ht="20.100000000000001" customHeight="1">
      <c r="A66" s="163">
        <v>54</v>
      </c>
      <c r="B66" s="163" t="s">
        <v>62</v>
      </c>
      <c r="C66" s="163" t="s">
        <v>17</v>
      </c>
      <c r="D66" s="163">
        <v>1</v>
      </c>
      <c r="E66" s="163" t="s">
        <v>15</v>
      </c>
      <c r="F66" s="79"/>
      <c r="G66" s="79"/>
      <c r="H66" s="79">
        <v>0</v>
      </c>
      <c r="I66" s="79"/>
      <c r="J66" s="79">
        <v>0</v>
      </c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220">
        <f t="shared" si="0"/>
        <v>0</v>
      </c>
      <c r="AF66" s="220">
        <f t="shared" si="1"/>
        <v>0</v>
      </c>
    </row>
    <row r="67" spans="1:32" ht="20.100000000000001" customHeight="1">
      <c r="A67" s="163">
        <v>55</v>
      </c>
      <c r="B67" s="163" t="s">
        <v>63</v>
      </c>
      <c r="C67" s="163" t="s">
        <v>17</v>
      </c>
      <c r="D67" s="163">
        <v>0.6</v>
      </c>
      <c r="E67" s="163" t="s">
        <v>15</v>
      </c>
      <c r="F67" s="79"/>
      <c r="G67" s="79"/>
      <c r="H67" s="79">
        <v>0</v>
      </c>
      <c r="I67" s="79"/>
      <c r="J67" s="79">
        <v>0</v>
      </c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220">
        <f t="shared" si="0"/>
        <v>0</v>
      </c>
      <c r="AF67" s="220">
        <f t="shared" si="1"/>
        <v>0</v>
      </c>
    </row>
    <row r="68" spans="1:32" ht="20.100000000000001" customHeight="1">
      <c r="A68" s="163">
        <v>56</v>
      </c>
      <c r="B68" s="163" t="s">
        <v>64</v>
      </c>
      <c r="C68" s="163" t="s">
        <v>14</v>
      </c>
      <c r="D68" s="163">
        <v>0.64</v>
      </c>
      <c r="E68" s="163" t="s">
        <v>25</v>
      </c>
      <c r="F68" s="79"/>
      <c r="G68" s="79"/>
      <c r="H68" s="79">
        <v>0</v>
      </c>
      <c r="I68" s="79"/>
      <c r="J68" s="79">
        <v>0</v>
      </c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220">
        <f t="shared" si="0"/>
        <v>0</v>
      </c>
      <c r="AF68" s="220">
        <f t="shared" si="1"/>
        <v>0</v>
      </c>
    </row>
    <row r="69" spans="1:32" ht="20.100000000000001" customHeight="1">
      <c r="A69" s="163"/>
      <c r="B69" s="163"/>
      <c r="C69" s="163"/>
      <c r="D69" s="163"/>
      <c r="E69" s="163"/>
      <c r="F69" s="79"/>
      <c r="G69" s="79"/>
      <c r="H69" s="79">
        <v>0</v>
      </c>
      <c r="I69" s="79"/>
      <c r="J69" s="79">
        <v>0</v>
      </c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220">
        <f t="shared" ref="AE69:AE134" si="2">SUM(G69,I69,K69,M69,O69,Q69,S69,U69,W69,Y69,AA69,AC69)</f>
        <v>0</v>
      </c>
      <c r="AF69" s="220">
        <f t="shared" ref="AF69:AF134" si="3">SUM(H69,J69,L69,N69,P69,R69,T69,V69,X69,Z69,AB69,AD69)</f>
        <v>0</v>
      </c>
    </row>
    <row r="70" spans="1:32" ht="20.100000000000001" customHeight="1">
      <c r="A70" s="163">
        <v>57</v>
      </c>
      <c r="B70" s="163" t="s">
        <v>65</v>
      </c>
      <c r="C70" s="163" t="s">
        <v>17</v>
      </c>
      <c r="D70" s="163">
        <v>1</v>
      </c>
      <c r="E70" s="163" t="s">
        <v>15</v>
      </c>
      <c r="F70" s="79"/>
      <c r="G70" s="79"/>
      <c r="H70" s="79">
        <v>0</v>
      </c>
      <c r="I70" s="79"/>
      <c r="J70" s="79">
        <v>0</v>
      </c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220">
        <f t="shared" si="2"/>
        <v>0</v>
      </c>
      <c r="AF70" s="220">
        <f t="shared" si="3"/>
        <v>0</v>
      </c>
    </row>
    <row r="71" spans="1:32" ht="20.100000000000001" customHeight="1">
      <c r="A71" s="163">
        <v>58</v>
      </c>
      <c r="B71" s="163" t="s">
        <v>66</v>
      </c>
      <c r="C71" s="163" t="s">
        <v>17</v>
      </c>
      <c r="D71" s="163">
        <v>0.6</v>
      </c>
      <c r="E71" s="163" t="s">
        <v>15</v>
      </c>
      <c r="F71" s="79"/>
      <c r="G71" s="79"/>
      <c r="H71" s="79">
        <v>0</v>
      </c>
      <c r="I71" s="79"/>
      <c r="J71" s="79">
        <v>0</v>
      </c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220">
        <f t="shared" si="2"/>
        <v>0</v>
      </c>
      <c r="AF71" s="220">
        <f t="shared" si="3"/>
        <v>0</v>
      </c>
    </row>
    <row r="72" spans="1:32" ht="20.100000000000001" customHeight="1">
      <c r="A72" s="163">
        <v>59</v>
      </c>
      <c r="B72" s="163" t="s">
        <v>67</v>
      </c>
      <c r="C72" s="163" t="s">
        <v>14</v>
      </c>
      <c r="D72" s="163">
        <v>0.64</v>
      </c>
      <c r="E72" s="163" t="s">
        <v>25</v>
      </c>
      <c r="F72" s="79"/>
      <c r="G72" s="79"/>
      <c r="H72" s="79">
        <v>0</v>
      </c>
      <c r="I72" s="79"/>
      <c r="J72" s="79">
        <v>0</v>
      </c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220">
        <f t="shared" si="2"/>
        <v>0</v>
      </c>
      <c r="AF72" s="220">
        <f t="shared" si="3"/>
        <v>0</v>
      </c>
    </row>
    <row r="73" spans="1:32" ht="20.100000000000001" customHeight="1">
      <c r="A73" s="163"/>
      <c r="B73" s="163"/>
      <c r="C73" s="163"/>
      <c r="D73" s="163"/>
      <c r="E73" s="163"/>
      <c r="F73" s="79"/>
      <c r="G73" s="79"/>
      <c r="H73" s="79">
        <v>0</v>
      </c>
      <c r="I73" s="79"/>
      <c r="J73" s="79">
        <v>0</v>
      </c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220">
        <f t="shared" si="2"/>
        <v>0</v>
      </c>
      <c r="AF73" s="220">
        <f t="shared" si="3"/>
        <v>0</v>
      </c>
    </row>
    <row r="74" spans="1:32" ht="20.100000000000001" customHeight="1">
      <c r="A74" s="163">
        <v>60</v>
      </c>
      <c r="B74" s="163" t="s">
        <v>68</v>
      </c>
      <c r="C74" s="163" t="s">
        <v>14</v>
      </c>
      <c r="D74" s="163">
        <v>0.64</v>
      </c>
      <c r="E74" s="163" t="s">
        <v>25</v>
      </c>
      <c r="F74" s="79"/>
      <c r="G74" s="79"/>
      <c r="H74" s="79">
        <v>0</v>
      </c>
      <c r="I74" s="79"/>
      <c r="J74" s="79">
        <v>0</v>
      </c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220">
        <f t="shared" si="2"/>
        <v>0</v>
      </c>
      <c r="AF74" s="220">
        <f t="shared" si="3"/>
        <v>0</v>
      </c>
    </row>
    <row r="75" spans="1:32" ht="20.100000000000001" customHeight="1">
      <c r="A75" s="163">
        <v>61</v>
      </c>
      <c r="B75" s="163" t="s">
        <v>68</v>
      </c>
      <c r="C75" s="163" t="s">
        <v>14</v>
      </c>
      <c r="D75" s="163">
        <v>0.64</v>
      </c>
      <c r="E75" s="163" t="s">
        <v>24</v>
      </c>
      <c r="F75" s="79">
        <v>1330</v>
      </c>
      <c r="G75" s="79">
        <v>12360</v>
      </c>
      <c r="H75" s="79">
        <v>7910.4000000000005</v>
      </c>
      <c r="I75" s="79">
        <v>11496</v>
      </c>
      <c r="J75" s="79">
        <v>7357.4400000000005</v>
      </c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220">
        <f t="shared" si="2"/>
        <v>23856</v>
      </c>
      <c r="AF75" s="220">
        <f t="shared" si="3"/>
        <v>15267.84</v>
      </c>
    </row>
    <row r="76" spans="1:32" ht="20.100000000000001" customHeight="1">
      <c r="A76" s="163"/>
      <c r="B76" s="163"/>
      <c r="C76" s="163"/>
      <c r="D76" s="163"/>
      <c r="E76" s="163"/>
      <c r="F76" s="79"/>
      <c r="G76" s="79"/>
      <c r="H76" s="79">
        <v>0</v>
      </c>
      <c r="I76" s="79"/>
      <c r="J76" s="79">
        <v>0</v>
      </c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220">
        <f t="shared" si="2"/>
        <v>0</v>
      </c>
      <c r="AF76" s="220">
        <f t="shared" si="3"/>
        <v>0</v>
      </c>
    </row>
    <row r="77" spans="1:32" ht="20.100000000000001" customHeight="1">
      <c r="A77" s="163">
        <v>62</v>
      </c>
      <c r="B77" s="163" t="s">
        <v>69</v>
      </c>
      <c r="C77" s="163" t="s">
        <v>14</v>
      </c>
      <c r="D77" s="163">
        <v>0.64</v>
      </c>
      <c r="E77" s="163" t="s">
        <v>25</v>
      </c>
      <c r="F77" s="79"/>
      <c r="G77" s="79"/>
      <c r="H77" s="79">
        <v>0</v>
      </c>
      <c r="I77" s="79"/>
      <c r="J77" s="79">
        <v>0</v>
      </c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220">
        <f t="shared" si="2"/>
        <v>0</v>
      </c>
      <c r="AF77" s="220">
        <f t="shared" si="3"/>
        <v>0</v>
      </c>
    </row>
    <row r="78" spans="1:32" ht="20.100000000000001" customHeight="1">
      <c r="A78" s="163">
        <v>63</v>
      </c>
      <c r="B78" s="163" t="s">
        <v>69</v>
      </c>
      <c r="C78" s="163" t="s">
        <v>14</v>
      </c>
      <c r="D78" s="163">
        <v>0.64</v>
      </c>
      <c r="E78" s="163" t="s">
        <v>24</v>
      </c>
      <c r="F78" s="79"/>
      <c r="G78" s="79"/>
      <c r="H78" s="79">
        <v>0</v>
      </c>
      <c r="I78" s="79"/>
      <c r="J78" s="79">
        <v>0</v>
      </c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220">
        <f t="shared" si="2"/>
        <v>0</v>
      </c>
      <c r="AF78" s="220">
        <f t="shared" si="3"/>
        <v>0</v>
      </c>
    </row>
    <row r="79" spans="1:32" ht="20.100000000000001" customHeight="1">
      <c r="A79" s="163"/>
      <c r="B79" s="163"/>
      <c r="C79" s="163"/>
      <c r="D79" s="163"/>
      <c r="E79" s="163"/>
      <c r="F79" s="79"/>
      <c r="G79" s="79"/>
      <c r="H79" s="79">
        <v>0</v>
      </c>
      <c r="I79" s="79"/>
      <c r="J79" s="79">
        <v>0</v>
      </c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220">
        <f t="shared" si="2"/>
        <v>0</v>
      </c>
      <c r="AF79" s="220">
        <f t="shared" si="3"/>
        <v>0</v>
      </c>
    </row>
    <row r="80" spans="1:32" ht="20.100000000000001" customHeight="1">
      <c r="A80" s="163">
        <v>64</v>
      </c>
      <c r="B80" s="163" t="s">
        <v>70</v>
      </c>
      <c r="C80" s="163" t="s">
        <v>14</v>
      </c>
      <c r="D80" s="163">
        <v>0.64</v>
      </c>
      <c r="E80" s="163" t="s">
        <v>24</v>
      </c>
      <c r="F80" s="79"/>
      <c r="G80" s="79"/>
      <c r="H80" s="79">
        <v>0</v>
      </c>
      <c r="I80" s="79"/>
      <c r="J80" s="79">
        <v>0</v>
      </c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220">
        <f t="shared" si="2"/>
        <v>0</v>
      </c>
      <c r="AF80" s="220">
        <f t="shared" si="3"/>
        <v>0</v>
      </c>
    </row>
    <row r="81" spans="1:32" ht="20.100000000000001" customHeight="1">
      <c r="A81" s="163">
        <v>65</v>
      </c>
      <c r="B81" s="163" t="s">
        <v>71</v>
      </c>
      <c r="C81" s="163" t="s">
        <v>14</v>
      </c>
      <c r="D81" s="163">
        <v>0.64</v>
      </c>
      <c r="E81" s="163" t="s">
        <v>15</v>
      </c>
      <c r="F81" s="79"/>
      <c r="G81" s="79"/>
      <c r="H81" s="79">
        <v>0</v>
      </c>
      <c r="I81" s="79"/>
      <c r="J81" s="79">
        <v>0</v>
      </c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220">
        <f t="shared" si="2"/>
        <v>0</v>
      </c>
      <c r="AF81" s="220">
        <f t="shared" si="3"/>
        <v>0</v>
      </c>
    </row>
    <row r="82" spans="1:32" ht="20.100000000000001" customHeight="1">
      <c r="A82" s="163">
        <v>66</v>
      </c>
      <c r="B82" s="163" t="s">
        <v>201</v>
      </c>
      <c r="C82" s="163" t="s">
        <v>14</v>
      </c>
      <c r="D82" s="163">
        <v>0.64</v>
      </c>
      <c r="E82" s="163" t="s">
        <v>222</v>
      </c>
      <c r="F82" s="79"/>
      <c r="G82" s="79"/>
      <c r="H82" s="79">
        <v>0</v>
      </c>
      <c r="I82" s="79"/>
      <c r="J82" s="79">
        <v>0</v>
      </c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220">
        <f t="shared" si="2"/>
        <v>0</v>
      </c>
      <c r="AF82" s="220">
        <f t="shared" si="3"/>
        <v>0</v>
      </c>
    </row>
    <row r="83" spans="1:32" ht="20.100000000000001" customHeight="1">
      <c r="A83" s="163">
        <v>67</v>
      </c>
      <c r="B83" s="163" t="s">
        <v>201</v>
      </c>
      <c r="C83" s="163" t="s">
        <v>197</v>
      </c>
      <c r="D83" s="163">
        <v>1</v>
      </c>
      <c r="E83" s="163" t="s">
        <v>223</v>
      </c>
      <c r="F83" s="79"/>
      <c r="G83" s="79"/>
      <c r="H83" s="79">
        <v>0</v>
      </c>
      <c r="I83" s="79"/>
      <c r="J83" s="79">
        <v>0</v>
      </c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220">
        <f t="shared" si="2"/>
        <v>0</v>
      </c>
      <c r="AF83" s="220">
        <f t="shared" si="3"/>
        <v>0</v>
      </c>
    </row>
    <row r="84" spans="1:32" ht="20.100000000000001" customHeight="1">
      <c r="A84" s="163">
        <v>68</v>
      </c>
      <c r="B84" s="163" t="s">
        <v>202</v>
      </c>
      <c r="C84" s="163" t="s">
        <v>197</v>
      </c>
      <c r="D84" s="163">
        <v>1</v>
      </c>
      <c r="E84" s="163" t="s">
        <v>223</v>
      </c>
      <c r="F84" s="79"/>
      <c r="G84" s="79"/>
      <c r="H84" s="79">
        <v>0</v>
      </c>
      <c r="I84" s="79"/>
      <c r="J84" s="79">
        <v>0</v>
      </c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220">
        <f t="shared" si="2"/>
        <v>0</v>
      </c>
      <c r="AF84" s="220">
        <f t="shared" si="3"/>
        <v>0</v>
      </c>
    </row>
    <row r="85" spans="1:32" ht="20.100000000000001" customHeight="1">
      <c r="A85" s="163"/>
      <c r="B85" s="163"/>
      <c r="C85" s="163"/>
      <c r="D85" s="163"/>
      <c r="E85" s="163"/>
      <c r="F85" s="79"/>
      <c r="G85" s="79"/>
      <c r="H85" s="79">
        <v>0</v>
      </c>
      <c r="I85" s="79"/>
      <c r="J85" s="79">
        <v>0</v>
      </c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220">
        <f t="shared" si="2"/>
        <v>0</v>
      </c>
      <c r="AF85" s="220">
        <f t="shared" si="3"/>
        <v>0</v>
      </c>
    </row>
    <row r="86" spans="1:32" ht="20.100000000000001" customHeight="1">
      <c r="A86" s="163">
        <v>69</v>
      </c>
      <c r="B86" s="163" t="s">
        <v>72</v>
      </c>
      <c r="C86" s="163" t="s">
        <v>17</v>
      </c>
      <c r="D86" s="163">
        <v>1</v>
      </c>
      <c r="E86" s="163" t="s">
        <v>24</v>
      </c>
      <c r="F86" s="79"/>
      <c r="G86" s="79"/>
      <c r="H86" s="79">
        <v>0</v>
      </c>
      <c r="I86" s="79"/>
      <c r="J86" s="79">
        <v>0</v>
      </c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220">
        <f t="shared" si="2"/>
        <v>0</v>
      </c>
      <c r="AF86" s="220">
        <f t="shared" si="3"/>
        <v>0</v>
      </c>
    </row>
    <row r="87" spans="1:32" ht="20.100000000000001" customHeight="1">
      <c r="A87" s="163">
        <v>70</v>
      </c>
      <c r="B87" s="163" t="s">
        <v>73</v>
      </c>
      <c r="C87" s="163" t="s">
        <v>17</v>
      </c>
      <c r="D87" s="163">
        <v>1</v>
      </c>
      <c r="E87" s="163" t="s">
        <v>24</v>
      </c>
      <c r="F87" s="79"/>
      <c r="G87" s="79"/>
      <c r="H87" s="79">
        <v>0</v>
      </c>
      <c r="I87" s="79"/>
      <c r="J87" s="79">
        <v>0</v>
      </c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220">
        <f t="shared" si="2"/>
        <v>0</v>
      </c>
      <c r="AF87" s="220">
        <f t="shared" si="3"/>
        <v>0</v>
      </c>
    </row>
    <row r="88" spans="1:32" ht="20.100000000000001" customHeight="1">
      <c r="A88" s="163">
        <v>71</v>
      </c>
      <c r="B88" s="163" t="s">
        <v>74</v>
      </c>
      <c r="C88" s="163" t="s">
        <v>17</v>
      </c>
      <c r="D88" s="163">
        <v>1</v>
      </c>
      <c r="E88" s="163" t="s">
        <v>15</v>
      </c>
      <c r="F88" s="79"/>
      <c r="G88" s="79"/>
      <c r="H88" s="79">
        <v>0</v>
      </c>
      <c r="I88" s="79"/>
      <c r="J88" s="79">
        <v>0</v>
      </c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220">
        <f t="shared" si="2"/>
        <v>0</v>
      </c>
      <c r="AF88" s="220">
        <f t="shared" si="3"/>
        <v>0</v>
      </c>
    </row>
    <row r="89" spans="1:32" ht="20.100000000000001" customHeight="1">
      <c r="A89" s="163">
        <v>72</v>
      </c>
      <c r="B89" s="163" t="s">
        <v>75</v>
      </c>
      <c r="C89" s="163" t="s">
        <v>17</v>
      </c>
      <c r="D89" s="163">
        <v>0.6</v>
      </c>
      <c r="E89" s="163" t="s">
        <v>24</v>
      </c>
      <c r="F89" s="79">
        <v>875</v>
      </c>
      <c r="G89" s="79">
        <v>27240</v>
      </c>
      <c r="H89" s="79">
        <v>16344</v>
      </c>
      <c r="I89" s="79">
        <v>32650</v>
      </c>
      <c r="J89" s="79">
        <v>19590</v>
      </c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220">
        <f t="shared" si="2"/>
        <v>59890</v>
      </c>
      <c r="AF89" s="220">
        <f t="shared" si="3"/>
        <v>35934</v>
      </c>
    </row>
    <row r="90" spans="1:32" ht="20.100000000000001" customHeight="1">
      <c r="A90" s="163">
        <v>73</v>
      </c>
      <c r="B90" s="163" t="s">
        <v>76</v>
      </c>
      <c r="C90" s="163" t="s">
        <v>14</v>
      </c>
      <c r="D90" s="163">
        <v>0.64</v>
      </c>
      <c r="E90" s="163" t="s">
        <v>25</v>
      </c>
      <c r="F90" s="79">
        <v>1330</v>
      </c>
      <c r="G90" s="79"/>
      <c r="H90" s="79">
        <v>0</v>
      </c>
      <c r="I90" s="79">
        <v>420</v>
      </c>
      <c r="J90" s="79">
        <v>268.8</v>
      </c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220">
        <f t="shared" si="2"/>
        <v>420</v>
      </c>
      <c r="AF90" s="220">
        <f t="shared" si="3"/>
        <v>268.8</v>
      </c>
    </row>
    <row r="91" spans="1:32" ht="20.100000000000001" customHeight="1">
      <c r="A91" s="163"/>
      <c r="B91" s="163"/>
      <c r="C91" s="163"/>
      <c r="D91" s="163"/>
      <c r="E91" s="163"/>
      <c r="F91" s="79"/>
      <c r="G91" s="79"/>
      <c r="H91" s="79">
        <v>0</v>
      </c>
      <c r="I91" s="79"/>
      <c r="J91" s="79">
        <v>0</v>
      </c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220">
        <f t="shared" si="2"/>
        <v>0</v>
      </c>
      <c r="AF91" s="220">
        <f t="shared" si="3"/>
        <v>0</v>
      </c>
    </row>
    <row r="92" spans="1:32" ht="20.100000000000001" customHeight="1">
      <c r="A92" s="163">
        <v>74</v>
      </c>
      <c r="B92" s="163" t="s">
        <v>77</v>
      </c>
      <c r="C92" s="163" t="s">
        <v>17</v>
      </c>
      <c r="D92" s="163">
        <v>1</v>
      </c>
      <c r="E92" s="163" t="s">
        <v>24</v>
      </c>
      <c r="F92" s="79"/>
      <c r="G92" s="79"/>
      <c r="H92" s="79">
        <v>0</v>
      </c>
      <c r="I92" s="79"/>
      <c r="J92" s="79">
        <v>0</v>
      </c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220">
        <f t="shared" si="2"/>
        <v>0</v>
      </c>
      <c r="AF92" s="220">
        <f t="shared" si="3"/>
        <v>0</v>
      </c>
    </row>
    <row r="93" spans="1:32" ht="20.100000000000001" customHeight="1">
      <c r="A93" s="163">
        <v>75</v>
      </c>
      <c r="B93" s="163" t="s">
        <v>77</v>
      </c>
      <c r="C93" s="163" t="s">
        <v>17</v>
      </c>
      <c r="D93" s="163">
        <v>1</v>
      </c>
      <c r="E93" s="163" t="s">
        <v>15</v>
      </c>
      <c r="F93" s="79">
        <v>1260</v>
      </c>
      <c r="G93" s="79">
        <v>11274</v>
      </c>
      <c r="H93" s="79">
        <v>11274</v>
      </c>
      <c r="I93" s="79">
        <v>12354</v>
      </c>
      <c r="J93" s="79">
        <v>12354</v>
      </c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220">
        <f t="shared" si="2"/>
        <v>23628</v>
      </c>
      <c r="AF93" s="220">
        <f t="shared" si="3"/>
        <v>23628</v>
      </c>
    </row>
    <row r="94" spans="1:32" ht="20.100000000000001" customHeight="1">
      <c r="A94" s="163">
        <v>76</v>
      </c>
      <c r="B94" s="163" t="s">
        <v>78</v>
      </c>
      <c r="C94" s="163" t="s">
        <v>17</v>
      </c>
      <c r="D94" s="163">
        <v>0.6</v>
      </c>
      <c r="E94" s="163" t="s">
        <v>24</v>
      </c>
      <c r="F94" s="79">
        <v>915</v>
      </c>
      <c r="G94" s="79">
        <v>792</v>
      </c>
      <c r="H94" s="79">
        <v>475.2</v>
      </c>
      <c r="I94" s="79">
        <v>1020</v>
      </c>
      <c r="J94" s="79">
        <v>612</v>
      </c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220">
        <f t="shared" si="2"/>
        <v>1812</v>
      </c>
      <c r="AF94" s="220">
        <f t="shared" si="3"/>
        <v>1087.2</v>
      </c>
    </row>
    <row r="95" spans="1:32" ht="20.100000000000001" customHeight="1">
      <c r="A95" s="163">
        <v>77</v>
      </c>
      <c r="B95" s="163" t="s">
        <v>79</v>
      </c>
      <c r="C95" s="163" t="s">
        <v>14</v>
      </c>
      <c r="D95" s="163">
        <v>0.64</v>
      </c>
      <c r="E95" s="163" t="s">
        <v>25</v>
      </c>
      <c r="F95" s="79"/>
      <c r="G95" s="79"/>
      <c r="H95" s="79">
        <v>0</v>
      </c>
      <c r="I95" s="79"/>
      <c r="J95" s="79">
        <v>0</v>
      </c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220">
        <f t="shared" si="2"/>
        <v>0</v>
      </c>
      <c r="AF95" s="220">
        <f t="shared" si="3"/>
        <v>0</v>
      </c>
    </row>
    <row r="96" spans="1:32" ht="20.100000000000001" customHeight="1">
      <c r="A96" s="163"/>
      <c r="B96" s="163"/>
      <c r="C96" s="163"/>
      <c r="D96" s="163"/>
      <c r="E96" s="163"/>
      <c r="F96" s="79"/>
      <c r="G96" s="79"/>
      <c r="H96" s="79">
        <v>0</v>
      </c>
      <c r="I96" s="79"/>
      <c r="J96" s="79">
        <v>0</v>
      </c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220">
        <f t="shared" si="2"/>
        <v>0</v>
      </c>
      <c r="AF96" s="220">
        <f t="shared" si="3"/>
        <v>0</v>
      </c>
    </row>
    <row r="97" spans="1:32" ht="20.100000000000001" customHeight="1">
      <c r="A97" s="163">
        <v>78</v>
      </c>
      <c r="B97" s="163" t="s">
        <v>80</v>
      </c>
      <c r="C97" s="163" t="s">
        <v>197</v>
      </c>
      <c r="D97" s="163">
        <v>0.75</v>
      </c>
      <c r="E97" s="163" t="s">
        <v>15</v>
      </c>
      <c r="F97" s="79"/>
      <c r="G97" s="79"/>
      <c r="H97" s="79">
        <v>0</v>
      </c>
      <c r="I97" s="79"/>
      <c r="J97" s="79">
        <v>0</v>
      </c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220">
        <f t="shared" si="2"/>
        <v>0</v>
      </c>
      <c r="AF97" s="220">
        <f t="shared" si="3"/>
        <v>0</v>
      </c>
    </row>
    <row r="98" spans="1:32" ht="20.100000000000001" customHeight="1">
      <c r="A98" s="163">
        <v>79</v>
      </c>
      <c r="B98" s="163" t="s">
        <v>80</v>
      </c>
      <c r="C98" s="163" t="s">
        <v>197</v>
      </c>
      <c r="D98" s="163">
        <v>0.6</v>
      </c>
      <c r="E98" s="163" t="s">
        <v>15</v>
      </c>
      <c r="F98" s="79">
        <v>800</v>
      </c>
      <c r="G98" s="79">
        <v>648</v>
      </c>
      <c r="H98" s="79">
        <v>388.8</v>
      </c>
      <c r="I98" s="79">
        <v>588</v>
      </c>
      <c r="J98" s="79">
        <v>352.8</v>
      </c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220">
        <f t="shared" si="2"/>
        <v>1236</v>
      </c>
      <c r="AF98" s="220">
        <f t="shared" si="3"/>
        <v>741.6</v>
      </c>
    </row>
    <row r="99" spans="1:32" ht="20.100000000000001" customHeight="1">
      <c r="A99" s="163">
        <v>80</v>
      </c>
      <c r="B99" s="163" t="s">
        <v>80</v>
      </c>
      <c r="C99" s="163" t="s">
        <v>14</v>
      </c>
      <c r="D99" s="163">
        <v>0.64</v>
      </c>
      <c r="E99" s="163" t="s">
        <v>24</v>
      </c>
      <c r="F99" s="79">
        <v>800</v>
      </c>
      <c r="G99" s="79">
        <v>8179</v>
      </c>
      <c r="H99" s="79">
        <v>5234.5600000000004</v>
      </c>
      <c r="I99" s="79">
        <v>6409</v>
      </c>
      <c r="J99" s="79">
        <v>4101.76</v>
      </c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220">
        <f t="shared" si="2"/>
        <v>14588</v>
      </c>
      <c r="AF99" s="220">
        <f t="shared" si="3"/>
        <v>9336.32</v>
      </c>
    </row>
    <row r="100" spans="1:32" ht="20.100000000000001" customHeight="1">
      <c r="A100" s="163"/>
      <c r="B100" s="163"/>
      <c r="C100" s="163"/>
      <c r="D100" s="163"/>
      <c r="E100" s="163"/>
      <c r="F100" s="79"/>
      <c r="G100" s="79"/>
      <c r="H100" s="79">
        <v>0</v>
      </c>
      <c r="I100" s="79"/>
      <c r="J100" s="79">
        <v>0</v>
      </c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220">
        <f t="shared" si="2"/>
        <v>0</v>
      </c>
      <c r="AF100" s="220">
        <f t="shared" si="3"/>
        <v>0</v>
      </c>
    </row>
    <row r="101" spans="1:32" ht="20.100000000000001" customHeight="1">
      <c r="A101" s="163">
        <v>81</v>
      </c>
      <c r="B101" s="163" t="s">
        <v>81</v>
      </c>
      <c r="C101" s="163" t="s">
        <v>14</v>
      </c>
      <c r="D101" s="163">
        <v>0.64</v>
      </c>
      <c r="E101" s="163" t="s">
        <v>224</v>
      </c>
      <c r="F101" s="79"/>
      <c r="G101" s="79"/>
      <c r="H101" s="79">
        <v>0</v>
      </c>
      <c r="I101" s="79"/>
      <c r="J101" s="79">
        <v>0</v>
      </c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220">
        <f t="shared" si="2"/>
        <v>0</v>
      </c>
      <c r="AF101" s="220">
        <f t="shared" si="3"/>
        <v>0</v>
      </c>
    </row>
    <row r="102" spans="1:32" ht="20.100000000000001" customHeight="1">
      <c r="A102" s="163">
        <v>82</v>
      </c>
      <c r="B102" s="163" t="s">
        <v>83</v>
      </c>
      <c r="C102" s="163" t="s">
        <v>197</v>
      </c>
      <c r="D102" s="163">
        <v>1</v>
      </c>
      <c r="E102" s="163" t="s">
        <v>223</v>
      </c>
      <c r="F102" s="79"/>
      <c r="G102" s="79"/>
      <c r="H102" s="79">
        <v>0</v>
      </c>
      <c r="I102" s="79"/>
      <c r="J102" s="79">
        <v>0</v>
      </c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220">
        <f t="shared" si="2"/>
        <v>0</v>
      </c>
      <c r="AF102" s="220">
        <f t="shared" si="3"/>
        <v>0</v>
      </c>
    </row>
    <row r="103" spans="1:32" ht="20.100000000000001" customHeight="1">
      <c r="A103" s="163">
        <v>83</v>
      </c>
      <c r="B103" s="163" t="s">
        <v>83</v>
      </c>
      <c r="C103" s="163" t="s">
        <v>197</v>
      </c>
      <c r="D103" s="163">
        <v>0.6</v>
      </c>
      <c r="E103" s="163" t="s">
        <v>223</v>
      </c>
      <c r="F103" s="79"/>
      <c r="G103" s="79"/>
      <c r="H103" s="79">
        <v>0</v>
      </c>
      <c r="I103" s="79"/>
      <c r="J103" s="79">
        <v>0</v>
      </c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220">
        <f t="shared" si="2"/>
        <v>0</v>
      </c>
      <c r="AF103" s="220">
        <f t="shared" si="3"/>
        <v>0</v>
      </c>
    </row>
    <row r="104" spans="1:32" ht="20.100000000000001" customHeight="1">
      <c r="A104" s="163"/>
      <c r="B104" s="163"/>
      <c r="C104" s="163"/>
      <c r="D104" s="163"/>
      <c r="E104" s="163"/>
      <c r="F104" s="79"/>
      <c r="G104" s="79"/>
      <c r="H104" s="79">
        <v>0</v>
      </c>
      <c r="I104" s="79"/>
      <c r="J104" s="79">
        <v>0</v>
      </c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220">
        <f t="shared" si="2"/>
        <v>0</v>
      </c>
      <c r="AF104" s="220">
        <f t="shared" si="3"/>
        <v>0</v>
      </c>
    </row>
    <row r="105" spans="1:32" ht="20.100000000000001" customHeight="1">
      <c r="A105" s="163">
        <v>84</v>
      </c>
      <c r="B105" s="163" t="s">
        <v>84</v>
      </c>
      <c r="C105" s="163" t="s">
        <v>197</v>
      </c>
      <c r="D105" s="163">
        <v>1</v>
      </c>
      <c r="E105" s="163" t="s">
        <v>223</v>
      </c>
      <c r="F105" s="79"/>
      <c r="G105" s="79"/>
      <c r="H105" s="79">
        <v>0</v>
      </c>
      <c r="I105" s="79"/>
      <c r="J105" s="79">
        <v>0</v>
      </c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220">
        <f t="shared" si="2"/>
        <v>0</v>
      </c>
      <c r="AF105" s="220">
        <f t="shared" si="3"/>
        <v>0</v>
      </c>
    </row>
    <row r="106" spans="1:32" ht="20.100000000000001" customHeight="1">
      <c r="A106" s="163">
        <v>85</v>
      </c>
      <c r="B106" s="163" t="s">
        <v>84</v>
      </c>
      <c r="C106" s="163" t="s">
        <v>14</v>
      </c>
      <c r="D106" s="163">
        <v>0.64</v>
      </c>
      <c r="E106" s="163" t="s">
        <v>222</v>
      </c>
      <c r="F106" s="79"/>
      <c r="G106" s="79"/>
      <c r="H106" s="79">
        <v>0</v>
      </c>
      <c r="I106" s="79"/>
      <c r="J106" s="79">
        <v>0</v>
      </c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220">
        <f t="shared" si="2"/>
        <v>0</v>
      </c>
      <c r="AF106" s="220">
        <f t="shared" si="3"/>
        <v>0</v>
      </c>
    </row>
    <row r="107" spans="1:32" ht="20.100000000000001" customHeight="1">
      <c r="A107" s="163">
        <v>86</v>
      </c>
      <c r="B107" s="163" t="s">
        <v>84</v>
      </c>
      <c r="C107" s="163" t="s">
        <v>197</v>
      </c>
      <c r="D107" s="163">
        <v>0.64</v>
      </c>
      <c r="E107" s="163" t="s">
        <v>223</v>
      </c>
      <c r="F107" s="79"/>
      <c r="G107" s="79"/>
      <c r="H107" s="79">
        <v>0</v>
      </c>
      <c r="I107" s="79"/>
      <c r="J107" s="79">
        <v>0</v>
      </c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220">
        <f t="shared" si="2"/>
        <v>0</v>
      </c>
      <c r="AF107" s="220">
        <f t="shared" si="3"/>
        <v>0</v>
      </c>
    </row>
    <row r="108" spans="1:32" ht="20.100000000000001" customHeight="1">
      <c r="A108" s="163"/>
      <c r="B108" s="163"/>
      <c r="C108" s="163"/>
      <c r="D108" s="163"/>
      <c r="E108" s="163"/>
      <c r="F108" s="79"/>
      <c r="G108" s="79"/>
      <c r="H108" s="79">
        <v>0</v>
      </c>
      <c r="I108" s="79"/>
      <c r="J108" s="79">
        <v>0</v>
      </c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220">
        <f t="shared" si="2"/>
        <v>0</v>
      </c>
      <c r="AF108" s="220">
        <f t="shared" si="3"/>
        <v>0</v>
      </c>
    </row>
    <row r="109" spans="1:32" ht="20.100000000000001" customHeight="1">
      <c r="A109" s="163">
        <v>87</v>
      </c>
      <c r="B109" s="163" t="s">
        <v>85</v>
      </c>
      <c r="C109" s="163" t="s">
        <v>197</v>
      </c>
      <c r="D109" s="163">
        <v>0.6</v>
      </c>
      <c r="E109" s="163" t="s">
        <v>223</v>
      </c>
      <c r="F109" s="79"/>
      <c r="G109" s="79"/>
      <c r="H109" s="79">
        <v>0</v>
      </c>
      <c r="I109" s="79"/>
      <c r="J109" s="79">
        <v>0</v>
      </c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220">
        <f t="shared" si="2"/>
        <v>0</v>
      </c>
      <c r="AF109" s="220">
        <f t="shared" si="3"/>
        <v>0</v>
      </c>
    </row>
    <row r="110" spans="1:32" ht="20.100000000000001" customHeight="1">
      <c r="A110" s="163">
        <v>88</v>
      </c>
      <c r="B110" s="163" t="s">
        <v>85</v>
      </c>
      <c r="C110" s="163" t="s">
        <v>197</v>
      </c>
      <c r="D110" s="163">
        <v>1</v>
      </c>
      <c r="E110" s="163" t="s">
        <v>225</v>
      </c>
      <c r="F110" s="79"/>
      <c r="G110" s="79"/>
      <c r="H110" s="79">
        <v>0</v>
      </c>
      <c r="I110" s="79"/>
      <c r="J110" s="79">
        <v>0</v>
      </c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220">
        <f t="shared" si="2"/>
        <v>0</v>
      </c>
      <c r="AF110" s="220">
        <f t="shared" si="3"/>
        <v>0</v>
      </c>
    </row>
    <row r="111" spans="1:32" ht="20.100000000000001" customHeight="1">
      <c r="A111" s="163">
        <v>89</v>
      </c>
      <c r="B111" s="163" t="s">
        <v>85</v>
      </c>
      <c r="C111" s="163" t="s">
        <v>14</v>
      </c>
      <c r="D111" s="163">
        <v>0.64</v>
      </c>
      <c r="E111" s="163" t="s">
        <v>222</v>
      </c>
      <c r="F111" s="79"/>
      <c r="G111" s="79"/>
      <c r="H111" s="79">
        <v>0</v>
      </c>
      <c r="I111" s="79"/>
      <c r="J111" s="79">
        <v>0</v>
      </c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220">
        <f t="shared" si="2"/>
        <v>0</v>
      </c>
      <c r="AF111" s="220">
        <f t="shared" si="3"/>
        <v>0</v>
      </c>
    </row>
    <row r="112" spans="1:32" ht="20.100000000000001" customHeight="1">
      <c r="A112" s="163"/>
      <c r="B112" s="163"/>
      <c r="C112" s="163"/>
      <c r="D112" s="163"/>
      <c r="E112" s="163"/>
      <c r="F112" s="79"/>
      <c r="G112" s="79"/>
      <c r="H112" s="79">
        <v>0</v>
      </c>
      <c r="I112" s="79"/>
      <c r="J112" s="79">
        <v>0</v>
      </c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220">
        <f t="shared" si="2"/>
        <v>0</v>
      </c>
      <c r="AF112" s="220">
        <f t="shared" si="3"/>
        <v>0</v>
      </c>
    </row>
    <row r="113" spans="1:32" ht="20.100000000000001" customHeight="1">
      <c r="A113" s="163">
        <v>90</v>
      </c>
      <c r="B113" s="163" t="s">
        <v>86</v>
      </c>
      <c r="C113" s="163" t="s">
        <v>14</v>
      </c>
      <c r="D113" s="163">
        <v>0.7</v>
      </c>
      <c r="E113" s="163" t="s">
        <v>15</v>
      </c>
      <c r="F113" s="79">
        <v>3600</v>
      </c>
      <c r="G113" s="79">
        <v>120</v>
      </c>
      <c r="H113" s="79">
        <v>84</v>
      </c>
      <c r="I113" s="79"/>
      <c r="J113" s="79">
        <v>0</v>
      </c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220">
        <f t="shared" si="2"/>
        <v>120</v>
      </c>
      <c r="AF113" s="220">
        <f t="shared" si="3"/>
        <v>84</v>
      </c>
    </row>
    <row r="114" spans="1:32" ht="20.100000000000001" customHeight="1">
      <c r="A114" s="163">
        <v>91</v>
      </c>
      <c r="B114" s="163" t="s">
        <v>87</v>
      </c>
      <c r="C114" s="163" t="s">
        <v>14</v>
      </c>
      <c r="D114" s="163">
        <v>0.35</v>
      </c>
      <c r="E114" s="163" t="s">
        <v>24</v>
      </c>
      <c r="F114" s="79">
        <v>2100</v>
      </c>
      <c r="G114" s="79"/>
      <c r="H114" s="79">
        <v>0</v>
      </c>
      <c r="I114" s="79"/>
      <c r="J114" s="79">
        <v>0</v>
      </c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220">
        <f t="shared" si="2"/>
        <v>0</v>
      </c>
      <c r="AF114" s="220">
        <f t="shared" si="3"/>
        <v>0</v>
      </c>
    </row>
    <row r="115" spans="1:32" ht="20.100000000000001" customHeight="1">
      <c r="A115" s="163"/>
      <c r="B115" s="163"/>
      <c r="C115" s="163"/>
      <c r="D115" s="163"/>
      <c r="E115" s="163"/>
      <c r="F115" s="79"/>
      <c r="G115" s="79"/>
      <c r="H115" s="79">
        <v>0</v>
      </c>
      <c r="I115" s="79"/>
      <c r="J115" s="79">
        <v>0</v>
      </c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220">
        <f t="shared" si="2"/>
        <v>0</v>
      </c>
      <c r="AF115" s="220">
        <f t="shared" si="3"/>
        <v>0</v>
      </c>
    </row>
    <row r="116" spans="1:32" ht="20.100000000000001" customHeight="1">
      <c r="A116" s="163">
        <v>92</v>
      </c>
      <c r="B116" s="163" t="s">
        <v>198</v>
      </c>
      <c r="C116" s="163" t="s">
        <v>197</v>
      </c>
      <c r="D116" s="163">
        <v>0.75</v>
      </c>
      <c r="E116" s="163" t="s">
        <v>15</v>
      </c>
      <c r="F116" s="79"/>
      <c r="G116" s="79"/>
      <c r="H116" s="79">
        <v>0</v>
      </c>
      <c r="I116" s="79"/>
      <c r="J116" s="79">
        <v>0</v>
      </c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220">
        <f t="shared" si="2"/>
        <v>0</v>
      </c>
      <c r="AF116" s="220">
        <f t="shared" si="3"/>
        <v>0</v>
      </c>
    </row>
    <row r="117" spans="1:32" ht="20.100000000000001" customHeight="1">
      <c r="A117" s="163">
        <v>93</v>
      </c>
      <c r="B117" s="163" t="s">
        <v>198</v>
      </c>
      <c r="C117" s="163" t="s">
        <v>197</v>
      </c>
      <c r="D117" s="163">
        <v>0.6</v>
      </c>
      <c r="E117" s="163" t="s">
        <v>15</v>
      </c>
      <c r="F117" s="79">
        <v>800</v>
      </c>
      <c r="G117" s="79">
        <v>1044</v>
      </c>
      <c r="H117" s="79">
        <v>626.4</v>
      </c>
      <c r="I117" s="79">
        <v>1008</v>
      </c>
      <c r="J117" s="79">
        <v>604.79999999999995</v>
      </c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220">
        <f t="shared" si="2"/>
        <v>2052</v>
      </c>
      <c r="AF117" s="220">
        <f t="shared" si="3"/>
        <v>1231.1999999999998</v>
      </c>
    </row>
    <row r="118" spans="1:32" ht="20.100000000000001" customHeight="1">
      <c r="A118" s="163">
        <v>94</v>
      </c>
      <c r="B118" s="163" t="s">
        <v>198</v>
      </c>
      <c r="C118" s="163" t="s">
        <v>14</v>
      </c>
      <c r="D118" s="163">
        <v>0.64</v>
      </c>
      <c r="E118" s="163" t="s">
        <v>25</v>
      </c>
      <c r="F118" s="79">
        <v>830</v>
      </c>
      <c r="G118" s="79">
        <v>5418</v>
      </c>
      <c r="H118" s="79">
        <v>3467.52</v>
      </c>
      <c r="I118" s="79">
        <v>5768</v>
      </c>
      <c r="J118" s="79">
        <v>3691.52</v>
      </c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220">
        <f t="shared" si="2"/>
        <v>11186</v>
      </c>
      <c r="AF118" s="220">
        <f t="shared" si="3"/>
        <v>7159.04</v>
      </c>
    </row>
    <row r="119" spans="1:32" ht="20.100000000000001" customHeight="1">
      <c r="A119" s="163"/>
      <c r="B119" s="163"/>
      <c r="C119" s="163"/>
      <c r="D119" s="163"/>
      <c r="E119" s="163"/>
      <c r="F119" s="79"/>
      <c r="G119" s="79"/>
      <c r="H119" s="79">
        <v>0</v>
      </c>
      <c r="I119" s="79"/>
      <c r="J119" s="79">
        <v>0</v>
      </c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220">
        <f t="shared" si="2"/>
        <v>0</v>
      </c>
      <c r="AF119" s="220">
        <f t="shared" si="3"/>
        <v>0</v>
      </c>
    </row>
    <row r="120" spans="1:32" ht="20.100000000000001" customHeight="1">
      <c r="A120" s="163">
        <v>95</v>
      </c>
      <c r="B120" s="163" t="s">
        <v>93</v>
      </c>
      <c r="C120" s="163" t="s">
        <v>14</v>
      </c>
      <c r="D120" s="163">
        <v>0.64</v>
      </c>
      <c r="E120" s="163" t="s">
        <v>25</v>
      </c>
      <c r="F120" s="79">
        <v>1330</v>
      </c>
      <c r="G120" s="79">
        <v>20006</v>
      </c>
      <c r="H120" s="79">
        <v>12803.84</v>
      </c>
      <c r="I120" s="79">
        <v>17220</v>
      </c>
      <c r="J120" s="79">
        <v>11020.800000000001</v>
      </c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220">
        <f t="shared" si="2"/>
        <v>37226</v>
      </c>
      <c r="AF120" s="220">
        <f t="shared" si="3"/>
        <v>23824.639999999999</v>
      </c>
    </row>
    <row r="121" spans="1:32" ht="20.100000000000001" customHeight="1">
      <c r="A121" s="163">
        <v>96</v>
      </c>
      <c r="B121" s="163" t="s">
        <v>93</v>
      </c>
      <c r="C121" s="163" t="s">
        <v>197</v>
      </c>
      <c r="D121" s="163">
        <v>1</v>
      </c>
      <c r="E121" s="163"/>
      <c r="F121" s="79"/>
      <c r="G121" s="79"/>
      <c r="H121" s="79">
        <v>0</v>
      </c>
      <c r="I121" s="79"/>
      <c r="J121" s="79">
        <v>0</v>
      </c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220">
        <f t="shared" si="2"/>
        <v>0</v>
      </c>
      <c r="AF121" s="220">
        <f t="shared" si="3"/>
        <v>0</v>
      </c>
    </row>
    <row r="122" spans="1:32" ht="20.100000000000001" customHeight="1">
      <c r="A122" s="163"/>
      <c r="B122" s="163"/>
      <c r="C122" s="163"/>
      <c r="D122" s="163"/>
      <c r="E122" s="163"/>
      <c r="F122" s="79"/>
      <c r="G122" s="79"/>
      <c r="H122" s="79">
        <v>0</v>
      </c>
      <c r="I122" s="79"/>
      <c r="J122" s="79">
        <v>0</v>
      </c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220">
        <f t="shared" si="2"/>
        <v>0</v>
      </c>
      <c r="AF122" s="220">
        <f t="shared" si="3"/>
        <v>0</v>
      </c>
    </row>
    <row r="123" spans="1:32" ht="20.100000000000001" customHeight="1">
      <c r="A123" s="163">
        <v>97</v>
      </c>
      <c r="B123" s="163" t="s">
        <v>226</v>
      </c>
      <c r="C123" s="163" t="s">
        <v>197</v>
      </c>
      <c r="D123" s="163"/>
      <c r="E123" s="163" t="s">
        <v>215</v>
      </c>
      <c r="F123" s="79"/>
      <c r="G123" s="79"/>
      <c r="H123" s="79">
        <v>0</v>
      </c>
      <c r="I123" s="79"/>
      <c r="J123" s="79">
        <v>0</v>
      </c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220">
        <f t="shared" si="2"/>
        <v>0</v>
      </c>
      <c r="AF123" s="220">
        <f t="shared" si="3"/>
        <v>0</v>
      </c>
    </row>
    <row r="124" spans="1:32" ht="20.100000000000001" customHeight="1">
      <c r="A124" s="163">
        <v>98</v>
      </c>
      <c r="B124" s="163" t="s">
        <v>227</v>
      </c>
      <c r="C124" s="163" t="s">
        <v>197</v>
      </c>
      <c r="D124" s="163"/>
      <c r="E124" s="163" t="s">
        <v>215</v>
      </c>
      <c r="F124" s="79"/>
      <c r="G124" s="79"/>
      <c r="H124" s="79">
        <v>0</v>
      </c>
      <c r="I124" s="79"/>
      <c r="J124" s="79">
        <v>0</v>
      </c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220">
        <f t="shared" si="2"/>
        <v>0</v>
      </c>
      <c r="AF124" s="220">
        <f t="shared" si="3"/>
        <v>0</v>
      </c>
    </row>
    <row r="125" spans="1:32" ht="20.100000000000001" customHeight="1">
      <c r="A125" s="163">
        <v>99</v>
      </c>
      <c r="B125" s="63" t="s">
        <v>238</v>
      </c>
      <c r="C125" s="163"/>
      <c r="D125" s="163"/>
      <c r="E125" s="163"/>
      <c r="F125" s="79"/>
      <c r="G125" s="79"/>
      <c r="H125" s="79"/>
      <c r="I125" s="79"/>
      <c r="J125" s="79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220"/>
      <c r="AF125" s="220"/>
    </row>
    <row r="126" spans="1:32" ht="20.100000000000001" customHeight="1">
      <c r="A126" s="163">
        <v>100</v>
      </c>
      <c r="B126" s="63" t="s">
        <v>239</v>
      </c>
      <c r="C126" s="163"/>
      <c r="D126" s="163"/>
      <c r="E126" s="163"/>
      <c r="F126" s="79"/>
      <c r="G126" s="79"/>
      <c r="H126" s="79"/>
      <c r="I126" s="79"/>
      <c r="J126" s="79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220"/>
      <c r="AF126" s="220"/>
    </row>
    <row r="127" spans="1:32" ht="20.100000000000001" customHeight="1">
      <c r="A127" s="163">
        <v>101</v>
      </c>
      <c r="B127" s="163" t="s">
        <v>228</v>
      </c>
      <c r="C127" s="163" t="s">
        <v>197</v>
      </c>
      <c r="D127" s="163">
        <v>1</v>
      </c>
      <c r="E127" s="163" t="s">
        <v>38</v>
      </c>
      <c r="F127" s="79">
        <v>1600</v>
      </c>
      <c r="G127" s="79">
        <v>1044</v>
      </c>
      <c r="H127" s="79">
        <v>1044</v>
      </c>
      <c r="I127" s="79">
        <v>48</v>
      </c>
      <c r="J127" s="79">
        <v>48</v>
      </c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220">
        <f t="shared" si="2"/>
        <v>1092</v>
      </c>
      <c r="AF127" s="220">
        <f t="shared" si="3"/>
        <v>1092</v>
      </c>
    </row>
    <row r="128" spans="1:32" ht="20.100000000000001" customHeight="1">
      <c r="A128" s="163">
        <v>102</v>
      </c>
      <c r="B128" s="163" t="s">
        <v>228</v>
      </c>
      <c r="C128" s="163" t="s">
        <v>14</v>
      </c>
      <c r="D128" s="163">
        <v>0.68</v>
      </c>
      <c r="E128" s="163" t="s">
        <v>38</v>
      </c>
      <c r="F128" s="79"/>
      <c r="G128" s="79"/>
      <c r="H128" s="79">
        <v>0</v>
      </c>
      <c r="I128" s="79"/>
      <c r="J128" s="79">
        <v>0</v>
      </c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220">
        <f t="shared" si="2"/>
        <v>0</v>
      </c>
      <c r="AF128" s="220">
        <f t="shared" si="3"/>
        <v>0</v>
      </c>
    </row>
    <row r="129" spans="1:32" ht="20.100000000000001" customHeight="1">
      <c r="A129" s="163">
        <v>103</v>
      </c>
      <c r="B129" s="163" t="s">
        <v>228</v>
      </c>
      <c r="C129" s="163" t="s">
        <v>14</v>
      </c>
      <c r="D129" s="163">
        <v>0.64</v>
      </c>
      <c r="E129" s="163" t="s">
        <v>229</v>
      </c>
      <c r="F129" s="79">
        <v>1500</v>
      </c>
      <c r="G129" s="79"/>
      <c r="H129" s="79">
        <v>0</v>
      </c>
      <c r="I129" s="79"/>
      <c r="J129" s="79">
        <v>0</v>
      </c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220">
        <f t="shared" si="2"/>
        <v>0</v>
      </c>
      <c r="AF129" s="220">
        <f t="shared" si="3"/>
        <v>0</v>
      </c>
    </row>
    <row r="130" spans="1:32" ht="20.100000000000001" customHeight="1">
      <c r="A130" s="163">
        <v>104</v>
      </c>
      <c r="B130" s="163" t="s">
        <v>89</v>
      </c>
      <c r="C130" s="163" t="s">
        <v>17</v>
      </c>
      <c r="D130" s="163">
        <v>1</v>
      </c>
      <c r="E130" s="163" t="s">
        <v>90</v>
      </c>
      <c r="F130" s="79"/>
      <c r="G130" s="79"/>
      <c r="H130" s="79">
        <v>0</v>
      </c>
      <c r="I130" s="79"/>
      <c r="J130" s="79">
        <v>0</v>
      </c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220">
        <f t="shared" si="2"/>
        <v>0</v>
      </c>
      <c r="AF130" s="220">
        <f t="shared" si="3"/>
        <v>0</v>
      </c>
    </row>
    <row r="131" spans="1:32" ht="20.100000000000001" customHeight="1">
      <c r="A131" s="163">
        <v>105</v>
      </c>
      <c r="B131" s="163" t="s">
        <v>91</v>
      </c>
      <c r="C131" s="163" t="s">
        <v>17</v>
      </c>
      <c r="D131" s="163">
        <v>1</v>
      </c>
      <c r="E131" s="163" t="s">
        <v>24</v>
      </c>
      <c r="F131" s="79"/>
      <c r="G131" s="79"/>
      <c r="H131" s="79">
        <v>0</v>
      </c>
      <c r="I131" s="79"/>
      <c r="J131" s="79">
        <v>0</v>
      </c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220">
        <f t="shared" si="2"/>
        <v>0</v>
      </c>
      <c r="AF131" s="220">
        <f t="shared" si="3"/>
        <v>0</v>
      </c>
    </row>
    <row r="132" spans="1:32" ht="20.100000000000001" customHeight="1">
      <c r="A132" s="163">
        <v>106</v>
      </c>
      <c r="B132" s="163" t="s">
        <v>92</v>
      </c>
      <c r="C132" s="163" t="s">
        <v>14</v>
      </c>
      <c r="D132" s="163">
        <v>0.64</v>
      </c>
      <c r="E132" s="163" t="s">
        <v>24</v>
      </c>
      <c r="F132" s="79">
        <v>1330</v>
      </c>
      <c r="G132" s="79">
        <v>185568</v>
      </c>
      <c r="H132" s="79">
        <v>118763.52</v>
      </c>
      <c r="I132" s="79">
        <v>169680</v>
      </c>
      <c r="J132" s="79">
        <v>108595.2</v>
      </c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220">
        <f t="shared" si="2"/>
        <v>355248</v>
      </c>
      <c r="AF132" s="220">
        <f t="shared" si="3"/>
        <v>227358.72</v>
      </c>
    </row>
    <row r="133" spans="1:32" ht="20.100000000000001" customHeight="1">
      <c r="A133" s="163">
        <v>107</v>
      </c>
      <c r="B133" s="163" t="s">
        <v>94</v>
      </c>
      <c r="C133" s="163" t="s">
        <v>14</v>
      </c>
      <c r="D133" s="163">
        <v>0.64</v>
      </c>
      <c r="E133" s="163" t="s">
        <v>24</v>
      </c>
      <c r="F133" s="79">
        <v>1330</v>
      </c>
      <c r="G133" s="79">
        <v>7032</v>
      </c>
      <c r="H133" s="79">
        <v>4500.4800000000005</v>
      </c>
      <c r="I133" s="79">
        <v>3600</v>
      </c>
      <c r="J133" s="79">
        <v>2304</v>
      </c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220">
        <f t="shared" si="2"/>
        <v>10632</v>
      </c>
      <c r="AF133" s="220">
        <f t="shared" si="3"/>
        <v>6804.4800000000005</v>
      </c>
    </row>
    <row r="134" spans="1:32" ht="20.100000000000001" customHeight="1">
      <c r="A134" s="163">
        <v>108</v>
      </c>
      <c r="B134" s="163" t="s">
        <v>95</v>
      </c>
      <c r="C134" s="163" t="s">
        <v>14</v>
      </c>
      <c r="D134" s="163">
        <v>0.64</v>
      </c>
      <c r="E134" s="163" t="s">
        <v>25</v>
      </c>
      <c r="F134" s="79">
        <v>1330</v>
      </c>
      <c r="G134" s="79">
        <v>3626</v>
      </c>
      <c r="H134" s="79">
        <v>2320.64</v>
      </c>
      <c r="I134" s="79">
        <v>7392</v>
      </c>
      <c r="J134" s="79">
        <v>4730.88</v>
      </c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220">
        <f t="shared" si="2"/>
        <v>11018</v>
      </c>
      <c r="AF134" s="220">
        <f t="shared" si="3"/>
        <v>7051.52</v>
      </c>
    </row>
    <row r="135" spans="1:32" ht="20.100000000000001" customHeight="1">
      <c r="A135" s="163">
        <v>109</v>
      </c>
      <c r="B135" s="163" t="s">
        <v>96</v>
      </c>
      <c r="C135" s="163" t="s">
        <v>14</v>
      </c>
      <c r="D135" s="163">
        <v>0.64</v>
      </c>
      <c r="E135" s="163" t="s">
        <v>25</v>
      </c>
      <c r="F135" s="79"/>
      <c r="G135" s="79"/>
      <c r="H135" s="79">
        <v>0</v>
      </c>
      <c r="I135" s="79"/>
      <c r="J135" s="79">
        <v>0</v>
      </c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220">
        <f t="shared" ref="AE135:AE146" si="4">SUM(G135,I135,K135,M135,O135,Q135,S135,U135,W135,Y135,AA135,AC135)</f>
        <v>0</v>
      </c>
      <c r="AF135" s="220">
        <f t="shared" ref="AF135:AF146" si="5">SUM(H135,J135,L135,N135,P135,R135,T135,V135,X135,Z135,AB135,AD135)</f>
        <v>0</v>
      </c>
    </row>
    <row r="136" spans="1:32" ht="20.100000000000001" customHeight="1">
      <c r="A136" s="163">
        <v>110</v>
      </c>
      <c r="B136" s="163" t="s">
        <v>97</v>
      </c>
      <c r="C136" s="163" t="s">
        <v>14</v>
      </c>
      <c r="D136" s="163">
        <v>0.64</v>
      </c>
      <c r="E136" s="163" t="s">
        <v>25</v>
      </c>
      <c r="F136" s="79"/>
      <c r="G136" s="79"/>
      <c r="H136" s="79">
        <v>0</v>
      </c>
      <c r="I136" s="79"/>
      <c r="J136" s="79">
        <v>0</v>
      </c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220">
        <f t="shared" si="4"/>
        <v>0</v>
      </c>
      <c r="AF136" s="220">
        <f t="shared" si="5"/>
        <v>0</v>
      </c>
    </row>
    <row r="137" spans="1:32" ht="20.100000000000001" customHeight="1">
      <c r="A137" s="163">
        <v>111</v>
      </c>
      <c r="B137" s="163" t="s">
        <v>98</v>
      </c>
      <c r="C137" s="163" t="s">
        <v>14</v>
      </c>
      <c r="D137" s="163">
        <v>0.64</v>
      </c>
      <c r="E137" s="163" t="s">
        <v>24</v>
      </c>
      <c r="F137" s="79"/>
      <c r="G137" s="79"/>
      <c r="H137" s="79">
        <v>0</v>
      </c>
      <c r="I137" s="79"/>
      <c r="J137" s="79">
        <v>0</v>
      </c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220">
        <f t="shared" si="4"/>
        <v>0</v>
      </c>
      <c r="AF137" s="220">
        <f t="shared" si="5"/>
        <v>0</v>
      </c>
    </row>
    <row r="138" spans="1:32" ht="20.100000000000001" customHeight="1">
      <c r="A138" s="163">
        <v>112</v>
      </c>
      <c r="B138" s="163" t="s">
        <v>99</v>
      </c>
      <c r="C138" s="163"/>
      <c r="D138" s="163">
        <v>0.64</v>
      </c>
      <c r="E138" s="163"/>
      <c r="F138" s="79"/>
      <c r="G138" s="79"/>
      <c r="H138" s="79">
        <v>0</v>
      </c>
      <c r="I138" s="79"/>
      <c r="J138" s="79">
        <v>0</v>
      </c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220">
        <f t="shared" si="4"/>
        <v>0</v>
      </c>
      <c r="AF138" s="220">
        <f t="shared" si="5"/>
        <v>0</v>
      </c>
    </row>
    <row r="139" spans="1:32" ht="20.100000000000001" customHeight="1">
      <c r="A139" s="163">
        <v>113</v>
      </c>
      <c r="B139" s="163" t="s">
        <v>100</v>
      </c>
      <c r="C139" s="163"/>
      <c r="D139" s="163">
        <v>0.64</v>
      </c>
      <c r="E139" s="163" t="s">
        <v>101</v>
      </c>
      <c r="F139" s="79"/>
      <c r="G139" s="79"/>
      <c r="H139" s="79">
        <v>0</v>
      </c>
      <c r="I139" s="79"/>
      <c r="J139" s="79">
        <v>0</v>
      </c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220">
        <f t="shared" si="4"/>
        <v>0</v>
      </c>
      <c r="AF139" s="220">
        <f t="shared" si="5"/>
        <v>0</v>
      </c>
    </row>
    <row r="140" spans="1:32" ht="20.100000000000001" customHeight="1">
      <c r="A140" s="163">
        <v>114</v>
      </c>
      <c r="B140" s="163" t="s">
        <v>236</v>
      </c>
      <c r="C140" s="163"/>
      <c r="D140" s="163"/>
      <c r="E140" s="163"/>
      <c r="F140" s="79"/>
      <c r="G140" s="79"/>
      <c r="H140" s="79"/>
      <c r="I140" s="79"/>
      <c r="J140" s="79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220"/>
      <c r="AF140" s="220"/>
    </row>
    <row r="141" spans="1:32" ht="20.100000000000001" customHeight="1">
      <c r="A141" s="163">
        <v>115</v>
      </c>
      <c r="B141" s="163" t="s">
        <v>237</v>
      </c>
      <c r="C141" s="163"/>
      <c r="D141" s="163"/>
      <c r="E141" s="163"/>
      <c r="F141" s="79"/>
      <c r="G141" s="79"/>
      <c r="H141" s="79"/>
      <c r="I141" s="79"/>
      <c r="J141" s="79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220">
        <f t="shared" si="4"/>
        <v>0</v>
      </c>
      <c r="AF141" s="220">
        <f t="shared" si="5"/>
        <v>0</v>
      </c>
    </row>
    <row r="142" spans="1:32" ht="20.100000000000001" customHeight="1">
      <c r="A142" s="163">
        <v>116</v>
      </c>
      <c r="B142" s="163" t="s">
        <v>102</v>
      </c>
      <c r="C142" s="163" t="s">
        <v>14</v>
      </c>
      <c r="D142" s="163">
        <v>0.7</v>
      </c>
      <c r="E142" s="163" t="s">
        <v>15</v>
      </c>
      <c r="F142" s="79"/>
      <c r="G142" s="79"/>
      <c r="H142" s="79">
        <v>0</v>
      </c>
      <c r="I142" s="79"/>
      <c r="J142" s="79">
        <v>0</v>
      </c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220">
        <f t="shared" si="4"/>
        <v>0</v>
      </c>
      <c r="AF142" s="220">
        <f t="shared" si="5"/>
        <v>0</v>
      </c>
    </row>
    <row r="143" spans="1:32" ht="20.100000000000001" customHeight="1">
      <c r="A143" s="163">
        <v>117</v>
      </c>
      <c r="B143" s="163" t="s">
        <v>103</v>
      </c>
      <c r="C143" s="163"/>
      <c r="D143" s="163">
        <v>20</v>
      </c>
      <c r="E143" s="163">
        <v>1</v>
      </c>
      <c r="F143" s="79"/>
      <c r="G143" s="79"/>
      <c r="H143" s="79">
        <v>0</v>
      </c>
      <c r="I143" s="79"/>
      <c r="J143" s="79">
        <v>0</v>
      </c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220">
        <f t="shared" si="4"/>
        <v>0</v>
      </c>
      <c r="AF143" s="220">
        <f t="shared" si="5"/>
        <v>0</v>
      </c>
    </row>
    <row r="144" spans="1:32" ht="20.100000000000001" customHeight="1">
      <c r="A144" s="163">
        <v>118</v>
      </c>
      <c r="B144" s="163" t="s">
        <v>230</v>
      </c>
      <c r="C144" s="163"/>
      <c r="D144" s="163"/>
      <c r="E144" s="163"/>
      <c r="F144" s="79"/>
      <c r="G144" s="79"/>
      <c r="H144" s="79"/>
      <c r="I144" s="79"/>
      <c r="J144" s="79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220">
        <f t="shared" si="4"/>
        <v>0</v>
      </c>
      <c r="AF144" s="220">
        <f t="shared" si="5"/>
        <v>0</v>
      </c>
    </row>
    <row r="145" spans="1:32" ht="20.100000000000001" customHeight="1">
      <c r="A145" s="163"/>
      <c r="B145" s="163"/>
      <c r="C145" s="163"/>
      <c r="D145" s="163"/>
      <c r="E145" s="163"/>
      <c r="F145" s="79"/>
      <c r="G145" s="79"/>
      <c r="H145" s="79"/>
      <c r="I145" s="79"/>
      <c r="J145" s="79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220">
        <f t="shared" si="4"/>
        <v>0</v>
      </c>
      <c r="AF145" s="220">
        <f t="shared" si="5"/>
        <v>0</v>
      </c>
    </row>
    <row r="146" spans="1:32" ht="20.100000000000001" customHeight="1">
      <c r="A146" s="163"/>
      <c r="B146" s="163"/>
      <c r="C146" s="163"/>
      <c r="D146" s="163"/>
      <c r="E146" s="163"/>
      <c r="F146" s="79"/>
      <c r="G146" s="79"/>
      <c r="H146" s="79"/>
      <c r="I146" s="79"/>
      <c r="J146" s="79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220">
        <f t="shared" si="4"/>
        <v>0</v>
      </c>
      <c r="AF146" s="220">
        <f t="shared" si="5"/>
        <v>0</v>
      </c>
    </row>
    <row r="147" spans="1:32" ht="20.100000000000001" customHeight="1">
      <c r="A147" s="166"/>
      <c r="B147" s="166" t="s">
        <v>104</v>
      </c>
      <c r="C147" s="166"/>
      <c r="D147" s="166"/>
      <c r="E147" s="166"/>
      <c r="F147" s="167"/>
      <c r="G147" s="168">
        <v>822987</v>
      </c>
      <c r="H147" s="168">
        <v>549147.60000000009</v>
      </c>
      <c r="I147" s="168">
        <v>729741</v>
      </c>
      <c r="J147" s="168">
        <v>486294.32</v>
      </c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  <c r="AB147" s="221"/>
      <c r="AC147" s="221"/>
      <c r="AD147" s="221"/>
      <c r="AE147" s="222">
        <f>SUM(AE4:AE146)</f>
        <v>1552728</v>
      </c>
      <c r="AF147" s="222">
        <f>SUM(AF4:AF146)</f>
        <v>1035441.9199999999</v>
      </c>
    </row>
    <row r="148" spans="1:32" ht="20.100000000000001" customHeight="1">
      <c r="A148" s="163"/>
      <c r="B148" s="163"/>
      <c r="C148" s="163"/>
      <c r="D148" s="163"/>
      <c r="E148" s="163"/>
      <c r="F148" s="79"/>
      <c r="G148" s="79"/>
      <c r="H148" s="79"/>
      <c r="I148" s="79"/>
      <c r="J148" s="79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</row>
    <row r="149" spans="1:32" ht="20.100000000000001" customHeight="1">
      <c r="A149" s="163">
        <v>119</v>
      </c>
      <c r="B149" s="163" t="s">
        <v>105</v>
      </c>
      <c r="C149" s="163" t="s">
        <v>14</v>
      </c>
      <c r="D149" s="163">
        <v>0.7</v>
      </c>
      <c r="E149" s="163" t="s">
        <v>15</v>
      </c>
      <c r="F149" s="79">
        <v>4500</v>
      </c>
      <c r="G149" s="79"/>
      <c r="H149" s="79">
        <v>0</v>
      </c>
      <c r="I149" s="79"/>
      <c r="J149" s="79">
        <v>0</v>
      </c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220">
        <f>SUM(G149,I149,K149,M149,O149,Q149,S149,U149,W149,Y149,AA149,AC149)</f>
        <v>0</v>
      </c>
      <c r="AF149" s="220">
        <f>SUM(H149,J149,L149,N149,P149,R149,T149,V149,X149,Z149,AB149,AD149)</f>
        <v>0</v>
      </c>
    </row>
    <row r="150" spans="1:32" ht="20.100000000000001" customHeight="1">
      <c r="A150" s="163">
        <v>120</v>
      </c>
      <c r="B150" s="163" t="s">
        <v>106</v>
      </c>
      <c r="C150" s="163" t="s">
        <v>14</v>
      </c>
      <c r="D150" s="163">
        <v>0.35</v>
      </c>
      <c r="E150" s="163" t="s">
        <v>24</v>
      </c>
      <c r="F150" s="79">
        <v>2300</v>
      </c>
      <c r="G150" s="79"/>
      <c r="H150" s="79">
        <v>0</v>
      </c>
      <c r="I150" s="79"/>
      <c r="J150" s="79">
        <v>0</v>
      </c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220">
        <f t="shared" ref="AE150:AE163" si="6">SUM(G150,I150,K150,M150,O150,Q150,S150,U150,W150,Y150,AA150,AC150)</f>
        <v>0</v>
      </c>
      <c r="AF150" s="220">
        <f t="shared" ref="AF150:AF163" si="7">SUM(H150,J150,L150,N150,P150,R150,T150,V150,X150,Z150,AB150,AD150)</f>
        <v>0</v>
      </c>
    </row>
    <row r="151" spans="1:32" ht="20.100000000000001" customHeight="1">
      <c r="A151" s="163">
        <v>121</v>
      </c>
      <c r="B151" s="163" t="s">
        <v>107</v>
      </c>
      <c r="C151" s="163" t="s">
        <v>14</v>
      </c>
      <c r="D151" s="163">
        <v>0.17499999999999999</v>
      </c>
      <c r="E151" s="163" t="s">
        <v>108</v>
      </c>
      <c r="F151" s="79">
        <v>1300</v>
      </c>
      <c r="G151" s="79"/>
      <c r="H151" s="79">
        <v>0</v>
      </c>
      <c r="I151" s="79"/>
      <c r="J151" s="79">
        <v>0</v>
      </c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220">
        <f t="shared" si="6"/>
        <v>0</v>
      </c>
      <c r="AF151" s="220">
        <f t="shared" si="7"/>
        <v>0</v>
      </c>
    </row>
    <row r="152" spans="1:32" ht="20.100000000000001" customHeight="1">
      <c r="A152" s="163">
        <v>122</v>
      </c>
      <c r="B152" s="163" t="s">
        <v>109</v>
      </c>
      <c r="C152" s="163" t="s">
        <v>14</v>
      </c>
      <c r="D152" s="163">
        <v>0.7</v>
      </c>
      <c r="E152" s="163" t="s">
        <v>15</v>
      </c>
      <c r="F152" s="79">
        <v>5200</v>
      </c>
      <c r="G152" s="79">
        <v>36</v>
      </c>
      <c r="H152" s="79">
        <v>25.2</v>
      </c>
      <c r="I152" s="79"/>
      <c r="J152" s="79">
        <v>0</v>
      </c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220">
        <f t="shared" si="6"/>
        <v>36</v>
      </c>
      <c r="AF152" s="220">
        <f t="shared" si="7"/>
        <v>25.2</v>
      </c>
    </row>
    <row r="153" spans="1:32" ht="20.100000000000001" customHeight="1">
      <c r="A153" s="163">
        <v>123</v>
      </c>
      <c r="B153" s="163" t="s">
        <v>110</v>
      </c>
      <c r="C153" s="163" t="s">
        <v>14</v>
      </c>
      <c r="D153" s="163">
        <v>0.35</v>
      </c>
      <c r="E153" s="163" t="s">
        <v>24</v>
      </c>
      <c r="F153" s="79">
        <v>2600</v>
      </c>
      <c r="G153" s="79"/>
      <c r="H153" s="79">
        <v>0</v>
      </c>
      <c r="I153" s="79"/>
      <c r="J153" s="79">
        <v>0</v>
      </c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220">
        <f t="shared" si="6"/>
        <v>0</v>
      </c>
      <c r="AF153" s="220">
        <f t="shared" si="7"/>
        <v>0</v>
      </c>
    </row>
    <row r="154" spans="1:32" ht="20.100000000000001" customHeight="1">
      <c r="A154" s="163">
        <v>124</v>
      </c>
      <c r="B154" s="163" t="s">
        <v>111</v>
      </c>
      <c r="C154" s="163" t="s">
        <v>14</v>
      </c>
      <c r="D154" s="163">
        <v>0.17499999999999999</v>
      </c>
      <c r="E154" s="163" t="s">
        <v>108</v>
      </c>
      <c r="F154" s="79">
        <v>1450</v>
      </c>
      <c r="G154" s="79"/>
      <c r="H154" s="79">
        <v>0</v>
      </c>
      <c r="I154" s="79">
        <v>12</v>
      </c>
      <c r="J154" s="79">
        <v>2.0999999999999996</v>
      </c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220">
        <f t="shared" si="6"/>
        <v>12</v>
      </c>
      <c r="AF154" s="220">
        <f t="shared" si="7"/>
        <v>2.0999999999999996</v>
      </c>
    </row>
    <row r="155" spans="1:32" ht="20.100000000000001" customHeight="1">
      <c r="A155" s="163">
        <v>125</v>
      </c>
      <c r="B155" s="163" t="s">
        <v>112</v>
      </c>
      <c r="C155" s="163" t="s">
        <v>14</v>
      </c>
      <c r="D155" s="163">
        <v>0.7</v>
      </c>
      <c r="E155" s="163" t="s">
        <v>15</v>
      </c>
      <c r="F155" s="79"/>
      <c r="G155" s="79"/>
      <c r="H155" s="79">
        <v>0</v>
      </c>
      <c r="I155" s="79"/>
      <c r="J155" s="79">
        <v>0</v>
      </c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220">
        <f t="shared" si="6"/>
        <v>0</v>
      </c>
      <c r="AF155" s="220">
        <f t="shared" si="7"/>
        <v>0</v>
      </c>
    </row>
    <row r="156" spans="1:32" ht="20.100000000000001" customHeight="1">
      <c r="A156" s="163">
        <v>126</v>
      </c>
      <c r="B156" s="163" t="s">
        <v>213</v>
      </c>
      <c r="C156" s="163" t="s">
        <v>14</v>
      </c>
      <c r="D156" s="163">
        <v>0.7</v>
      </c>
      <c r="E156" s="163" t="s">
        <v>15</v>
      </c>
      <c r="F156" s="79">
        <v>4700</v>
      </c>
      <c r="G156" s="79">
        <v>792</v>
      </c>
      <c r="H156" s="79">
        <v>554.4</v>
      </c>
      <c r="I156" s="79">
        <v>636</v>
      </c>
      <c r="J156" s="79">
        <v>445.2</v>
      </c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220">
        <f t="shared" si="6"/>
        <v>1428</v>
      </c>
      <c r="AF156" s="220">
        <f t="shared" si="7"/>
        <v>999.59999999999991</v>
      </c>
    </row>
    <row r="157" spans="1:32" ht="20.100000000000001" customHeight="1">
      <c r="A157" s="163">
        <v>127</v>
      </c>
      <c r="B157" s="163" t="s">
        <v>214</v>
      </c>
      <c r="C157" s="163" t="s">
        <v>14</v>
      </c>
      <c r="D157" s="163">
        <v>0.7</v>
      </c>
      <c r="E157" s="163" t="s">
        <v>15</v>
      </c>
      <c r="F157" s="79"/>
      <c r="G157" s="79"/>
      <c r="H157" s="79">
        <v>0</v>
      </c>
      <c r="I157" s="79"/>
      <c r="J157" s="79">
        <v>0</v>
      </c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220">
        <f t="shared" si="6"/>
        <v>0</v>
      </c>
      <c r="AF157" s="220">
        <f t="shared" si="7"/>
        <v>0</v>
      </c>
    </row>
    <row r="158" spans="1:32" ht="20.100000000000001" customHeight="1">
      <c r="A158" s="163">
        <v>128</v>
      </c>
      <c r="B158" s="163" t="s">
        <v>113</v>
      </c>
      <c r="C158" s="163" t="s">
        <v>14</v>
      </c>
      <c r="D158" s="163">
        <v>0.7</v>
      </c>
      <c r="E158" s="163" t="s">
        <v>15</v>
      </c>
      <c r="F158" s="79"/>
      <c r="G158" s="79"/>
      <c r="H158" s="79">
        <v>0</v>
      </c>
      <c r="I158" s="79"/>
      <c r="J158" s="79">
        <v>0</v>
      </c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220">
        <f t="shared" si="6"/>
        <v>0</v>
      </c>
      <c r="AF158" s="220">
        <f t="shared" si="7"/>
        <v>0</v>
      </c>
    </row>
    <row r="159" spans="1:32" ht="20.100000000000001" customHeight="1">
      <c r="A159" s="163">
        <v>129</v>
      </c>
      <c r="B159" s="163" t="s">
        <v>114</v>
      </c>
      <c r="C159" s="163" t="s">
        <v>14</v>
      </c>
      <c r="D159" s="163">
        <v>0.35</v>
      </c>
      <c r="E159" s="163" t="s">
        <v>24</v>
      </c>
      <c r="F159" s="79"/>
      <c r="G159" s="79"/>
      <c r="H159" s="79">
        <v>0</v>
      </c>
      <c r="I159" s="79"/>
      <c r="J159" s="79">
        <v>0</v>
      </c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220">
        <f t="shared" si="6"/>
        <v>0</v>
      </c>
      <c r="AF159" s="220">
        <f t="shared" si="7"/>
        <v>0</v>
      </c>
    </row>
    <row r="160" spans="1:32" ht="20.100000000000001" customHeight="1">
      <c r="A160" s="163">
        <v>130</v>
      </c>
      <c r="B160" s="163" t="s">
        <v>115</v>
      </c>
      <c r="C160" s="163" t="s">
        <v>14</v>
      </c>
      <c r="D160" s="163">
        <v>0.7</v>
      </c>
      <c r="E160" s="163" t="s">
        <v>15</v>
      </c>
      <c r="F160" s="79"/>
      <c r="G160" s="79"/>
      <c r="H160" s="79">
        <v>0</v>
      </c>
      <c r="I160" s="79"/>
      <c r="J160" s="79">
        <v>0</v>
      </c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220">
        <f t="shared" si="6"/>
        <v>0</v>
      </c>
      <c r="AF160" s="220">
        <f t="shared" si="7"/>
        <v>0</v>
      </c>
    </row>
    <row r="161" spans="1:32" ht="20.100000000000001" customHeight="1">
      <c r="A161" s="163">
        <v>131</v>
      </c>
      <c r="B161" s="163" t="s">
        <v>116</v>
      </c>
      <c r="C161" s="163" t="s">
        <v>14</v>
      </c>
      <c r="D161" s="163">
        <v>0.35</v>
      </c>
      <c r="E161" s="163" t="s">
        <v>24</v>
      </c>
      <c r="F161" s="79"/>
      <c r="G161" s="79"/>
      <c r="H161" s="79">
        <v>0</v>
      </c>
      <c r="I161" s="79"/>
      <c r="J161" s="79">
        <v>0</v>
      </c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220">
        <f t="shared" si="6"/>
        <v>0</v>
      </c>
      <c r="AF161" s="220">
        <f t="shared" si="7"/>
        <v>0</v>
      </c>
    </row>
    <row r="162" spans="1:32" ht="20.100000000000001" customHeight="1">
      <c r="A162" s="163">
        <v>132</v>
      </c>
      <c r="B162" s="163" t="s">
        <v>117</v>
      </c>
      <c r="C162" s="163" t="s">
        <v>14</v>
      </c>
      <c r="D162" s="163">
        <v>0.7</v>
      </c>
      <c r="E162" s="163" t="s">
        <v>118</v>
      </c>
      <c r="F162" s="79"/>
      <c r="G162" s="79"/>
      <c r="H162" s="79">
        <v>0</v>
      </c>
      <c r="I162" s="79"/>
      <c r="J162" s="79">
        <v>0</v>
      </c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220">
        <f t="shared" si="6"/>
        <v>0</v>
      </c>
      <c r="AF162" s="220">
        <f t="shared" si="7"/>
        <v>0</v>
      </c>
    </row>
    <row r="163" spans="1:32" ht="20.100000000000001" customHeight="1">
      <c r="A163" s="163"/>
      <c r="B163" s="163"/>
      <c r="C163" s="163"/>
      <c r="D163" s="163"/>
      <c r="E163" s="163"/>
      <c r="F163" s="79"/>
      <c r="G163" s="79"/>
      <c r="H163" s="79"/>
      <c r="I163" s="79"/>
      <c r="J163" s="79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220">
        <f t="shared" si="6"/>
        <v>0</v>
      </c>
      <c r="AF163" s="220">
        <f t="shared" si="7"/>
        <v>0</v>
      </c>
    </row>
    <row r="164" spans="1:32" ht="20.100000000000001" customHeight="1">
      <c r="A164" s="163"/>
      <c r="B164" s="163" t="s">
        <v>119</v>
      </c>
      <c r="C164" s="163"/>
      <c r="D164" s="163"/>
      <c r="E164" s="163"/>
      <c r="F164" s="79"/>
      <c r="G164" s="168">
        <v>828</v>
      </c>
      <c r="H164" s="168">
        <v>579.6</v>
      </c>
      <c r="I164" s="168">
        <v>648</v>
      </c>
      <c r="J164" s="168">
        <v>447.3</v>
      </c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2">
        <f>SUM(AE149:AE163)</f>
        <v>1476</v>
      </c>
      <c r="AF164" s="222">
        <f>SUM(AF149:AF163)</f>
        <v>1026.8999999999999</v>
      </c>
    </row>
    <row r="165" spans="1:32" ht="20.100000000000001" customHeight="1">
      <c r="A165" s="163"/>
      <c r="B165" s="163" t="s">
        <v>120</v>
      </c>
      <c r="C165" s="163"/>
      <c r="D165" s="163"/>
      <c r="E165" s="163"/>
      <c r="F165" s="79"/>
      <c r="G165" s="169">
        <v>823815</v>
      </c>
      <c r="H165" s="169">
        <v>549727.20000000007</v>
      </c>
      <c r="I165" s="169">
        <v>730389</v>
      </c>
      <c r="J165" s="169">
        <v>486741.62</v>
      </c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  <c r="AB165" s="223"/>
      <c r="AC165" s="223"/>
      <c r="AD165" s="223"/>
      <c r="AE165" s="224">
        <f>AE147+AE164</f>
        <v>1554204</v>
      </c>
      <c r="AF165" s="224">
        <f>AF147+AF164</f>
        <v>1036468.82</v>
      </c>
    </row>
  </sheetData>
  <mergeCells count="13">
    <mergeCell ref="Q2:R2"/>
    <mergeCell ref="G2:H2"/>
    <mergeCell ref="I2:J2"/>
    <mergeCell ref="K2:L2"/>
    <mergeCell ref="M2:N2"/>
    <mergeCell ref="O2:P2"/>
    <mergeCell ref="AE2:AF2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"/>
  <sheetViews>
    <sheetView workbookViewId="0">
      <pane xSplit="6" ySplit="3" topLeftCell="K112" activePane="bottomRight" state="frozen"/>
      <selection pane="topRight" activeCell="G1" sqref="G1"/>
      <selection pane="bottomLeft" activeCell="A4" sqref="A4"/>
      <selection pane="bottomRight"/>
    </sheetView>
  </sheetViews>
  <sheetFormatPr defaultRowHeight="21"/>
  <cols>
    <col min="1" max="1" width="5.85546875" customWidth="1"/>
    <col min="2" max="2" width="23" customWidth="1"/>
    <col min="6" max="6" width="0" hidden="1" customWidth="1"/>
    <col min="8" max="8" width="9.140625" customWidth="1"/>
    <col min="10" max="10" width="9.140625" customWidth="1"/>
    <col min="12" max="12" width="9.140625" customWidth="1"/>
    <col min="14" max="14" width="9.140625" customWidth="1"/>
    <col min="16" max="16" width="9.140625" customWidth="1"/>
    <col min="18" max="18" width="9.140625" customWidth="1"/>
    <col min="20" max="20" width="9.140625" customWidth="1"/>
    <col min="22" max="22" width="9.140625" customWidth="1"/>
    <col min="24" max="24" width="9.140625" customWidth="1"/>
    <col min="26" max="26" width="9.140625" customWidth="1"/>
    <col min="28" max="28" width="9.140625" customWidth="1"/>
    <col min="30" max="30" width="9.140625" customWidth="1"/>
  </cols>
  <sheetData>
    <row r="1" spans="1:32" ht="24.7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5" t="s">
        <v>6</v>
      </c>
      <c r="G2" s="252">
        <v>44562</v>
      </c>
      <c r="H2" s="253"/>
      <c r="I2" s="252">
        <v>44593</v>
      </c>
      <c r="J2" s="253"/>
      <c r="K2" s="252">
        <v>44621</v>
      </c>
      <c r="L2" s="253"/>
      <c r="M2" s="252">
        <v>44652</v>
      </c>
      <c r="N2" s="253"/>
      <c r="O2" s="252">
        <v>44682</v>
      </c>
      <c r="P2" s="253"/>
      <c r="Q2" s="252">
        <v>44713</v>
      </c>
      <c r="R2" s="253"/>
      <c r="S2" s="252">
        <v>44743</v>
      </c>
      <c r="T2" s="253"/>
      <c r="U2" s="252">
        <v>44774</v>
      </c>
      <c r="V2" s="253"/>
      <c r="W2" s="252">
        <v>44805</v>
      </c>
      <c r="X2" s="253"/>
      <c r="Y2" s="252">
        <v>44835</v>
      </c>
      <c r="Z2" s="253"/>
      <c r="AA2" s="252">
        <v>44866</v>
      </c>
      <c r="AB2" s="253"/>
      <c r="AC2" s="252">
        <v>44896</v>
      </c>
      <c r="AD2" s="253"/>
      <c r="AE2" s="261" t="s">
        <v>128</v>
      </c>
      <c r="AF2" s="262"/>
    </row>
    <row r="3" spans="1:32">
      <c r="A3" s="238"/>
      <c r="B3" s="238"/>
      <c r="C3" s="238"/>
      <c r="D3" s="240"/>
      <c r="E3" s="240"/>
      <c r="F3" s="240"/>
      <c r="G3" s="55" t="s">
        <v>11</v>
      </c>
      <c r="H3" s="56" t="s">
        <v>12</v>
      </c>
      <c r="I3" s="55" t="s">
        <v>11</v>
      </c>
      <c r="J3" s="56" t="s">
        <v>12</v>
      </c>
      <c r="K3" s="55" t="s">
        <v>11</v>
      </c>
      <c r="L3" s="56" t="s">
        <v>12</v>
      </c>
      <c r="M3" s="55" t="s">
        <v>11</v>
      </c>
      <c r="N3" s="56" t="s">
        <v>12</v>
      </c>
      <c r="O3" s="55" t="s">
        <v>11</v>
      </c>
      <c r="P3" s="56" t="s">
        <v>12</v>
      </c>
      <c r="Q3" s="55" t="s">
        <v>11</v>
      </c>
      <c r="R3" s="56" t="s">
        <v>12</v>
      </c>
      <c r="S3" s="55" t="s">
        <v>11</v>
      </c>
      <c r="T3" s="56" t="s">
        <v>12</v>
      </c>
      <c r="U3" s="55" t="s">
        <v>11</v>
      </c>
      <c r="V3" s="56" t="s">
        <v>12</v>
      </c>
      <c r="W3" s="55" t="s">
        <v>11</v>
      </c>
      <c r="X3" s="56" t="s">
        <v>12</v>
      </c>
      <c r="Y3" s="55" t="s">
        <v>11</v>
      </c>
      <c r="Z3" s="56" t="s">
        <v>12</v>
      </c>
      <c r="AA3" s="55" t="s">
        <v>11</v>
      </c>
      <c r="AB3" s="56" t="s">
        <v>12</v>
      </c>
      <c r="AC3" s="55" t="s">
        <v>11</v>
      </c>
      <c r="AD3" s="56" t="s">
        <v>12</v>
      </c>
      <c r="AE3" s="57" t="s">
        <v>11</v>
      </c>
      <c r="AF3" s="58" t="s">
        <v>12</v>
      </c>
    </row>
    <row r="4" spans="1:32" ht="20.100000000000001" customHeight="1">
      <c r="A4" s="63">
        <v>1</v>
      </c>
      <c r="B4" s="63" t="s">
        <v>13</v>
      </c>
      <c r="C4" s="63" t="s">
        <v>14</v>
      </c>
      <c r="D4" s="63">
        <v>0.7</v>
      </c>
      <c r="E4" s="63" t="s">
        <v>15</v>
      </c>
      <c r="F4" s="63">
        <v>1870</v>
      </c>
      <c r="G4" s="60">
        <v>88</v>
      </c>
      <c r="H4" s="60">
        <f>G4*D4</f>
        <v>61.599999999999994</v>
      </c>
      <c r="I4" s="60">
        <v>79</v>
      </c>
      <c r="J4" s="60">
        <f>I4*D4</f>
        <v>55.3</v>
      </c>
      <c r="K4" s="60">
        <v>88</v>
      </c>
      <c r="L4" s="60">
        <f>K4*D4</f>
        <v>61.599999999999994</v>
      </c>
      <c r="M4" s="60">
        <v>24</v>
      </c>
      <c r="N4" s="60">
        <f>M4*D4</f>
        <v>16.799999999999997</v>
      </c>
      <c r="O4" s="60">
        <v>14</v>
      </c>
      <c r="P4" s="60">
        <f>O4*D4</f>
        <v>9.7999999999999989</v>
      </c>
      <c r="Q4" s="60">
        <v>18</v>
      </c>
      <c r="R4" s="60">
        <f>Q4*D4</f>
        <v>12.6</v>
      </c>
      <c r="S4" s="60">
        <v>37</v>
      </c>
      <c r="T4" s="60">
        <f>S4*D4</f>
        <v>25.9</v>
      </c>
      <c r="U4" s="60">
        <v>35</v>
      </c>
      <c r="V4" s="60">
        <f>U4*D4</f>
        <v>24.5</v>
      </c>
      <c r="W4" s="60">
        <v>45</v>
      </c>
      <c r="X4" s="60">
        <f>W4*D4</f>
        <v>31.499999999999996</v>
      </c>
      <c r="Y4" s="60">
        <v>26</v>
      </c>
      <c r="Z4" s="60">
        <f>Y4*D4</f>
        <v>18.2</v>
      </c>
      <c r="AA4" s="60">
        <v>20</v>
      </c>
      <c r="AB4" s="60">
        <f>AA4*D4</f>
        <v>14</v>
      </c>
      <c r="AC4" s="60">
        <v>28</v>
      </c>
      <c r="AD4" s="60">
        <f>AC4*D4</f>
        <v>19.599999999999998</v>
      </c>
      <c r="AE4" s="60">
        <f>G4+I4+K4+M4+O4+Q4+S4+U4+W4+Y4+AA4+AC4</f>
        <v>502</v>
      </c>
      <c r="AF4" s="61">
        <f>AE4*D4</f>
        <v>351.4</v>
      </c>
    </row>
    <row r="5" spans="1:32" ht="20.100000000000001" customHeight="1">
      <c r="A5" s="63"/>
      <c r="B5" s="63"/>
      <c r="C5" s="63"/>
      <c r="D5" s="63"/>
      <c r="E5" s="63"/>
      <c r="F5" s="63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1"/>
    </row>
    <row r="6" spans="1:32" ht="20.100000000000001" customHeight="1">
      <c r="A6" s="63">
        <v>2</v>
      </c>
      <c r="B6" s="63" t="s">
        <v>16</v>
      </c>
      <c r="C6" s="63" t="s">
        <v>17</v>
      </c>
      <c r="D6" s="63">
        <v>1</v>
      </c>
      <c r="E6" s="63" t="s">
        <v>15</v>
      </c>
      <c r="F6" s="63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1"/>
    </row>
    <row r="7" spans="1:32" ht="20.100000000000001" customHeight="1">
      <c r="A7" s="63">
        <v>3</v>
      </c>
      <c r="B7" s="63" t="s">
        <v>18</v>
      </c>
      <c r="C7" s="63" t="s">
        <v>17</v>
      </c>
      <c r="D7" s="63">
        <v>1</v>
      </c>
      <c r="E7" s="63" t="s">
        <v>15</v>
      </c>
      <c r="F7" s="63">
        <v>1580</v>
      </c>
      <c r="G7" s="60">
        <v>57</v>
      </c>
      <c r="H7" s="60">
        <f t="shared" ref="H7:H63" si="0">G7*D7</f>
        <v>57</v>
      </c>
      <c r="I7" s="60">
        <v>8</v>
      </c>
      <c r="J7" s="60">
        <f t="shared" ref="J7:J63" si="1">I7*D7</f>
        <v>8</v>
      </c>
      <c r="K7" s="60">
        <v>22</v>
      </c>
      <c r="L7" s="60">
        <f t="shared" ref="L7:L63" si="2">K7*D7</f>
        <v>22</v>
      </c>
      <c r="M7" s="60">
        <v>28</v>
      </c>
      <c r="N7" s="60">
        <f t="shared" ref="N7:N63" si="3">M7*D7</f>
        <v>28</v>
      </c>
      <c r="O7" s="60">
        <v>26</v>
      </c>
      <c r="P7" s="60">
        <f t="shared" ref="P7:P63" si="4">O7*D7</f>
        <v>26</v>
      </c>
      <c r="Q7" s="60"/>
      <c r="R7" s="60"/>
      <c r="S7" s="60">
        <v>16</v>
      </c>
      <c r="T7" s="60">
        <f t="shared" ref="T7:T57" si="5">S7*D7</f>
        <v>16</v>
      </c>
      <c r="U7" s="60">
        <v>32</v>
      </c>
      <c r="V7" s="60">
        <f t="shared" ref="V7:V63" si="6">U7*D7</f>
        <v>32</v>
      </c>
      <c r="W7" s="60">
        <v>138</v>
      </c>
      <c r="X7" s="60">
        <f t="shared" ref="X7:X57" si="7">W7*D7</f>
        <v>138</v>
      </c>
      <c r="Y7" s="60">
        <v>4</v>
      </c>
      <c r="Z7" s="60">
        <f t="shared" ref="Z7:Z63" si="8">Y7*D7</f>
        <v>4</v>
      </c>
      <c r="AA7" s="60"/>
      <c r="AB7" s="60"/>
      <c r="AC7" s="60">
        <v>2</v>
      </c>
      <c r="AD7" s="60">
        <f t="shared" ref="AD7:AD63" si="9">AC7*D7</f>
        <v>2</v>
      </c>
      <c r="AE7" s="60">
        <f t="shared" ref="AE7:AE63" si="10">G7+I7+K7+M7+O7+Q7+S7+U7+W7+Y7+AA7+AC7</f>
        <v>333</v>
      </c>
      <c r="AF7" s="61">
        <f t="shared" ref="AF7:AF63" si="11">AE7*D7</f>
        <v>333</v>
      </c>
    </row>
    <row r="8" spans="1:32" ht="20.100000000000001" customHeight="1">
      <c r="A8" s="63">
        <v>4</v>
      </c>
      <c r="B8" s="63" t="s">
        <v>19</v>
      </c>
      <c r="C8" s="63" t="s">
        <v>17</v>
      </c>
      <c r="D8" s="63">
        <v>0.6</v>
      </c>
      <c r="E8" s="63" t="s">
        <v>15</v>
      </c>
      <c r="F8" s="63">
        <v>1080</v>
      </c>
      <c r="G8" s="60"/>
      <c r="H8" s="60"/>
      <c r="I8" s="60">
        <v>33</v>
      </c>
      <c r="J8" s="60">
        <f t="shared" si="1"/>
        <v>19.8</v>
      </c>
      <c r="K8" s="60">
        <v>96</v>
      </c>
      <c r="L8" s="60">
        <f t="shared" si="2"/>
        <v>57.599999999999994</v>
      </c>
      <c r="M8" s="60">
        <v>1</v>
      </c>
      <c r="N8" s="60">
        <f t="shared" si="3"/>
        <v>0.6</v>
      </c>
      <c r="O8" s="60">
        <v>9</v>
      </c>
      <c r="P8" s="60">
        <f t="shared" si="4"/>
        <v>5.3999999999999995</v>
      </c>
      <c r="Q8" s="60"/>
      <c r="R8" s="60"/>
      <c r="S8" s="60">
        <v>12</v>
      </c>
      <c r="T8" s="60">
        <f t="shared" si="5"/>
        <v>7.1999999999999993</v>
      </c>
      <c r="U8" s="60">
        <v>12</v>
      </c>
      <c r="V8" s="60">
        <f t="shared" si="6"/>
        <v>7.1999999999999993</v>
      </c>
      <c r="W8" s="60"/>
      <c r="X8" s="60"/>
      <c r="Y8" s="60">
        <v>11</v>
      </c>
      <c r="Z8" s="60">
        <f t="shared" si="8"/>
        <v>6.6</v>
      </c>
      <c r="AA8" s="60"/>
      <c r="AB8" s="60"/>
      <c r="AC8" s="60">
        <v>1</v>
      </c>
      <c r="AD8" s="60">
        <f t="shared" si="9"/>
        <v>0.6</v>
      </c>
      <c r="AE8" s="60">
        <f t="shared" si="10"/>
        <v>175</v>
      </c>
      <c r="AF8" s="61">
        <f t="shared" si="11"/>
        <v>105</v>
      </c>
    </row>
    <row r="9" spans="1:32" ht="20.100000000000001" customHeight="1">
      <c r="A9" s="63">
        <v>5</v>
      </c>
      <c r="B9" s="63" t="s">
        <v>20</v>
      </c>
      <c r="C9" s="63" t="s">
        <v>17</v>
      </c>
      <c r="D9" s="63">
        <v>0.35</v>
      </c>
      <c r="E9" s="63" t="s">
        <v>21</v>
      </c>
      <c r="F9" s="63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1"/>
    </row>
    <row r="10" spans="1:32" ht="20.100000000000001" customHeight="1">
      <c r="A10" s="63">
        <v>6</v>
      </c>
      <c r="B10" s="63" t="s">
        <v>22</v>
      </c>
      <c r="C10" s="63" t="s">
        <v>14</v>
      </c>
      <c r="D10" s="63">
        <v>0.7</v>
      </c>
      <c r="E10" s="63" t="s">
        <v>15</v>
      </c>
      <c r="F10" s="63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1"/>
    </row>
    <row r="11" spans="1:32" ht="20.100000000000001" customHeight="1">
      <c r="A11" s="63">
        <v>7</v>
      </c>
      <c r="B11" s="63" t="s">
        <v>23</v>
      </c>
      <c r="C11" s="63" t="s">
        <v>14</v>
      </c>
      <c r="D11" s="63">
        <v>0.64</v>
      </c>
      <c r="E11" s="63" t="s">
        <v>24</v>
      </c>
      <c r="F11" s="63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1"/>
    </row>
    <row r="12" spans="1:32" ht="20.100000000000001" customHeight="1">
      <c r="A12" s="63">
        <v>8</v>
      </c>
      <c r="B12" s="63" t="s">
        <v>23</v>
      </c>
      <c r="C12" s="63" t="s">
        <v>14</v>
      </c>
      <c r="D12" s="63">
        <v>0.64</v>
      </c>
      <c r="E12" s="63" t="s">
        <v>25</v>
      </c>
      <c r="F12" s="63">
        <v>1230</v>
      </c>
      <c r="G12" s="60">
        <v>40</v>
      </c>
      <c r="H12" s="60">
        <f t="shared" si="0"/>
        <v>25.6</v>
      </c>
      <c r="I12" s="60">
        <v>53</v>
      </c>
      <c r="J12" s="60">
        <f t="shared" si="1"/>
        <v>33.92</v>
      </c>
      <c r="K12" s="60">
        <v>34</v>
      </c>
      <c r="L12" s="60">
        <f t="shared" si="2"/>
        <v>21.76</v>
      </c>
      <c r="M12" s="60">
        <v>96</v>
      </c>
      <c r="N12" s="60">
        <f t="shared" si="3"/>
        <v>61.44</v>
      </c>
      <c r="O12" s="60">
        <v>57</v>
      </c>
      <c r="P12" s="60">
        <f t="shared" si="4"/>
        <v>36.480000000000004</v>
      </c>
      <c r="Q12" s="60">
        <v>54</v>
      </c>
      <c r="R12" s="60">
        <f t="shared" ref="R12:R63" si="12">Q12*D12</f>
        <v>34.56</v>
      </c>
      <c r="S12" s="60">
        <v>36</v>
      </c>
      <c r="T12" s="60">
        <f t="shared" si="5"/>
        <v>23.04</v>
      </c>
      <c r="U12" s="60">
        <v>41</v>
      </c>
      <c r="V12" s="60">
        <f t="shared" si="6"/>
        <v>26.240000000000002</v>
      </c>
      <c r="W12" s="60">
        <v>55</v>
      </c>
      <c r="X12" s="60">
        <f t="shared" si="7"/>
        <v>35.200000000000003</v>
      </c>
      <c r="Y12" s="60">
        <v>68</v>
      </c>
      <c r="Z12" s="60">
        <f t="shared" si="8"/>
        <v>43.52</v>
      </c>
      <c r="AA12" s="60">
        <v>68</v>
      </c>
      <c r="AB12" s="60">
        <f t="shared" ref="AB12:AB57" si="13">AA12*D12</f>
        <v>43.52</v>
      </c>
      <c r="AC12" s="60">
        <v>78</v>
      </c>
      <c r="AD12" s="60">
        <f t="shared" si="9"/>
        <v>49.92</v>
      </c>
      <c r="AE12" s="60">
        <f t="shared" si="10"/>
        <v>680</v>
      </c>
      <c r="AF12" s="61">
        <f t="shared" si="11"/>
        <v>435.2</v>
      </c>
    </row>
    <row r="13" spans="1:32" ht="20.100000000000001" customHeight="1">
      <c r="A13" s="63">
        <v>9</v>
      </c>
      <c r="B13" s="63" t="s">
        <v>23</v>
      </c>
      <c r="C13" s="63" t="s">
        <v>14</v>
      </c>
      <c r="D13" s="63">
        <v>0.64</v>
      </c>
      <c r="E13" s="63" t="s">
        <v>15</v>
      </c>
      <c r="F13" s="63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1"/>
    </row>
    <row r="14" spans="1:32" ht="20.100000000000001" customHeight="1">
      <c r="A14" s="63">
        <v>10</v>
      </c>
      <c r="B14" s="63" t="s">
        <v>26</v>
      </c>
      <c r="C14" s="63" t="s">
        <v>14</v>
      </c>
      <c r="D14" s="63">
        <v>0.64</v>
      </c>
      <c r="E14" s="63" t="s">
        <v>25</v>
      </c>
      <c r="F14" s="63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1"/>
    </row>
    <row r="15" spans="1:32" ht="20.100000000000001" customHeight="1">
      <c r="A15" s="63"/>
      <c r="B15" s="63"/>
      <c r="C15" s="63"/>
      <c r="D15" s="63"/>
      <c r="E15" s="63"/>
      <c r="F15" s="63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1"/>
    </row>
    <row r="16" spans="1:32" ht="20.100000000000001" customHeight="1">
      <c r="A16" s="63">
        <v>11</v>
      </c>
      <c r="B16" s="63" t="s">
        <v>27</v>
      </c>
      <c r="C16" s="63" t="s">
        <v>17</v>
      </c>
      <c r="D16" s="63">
        <v>1</v>
      </c>
      <c r="E16" s="63" t="s">
        <v>15</v>
      </c>
      <c r="F16" s="63">
        <v>1530</v>
      </c>
      <c r="G16" s="60">
        <v>32</v>
      </c>
      <c r="H16" s="60">
        <f t="shared" si="0"/>
        <v>32</v>
      </c>
      <c r="I16" s="60">
        <v>1</v>
      </c>
      <c r="J16" s="60">
        <f t="shared" si="1"/>
        <v>1</v>
      </c>
      <c r="K16" s="60">
        <v>35</v>
      </c>
      <c r="L16" s="60">
        <f t="shared" si="2"/>
        <v>35</v>
      </c>
      <c r="M16" s="60">
        <v>35</v>
      </c>
      <c r="N16" s="60">
        <f t="shared" si="3"/>
        <v>35</v>
      </c>
      <c r="O16" s="60">
        <v>13</v>
      </c>
      <c r="P16" s="60">
        <f t="shared" si="4"/>
        <v>13</v>
      </c>
      <c r="Q16" s="60"/>
      <c r="R16" s="60"/>
      <c r="S16" s="60"/>
      <c r="T16" s="60"/>
      <c r="U16" s="60">
        <v>7</v>
      </c>
      <c r="V16" s="60">
        <f t="shared" si="6"/>
        <v>7</v>
      </c>
      <c r="W16" s="60">
        <v>4</v>
      </c>
      <c r="X16" s="60">
        <f t="shared" si="7"/>
        <v>4</v>
      </c>
      <c r="Y16" s="60">
        <v>10</v>
      </c>
      <c r="Z16" s="60">
        <f t="shared" si="8"/>
        <v>10</v>
      </c>
      <c r="AA16" s="60">
        <v>9</v>
      </c>
      <c r="AB16" s="60">
        <f t="shared" si="13"/>
        <v>9</v>
      </c>
      <c r="AC16" s="60">
        <v>2</v>
      </c>
      <c r="AD16" s="60">
        <f t="shared" si="9"/>
        <v>2</v>
      </c>
      <c r="AE16" s="60">
        <f t="shared" si="10"/>
        <v>148</v>
      </c>
      <c r="AF16" s="61">
        <f t="shared" si="11"/>
        <v>148</v>
      </c>
    </row>
    <row r="17" spans="1:32" ht="20.100000000000001" customHeight="1">
      <c r="A17" s="63">
        <v>12</v>
      </c>
      <c r="B17" s="63" t="s">
        <v>28</v>
      </c>
      <c r="C17" s="63" t="s">
        <v>17</v>
      </c>
      <c r="D17" s="63">
        <v>1</v>
      </c>
      <c r="E17" s="63" t="s">
        <v>15</v>
      </c>
      <c r="F17" s="63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1"/>
    </row>
    <row r="18" spans="1:32" ht="20.100000000000001" customHeight="1">
      <c r="A18" s="63">
        <v>13</v>
      </c>
      <c r="B18" s="63" t="s">
        <v>29</v>
      </c>
      <c r="C18" s="63" t="s">
        <v>17</v>
      </c>
      <c r="D18" s="63">
        <v>0.6</v>
      </c>
      <c r="E18" s="63" t="s">
        <v>15</v>
      </c>
      <c r="F18" s="63">
        <v>1090</v>
      </c>
      <c r="G18" s="60">
        <v>30</v>
      </c>
      <c r="H18" s="60">
        <f t="shared" si="0"/>
        <v>18</v>
      </c>
      <c r="I18" s="60">
        <v>6</v>
      </c>
      <c r="J18" s="60">
        <f t="shared" si="1"/>
        <v>3.5999999999999996</v>
      </c>
      <c r="K18" s="60">
        <v>116</v>
      </c>
      <c r="L18" s="60">
        <f t="shared" si="2"/>
        <v>69.599999999999994</v>
      </c>
      <c r="M18" s="60">
        <v>4</v>
      </c>
      <c r="N18" s="60">
        <f t="shared" si="3"/>
        <v>2.4</v>
      </c>
      <c r="O18" s="60">
        <v>11</v>
      </c>
      <c r="P18" s="60">
        <f t="shared" si="4"/>
        <v>6.6</v>
      </c>
      <c r="Q18" s="60">
        <v>4</v>
      </c>
      <c r="R18" s="60">
        <f t="shared" si="12"/>
        <v>2.4</v>
      </c>
      <c r="S18" s="60"/>
      <c r="T18" s="60"/>
      <c r="U18" s="60">
        <v>1</v>
      </c>
      <c r="V18" s="60">
        <f t="shared" si="6"/>
        <v>0.6</v>
      </c>
      <c r="W18" s="60">
        <v>10</v>
      </c>
      <c r="X18" s="60">
        <f t="shared" si="7"/>
        <v>6</v>
      </c>
      <c r="Y18" s="60"/>
      <c r="Z18" s="60"/>
      <c r="AA18" s="60"/>
      <c r="AB18" s="60"/>
      <c r="AC18" s="60">
        <v>2</v>
      </c>
      <c r="AD18" s="60">
        <f t="shared" si="9"/>
        <v>1.2</v>
      </c>
      <c r="AE18" s="60">
        <f t="shared" si="10"/>
        <v>184</v>
      </c>
      <c r="AF18" s="61">
        <f t="shared" si="11"/>
        <v>110.39999999999999</v>
      </c>
    </row>
    <row r="19" spans="1:32" ht="20.100000000000001" customHeight="1">
      <c r="A19" s="63">
        <v>14</v>
      </c>
      <c r="B19" s="63" t="s">
        <v>30</v>
      </c>
      <c r="C19" s="63" t="s">
        <v>17</v>
      </c>
      <c r="D19" s="63">
        <v>0.6</v>
      </c>
      <c r="E19" s="63" t="s">
        <v>15</v>
      </c>
      <c r="F19" s="63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1"/>
    </row>
    <row r="20" spans="1:32" ht="20.100000000000001" customHeight="1">
      <c r="A20" s="63">
        <v>15</v>
      </c>
      <c r="B20" s="63" t="s">
        <v>31</v>
      </c>
      <c r="C20" s="63" t="s">
        <v>17</v>
      </c>
      <c r="D20" s="63">
        <v>0.35</v>
      </c>
      <c r="E20" s="63" t="s">
        <v>21</v>
      </c>
      <c r="F20" s="63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1"/>
    </row>
    <row r="21" spans="1:32" ht="20.100000000000001" customHeight="1">
      <c r="A21" s="63">
        <v>16</v>
      </c>
      <c r="B21" s="63" t="s">
        <v>32</v>
      </c>
      <c r="C21" s="63" t="s">
        <v>17</v>
      </c>
      <c r="D21" s="63">
        <v>0.35</v>
      </c>
      <c r="E21" s="63" t="s">
        <v>21</v>
      </c>
      <c r="F21" s="63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1"/>
    </row>
    <row r="22" spans="1:32" ht="20.100000000000001" customHeight="1">
      <c r="A22" s="63">
        <v>17</v>
      </c>
      <c r="B22" s="63" t="s">
        <v>33</v>
      </c>
      <c r="C22" s="63" t="s">
        <v>14</v>
      </c>
      <c r="D22" s="63">
        <v>0.64</v>
      </c>
      <c r="E22" s="63" t="s">
        <v>25</v>
      </c>
      <c r="F22" s="63">
        <v>1230</v>
      </c>
      <c r="G22" s="60">
        <v>6</v>
      </c>
      <c r="H22" s="60">
        <f t="shared" si="0"/>
        <v>3.84</v>
      </c>
      <c r="I22" s="60">
        <v>1</v>
      </c>
      <c r="J22" s="60">
        <f t="shared" si="1"/>
        <v>0.64</v>
      </c>
      <c r="K22" s="60"/>
      <c r="L22" s="60"/>
      <c r="M22" s="60">
        <v>9</v>
      </c>
      <c r="N22" s="60">
        <f t="shared" si="3"/>
        <v>5.76</v>
      </c>
      <c r="O22" s="60">
        <v>19</v>
      </c>
      <c r="P22" s="60">
        <f t="shared" si="4"/>
        <v>12.16</v>
      </c>
      <c r="Q22" s="60">
        <v>3</v>
      </c>
      <c r="R22" s="60">
        <f t="shared" si="12"/>
        <v>1.92</v>
      </c>
      <c r="S22" s="60"/>
      <c r="T22" s="60"/>
      <c r="U22" s="60">
        <v>5</v>
      </c>
      <c r="V22" s="60">
        <f t="shared" si="6"/>
        <v>3.2</v>
      </c>
      <c r="W22" s="60">
        <v>2</v>
      </c>
      <c r="X22" s="60">
        <f t="shared" si="7"/>
        <v>1.28</v>
      </c>
      <c r="Y22" s="60">
        <v>16</v>
      </c>
      <c r="Z22" s="60">
        <f t="shared" si="8"/>
        <v>10.24</v>
      </c>
      <c r="AA22" s="60">
        <v>12</v>
      </c>
      <c r="AB22" s="60">
        <f t="shared" si="13"/>
        <v>7.68</v>
      </c>
      <c r="AC22" s="60">
        <v>11</v>
      </c>
      <c r="AD22" s="60">
        <f t="shared" si="9"/>
        <v>7.04</v>
      </c>
      <c r="AE22" s="60">
        <f t="shared" si="10"/>
        <v>84</v>
      </c>
      <c r="AF22" s="61">
        <f t="shared" si="11"/>
        <v>53.76</v>
      </c>
    </row>
    <row r="23" spans="1:32" ht="20.100000000000001" customHeight="1">
      <c r="A23" s="63">
        <v>18</v>
      </c>
      <c r="B23" s="63" t="s">
        <v>34</v>
      </c>
      <c r="C23" s="63" t="s">
        <v>14</v>
      </c>
      <c r="D23" s="63">
        <v>0.64</v>
      </c>
      <c r="E23" s="63" t="s">
        <v>25</v>
      </c>
      <c r="F23" s="63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1"/>
    </row>
    <row r="24" spans="1:32" ht="20.100000000000001" customHeight="1">
      <c r="A24" s="63">
        <v>19</v>
      </c>
      <c r="B24" s="63" t="s">
        <v>35</v>
      </c>
      <c r="C24" s="63" t="s">
        <v>14</v>
      </c>
      <c r="D24" s="63">
        <v>0.64</v>
      </c>
      <c r="E24" s="63" t="s">
        <v>25</v>
      </c>
      <c r="F24" s="63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1"/>
    </row>
    <row r="25" spans="1:32" ht="20.100000000000001" customHeight="1">
      <c r="A25" s="63"/>
      <c r="B25" s="63"/>
      <c r="C25" s="63"/>
      <c r="D25" s="63"/>
      <c r="E25" s="63"/>
      <c r="F25" s="63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1"/>
    </row>
    <row r="26" spans="1:32" ht="20.100000000000001" customHeight="1">
      <c r="A26" s="63">
        <v>20</v>
      </c>
      <c r="B26" s="63" t="s">
        <v>36</v>
      </c>
      <c r="C26" s="63" t="s">
        <v>17</v>
      </c>
      <c r="D26" s="63">
        <v>1</v>
      </c>
      <c r="E26" s="63" t="s">
        <v>24</v>
      </c>
      <c r="F26" s="63">
        <v>1900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1"/>
    </row>
    <row r="27" spans="1:32" ht="20.100000000000001" customHeight="1">
      <c r="A27" s="63">
        <v>21</v>
      </c>
      <c r="B27" s="63" t="s">
        <v>37</v>
      </c>
      <c r="C27" s="63" t="s">
        <v>17</v>
      </c>
      <c r="D27" s="63">
        <v>0.6</v>
      </c>
      <c r="E27" s="63" t="s">
        <v>38</v>
      </c>
      <c r="F27" s="63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1"/>
    </row>
    <row r="28" spans="1:32" ht="20.100000000000001" customHeight="1">
      <c r="A28" s="63">
        <v>22</v>
      </c>
      <c r="B28" s="63" t="s">
        <v>39</v>
      </c>
      <c r="C28" s="63" t="s">
        <v>14</v>
      </c>
      <c r="D28" s="63">
        <v>0.64</v>
      </c>
      <c r="E28" s="63" t="s">
        <v>25</v>
      </c>
      <c r="F28" s="63">
        <v>1500</v>
      </c>
      <c r="G28" s="60">
        <v>19</v>
      </c>
      <c r="H28" s="60">
        <f t="shared" si="0"/>
        <v>12.16</v>
      </c>
      <c r="I28" s="60">
        <v>1</v>
      </c>
      <c r="J28" s="60">
        <f t="shared" si="1"/>
        <v>0.64</v>
      </c>
      <c r="K28" s="60">
        <v>11</v>
      </c>
      <c r="L28" s="60">
        <f t="shared" si="2"/>
        <v>7.04</v>
      </c>
      <c r="M28" s="60">
        <v>5</v>
      </c>
      <c r="N28" s="60">
        <f t="shared" si="3"/>
        <v>3.2</v>
      </c>
      <c r="O28" s="60">
        <v>47</v>
      </c>
      <c r="P28" s="60">
        <f t="shared" si="4"/>
        <v>30.080000000000002</v>
      </c>
      <c r="Q28" s="60">
        <v>25</v>
      </c>
      <c r="R28" s="60">
        <f t="shared" si="12"/>
        <v>16</v>
      </c>
      <c r="S28" s="60">
        <v>32</v>
      </c>
      <c r="T28" s="60">
        <f t="shared" si="5"/>
        <v>20.48</v>
      </c>
      <c r="U28" s="60">
        <v>55</v>
      </c>
      <c r="V28" s="60">
        <f t="shared" si="6"/>
        <v>35.200000000000003</v>
      </c>
      <c r="W28" s="60">
        <v>47</v>
      </c>
      <c r="X28" s="60">
        <f t="shared" si="7"/>
        <v>30.080000000000002</v>
      </c>
      <c r="Y28" s="60">
        <v>51</v>
      </c>
      <c r="Z28" s="60">
        <f t="shared" si="8"/>
        <v>32.64</v>
      </c>
      <c r="AA28" s="60">
        <v>20</v>
      </c>
      <c r="AB28" s="60">
        <f t="shared" si="13"/>
        <v>12.8</v>
      </c>
      <c r="AC28" s="60">
        <v>27</v>
      </c>
      <c r="AD28" s="60">
        <f t="shared" si="9"/>
        <v>17.28</v>
      </c>
      <c r="AE28" s="60">
        <f t="shared" si="10"/>
        <v>340</v>
      </c>
      <c r="AF28" s="61">
        <f t="shared" si="11"/>
        <v>217.6</v>
      </c>
    </row>
    <row r="29" spans="1:32" ht="20.100000000000001" customHeight="1">
      <c r="A29" s="63">
        <v>23</v>
      </c>
      <c r="B29" s="63" t="s">
        <v>40</v>
      </c>
      <c r="C29" s="63" t="s">
        <v>14</v>
      </c>
      <c r="D29" s="63">
        <v>0.64</v>
      </c>
      <c r="E29" s="63" t="s">
        <v>25</v>
      </c>
      <c r="F29" s="63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1"/>
    </row>
    <row r="30" spans="1:32" ht="20.100000000000001" customHeight="1">
      <c r="A30" s="63"/>
      <c r="B30" s="63"/>
      <c r="C30" s="63"/>
      <c r="D30" s="63"/>
      <c r="E30" s="63"/>
      <c r="F30" s="63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1"/>
    </row>
    <row r="31" spans="1:32" ht="20.100000000000001" customHeight="1">
      <c r="A31" s="63">
        <v>24</v>
      </c>
      <c r="B31" s="63" t="s">
        <v>41</v>
      </c>
      <c r="C31" s="63" t="s">
        <v>17</v>
      </c>
      <c r="D31" s="63">
        <v>1</v>
      </c>
      <c r="E31" s="63" t="s">
        <v>15</v>
      </c>
      <c r="F31" s="63">
        <v>1580</v>
      </c>
      <c r="G31" s="60">
        <v>5</v>
      </c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>
        <f t="shared" si="10"/>
        <v>5</v>
      </c>
      <c r="AF31" s="61">
        <f t="shared" si="11"/>
        <v>5</v>
      </c>
    </row>
    <row r="32" spans="1:32" ht="20.100000000000001" customHeight="1">
      <c r="A32" s="63">
        <v>25</v>
      </c>
      <c r="B32" s="63" t="s">
        <v>42</v>
      </c>
      <c r="C32" s="63" t="s">
        <v>17</v>
      </c>
      <c r="D32" s="63">
        <v>1</v>
      </c>
      <c r="E32" s="63" t="s">
        <v>15</v>
      </c>
      <c r="F32" s="63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1"/>
    </row>
    <row r="33" spans="1:32" ht="20.100000000000001" customHeight="1">
      <c r="A33" s="63">
        <v>26</v>
      </c>
      <c r="B33" s="63" t="s">
        <v>43</v>
      </c>
      <c r="C33" s="63" t="s">
        <v>17</v>
      </c>
      <c r="D33" s="63">
        <v>0.6</v>
      </c>
      <c r="E33" s="63" t="s">
        <v>15</v>
      </c>
      <c r="F33" s="63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1"/>
    </row>
    <row r="34" spans="1:32" ht="20.100000000000001" customHeight="1">
      <c r="A34" s="63">
        <v>27</v>
      </c>
      <c r="B34" s="63" t="s">
        <v>44</v>
      </c>
      <c r="C34" s="63" t="s">
        <v>17</v>
      </c>
      <c r="D34" s="63">
        <v>0.6</v>
      </c>
      <c r="E34" s="63" t="s">
        <v>15</v>
      </c>
      <c r="F34" s="63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1"/>
    </row>
    <row r="35" spans="1:32" ht="20.100000000000001" customHeight="1">
      <c r="A35" s="63">
        <v>28</v>
      </c>
      <c r="B35" s="63" t="s">
        <v>45</v>
      </c>
      <c r="C35" s="63" t="s">
        <v>17</v>
      </c>
      <c r="D35" s="63">
        <v>0.35</v>
      </c>
      <c r="E35" s="63" t="s">
        <v>21</v>
      </c>
      <c r="F35" s="63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1"/>
    </row>
    <row r="36" spans="1:32" ht="20.100000000000001" customHeight="1">
      <c r="A36" s="63">
        <v>29</v>
      </c>
      <c r="B36" s="63" t="s">
        <v>46</v>
      </c>
      <c r="C36" s="63" t="s">
        <v>14</v>
      </c>
      <c r="D36" s="63">
        <v>0.7</v>
      </c>
      <c r="E36" s="63" t="s">
        <v>15</v>
      </c>
      <c r="F36" s="63">
        <v>1700</v>
      </c>
      <c r="G36" s="60">
        <v>19</v>
      </c>
      <c r="H36" s="60">
        <f t="shared" si="0"/>
        <v>13.299999999999999</v>
      </c>
      <c r="I36" s="60">
        <v>34</v>
      </c>
      <c r="J36" s="60">
        <f t="shared" si="1"/>
        <v>23.799999999999997</v>
      </c>
      <c r="K36" s="60">
        <v>6</v>
      </c>
      <c r="L36" s="60">
        <f t="shared" si="2"/>
        <v>4.1999999999999993</v>
      </c>
      <c r="M36" s="60">
        <v>2</v>
      </c>
      <c r="N36" s="60">
        <f t="shared" si="3"/>
        <v>1.4</v>
      </c>
      <c r="O36" s="60">
        <v>26</v>
      </c>
      <c r="P36" s="60">
        <f t="shared" si="4"/>
        <v>18.2</v>
      </c>
      <c r="Q36" s="60">
        <v>11</v>
      </c>
      <c r="R36" s="60">
        <f t="shared" si="12"/>
        <v>7.6999999999999993</v>
      </c>
      <c r="S36" s="60">
        <v>21</v>
      </c>
      <c r="T36" s="60">
        <f t="shared" si="5"/>
        <v>14.7</v>
      </c>
      <c r="U36" s="60">
        <v>23</v>
      </c>
      <c r="V36" s="60">
        <f t="shared" si="6"/>
        <v>16.099999999999998</v>
      </c>
      <c r="W36" s="60">
        <v>12</v>
      </c>
      <c r="X36" s="60">
        <f t="shared" si="7"/>
        <v>8.3999999999999986</v>
      </c>
      <c r="Y36" s="60">
        <v>17</v>
      </c>
      <c r="Z36" s="60">
        <f t="shared" si="8"/>
        <v>11.899999999999999</v>
      </c>
      <c r="AA36" s="60">
        <v>2</v>
      </c>
      <c r="AB36" s="60">
        <f t="shared" si="13"/>
        <v>1.4</v>
      </c>
      <c r="AC36" s="60">
        <v>21</v>
      </c>
      <c r="AD36" s="60">
        <f t="shared" si="9"/>
        <v>14.7</v>
      </c>
      <c r="AE36" s="60">
        <f t="shared" si="10"/>
        <v>194</v>
      </c>
      <c r="AF36" s="61">
        <f t="shared" si="11"/>
        <v>135.79999999999998</v>
      </c>
    </row>
    <row r="37" spans="1:32" ht="20.100000000000001" customHeight="1">
      <c r="A37" s="63">
        <v>30</v>
      </c>
      <c r="B37" s="63" t="s">
        <v>47</v>
      </c>
      <c r="C37" s="63" t="s">
        <v>14</v>
      </c>
      <c r="D37" s="63">
        <v>0.7</v>
      </c>
      <c r="E37" s="63" t="s">
        <v>15</v>
      </c>
      <c r="F37" s="63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1"/>
    </row>
    <row r="38" spans="1:32" ht="20.100000000000001" customHeight="1">
      <c r="A38" s="63">
        <v>31</v>
      </c>
      <c r="B38" s="63" t="s">
        <v>48</v>
      </c>
      <c r="C38" s="63" t="s">
        <v>14</v>
      </c>
      <c r="D38" s="63">
        <v>0.68</v>
      </c>
      <c r="E38" s="63" t="s">
        <v>15</v>
      </c>
      <c r="F38" s="63">
        <v>1500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1"/>
    </row>
    <row r="39" spans="1:32" ht="20.100000000000001" customHeight="1">
      <c r="A39" s="63">
        <v>32</v>
      </c>
      <c r="B39" s="63" t="s">
        <v>48</v>
      </c>
      <c r="C39" s="63" t="s">
        <v>14</v>
      </c>
      <c r="D39" s="63">
        <v>0.64</v>
      </c>
      <c r="E39" s="63" t="s">
        <v>15</v>
      </c>
      <c r="F39" s="63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1"/>
    </row>
    <row r="40" spans="1:32" ht="20.100000000000001" customHeight="1">
      <c r="A40" s="63">
        <v>33</v>
      </c>
      <c r="B40" s="63" t="s">
        <v>49</v>
      </c>
      <c r="C40" s="63" t="s">
        <v>14</v>
      </c>
      <c r="D40" s="63">
        <v>0.64</v>
      </c>
      <c r="E40" s="63" t="s">
        <v>25</v>
      </c>
      <c r="F40" s="63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1"/>
    </row>
    <row r="41" spans="1:32" ht="20.100000000000001" customHeight="1">
      <c r="A41" s="63">
        <v>34</v>
      </c>
      <c r="B41" s="63" t="s">
        <v>47</v>
      </c>
      <c r="C41" s="63" t="s">
        <v>14</v>
      </c>
      <c r="D41" s="63">
        <v>0.64</v>
      </c>
      <c r="E41" s="63" t="s">
        <v>25</v>
      </c>
      <c r="F41" s="63">
        <v>1230</v>
      </c>
      <c r="G41" s="60">
        <v>10</v>
      </c>
      <c r="H41" s="60">
        <f t="shared" si="0"/>
        <v>6.4</v>
      </c>
      <c r="I41" s="60">
        <v>23</v>
      </c>
      <c r="J41" s="60">
        <f t="shared" si="1"/>
        <v>14.72</v>
      </c>
      <c r="K41" s="60">
        <v>32</v>
      </c>
      <c r="L41" s="60">
        <f t="shared" si="2"/>
        <v>20.48</v>
      </c>
      <c r="M41" s="60">
        <v>16</v>
      </c>
      <c r="N41" s="60">
        <f t="shared" si="3"/>
        <v>10.24</v>
      </c>
      <c r="O41" s="60">
        <v>17</v>
      </c>
      <c r="P41" s="60">
        <f t="shared" si="4"/>
        <v>10.88</v>
      </c>
      <c r="Q41" s="60">
        <v>2</v>
      </c>
      <c r="R41" s="60">
        <f t="shared" si="12"/>
        <v>1.28</v>
      </c>
      <c r="S41" s="60">
        <v>6</v>
      </c>
      <c r="T41" s="60">
        <f t="shared" si="5"/>
        <v>3.84</v>
      </c>
      <c r="U41" s="60">
        <v>12</v>
      </c>
      <c r="V41" s="60">
        <f t="shared" si="6"/>
        <v>7.68</v>
      </c>
      <c r="W41" s="60">
        <v>4</v>
      </c>
      <c r="X41" s="60">
        <f t="shared" si="7"/>
        <v>2.56</v>
      </c>
      <c r="Y41" s="60">
        <v>13</v>
      </c>
      <c r="Z41" s="60">
        <f t="shared" si="8"/>
        <v>8.32</v>
      </c>
      <c r="AA41" s="60">
        <v>14</v>
      </c>
      <c r="AB41" s="60">
        <f t="shared" si="13"/>
        <v>8.9600000000000009</v>
      </c>
      <c r="AC41" s="60"/>
      <c r="AD41" s="60"/>
      <c r="AE41" s="60">
        <f t="shared" si="10"/>
        <v>149</v>
      </c>
      <c r="AF41" s="61">
        <f t="shared" si="11"/>
        <v>95.36</v>
      </c>
    </row>
    <row r="42" spans="1:32" ht="20.100000000000001" customHeight="1">
      <c r="A42" s="63">
        <v>35</v>
      </c>
      <c r="B42" s="63" t="s">
        <v>47</v>
      </c>
      <c r="C42" s="63" t="s">
        <v>14</v>
      </c>
      <c r="D42" s="63">
        <v>0.64</v>
      </c>
      <c r="E42" s="63" t="s">
        <v>24</v>
      </c>
      <c r="F42" s="63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1"/>
    </row>
    <row r="43" spans="1:32" ht="20.100000000000001" customHeight="1">
      <c r="A43" s="63">
        <v>36</v>
      </c>
      <c r="B43" s="63" t="s">
        <v>50</v>
      </c>
      <c r="C43" s="63" t="s">
        <v>14</v>
      </c>
      <c r="D43" s="63">
        <v>0.68</v>
      </c>
      <c r="E43" s="63" t="s">
        <v>25</v>
      </c>
      <c r="F43" s="63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1"/>
    </row>
    <row r="44" spans="1:32" ht="20.100000000000001" customHeight="1">
      <c r="A44" s="63">
        <v>37</v>
      </c>
      <c r="B44" s="63" t="s">
        <v>50</v>
      </c>
      <c r="C44" s="63" t="s">
        <v>14</v>
      </c>
      <c r="D44" s="63">
        <v>0.64</v>
      </c>
      <c r="E44" s="63" t="s">
        <v>25</v>
      </c>
      <c r="F44" s="63">
        <v>1500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1"/>
    </row>
    <row r="45" spans="1:32" ht="20.100000000000001" customHeight="1">
      <c r="A45" s="63">
        <v>38</v>
      </c>
      <c r="B45" s="63" t="s">
        <v>51</v>
      </c>
      <c r="C45" s="63" t="s">
        <v>14</v>
      </c>
      <c r="D45" s="63">
        <v>0.64</v>
      </c>
      <c r="E45" s="63" t="s">
        <v>25</v>
      </c>
      <c r="F45" s="63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1"/>
    </row>
    <row r="46" spans="1:32" ht="20.100000000000001" customHeight="1">
      <c r="A46" s="63">
        <v>39</v>
      </c>
      <c r="B46" s="63" t="s">
        <v>51</v>
      </c>
      <c r="C46" s="63" t="s">
        <v>14</v>
      </c>
      <c r="D46" s="63">
        <v>0.64</v>
      </c>
      <c r="E46" s="63" t="s">
        <v>25</v>
      </c>
      <c r="F46" s="63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1"/>
    </row>
    <row r="47" spans="1:32" ht="20.100000000000001" customHeight="1">
      <c r="A47" s="63">
        <v>40</v>
      </c>
      <c r="B47" s="63" t="s">
        <v>51</v>
      </c>
      <c r="C47" s="63" t="s">
        <v>14</v>
      </c>
      <c r="D47" s="63">
        <v>0.64</v>
      </c>
      <c r="E47" s="63" t="s">
        <v>25</v>
      </c>
      <c r="F47" s="63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1"/>
    </row>
    <row r="48" spans="1:32" ht="20.100000000000001" customHeight="1">
      <c r="A48" s="63"/>
      <c r="B48" s="63"/>
      <c r="C48" s="63"/>
      <c r="D48" s="63"/>
      <c r="E48" s="63"/>
      <c r="F48" s="63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1"/>
    </row>
    <row r="49" spans="1:32" ht="20.100000000000001" customHeight="1">
      <c r="A49" s="63">
        <v>41</v>
      </c>
      <c r="B49" s="63" t="s">
        <v>52</v>
      </c>
      <c r="C49" s="63" t="s">
        <v>17</v>
      </c>
      <c r="D49" s="63">
        <v>1</v>
      </c>
      <c r="E49" s="63" t="s">
        <v>15</v>
      </c>
      <c r="F49" s="63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1"/>
    </row>
    <row r="50" spans="1:32" ht="20.100000000000001" customHeight="1">
      <c r="A50" s="63">
        <v>42</v>
      </c>
      <c r="B50" s="63" t="s">
        <v>52</v>
      </c>
      <c r="C50" s="63" t="s">
        <v>17</v>
      </c>
      <c r="D50" s="63">
        <v>1</v>
      </c>
      <c r="E50" s="63" t="s">
        <v>24</v>
      </c>
      <c r="F50" s="63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1"/>
    </row>
    <row r="51" spans="1:32" ht="20.100000000000001" customHeight="1">
      <c r="A51" s="63">
        <v>43</v>
      </c>
      <c r="B51" s="63" t="s">
        <v>53</v>
      </c>
      <c r="C51" s="63" t="s">
        <v>14</v>
      </c>
      <c r="D51" s="63">
        <v>0.64</v>
      </c>
      <c r="E51" s="63" t="s">
        <v>25</v>
      </c>
      <c r="F51" s="63">
        <v>1270</v>
      </c>
      <c r="G51" s="60">
        <v>26</v>
      </c>
      <c r="H51" s="60">
        <f t="shared" si="0"/>
        <v>16.64</v>
      </c>
      <c r="I51" s="60">
        <v>15</v>
      </c>
      <c r="J51" s="60">
        <f t="shared" si="1"/>
        <v>9.6</v>
      </c>
      <c r="K51" s="60">
        <v>36</v>
      </c>
      <c r="L51" s="60">
        <f t="shared" si="2"/>
        <v>23.04</v>
      </c>
      <c r="M51" s="60">
        <v>20</v>
      </c>
      <c r="N51" s="60">
        <f t="shared" si="3"/>
        <v>12.8</v>
      </c>
      <c r="O51" s="60">
        <v>31</v>
      </c>
      <c r="P51" s="60">
        <f t="shared" si="4"/>
        <v>19.84</v>
      </c>
      <c r="Q51" s="60">
        <v>31</v>
      </c>
      <c r="R51" s="60">
        <f t="shared" si="12"/>
        <v>19.84</v>
      </c>
      <c r="S51" s="60">
        <v>18</v>
      </c>
      <c r="T51" s="60">
        <f t="shared" si="5"/>
        <v>11.52</v>
      </c>
      <c r="U51" s="60">
        <v>24</v>
      </c>
      <c r="V51" s="60">
        <f t="shared" si="6"/>
        <v>15.36</v>
      </c>
      <c r="W51" s="60">
        <v>12</v>
      </c>
      <c r="X51" s="60">
        <f t="shared" si="7"/>
        <v>7.68</v>
      </c>
      <c r="Y51" s="60">
        <v>8</v>
      </c>
      <c r="Z51" s="60">
        <f t="shared" si="8"/>
        <v>5.12</v>
      </c>
      <c r="AA51" s="60">
        <v>11</v>
      </c>
      <c r="AB51" s="60">
        <f t="shared" si="13"/>
        <v>7.04</v>
      </c>
      <c r="AC51" s="60">
        <v>21</v>
      </c>
      <c r="AD51" s="60">
        <f t="shared" si="9"/>
        <v>13.44</v>
      </c>
      <c r="AE51" s="60">
        <f t="shared" si="10"/>
        <v>253</v>
      </c>
      <c r="AF51" s="61">
        <f t="shared" si="11"/>
        <v>161.92000000000002</v>
      </c>
    </row>
    <row r="52" spans="1:32" ht="20.100000000000001" customHeight="1">
      <c r="A52" s="63">
        <v>44</v>
      </c>
      <c r="B52" s="63" t="s">
        <v>53</v>
      </c>
      <c r="C52" s="63" t="s">
        <v>14</v>
      </c>
      <c r="D52" s="63">
        <v>0.64</v>
      </c>
      <c r="E52" s="63" t="s">
        <v>24</v>
      </c>
      <c r="F52" s="63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1"/>
    </row>
    <row r="53" spans="1:32" ht="20.100000000000001" customHeight="1">
      <c r="A53" s="63"/>
      <c r="B53" s="63"/>
      <c r="C53" s="63"/>
      <c r="D53" s="63"/>
      <c r="E53" s="63"/>
      <c r="F53" s="63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1"/>
    </row>
    <row r="54" spans="1:32" ht="20.100000000000001" customHeight="1">
      <c r="A54" s="63"/>
      <c r="B54" s="63"/>
      <c r="C54" s="63"/>
      <c r="D54" s="63"/>
      <c r="E54" s="63"/>
      <c r="F54" s="63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1"/>
    </row>
    <row r="55" spans="1:32" ht="20.100000000000001" customHeight="1">
      <c r="A55" s="63">
        <v>45</v>
      </c>
      <c r="B55" s="63" t="s">
        <v>54</v>
      </c>
      <c r="C55" s="63" t="s">
        <v>17</v>
      </c>
      <c r="D55" s="63">
        <v>1</v>
      </c>
      <c r="E55" s="63" t="s">
        <v>15</v>
      </c>
      <c r="F55" s="63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1"/>
    </row>
    <row r="56" spans="1:32" ht="20.100000000000001" customHeight="1">
      <c r="A56" s="63">
        <v>46</v>
      </c>
      <c r="B56" s="63" t="s">
        <v>55</v>
      </c>
      <c r="C56" s="63" t="s">
        <v>17</v>
      </c>
      <c r="D56" s="63">
        <v>0.6</v>
      </c>
      <c r="E56" s="63" t="s">
        <v>15</v>
      </c>
      <c r="F56" s="63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1"/>
    </row>
    <row r="57" spans="1:32" ht="20.100000000000001" customHeight="1">
      <c r="A57" s="63">
        <v>47</v>
      </c>
      <c r="B57" s="63" t="s">
        <v>56</v>
      </c>
      <c r="C57" s="63" t="s">
        <v>14</v>
      </c>
      <c r="D57" s="63">
        <v>0.64</v>
      </c>
      <c r="E57" s="63" t="s">
        <v>25</v>
      </c>
      <c r="F57" s="63">
        <v>1230</v>
      </c>
      <c r="G57" s="60"/>
      <c r="H57" s="60"/>
      <c r="I57" s="60">
        <v>2</v>
      </c>
      <c r="J57" s="60">
        <f t="shared" si="1"/>
        <v>1.28</v>
      </c>
      <c r="K57" s="60">
        <v>10</v>
      </c>
      <c r="L57" s="60">
        <f t="shared" si="2"/>
        <v>6.4</v>
      </c>
      <c r="M57" s="60">
        <v>13</v>
      </c>
      <c r="N57" s="60">
        <f t="shared" si="3"/>
        <v>8.32</v>
      </c>
      <c r="O57" s="60">
        <v>6</v>
      </c>
      <c r="P57" s="60">
        <f t="shared" si="4"/>
        <v>3.84</v>
      </c>
      <c r="Q57" s="60">
        <v>3</v>
      </c>
      <c r="R57" s="60">
        <f t="shared" si="12"/>
        <v>1.92</v>
      </c>
      <c r="S57" s="60">
        <v>40</v>
      </c>
      <c r="T57" s="60">
        <f t="shared" si="5"/>
        <v>25.6</v>
      </c>
      <c r="U57" s="60">
        <v>40</v>
      </c>
      <c r="V57" s="60">
        <f t="shared" si="6"/>
        <v>25.6</v>
      </c>
      <c r="W57" s="60">
        <v>9</v>
      </c>
      <c r="X57" s="60">
        <f t="shared" si="7"/>
        <v>5.76</v>
      </c>
      <c r="Y57" s="60">
        <v>8</v>
      </c>
      <c r="Z57" s="60">
        <f t="shared" si="8"/>
        <v>5.12</v>
      </c>
      <c r="AA57" s="60">
        <v>4</v>
      </c>
      <c r="AB57" s="60">
        <f t="shared" si="13"/>
        <v>2.56</v>
      </c>
      <c r="AC57" s="60">
        <v>17</v>
      </c>
      <c r="AD57" s="60">
        <f t="shared" si="9"/>
        <v>10.88</v>
      </c>
      <c r="AE57" s="60">
        <f t="shared" si="10"/>
        <v>152</v>
      </c>
      <c r="AF57" s="61">
        <f t="shared" si="11"/>
        <v>97.28</v>
      </c>
    </row>
    <row r="58" spans="1:32" ht="20.100000000000001" customHeight="1">
      <c r="A58" s="63">
        <v>48</v>
      </c>
      <c r="B58" s="63" t="s">
        <v>56</v>
      </c>
      <c r="C58" s="63" t="s">
        <v>14</v>
      </c>
      <c r="D58" s="63">
        <v>0.64</v>
      </c>
      <c r="E58" s="63" t="s">
        <v>24</v>
      </c>
      <c r="F58" s="63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1"/>
    </row>
    <row r="59" spans="1:32" ht="20.100000000000001" customHeight="1">
      <c r="A59" s="63"/>
      <c r="B59" s="63"/>
      <c r="C59" s="63"/>
      <c r="D59" s="63"/>
      <c r="E59" s="63"/>
      <c r="F59" s="63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1"/>
    </row>
    <row r="60" spans="1:32" ht="20.100000000000001" customHeight="1">
      <c r="A60" s="63">
        <v>49</v>
      </c>
      <c r="B60" s="63" t="s">
        <v>57</v>
      </c>
      <c r="C60" s="63" t="s">
        <v>17</v>
      </c>
      <c r="D60" s="63">
        <v>1</v>
      </c>
      <c r="E60" s="63" t="s">
        <v>15</v>
      </c>
      <c r="F60" s="63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1"/>
    </row>
    <row r="61" spans="1:32" ht="20.100000000000001" customHeight="1">
      <c r="A61" s="63">
        <v>50</v>
      </c>
      <c r="B61" s="64" t="s">
        <v>58</v>
      </c>
      <c r="C61" s="63"/>
      <c r="D61" s="63">
        <v>0.6</v>
      </c>
      <c r="E61" s="63"/>
      <c r="F61" s="63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/>
    </row>
    <row r="62" spans="1:32" ht="20.100000000000001" customHeight="1">
      <c r="A62" s="63">
        <v>51</v>
      </c>
      <c r="B62" s="63" t="s">
        <v>59</v>
      </c>
      <c r="C62" s="63" t="s">
        <v>17</v>
      </c>
      <c r="D62" s="63">
        <v>0.35</v>
      </c>
      <c r="E62" s="63" t="s">
        <v>21</v>
      </c>
      <c r="F62" s="63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/>
    </row>
    <row r="63" spans="1:32" ht="20.100000000000001" customHeight="1">
      <c r="A63" s="63">
        <v>52</v>
      </c>
      <c r="B63" s="63" t="s">
        <v>60</v>
      </c>
      <c r="C63" s="63" t="s">
        <v>14</v>
      </c>
      <c r="D63" s="63">
        <v>0.64</v>
      </c>
      <c r="E63" s="63" t="s">
        <v>25</v>
      </c>
      <c r="F63" s="63">
        <v>1250</v>
      </c>
      <c r="G63" s="60">
        <v>3</v>
      </c>
      <c r="H63" s="60">
        <f t="shared" si="0"/>
        <v>1.92</v>
      </c>
      <c r="I63" s="60">
        <v>4</v>
      </c>
      <c r="J63" s="60">
        <f t="shared" si="1"/>
        <v>2.56</v>
      </c>
      <c r="K63" s="60">
        <v>1</v>
      </c>
      <c r="L63" s="60">
        <f t="shared" si="2"/>
        <v>0.64</v>
      </c>
      <c r="M63" s="60">
        <v>3</v>
      </c>
      <c r="N63" s="60">
        <f t="shared" si="3"/>
        <v>1.92</v>
      </c>
      <c r="O63" s="60">
        <v>11</v>
      </c>
      <c r="P63" s="60">
        <f t="shared" si="4"/>
        <v>7.04</v>
      </c>
      <c r="Q63" s="60">
        <v>5</v>
      </c>
      <c r="R63" s="60">
        <f t="shared" si="12"/>
        <v>3.2</v>
      </c>
      <c r="S63" s="60"/>
      <c r="T63" s="60"/>
      <c r="U63" s="60">
        <v>8</v>
      </c>
      <c r="V63" s="60">
        <f t="shared" si="6"/>
        <v>5.12</v>
      </c>
      <c r="W63" s="60"/>
      <c r="X63" s="60"/>
      <c r="Y63" s="60">
        <v>2</v>
      </c>
      <c r="Z63" s="60">
        <f t="shared" si="8"/>
        <v>1.28</v>
      </c>
      <c r="AA63" s="60"/>
      <c r="AB63" s="60"/>
      <c r="AC63" s="60">
        <v>7</v>
      </c>
      <c r="AD63" s="60">
        <f t="shared" si="9"/>
        <v>4.4800000000000004</v>
      </c>
      <c r="AE63" s="60">
        <f t="shared" si="10"/>
        <v>44</v>
      </c>
      <c r="AF63" s="61">
        <f t="shared" si="11"/>
        <v>28.16</v>
      </c>
    </row>
    <row r="64" spans="1:32" ht="20.100000000000001" customHeight="1">
      <c r="A64" s="63">
        <v>53</v>
      </c>
      <c r="B64" s="63" t="s">
        <v>61</v>
      </c>
      <c r="C64" s="63" t="s">
        <v>14</v>
      </c>
      <c r="D64" s="63">
        <v>0.64</v>
      </c>
      <c r="E64" s="63" t="s">
        <v>25</v>
      </c>
      <c r="F64" s="63">
        <v>1180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1"/>
    </row>
    <row r="65" spans="1:32" ht="20.100000000000001" customHeight="1">
      <c r="A65" s="63"/>
      <c r="B65" s="63"/>
      <c r="C65" s="63"/>
      <c r="D65" s="63"/>
      <c r="E65" s="63"/>
      <c r="F65" s="63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1"/>
    </row>
    <row r="66" spans="1:32" ht="20.100000000000001" customHeight="1">
      <c r="A66" s="63">
        <v>54</v>
      </c>
      <c r="B66" s="63" t="s">
        <v>62</v>
      </c>
      <c r="C66" s="63" t="s">
        <v>17</v>
      </c>
      <c r="D66" s="63">
        <v>1</v>
      </c>
      <c r="E66" s="63" t="s">
        <v>15</v>
      </c>
      <c r="F66" s="63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1"/>
    </row>
    <row r="67" spans="1:32" ht="20.100000000000001" customHeight="1">
      <c r="A67" s="63">
        <v>55</v>
      </c>
      <c r="B67" s="63" t="s">
        <v>63</v>
      </c>
      <c r="C67" s="63" t="s">
        <v>17</v>
      </c>
      <c r="D67" s="63">
        <v>0.6</v>
      </c>
      <c r="E67" s="63" t="s">
        <v>15</v>
      </c>
      <c r="F67" s="63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1"/>
    </row>
    <row r="68" spans="1:32" ht="20.100000000000001" customHeight="1">
      <c r="A68" s="63">
        <v>56</v>
      </c>
      <c r="B68" s="63" t="s">
        <v>64</v>
      </c>
      <c r="C68" s="63" t="s">
        <v>14</v>
      </c>
      <c r="D68" s="63">
        <v>0.64</v>
      </c>
      <c r="E68" s="63" t="s">
        <v>25</v>
      </c>
      <c r="F68" s="63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1"/>
    </row>
    <row r="69" spans="1:32" ht="20.100000000000001" customHeight="1">
      <c r="A69" s="63"/>
      <c r="B69" s="63"/>
      <c r="C69" s="63"/>
      <c r="D69" s="63"/>
      <c r="E69" s="63"/>
      <c r="F69" s="63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/>
    </row>
    <row r="70" spans="1:32" ht="20.100000000000001" customHeight="1">
      <c r="A70" s="63">
        <v>57</v>
      </c>
      <c r="B70" s="63" t="s">
        <v>65</v>
      </c>
      <c r="C70" s="63" t="s">
        <v>17</v>
      </c>
      <c r="D70" s="63">
        <v>1</v>
      </c>
      <c r="E70" s="63" t="s">
        <v>15</v>
      </c>
      <c r="F70" s="63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1"/>
    </row>
    <row r="71" spans="1:32" ht="20.100000000000001" customHeight="1">
      <c r="A71" s="63">
        <v>58</v>
      </c>
      <c r="B71" s="63" t="s">
        <v>66</v>
      </c>
      <c r="C71" s="63" t="s">
        <v>17</v>
      </c>
      <c r="D71" s="63">
        <v>0.6</v>
      </c>
      <c r="E71" s="63" t="s">
        <v>15</v>
      </c>
      <c r="F71" s="63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1"/>
    </row>
    <row r="72" spans="1:32" ht="20.100000000000001" customHeight="1">
      <c r="A72" s="63">
        <v>59</v>
      </c>
      <c r="B72" s="63" t="s">
        <v>67</v>
      </c>
      <c r="C72" s="63" t="s">
        <v>14</v>
      </c>
      <c r="D72" s="63">
        <v>0.64</v>
      </c>
      <c r="E72" s="63" t="s">
        <v>25</v>
      </c>
      <c r="F72" s="63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1"/>
    </row>
    <row r="73" spans="1:32" ht="20.100000000000001" customHeight="1">
      <c r="A73" s="63"/>
      <c r="B73" s="63"/>
      <c r="C73" s="63"/>
      <c r="D73" s="63"/>
      <c r="E73" s="63"/>
      <c r="F73" s="63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1"/>
    </row>
    <row r="74" spans="1:32" ht="20.100000000000001" customHeight="1">
      <c r="A74" s="63">
        <v>60</v>
      </c>
      <c r="B74" s="63" t="s">
        <v>68</v>
      </c>
      <c r="C74" s="63" t="s">
        <v>14</v>
      </c>
      <c r="D74" s="63">
        <v>0.64</v>
      </c>
      <c r="E74" s="63" t="s">
        <v>25</v>
      </c>
      <c r="F74" s="63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1"/>
    </row>
    <row r="75" spans="1:32" ht="20.100000000000001" customHeight="1">
      <c r="A75" s="63">
        <v>61</v>
      </c>
      <c r="B75" s="63" t="s">
        <v>68</v>
      </c>
      <c r="C75" s="63" t="s">
        <v>14</v>
      </c>
      <c r="D75" s="63">
        <v>0.64</v>
      </c>
      <c r="E75" s="63" t="s">
        <v>24</v>
      </c>
      <c r="F75" s="63">
        <v>1230</v>
      </c>
      <c r="G75" s="60"/>
      <c r="H75" s="60"/>
      <c r="I75" s="60">
        <v>1</v>
      </c>
      <c r="J75" s="60">
        <f t="shared" ref="J75:J117" si="14">I75*D75</f>
        <v>0.64</v>
      </c>
      <c r="K75" s="60">
        <v>1</v>
      </c>
      <c r="L75" s="60">
        <f t="shared" ref="L75:L115" si="15">K75*D75</f>
        <v>0.64</v>
      </c>
      <c r="M75" s="60"/>
      <c r="N75" s="60"/>
      <c r="O75" s="60">
        <v>5</v>
      </c>
      <c r="P75" s="60">
        <f t="shared" ref="P75:P117" si="16">O75*D75</f>
        <v>3.2</v>
      </c>
      <c r="Q75" s="60">
        <v>2</v>
      </c>
      <c r="R75" s="60">
        <f t="shared" ref="R75:R117" si="17">Q75*D75</f>
        <v>1.28</v>
      </c>
      <c r="S75" s="60">
        <v>2</v>
      </c>
      <c r="T75" s="60">
        <f t="shared" ref="T75:T115" si="18">S75*D75</f>
        <v>1.28</v>
      </c>
      <c r="U75" s="60"/>
      <c r="V75" s="60"/>
      <c r="W75" s="60">
        <v>2</v>
      </c>
      <c r="X75" s="60">
        <f t="shared" ref="X75:X117" si="19">W75*D75</f>
        <v>1.28</v>
      </c>
      <c r="Y75" s="60">
        <v>3</v>
      </c>
      <c r="Z75" s="60">
        <f t="shared" ref="Z75:Z117" si="20">Y75*D75</f>
        <v>1.92</v>
      </c>
      <c r="AA75" s="60"/>
      <c r="AB75" s="60"/>
      <c r="AC75" s="60">
        <v>3</v>
      </c>
      <c r="AD75" s="60">
        <f t="shared" ref="AD75:AD115" si="21">AC75*D75</f>
        <v>1.92</v>
      </c>
      <c r="AE75" s="60">
        <f t="shared" ref="AE75:AE117" si="22">G75+I75+K75+M75+O75+Q75+S75+U75+W75+Y75+AA75+AC75</f>
        <v>19</v>
      </c>
      <c r="AF75" s="61">
        <f t="shared" ref="AF75:AF117" si="23">AE75*D75</f>
        <v>12.16</v>
      </c>
    </row>
    <row r="76" spans="1:32" ht="20.100000000000001" customHeight="1">
      <c r="A76" s="63"/>
      <c r="B76" s="63"/>
      <c r="C76" s="63"/>
      <c r="D76" s="63"/>
      <c r="E76" s="63"/>
      <c r="F76" s="63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1"/>
    </row>
    <row r="77" spans="1:32" ht="20.100000000000001" customHeight="1">
      <c r="A77" s="63">
        <v>62</v>
      </c>
      <c r="B77" s="63" t="s">
        <v>69</v>
      </c>
      <c r="C77" s="63" t="s">
        <v>14</v>
      </c>
      <c r="D77" s="63">
        <v>0.64</v>
      </c>
      <c r="E77" s="63" t="s">
        <v>25</v>
      </c>
      <c r="F77" s="63"/>
      <c r="G77" s="60"/>
      <c r="H77" s="60"/>
      <c r="I77" s="60"/>
      <c r="J77" s="60"/>
      <c r="K77" s="60">
        <v>1</v>
      </c>
      <c r="L77" s="60">
        <f t="shared" si="15"/>
        <v>0.64</v>
      </c>
      <c r="M77" s="60"/>
      <c r="N77" s="60"/>
      <c r="O77" s="60">
        <v>5</v>
      </c>
      <c r="P77" s="60">
        <f t="shared" si="16"/>
        <v>3.2</v>
      </c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>
        <f t="shared" si="22"/>
        <v>6</v>
      </c>
      <c r="AF77" s="61">
        <f t="shared" si="23"/>
        <v>3.84</v>
      </c>
    </row>
    <row r="78" spans="1:32" ht="20.100000000000001" customHeight="1">
      <c r="A78" s="63">
        <v>63</v>
      </c>
      <c r="B78" s="63" t="s">
        <v>69</v>
      </c>
      <c r="C78" s="63" t="s">
        <v>14</v>
      </c>
      <c r="D78" s="63">
        <v>0.64</v>
      </c>
      <c r="E78" s="63" t="s">
        <v>24</v>
      </c>
      <c r="F78" s="63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1"/>
    </row>
    <row r="79" spans="1:32" ht="20.100000000000001" customHeight="1">
      <c r="A79" s="63"/>
      <c r="B79" s="63"/>
      <c r="C79" s="63"/>
      <c r="D79" s="63"/>
      <c r="E79" s="63"/>
      <c r="F79" s="63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1"/>
    </row>
    <row r="80" spans="1:32" ht="20.100000000000001" customHeight="1">
      <c r="A80" s="63">
        <v>64</v>
      </c>
      <c r="B80" s="63" t="s">
        <v>70</v>
      </c>
      <c r="C80" s="63" t="s">
        <v>14</v>
      </c>
      <c r="D80" s="63">
        <v>0.64</v>
      </c>
      <c r="E80" s="63" t="s">
        <v>24</v>
      </c>
      <c r="F80" s="63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1"/>
    </row>
    <row r="81" spans="1:32" ht="20.100000000000001" customHeight="1">
      <c r="A81" s="63">
        <v>65</v>
      </c>
      <c r="B81" s="63" t="s">
        <v>71</v>
      </c>
      <c r="C81" s="63" t="s">
        <v>14</v>
      </c>
      <c r="D81" s="63">
        <v>0.64</v>
      </c>
      <c r="E81" s="63" t="s">
        <v>15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1"/>
    </row>
    <row r="82" spans="1:32" ht="20.100000000000001" customHeight="1">
      <c r="A82" s="63"/>
      <c r="B82" s="63"/>
      <c r="C82" s="63"/>
      <c r="D82" s="63"/>
      <c r="E82" s="63"/>
      <c r="F82" s="63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1"/>
    </row>
    <row r="83" spans="1:32" ht="20.100000000000001" customHeight="1">
      <c r="A83" s="63">
        <v>66</v>
      </c>
      <c r="B83" s="63" t="s">
        <v>72</v>
      </c>
      <c r="C83" s="63" t="s">
        <v>17</v>
      </c>
      <c r="D83" s="63">
        <v>1</v>
      </c>
      <c r="E83" s="63" t="s">
        <v>24</v>
      </c>
      <c r="F83" s="63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1"/>
    </row>
    <row r="84" spans="1:32" ht="20.100000000000001" customHeight="1">
      <c r="A84" s="63">
        <v>67</v>
      </c>
      <c r="B84" s="63" t="s">
        <v>73</v>
      </c>
      <c r="C84" s="63" t="s">
        <v>17</v>
      </c>
      <c r="D84" s="63">
        <v>1</v>
      </c>
      <c r="E84" s="63" t="s">
        <v>24</v>
      </c>
      <c r="F84" s="63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1"/>
    </row>
    <row r="85" spans="1:32" ht="20.100000000000001" customHeight="1">
      <c r="A85" s="63">
        <v>68</v>
      </c>
      <c r="B85" s="63" t="s">
        <v>74</v>
      </c>
      <c r="C85" s="63" t="s">
        <v>17</v>
      </c>
      <c r="D85" s="63">
        <v>1</v>
      </c>
      <c r="E85" s="63" t="s">
        <v>15</v>
      </c>
      <c r="F85" s="63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1"/>
    </row>
    <row r="86" spans="1:32" ht="20.100000000000001" customHeight="1">
      <c r="A86" s="63">
        <v>69</v>
      </c>
      <c r="B86" s="63" t="s">
        <v>75</v>
      </c>
      <c r="C86" s="63" t="s">
        <v>17</v>
      </c>
      <c r="D86" s="63">
        <v>0.6</v>
      </c>
      <c r="E86" s="63" t="s">
        <v>24</v>
      </c>
      <c r="F86" s="63">
        <v>875</v>
      </c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1"/>
    </row>
    <row r="87" spans="1:32" ht="20.100000000000001" customHeight="1">
      <c r="A87" s="63">
        <v>70</v>
      </c>
      <c r="B87" s="63" t="s">
        <v>76</v>
      </c>
      <c r="C87" s="63" t="s">
        <v>14</v>
      </c>
      <c r="D87" s="63">
        <v>0.64</v>
      </c>
      <c r="E87" s="63" t="s">
        <v>25</v>
      </c>
      <c r="F87" s="63">
        <v>1230</v>
      </c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>
        <v>4</v>
      </c>
      <c r="Z87" s="60">
        <f t="shared" si="20"/>
        <v>2.56</v>
      </c>
      <c r="AA87" s="60"/>
      <c r="AB87" s="60"/>
      <c r="AC87" s="60"/>
      <c r="AD87" s="60"/>
      <c r="AE87" s="60">
        <f t="shared" si="22"/>
        <v>4</v>
      </c>
      <c r="AF87" s="61">
        <f t="shared" si="23"/>
        <v>2.56</v>
      </c>
    </row>
    <row r="88" spans="1:32" ht="20.100000000000001" customHeight="1">
      <c r="A88" s="63"/>
      <c r="B88" s="63"/>
      <c r="C88" s="63"/>
      <c r="D88" s="63"/>
      <c r="E88" s="63"/>
      <c r="F88" s="63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1"/>
    </row>
    <row r="89" spans="1:32" ht="20.100000000000001" customHeight="1">
      <c r="A89" s="63">
        <v>71</v>
      </c>
      <c r="B89" s="63" t="s">
        <v>77</v>
      </c>
      <c r="C89" s="63" t="s">
        <v>17</v>
      </c>
      <c r="D89" s="63">
        <v>1</v>
      </c>
      <c r="E89" s="63" t="s">
        <v>24</v>
      </c>
      <c r="F89" s="63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/>
    </row>
    <row r="90" spans="1:32" ht="20.100000000000001" customHeight="1">
      <c r="A90" s="63">
        <v>72</v>
      </c>
      <c r="B90" s="63" t="s">
        <v>77</v>
      </c>
      <c r="C90" s="63" t="s">
        <v>17</v>
      </c>
      <c r="D90" s="63">
        <v>1</v>
      </c>
      <c r="E90" s="63" t="s">
        <v>15</v>
      </c>
      <c r="F90" s="63">
        <v>1170</v>
      </c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/>
    </row>
    <row r="91" spans="1:32" ht="20.100000000000001" customHeight="1">
      <c r="A91" s="63">
        <v>73</v>
      </c>
      <c r="B91" s="63" t="s">
        <v>78</v>
      </c>
      <c r="C91" s="63" t="s">
        <v>17</v>
      </c>
      <c r="D91" s="63">
        <v>0.6</v>
      </c>
      <c r="E91" s="63" t="s">
        <v>24</v>
      </c>
      <c r="F91" s="63">
        <v>865</v>
      </c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/>
    </row>
    <row r="92" spans="1:32" ht="20.100000000000001" customHeight="1">
      <c r="A92" s="63">
        <v>74</v>
      </c>
      <c r="B92" s="63" t="s">
        <v>79</v>
      </c>
      <c r="C92" s="63" t="s">
        <v>14</v>
      </c>
      <c r="D92" s="63">
        <v>0.64</v>
      </c>
      <c r="E92" s="63" t="s">
        <v>25</v>
      </c>
      <c r="F92" s="63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/>
    </row>
    <row r="93" spans="1:32" ht="20.100000000000001" customHeight="1">
      <c r="A93" s="63"/>
      <c r="B93" s="63"/>
      <c r="C93" s="63"/>
      <c r="D93" s="63"/>
      <c r="E93" s="63"/>
      <c r="F93" s="63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/>
    </row>
    <row r="94" spans="1:32" ht="20.100000000000001" customHeight="1">
      <c r="A94" s="63">
        <v>75</v>
      </c>
      <c r="B94" s="65" t="s">
        <v>80</v>
      </c>
      <c r="C94" s="63" t="s">
        <v>17</v>
      </c>
      <c r="D94" s="63">
        <v>0.6</v>
      </c>
      <c r="E94" s="63"/>
      <c r="F94" s="63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/>
    </row>
    <row r="95" spans="1:32" ht="20.100000000000001" customHeight="1">
      <c r="A95" s="63">
        <v>76</v>
      </c>
      <c r="B95" s="63" t="s">
        <v>80</v>
      </c>
      <c r="C95" s="63" t="s">
        <v>14</v>
      </c>
      <c r="D95" s="63">
        <v>0.6</v>
      </c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>
        <v>6</v>
      </c>
      <c r="R95" s="60">
        <f t="shared" si="17"/>
        <v>3.5999999999999996</v>
      </c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>
        <f t="shared" si="22"/>
        <v>6</v>
      </c>
      <c r="AF95" s="61">
        <f t="shared" si="23"/>
        <v>3.5999999999999996</v>
      </c>
    </row>
    <row r="96" spans="1:32" ht="20.100000000000001" customHeight="1">
      <c r="A96" s="63">
        <v>77</v>
      </c>
      <c r="B96" s="64" t="s">
        <v>80</v>
      </c>
      <c r="C96" s="63" t="s">
        <v>14</v>
      </c>
      <c r="D96" s="63">
        <v>0.64</v>
      </c>
      <c r="E96" s="63" t="s">
        <v>24</v>
      </c>
      <c r="F96" s="63">
        <v>780</v>
      </c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1"/>
    </row>
    <row r="97" spans="1:32" ht="20.100000000000001" customHeight="1">
      <c r="A97" s="63"/>
      <c r="B97" s="64"/>
      <c r="C97" s="63"/>
      <c r="D97" s="63"/>
      <c r="E97" s="63"/>
      <c r="F97" s="63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1"/>
    </row>
    <row r="98" spans="1:32" ht="20.100000000000001" customHeight="1">
      <c r="A98" s="63">
        <v>78</v>
      </c>
      <c r="B98" s="64" t="s">
        <v>81</v>
      </c>
      <c r="C98" s="63" t="s">
        <v>14</v>
      </c>
      <c r="D98" s="63">
        <v>0.64</v>
      </c>
      <c r="E98" s="63" t="s">
        <v>82</v>
      </c>
      <c r="F98" s="63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1"/>
    </row>
    <row r="99" spans="1:32" ht="20.100000000000001" customHeight="1">
      <c r="A99" s="63">
        <v>79</v>
      </c>
      <c r="B99" s="65" t="s">
        <v>83</v>
      </c>
      <c r="C99" s="63" t="s">
        <v>17</v>
      </c>
      <c r="D99" s="63">
        <v>1</v>
      </c>
      <c r="E99" s="63" t="s">
        <v>38</v>
      </c>
      <c r="F99" s="63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1"/>
    </row>
    <row r="100" spans="1:32" ht="20.100000000000001" customHeight="1">
      <c r="A100" s="63">
        <v>80</v>
      </c>
      <c r="B100" s="65" t="s">
        <v>83</v>
      </c>
      <c r="C100" s="63" t="s">
        <v>17</v>
      </c>
      <c r="D100" s="63">
        <v>0.6</v>
      </c>
      <c r="E100" s="63" t="s">
        <v>38</v>
      </c>
      <c r="F100" s="63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1"/>
    </row>
    <row r="101" spans="1:32" ht="20.100000000000001" customHeight="1">
      <c r="A101" s="63"/>
      <c r="B101" s="63"/>
      <c r="C101" s="63"/>
      <c r="D101" s="63"/>
      <c r="E101" s="63"/>
      <c r="F101" s="63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1"/>
    </row>
    <row r="102" spans="1:32" ht="20.100000000000001" customHeight="1">
      <c r="A102" s="63">
        <v>81</v>
      </c>
      <c r="B102" s="65" t="s">
        <v>84</v>
      </c>
      <c r="C102" s="63" t="s">
        <v>14</v>
      </c>
      <c r="D102" s="63">
        <v>0.64</v>
      </c>
      <c r="E102" s="63" t="s">
        <v>25</v>
      </c>
      <c r="F102" s="63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1"/>
    </row>
    <row r="103" spans="1:32" ht="20.100000000000001" customHeight="1">
      <c r="A103" s="63">
        <v>82</v>
      </c>
      <c r="B103" s="65" t="s">
        <v>84</v>
      </c>
      <c r="C103" s="63" t="s">
        <v>17</v>
      </c>
      <c r="D103" s="63">
        <v>0.6</v>
      </c>
      <c r="E103" s="63"/>
      <c r="F103" s="63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1"/>
    </row>
    <row r="104" spans="1:32" ht="20.100000000000001" customHeight="1">
      <c r="A104" s="63"/>
      <c r="B104" s="63"/>
      <c r="C104" s="63"/>
      <c r="D104" s="63"/>
      <c r="E104" s="63"/>
      <c r="F104" s="63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1"/>
    </row>
    <row r="105" spans="1:32" ht="20.100000000000001" customHeight="1">
      <c r="A105" s="63">
        <v>83</v>
      </c>
      <c r="B105" s="65" t="s">
        <v>85</v>
      </c>
      <c r="C105" s="63" t="s">
        <v>17</v>
      </c>
      <c r="D105" s="63">
        <v>1</v>
      </c>
      <c r="E105" s="63"/>
      <c r="F105" s="63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1"/>
    </row>
    <row r="106" spans="1:32" ht="20.100000000000001" customHeight="1">
      <c r="A106" s="63">
        <v>84</v>
      </c>
      <c r="B106" s="65" t="s">
        <v>85</v>
      </c>
      <c r="C106" s="63" t="s">
        <v>14</v>
      </c>
      <c r="D106" s="63">
        <v>0.64</v>
      </c>
      <c r="E106" s="63" t="s">
        <v>25</v>
      </c>
      <c r="F106" s="63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1"/>
    </row>
    <row r="107" spans="1:32" ht="20.100000000000001" customHeight="1">
      <c r="A107" s="63"/>
      <c r="B107" s="63"/>
      <c r="C107" s="63"/>
      <c r="D107" s="63"/>
      <c r="E107" s="63"/>
      <c r="F107" s="63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1"/>
    </row>
    <row r="108" spans="1:32" ht="20.100000000000001" customHeight="1">
      <c r="A108" s="63">
        <v>85</v>
      </c>
      <c r="B108" s="63" t="s">
        <v>86</v>
      </c>
      <c r="C108" s="63" t="s">
        <v>14</v>
      </c>
      <c r="D108" s="63">
        <v>0.7</v>
      </c>
      <c r="E108" s="63" t="s">
        <v>15</v>
      </c>
      <c r="F108" s="63">
        <v>3600</v>
      </c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>
        <v>1</v>
      </c>
      <c r="R108" s="60">
        <f t="shared" si="17"/>
        <v>0.7</v>
      </c>
      <c r="S108" s="60"/>
      <c r="T108" s="60"/>
      <c r="U108" s="60"/>
      <c r="V108" s="60"/>
      <c r="W108" s="60"/>
      <c r="X108" s="60"/>
      <c r="Y108" s="60">
        <v>8</v>
      </c>
      <c r="Z108" s="60">
        <f t="shared" si="20"/>
        <v>5.6</v>
      </c>
      <c r="AA108" s="60">
        <v>12</v>
      </c>
      <c r="AB108" s="60">
        <f t="shared" ref="AB108:AB117" si="24">AA108*D108</f>
        <v>8.3999999999999986</v>
      </c>
      <c r="AC108" s="60">
        <v>3</v>
      </c>
      <c r="AD108" s="60">
        <f t="shared" si="21"/>
        <v>2.0999999999999996</v>
      </c>
      <c r="AE108" s="60">
        <f t="shared" si="22"/>
        <v>24</v>
      </c>
      <c r="AF108" s="61">
        <f t="shared" si="23"/>
        <v>16.799999999999997</v>
      </c>
    </row>
    <row r="109" spans="1:32" ht="20.100000000000001" customHeight="1">
      <c r="A109" s="63">
        <v>86</v>
      </c>
      <c r="B109" s="63" t="s">
        <v>87</v>
      </c>
      <c r="C109" s="63" t="s">
        <v>14</v>
      </c>
      <c r="D109" s="63">
        <v>0.35</v>
      </c>
      <c r="E109" s="63" t="s">
        <v>24</v>
      </c>
      <c r="F109" s="63">
        <v>2100</v>
      </c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>
        <v>10</v>
      </c>
      <c r="AB109" s="60">
        <f t="shared" si="24"/>
        <v>3.5</v>
      </c>
      <c r="AC109" s="60"/>
      <c r="AD109" s="60"/>
      <c r="AE109" s="60">
        <f t="shared" si="22"/>
        <v>10</v>
      </c>
      <c r="AF109" s="61">
        <f t="shared" si="23"/>
        <v>3.5</v>
      </c>
    </row>
    <row r="110" spans="1:32" ht="20.100000000000001" customHeight="1">
      <c r="A110" s="63"/>
      <c r="B110" s="63"/>
      <c r="C110" s="63"/>
      <c r="D110" s="63"/>
      <c r="E110" s="63"/>
      <c r="F110" s="63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1"/>
    </row>
    <row r="111" spans="1:32" ht="20.100000000000001" customHeight="1">
      <c r="A111" s="63">
        <v>87</v>
      </c>
      <c r="B111" s="63" t="s">
        <v>88</v>
      </c>
      <c r="C111" s="63" t="s">
        <v>17</v>
      </c>
      <c r="D111" s="63">
        <v>1</v>
      </c>
      <c r="E111" s="63" t="s">
        <v>15</v>
      </c>
      <c r="F111" s="63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1"/>
    </row>
    <row r="112" spans="1:32" ht="20.100000000000001" customHeight="1">
      <c r="A112" s="63">
        <v>88</v>
      </c>
      <c r="B112" s="63" t="s">
        <v>89</v>
      </c>
      <c r="C112" s="63" t="s">
        <v>17</v>
      </c>
      <c r="D112" s="63">
        <v>1</v>
      </c>
      <c r="E112" s="63" t="s">
        <v>90</v>
      </c>
      <c r="F112" s="63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1"/>
    </row>
    <row r="113" spans="1:32" ht="20.100000000000001" customHeight="1">
      <c r="A113" s="63">
        <v>89</v>
      </c>
      <c r="B113" s="63" t="s">
        <v>91</v>
      </c>
      <c r="C113" s="63" t="s">
        <v>17</v>
      </c>
      <c r="D113" s="63">
        <v>1</v>
      </c>
      <c r="E113" s="63" t="s">
        <v>24</v>
      </c>
      <c r="F113" s="63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1"/>
    </row>
    <row r="114" spans="1:32" ht="20.100000000000001" customHeight="1">
      <c r="A114" s="63">
        <v>90</v>
      </c>
      <c r="B114" s="63" t="s">
        <v>92</v>
      </c>
      <c r="C114" s="63" t="s">
        <v>14</v>
      </c>
      <c r="D114" s="63">
        <v>0.64</v>
      </c>
      <c r="E114" s="63" t="s">
        <v>24</v>
      </c>
      <c r="F114" s="63">
        <v>1230</v>
      </c>
      <c r="G114" s="60">
        <v>30</v>
      </c>
      <c r="H114" s="60">
        <f t="shared" ref="H114:H117" si="25">G114*D114</f>
        <v>19.2</v>
      </c>
      <c r="I114" s="60">
        <v>15</v>
      </c>
      <c r="J114" s="60">
        <f t="shared" si="14"/>
        <v>9.6</v>
      </c>
      <c r="K114" s="60">
        <v>63</v>
      </c>
      <c r="L114" s="60">
        <f t="shared" si="15"/>
        <v>40.32</v>
      </c>
      <c r="M114" s="60">
        <v>13</v>
      </c>
      <c r="N114" s="60">
        <f t="shared" ref="N114:N117" si="26">M114*D114</f>
        <v>8.32</v>
      </c>
      <c r="O114" s="60">
        <v>33</v>
      </c>
      <c r="P114" s="60">
        <f t="shared" si="16"/>
        <v>21.12</v>
      </c>
      <c r="Q114" s="60">
        <v>13</v>
      </c>
      <c r="R114" s="60">
        <f t="shared" si="17"/>
        <v>8.32</v>
      </c>
      <c r="S114" s="60">
        <v>16</v>
      </c>
      <c r="T114" s="60">
        <f t="shared" si="18"/>
        <v>10.24</v>
      </c>
      <c r="U114" s="60">
        <v>40</v>
      </c>
      <c r="V114" s="60">
        <f t="shared" ref="V114:V116" si="27">U114*D114</f>
        <v>25.6</v>
      </c>
      <c r="W114" s="60">
        <v>14</v>
      </c>
      <c r="X114" s="60">
        <f t="shared" si="19"/>
        <v>8.9600000000000009</v>
      </c>
      <c r="Y114" s="60">
        <v>15</v>
      </c>
      <c r="Z114" s="60">
        <f t="shared" si="20"/>
        <v>9.6</v>
      </c>
      <c r="AA114" s="60">
        <v>37</v>
      </c>
      <c r="AB114" s="60">
        <f t="shared" si="24"/>
        <v>23.68</v>
      </c>
      <c r="AC114" s="60">
        <v>32</v>
      </c>
      <c r="AD114" s="60">
        <f t="shared" si="21"/>
        <v>20.48</v>
      </c>
      <c r="AE114" s="60">
        <f t="shared" si="22"/>
        <v>321</v>
      </c>
      <c r="AF114" s="61">
        <f t="shared" si="23"/>
        <v>205.44</v>
      </c>
    </row>
    <row r="115" spans="1:32" ht="20.100000000000001" customHeight="1">
      <c r="A115" s="63">
        <v>91</v>
      </c>
      <c r="B115" s="63" t="s">
        <v>93</v>
      </c>
      <c r="C115" s="63" t="s">
        <v>14</v>
      </c>
      <c r="D115" s="63">
        <v>0.64</v>
      </c>
      <c r="E115" s="63" t="s">
        <v>25</v>
      </c>
      <c r="F115" s="63">
        <v>1230</v>
      </c>
      <c r="G115" s="60">
        <v>2</v>
      </c>
      <c r="H115" s="60">
        <f t="shared" si="25"/>
        <v>1.28</v>
      </c>
      <c r="I115" s="60">
        <v>1</v>
      </c>
      <c r="J115" s="60">
        <f t="shared" si="14"/>
        <v>0.64</v>
      </c>
      <c r="K115" s="60">
        <v>7</v>
      </c>
      <c r="L115" s="60">
        <f t="shared" si="15"/>
        <v>4.4800000000000004</v>
      </c>
      <c r="M115" s="60">
        <v>2</v>
      </c>
      <c r="N115" s="60">
        <f t="shared" si="26"/>
        <v>1.28</v>
      </c>
      <c r="O115" s="60">
        <v>6</v>
      </c>
      <c r="P115" s="60">
        <f t="shared" si="16"/>
        <v>3.84</v>
      </c>
      <c r="Q115" s="60">
        <v>2</v>
      </c>
      <c r="R115" s="60">
        <f t="shared" si="17"/>
        <v>1.28</v>
      </c>
      <c r="S115" s="60">
        <v>1</v>
      </c>
      <c r="T115" s="60">
        <f t="shared" si="18"/>
        <v>0.64</v>
      </c>
      <c r="U115" s="60">
        <v>2</v>
      </c>
      <c r="V115" s="60">
        <f t="shared" si="27"/>
        <v>1.28</v>
      </c>
      <c r="W115" s="60"/>
      <c r="X115" s="60"/>
      <c r="Y115" s="60">
        <v>3</v>
      </c>
      <c r="Z115" s="60">
        <f t="shared" si="20"/>
        <v>1.92</v>
      </c>
      <c r="AA115" s="60"/>
      <c r="AB115" s="60"/>
      <c r="AC115" s="60">
        <v>4</v>
      </c>
      <c r="AD115" s="60">
        <f t="shared" si="21"/>
        <v>2.56</v>
      </c>
      <c r="AE115" s="60">
        <f t="shared" si="22"/>
        <v>30</v>
      </c>
      <c r="AF115" s="61">
        <f t="shared" si="23"/>
        <v>19.2</v>
      </c>
    </row>
    <row r="116" spans="1:32" ht="20.100000000000001" customHeight="1">
      <c r="A116" s="63">
        <v>92</v>
      </c>
      <c r="B116" s="63" t="s">
        <v>94</v>
      </c>
      <c r="C116" s="63" t="s">
        <v>14</v>
      </c>
      <c r="D116" s="63">
        <v>0.64</v>
      </c>
      <c r="E116" s="63" t="s">
        <v>24</v>
      </c>
      <c r="F116" s="63">
        <v>1230</v>
      </c>
      <c r="G116" s="60">
        <v>1</v>
      </c>
      <c r="H116" s="60">
        <f t="shared" si="25"/>
        <v>0.64</v>
      </c>
      <c r="I116" s="60">
        <v>6</v>
      </c>
      <c r="J116" s="60">
        <f t="shared" si="14"/>
        <v>3.84</v>
      </c>
      <c r="K116" s="60"/>
      <c r="L116" s="60"/>
      <c r="M116" s="60">
        <v>4</v>
      </c>
      <c r="N116" s="60">
        <f t="shared" si="26"/>
        <v>2.56</v>
      </c>
      <c r="O116" s="60">
        <v>5</v>
      </c>
      <c r="P116" s="60">
        <f t="shared" si="16"/>
        <v>3.2</v>
      </c>
      <c r="Q116" s="60">
        <v>1</v>
      </c>
      <c r="R116" s="60">
        <f t="shared" si="17"/>
        <v>0.64</v>
      </c>
      <c r="S116" s="60"/>
      <c r="T116" s="60"/>
      <c r="U116" s="60">
        <v>1</v>
      </c>
      <c r="V116" s="60">
        <f t="shared" si="27"/>
        <v>0.64</v>
      </c>
      <c r="W116" s="60"/>
      <c r="X116" s="60"/>
      <c r="Y116" s="60">
        <v>1</v>
      </c>
      <c r="Z116" s="60">
        <f t="shared" si="20"/>
        <v>0.64</v>
      </c>
      <c r="AA116" s="60"/>
      <c r="AB116" s="60"/>
      <c r="AC116" s="60"/>
      <c r="AD116" s="60"/>
      <c r="AE116" s="60">
        <f t="shared" si="22"/>
        <v>19</v>
      </c>
      <c r="AF116" s="61">
        <f t="shared" si="23"/>
        <v>12.16</v>
      </c>
    </row>
    <row r="117" spans="1:32" ht="20.100000000000001" customHeight="1">
      <c r="A117" s="63">
        <v>93</v>
      </c>
      <c r="B117" s="63" t="s">
        <v>95</v>
      </c>
      <c r="C117" s="63" t="s">
        <v>14</v>
      </c>
      <c r="D117" s="63">
        <v>0.64</v>
      </c>
      <c r="E117" s="63" t="s">
        <v>25</v>
      </c>
      <c r="F117" s="63">
        <v>1230</v>
      </c>
      <c r="G117" s="60">
        <v>6</v>
      </c>
      <c r="H117" s="60">
        <f t="shared" si="25"/>
        <v>3.84</v>
      </c>
      <c r="I117" s="60">
        <v>2</v>
      </c>
      <c r="J117" s="60">
        <f t="shared" si="14"/>
        <v>1.28</v>
      </c>
      <c r="K117" s="60"/>
      <c r="L117" s="60"/>
      <c r="M117" s="60">
        <v>1</v>
      </c>
      <c r="N117" s="60">
        <f t="shared" si="26"/>
        <v>0.64</v>
      </c>
      <c r="O117" s="60">
        <v>6</v>
      </c>
      <c r="P117" s="60">
        <f t="shared" si="16"/>
        <v>3.84</v>
      </c>
      <c r="Q117" s="60">
        <v>2</v>
      </c>
      <c r="R117" s="60">
        <f t="shared" si="17"/>
        <v>1.28</v>
      </c>
      <c r="S117" s="60"/>
      <c r="T117" s="60"/>
      <c r="U117" s="60"/>
      <c r="V117" s="60"/>
      <c r="W117" s="60">
        <v>2</v>
      </c>
      <c r="X117" s="60">
        <f t="shared" si="19"/>
        <v>1.28</v>
      </c>
      <c r="Y117" s="60">
        <v>1</v>
      </c>
      <c r="Z117" s="60">
        <f t="shared" si="20"/>
        <v>0.64</v>
      </c>
      <c r="AA117" s="60">
        <v>1</v>
      </c>
      <c r="AB117" s="60">
        <f t="shared" si="24"/>
        <v>0.64</v>
      </c>
      <c r="AC117" s="60"/>
      <c r="AD117" s="60"/>
      <c r="AE117" s="60">
        <f t="shared" si="22"/>
        <v>21</v>
      </c>
      <c r="AF117" s="61">
        <f t="shared" si="23"/>
        <v>13.44</v>
      </c>
    </row>
    <row r="118" spans="1:32" ht="20.100000000000001" customHeight="1">
      <c r="A118" s="63">
        <v>94</v>
      </c>
      <c r="B118" s="63" t="s">
        <v>96</v>
      </c>
      <c r="C118" s="63" t="s">
        <v>14</v>
      </c>
      <c r="D118" s="63">
        <v>0.64</v>
      </c>
      <c r="E118" s="63" t="s">
        <v>25</v>
      </c>
      <c r="F118" s="63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1"/>
    </row>
    <row r="119" spans="1:32" ht="20.100000000000001" customHeight="1">
      <c r="A119" s="63">
        <v>95</v>
      </c>
      <c r="B119" s="63" t="s">
        <v>97</v>
      </c>
      <c r="C119" s="63" t="s">
        <v>14</v>
      </c>
      <c r="D119" s="63">
        <v>0.64</v>
      </c>
      <c r="E119" s="63" t="s">
        <v>25</v>
      </c>
      <c r="F119" s="63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1"/>
    </row>
    <row r="120" spans="1:32" ht="20.100000000000001" customHeight="1">
      <c r="A120" s="63">
        <v>96</v>
      </c>
      <c r="B120" s="63" t="s">
        <v>98</v>
      </c>
      <c r="C120" s="63" t="s">
        <v>14</v>
      </c>
      <c r="D120" s="63">
        <v>0.64</v>
      </c>
      <c r="E120" s="63" t="s">
        <v>24</v>
      </c>
      <c r="F120" s="63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1"/>
    </row>
    <row r="121" spans="1:32" ht="20.100000000000001" customHeight="1">
      <c r="A121" s="63">
        <v>97</v>
      </c>
      <c r="B121" s="63" t="s">
        <v>99</v>
      </c>
      <c r="C121" s="63"/>
      <c r="D121" s="63">
        <v>0.64</v>
      </c>
      <c r="E121" s="63"/>
      <c r="F121" s="63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1"/>
    </row>
    <row r="122" spans="1:32" ht="20.100000000000001" customHeight="1">
      <c r="A122" s="63">
        <v>98</v>
      </c>
      <c r="B122" s="63" t="s">
        <v>100</v>
      </c>
      <c r="C122" s="63"/>
      <c r="D122" s="63">
        <v>0.64</v>
      </c>
      <c r="E122" s="63" t="s">
        <v>101</v>
      </c>
      <c r="F122" s="63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1"/>
    </row>
    <row r="123" spans="1:32" ht="20.100000000000001" customHeight="1">
      <c r="A123" s="63"/>
      <c r="B123" s="63"/>
      <c r="C123" s="63"/>
      <c r="D123" s="63"/>
      <c r="E123" s="62"/>
      <c r="F123" s="62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1"/>
    </row>
    <row r="124" spans="1:32" ht="20.100000000000001" customHeight="1">
      <c r="A124" s="63">
        <v>99</v>
      </c>
      <c r="B124" s="63" t="s">
        <v>102</v>
      </c>
      <c r="C124" s="63" t="s">
        <v>14</v>
      </c>
      <c r="D124" s="63">
        <v>0.7</v>
      </c>
      <c r="E124" s="63" t="s">
        <v>15</v>
      </c>
      <c r="F124" s="63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1"/>
    </row>
    <row r="125" spans="1:32" ht="20.100000000000001" customHeight="1">
      <c r="A125" s="63">
        <v>100</v>
      </c>
      <c r="B125" s="63" t="s">
        <v>103</v>
      </c>
      <c r="C125" s="63"/>
      <c r="D125" s="63">
        <v>20</v>
      </c>
      <c r="E125" s="63">
        <v>1</v>
      </c>
      <c r="F125" s="63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1"/>
    </row>
    <row r="126" spans="1:32" ht="20.100000000000001" customHeight="1">
      <c r="A126" s="63"/>
      <c r="B126" s="63"/>
      <c r="C126" s="63"/>
      <c r="D126" s="63"/>
      <c r="E126" s="63"/>
      <c r="F126" s="63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</row>
    <row r="127" spans="1:32" ht="20.100000000000001" customHeight="1">
      <c r="A127" s="63"/>
      <c r="B127" s="63"/>
      <c r="C127" s="63"/>
      <c r="D127" s="63"/>
      <c r="E127" s="63"/>
      <c r="F127" s="63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</row>
    <row r="128" spans="1:32" ht="20.100000000000001" customHeight="1">
      <c r="A128" s="63"/>
      <c r="B128" s="8"/>
      <c r="C128" s="8"/>
      <c r="D128" s="8"/>
      <c r="E128" s="62"/>
      <c r="F128" s="62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</row>
    <row r="129" spans="1:32" ht="20.100000000000001" customHeight="1">
      <c r="A129" s="66"/>
      <c r="B129" s="11" t="s">
        <v>104</v>
      </c>
      <c r="C129" s="11"/>
      <c r="D129" s="12"/>
      <c r="E129" s="67"/>
      <c r="F129" s="67"/>
      <c r="G129" s="60">
        <f>SUM(G4:G128)</f>
        <v>374</v>
      </c>
      <c r="H129" s="60">
        <f t="shared" ref="H129:U129" si="28">SUM(H4:H128)</f>
        <v>273.41999999999996</v>
      </c>
      <c r="I129" s="60">
        <f t="shared" si="28"/>
        <v>285</v>
      </c>
      <c r="J129" s="60">
        <f t="shared" si="28"/>
        <v>190.85999999999996</v>
      </c>
      <c r="K129" s="60">
        <f t="shared" si="28"/>
        <v>559</v>
      </c>
      <c r="L129" s="60">
        <f t="shared" si="28"/>
        <v>375.43999999999994</v>
      </c>
      <c r="M129" s="60">
        <f t="shared" si="28"/>
        <v>276</v>
      </c>
      <c r="N129" s="60">
        <f t="shared" si="28"/>
        <v>200.67999999999998</v>
      </c>
      <c r="O129" s="60">
        <f t="shared" si="28"/>
        <v>347</v>
      </c>
      <c r="P129" s="60">
        <f t="shared" si="28"/>
        <v>237.71999999999997</v>
      </c>
      <c r="Q129" s="60">
        <f t="shared" si="28"/>
        <v>183</v>
      </c>
      <c r="R129" s="60">
        <f t="shared" si="28"/>
        <v>118.52000000000002</v>
      </c>
      <c r="S129" s="60">
        <f t="shared" si="28"/>
        <v>237</v>
      </c>
      <c r="T129" s="60">
        <f t="shared" si="28"/>
        <v>160.44</v>
      </c>
      <c r="U129" s="60">
        <f t="shared" si="28"/>
        <v>338</v>
      </c>
      <c r="V129" s="60">
        <f t="shared" ref="V129" si="29">SUM(V4:V128)</f>
        <v>233.31999999999996</v>
      </c>
      <c r="W129" s="60">
        <f t="shared" ref="W129" si="30">SUM(W4:W128)</f>
        <v>356</v>
      </c>
      <c r="X129" s="60">
        <f t="shared" ref="X129" si="31">SUM(X4:X128)</f>
        <v>281.9799999999999</v>
      </c>
      <c r="Y129" s="60">
        <f t="shared" ref="Y129" si="32">SUM(Y4:Y128)</f>
        <v>269</v>
      </c>
      <c r="Z129" s="60">
        <f t="shared" ref="Z129" si="33">SUM(Z4:Z128)</f>
        <v>179.81999999999994</v>
      </c>
      <c r="AA129" s="60">
        <f t="shared" ref="AA129" si="34">SUM(AA4:AA128)</f>
        <v>220</v>
      </c>
      <c r="AB129" s="60">
        <f t="shared" ref="AB129" si="35">SUM(AB4:AB128)</f>
        <v>143.18</v>
      </c>
      <c r="AC129" s="60">
        <f t="shared" ref="AC129" si="36">SUM(AC4:AC128)</f>
        <v>259</v>
      </c>
      <c r="AD129" s="60">
        <f t="shared" ref="AD129" si="37">SUM(AD4:AD128)</f>
        <v>170.2</v>
      </c>
      <c r="AE129" s="60">
        <f t="shared" ref="AE129" si="38">SUM(AE4:AE128)</f>
        <v>3703</v>
      </c>
      <c r="AF129" s="61">
        <f t="shared" ref="AF129" si="39">SUM(AF4:AF128)</f>
        <v>2570.5799999999995</v>
      </c>
    </row>
    <row r="130" spans="1:32" ht="20.100000000000001" customHeight="1">
      <c r="A130" s="68"/>
      <c r="B130" s="8"/>
      <c r="C130" s="8"/>
      <c r="D130" s="8"/>
      <c r="E130" s="62"/>
      <c r="F130" s="62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 spans="1:32" ht="20.100000000000001" customHeight="1">
      <c r="A131" s="63">
        <v>101</v>
      </c>
      <c r="B131" s="63" t="s">
        <v>105</v>
      </c>
      <c r="C131" s="63" t="s">
        <v>14</v>
      </c>
      <c r="D131" s="63">
        <v>0.7</v>
      </c>
      <c r="E131" s="63" t="s">
        <v>15</v>
      </c>
      <c r="F131" s="63">
        <v>4500</v>
      </c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 spans="1:32" ht="20.100000000000001" customHeight="1">
      <c r="A132" s="63">
        <v>102</v>
      </c>
      <c r="B132" s="63" t="s">
        <v>106</v>
      </c>
      <c r="C132" s="63" t="s">
        <v>14</v>
      </c>
      <c r="D132" s="63">
        <v>0.35</v>
      </c>
      <c r="E132" s="63" t="s">
        <v>24</v>
      </c>
      <c r="F132" s="63">
        <v>2300</v>
      </c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 spans="1:32" ht="20.100000000000001" customHeight="1">
      <c r="A133" s="63">
        <v>103</v>
      </c>
      <c r="B133" s="63" t="s">
        <v>107</v>
      </c>
      <c r="C133" s="63" t="s">
        <v>14</v>
      </c>
      <c r="D133" s="63">
        <v>0.17499999999999999</v>
      </c>
      <c r="E133" s="63" t="s">
        <v>108</v>
      </c>
      <c r="F133" s="63">
        <v>1300</v>
      </c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</row>
    <row r="134" spans="1:32" ht="20.100000000000001" customHeight="1">
      <c r="A134" s="63">
        <v>104</v>
      </c>
      <c r="B134" s="63" t="s">
        <v>109</v>
      </c>
      <c r="C134" s="63" t="s">
        <v>14</v>
      </c>
      <c r="D134" s="63">
        <v>0.7</v>
      </c>
      <c r="E134" s="63" t="s">
        <v>15</v>
      </c>
      <c r="F134" s="63">
        <v>5200</v>
      </c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</row>
    <row r="135" spans="1:32" ht="20.100000000000001" customHeight="1">
      <c r="A135" s="63">
        <v>105</v>
      </c>
      <c r="B135" s="63" t="s">
        <v>110</v>
      </c>
      <c r="C135" s="63" t="s">
        <v>14</v>
      </c>
      <c r="D135" s="63">
        <v>0.35</v>
      </c>
      <c r="E135" s="63" t="s">
        <v>24</v>
      </c>
      <c r="F135" s="63">
        <v>2600</v>
      </c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</row>
    <row r="136" spans="1:32" ht="20.100000000000001" customHeight="1">
      <c r="A136" s="63">
        <v>106</v>
      </c>
      <c r="B136" s="63" t="s">
        <v>111</v>
      </c>
      <c r="C136" s="63" t="s">
        <v>14</v>
      </c>
      <c r="D136" s="63">
        <v>0.17499999999999999</v>
      </c>
      <c r="E136" s="63" t="s">
        <v>108</v>
      </c>
      <c r="F136" s="63">
        <v>1450</v>
      </c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spans="1:32" ht="20.100000000000001" customHeight="1">
      <c r="A137" s="63">
        <v>107</v>
      </c>
      <c r="B137" s="63" t="s">
        <v>112</v>
      </c>
      <c r="C137" s="63" t="s">
        <v>14</v>
      </c>
      <c r="D137" s="63">
        <v>0.7</v>
      </c>
      <c r="E137" s="63" t="s">
        <v>15</v>
      </c>
      <c r="F137" s="63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</row>
    <row r="138" spans="1:32" ht="20.100000000000001" customHeight="1">
      <c r="A138" s="63">
        <v>108</v>
      </c>
      <c r="B138" s="63" t="s">
        <v>113</v>
      </c>
      <c r="C138" s="63" t="s">
        <v>14</v>
      </c>
      <c r="D138" s="63">
        <v>0.7</v>
      </c>
      <c r="E138" s="63" t="s">
        <v>15</v>
      </c>
      <c r="F138" s="63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</row>
    <row r="139" spans="1:32" ht="20.100000000000001" customHeight="1">
      <c r="A139" s="63">
        <v>109</v>
      </c>
      <c r="B139" s="63" t="s">
        <v>114</v>
      </c>
      <c r="C139" s="63" t="s">
        <v>14</v>
      </c>
      <c r="D139" s="63">
        <v>0.35</v>
      </c>
      <c r="E139" s="63" t="s">
        <v>24</v>
      </c>
      <c r="F139" s="63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</row>
    <row r="140" spans="1:32" ht="20.100000000000001" customHeight="1">
      <c r="A140" s="63">
        <v>110</v>
      </c>
      <c r="B140" s="63" t="s">
        <v>115</v>
      </c>
      <c r="C140" s="63" t="s">
        <v>14</v>
      </c>
      <c r="D140" s="63">
        <v>0.7</v>
      </c>
      <c r="E140" s="63" t="s">
        <v>15</v>
      </c>
      <c r="F140" s="63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</row>
    <row r="141" spans="1:32" ht="20.100000000000001" customHeight="1">
      <c r="A141" s="63">
        <v>111</v>
      </c>
      <c r="B141" s="63" t="s">
        <v>116</v>
      </c>
      <c r="C141" s="63" t="s">
        <v>14</v>
      </c>
      <c r="D141" s="63">
        <v>0.35</v>
      </c>
      <c r="E141" s="63" t="s">
        <v>24</v>
      </c>
      <c r="F141" s="63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</row>
    <row r="142" spans="1:32" ht="20.100000000000001" customHeight="1">
      <c r="A142" s="63">
        <v>112</v>
      </c>
      <c r="B142" s="8" t="s">
        <v>117</v>
      </c>
      <c r="C142" s="8" t="s">
        <v>14</v>
      </c>
      <c r="D142" s="63">
        <v>0.7</v>
      </c>
      <c r="E142" s="69" t="s">
        <v>118</v>
      </c>
      <c r="F142" s="62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</row>
    <row r="143" spans="1:32" ht="20.100000000000001" customHeight="1">
      <c r="A143" s="8"/>
      <c r="B143" s="8"/>
      <c r="C143" s="8"/>
      <c r="D143" s="8"/>
      <c r="E143" s="62"/>
      <c r="F143" s="62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 spans="1:32" ht="20.100000000000001" customHeight="1">
      <c r="A144" s="70"/>
      <c r="B144" s="11" t="s">
        <v>119</v>
      </c>
      <c r="C144" s="11"/>
      <c r="D144" s="11"/>
      <c r="E144" s="67"/>
      <c r="F144" s="67"/>
      <c r="G144" s="60">
        <f>SUM(G131:G142)</f>
        <v>0</v>
      </c>
      <c r="H144" s="60">
        <f t="shared" ref="H144:AF144" si="40">SUM(H131:H142)</f>
        <v>0</v>
      </c>
      <c r="I144" s="60">
        <f t="shared" si="40"/>
        <v>0</v>
      </c>
      <c r="J144" s="60">
        <f t="shared" si="40"/>
        <v>0</v>
      </c>
      <c r="K144" s="60">
        <f t="shared" si="40"/>
        <v>0</v>
      </c>
      <c r="L144" s="60">
        <f t="shared" si="40"/>
        <v>0</v>
      </c>
      <c r="M144" s="60">
        <f t="shared" si="40"/>
        <v>0</v>
      </c>
      <c r="N144" s="60">
        <f t="shared" si="40"/>
        <v>0</v>
      </c>
      <c r="O144" s="60">
        <f t="shared" si="40"/>
        <v>0</v>
      </c>
      <c r="P144" s="60">
        <f t="shared" si="40"/>
        <v>0</v>
      </c>
      <c r="Q144" s="60">
        <f t="shared" si="40"/>
        <v>0</v>
      </c>
      <c r="R144" s="60">
        <f t="shared" si="40"/>
        <v>0</v>
      </c>
      <c r="S144" s="60">
        <f t="shared" si="40"/>
        <v>0</v>
      </c>
      <c r="T144" s="60">
        <f t="shared" si="40"/>
        <v>0</v>
      </c>
      <c r="U144" s="60">
        <f t="shared" si="40"/>
        <v>0</v>
      </c>
      <c r="V144" s="60">
        <f t="shared" si="40"/>
        <v>0</v>
      </c>
      <c r="W144" s="60">
        <f t="shared" si="40"/>
        <v>0</v>
      </c>
      <c r="X144" s="60">
        <f t="shared" si="40"/>
        <v>0</v>
      </c>
      <c r="Y144" s="60">
        <f t="shared" si="40"/>
        <v>0</v>
      </c>
      <c r="Z144" s="60">
        <f t="shared" si="40"/>
        <v>0</v>
      </c>
      <c r="AA144" s="60">
        <f t="shared" si="40"/>
        <v>0</v>
      </c>
      <c r="AB144" s="60">
        <f t="shared" si="40"/>
        <v>0</v>
      </c>
      <c r="AC144" s="60">
        <f t="shared" si="40"/>
        <v>0</v>
      </c>
      <c r="AD144" s="60">
        <f t="shared" si="40"/>
        <v>0</v>
      </c>
      <c r="AE144" s="60">
        <f t="shared" si="40"/>
        <v>0</v>
      </c>
      <c r="AF144" s="60">
        <f t="shared" si="40"/>
        <v>0</v>
      </c>
    </row>
    <row r="145" spans="1:33" ht="20.100000000000001" customHeight="1">
      <c r="A145" s="18"/>
      <c r="B145" s="12" t="s">
        <v>120</v>
      </c>
      <c r="C145" s="12"/>
      <c r="D145" s="12"/>
      <c r="E145" s="12"/>
      <c r="F145" s="12"/>
      <c r="G145" s="60">
        <f>G129+G144</f>
        <v>374</v>
      </c>
      <c r="H145" s="60">
        <f t="shared" ref="H145:AF145" si="41">H129+H144</f>
        <v>273.41999999999996</v>
      </c>
      <c r="I145" s="60">
        <f t="shared" si="41"/>
        <v>285</v>
      </c>
      <c r="J145" s="60">
        <f t="shared" si="41"/>
        <v>190.85999999999996</v>
      </c>
      <c r="K145" s="60">
        <f t="shared" si="41"/>
        <v>559</v>
      </c>
      <c r="L145" s="60">
        <f t="shared" si="41"/>
        <v>375.43999999999994</v>
      </c>
      <c r="M145" s="60">
        <f t="shared" si="41"/>
        <v>276</v>
      </c>
      <c r="N145" s="60">
        <f t="shared" si="41"/>
        <v>200.67999999999998</v>
      </c>
      <c r="O145" s="60">
        <f t="shared" si="41"/>
        <v>347</v>
      </c>
      <c r="P145" s="60">
        <f t="shared" si="41"/>
        <v>237.71999999999997</v>
      </c>
      <c r="Q145" s="60">
        <f t="shared" si="41"/>
        <v>183</v>
      </c>
      <c r="R145" s="60">
        <f t="shared" si="41"/>
        <v>118.52000000000002</v>
      </c>
      <c r="S145" s="60">
        <f t="shared" si="41"/>
        <v>237</v>
      </c>
      <c r="T145" s="60">
        <f t="shared" si="41"/>
        <v>160.44</v>
      </c>
      <c r="U145" s="60">
        <f t="shared" si="41"/>
        <v>338</v>
      </c>
      <c r="V145" s="60">
        <f t="shared" si="41"/>
        <v>233.31999999999996</v>
      </c>
      <c r="W145" s="60">
        <f t="shared" si="41"/>
        <v>356</v>
      </c>
      <c r="X145" s="60">
        <f t="shared" si="41"/>
        <v>281.9799999999999</v>
      </c>
      <c r="Y145" s="60">
        <f t="shared" si="41"/>
        <v>269</v>
      </c>
      <c r="Z145" s="60">
        <f t="shared" si="41"/>
        <v>179.81999999999994</v>
      </c>
      <c r="AA145" s="60">
        <f t="shared" si="41"/>
        <v>220</v>
      </c>
      <c r="AB145" s="60">
        <f t="shared" si="41"/>
        <v>143.18</v>
      </c>
      <c r="AC145" s="60">
        <f t="shared" si="41"/>
        <v>259</v>
      </c>
      <c r="AD145" s="60">
        <f t="shared" si="41"/>
        <v>170.2</v>
      </c>
      <c r="AE145" s="60">
        <f t="shared" si="41"/>
        <v>3703</v>
      </c>
      <c r="AF145" s="61">
        <f t="shared" si="41"/>
        <v>2570.5799999999995</v>
      </c>
      <c r="AG145" s="33"/>
    </row>
  </sheetData>
  <mergeCells count="19">
    <mergeCell ref="O2:P2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AC2:AD2"/>
    <mergeCell ref="AE2:AF2"/>
    <mergeCell ref="Q2:R2"/>
    <mergeCell ref="S2:T2"/>
    <mergeCell ref="U2:V2"/>
    <mergeCell ref="W2:X2"/>
    <mergeCell ref="Y2:Z2"/>
    <mergeCell ref="AA2:AB2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"/>
  <sheetViews>
    <sheetView workbookViewId="0">
      <pane xSplit="6" ySplit="3" topLeftCell="M127" activePane="bottomRight" state="frozen"/>
      <selection pane="topRight" activeCell="G1" sqref="G1"/>
      <selection pane="bottomLeft" activeCell="A4" sqref="A4"/>
      <selection pane="bottomRight" activeCell="AE147" sqref="AE147"/>
    </sheetView>
  </sheetViews>
  <sheetFormatPr defaultRowHeight="21"/>
  <cols>
    <col min="1" max="1" width="6.42578125" customWidth="1"/>
    <col min="2" max="2" width="24.42578125" customWidth="1"/>
    <col min="3" max="3" width="15" customWidth="1"/>
    <col min="6" max="6" width="0" hidden="1" customWidth="1"/>
    <col min="8" max="8" width="9.140625" customWidth="1"/>
    <col min="10" max="10" width="9.140625" customWidth="1"/>
    <col min="12" max="12" width="9.140625" customWidth="1"/>
    <col min="14" max="14" width="9.140625" customWidth="1"/>
    <col min="16" max="16" width="9.140625" customWidth="1"/>
    <col min="18" max="18" width="9.140625" customWidth="1"/>
    <col min="20" max="20" width="9.140625" customWidth="1"/>
    <col min="22" max="22" width="9.140625" customWidth="1"/>
    <col min="24" max="24" width="9.140625" customWidth="1"/>
    <col min="26" max="26" width="9.140625" customWidth="1"/>
    <col min="28" max="28" width="9.140625" customWidth="1"/>
    <col min="30" max="30" width="9.140625" customWidth="1"/>
  </cols>
  <sheetData>
    <row r="1" spans="1:32" ht="24.7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5" t="s">
        <v>6</v>
      </c>
      <c r="G2" s="252">
        <v>44927</v>
      </c>
      <c r="H2" s="253"/>
      <c r="I2" s="252">
        <v>44958</v>
      </c>
      <c r="J2" s="253"/>
      <c r="K2" s="252">
        <v>44986</v>
      </c>
      <c r="L2" s="253"/>
      <c r="M2" s="252">
        <v>45017</v>
      </c>
      <c r="N2" s="253"/>
      <c r="O2" s="252">
        <v>45047</v>
      </c>
      <c r="P2" s="253"/>
      <c r="Q2" s="252">
        <v>45078</v>
      </c>
      <c r="R2" s="253"/>
      <c r="S2" s="252">
        <v>45108</v>
      </c>
      <c r="T2" s="253"/>
      <c r="U2" s="252">
        <v>45139</v>
      </c>
      <c r="V2" s="253"/>
      <c r="W2" s="252">
        <v>45170</v>
      </c>
      <c r="X2" s="253"/>
      <c r="Y2" s="252">
        <v>45200</v>
      </c>
      <c r="Z2" s="253"/>
      <c r="AA2" s="252">
        <v>45231</v>
      </c>
      <c r="AB2" s="253"/>
      <c r="AC2" s="252">
        <v>45261</v>
      </c>
      <c r="AD2" s="253"/>
      <c r="AE2" s="263" t="s">
        <v>128</v>
      </c>
      <c r="AF2" s="263"/>
    </row>
    <row r="3" spans="1:32">
      <c r="A3" s="238"/>
      <c r="B3" s="238"/>
      <c r="C3" s="238"/>
      <c r="D3" s="240"/>
      <c r="E3" s="240"/>
      <c r="F3" s="240"/>
      <c r="G3" s="170" t="s">
        <v>11</v>
      </c>
      <c r="H3" s="171" t="s">
        <v>12</v>
      </c>
      <c r="I3" s="170" t="s">
        <v>11</v>
      </c>
      <c r="J3" s="171" t="s">
        <v>12</v>
      </c>
      <c r="K3" s="170" t="s">
        <v>11</v>
      </c>
      <c r="L3" s="171" t="s">
        <v>12</v>
      </c>
      <c r="M3" s="170" t="s">
        <v>11</v>
      </c>
      <c r="N3" s="171" t="s">
        <v>12</v>
      </c>
      <c r="O3" s="170" t="s">
        <v>11</v>
      </c>
      <c r="P3" s="171" t="s">
        <v>12</v>
      </c>
      <c r="Q3" s="170" t="s">
        <v>11</v>
      </c>
      <c r="R3" s="171" t="s">
        <v>12</v>
      </c>
      <c r="S3" s="170" t="s">
        <v>11</v>
      </c>
      <c r="T3" s="171" t="s">
        <v>12</v>
      </c>
      <c r="U3" s="170" t="s">
        <v>11</v>
      </c>
      <c r="V3" s="171" t="s">
        <v>12</v>
      </c>
      <c r="W3" s="170" t="s">
        <v>11</v>
      </c>
      <c r="X3" s="171" t="s">
        <v>12</v>
      </c>
      <c r="Y3" s="170" t="s">
        <v>11</v>
      </c>
      <c r="Z3" s="171" t="s">
        <v>12</v>
      </c>
      <c r="AA3" s="170" t="s">
        <v>11</v>
      </c>
      <c r="AB3" s="171" t="s">
        <v>12</v>
      </c>
      <c r="AC3" s="170" t="s">
        <v>11</v>
      </c>
      <c r="AD3" s="171" t="s">
        <v>12</v>
      </c>
      <c r="AE3" s="57" t="s">
        <v>11</v>
      </c>
      <c r="AF3" s="34" t="s">
        <v>12</v>
      </c>
    </row>
    <row r="4" spans="1:32" ht="20.100000000000001" customHeight="1">
      <c r="A4" s="63">
        <v>1</v>
      </c>
      <c r="B4" s="63" t="s">
        <v>13</v>
      </c>
      <c r="C4" s="63" t="s">
        <v>14</v>
      </c>
      <c r="D4" s="63">
        <v>0.7</v>
      </c>
      <c r="E4" s="63" t="s">
        <v>15</v>
      </c>
      <c r="F4" s="63">
        <v>1870</v>
      </c>
      <c r="G4" s="60">
        <v>12</v>
      </c>
      <c r="H4" s="60">
        <f>G4*D4</f>
        <v>8.3999999999999986</v>
      </c>
      <c r="I4" s="60">
        <v>11</v>
      </c>
      <c r="J4" s="60">
        <f>I4*D4</f>
        <v>7.6999999999999993</v>
      </c>
      <c r="K4" s="60">
        <v>11</v>
      </c>
      <c r="L4" s="60">
        <f>K4*D4</f>
        <v>7.6999999999999993</v>
      </c>
      <c r="M4" s="60">
        <v>1</v>
      </c>
      <c r="N4" s="60">
        <f>M4*D4</f>
        <v>0.7</v>
      </c>
      <c r="O4" s="60">
        <v>26</v>
      </c>
      <c r="P4" s="60">
        <f>O4*D4</f>
        <v>18.2</v>
      </c>
      <c r="Q4" s="60">
        <v>34</v>
      </c>
      <c r="R4" s="60">
        <f>Q4*D4</f>
        <v>23.799999999999997</v>
      </c>
      <c r="S4" s="60">
        <v>28</v>
      </c>
      <c r="T4" s="60">
        <f>S4*D4</f>
        <v>19.599999999999998</v>
      </c>
      <c r="U4" s="60">
        <v>40</v>
      </c>
      <c r="V4" s="60">
        <f>U4*D4</f>
        <v>28</v>
      </c>
      <c r="W4" s="60">
        <v>76</v>
      </c>
      <c r="X4" s="60">
        <f>W4*D4</f>
        <v>53.199999999999996</v>
      </c>
      <c r="Y4" s="60">
        <v>62</v>
      </c>
      <c r="Z4" s="60">
        <f>Y4*D4</f>
        <v>43.4</v>
      </c>
      <c r="AA4" s="60">
        <v>51</v>
      </c>
      <c r="AB4" s="60">
        <f>AA4*D4</f>
        <v>35.699999999999996</v>
      </c>
      <c r="AC4" s="60">
        <v>94</v>
      </c>
      <c r="AD4" s="60">
        <f>AC4*D4</f>
        <v>65.8</v>
      </c>
      <c r="AE4" s="60">
        <f>G4+I4+K4+M4+O4+Q4+S4+U4+W4+Y4+AA4+AC4</f>
        <v>446</v>
      </c>
      <c r="AF4" s="60">
        <f>AE4*D4</f>
        <v>312.2</v>
      </c>
    </row>
    <row r="5" spans="1:32" ht="20.100000000000001" customHeight="1">
      <c r="A5" s="63"/>
      <c r="B5" s="63"/>
      <c r="C5" s="63"/>
      <c r="D5" s="63"/>
      <c r="E5" s="63"/>
      <c r="F5" s="63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</row>
    <row r="6" spans="1:32" ht="20.100000000000001" customHeight="1">
      <c r="A6" s="63">
        <v>2</v>
      </c>
      <c r="B6" s="63" t="s">
        <v>16</v>
      </c>
      <c r="C6" s="63" t="s">
        <v>17</v>
      </c>
      <c r="D6" s="63">
        <v>1</v>
      </c>
      <c r="E6" s="63" t="s">
        <v>15</v>
      </c>
      <c r="F6" s="63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</row>
    <row r="7" spans="1:32" ht="20.100000000000001" customHeight="1">
      <c r="A7" s="63">
        <v>3</v>
      </c>
      <c r="B7" s="63" t="s">
        <v>18</v>
      </c>
      <c r="C7" s="63" t="s">
        <v>17</v>
      </c>
      <c r="D7" s="63">
        <v>1</v>
      </c>
      <c r="E7" s="63" t="s">
        <v>15</v>
      </c>
      <c r="F7" s="63">
        <v>1580</v>
      </c>
      <c r="G7" s="60"/>
      <c r="H7" s="60"/>
      <c r="I7" s="60">
        <v>204</v>
      </c>
      <c r="J7" s="60">
        <f t="shared" ref="J7:J63" si="0">I7*D7</f>
        <v>204</v>
      </c>
      <c r="K7" s="60"/>
      <c r="L7" s="60"/>
      <c r="M7" s="60"/>
      <c r="N7" s="60"/>
      <c r="O7" s="60">
        <v>23</v>
      </c>
      <c r="P7" s="60">
        <f t="shared" ref="P7:P63" si="1">O7*D7</f>
        <v>23</v>
      </c>
      <c r="Q7" s="60"/>
      <c r="R7" s="60"/>
      <c r="S7" s="60">
        <v>1</v>
      </c>
      <c r="T7" s="60">
        <f t="shared" ref="T7:T63" si="2">S7*D7</f>
        <v>1</v>
      </c>
      <c r="U7" s="60"/>
      <c r="V7" s="60"/>
      <c r="W7" s="60">
        <v>8</v>
      </c>
      <c r="X7" s="60">
        <f t="shared" ref="X7:X63" si="3">W7*D7</f>
        <v>8</v>
      </c>
      <c r="Y7" s="60">
        <v>16</v>
      </c>
      <c r="Z7" s="60">
        <f t="shared" ref="Z7:Z57" si="4">Y7*D7</f>
        <v>16</v>
      </c>
      <c r="AA7" s="60">
        <v>624</v>
      </c>
      <c r="AB7" s="60">
        <f t="shared" ref="AB7:AB63" si="5">AA7*D7</f>
        <v>624</v>
      </c>
      <c r="AC7" s="60">
        <v>10</v>
      </c>
      <c r="AD7" s="60">
        <f t="shared" ref="AD7:AD63" si="6">AC7*D7</f>
        <v>10</v>
      </c>
      <c r="AE7" s="60">
        <f t="shared" ref="AE7:AE64" si="7">G7+I7+K7+M7+O7+Q7+S7+U7+W7+Y7+AA7+AC7</f>
        <v>886</v>
      </c>
      <c r="AF7" s="60">
        <f t="shared" ref="AF7:AF64" si="8">AE7*D7</f>
        <v>886</v>
      </c>
    </row>
    <row r="8" spans="1:32" ht="20.100000000000001" customHeight="1">
      <c r="A8" s="63">
        <v>4</v>
      </c>
      <c r="B8" s="63" t="s">
        <v>19</v>
      </c>
      <c r="C8" s="63" t="s">
        <v>17</v>
      </c>
      <c r="D8" s="63">
        <v>0.6</v>
      </c>
      <c r="E8" s="63" t="s">
        <v>15</v>
      </c>
      <c r="F8" s="63">
        <v>1080</v>
      </c>
      <c r="G8" s="60"/>
      <c r="H8" s="60"/>
      <c r="I8" s="60">
        <v>15</v>
      </c>
      <c r="J8" s="60">
        <f t="shared" si="0"/>
        <v>9</v>
      </c>
      <c r="K8" s="60"/>
      <c r="L8" s="60"/>
      <c r="M8" s="60"/>
      <c r="N8" s="60"/>
      <c r="O8" s="60">
        <v>93</v>
      </c>
      <c r="P8" s="60">
        <f t="shared" si="1"/>
        <v>55.8</v>
      </c>
      <c r="Q8" s="60"/>
      <c r="R8" s="60"/>
      <c r="S8" s="60"/>
      <c r="T8" s="60"/>
      <c r="U8" s="60"/>
      <c r="V8" s="60"/>
      <c r="W8" s="60"/>
      <c r="X8" s="60"/>
      <c r="Y8" s="60">
        <v>36</v>
      </c>
      <c r="Z8" s="60">
        <f t="shared" si="4"/>
        <v>21.599999999999998</v>
      </c>
      <c r="AA8" s="60"/>
      <c r="AB8" s="60"/>
      <c r="AC8" s="60">
        <v>6</v>
      </c>
      <c r="AD8" s="60">
        <f t="shared" si="6"/>
        <v>3.5999999999999996</v>
      </c>
      <c r="AE8" s="60">
        <f t="shared" si="7"/>
        <v>150</v>
      </c>
      <c r="AF8" s="60">
        <f t="shared" si="8"/>
        <v>90</v>
      </c>
    </row>
    <row r="9" spans="1:32" ht="20.100000000000001" customHeight="1">
      <c r="A9" s="63">
        <v>5</v>
      </c>
      <c r="B9" s="63" t="s">
        <v>20</v>
      </c>
      <c r="C9" s="63" t="s">
        <v>17</v>
      </c>
      <c r="D9" s="63">
        <v>0.35</v>
      </c>
      <c r="E9" s="63" t="s">
        <v>21</v>
      </c>
      <c r="F9" s="63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</row>
    <row r="10" spans="1:32" ht="20.100000000000001" customHeight="1">
      <c r="A10" s="63">
        <v>6</v>
      </c>
      <c r="B10" s="63" t="s">
        <v>22</v>
      </c>
      <c r="C10" s="63" t="s">
        <v>14</v>
      </c>
      <c r="D10" s="63">
        <v>0.7</v>
      </c>
      <c r="E10" s="63" t="s">
        <v>15</v>
      </c>
      <c r="F10" s="63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</row>
    <row r="11" spans="1:32" ht="20.100000000000001" customHeight="1">
      <c r="A11" s="63">
        <v>7</v>
      </c>
      <c r="B11" s="63" t="s">
        <v>23</v>
      </c>
      <c r="C11" s="63" t="s">
        <v>14</v>
      </c>
      <c r="D11" s="63">
        <v>0.64</v>
      </c>
      <c r="E11" s="63" t="s">
        <v>24</v>
      </c>
      <c r="F11" s="63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</row>
    <row r="12" spans="1:32" ht="20.100000000000001" customHeight="1">
      <c r="A12" s="63">
        <v>8</v>
      </c>
      <c r="B12" s="63" t="s">
        <v>23</v>
      </c>
      <c r="C12" s="63" t="s">
        <v>14</v>
      </c>
      <c r="D12" s="63">
        <v>0.64</v>
      </c>
      <c r="E12" s="63" t="s">
        <v>25</v>
      </c>
      <c r="F12" s="63">
        <v>1230</v>
      </c>
      <c r="G12" s="60">
        <v>71</v>
      </c>
      <c r="H12" s="60">
        <f t="shared" ref="H12:H63" si="9">G12*D12</f>
        <v>45.44</v>
      </c>
      <c r="I12" s="60">
        <v>49</v>
      </c>
      <c r="J12" s="60">
        <f t="shared" si="0"/>
        <v>31.36</v>
      </c>
      <c r="K12" s="60">
        <v>64</v>
      </c>
      <c r="L12" s="60">
        <f t="shared" ref="L12:L64" si="10">K12*D12</f>
        <v>40.96</v>
      </c>
      <c r="M12" s="60">
        <v>59</v>
      </c>
      <c r="N12" s="60">
        <f t="shared" ref="N12:N63" si="11">M12*D12</f>
        <v>37.76</v>
      </c>
      <c r="O12" s="60">
        <v>54</v>
      </c>
      <c r="P12" s="60">
        <f t="shared" si="1"/>
        <v>34.56</v>
      </c>
      <c r="Q12" s="60">
        <v>47</v>
      </c>
      <c r="R12" s="60">
        <f t="shared" ref="R12:R63" si="12">Q12*D12</f>
        <v>30.080000000000002</v>
      </c>
      <c r="S12" s="60">
        <v>65</v>
      </c>
      <c r="T12" s="60">
        <f t="shared" si="2"/>
        <v>41.6</v>
      </c>
      <c r="U12" s="60">
        <v>96</v>
      </c>
      <c r="V12" s="60">
        <f t="shared" ref="V12:V57" si="13">U12*D12</f>
        <v>61.44</v>
      </c>
      <c r="W12" s="60">
        <v>90</v>
      </c>
      <c r="X12" s="60">
        <f t="shared" si="3"/>
        <v>57.6</v>
      </c>
      <c r="Y12" s="60">
        <v>77</v>
      </c>
      <c r="Z12" s="60">
        <f t="shared" si="4"/>
        <v>49.28</v>
      </c>
      <c r="AA12" s="60">
        <v>72</v>
      </c>
      <c r="AB12" s="60">
        <f t="shared" si="5"/>
        <v>46.08</v>
      </c>
      <c r="AC12" s="60">
        <v>97</v>
      </c>
      <c r="AD12" s="60">
        <f t="shared" si="6"/>
        <v>62.08</v>
      </c>
      <c r="AE12" s="60">
        <f t="shared" si="7"/>
        <v>841</v>
      </c>
      <c r="AF12" s="60">
        <f t="shared" si="8"/>
        <v>538.24</v>
      </c>
    </row>
    <row r="13" spans="1:32" ht="20.100000000000001" customHeight="1">
      <c r="A13" s="63">
        <v>9</v>
      </c>
      <c r="B13" s="63" t="s">
        <v>23</v>
      </c>
      <c r="C13" s="63" t="s">
        <v>14</v>
      </c>
      <c r="D13" s="63">
        <v>0.64</v>
      </c>
      <c r="E13" s="63" t="s">
        <v>15</v>
      </c>
      <c r="F13" s="63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</row>
    <row r="14" spans="1:32" ht="20.100000000000001" customHeight="1">
      <c r="A14" s="63">
        <v>10</v>
      </c>
      <c r="B14" s="63" t="s">
        <v>26</v>
      </c>
      <c r="C14" s="63" t="s">
        <v>14</v>
      </c>
      <c r="D14" s="63">
        <v>0.64</v>
      </c>
      <c r="E14" s="63" t="s">
        <v>25</v>
      </c>
      <c r="F14" s="63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</row>
    <row r="15" spans="1:32" ht="20.100000000000001" customHeight="1">
      <c r="A15" s="63"/>
      <c r="B15" s="63"/>
      <c r="C15" s="63"/>
      <c r="D15" s="63"/>
      <c r="E15" s="63"/>
      <c r="F15" s="63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</row>
    <row r="16" spans="1:32" ht="20.100000000000001" customHeight="1">
      <c r="A16" s="63">
        <v>11</v>
      </c>
      <c r="B16" s="63" t="s">
        <v>27</v>
      </c>
      <c r="C16" s="63" t="s">
        <v>17</v>
      </c>
      <c r="D16" s="63">
        <v>1</v>
      </c>
      <c r="E16" s="63" t="s">
        <v>15</v>
      </c>
      <c r="F16" s="63">
        <v>1530</v>
      </c>
      <c r="G16" s="60"/>
      <c r="H16" s="60"/>
      <c r="I16" s="60">
        <v>5</v>
      </c>
      <c r="J16" s="60">
        <f t="shared" si="0"/>
        <v>5</v>
      </c>
      <c r="K16" s="60">
        <v>1</v>
      </c>
      <c r="L16" s="60">
        <f t="shared" si="10"/>
        <v>1</v>
      </c>
      <c r="M16" s="60">
        <v>12</v>
      </c>
      <c r="N16" s="60">
        <f t="shared" si="11"/>
        <v>12</v>
      </c>
      <c r="O16" s="60">
        <v>31</v>
      </c>
      <c r="P16" s="60">
        <f t="shared" si="1"/>
        <v>31</v>
      </c>
      <c r="Q16" s="60">
        <v>12</v>
      </c>
      <c r="R16" s="60">
        <f t="shared" si="12"/>
        <v>12</v>
      </c>
      <c r="S16" s="60">
        <v>15</v>
      </c>
      <c r="T16" s="60">
        <f t="shared" si="2"/>
        <v>15</v>
      </c>
      <c r="U16" s="60">
        <v>8</v>
      </c>
      <c r="V16" s="60">
        <f t="shared" si="13"/>
        <v>8</v>
      </c>
      <c r="W16" s="60">
        <v>10</v>
      </c>
      <c r="X16" s="60">
        <f t="shared" si="3"/>
        <v>10</v>
      </c>
      <c r="Y16" s="60">
        <v>5</v>
      </c>
      <c r="Z16" s="60">
        <f t="shared" si="4"/>
        <v>5</v>
      </c>
      <c r="AA16" s="60">
        <v>19</v>
      </c>
      <c r="AB16" s="60">
        <f t="shared" si="5"/>
        <v>19</v>
      </c>
      <c r="AC16" s="60">
        <v>6</v>
      </c>
      <c r="AD16" s="60">
        <f t="shared" si="6"/>
        <v>6</v>
      </c>
      <c r="AE16" s="60">
        <f t="shared" si="7"/>
        <v>124</v>
      </c>
      <c r="AF16" s="60">
        <f t="shared" si="8"/>
        <v>124</v>
      </c>
    </row>
    <row r="17" spans="1:32" ht="20.100000000000001" customHeight="1">
      <c r="A17" s="63">
        <v>12</v>
      </c>
      <c r="B17" s="63" t="s">
        <v>28</v>
      </c>
      <c r="C17" s="63" t="s">
        <v>17</v>
      </c>
      <c r="D17" s="63">
        <v>1</v>
      </c>
      <c r="E17" s="63" t="s">
        <v>15</v>
      </c>
      <c r="F17" s="63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</row>
    <row r="18" spans="1:32" ht="20.100000000000001" customHeight="1">
      <c r="A18" s="63">
        <v>13</v>
      </c>
      <c r="B18" s="63" t="s">
        <v>29</v>
      </c>
      <c r="C18" s="63" t="s">
        <v>17</v>
      </c>
      <c r="D18" s="63">
        <v>0.6</v>
      </c>
      <c r="E18" s="63" t="s">
        <v>15</v>
      </c>
      <c r="F18" s="63">
        <v>1090</v>
      </c>
      <c r="G18" s="60">
        <v>36</v>
      </c>
      <c r="H18" s="60">
        <f t="shared" si="9"/>
        <v>21.599999999999998</v>
      </c>
      <c r="I18" s="60">
        <v>1</v>
      </c>
      <c r="J18" s="60">
        <f t="shared" si="0"/>
        <v>0.6</v>
      </c>
      <c r="K18" s="60"/>
      <c r="L18" s="60"/>
      <c r="M18" s="60"/>
      <c r="N18" s="60"/>
      <c r="O18" s="60">
        <v>1</v>
      </c>
      <c r="P18" s="60">
        <f t="shared" si="1"/>
        <v>0.6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>
        <v>2</v>
      </c>
      <c r="AB18" s="60">
        <f t="shared" si="5"/>
        <v>1.2</v>
      </c>
      <c r="AC18" s="60"/>
      <c r="AD18" s="60"/>
      <c r="AE18" s="60">
        <f t="shared" si="7"/>
        <v>40</v>
      </c>
      <c r="AF18" s="60">
        <f t="shared" si="8"/>
        <v>24</v>
      </c>
    </row>
    <row r="19" spans="1:32" ht="20.100000000000001" customHeight="1">
      <c r="A19" s="63">
        <v>14</v>
      </c>
      <c r="B19" s="63" t="s">
        <v>30</v>
      </c>
      <c r="C19" s="63" t="s">
        <v>17</v>
      </c>
      <c r="D19" s="63">
        <v>0.6</v>
      </c>
      <c r="E19" s="63" t="s">
        <v>15</v>
      </c>
      <c r="F19" s="63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</row>
    <row r="20" spans="1:32" ht="20.100000000000001" customHeight="1">
      <c r="A20" s="63">
        <v>15</v>
      </c>
      <c r="B20" s="63" t="s">
        <v>31</v>
      </c>
      <c r="C20" s="63" t="s">
        <v>17</v>
      </c>
      <c r="D20" s="63">
        <v>0.35</v>
      </c>
      <c r="E20" s="63" t="s">
        <v>21</v>
      </c>
      <c r="F20" s="63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</row>
    <row r="21" spans="1:32" ht="20.100000000000001" customHeight="1">
      <c r="A21" s="63">
        <v>16</v>
      </c>
      <c r="B21" s="63" t="s">
        <v>32</v>
      </c>
      <c r="C21" s="63" t="s">
        <v>17</v>
      </c>
      <c r="D21" s="63">
        <v>0.35</v>
      </c>
      <c r="E21" s="63" t="s">
        <v>21</v>
      </c>
      <c r="F21" s="63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</row>
    <row r="22" spans="1:32" ht="20.100000000000001" customHeight="1">
      <c r="A22" s="63">
        <v>17</v>
      </c>
      <c r="B22" s="63" t="s">
        <v>33</v>
      </c>
      <c r="C22" s="63" t="s">
        <v>14</v>
      </c>
      <c r="D22" s="63">
        <v>0.64</v>
      </c>
      <c r="E22" s="63" t="s">
        <v>25</v>
      </c>
      <c r="F22" s="63">
        <v>1230</v>
      </c>
      <c r="G22" s="60">
        <v>17</v>
      </c>
      <c r="H22" s="60">
        <f t="shared" si="9"/>
        <v>10.88</v>
      </c>
      <c r="I22" s="60">
        <v>11</v>
      </c>
      <c r="J22" s="60">
        <f t="shared" si="0"/>
        <v>7.04</v>
      </c>
      <c r="K22" s="60"/>
      <c r="L22" s="60"/>
      <c r="M22" s="60">
        <v>16</v>
      </c>
      <c r="N22" s="60">
        <f t="shared" si="11"/>
        <v>10.24</v>
      </c>
      <c r="O22" s="60"/>
      <c r="P22" s="60"/>
      <c r="Q22" s="60">
        <v>23</v>
      </c>
      <c r="R22" s="60">
        <f t="shared" si="12"/>
        <v>14.72</v>
      </c>
      <c r="S22" s="60">
        <v>24</v>
      </c>
      <c r="T22" s="60">
        <f t="shared" si="2"/>
        <v>15.36</v>
      </c>
      <c r="U22" s="60">
        <v>17</v>
      </c>
      <c r="V22" s="60">
        <f t="shared" si="13"/>
        <v>10.88</v>
      </c>
      <c r="W22" s="60">
        <v>21</v>
      </c>
      <c r="X22" s="60">
        <f t="shared" si="3"/>
        <v>13.44</v>
      </c>
      <c r="Y22" s="60">
        <v>21</v>
      </c>
      <c r="Z22" s="60">
        <f t="shared" si="4"/>
        <v>13.44</v>
      </c>
      <c r="AA22" s="60">
        <v>26</v>
      </c>
      <c r="AB22" s="60">
        <f t="shared" si="5"/>
        <v>16.64</v>
      </c>
      <c r="AC22" s="60">
        <v>12</v>
      </c>
      <c r="AD22" s="60">
        <f t="shared" si="6"/>
        <v>7.68</v>
      </c>
      <c r="AE22" s="60">
        <f t="shared" si="7"/>
        <v>188</v>
      </c>
      <c r="AF22" s="60">
        <f t="shared" si="8"/>
        <v>120.32000000000001</v>
      </c>
    </row>
    <row r="23" spans="1:32" ht="20.100000000000001" customHeight="1">
      <c r="A23" s="63">
        <v>18</v>
      </c>
      <c r="B23" s="63" t="s">
        <v>34</v>
      </c>
      <c r="C23" s="63" t="s">
        <v>14</v>
      </c>
      <c r="D23" s="63">
        <v>0.64</v>
      </c>
      <c r="E23" s="63" t="s">
        <v>25</v>
      </c>
      <c r="F23" s="63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</row>
    <row r="24" spans="1:32" ht="20.100000000000001" customHeight="1">
      <c r="A24" s="63">
        <v>19</v>
      </c>
      <c r="B24" s="63" t="s">
        <v>35</v>
      </c>
      <c r="C24" s="63" t="s">
        <v>14</v>
      </c>
      <c r="D24" s="63">
        <v>0.64</v>
      </c>
      <c r="E24" s="63" t="s">
        <v>25</v>
      </c>
      <c r="F24" s="63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</row>
    <row r="25" spans="1:32" ht="20.100000000000001" customHeight="1">
      <c r="A25" s="63"/>
      <c r="B25" s="63"/>
      <c r="C25" s="63"/>
      <c r="D25" s="63"/>
      <c r="E25" s="63"/>
      <c r="F25" s="63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</row>
    <row r="26" spans="1:32" ht="20.100000000000001" customHeight="1">
      <c r="A26" s="63">
        <v>20</v>
      </c>
      <c r="B26" s="63" t="s">
        <v>36</v>
      </c>
      <c r="C26" s="63" t="s">
        <v>17</v>
      </c>
      <c r="D26" s="63">
        <v>1</v>
      </c>
      <c r="E26" s="63" t="s">
        <v>24</v>
      </c>
      <c r="F26" s="63">
        <v>1900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</row>
    <row r="27" spans="1:32" ht="20.100000000000001" customHeight="1">
      <c r="A27" s="63">
        <v>21</v>
      </c>
      <c r="B27" s="63" t="s">
        <v>37</v>
      </c>
      <c r="C27" s="63" t="s">
        <v>17</v>
      </c>
      <c r="D27" s="63">
        <v>0.6</v>
      </c>
      <c r="E27" s="63" t="s">
        <v>38</v>
      </c>
      <c r="F27" s="63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</row>
    <row r="28" spans="1:32" ht="20.100000000000001" customHeight="1">
      <c r="A28" s="63">
        <v>22</v>
      </c>
      <c r="B28" s="63" t="s">
        <v>39</v>
      </c>
      <c r="C28" s="63" t="s">
        <v>14</v>
      </c>
      <c r="D28" s="63">
        <v>0.64</v>
      </c>
      <c r="E28" s="63" t="s">
        <v>25</v>
      </c>
      <c r="F28" s="63">
        <v>1500</v>
      </c>
      <c r="G28" s="60">
        <v>15</v>
      </c>
      <c r="H28" s="60">
        <f t="shared" si="9"/>
        <v>9.6</v>
      </c>
      <c r="I28" s="60">
        <v>24</v>
      </c>
      <c r="J28" s="60">
        <f t="shared" si="0"/>
        <v>15.36</v>
      </c>
      <c r="K28" s="60">
        <v>25</v>
      </c>
      <c r="L28" s="60">
        <f t="shared" si="10"/>
        <v>16</v>
      </c>
      <c r="M28" s="60">
        <v>18</v>
      </c>
      <c r="N28" s="60">
        <f t="shared" si="11"/>
        <v>11.52</v>
      </c>
      <c r="O28" s="60">
        <v>24</v>
      </c>
      <c r="P28" s="60">
        <f t="shared" si="1"/>
        <v>15.36</v>
      </c>
      <c r="Q28" s="60">
        <v>55</v>
      </c>
      <c r="R28" s="60">
        <f t="shared" si="12"/>
        <v>35.200000000000003</v>
      </c>
      <c r="S28" s="60">
        <v>58</v>
      </c>
      <c r="T28" s="60">
        <f t="shared" si="2"/>
        <v>37.119999999999997</v>
      </c>
      <c r="U28" s="60">
        <v>80</v>
      </c>
      <c r="V28" s="60">
        <f t="shared" si="13"/>
        <v>51.2</v>
      </c>
      <c r="W28" s="60">
        <v>55</v>
      </c>
      <c r="X28" s="60">
        <f>W28*D28</f>
        <v>35.200000000000003</v>
      </c>
      <c r="Y28" s="60">
        <v>52</v>
      </c>
      <c r="Z28" s="60">
        <f t="shared" si="4"/>
        <v>33.28</v>
      </c>
      <c r="AA28" s="60">
        <v>94</v>
      </c>
      <c r="AB28" s="60">
        <f t="shared" si="5"/>
        <v>60.160000000000004</v>
      </c>
      <c r="AC28" s="60">
        <v>54</v>
      </c>
      <c r="AD28" s="60">
        <f t="shared" si="6"/>
        <v>34.56</v>
      </c>
      <c r="AE28" s="60">
        <f t="shared" si="7"/>
        <v>554</v>
      </c>
      <c r="AF28" s="60">
        <f t="shared" si="8"/>
        <v>354.56</v>
      </c>
    </row>
    <row r="29" spans="1:32" ht="20.100000000000001" customHeight="1">
      <c r="A29" s="63">
        <v>23</v>
      </c>
      <c r="B29" s="63" t="s">
        <v>40</v>
      </c>
      <c r="C29" s="63" t="s">
        <v>14</v>
      </c>
      <c r="D29" s="63">
        <v>0.64</v>
      </c>
      <c r="E29" s="63" t="s">
        <v>25</v>
      </c>
      <c r="F29" s="63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</row>
    <row r="30" spans="1:32" ht="20.100000000000001" customHeight="1">
      <c r="A30" s="63"/>
      <c r="B30" s="63"/>
      <c r="C30" s="63"/>
      <c r="D30" s="63"/>
      <c r="E30" s="63"/>
      <c r="F30" s="63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</row>
    <row r="31" spans="1:32" ht="20.100000000000001" customHeight="1">
      <c r="A31" s="63">
        <v>24</v>
      </c>
      <c r="B31" s="63" t="s">
        <v>41</v>
      </c>
      <c r="C31" s="63" t="s">
        <v>17</v>
      </c>
      <c r="D31" s="63">
        <v>1</v>
      </c>
      <c r="E31" s="63" t="s">
        <v>15</v>
      </c>
      <c r="F31" s="63">
        <v>1580</v>
      </c>
      <c r="G31" s="60"/>
      <c r="H31" s="60"/>
      <c r="I31" s="60"/>
      <c r="J31" s="60"/>
      <c r="K31" s="60"/>
      <c r="L31" s="60"/>
      <c r="M31" s="60"/>
      <c r="N31" s="60"/>
      <c r="O31" s="60">
        <v>12</v>
      </c>
      <c r="P31" s="60">
        <f t="shared" si="1"/>
        <v>12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>
        <f t="shared" si="7"/>
        <v>12</v>
      </c>
      <c r="AF31" s="60">
        <f t="shared" si="8"/>
        <v>12</v>
      </c>
    </row>
    <row r="32" spans="1:32" ht="20.100000000000001" customHeight="1">
      <c r="A32" s="63">
        <v>25</v>
      </c>
      <c r="B32" s="63" t="s">
        <v>42</v>
      </c>
      <c r="C32" s="63" t="s">
        <v>17</v>
      </c>
      <c r="D32" s="63">
        <v>1</v>
      </c>
      <c r="E32" s="63" t="s">
        <v>15</v>
      </c>
      <c r="F32" s="63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</row>
    <row r="33" spans="1:32" ht="20.100000000000001" customHeight="1">
      <c r="A33" s="63">
        <v>26</v>
      </c>
      <c r="B33" s="63" t="s">
        <v>43</v>
      </c>
      <c r="C33" s="63" t="s">
        <v>17</v>
      </c>
      <c r="D33" s="63">
        <v>0.6</v>
      </c>
      <c r="E33" s="63" t="s">
        <v>15</v>
      </c>
      <c r="F33" s="63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</row>
    <row r="34" spans="1:32" ht="20.100000000000001" customHeight="1">
      <c r="A34" s="63">
        <v>27</v>
      </c>
      <c r="B34" s="63" t="s">
        <v>44</v>
      </c>
      <c r="C34" s="63" t="s">
        <v>17</v>
      </c>
      <c r="D34" s="63">
        <v>0.6</v>
      </c>
      <c r="E34" s="63" t="s">
        <v>15</v>
      </c>
      <c r="F34" s="63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</row>
    <row r="35" spans="1:32" ht="20.100000000000001" customHeight="1">
      <c r="A35" s="63">
        <v>28</v>
      </c>
      <c r="B35" s="63" t="s">
        <v>45</v>
      </c>
      <c r="C35" s="63" t="s">
        <v>17</v>
      </c>
      <c r="D35" s="63">
        <v>0.35</v>
      </c>
      <c r="E35" s="63" t="s">
        <v>21</v>
      </c>
      <c r="F35" s="63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</row>
    <row r="36" spans="1:32" ht="20.100000000000001" customHeight="1">
      <c r="A36" s="63">
        <v>29</v>
      </c>
      <c r="B36" s="63" t="s">
        <v>46</v>
      </c>
      <c r="C36" s="63" t="s">
        <v>14</v>
      </c>
      <c r="D36" s="63">
        <v>0.7</v>
      </c>
      <c r="E36" s="63" t="s">
        <v>15</v>
      </c>
      <c r="F36" s="63">
        <v>1700</v>
      </c>
      <c r="G36" s="60">
        <v>10</v>
      </c>
      <c r="H36" s="60">
        <f t="shared" si="9"/>
        <v>7</v>
      </c>
      <c r="I36" s="60">
        <v>8</v>
      </c>
      <c r="J36" s="60">
        <f t="shared" si="0"/>
        <v>5.6</v>
      </c>
      <c r="K36" s="60">
        <v>4</v>
      </c>
      <c r="L36" s="60">
        <f t="shared" si="10"/>
        <v>2.8</v>
      </c>
      <c r="M36" s="60">
        <v>5</v>
      </c>
      <c r="N36" s="60">
        <f t="shared" si="11"/>
        <v>3.5</v>
      </c>
      <c r="O36" s="60">
        <v>12</v>
      </c>
      <c r="P36" s="60">
        <f t="shared" si="1"/>
        <v>8.3999999999999986</v>
      </c>
      <c r="Q36" s="60">
        <v>4</v>
      </c>
      <c r="R36" s="60">
        <f t="shared" si="12"/>
        <v>2.8</v>
      </c>
      <c r="S36" s="60">
        <v>14</v>
      </c>
      <c r="T36" s="60">
        <f t="shared" si="2"/>
        <v>9.7999999999999989</v>
      </c>
      <c r="U36" s="60">
        <v>11</v>
      </c>
      <c r="V36" s="60">
        <f t="shared" si="13"/>
        <v>7.6999999999999993</v>
      </c>
      <c r="W36" s="60">
        <v>6</v>
      </c>
      <c r="X36" s="60">
        <f t="shared" si="3"/>
        <v>4.1999999999999993</v>
      </c>
      <c r="Y36" s="60">
        <v>3</v>
      </c>
      <c r="Z36" s="60">
        <f t="shared" si="4"/>
        <v>2.0999999999999996</v>
      </c>
      <c r="AA36" s="60">
        <v>14</v>
      </c>
      <c r="AB36" s="60">
        <f t="shared" si="5"/>
        <v>9.7999999999999989</v>
      </c>
      <c r="AC36" s="60">
        <v>2</v>
      </c>
      <c r="AD36" s="60">
        <f t="shared" si="6"/>
        <v>1.4</v>
      </c>
      <c r="AE36" s="60">
        <f t="shared" si="7"/>
        <v>93</v>
      </c>
      <c r="AF36" s="60">
        <f t="shared" si="8"/>
        <v>65.099999999999994</v>
      </c>
    </row>
    <row r="37" spans="1:32" ht="20.100000000000001" customHeight="1">
      <c r="A37" s="63">
        <v>30</v>
      </c>
      <c r="B37" s="63" t="s">
        <v>47</v>
      </c>
      <c r="C37" s="63" t="s">
        <v>14</v>
      </c>
      <c r="D37" s="63">
        <v>0.7</v>
      </c>
      <c r="E37" s="63" t="s">
        <v>15</v>
      </c>
      <c r="F37" s="63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</row>
    <row r="38" spans="1:32" ht="20.100000000000001" customHeight="1">
      <c r="A38" s="63">
        <v>31</v>
      </c>
      <c r="B38" s="63" t="s">
        <v>48</v>
      </c>
      <c r="C38" s="63" t="s">
        <v>14</v>
      </c>
      <c r="D38" s="63">
        <v>0.68</v>
      </c>
      <c r="E38" s="63" t="s">
        <v>15</v>
      </c>
      <c r="F38" s="63">
        <v>1500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>
        <v>65</v>
      </c>
      <c r="Z38" s="60">
        <f t="shared" si="4"/>
        <v>44.2</v>
      </c>
      <c r="AA38" s="60">
        <v>15</v>
      </c>
      <c r="AB38" s="60">
        <f t="shared" si="5"/>
        <v>10.200000000000001</v>
      </c>
      <c r="AC38" s="60">
        <v>8</v>
      </c>
      <c r="AD38" s="60">
        <f t="shared" si="6"/>
        <v>5.44</v>
      </c>
      <c r="AE38" s="60">
        <f t="shared" si="7"/>
        <v>88</v>
      </c>
      <c r="AF38" s="60">
        <f t="shared" si="8"/>
        <v>59.84</v>
      </c>
    </row>
    <row r="39" spans="1:32" ht="20.100000000000001" customHeight="1">
      <c r="A39" s="63">
        <v>32</v>
      </c>
      <c r="B39" s="63" t="s">
        <v>48</v>
      </c>
      <c r="C39" s="63" t="s">
        <v>14</v>
      </c>
      <c r="D39" s="63">
        <v>0.64</v>
      </c>
      <c r="E39" s="63" t="s">
        <v>15</v>
      </c>
      <c r="F39" s="63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>
        <v>5</v>
      </c>
      <c r="X39" s="60">
        <f t="shared" si="3"/>
        <v>3.2</v>
      </c>
      <c r="Y39" s="60"/>
      <c r="Z39" s="60"/>
      <c r="AA39" s="60"/>
      <c r="AB39" s="60"/>
      <c r="AC39" s="60"/>
      <c r="AD39" s="60"/>
      <c r="AE39" s="60">
        <f t="shared" si="7"/>
        <v>5</v>
      </c>
      <c r="AF39" s="60">
        <f t="shared" si="8"/>
        <v>3.2</v>
      </c>
    </row>
    <row r="40" spans="1:32" ht="20.100000000000001" customHeight="1">
      <c r="A40" s="63">
        <v>33</v>
      </c>
      <c r="B40" s="63" t="s">
        <v>49</v>
      </c>
      <c r="C40" s="63" t="s">
        <v>14</v>
      </c>
      <c r="D40" s="63">
        <v>0.64</v>
      </c>
      <c r="E40" s="63" t="s">
        <v>25</v>
      </c>
      <c r="F40" s="63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</row>
    <row r="41" spans="1:32" ht="20.100000000000001" customHeight="1">
      <c r="A41" s="63">
        <v>34</v>
      </c>
      <c r="B41" s="63" t="s">
        <v>47</v>
      </c>
      <c r="C41" s="63" t="s">
        <v>14</v>
      </c>
      <c r="D41" s="63">
        <v>0.64</v>
      </c>
      <c r="E41" s="63" t="s">
        <v>25</v>
      </c>
      <c r="F41" s="63">
        <v>1230</v>
      </c>
      <c r="G41" s="60">
        <v>24</v>
      </c>
      <c r="H41" s="60">
        <f t="shared" si="9"/>
        <v>15.36</v>
      </c>
      <c r="I41" s="60">
        <v>6</v>
      </c>
      <c r="J41" s="60">
        <f t="shared" si="0"/>
        <v>3.84</v>
      </c>
      <c r="K41" s="60">
        <v>6</v>
      </c>
      <c r="L41" s="60">
        <f t="shared" si="10"/>
        <v>3.84</v>
      </c>
      <c r="M41" s="60">
        <v>5</v>
      </c>
      <c r="N41" s="60">
        <f t="shared" si="11"/>
        <v>3.2</v>
      </c>
      <c r="O41" s="60">
        <v>25</v>
      </c>
      <c r="P41" s="60">
        <f t="shared" si="1"/>
        <v>16</v>
      </c>
      <c r="Q41" s="60">
        <v>19</v>
      </c>
      <c r="R41" s="60">
        <f t="shared" si="12"/>
        <v>12.16</v>
      </c>
      <c r="S41" s="60">
        <v>21</v>
      </c>
      <c r="T41" s="60">
        <f t="shared" si="2"/>
        <v>13.44</v>
      </c>
      <c r="U41" s="60">
        <v>31</v>
      </c>
      <c r="V41" s="60">
        <f t="shared" si="13"/>
        <v>19.84</v>
      </c>
      <c r="W41" s="60">
        <v>26</v>
      </c>
      <c r="X41" s="60">
        <f t="shared" si="3"/>
        <v>16.64</v>
      </c>
      <c r="Y41" s="60">
        <v>28</v>
      </c>
      <c r="Z41" s="60">
        <f t="shared" si="4"/>
        <v>17.920000000000002</v>
      </c>
      <c r="AA41" s="60">
        <v>15</v>
      </c>
      <c r="AB41" s="60">
        <f t="shared" si="5"/>
        <v>9.6</v>
      </c>
      <c r="AC41" s="60">
        <v>18</v>
      </c>
      <c r="AD41" s="60">
        <f t="shared" si="6"/>
        <v>11.52</v>
      </c>
      <c r="AE41" s="60">
        <f t="shared" si="7"/>
        <v>224</v>
      </c>
      <c r="AF41" s="60">
        <f t="shared" si="8"/>
        <v>143.36000000000001</v>
      </c>
    </row>
    <row r="42" spans="1:32" ht="20.100000000000001" customHeight="1">
      <c r="A42" s="63">
        <v>35</v>
      </c>
      <c r="B42" s="63" t="s">
        <v>47</v>
      </c>
      <c r="C42" s="63" t="s">
        <v>14</v>
      </c>
      <c r="D42" s="63">
        <v>0.64</v>
      </c>
      <c r="E42" s="63" t="s">
        <v>24</v>
      </c>
      <c r="F42" s="63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</row>
    <row r="43" spans="1:32" ht="20.100000000000001" customHeight="1">
      <c r="A43" s="63">
        <v>36</v>
      </c>
      <c r="B43" s="63" t="s">
        <v>50</v>
      </c>
      <c r="C43" s="63" t="s">
        <v>14</v>
      </c>
      <c r="D43" s="63">
        <v>0.68</v>
      </c>
      <c r="E43" s="63" t="s">
        <v>25</v>
      </c>
      <c r="F43" s="63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 spans="1:32" ht="20.100000000000001" customHeight="1">
      <c r="A44" s="63">
        <v>37</v>
      </c>
      <c r="B44" s="63" t="s">
        <v>50</v>
      </c>
      <c r="C44" s="63" t="s">
        <v>14</v>
      </c>
      <c r="D44" s="63">
        <v>0.64</v>
      </c>
      <c r="E44" s="63" t="s">
        <v>25</v>
      </c>
      <c r="F44" s="63">
        <v>1500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</row>
    <row r="45" spans="1:32" ht="20.100000000000001" customHeight="1">
      <c r="A45" s="63">
        <v>38</v>
      </c>
      <c r="B45" s="63" t="s">
        <v>51</v>
      </c>
      <c r="C45" s="63" t="s">
        <v>14</v>
      </c>
      <c r="D45" s="63">
        <v>0.64</v>
      </c>
      <c r="E45" s="63" t="s">
        <v>25</v>
      </c>
      <c r="F45" s="63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</row>
    <row r="46" spans="1:32" ht="20.100000000000001" customHeight="1">
      <c r="A46" s="63">
        <v>39</v>
      </c>
      <c r="B46" s="63" t="s">
        <v>51</v>
      </c>
      <c r="C46" s="63" t="s">
        <v>14</v>
      </c>
      <c r="D46" s="63">
        <v>0.64</v>
      </c>
      <c r="E46" s="63" t="s">
        <v>25</v>
      </c>
      <c r="F46" s="63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</row>
    <row r="47" spans="1:32" ht="20.100000000000001" customHeight="1">
      <c r="A47" s="63">
        <v>40</v>
      </c>
      <c r="B47" s="63" t="s">
        <v>51</v>
      </c>
      <c r="C47" s="63" t="s">
        <v>14</v>
      </c>
      <c r="D47" s="63">
        <v>0.64</v>
      </c>
      <c r="E47" s="63" t="s">
        <v>25</v>
      </c>
      <c r="F47" s="63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</row>
    <row r="48" spans="1:32" ht="20.100000000000001" customHeight="1">
      <c r="A48" s="63"/>
      <c r="B48" s="63"/>
      <c r="C48" s="63"/>
      <c r="D48" s="63"/>
      <c r="E48" s="63"/>
      <c r="F48" s="63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</row>
    <row r="49" spans="1:32" ht="20.100000000000001" customHeight="1">
      <c r="A49" s="63">
        <v>41</v>
      </c>
      <c r="B49" s="63" t="s">
        <v>52</v>
      </c>
      <c r="C49" s="63" t="s">
        <v>17</v>
      </c>
      <c r="D49" s="63">
        <v>1</v>
      </c>
      <c r="E49" s="63" t="s">
        <v>15</v>
      </c>
      <c r="F49" s="63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</row>
    <row r="50" spans="1:32" ht="20.100000000000001" customHeight="1">
      <c r="A50" s="63">
        <v>42</v>
      </c>
      <c r="B50" s="63" t="s">
        <v>52</v>
      </c>
      <c r="C50" s="63" t="s">
        <v>17</v>
      </c>
      <c r="D50" s="63">
        <v>1</v>
      </c>
      <c r="E50" s="63" t="s">
        <v>24</v>
      </c>
      <c r="F50" s="63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</row>
    <row r="51" spans="1:32" ht="20.100000000000001" customHeight="1">
      <c r="A51" s="63">
        <v>43</v>
      </c>
      <c r="B51" s="63" t="s">
        <v>53</v>
      </c>
      <c r="C51" s="63" t="s">
        <v>14</v>
      </c>
      <c r="D51" s="63">
        <v>0.64</v>
      </c>
      <c r="E51" s="63" t="s">
        <v>25</v>
      </c>
      <c r="F51" s="63">
        <v>1270</v>
      </c>
      <c r="G51" s="60">
        <v>27</v>
      </c>
      <c r="H51" s="60">
        <f t="shared" si="9"/>
        <v>17.28</v>
      </c>
      <c r="I51" s="60">
        <v>20</v>
      </c>
      <c r="J51" s="60">
        <f t="shared" si="0"/>
        <v>12.8</v>
      </c>
      <c r="K51" s="60">
        <v>17</v>
      </c>
      <c r="L51" s="60">
        <f t="shared" si="10"/>
        <v>10.88</v>
      </c>
      <c r="M51" s="60">
        <v>13</v>
      </c>
      <c r="N51" s="60">
        <f t="shared" si="11"/>
        <v>8.32</v>
      </c>
      <c r="O51" s="60">
        <v>16</v>
      </c>
      <c r="P51" s="60">
        <f t="shared" si="1"/>
        <v>10.24</v>
      </c>
      <c r="Q51" s="60">
        <v>29</v>
      </c>
      <c r="R51" s="60">
        <f t="shared" si="12"/>
        <v>18.559999999999999</v>
      </c>
      <c r="S51" s="60">
        <v>15</v>
      </c>
      <c r="T51" s="60">
        <f t="shared" si="2"/>
        <v>9.6</v>
      </c>
      <c r="U51" s="60">
        <v>37</v>
      </c>
      <c r="V51" s="60">
        <f t="shared" si="13"/>
        <v>23.68</v>
      </c>
      <c r="W51" s="60">
        <v>50</v>
      </c>
      <c r="X51" s="60">
        <f t="shared" si="3"/>
        <v>32</v>
      </c>
      <c r="Y51" s="60">
        <v>15</v>
      </c>
      <c r="Z51" s="60">
        <f t="shared" si="4"/>
        <v>9.6</v>
      </c>
      <c r="AA51" s="60">
        <v>33</v>
      </c>
      <c r="AB51" s="60">
        <f t="shared" si="5"/>
        <v>21.12</v>
      </c>
      <c r="AC51" s="60">
        <v>59</v>
      </c>
      <c r="AD51" s="60">
        <f t="shared" si="6"/>
        <v>37.76</v>
      </c>
      <c r="AE51" s="60">
        <f t="shared" si="7"/>
        <v>331</v>
      </c>
      <c r="AF51" s="60">
        <f t="shared" si="8"/>
        <v>211.84</v>
      </c>
    </row>
    <row r="52" spans="1:32" ht="20.100000000000001" customHeight="1">
      <c r="A52" s="63">
        <v>44</v>
      </c>
      <c r="B52" s="63" t="s">
        <v>53</v>
      </c>
      <c r="C52" s="63" t="s">
        <v>14</v>
      </c>
      <c r="D52" s="63">
        <v>0.64</v>
      </c>
      <c r="E52" s="63" t="s">
        <v>24</v>
      </c>
      <c r="F52" s="63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</row>
    <row r="53" spans="1:32" ht="20.100000000000001" customHeight="1">
      <c r="A53" s="63"/>
      <c r="B53" s="63"/>
      <c r="C53" s="63"/>
      <c r="D53" s="63"/>
      <c r="E53" s="63"/>
      <c r="F53" s="63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</row>
    <row r="54" spans="1:32" ht="20.100000000000001" customHeight="1">
      <c r="A54" s="63"/>
      <c r="B54" s="63"/>
      <c r="C54" s="63"/>
      <c r="D54" s="63"/>
      <c r="E54" s="63"/>
      <c r="F54" s="63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</row>
    <row r="55" spans="1:32" ht="20.100000000000001" customHeight="1">
      <c r="A55" s="63">
        <v>45</v>
      </c>
      <c r="B55" s="63" t="s">
        <v>54</v>
      </c>
      <c r="C55" s="63" t="s">
        <v>17</v>
      </c>
      <c r="D55" s="63">
        <v>1</v>
      </c>
      <c r="E55" s="63" t="s">
        <v>15</v>
      </c>
      <c r="F55" s="63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 spans="1:32" ht="20.100000000000001" customHeight="1">
      <c r="A56" s="63">
        <v>46</v>
      </c>
      <c r="B56" s="63" t="s">
        <v>55</v>
      </c>
      <c r="C56" s="63" t="s">
        <v>17</v>
      </c>
      <c r="D56" s="63">
        <v>0.6</v>
      </c>
      <c r="E56" s="63" t="s">
        <v>15</v>
      </c>
      <c r="F56" s="63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</row>
    <row r="57" spans="1:32" ht="20.100000000000001" customHeight="1">
      <c r="A57" s="63">
        <v>47</v>
      </c>
      <c r="B57" s="63" t="s">
        <v>56</v>
      </c>
      <c r="C57" s="63" t="s">
        <v>14</v>
      </c>
      <c r="D57" s="63">
        <v>0.64</v>
      </c>
      <c r="E57" s="63" t="s">
        <v>25</v>
      </c>
      <c r="F57" s="63">
        <v>1230</v>
      </c>
      <c r="G57" s="60">
        <v>6</v>
      </c>
      <c r="H57" s="60">
        <f t="shared" si="9"/>
        <v>3.84</v>
      </c>
      <c r="I57" s="60">
        <v>7</v>
      </c>
      <c r="J57" s="60">
        <f t="shared" si="0"/>
        <v>4.4800000000000004</v>
      </c>
      <c r="K57" s="60">
        <v>8</v>
      </c>
      <c r="L57" s="60">
        <f t="shared" si="10"/>
        <v>5.12</v>
      </c>
      <c r="M57" s="60">
        <v>9</v>
      </c>
      <c r="N57" s="60">
        <f t="shared" si="11"/>
        <v>5.76</v>
      </c>
      <c r="O57" s="60">
        <v>11</v>
      </c>
      <c r="P57" s="60">
        <f t="shared" si="1"/>
        <v>7.04</v>
      </c>
      <c r="Q57" s="60">
        <v>13</v>
      </c>
      <c r="R57" s="60">
        <f t="shared" si="12"/>
        <v>8.32</v>
      </c>
      <c r="S57" s="60">
        <v>2</v>
      </c>
      <c r="T57" s="60">
        <f t="shared" si="2"/>
        <v>1.28</v>
      </c>
      <c r="U57" s="60">
        <v>13</v>
      </c>
      <c r="V57" s="60">
        <f t="shared" si="13"/>
        <v>8.32</v>
      </c>
      <c r="W57" s="60">
        <v>7</v>
      </c>
      <c r="X57" s="60">
        <f t="shared" si="3"/>
        <v>4.4800000000000004</v>
      </c>
      <c r="Y57" s="60">
        <v>10</v>
      </c>
      <c r="Z57" s="60">
        <f t="shared" si="4"/>
        <v>6.4</v>
      </c>
      <c r="AA57" s="60">
        <v>2</v>
      </c>
      <c r="AB57" s="60">
        <f t="shared" si="5"/>
        <v>1.28</v>
      </c>
      <c r="AC57" s="60">
        <v>11</v>
      </c>
      <c r="AD57" s="60">
        <f t="shared" si="6"/>
        <v>7.04</v>
      </c>
      <c r="AE57" s="60">
        <f t="shared" si="7"/>
        <v>99</v>
      </c>
      <c r="AF57" s="60">
        <f t="shared" si="8"/>
        <v>63.36</v>
      </c>
    </row>
    <row r="58" spans="1:32" ht="20.100000000000001" customHeight="1">
      <c r="A58" s="63">
        <v>48</v>
      </c>
      <c r="B58" s="63" t="s">
        <v>56</v>
      </c>
      <c r="C58" s="63" t="s">
        <v>14</v>
      </c>
      <c r="D58" s="63">
        <v>0.64</v>
      </c>
      <c r="E58" s="63" t="s">
        <v>24</v>
      </c>
      <c r="F58" s="63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</row>
    <row r="59" spans="1:32" ht="20.100000000000001" customHeight="1">
      <c r="A59" s="63"/>
      <c r="B59" s="63"/>
      <c r="C59" s="63"/>
      <c r="D59" s="63"/>
      <c r="E59" s="63"/>
      <c r="F59" s="63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</row>
    <row r="60" spans="1:32" ht="20.100000000000001" customHeight="1">
      <c r="A60" s="63">
        <v>49</v>
      </c>
      <c r="B60" s="63" t="s">
        <v>57</v>
      </c>
      <c r="C60" s="63" t="s">
        <v>17</v>
      </c>
      <c r="D60" s="63">
        <v>1</v>
      </c>
      <c r="E60" s="63" t="s">
        <v>15</v>
      </c>
      <c r="F60" s="63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</row>
    <row r="61" spans="1:32" ht="20.100000000000001" customHeight="1">
      <c r="A61" s="63">
        <v>50</v>
      </c>
      <c r="B61" s="64" t="s">
        <v>58</v>
      </c>
      <c r="C61" s="63"/>
      <c r="D61" s="63">
        <v>0.6</v>
      </c>
      <c r="E61" s="63"/>
      <c r="F61" s="63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</row>
    <row r="62" spans="1:32" ht="20.100000000000001" customHeight="1">
      <c r="A62" s="63">
        <v>51</v>
      </c>
      <c r="B62" s="63" t="s">
        <v>59</v>
      </c>
      <c r="C62" s="63" t="s">
        <v>17</v>
      </c>
      <c r="D62" s="63">
        <v>0.35</v>
      </c>
      <c r="E62" s="63" t="s">
        <v>21</v>
      </c>
      <c r="F62" s="63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</row>
    <row r="63" spans="1:32" ht="20.100000000000001" customHeight="1">
      <c r="A63" s="63">
        <v>52</v>
      </c>
      <c r="B63" s="63" t="s">
        <v>60</v>
      </c>
      <c r="C63" s="63" t="s">
        <v>14</v>
      </c>
      <c r="D63" s="63">
        <v>0.64</v>
      </c>
      <c r="E63" s="63" t="s">
        <v>25</v>
      </c>
      <c r="F63" s="63">
        <v>1250</v>
      </c>
      <c r="G63" s="60">
        <v>1</v>
      </c>
      <c r="H63" s="60">
        <f t="shared" si="9"/>
        <v>0.64</v>
      </c>
      <c r="I63" s="60">
        <v>14</v>
      </c>
      <c r="J63" s="60">
        <f t="shared" si="0"/>
        <v>8.9600000000000009</v>
      </c>
      <c r="K63" s="60">
        <v>4</v>
      </c>
      <c r="L63" s="60">
        <f t="shared" si="10"/>
        <v>2.56</v>
      </c>
      <c r="M63" s="60">
        <v>1</v>
      </c>
      <c r="N63" s="60">
        <f t="shared" si="11"/>
        <v>0.64</v>
      </c>
      <c r="O63" s="60">
        <v>1</v>
      </c>
      <c r="P63" s="60">
        <f t="shared" si="1"/>
        <v>0.64</v>
      </c>
      <c r="Q63" s="60">
        <v>1</v>
      </c>
      <c r="R63" s="60">
        <f t="shared" si="12"/>
        <v>0.64</v>
      </c>
      <c r="S63" s="60">
        <v>8</v>
      </c>
      <c r="T63" s="60">
        <f t="shared" si="2"/>
        <v>5.12</v>
      </c>
      <c r="U63" s="60"/>
      <c r="V63" s="60"/>
      <c r="W63" s="60">
        <v>4</v>
      </c>
      <c r="X63" s="60">
        <f t="shared" si="3"/>
        <v>2.56</v>
      </c>
      <c r="Y63" s="60"/>
      <c r="Z63" s="60"/>
      <c r="AA63" s="60">
        <v>19</v>
      </c>
      <c r="AB63" s="60">
        <f t="shared" si="5"/>
        <v>12.16</v>
      </c>
      <c r="AC63" s="60">
        <v>5</v>
      </c>
      <c r="AD63" s="60">
        <f t="shared" si="6"/>
        <v>3.2</v>
      </c>
      <c r="AE63" s="60">
        <f t="shared" si="7"/>
        <v>58</v>
      </c>
      <c r="AF63" s="60">
        <f t="shared" si="8"/>
        <v>37.119999999999997</v>
      </c>
    </row>
    <row r="64" spans="1:32" ht="20.100000000000001" customHeight="1">
      <c r="A64" s="63">
        <v>53</v>
      </c>
      <c r="B64" s="63" t="s">
        <v>61</v>
      </c>
      <c r="C64" s="63" t="s">
        <v>14</v>
      </c>
      <c r="D64" s="63">
        <v>0.64</v>
      </c>
      <c r="E64" s="63" t="s">
        <v>25</v>
      </c>
      <c r="F64" s="63">
        <v>1180</v>
      </c>
      <c r="G64" s="60"/>
      <c r="H64" s="60"/>
      <c r="I64" s="60"/>
      <c r="J64" s="60"/>
      <c r="K64" s="60">
        <v>9</v>
      </c>
      <c r="L64" s="60">
        <f t="shared" si="10"/>
        <v>5.76</v>
      </c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>
        <f t="shared" si="7"/>
        <v>9</v>
      </c>
      <c r="AF64" s="60">
        <f t="shared" si="8"/>
        <v>5.76</v>
      </c>
    </row>
    <row r="65" spans="1:32" ht="20.100000000000001" customHeight="1">
      <c r="A65" s="63"/>
      <c r="B65" s="63"/>
      <c r="C65" s="63"/>
      <c r="D65" s="63"/>
      <c r="E65" s="63"/>
      <c r="F65" s="63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</row>
    <row r="66" spans="1:32" ht="20.100000000000001" customHeight="1">
      <c r="A66" s="63">
        <v>54</v>
      </c>
      <c r="B66" s="63" t="s">
        <v>62</v>
      </c>
      <c r="C66" s="63" t="s">
        <v>17</v>
      </c>
      <c r="D66" s="63">
        <v>1</v>
      </c>
      <c r="E66" s="63" t="s">
        <v>15</v>
      </c>
      <c r="F66" s="63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</row>
    <row r="67" spans="1:32" ht="20.100000000000001" customHeight="1">
      <c r="A67" s="63">
        <v>55</v>
      </c>
      <c r="B67" s="63" t="s">
        <v>63</v>
      </c>
      <c r="C67" s="63" t="s">
        <v>17</v>
      </c>
      <c r="D67" s="63">
        <v>0.6</v>
      </c>
      <c r="E67" s="63" t="s">
        <v>15</v>
      </c>
      <c r="F67" s="63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</row>
    <row r="68" spans="1:32" ht="20.100000000000001" customHeight="1">
      <c r="A68" s="63">
        <v>56</v>
      </c>
      <c r="B68" s="63" t="s">
        <v>64</v>
      </c>
      <c r="C68" s="63" t="s">
        <v>14</v>
      </c>
      <c r="D68" s="63">
        <v>0.64</v>
      </c>
      <c r="E68" s="63" t="s">
        <v>25</v>
      </c>
      <c r="F68" s="63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</row>
    <row r="69" spans="1:32" ht="20.100000000000001" customHeight="1">
      <c r="A69" s="63"/>
      <c r="B69" s="63"/>
      <c r="C69" s="63"/>
      <c r="D69" s="63"/>
      <c r="E69" s="63"/>
      <c r="F69" s="63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</row>
    <row r="70" spans="1:32" ht="20.100000000000001" customHeight="1">
      <c r="A70" s="63">
        <v>57</v>
      </c>
      <c r="B70" s="63" t="s">
        <v>65</v>
      </c>
      <c r="C70" s="63" t="s">
        <v>17</v>
      </c>
      <c r="D70" s="63">
        <v>1</v>
      </c>
      <c r="E70" s="63" t="s">
        <v>15</v>
      </c>
      <c r="F70" s="63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</row>
    <row r="71" spans="1:32" ht="20.100000000000001" customHeight="1">
      <c r="A71" s="63">
        <v>58</v>
      </c>
      <c r="B71" s="63" t="s">
        <v>66</v>
      </c>
      <c r="C71" s="63" t="s">
        <v>17</v>
      </c>
      <c r="D71" s="63">
        <v>0.6</v>
      </c>
      <c r="E71" s="63" t="s">
        <v>15</v>
      </c>
      <c r="F71" s="63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</row>
    <row r="72" spans="1:32" ht="20.100000000000001" customHeight="1">
      <c r="A72" s="63">
        <v>59</v>
      </c>
      <c r="B72" s="63" t="s">
        <v>67</v>
      </c>
      <c r="C72" s="63" t="s">
        <v>14</v>
      </c>
      <c r="D72" s="63">
        <v>0.64</v>
      </c>
      <c r="E72" s="63" t="s">
        <v>25</v>
      </c>
      <c r="F72" s="63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</row>
    <row r="73" spans="1:32" ht="20.100000000000001" customHeight="1">
      <c r="A73" s="63"/>
      <c r="B73" s="63"/>
      <c r="C73" s="63"/>
      <c r="D73" s="63"/>
      <c r="E73" s="63"/>
      <c r="F73" s="63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</row>
    <row r="74" spans="1:32" ht="20.100000000000001" customHeight="1">
      <c r="A74" s="63">
        <v>60</v>
      </c>
      <c r="B74" s="63" t="s">
        <v>68</v>
      </c>
      <c r="C74" s="63" t="s">
        <v>14</v>
      </c>
      <c r="D74" s="63">
        <v>0.64</v>
      </c>
      <c r="E74" s="63" t="s">
        <v>25</v>
      </c>
      <c r="F74" s="63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</row>
    <row r="75" spans="1:32" ht="20.100000000000001" customHeight="1">
      <c r="A75" s="63">
        <v>61</v>
      </c>
      <c r="B75" s="63" t="s">
        <v>68</v>
      </c>
      <c r="C75" s="63" t="s">
        <v>14</v>
      </c>
      <c r="D75" s="63">
        <v>0.64</v>
      </c>
      <c r="E75" s="63" t="s">
        <v>24</v>
      </c>
      <c r="F75" s="63">
        <v>1230</v>
      </c>
      <c r="G75" s="60">
        <v>3</v>
      </c>
      <c r="H75" s="60">
        <f t="shared" ref="H75:H117" si="14">G75*D75</f>
        <v>1.92</v>
      </c>
      <c r="I75" s="60"/>
      <c r="J75" s="60"/>
      <c r="K75" s="60"/>
      <c r="L75" s="60"/>
      <c r="M75" s="60">
        <v>2</v>
      </c>
      <c r="N75" s="60">
        <f t="shared" ref="N75:N116" si="15">M75*D75</f>
        <v>1.28</v>
      </c>
      <c r="O75" s="60">
        <v>5</v>
      </c>
      <c r="P75" s="60">
        <f t="shared" ref="P75:P119" si="16">O75*D75</f>
        <v>3.2</v>
      </c>
      <c r="Q75" s="60"/>
      <c r="R75" s="60"/>
      <c r="S75" s="60"/>
      <c r="T75" s="60"/>
      <c r="U75" s="60">
        <v>1</v>
      </c>
      <c r="V75" s="60">
        <f t="shared" ref="V75:V117" si="17">U75*D75</f>
        <v>0.64</v>
      </c>
      <c r="W75" s="60">
        <v>3</v>
      </c>
      <c r="X75" s="60">
        <f t="shared" ref="X75:X115" si="18">W75*D75</f>
        <v>1.92</v>
      </c>
      <c r="Y75" s="60">
        <v>1</v>
      </c>
      <c r="Z75" s="60">
        <f t="shared" ref="Z75:Z117" si="19">Y75*D75</f>
        <v>0.64</v>
      </c>
      <c r="AA75" s="60">
        <v>2</v>
      </c>
      <c r="AB75" s="60">
        <f t="shared" ref="AB75:AB117" si="20">AA75*D75</f>
        <v>1.28</v>
      </c>
      <c r="AC75" s="60"/>
      <c r="AD75" s="60"/>
      <c r="AE75" s="60">
        <f t="shared" ref="AE75:AE119" si="21">G75+I75+K75+M75+O75+Q75+S75+U75+W75+Y75+AA75+AC75</f>
        <v>17</v>
      </c>
      <c r="AF75" s="60">
        <f t="shared" ref="AF75:AF119" si="22">AE75*D75</f>
        <v>10.88</v>
      </c>
    </row>
    <row r="76" spans="1:32" ht="20.100000000000001" customHeight="1">
      <c r="A76" s="63"/>
      <c r="B76" s="63"/>
      <c r="C76" s="63"/>
      <c r="D76" s="63"/>
      <c r="E76" s="63"/>
      <c r="F76" s="63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</row>
    <row r="77" spans="1:32" ht="20.100000000000001" customHeight="1">
      <c r="A77" s="63">
        <v>62</v>
      </c>
      <c r="B77" s="63" t="s">
        <v>69</v>
      </c>
      <c r="C77" s="63" t="s">
        <v>14</v>
      </c>
      <c r="D77" s="63">
        <v>0.64</v>
      </c>
      <c r="E77" s="63" t="s">
        <v>25</v>
      </c>
      <c r="F77" s="63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</row>
    <row r="78" spans="1:32" ht="20.100000000000001" customHeight="1">
      <c r="A78" s="63">
        <v>63</v>
      </c>
      <c r="B78" s="63" t="s">
        <v>69</v>
      </c>
      <c r="C78" s="63" t="s">
        <v>14</v>
      </c>
      <c r="D78" s="63">
        <v>0.64</v>
      </c>
      <c r="E78" s="63" t="s">
        <v>24</v>
      </c>
      <c r="F78" s="63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</row>
    <row r="79" spans="1:32" ht="20.100000000000001" customHeight="1">
      <c r="A79" s="63"/>
      <c r="B79" s="63"/>
      <c r="C79" s="63"/>
      <c r="D79" s="63"/>
      <c r="E79" s="63"/>
      <c r="F79" s="63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</row>
    <row r="80" spans="1:32" ht="20.100000000000001" customHeight="1">
      <c r="A80" s="63">
        <v>64</v>
      </c>
      <c r="B80" s="63" t="s">
        <v>70</v>
      </c>
      <c r="C80" s="63" t="s">
        <v>14</v>
      </c>
      <c r="D80" s="63">
        <v>0.64</v>
      </c>
      <c r="E80" s="63" t="s">
        <v>24</v>
      </c>
      <c r="F80" s="63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</row>
    <row r="81" spans="1:32" ht="20.100000000000001" customHeight="1">
      <c r="A81" s="63">
        <v>65</v>
      </c>
      <c r="B81" s="63" t="s">
        <v>71</v>
      </c>
      <c r="C81" s="63" t="s">
        <v>14</v>
      </c>
      <c r="D81" s="63">
        <v>0.64</v>
      </c>
      <c r="E81" s="63" t="s">
        <v>15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</row>
    <row r="82" spans="1:32" ht="20.100000000000001" customHeight="1">
      <c r="A82" s="63"/>
      <c r="B82" s="63"/>
      <c r="C82" s="63"/>
      <c r="D82" s="63"/>
      <c r="E82" s="63"/>
      <c r="F82" s="63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</row>
    <row r="83" spans="1:32" ht="20.100000000000001" customHeight="1">
      <c r="A83" s="63">
        <v>66</v>
      </c>
      <c r="B83" s="63" t="s">
        <v>72</v>
      </c>
      <c r="C83" s="63" t="s">
        <v>17</v>
      </c>
      <c r="D83" s="63">
        <v>1</v>
      </c>
      <c r="E83" s="63" t="s">
        <v>24</v>
      </c>
      <c r="F83" s="63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</row>
    <row r="84" spans="1:32" ht="20.100000000000001" customHeight="1">
      <c r="A84" s="63">
        <v>67</v>
      </c>
      <c r="B84" s="63" t="s">
        <v>73</v>
      </c>
      <c r="C84" s="63" t="s">
        <v>17</v>
      </c>
      <c r="D84" s="63">
        <v>1</v>
      </c>
      <c r="E84" s="63" t="s">
        <v>24</v>
      </c>
      <c r="F84" s="63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</row>
    <row r="85" spans="1:32" ht="20.100000000000001" customHeight="1">
      <c r="A85" s="63">
        <v>68</v>
      </c>
      <c r="B85" s="63" t="s">
        <v>74</v>
      </c>
      <c r="C85" s="63" t="s">
        <v>17</v>
      </c>
      <c r="D85" s="63">
        <v>1</v>
      </c>
      <c r="E85" s="63" t="s">
        <v>15</v>
      </c>
      <c r="F85" s="63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</row>
    <row r="86" spans="1:32" ht="20.100000000000001" customHeight="1">
      <c r="A86" s="63">
        <v>69</v>
      </c>
      <c r="B86" s="63" t="s">
        <v>75</v>
      </c>
      <c r="C86" s="63" t="s">
        <v>17</v>
      </c>
      <c r="D86" s="63">
        <v>0.6</v>
      </c>
      <c r="E86" s="63" t="s">
        <v>24</v>
      </c>
      <c r="F86" s="63">
        <v>875</v>
      </c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</row>
    <row r="87" spans="1:32" ht="20.100000000000001" customHeight="1">
      <c r="A87" s="63">
        <v>70</v>
      </c>
      <c r="B87" s="63" t="s">
        <v>76</v>
      </c>
      <c r="C87" s="63" t="s">
        <v>14</v>
      </c>
      <c r="D87" s="63">
        <v>0.64</v>
      </c>
      <c r="E87" s="63" t="s">
        <v>25</v>
      </c>
      <c r="F87" s="63">
        <v>1230</v>
      </c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</row>
    <row r="88" spans="1:32" ht="20.100000000000001" customHeight="1">
      <c r="A88" s="63"/>
      <c r="B88" s="63"/>
      <c r="C88" s="63"/>
      <c r="D88" s="63"/>
      <c r="E88" s="63"/>
      <c r="F88" s="63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</row>
    <row r="89" spans="1:32" ht="20.100000000000001" customHeight="1">
      <c r="A89" s="63">
        <v>71</v>
      </c>
      <c r="B89" s="63" t="s">
        <v>77</v>
      </c>
      <c r="C89" s="63" t="s">
        <v>17</v>
      </c>
      <c r="D89" s="63">
        <v>1</v>
      </c>
      <c r="E89" s="63" t="s">
        <v>24</v>
      </c>
      <c r="F89" s="63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</row>
    <row r="90" spans="1:32" ht="20.100000000000001" customHeight="1">
      <c r="A90" s="63">
        <v>72</v>
      </c>
      <c r="B90" s="63" t="s">
        <v>77</v>
      </c>
      <c r="C90" s="63" t="s">
        <v>17</v>
      </c>
      <c r="D90" s="63">
        <v>1</v>
      </c>
      <c r="E90" s="63" t="s">
        <v>15</v>
      </c>
      <c r="F90" s="63">
        <v>1170</v>
      </c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</row>
    <row r="91" spans="1:32" ht="20.100000000000001" customHeight="1">
      <c r="A91" s="63">
        <v>73</v>
      </c>
      <c r="B91" s="63" t="s">
        <v>78</v>
      </c>
      <c r="C91" s="63" t="s">
        <v>17</v>
      </c>
      <c r="D91" s="63">
        <v>0.6</v>
      </c>
      <c r="E91" s="63" t="s">
        <v>24</v>
      </c>
      <c r="F91" s="63">
        <v>865</v>
      </c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</row>
    <row r="92" spans="1:32" ht="20.100000000000001" customHeight="1">
      <c r="A92" s="63">
        <v>74</v>
      </c>
      <c r="B92" s="63" t="s">
        <v>79</v>
      </c>
      <c r="C92" s="63" t="s">
        <v>14</v>
      </c>
      <c r="D92" s="63">
        <v>0.64</v>
      </c>
      <c r="E92" s="63" t="s">
        <v>25</v>
      </c>
      <c r="F92" s="63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</row>
    <row r="93" spans="1:32" ht="20.100000000000001" customHeight="1">
      <c r="A93" s="63"/>
      <c r="B93" s="63"/>
      <c r="C93" s="63"/>
      <c r="D93" s="63"/>
      <c r="E93" s="63"/>
      <c r="F93" s="63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</row>
    <row r="94" spans="1:32" ht="20.100000000000001" customHeight="1">
      <c r="A94" s="63">
        <v>75</v>
      </c>
      <c r="B94" s="65" t="s">
        <v>80</v>
      </c>
      <c r="C94" s="63" t="s">
        <v>17</v>
      </c>
      <c r="D94" s="63">
        <v>0.6</v>
      </c>
      <c r="E94" s="63"/>
      <c r="F94" s="63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</row>
    <row r="95" spans="1:32" ht="20.100000000000001" customHeight="1">
      <c r="A95" s="63">
        <v>76</v>
      </c>
      <c r="B95" s="63" t="s">
        <v>80</v>
      </c>
      <c r="C95" s="63" t="s">
        <v>14</v>
      </c>
      <c r="D95" s="63">
        <v>0.6</v>
      </c>
      <c r="E95" s="62"/>
      <c r="F95" s="62"/>
      <c r="G95" s="60"/>
      <c r="H95" s="60"/>
      <c r="I95" s="60"/>
      <c r="J95" s="60"/>
      <c r="K95" s="60">
        <v>4608</v>
      </c>
      <c r="L95" s="60">
        <f t="shared" ref="L95:L117" si="23">K95*D95</f>
        <v>2764.7999999999997</v>
      </c>
      <c r="M95" s="60">
        <v>70</v>
      </c>
      <c r="N95" s="60">
        <f t="shared" si="15"/>
        <v>42</v>
      </c>
      <c r="O95" s="60">
        <v>15</v>
      </c>
      <c r="P95" s="60">
        <f t="shared" si="16"/>
        <v>9</v>
      </c>
      <c r="Q95" s="60"/>
      <c r="R95" s="60"/>
      <c r="S95" s="60">
        <v>60</v>
      </c>
      <c r="T95" s="60">
        <f t="shared" ref="T95:T115" si="24">S95*D95</f>
        <v>36</v>
      </c>
      <c r="U95" s="60"/>
      <c r="V95" s="60"/>
      <c r="W95" s="60"/>
      <c r="X95" s="60"/>
      <c r="Y95" s="60"/>
      <c r="Z95" s="60"/>
      <c r="AA95" s="60">
        <v>58</v>
      </c>
      <c r="AB95" s="60">
        <f t="shared" si="20"/>
        <v>34.799999999999997</v>
      </c>
      <c r="AC95" s="60"/>
      <c r="AD95" s="60"/>
      <c r="AE95" s="60">
        <f t="shared" si="21"/>
        <v>4811</v>
      </c>
      <c r="AF95" s="60">
        <f t="shared" si="22"/>
        <v>2886.6</v>
      </c>
    </row>
    <row r="96" spans="1:32" ht="20.100000000000001" customHeight="1">
      <c r="A96" s="63">
        <v>77</v>
      </c>
      <c r="B96" s="64" t="s">
        <v>80</v>
      </c>
      <c r="C96" s="63" t="s">
        <v>14</v>
      </c>
      <c r="D96" s="63">
        <v>0.64</v>
      </c>
      <c r="E96" s="63" t="s">
        <v>24</v>
      </c>
      <c r="F96" s="63">
        <v>780</v>
      </c>
      <c r="G96" s="60"/>
      <c r="H96" s="60"/>
      <c r="I96" s="60"/>
      <c r="J96" s="60"/>
      <c r="K96" s="60"/>
      <c r="L96" s="60"/>
      <c r="M96" s="60">
        <v>75</v>
      </c>
      <c r="N96" s="60">
        <f t="shared" si="15"/>
        <v>48</v>
      </c>
      <c r="O96" s="60">
        <v>74</v>
      </c>
      <c r="P96" s="60">
        <f t="shared" si="16"/>
        <v>47.36</v>
      </c>
      <c r="Q96" s="60">
        <v>12</v>
      </c>
      <c r="R96" s="60">
        <f t="shared" ref="R96:R114" si="25">Q96*D96</f>
        <v>7.68</v>
      </c>
      <c r="S96" s="60">
        <v>4</v>
      </c>
      <c r="T96" s="60">
        <f t="shared" si="24"/>
        <v>2.56</v>
      </c>
      <c r="U96" s="60"/>
      <c r="V96" s="60"/>
      <c r="W96" s="60">
        <v>14</v>
      </c>
      <c r="X96" s="60">
        <f t="shared" si="18"/>
        <v>8.9600000000000009</v>
      </c>
      <c r="Y96" s="60"/>
      <c r="Z96" s="60"/>
      <c r="AA96" s="60">
        <v>2</v>
      </c>
      <c r="AB96" s="60">
        <f t="shared" si="20"/>
        <v>1.28</v>
      </c>
      <c r="AC96" s="60"/>
      <c r="AD96" s="60"/>
      <c r="AE96" s="60">
        <f t="shared" si="21"/>
        <v>181</v>
      </c>
      <c r="AF96" s="60">
        <f t="shared" si="22"/>
        <v>115.84</v>
      </c>
    </row>
    <row r="97" spans="1:32" ht="20.100000000000001" customHeight="1">
      <c r="A97" s="63"/>
      <c r="B97" s="64"/>
      <c r="C97" s="63"/>
      <c r="D97" s="63"/>
      <c r="E97" s="63"/>
      <c r="F97" s="63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</row>
    <row r="98" spans="1:32" ht="20.100000000000001" customHeight="1">
      <c r="A98" s="63">
        <v>78</v>
      </c>
      <c r="B98" s="64" t="s">
        <v>81</v>
      </c>
      <c r="C98" s="63" t="s">
        <v>14</v>
      </c>
      <c r="D98" s="63">
        <v>0.64</v>
      </c>
      <c r="E98" s="63" t="s">
        <v>82</v>
      </c>
      <c r="F98" s="63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</row>
    <row r="99" spans="1:32" ht="20.100000000000001" customHeight="1">
      <c r="A99" s="63">
        <v>79</v>
      </c>
      <c r="B99" s="65" t="s">
        <v>83</v>
      </c>
      <c r="C99" s="63" t="s">
        <v>17</v>
      </c>
      <c r="D99" s="63">
        <v>1</v>
      </c>
      <c r="E99" s="63" t="s">
        <v>38</v>
      </c>
      <c r="F99" s="63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</row>
    <row r="100" spans="1:32" ht="20.100000000000001" customHeight="1">
      <c r="A100" s="63">
        <v>80</v>
      </c>
      <c r="B100" s="65" t="s">
        <v>83</v>
      </c>
      <c r="C100" s="63" t="s">
        <v>17</v>
      </c>
      <c r="D100" s="63">
        <v>0.6</v>
      </c>
      <c r="E100" s="63" t="s">
        <v>38</v>
      </c>
      <c r="F100" s="63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</row>
    <row r="101" spans="1:32" ht="20.100000000000001" customHeight="1">
      <c r="A101" s="63"/>
      <c r="B101" s="63"/>
      <c r="C101" s="63"/>
      <c r="D101" s="63"/>
      <c r="E101" s="63"/>
      <c r="F101" s="63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</row>
    <row r="102" spans="1:32" ht="20.100000000000001" customHeight="1">
      <c r="A102" s="63">
        <v>81</v>
      </c>
      <c r="B102" s="65" t="s">
        <v>84</v>
      </c>
      <c r="C102" s="63" t="s">
        <v>14</v>
      </c>
      <c r="D102" s="63">
        <v>0.64</v>
      </c>
      <c r="E102" s="63" t="s">
        <v>25</v>
      </c>
      <c r="F102" s="63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</row>
    <row r="103" spans="1:32" ht="20.100000000000001" customHeight="1">
      <c r="A103" s="63">
        <v>82</v>
      </c>
      <c r="B103" s="65" t="s">
        <v>84</v>
      </c>
      <c r="C103" s="63" t="s">
        <v>17</v>
      </c>
      <c r="D103" s="63">
        <v>0.6</v>
      </c>
      <c r="E103" s="63"/>
      <c r="F103" s="63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</row>
    <row r="104" spans="1:32" ht="20.100000000000001" customHeight="1">
      <c r="A104" s="63"/>
      <c r="B104" s="63"/>
      <c r="C104" s="63"/>
      <c r="D104" s="63"/>
      <c r="E104" s="63"/>
      <c r="F104" s="63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</row>
    <row r="105" spans="1:32" ht="20.100000000000001" customHeight="1">
      <c r="A105" s="63">
        <v>83</v>
      </c>
      <c r="B105" s="65" t="s">
        <v>85</v>
      </c>
      <c r="C105" s="63" t="s">
        <v>17</v>
      </c>
      <c r="D105" s="63">
        <v>1</v>
      </c>
      <c r="E105" s="63"/>
      <c r="F105" s="63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</row>
    <row r="106" spans="1:32" ht="20.100000000000001" customHeight="1">
      <c r="A106" s="63">
        <v>84</v>
      </c>
      <c r="B106" s="65" t="s">
        <v>85</v>
      </c>
      <c r="C106" s="63" t="s">
        <v>14</v>
      </c>
      <c r="D106" s="63">
        <v>0.64</v>
      </c>
      <c r="E106" s="63" t="s">
        <v>25</v>
      </c>
      <c r="F106" s="63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</row>
    <row r="107" spans="1:32" ht="20.100000000000001" customHeight="1">
      <c r="A107" s="63"/>
      <c r="B107" s="63"/>
      <c r="C107" s="63"/>
      <c r="D107" s="63"/>
      <c r="E107" s="63"/>
      <c r="F107" s="63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</row>
    <row r="108" spans="1:32" ht="20.100000000000001" customHeight="1">
      <c r="A108" s="63">
        <v>85</v>
      </c>
      <c r="B108" s="63" t="s">
        <v>86</v>
      </c>
      <c r="C108" s="63" t="s">
        <v>14</v>
      </c>
      <c r="D108" s="63">
        <v>0.7</v>
      </c>
      <c r="E108" s="63" t="s">
        <v>15</v>
      </c>
      <c r="F108" s="63">
        <v>3600</v>
      </c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>
        <v>4</v>
      </c>
      <c r="R108" s="60">
        <f t="shared" si="25"/>
        <v>2.8</v>
      </c>
      <c r="S108" s="60">
        <v>15</v>
      </c>
      <c r="T108" s="60">
        <f t="shared" si="24"/>
        <v>10.5</v>
      </c>
      <c r="U108" s="60"/>
      <c r="V108" s="60"/>
      <c r="W108" s="60"/>
      <c r="X108" s="60"/>
      <c r="Y108" s="60"/>
      <c r="Z108" s="60"/>
      <c r="AA108" s="60"/>
      <c r="AB108" s="60"/>
      <c r="AC108" s="60">
        <v>13</v>
      </c>
      <c r="AD108" s="60">
        <f t="shared" ref="AD108:AD116" si="26">AC108*D108</f>
        <v>9.1</v>
      </c>
      <c r="AE108" s="60">
        <f t="shared" si="21"/>
        <v>32</v>
      </c>
      <c r="AF108" s="60">
        <f t="shared" si="22"/>
        <v>22.4</v>
      </c>
    </row>
    <row r="109" spans="1:32" ht="20.100000000000001" customHeight="1">
      <c r="A109" s="63">
        <v>86</v>
      </c>
      <c r="B109" s="63" t="s">
        <v>87</v>
      </c>
      <c r="C109" s="63" t="s">
        <v>14</v>
      </c>
      <c r="D109" s="63">
        <v>0.35</v>
      </c>
      <c r="E109" s="63" t="s">
        <v>24</v>
      </c>
      <c r="F109" s="63">
        <v>2100</v>
      </c>
      <c r="G109" s="60">
        <v>5</v>
      </c>
      <c r="H109" s="60">
        <f t="shared" si="14"/>
        <v>1.75</v>
      </c>
      <c r="I109" s="60"/>
      <c r="J109" s="60"/>
      <c r="K109" s="60">
        <v>5</v>
      </c>
      <c r="L109" s="60">
        <f t="shared" si="23"/>
        <v>1.75</v>
      </c>
      <c r="M109" s="60"/>
      <c r="N109" s="60"/>
      <c r="O109" s="60"/>
      <c r="P109" s="60"/>
      <c r="Q109" s="60">
        <v>32</v>
      </c>
      <c r="R109" s="60">
        <f t="shared" si="25"/>
        <v>11.2</v>
      </c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>
        <v>1</v>
      </c>
      <c r="AD109" s="60">
        <f t="shared" si="26"/>
        <v>0.35</v>
      </c>
      <c r="AE109" s="60">
        <f t="shared" si="21"/>
        <v>43</v>
      </c>
      <c r="AF109" s="60">
        <f t="shared" si="22"/>
        <v>15.049999999999999</v>
      </c>
    </row>
    <row r="110" spans="1:32" ht="20.100000000000001" customHeight="1">
      <c r="A110" s="63"/>
      <c r="B110" s="63"/>
      <c r="C110" s="63"/>
      <c r="D110" s="63"/>
      <c r="E110" s="63"/>
      <c r="F110" s="63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</row>
    <row r="111" spans="1:32" ht="20.100000000000001" customHeight="1">
      <c r="A111" s="63">
        <v>87</v>
      </c>
      <c r="B111" s="63" t="s">
        <v>88</v>
      </c>
      <c r="C111" s="63" t="s">
        <v>17</v>
      </c>
      <c r="D111" s="63">
        <v>1</v>
      </c>
      <c r="E111" s="63" t="s">
        <v>15</v>
      </c>
      <c r="F111" s="63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</row>
    <row r="112" spans="1:32" ht="20.100000000000001" customHeight="1">
      <c r="A112" s="63">
        <v>88</v>
      </c>
      <c r="B112" s="63" t="s">
        <v>89</v>
      </c>
      <c r="C112" s="63" t="s">
        <v>17</v>
      </c>
      <c r="D112" s="63">
        <v>1</v>
      </c>
      <c r="E112" s="63" t="s">
        <v>90</v>
      </c>
      <c r="F112" s="63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 spans="1:32" ht="20.100000000000001" customHeight="1">
      <c r="A113" s="63">
        <v>89</v>
      </c>
      <c r="B113" s="63" t="s">
        <v>91</v>
      </c>
      <c r="C113" s="63" t="s">
        <v>17</v>
      </c>
      <c r="D113" s="63">
        <v>1</v>
      </c>
      <c r="E113" s="63" t="s">
        <v>24</v>
      </c>
      <c r="F113" s="63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</row>
    <row r="114" spans="1:32" ht="20.100000000000001" customHeight="1">
      <c r="A114" s="63">
        <v>90</v>
      </c>
      <c r="B114" s="63" t="s">
        <v>92</v>
      </c>
      <c r="C114" s="63" t="s">
        <v>14</v>
      </c>
      <c r="D114" s="63">
        <v>0.64</v>
      </c>
      <c r="E114" s="63" t="s">
        <v>24</v>
      </c>
      <c r="F114" s="63">
        <v>1230</v>
      </c>
      <c r="G114" s="60">
        <v>33</v>
      </c>
      <c r="H114" s="60">
        <f t="shared" si="14"/>
        <v>21.12</v>
      </c>
      <c r="I114" s="60">
        <v>27</v>
      </c>
      <c r="J114" s="60">
        <f t="shared" ref="J114:J117" si="27">I114*D114</f>
        <v>17.28</v>
      </c>
      <c r="K114" s="60">
        <v>39</v>
      </c>
      <c r="L114" s="60">
        <f t="shared" si="23"/>
        <v>24.96</v>
      </c>
      <c r="M114" s="60">
        <v>17</v>
      </c>
      <c r="N114" s="60">
        <f t="shared" si="15"/>
        <v>10.88</v>
      </c>
      <c r="O114" s="60">
        <v>10</v>
      </c>
      <c r="P114" s="60">
        <f t="shared" si="16"/>
        <v>6.4</v>
      </c>
      <c r="Q114" s="60">
        <v>19</v>
      </c>
      <c r="R114" s="60">
        <f t="shared" si="25"/>
        <v>12.16</v>
      </c>
      <c r="S114" s="60">
        <v>29</v>
      </c>
      <c r="T114" s="60">
        <f t="shared" si="24"/>
        <v>18.559999999999999</v>
      </c>
      <c r="U114" s="60">
        <v>33</v>
      </c>
      <c r="V114" s="60">
        <f t="shared" si="17"/>
        <v>21.12</v>
      </c>
      <c r="W114" s="60">
        <v>17</v>
      </c>
      <c r="X114" s="60">
        <f t="shared" si="18"/>
        <v>10.88</v>
      </c>
      <c r="Y114" s="60">
        <v>13</v>
      </c>
      <c r="Z114" s="60">
        <f t="shared" si="19"/>
        <v>8.32</v>
      </c>
      <c r="AA114" s="60">
        <v>29</v>
      </c>
      <c r="AB114" s="60">
        <f t="shared" si="20"/>
        <v>18.559999999999999</v>
      </c>
      <c r="AC114" s="60">
        <v>27</v>
      </c>
      <c r="AD114" s="60">
        <f t="shared" si="26"/>
        <v>17.28</v>
      </c>
      <c r="AE114" s="60">
        <f t="shared" si="21"/>
        <v>293</v>
      </c>
      <c r="AF114" s="60">
        <f t="shared" si="22"/>
        <v>187.52</v>
      </c>
    </row>
    <row r="115" spans="1:32" ht="20.100000000000001" customHeight="1">
      <c r="A115" s="63">
        <v>91</v>
      </c>
      <c r="B115" s="63" t="s">
        <v>93</v>
      </c>
      <c r="C115" s="63" t="s">
        <v>14</v>
      </c>
      <c r="D115" s="63">
        <v>0.64</v>
      </c>
      <c r="E115" s="63" t="s">
        <v>25</v>
      </c>
      <c r="F115" s="63">
        <v>1230</v>
      </c>
      <c r="G115" s="60">
        <v>1</v>
      </c>
      <c r="H115" s="60">
        <f t="shared" si="14"/>
        <v>0.64</v>
      </c>
      <c r="I115" s="60">
        <v>1</v>
      </c>
      <c r="J115" s="60">
        <f t="shared" si="27"/>
        <v>0.64</v>
      </c>
      <c r="K115" s="60">
        <v>6</v>
      </c>
      <c r="L115" s="60">
        <f t="shared" si="23"/>
        <v>3.84</v>
      </c>
      <c r="M115" s="60">
        <v>1</v>
      </c>
      <c r="N115" s="60">
        <f t="shared" si="15"/>
        <v>0.64</v>
      </c>
      <c r="O115" s="60">
        <v>7</v>
      </c>
      <c r="P115" s="60">
        <f t="shared" si="16"/>
        <v>4.4800000000000004</v>
      </c>
      <c r="Q115" s="60"/>
      <c r="R115" s="60"/>
      <c r="S115" s="60">
        <v>5</v>
      </c>
      <c r="T115" s="60">
        <f t="shared" si="24"/>
        <v>3.2</v>
      </c>
      <c r="U115" s="60">
        <v>3</v>
      </c>
      <c r="V115" s="60">
        <f t="shared" si="17"/>
        <v>1.92</v>
      </c>
      <c r="W115" s="60">
        <v>4</v>
      </c>
      <c r="X115" s="60">
        <f t="shared" si="18"/>
        <v>2.56</v>
      </c>
      <c r="Y115" s="60"/>
      <c r="Z115" s="60"/>
      <c r="AA115" s="60">
        <v>2</v>
      </c>
      <c r="AB115" s="60">
        <f t="shared" si="20"/>
        <v>1.28</v>
      </c>
      <c r="AC115" s="60"/>
      <c r="AD115" s="60"/>
      <c r="AE115" s="60">
        <f t="shared" si="21"/>
        <v>30</v>
      </c>
      <c r="AF115" s="60">
        <f t="shared" si="22"/>
        <v>19.2</v>
      </c>
    </row>
    <row r="116" spans="1:32" ht="20.100000000000001" customHeight="1">
      <c r="A116" s="63">
        <v>92</v>
      </c>
      <c r="B116" s="63" t="s">
        <v>94</v>
      </c>
      <c r="C116" s="63" t="s">
        <v>14</v>
      </c>
      <c r="D116" s="63">
        <v>0.64</v>
      </c>
      <c r="E116" s="63" t="s">
        <v>24</v>
      </c>
      <c r="F116" s="63">
        <v>1230</v>
      </c>
      <c r="G116" s="60">
        <v>1</v>
      </c>
      <c r="H116" s="60">
        <f t="shared" si="14"/>
        <v>0.64</v>
      </c>
      <c r="I116" s="60">
        <v>1</v>
      </c>
      <c r="J116" s="60">
        <f t="shared" si="27"/>
        <v>0.64</v>
      </c>
      <c r="K116" s="60">
        <v>2</v>
      </c>
      <c r="L116" s="60">
        <f t="shared" si="23"/>
        <v>1.28</v>
      </c>
      <c r="M116" s="60">
        <v>1</v>
      </c>
      <c r="N116" s="60">
        <f t="shared" si="15"/>
        <v>0.64</v>
      </c>
      <c r="O116" s="60">
        <v>11</v>
      </c>
      <c r="P116" s="60">
        <f t="shared" si="16"/>
        <v>7.04</v>
      </c>
      <c r="Q116" s="60"/>
      <c r="R116" s="60"/>
      <c r="S116" s="60"/>
      <c r="T116" s="60"/>
      <c r="U116" s="60">
        <v>2</v>
      </c>
      <c r="V116" s="60">
        <f t="shared" si="17"/>
        <v>1.28</v>
      </c>
      <c r="W116" s="60"/>
      <c r="X116" s="60"/>
      <c r="Y116" s="60"/>
      <c r="Z116" s="60"/>
      <c r="AA116" s="60"/>
      <c r="AB116" s="60"/>
      <c r="AC116" s="60">
        <v>3</v>
      </c>
      <c r="AD116" s="60">
        <f t="shared" si="26"/>
        <v>1.92</v>
      </c>
      <c r="AE116" s="60">
        <f t="shared" si="21"/>
        <v>21</v>
      </c>
      <c r="AF116" s="60">
        <f t="shared" si="22"/>
        <v>13.44</v>
      </c>
    </row>
    <row r="117" spans="1:32" ht="20.100000000000001" customHeight="1">
      <c r="A117" s="63">
        <v>93</v>
      </c>
      <c r="B117" s="63" t="s">
        <v>95</v>
      </c>
      <c r="C117" s="63" t="s">
        <v>14</v>
      </c>
      <c r="D117" s="63">
        <v>0.64</v>
      </c>
      <c r="E117" s="63" t="s">
        <v>25</v>
      </c>
      <c r="F117" s="63">
        <v>1230</v>
      </c>
      <c r="G117" s="60">
        <v>3</v>
      </c>
      <c r="H117" s="60">
        <f t="shared" si="14"/>
        <v>1.92</v>
      </c>
      <c r="I117" s="60">
        <v>1</v>
      </c>
      <c r="J117" s="60">
        <f t="shared" si="27"/>
        <v>0.64</v>
      </c>
      <c r="K117" s="60">
        <v>2</v>
      </c>
      <c r="L117" s="60">
        <f t="shared" si="23"/>
        <v>1.28</v>
      </c>
      <c r="M117" s="60"/>
      <c r="N117" s="60"/>
      <c r="O117" s="60">
        <v>5</v>
      </c>
      <c r="P117" s="60">
        <f t="shared" si="16"/>
        <v>3.2</v>
      </c>
      <c r="Q117" s="60"/>
      <c r="R117" s="60"/>
      <c r="S117" s="60"/>
      <c r="T117" s="60"/>
      <c r="U117" s="60">
        <v>1</v>
      </c>
      <c r="V117" s="60">
        <f t="shared" si="17"/>
        <v>0.64</v>
      </c>
      <c r="W117" s="60"/>
      <c r="X117" s="60"/>
      <c r="Y117" s="60">
        <v>3</v>
      </c>
      <c r="Z117" s="60">
        <f t="shared" si="19"/>
        <v>1.92</v>
      </c>
      <c r="AA117" s="60">
        <v>1</v>
      </c>
      <c r="AB117" s="60">
        <f t="shared" si="20"/>
        <v>0.64</v>
      </c>
      <c r="AC117" s="60"/>
      <c r="AD117" s="60"/>
      <c r="AE117" s="60">
        <f t="shared" si="21"/>
        <v>16</v>
      </c>
      <c r="AF117" s="60">
        <f t="shared" si="22"/>
        <v>10.24</v>
      </c>
    </row>
    <row r="118" spans="1:32" ht="20.100000000000001" customHeight="1">
      <c r="A118" s="63">
        <v>94</v>
      </c>
      <c r="B118" s="63" t="s">
        <v>96</v>
      </c>
      <c r="C118" s="63" t="s">
        <v>14</v>
      </c>
      <c r="D118" s="63">
        <v>0.64</v>
      </c>
      <c r="E118" s="63" t="s">
        <v>25</v>
      </c>
      <c r="F118" s="63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</row>
    <row r="119" spans="1:32" ht="20.100000000000001" customHeight="1">
      <c r="A119" s="63">
        <v>95</v>
      </c>
      <c r="B119" s="63" t="s">
        <v>97</v>
      </c>
      <c r="C119" s="63" t="s">
        <v>14</v>
      </c>
      <c r="D119" s="63">
        <v>0.64</v>
      </c>
      <c r="E119" s="63" t="s">
        <v>25</v>
      </c>
      <c r="F119" s="63"/>
      <c r="G119" s="60"/>
      <c r="H119" s="60"/>
      <c r="I119" s="60"/>
      <c r="J119" s="60"/>
      <c r="K119" s="60"/>
      <c r="L119" s="60"/>
      <c r="M119" s="60"/>
      <c r="N119" s="60"/>
      <c r="O119" s="60">
        <v>5</v>
      </c>
      <c r="P119" s="60">
        <f t="shared" si="16"/>
        <v>3.2</v>
      </c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>
        <f t="shared" si="21"/>
        <v>5</v>
      </c>
      <c r="AF119" s="60">
        <f t="shared" si="22"/>
        <v>3.2</v>
      </c>
    </row>
    <row r="120" spans="1:32" ht="20.100000000000001" customHeight="1">
      <c r="A120" s="63">
        <v>96</v>
      </c>
      <c r="B120" s="63" t="s">
        <v>98</v>
      </c>
      <c r="C120" s="63" t="s">
        <v>14</v>
      </c>
      <c r="D120" s="63">
        <v>0.64</v>
      </c>
      <c r="E120" s="63" t="s">
        <v>24</v>
      </c>
      <c r="F120" s="63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</row>
    <row r="121" spans="1:32" ht="20.100000000000001" customHeight="1">
      <c r="A121" s="63">
        <v>97</v>
      </c>
      <c r="B121" s="63" t="s">
        <v>99</v>
      </c>
      <c r="C121" s="63"/>
      <c r="D121" s="63">
        <v>0.64</v>
      </c>
      <c r="E121" s="63"/>
      <c r="F121" s="63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</row>
    <row r="122" spans="1:32" ht="20.100000000000001" customHeight="1">
      <c r="A122" s="63">
        <v>98</v>
      </c>
      <c r="B122" s="63" t="s">
        <v>100</v>
      </c>
      <c r="C122" s="63"/>
      <c r="D122" s="63">
        <v>0.64</v>
      </c>
      <c r="E122" s="63" t="s">
        <v>101</v>
      </c>
      <c r="F122" s="63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</row>
    <row r="123" spans="1:32" ht="20.100000000000001" customHeight="1">
      <c r="A123" s="63"/>
      <c r="B123" s="63"/>
      <c r="C123" s="63"/>
      <c r="D123" s="63"/>
      <c r="E123" s="62"/>
      <c r="F123" s="62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</row>
    <row r="124" spans="1:32" ht="20.100000000000001" customHeight="1">
      <c r="A124" s="63">
        <v>99</v>
      </c>
      <c r="B124" s="63" t="s">
        <v>102</v>
      </c>
      <c r="C124" s="63" t="s">
        <v>14</v>
      </c>
      <c r="D124" s="63">
        <v>0.7</v>
      </c>
      <c r="E124" s="63" t="s">
        <v>15</v>
      </c>
      <c r="F124" s="63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</row>
    <row r="125" spans="1:32" ht="20.100000000000001" customHeight="1">
      <c r="A125" s="63">
        <v>100</v>
      </c>
      <c r="B125" s="63" t="s">
        <v>103</v>
      </c>
      <c r="C125" s="63"/>
      <c r="D125" s="63">
        <v>20</v>
      </c>
      <c r="E125" s="63">
        <v>1</v>
      </c>
      <c r="F125" s="63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</row>
    <row r="126" spans="1:32" ht="20.100000000000001" customHeight="1">
      <c r="A126" s="63"/>
      <c r="B126" s="63"/>
      <c r="C126" s="63"/>
      <c r="D126" s="63"/>
      <c r="E126" s="63"/>
      <c r="F126" s="63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</row>
    <row r="127" spans="1:32" ht="20.100000000000001" customHeight="1">
      <c r="A127" s="63"/>
      <c r="B127" s="63"/>
      <c r="C127" s="63"/>
      <c r="D127" s="63"/>
      <c r="E127" s="63"/>
      <c r="F127" s="63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</row>
    <row r="128" spans="1:32" ht="20.100000000000001" customHeight="1">
      <c r="A128" s="63"/>
      <c r="B128" s="8"/>
      <c r="C128" s="8"/>
      <c r="D128" s="8"/>
      <c r="E128" s="62"/>
      <c r="F128" s="62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</row>
    <row r="129" spans="1:32" ht="20.100000000000001" customHeight="1">
      <c r="A129" s="66"/>
      <c r="B129" s="11" t="s">
        <v>104</v>
      </c>
      <c r="C129" s="11"/>
      <c r="D129" s="12"/>
      <c r="E129" s="67"/>
      <c r="F129" s="67"/>
      <c r="G129" s="60">
        <f>SUM(G4:G125)</f>
        <v>265</v>
      </c>
      <c r="H129" s="60">
        <f t="shared" ref="H129:AF129" si="28">SUM(H4:H125)</f>
        <v>168.02999999999994</v>
      </c>
      <c r="I129" s="60">
        <f t="shared" si="28"/>
        <v>405</v>
      </c>
      <c r="J129" s="60">
        <f t="shared" si="28"/>
        <v>334.94000000000005</v>
      </c>
      <c r="K129" s="60">
        <f t="shared" si="28"/>
        <v>4811</v>
      </c>
      <c r="L129" s="60">
        <f t="shared" si="28"/>
        <v>2894.53</v>
      </c>
      <c r="M129" s="60">
        <f t="shared" si="28"/>
        <v>305</v>
      </c>
      <c r="N129" s="60">
        <f t="shared" si="28"/>
        <v>197.07999999999998</v>
      </c>
      <c r="O129" s="60">
        <f t="shared" si="28"/>
        <v>461</v>
      </c>
      <c r="P129" s="60">
        <f t="shared" si="28"/>
        <v>316.71999999999997</v>
      </c>
      <c r="Q129" s="60">
        <f t="shared" si="28"/>
        <v>304</v>
      </c>
      <c r="R129" s="60">
        <f t="shared" si="28"/>
        <v>192.11999999999998</v>
      </c>
      <c r="S129" s="60">
        <f t="shared" si="28"/>
        <v>364</v>
      </c>
      <c r="T129" s="60">
        <f t="shared" si="28"/>
        <v>239.74</v>
      </c>
      <c r="U129" s="60">
        <f t="shared" si="28"/>
        <v>373</v>
      </c>
      <c r="V129" s="60">
        <f t="shared" si="28"/>
        <v>244.65999999999994</v>
      </c>
      <c r="W129" s="60">
        <f t="shared" si="28"/>
        <v>396</v>
      </c>
      <c r="X129" s="60">
        <f t="shared" si="28"/>
        <v>264.83999999999997</v>
      </c>
      <c r="Y129" s="60">
        <f t="shared" si="28"/>
        <v>407</v>
      </c>
      <c r="Z129" s="60">
        <f t="shared" si="28"/>
        <v>273.10000000000002</v>
      </c>
      <c r="AA129" s="60">
        <f t="shared" si="28"/>
        <v>1080</v>
      </c>
      <c r="AB129" s="60">
        <f t="shared" si="28"/>
        <v>924.77999999999986</v>
      </c>
      <c r="AC129" s="60">
        <f t="shared" si="28"/>
        <v>426</v>
      </c>
      <c r="AD129" s="60">
        <f t="shared" si="28"/>
        <v>284.73000000000008</v>
      </c>
      <c r="AE129" s="60">
        <f t="shared" si="28"/>
        <v>9597</v>
      </c>
      <c r="AF129" s="60">
        <f t="shared" si="28"/>
        <v>6335.27</v>
      </c>
    </row>
    <row r="130" spans="1:32" ht="20.100000000000001" customHeight="1">
      <c r="A130" s="68"/>
      <c r="B130" s="8"/>
      <c r="C130" s="8"/>
      <c r="D130" s="8"/>
      <c r="E130" s="62"/>
      <c r="F130" s="62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 spans="1:32" ht="20.100000000000001" customHeight="1">
      <c r="A131" s="63">
        <v>101</v>
      </c>
      <c r="B131" s="63" t="s">
        <v>105</v>
      </c>
      <c r="C131" s="63" t="s">
        <v>14</v>
      </c>
      <c r="D131" s="63">
        <v>0.7</v>
      </c>
      <c r="E131" s="63" t="s">
        <v>15</v>
      </c>
      <c r="F131" s="63">
        <v>4500</v>
      </c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 spans="1:32" ht="20.100000000000001" customHeight="1">
      <c r="A132" s="63">
        <v>102</v>
      </c>
      <c r="B132" s="63" t="s">
        <v>106</v>
      </c>
      <c r="C132" s="63" t="s">
        <v>14</v>
      </c>
      <c r="D132" s="63">
        <v>0.35</v>
      </c>
      <c r="E132" s="63" t="s">
        <v>24</v>
      </c>
      <c r="F132" s="63">
        <v>2300</v>
      </c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 spans="1:32" ht="20.100000000000001" customHeight="1">
      <c r="A133" s="63">
        <v>103</v>
      </c>
      <c r="B133" s="63" t="s">
        <v>107</v>
      </c>
      <c r="C133" s="63" t="s">
        <v>14</v>
      </c>
      <c r="D133" s="63">
        <v>0.17499999999999999</v>
      </c>
      <c r="E133" s="63" t="s">
        <v>108</v>
      </c>
      <c r="F133" s="63">
        <v>1300</v>
      </c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</row>
    <row r="134" spans="1:32" ht="20.100000000000001" customHeight="1">
      <c r="A134" s="63">
        <v>104</v>
      </c>
      <c r="B134" s="63" t="s">
        <v>109</v>
      </c>
      <c r="C134" s="63" t="s">
        <v>14</v>
      </c>
      <c r="D134" s="63">
        <v>0.7</v>
      </c>
      <c r="E134" s="63" t="s">
        <v>15</v>
      </c>
      <c r="F134" s="63">
        <v>5200</v>
      </c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</row>
    <row r="135" spans="1:32" ht="20.100000000000001" customHeight="1">
      <c r="A135" s="63">
        <v>105</v>
      </c>
      <c r="B135" s="63" t="s">
        <v>110</v>
      </c>
      <c r="C135" s="63" t="s">
        <v>14</v>
      </c>
      <c r="D135" s="63">
        <v>0.35</v>
      </c>
      <c r="E135" s="63" t="s">
        <v>24</v>
      </c>
      <c r="F135" s="63">
        <v>2600</v>
      </c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</row>
    <row r="136" spans="1:32" ht="20.100000000000001" customHeight="1">
      <c r="A136" s="63">
        <v>106</v>
      </c>
      <c r="B136" s="63" t="s">
        <v>111</v>
      </c>
      <c r="C136" s="63" t="s">
        <v>14</v>
      </c>
      <c r="D136" s="63">
        <v>0.17499999999999999</v>
      </c>
      <c r="E136" s="63" t="s">
        <v>108</v>
      </c>
      <c r="F136" s="63">
        <v>1450</v>
      </c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spans="1:32" ht="20.100000000000001" customHeight="1">
      <c r="A137" s="63">
        <v>107</v>
      </c>
      <c r="B137" s="63" t="s">
        <v>112</v>
      </c>
      <c r="C137" s="63" t="s">
        <v>14</v>
      </c>
      <c r="D137" s="63">
        <v>0.7</v>
      </c>
      <c r="E137" s="63" t="s">
        <v>15</v>
      </c>
      <c r="F137" s="63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</row>
    <row r="138" spans="1:32" ht="20.100000000000001" customHeight="1">
      <c r="A138" s="63">
        <v>108</v>
      </c>
      <c r="B138" s="63" t="s">
        <v>113</v>
      </c>
      <c r="C138" s="63" t="s">
        <v>14</v>
      </c>
      <c r="D138" s="63">
        <v>0.7</v>
      </c>
      <c r="E138" s="63" t="s">
        <v>15</v>
      </c>
      <c r="F138" s="63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</row>
    <row r="139" spans="1:32" ht="20.100000000000001" customHeight="1">
      <c r="A139" s="63">
        <v>109</v>
      </c>
      <c r="B139" s="63" t="s">
        <v>114</v>
      </c>
      <c r="C139" s="63" t="s">
        <v>14</v>
      </c>
      <c r="D139" s="63">
        <v>0.35</v>
      </c>
      <c r="E139" s="63" t="s">
        <v>24</v>
      </c>
      <c r="F139" s="63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</row>
    <row r="140" spans="1:32" ht="20.100000000000001" customHeight="1">
      <c r="A140" s="63">
        <v>110</v>
      </c>
      <c r="B140" s="63" t="s">
        <v>115</v>
      </c>
      <c r="C140" s="63" t="s">
        <v>14</v>
      </c>
      <c r="D140" s="63">
        <v>0.7</v>
      </c>
      <c r="E140" s="63" t="s">
        <v>15</v>
      </c>
      <c r="F140" s="63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</row>
    <row r="141" spans="1:32" ht="20.100000000000001" customHeight="1">
      <c r="A141" s="63">
        <v>111</v>
      </c>
      <c r="B141" s="63" t="s">
        <v>116</v>
      </c>
      <c r="C141" s="63" t="s">
        <v>14</v>
      </c>
      <c r="D141" s="63">
        <v>0.35</v>
      </c>
      <c r="E141" s="63" t="s">
        <v>24</v>
      </c>
      <c r="F141" s="63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</row>
    <row r="142" spans="1:32" ht="20.100000000000001" customHeight="1">
      <c r="A142" s="63">
        <v>112</v>
      </c>
      <c r="B142" s="8" t="s">
        <v>117</v>
      </c>
      <c r="C142" s="8" t="s">
        <v>14</v>
      </c>
      <c r="D142" s="63">
        <v>0.7</v>
      </c>
      <c r="E142" s="69" t="s">
        <v>118</v>
      </c>
      <c r="F142" s="62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</row>
    <row r="143" spans="1:32" ht="20.100000000000001" customHeight="1">
      <c r="A143" s="8"/>
      <c r="B143" s="8"/>
      <c r="C143" s="8"/>
      <c r="D143" s="8"/>
      <c r="E143" s="62"/>
      <c r="F143" s="62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 spans="1:32" ht="20.100000000000001" customHeight="1">
      <c r="A144" s="70"/>
      <c r="B144" s="11" t="s">
        <v>119</v>
      </c>
      <c r="C144" s="11"/>
      <c r="D144" s="11"/>
      <c r="E144" s="67"/>
      <c r="F144" s="67"/>
      <c r="G144" s="60">
        <f>SUM(G131:G142)</f>
        <v>0</v>
      </c>
      <c r="H144" s="60">
        <f t="shared" ref="H144:AF144" si="29">SUM(H131:H142)</f>
        <v>0</v>
      </c>
      <c r="I144" s="60">
        <f t="shared" si="29"/>
        <v>0</v>
      </c>
      <c r="J144" s="60">
        <f t="shared" si="29"/>
        <v>0</v>
      </c>
      <c r="K144" s="60">
        <f t="shared" si="29"/>
        <v>0</v>
      </c>
      <c r="L144" s="60">
        <f t="shared" si="29"/>
        <v>0</v>
      </c>
      <c r="M144" s="60">
        <f t="shared" si="29"/>
        <v>0</v>
      </c>
      <c r="N144" s="60">
        <f t="shared" si="29"/>
        <v>0</v>
      </c>
      <c r="O144" s="60">
        <f t="shared" si="29"/>
        <v>0</v>
      </c>
      <c r="P144" s="60">
        <f t="shared" si="29"/>
        <v>0</v>
      </c>
      <c r="Q144" s="60">
        <f t="shared" si="29"/>
        <v>0</v>
      </c>
      <c r="R144" s="60">
        <f t="shared" si="29"/>
        <v>0</v>
      </c>
      <c r="S144" s="60">
        <f t="shared" si="29"/>
        <v>0</v>
      </c>
      <c r="T144" s="60">
        <f t="shared" si="29"/>
        <v>0</v>
      </c>
      <c r="U144" s="60">
        <f t="shared" si="29"/>
        <v>0</v>
      </c>
      <c r="V144" s="60">
        <f t="shared" si="29"/>
        <v>0</v>
      </c>
      <c r="W144" s="60">
        <f t="shared" si="29"/>
        <v>0</v>
      </c>
      <c r="X144" s="60">
        <f t="shared" si="29"/>
        <v>0</v>
      </c>
      <c r="Y144" s="60">
        <f t="shared" si="29"/>
        <v>0</v>
      </c>
      <c r="Z144" s="60">
        <f t="shared" si="29"/>
        <v>0</v>
      </c>
      <c r="AA144" s="60">
        <f t="shared" si="29"/>
        <v>0</v>
      </c>
      <c r="AB144" s="60">
        <f t="shared" si="29"/>
        <v>0</v>
      </c>
      <c r="AC144" s="60">
        <f t="shared" si="29"/>
        <v>0</v>
      </c>
      <c r="AD144" s="60">
        <f t="shared" si="29"/>
        <v>0</v>
      </c>
      <c r="AE144" s="60">
        <f t="shared" si="29"/>
        <v>0</v>
      </c>
      <c r="AF144" s="60">
        <f t="shared" si="29"/>
        <v>0</v>
      </c>
    </row>
    <row r="145" spans="1:32" ht="20.100000000000001" customHeight="1">
      <c r="A145" s="18"/>
      <c r="B145" s="12" t="s">
        <v>120</v>
      </c>
      <c r="C145" s="12"/>
      <c r="D145" s="12"/>
      <c r="E145" s="12"/>
      <c r="F145" s="12"/>
      <c r="G145" s="60">
        <f>G129+G144</f>
        <v>265</v>
      </c>
      <c r="H145" s="60">
        <f t="shared" ref="H145:AF145" si="30">H129+H144</f>
        <v>168.02999999999994</v>
      </c>
      <c r="I145" s="60">
        <f t="shared" si="30"/>
        <v>405</v>
      </c>
      <c r="J145" s="60">
        <f t="shared" si="30"/>
        <v>334.94000000000005</v>
      </c>
      <c r="K145" s="60">
        <f t="shared" si="30"/>
        <v>4811</v>
      </c>
      <c r="L145" s="60">
        <f t="shared" si="30"/>
        <v>2894.53</v>
      </c>
      <c r="M145" s="60">
        <f t="shared" si="30"/>
        <v>305</v>
      </c>
      <c r="N145" s="60">
        <f t="shared" si="30"/>
        <v>197.07999999999998</v>
      </c>
      <c r="O145" s="60">
        <f t="shared" si="30"/>
        <v>461</v>
      </c>
      <c r="P145" s="60">
        <f t="shared" si="30"/>
        <v>316.71999999999997</v>
      </c>
      <c r="Q145" s="60">
        <f t="shared" si="30"/>
        <v>304</v>
      </c>
      <c r="R145" s="60">
        <f t="shared" si="30"/>
        <v>192.11999999999998</v>
      </c>
      <c r="S145" s="60">
        <f t="shared" si="30"/>
        <v>364</v>
      </c>
      <c r="T145" s="60">
        <f t="shared" si="30"/>
        <v>239.74</v>
      </c>
      <c r="U145" s="60">
        <f t="shared" si="30"/>
        <v>373</v>
      </c>
      <c r="V145" s="60">
        <f t="shared" si="30"/>
        <v>244.65999999999994</v>
      </c>
      <c r="W145" s="60">
        <f t="shared" si="30"/>
        <v>396</v>
      </c>
      <c r="X145" s="60">
        <f t="shared" si="30"/>
        <v>264.83999999999997</v>
      </c>
      <c r="Y145" s="60">
        <f t="shared" si="30"/>
        <v>407</v>
      </c>
      <c r="Z145" s="60">
        <f t="shared" si="30"/>
        <v>273.10000000000002</v>
      </c>
      <c r="AA145" s="60">
        <f t="shared" si="30"/>
        <v>1080</v>
      </c>
      <c r="AB145" s="60">
        <f t="shared" si="30"/>
        <v>924.77999999999986</v>
      </c>
      <c r="AC145" s="60">
        <f t="shared" si="30"/>
        <v>426</v>
      </c>
      <c r="AD145" s="60">
        <f t="shared" si="30"/>
        <v>284.73000000000008</v>
      </c>
      <c r="AE145" s="60">
        <f t="shared" si="30"/>
        <v>9597</v>
      </c>
      <c r="AF145" s="60">
        <f t="shared" si="30"/>
        <v>6335.27</v>
      </c>
    </row>
  </sheetData>
  <mergeCells count="19">
    <mergeCell ref="O2:P2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AC2:AD2"/>
    <mergeCell ref="AE2:AF2"/>
    <mergeCell ref="Q2:R2"/>
    <mergeCell ref="S2:T2"/>
    <mergeCell ref="U2:V2"/>
    <mergeCell ref="W2:X2"/>
    <mergeCell ref="Y2:Z2"/>
    <mergeCell ref="AA2:AB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"/>
  <sheetViews>
    <sheetView workbookViewId="0">
      <pane xSplit="6" ySplit="3" topLeftCell="M122" activePane="bottomRight" state="frozen"/>
      <selection pane="topRight" activeCell="G1" sqref="G1"/>
      <selection pane="bottomLeft" activeCell="A4" sqref="A4"/>
      <selection pane="bottomRight" activeCell="P137" sqref="P137"/>
    </sheetView>
  </sheetViews>
  <sheetFormatPr defaultRowHeight="21"/>
  <cols>
    <col min="2" max="2" width="30" customWidth="1"/>
    <col min="3" max="3" width="16.28515625" customWidth="1"/>
    <col min="6" max="6" width="0" hidden="1" customWidth="1"/>
    <col min="8" max="8" width="9.140625" customWidth="1"/>
    <col min="10" max="10" width="9.140625" customWidth="1"/>
    <col min="12" max="12" width="9.140625" customWidth="1"/>
    <col min="14" max="14" width="9.140625" customWidth="1"/>
    <col min="16" max="16" width="9.140625" customWidth="1"/>
    <col min="18" max="18" width="9.140625" customWidth="1"/>
    <col min="20" max="20" width="9.140625" customWidth="1"/>
    <col min="22" max="22" width="9.140625" customWidth="1"/>
    <col min="24" max="24" width="9.140625" customWidth="1"/>
    <col min="26" max="26" width="9.140625" customWidth="1"/>
    <col min="28" max="28" width="9.140625" customWidth="1"/>
    <col min="30" max="30" width="9.140625" customWidth="1"/>
  </cols>
  <sheetData>
    <row r="1" spans="1:32" ht="24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5" t="s">
        <v>6</v>
      </c>
      <c r="G2" s="252">
        <v>45292</v>
      </c>
      <c r="H2" s="253"/>
      <c r="I2" s="252">
        <v>45323</v>
      </c>
      <c r="J2" s="253"/>
      <c r="K2" s="252">
        <v>45352</v>
      </c>
      <c r="L2" s="253"/>
      <c r="M2" s="252">
        <v>45383</v>
      </c>
      <c r="N2" s="253"/>
      <c r="O2" s="252">
        <v>45413</v>
      </c>
      <c r="P2" s="253"/>
      <c r="Q2" s="252">
        <v>45444</v>
      </c>
      <c r="R2" s="253"/>
      <c r="S2" s="252">
        <v>45474</v>
      </c>
      <c r="T2" s="253"/>
      <c r="U2" s="252">
        <v>45505</v>
      </c>
      <c r="V2" s="253"/>
      <c r="W2" s="252">
        <v>45536</v>
      </c>
      <c r="X2" s="253"/>
      <c r="Y2" s="252">
        <v>45566</v>
      </c>
      <c r="Z2" s="253"/>
      <c r="AA2" s="252">
        <v>45597</v>
      </c>
      <c r="AB2" s="253"/>
      <c r="AC2" s="252">
        <v>45627</v>
      </c>
      <c r="AD2" s="253"/>
      <c r="AE2" s="263" t="s">
        <v>128</v>
      </c>
      <c r="AF2" s="263"/>
    </row>
    <row r="3" spans="1:32">
      <c r="A3" s="238"/>
      <c r="B3" s="238"/>
      <c r="C3" s="238"/>
      <c r="D3" s="240"/>
      <c r="E3" s="240"/>
      <c r="F3" s="240"/>
      <c r="G3" s="55" t="s">
        <v>11</v>
      </c>
      <c r="H3" s="56" t="s">
        <v>12</v>
      </c>
      <c r="I3" s="55" t="s">
        <v>11</v>
      </c>
      <c r="J3" s="56" t="s">
        <v>12</v>
      </c>
      <c r="K3" s="55" t="s">
        <v>11</v>
      </c>
      <c r="L3" s="56" t="s">
        <v>12</v>
      </c>
      <c r="M3" s="55" t="s">
        <v>11</v>
      </c>
      <c r="N3" s="56" t="s">
        <v>12</v>
      </c>
      <c r="O3" s="55" t="s">
        <v>11</v>
      </c>
      <c r="P3" s="56" t="s">
        <v>12</v>
      </c>
      <c r="Q3" s="55" t="s">
        <v>11</v>
      </c>
      <c r="R3" s="56" t="s">
        <v>12</v>
      </c>
      <c r="S3" s="55" t="s">
        <v>11</v>
      </c>
      <c r="T3" s="56" t="s">
        <v>12</v>
      </c>
      <c r="U3" s="55" t="s">
        <v>11</v>
      </c>
      <c r="V3" s="56" t="s">
        <v>12</v>
      </c>
      <c r="W3" s="55" t="s">
        <v>11</v>
      </c>
      <c r="X3" s="56" t="s">
        <v>12</v>
      </c>
      <c r="Y3" s="55" t="s">
        <v>11</v>
      </c>
      <c r="Z3" s="56" t="s">
        <v>12</v>
      </c>
      <c r="AA3" s="55" t="s">
        <v>11</v>
      </c>
      <c r="AB3" s="56" t="s">
        <v>12</v>
      </c>
      <c r="AC3" s="55" t="s">
        <v>11</v>
      </c>
      <c r="AD3" s="56" t="s">
        <v>12</v>
      </c>
      <c r="AE3" s="57" t="s">
        <v>11</v>
      </c>
      <c r="AF3" s="172" t="s">
        <v>12</v>
      </c>
    </row>
    <row r="4" spans="1:32" ht="20.100000000000001" customHeight="1">
      <c r="A4" s="63">
        <v>1</v>
      </c>
      <c r="B4" s="63" t="s">
        <v>13</v>
      </c>
      <c r="C4" s="63" t="s">
        <v>14</v>
      </c>
      <c r="D4" s="63">
        <v>0.7</v>
      </c>
      <c r="E4" s="63" t="s">
        <v>15</v>
      </c>
      <c r="F4" s="63">
        <v>1870</v>
      </c>
      <c r="G4" s="60">
        <v>75</v>
      </c>
      <c r="H4" s="60">
        <f>G4*D4</f>
        <v>52.5</v>
      </c>
      <c r="I4" s="60">
        <v>99</v>
      </c>
      <c r="J4" s="60">
        <f>I4*D4</f>
        <v>69.3</v>
      </c>
      <c r="K4" s="60">
        <v>78</v>
      </c>
      <c r="L4" s="60">
        <f>K4*D4</f>
        <v>54.599999999999994</v>
      </c>
      <c r="M4" s="60">
        <v>64</v>
      </c>
      <c r="N4" s="60">
        <f>M4*D4</f>
        <v>44.8</v>
      </c>
      <c r="O4" s="60">
        <v>80</v>
      </c>
      <c r="P4" s="60">
        <f>O4*D4</f>
        <v>56</v>
      </c>
      <c r="Q4" s="60">
        <v>93</v>
      </c>
      <c r="R4" s="60">
        <f>Q4*D4</f>
        <v>65.099999999999994</v>
      </c>
      <c r="S4" s="60">
        <v>61</v>
      </c>
      <c r="T4" s="60">
        <f>S4*D4</f>
        <v>42.699999999999996</v>
      </c>
      <c r="U4" s="60">
        <v>6</v>
      </c>
      <c r="V4" s="60">
        <f>U4*D4</f>
        <v>4.1999999999999993</v>
      </c>
      <c r="W4" s="60">
        <v>3</v>
      </c>
      <c r="X4" s="60">
        <f>W4*D4</f>
        <v>2.0999999999999996</v>
      </c>
      <c r="Y4" s="60">
        <v>5</v>
      </c>
      <c r="Z4" s="60">
        <f>Y4*D4</f>
        <v>3.5</v>
      </c>
      <c r="AA4" s="60"/>
      <c r="AB4" s="60"/>
      <c r="AC4" s="60">
        <v>1</v>
      </c>
      <c r="AD4" s="60">
        <f>AC4*D4</f>
        <v>0.7</v>
      </c>
      <c r="AE4" s="60">
        <f>G4+I4+K4+M4+O4+Q4+S4+U4+W4+Y4+AA4+AC4</f>
        <v>565</v>
      </c>
      <c r="AF4" s="61">
        <f>AE4*D4</f>
        <v>395.5</v>
      </c>
    </row>
    <row r="5" spans="1:32" ht="20.100000000000001" customHeight="1">
      <c r="A5" s="63"/>
      <c r="B5" s="63"/>
      <c r="C5" s="63"/>
      <c r="D5" s="63"/>
      <c r="E5" s="63"/>
      <c r="F5" s="63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1"/>
    </row>
    <row r="6" spans="1:32" ht="20.100000000000001" customHeight="1">
      <c r="A6" s="63">
        <v>2</v>
      </c>
      <c r="B6" s="63" t="s">
        <v>16</v>
      </c>
      <c r="C6" s="63" t="s">
        <v>17</v>
      </c>
      <c r="D6" s="63">
        <v>1</v>
      </c>
      <c r="E6" s="63" t="s">
        <v>15</v>
      </c>
      <c r="F6" s="63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1"/>
    </row>
    <row r="7" spans="1:32" ht="20.100000000000001" customHeight="1">
      <c r="A7" s="63">
        <v>3</v>
      </c>
      <c r="B7" s="63" t="s">
        <v>18</v>
      </c>
      <c r="C7" s="63" t="s">
        <v>17</v>
      </c>
      <c r="D7" s="63">
        <v>1</v>
      </c>
      <c r="E7" s="63" t="s">
        <v>15</v>
      </c>
      <c r="F7" s="63">
        <v>1580</v>
      </c>
      <c r="G7" s="60"/>
      <c r="H7" s="60"/>
      <c r="I7" s="60">
        <v>4</v>
      </c>
      <c r="J7" s="60">
        <f t="shared" ref="J7:J63" si="0">I7*D7</f>
        <v>4</v>
      </c>
      <c r="K7" s="60"/>
      <c r="L7" s="60"/>
      <c r="M7" s="60"/>
      <c r="N7" s="60"/>
      <c r="O7" s="60"/>
      <c r="P7" s="60"/>
      <c r="Q7" s="60"/>
      <c r="R7" s="60"/>
      <c r="S7" s="60">
        <v>3</v>
      </c>
      <c r="T7" s="60">
        <f t="shared" ref="T7:T64" si="1">S7*D7</f>
        <v>3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>
        <f t="shared" ref="AE7:AE64" si="2">G7+I7+K7+M7+O7+Q7+S7+U7+W7+Y7+AA7+AC7</f>
        <v>7</v>
      </c>
      <c r="AF7" s="61">
        <f t="shared" ref="AF7:AF64" si="3">AE7*D7</f>
        <v>7</v>
      </c>
    </row>
    <row r="8" spans="1:32" ht="20.100000000000001" customHeight="1">
      <c r="A8" s="63">
        <v>4</v>
      </c>
      <c r="B8" s="63" t="s">
        <v>19</v>
      </c>
      <c r="C8" s="63" t="s">
        <v>17</v>
      </c>
      <c r="D8" s="63">
        <v>0.6</v>
      </c>
      <c r="E8" s="63" t="s">
        <v>15</v>
      </c>
      <c r="F8" s="63">
        <v>1080</v>
      </c>
      <c r="G8" s="60"/>
      <c r="H8" s="60"/>
      <c r="I8" s="60">
        <v>10</v>
      </c>
      <c r="J8" s="60">
        <f t="shared" si="0"/>
        <v>6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>
        <f t="shared" si="2"/>
        <v>10</v>
      </c>
      <c r="AF8" s="61">
        <f t="shared" si="3"/>
        <v>6</v>
      </c>
    </row>
    <row r="9" spans="1:32" ht="20.100000000000001" customHeight="1">
      <c r="A9" s="63">
        <v>5</v>
      </c>
      <c r="B9" s="63" t="s">
        <v>20</v>
      </c>
      <c r="C9" s="63" t="s">
        <v>17</v>
      </c>
      <c r="D9" s="63">
        <v>0.35</v>
      </c>
      <c r="E9" s="63" t="s">
        <v>21</v>
      </c>
      <c r="F9" s="63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1"/>
    </row>
    <row r="10" spans="1:32" ht="20.100000000000001" customHeight="1">
      <c r="A10" s="63">
        <v>6</v>
      </c>
      <c r="B10" s="63" t="s">
        <v>22</v>
      </c>
      <c r="C10" s="63" t="s">
        <v>14</v>
      </c>
      <c r="D10" s="63">
        <v>0.7</v>
      </c>
      <c r="E10" s="63" t="s">
        <v>15</v>
      </c>
      <c r="F10" s="63"/>
      <c r="G10" s="164"/>
      <c r="H10" s="60"/>
      <c r="I10" s="164"/>
      <c r="J10" s="60"/>
      <c r="K10" s="164"/>
      <c r="L10" s="60"/>
      <c r="M10" s="164"/>
      <c r="N10" s="60"/>
      <c r="O10" s="164"/>
      <c r="P10" s="60"/>
      <c r="Q10" s="164"/>
      <c r="R10" s="60"/>
      <c r="S10" s="164"/>
      <c r="T10" s="60"/>
      <c r="U10" s="164"/>
      <c r="V10" s="60"/>
      <c r="W10" s="164"/>
      <c r="X10" s="60"/>
      <c r="Y10" s="164"/>
      <c r="Z10" s="60"/>
      <c r="AA10" s="164"/>
      <c r="AB10" s="60"/>
      <c r="AC10" s="164"/>
      <c r="AD10" s="60"/>
      <c r="AE10" s="60"/>
      <c r="AF10" s="61"/>
    </row>
    <row r="11" spans="1:32" ht="20.100000000000001" customHeight="1">
      <c r="A11" s="63">
        <v>7</v>
      </c>
      <c r="B11" s="63" t="s">
        <v>23</v>
      </c>
      <c r="C11" s="63" t="s">
        <v>14</v>
      </c>
      <c r="D11" s="63">
        <v>0.64</v>
      </c>
      <c r="E11" s="63" t="s">
        <v>24</v>
      </c>
      <c r="F11" s="63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1"/>
    </row>
    <row r="12" spans="1:32" ht="20.100000000000001" customHeight="1">
      <c r="A12" s="63">
        <v>8</v>
      </c>
      <c r="B12" s="63" t="s">
        <v>23</v>
      </c>
      <c r="C12" s="63" t="s">
        <v>14</v>
      </c>
      <c r="D12" s="63">
        <v>0.64</v>
      </c>
      <c r="E12" s="63" t="s">
        <v>25</v>
      </c>
      <c r="F12" s="63">
        <v>1230</v>
      </c>
      <c r="G12" s="60">
        <v>85</v>
      </c>
      <c r="H12" s="60">
        <f t="shared" ref="H12:H63" si="4">G12*D12</f>
        <v>54.4</v>
      </c>
      <c r="I12" s="60">
        <v>93</v>
      </c>
      <c r="J12" s="60">
        <f t="shared" si="0"/>
        <v>59.52</v>
      </c>
      <c r="K12" s="60">
        <v>80</v>
      </c>
      <c r="L12" s="60">
        <f t="shared" ref="L12:L64" si="5">K12*D12</f>
        <v>51.2</v>
      </c>
      <c r="M12" s="60">
        <v>76</v>
      </c>
      <c r="N12" s="60">
        <f t="shared" ref="N12:N64" si="6">M12*D12</f>
        <v>48.64</v>
      </c>
      <c r="O12" s="60">
        <v>53</v>
      </c>
      <c r="P12" s="60">
        <f t="shared" ref="P12:P64" si="7">O12*D12</f>
        <v>33.92</v>
      </c>
      <c r="Q12" s="60">
        <v>105</v>
      </c>
      <c r="R12" s="60">
        <f t="shared" ref="R12:R64" si="8">Q12*D12</f>
        <v>67.2</v>
      </c>
      <c r="S12" s="60">
        <v>88</v>
      </c>
      <c r="T12" s="60">
        <f t="shared" si="1"/>
        <v>56.32</v>
      </c>
      <c r="U12" s="60">
        <v>38</v>
      </c>
      <c r="V12" s="60">
        <f t="shared" ref="V12:V64" si="9">U12*D12</f>
        <v>24.32</v>
      </c>
      <c r="W12" s="60">
        <v>47</v>
      </c>
      <c r="X12" s="60">
        <f t="shared" ref="X12:X64" si="10">W12*D12</f>
        <v>30.080000000000002</v>
      </c>
      <c r="Y12" s="60">
        <v>46</v>
      </c>
      <c r="Z12" s="60">
        <f t="shared" ref="Z12:Z64" si="11">Y12*D12</f>
        <v>29.44</v>
      </c>
      <c r="AA12" s="60">
        <v>27</v>
      </c>
      <c r="AB12" s="60">
        <f t="shared" ref="AB12:AB64" si="12">AA12*D12</f>
        <v>17.28</v>
      </c>
      <c r="AC12" s="60">
        <v>44</v>
      </c>
      <c r="AD12" s="60">
        <f t="shared" ref="AD12:AD64" si="13">AC12*D12</f>
        <v>28.16</v>
      </c>
      <c r="AE12" s="60">
        <f t="shared" si="2"/>
        <v>782</v>
      </c>
      <c r="AF12" s="61">
        <f t="shared" si="3"/>
        <v>500.48</v>
      </c>
    </row>
    <row r="13" spans="1:32" ht="20.100000000000001" customHeight="1">
      <c r="A13" s="63">
        <v>9</v>
      </c>
      <c r="B13" s="63" t="s">
        <v>23</v>
      </c>
      <c r="C13" s="63" t="s">
        <v>14</v>
      </c>
      <c r="D13" s="63">
        <v>0.64</v>
      </c>
      <c r="E13" s="63" t="s">
        <v>15</v>
      </c>
      <c r="F13" s="63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1"/>
    </row>
    <row r="14" spans="1:32" ht="20.100000000000001" customHeight="1">
      <c r="A14" s="63">
        <v>10</v>
      </c>
      <c r="B14" s="63" t="s">
        <v>26</v>
      </c>
      <c r="C14" s="63" t="s">
        <v>14</v>
      </c>
      <c r="D14" s="63">
        <v>0.64</v>
      </c>
      <c r="E14" s="63" t="s">
        <v>25</v>
      </c>
      <c r="F14" s="63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1"/>
    </row>
    <row r="15" spans="1:32" ht="20.100000000000001" customHeight="1">
      <c r="A15" s="63"/>
      <c r="B15" s="63"/>
      <c r="C15" s="63"/>
      <c r="D15" s="63"/>
      <c r="E15" s="63"/>
      <c r="F15" s="63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1"/>
    </row>
    <row r="16" spans="1:32" ht="20.100000000000001" customHeight="1">
      <c r="A16" s="63">
        <v>11</v>
      </c>
      <c r="B16" s="63" t="s">
        <v>27</v>
      </c>
      <c r="C16" s="63" t="s">
        <v>17</v>
      </c>
      <c r="D16" s="63">
        <v>1</v>
      </c>
      <c r="E16" s="63" t="s">
        <v>15</v>
      </c>
      <c r="F16" s="63">
        <v>1530</v>
      </c>
      <c r="G16" s="60">
        <v>29</v>
      </c>
      <c r="H16" s="60">
        <f t="shared" si="4"/>
        <v>29</v>
      </c>
      <c r="I16" s="60">
        <v>1082</v>
      </c>
      <c r="J16" s="60">
        <f t="shared" si="0"/>
        <v>1082</v>
      </c>
      <c r="K16" s="60"/>
      <c r="L16" s="60"/>
      <c r="M16" s="60"/>
      <c r="N16" s="60"/>
      <c r="O16" s="60">
        <v>15</v>
      </c>
      <c r="P16" s="60">
        <f t="shared" si="7"/>
        <v>15</v>
      </c>
      <c r="Q16" s="60">
        <v>5</v>
      </c>
      <c r="R16" s="60">
        <f t="shared" si="8"/>
        <v>5</v>
      </c>
      <c r="S16" s="60">
        <v>31</v>
      </c>
      <c r="T16" s="60">
        <f t="shared" si="1"/>
        <v>31</v>
      </c>
      <c r="U16" s="60">
        <v>12</v>
      </c>
      <c r="V16" s="60">
        <f t="shared" si="9"/>
        <v>12</v>
      </c>
      <c r="W16" s="60">
        <v>2</v>
      </c>
      <c r="X16" s="60">
        <f t="shared" si="10"/>
        <v>2</v>
      </c>
      <c r="Y16" s="60">
        <v>24</v>
      </c>
      <c r="Z16" s="60">
        <f t="shared" si="11"/>
        <v>24</v>
      </c>
      <c r="AA16" s="60">
        <v>9</v>
      </c>
      <c r="AB16" s="60">
        <f t="shared" si="12"/>
        <v>9</v>
      </c>
      <c r="AC16" s="60">
        <v>7</v>
      </c>
      <c r="AD16" s="60">
        <f t="shared" si="13"/>
        <v>7</v>
      </c>
      <c r="AE16" s="60">
        <f t="shared" si="2"/>
        <v>1216</v>
      </c>
      <c r="AF16" s="61">
        <f t="shared" si="3"/>
        <v>1216</v>
      </c>
    </row>
    <row r="17" spans="1:32" ht="20.100000000000001" customHeight="1">
      <c r="A17" s="63">
        <v>12</v>
      </c>
      <c r="B17" s="63" t="s">
        <v>28</v>
      </c>
      <c r="C17" s="63" t="s">
        <v>17</v>
      </c>
      <c r="D17" s="63">
        <v>1</v>
      </c>
      <c r="E17" s="63" t="s">
        <v>15</v>
      </c>
      <c r="F17" s="63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1"/>
    </row>
    <row r="18" spans="1:32" ht="20.100000000000001" customHeight="1">
      <c r="A18" s="63">
        <v>13</v>
      </c>
      <c r="B18" s="63" t="s">
        <v>29</v>
      </c>
      <c r="C18" s="63" t="s">
        <v>17</v>
      </c>
      <c r="D18" s="63">
        <v>0.6</v>
      </c>
      <c r="E18" s="63" t="s">
        <v>15</v>
      </c>
      <c r="F18" s="63">
        <v>1090</v>
      </c>
      <c r="G18" s="60">
        <v>6</v>
      </c>
      <c r="H18" s="60">
        <f t="shared" si="4"/>
        <v>3.5999999999999996</v>
      </c>
      <c r="I18" s="60">
        <v>8</v>
      </c>
      <c r="J18" s="60">
        <f t="shared" si="0"/>
        <v>4.8</v>
      </c>
      <c r="K18" s="60"/>
      <c r="L18" s="60"/>
      <c r="M18" s="60"/>
      <c r="N18" s="60"/>
      <c r="O18" s="60">
        <v>7</v>
      </c>
      <c r="P18" s="60">
        <f t="shared" si="7"/>
        <v>4.2</v>
      </c>
      <c r="Q18" s="60">
        <v>1</v>
      </c>
      <c r="R18" s="60">
        <f t="shared" si="8"/>
        <v>0.6</v>
      </c>
      <c r="S18" s="60"/>
      <c r="T18" s="60"/>
      <c r="U18" s="60"/>
      <c r="V18" s="60"/>
      <c r="W18" s="60"/>
      <c r="X18" s="60"/>
      <c r="Y18" s="60">
        <v>10</v>
      </c>
      <c r="Z18" s="60">
        <f t="shared" si="11"/>
        <v>6</v>
      </c>
      <c r="AA18" s="60"/>
      <c r="AB18" s="60"/>
      <c r="AC18" s="60">
        <v>1</v>
      </c>
      <c r="AD18" s="60">
        <f t="shared" si="13"/>
        <v>0.6</v>
      </c>
      <c r="AE18" s="60">
        <f t="shared" si="2"/>
        <v>33</v>
      </c>
      <c r="AF18" s="61">
        <f t="shared" si="3"/>
        <v>19.8</v>
      </c>
    </row>
    <row r="19" spans="1:32" ht="20.100000000000001" customHeight="1">
      <c r="A19" s="63">
        <v>14</v>
      </c>
      <c r="B19" s="63" t="s">
        <v>30</v>
      </c>
      <c r="C19" s="63" t="s">
        <v>17</v>
      </c>
      <c r="D19" s="63">
        <v>0.6</v>
      </c>
      <c r="E19" s="63" t="s">
        <v>15</v>
      </c>
      <c r="F19" s="63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1"/>
    </row>
    <row r="20" spans="1:32" ht="20.100000000000001" customHeight="1">
      <c r="A20" s="63">
        <v>15</v>
      </c>
      <c r="B20" s="63" t="s">
        <v>31</v>
      </c>
      <c r="C20" s="63" t="s">
        <v>17</v>
      </c>
      <c r="D20" s="63">
        <v>0.35</v>
      </c>
      <c r="E20" s="63" t="s">
        <v>21</v>
      </c>
      <c r="F20" s="63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1"/>
    </row>
    <row r="21" spans="1:32" ht="20.100000000000001" customHeight="1">
      <c r="A21" s="63">
        <v>16</v>
      </c>
      <c r="B21" s="63" t="s">
        <v>32</v>
      </c>
      <c r="C21" s="63" t="s">
        <v>17</v>
      </c>
      <c r="D21" s="63">
        <v>0.35</v>
      </c>
      <c r="E21" s="63" t="s">
        <v>21</v>
      </c>
      <c r="F21" s="63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1"/>
    </row>
    <row r="22" spans="1:32" ht="20.100000000000001" customHeight="1">
      <c r="A22" s="63">
        <v>17</v>
      </c>
      <c r="B22" s="63" t="s">
        <v>33</v>
      </c>
      <c r="C22" s="63" t="s">
        <v>14</v>
      </c>
      <c r="D22" s="63">
        <v>0.64</v>
      </c>
      <c r="E22" s="63" t="s">
        <v>25</v>
      </c>
      <c r="F22" s="63">
        <v>1230</v>
      </c>
      <c r="G22" s="60">
        <v>13</v>
      </c>
      <c r="H22" s="60">
        <f t="shared" si="4"/>
        <v>8.32</v>
      </c>
      <c r="I22" s="60">
        <v>27</v>
      </c>
      <c r="J22" s="60">
        <f t="shared" si="0"/>
        <v>17.28</v>
      </c>
      <c r="K22" s="60">
        <v>17</v>
      </c>
      <c r="L22" s="60">
        <f t="shared" si="5"/>
        <v>10.88</v>
      </c>
      <c r="M22" s="60">
        <v>7</v>
      </c>
      <c r="N22" s="60">
        <f t="shared" si="6"/>
        <v>4.4800000000000004</v>
      </c>
      <c r="O22" s="60">
        <v>22</v>
      </c>
      <c r="P22" s="60">
        <f t="shared" si="7"/>
        <v>14.08</v>
      </c>
      <c r="Q22" s="60">
        <v>22</v>
      </c>
      <c r="R22" s="60">
        <f t="shared" si="8"/>
        <v>14.08</v>
      </c>
      <c r="S22" s="60">
        <v>40</v>
      </c>
      <c r="T22" s="60">
        <f t="shared" si="1"/>
        <v>25.6</v>
      </c>
      <c r="U22" s="60">
        <v>17</v>
      </c>
      <c r="V22" s="60">
        <f t="shared" si="9"/>
        <v>10.88</v>
      </c>
      <c r="W22" s="60">
        <v>25</v>
      </c>
      <c r="X22" s="60">
        <f t="shared" si="10"/>
        <v>16</v>
      </c>
      <c r="Y22" s="60">
        <v>26</v>
      </c>
      <c r="Z22" s="60">
        <f t="shared" si="11"/>
        <v>16.64</v>
      </c>
      <c r="AA22" s="60">
        <v>10</v>
      </c>
      <c r="AB22" s="60">
        <f t="shared" si="12"/>
        <v>6.4</v>
      </c>
      <c r="AC22" s="60">
        <v>31</v>
      </c>
      <c r="AD22" s="60">
        <f t="shared" si="13"/>
        <v>19.84</v>
      </c>
      <c r="AE22" s="60">
        <f t="shared" si="2"/>
        <v>257</v>
      </c>
      <c r="AF22" s="61">
        <f t="shared" si="3"/>
        <v>164.48</v>
      </c>
    </row>
    <row r="23" spans="1:32" ht="20.100000000000001" customHeight="1">
      <c r="A23" s="63">
        <v>18</v>
      </c>
      <c r="B23" s="63" t="s">
        <v>34</v>
      </c>
      <c r="C23" s="63" t="s">
        <v>14</v>
      </c>
      <c r="D23" s="63">
        <v>0.64</v>
      </c>
      <c r="E23" s="63" t="s">
        <v>25</v>
      </c>
      <c r="F23" s="63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1"/>
    </row>
    <row r="24" spans="1:32" ht="20.100000000000001" customHeight="1">
      <c r="A24" s="63">
        <v>19</v>
      </c>
      <c r="B24" s="63" t="s">
        <v>35</v>
      </c>
      <c r="C24" s="63" t="s">
        <v>14</v>
      </c>
      <c r="D24" s="63">
        <v>0.64</v>
      </c>
      <c r="E24" s="63" t="s">
        <v>25</v>
      </c>
      <c r="F24" s="63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1"/>
    </row>
    <row r="25" spans="1:32" ht="20.100000000000001" customHeight="1">
      <c r="A25" s="63"/>
      <c r="B25" s="63"/>
      <c r="C25" s="63"/>
      <c r="D25" s="63"/>
      <c r="E25" s="63"/>
      <c r="F25" s="63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1"/>
    </row>
    <row r="26" spans="1:32" ht="20.100000000000001" customHeight="1">
      <c r="A26" s="63">
        <v>20</v>
      </c>
      <c r="B26" s="63" t="s">
        <v>36</v>
      </c>
      <c r="C26" s="63" t="s">
        <v>17</v>
      </c>
      <c r="D26" s="63">
        <v>1</v>
      </c>
      <c r="E26" s="63" t="s">
        <v>24</v>
      </c>
      <c r="F26" s="63">
        <v>1900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1"/>
    </row>
    <row r="27" spans="1:32" ht="20.100000000000001" customHeight="1">
      <c r="A27" s="63">
        <v>21</v>
      </c>
      <c r="B27" s="63" t="s">
        <v>37</v>
      </c>
      <c r="C27" s="63" t="s">
        <v>17</v>
      </c>
      <c r="D27" s="63">
        <v>0.6</v>
      </c>
      <c r="E27" s="63" t="s">
        <v>38</v>
      </c>
      <c r="F27" s="63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1"/>
    </row>
    <row r="28" spans="1:32" ht="20.100000000000001" customHeight="1">
      <c r="A28" s="63">
        <v>22</v>
      </c>
      <c r="B28" s="63" t="s">
        <v>39</v>
      </c>
      <c r="C28" s="63" t="s">
        <v>14</v>
      </c>
      <c r="D28" s="63">
        <v>0.64</v>
      </c>
      <c r="E28" s="63" t="s">
        <v>25</v>
      </c>
      <c r="F28" s="63">
        <v>1500</v>
      </c>
      <c r="G28" s="60">
        <v>64</v>
      </c>
      <c r="H28" s="60">
        <f t="shared" si="4"/>
        <v>40.96</v>
      </c>
      <c r="I28" s="60">
        <v>8</v>
      </c>
      <c r="J28" s="60">
        <f t="shared" si="0"/>
        <v>5.12</v>
      </c>
      <c r="K28" s="60">
        <v>14</v>
      </c>
      <c r="L28" s="60">
        <f t="shared" si="5"/>
        <v>8.9600000000000009</v>
      </c>
      <c r="M28" s="60">
        <v>20</v>
      </c>
      <c r="N28" s="60">
        <f t="shared" si="6"/>
        <v>12.8</v>
      </c>
      <c r="O28" s="60">
        <v>54</v>
      </c>
      <c r="P28" s="60">
        <f t="shared" si="7"/>
        <v>34.56</v>
      </c>
      <c r="Q28" s="60">
        <v>43</v>
      </c>
      <c r="R28" s="60">
        <f t="shared" si="8"/>
        <v>27.52</v>
      </c>
      <c r="S28" s="60">
        <v>93</v>
      </c>
      <c r="T28" s="60">
        <f t="shared" si="1"/>
        <v>59.52</v>
      </c>
      <c r="U28" s="60">
        <v>56</v>
      </c>
      <c r="V28" s="60">
        <f t="shared" si="9"/>
        <v>35.840000000000003</v>
      </c>
      <c r="W28" s="60">
        <v>51</v>
      </c>
      <c r="X28" s="60">
        <f t="shared" si="10"/>
        <v>32.64</v>
      </c>
      <c r="Y28" s="60">
        <v>56</v>
      </c>
      <c r="Z28" s="60">
        <f t="shared" si="11"/>
        <v>35.840000000000003</v>
      </c>
      <c r="AA28" s="60">
        <v>46</v>
      </c>
      <c r="AB28" s="60">
        <f t="shared" si="12"/>
        <v>29.44</v>
      </c>
      <c r="AC28" s="60">
        <v>50</v>
      </c>
      <c r="AD28" s="60">
        <f t="shared" si="13"/>
        <v>32</v>
      </c>
      <c r="AE28" s="60">
        <f t="shared" si="2"/>
        <v>555</v>
      </c>
      <c r="AF28" s="61">
        <f t="shared" si="3"/>
        <v>355.2</v>
      </c>
    </row>
    <row r="29" spans="1:32" ht="20.100000000000001" customHeight="1">
      <c r="A29" s="63">
        <v>23</v>
      </c>
      <c r="B29" s="63" t="s">
        <v>40</v>
      </c>
      <c r="C29" s="63" t="s">
        <v>14</v>
      </c>
      <c r="D29" s="63">
        <v>0.64</v>
      </c>
      <c r="E29" s="63" t="s">
        <v>25</v>
      </c>
      <c r="F29" s="63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1"/>
    </row>
    <row r="30" spans="1:32" ht="20.100000000000001" customHeight="1">
      <c r="A30" s="63"/>
      <c r="B30" s="63"/>
      <c r="C30" s="63"/>
      <c r="D30" s="63"/>
      <c r="E30" s="63"/>
      <c r="F30" s="63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1"/>
    </row>
    <row r="31" spans="1:32" ht="20.100000000000001" customHeight="1">
      <c r="A31" s="63">
        <v>24</v>
      </c>
      <c r="B31" s="63" t="s">
        <v>41</v>
      </c>
      <c r="C31" s="63" t="s">
        <v>17</v>
      </c>
      <c r="D31" s="63">
        <v>1</v>
      </c>
      <c r="E31" s="63" t="s">
        <v>15</v>
      </c>
      <c r="F31" s="63">
        <v>1580</v>
      </c>
      <c r="G31" s="60"/>
      <c r="H31" s="60"/>
      <c r="I31" s="60"/>
      <c r="J31" s="60"/>
      <c r="K31" s="60">
        <v>3</v>
      </c>
      <c r="L31" s="60">
        <f t="shared" si="5"/>
        <v>3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>
        <f t="shared" si="2"/>
        <v>3</v>
      </c>
      <c r="AF31" s="61">
        <f t="shared" si="3"/>
        <v>3</v>
      </c>
    </row>
    <row r="32" spans="1:32" ht="20.100000000000001" customHeight="1">
      <c r="A32" s="63">
        <v>25</v>
      </c>
      <c r="B32" s="63" t="s">
        <v>42</v>
      </c>
      <c r="C32" s="63" t="s">
        <v>17</v>
      </c>
      <c r="D32" s="63">
        <v>1</v>
      </c>
      <c r="E32" s="63" t="s">
        <v>15</v>
      </c>
      <c r="F32" s="63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1"/>
    </row>
    <row r="33" spans="1:32" ht="20.100000000000001" customHeight="1">
      <c r="A33" s="63">
        <v>26</v>
      </c>
      <c r="B33" s="63" t="s">
        <v>43</v>
      </c>
      <c r="C33" s="63" t="s">
        <v>17</v>
      </c>
      <c r="D33" s="63">
        <v>0.6</v>
      </c>
      <c r="E33" s="63" t="s">
        <v>15</v>
      </c>
      <c r="F33" s="63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1"/>
    </row>
    <row r="34" spans="1:32" ht="20.100000000000001" customHeight="1">
      <c r="A34" s="63">
        <v>27</v>
      </c>
      <c r="B34" s="63" t="s">
        <v>44</v>
      </c>
      <c r="C34" s="63" t="s">
        <v>17</v>
      </c>
      <c r="D34" s="63">
        <v>0.6</v>
      </c>
      <c r="E34" s="63" t="s">
        <v>15</v>
      </c>
      <c r="F34" s="63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1"/>
    </row>
    <row r="35" spans="1:32" ht="20.100000000000001" customHeight="1">
      <c r="A35" s="63">
        <v>28</v>
      </c>
      <c r="B35" s="63" t="s">
        <v>45</v>
      </c>
      <c r="C35" s="63" t="s">
        <v>17</v>
      </c>
      <c r="D35" s="63">
        <v>0.35</v>
      </c>
      <c r="E35" s="63" t="s">
        <v>21</v>
      </c>
      <c r="F35" s="63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1"/>
    </row>
    <row r="36" spans="1:32" ht="20.100000000000001" customHeight="1">
      <c r="A36" s="63">
        <v>29</v>
      </c>
      <c r="B36" s="63" t="s">
        <v>46</v>
      </c>
      <c r="C36" s="63" t="s">
        <v>14</v>
      </c>
      <c r="D36" s="63">
        <v>0.7</v>
      </c>
      <c r="E36" s="63" t="s">
        <v>15</v>
      </c>
      <c r="F36" s="63">
        <v>1700</v>
      </c>
      <c r="G36" s="60">
        <v>2</v>
      </c>
      <c r="H36" s="60">
        <f t="shared" si="4"/>
        <v>1.4</v>
      </c>
      <c r="I36" s="60">
        <v>16</v>
      </c>
      <c r="J36" s="60">
        <f t="shared" si="0"/>
        <v>11.2</v>
      </c>
      <c r="K36" s="60">
        <v>2</v>
      </c>
      <c r="L36" s="60">
        <f t="shared" si="5"/>
        <v>1.4</v>
      </c>
      <c r="M36" s="60">
        <v>1</v>
      </c>
      <c r="N36" s="60">
        <f t="shared" si="6"/>
        <v>0.7</v>
      </c>
      <c r="O36" s="60">
        <v>2</v>
      </c>
      <c r="P36" s="60">
        <f t="shared" si="7"/>
        <v>1.4</v>
      </c>
      <c r="Q36" s="60">
        <v>6</v>
      </c>
      <c r="R36" s="60">
        <f t="shared" si="8"/>
        <v>4.1999999999999993</v>
      </c>
      <c r="S36" s="60">
        <v>4</v>
      </c>
      <c r="T36" s="60">
        <f t="shared" si="1"/>
        <v>2.8</v>
      </c>
      <c r="U36" s="60">
        <v>3</v>
      </c>
      <c r="V36" s="60">
        <f t="shared" si="9"/>
        <v>2.0999999999999996</v>
      </c>
      <c r="W36" s="60">
        <v>3</v>
      </c>
      <c r="X36" s="60">
        <f t="shared" si="10"/>
        <v>2.0999999999999996</v>
      </c>
      <c r="Y36" s="60">
        <v>6</v>
      </c>
      <c r="Z36" s="60">
        <f t="shared" si="11"/>
        <v>4.1999999999999993</v>
      </c>
      <c r="AA36" s="60">
        <v>4</v>
      </c>
      <c r="AB36" s="60">
        <f t="shared" si="12"/>
        <v>2.8</v>
      </c>
      <c r="AC36" s="60">
        <v>1</v>
      </c>
      <c r="AD36" s="60">
        <f t="shared" si="13"/>
        <v>0.7</v>
      </c>
      <c r="AE36" s="60">
        <f t="shared" si="2"/>
        <v>50</v>
      </c>
      <c r="AF36" s="61">
        <f t="shared" si="3"/>
        <v>35</v>
      </c>
    </row>
    <row r="37" spans="1:32" ht="20.100000000000001" customHeight="1">
      <c r="A37" s="63">
        <v>30</v>
      </c>
      <c r="B37" s="63" t="s">
        <v>47</v>
      </c>
      <c r="C37" s="63" t="s">
        <v>14</v>
      </c>
      <c r="D37" s="63">
        <v>0.7</v>
      </c>
      <c r="E37" s="63" t="s">
        <v>15</v>
      </c>
      <c r="F37" s="63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1"/>
    </row>
    <row r="38" spans="1:32" ht="20.100000000000001" customHeight="1">
      <c r="A38" s="63">
        <v>31</v>
      </c>
      <c r="B38" s="63" t="s">
        <v>48</v>
      </c>
      <c r="C38" s="63" t="s">
        <v>14</v>
      </c>
      <c r="D38" s="63">
        <v>0.68</v>
      </c>
      <c r="E38" s="63" t="s">
        <v>15</v>
      </c>
      <c r="F38" s="63">
        <v>1500</v>
      </c>
      <c r="G38" s="60">
        <v>50</v>
      </c>
      <c r="H38" s="60">
        <f t="shared" si="4"/>
        <v>34</v>
      </c>
      <c r="I38" s="60"/>
      <c r="J38" s="60"/>
      <c r="K38" s="60">
        <v>45</v>
      </c>
      <c r="L38" s="60">
        <f t="shared" si="5"/>
        <v>30.6</v>
      </c>
      <c r="M38" s="60">
        <v>11</v>
      </c>
      <c r="N38" s="60">
        <f t="shared" si="6"/>
        <v>7.48</v>
      </c>
      <c r="O38" s="60">
        <v>5</v>
      </c>
      <c r="P38" s="60">
        <f t="shared" si="7"/>
        <v>3.4000000000000004</v>
      </c>
      <c r="Q38" s="60">
        <v>3</v>
      </c>
      <c r="R38" s="60">
        <f t="shared" si="8"/>
        <v>2.04</v>
      </c>
      <c r="S38" s="60"/>
      <c r="T38" s="60"/>
      <c r="U38" s="60">
        <v>6</v>
      </c>
      <c r="V38" s="60">
        <f t="shared" si="9"/>
        <v>4.08</v>
      </c>
      <c r="W38" s="60">
        <v>2</v>
      </c>
      <c r="X38" s="60">
        <f t="shared" si="10"/>
        <v>1.36</v>
      </c>
      <c r="Y38" s="60">
        <v>3</v>
      </c>
      <c r="Z38" s="60">
        <f t="shared" si="11"/>
        <v>2.04</v>
      </c>
      <c r="AA38" s="60"/>
      <c r="AB38" s="60"/>
      <c r="AC38" s="60"/>
      <c r="AD38" s="60"/>
      <c r="AE38" s="60">
        <f t="shared" si="2"/>
        <v>125</v>
      </c>
      <c r="AF38" s="61">
        <f t="shared" si="3"/>
        <v>85</v>
      </c>
    </row>
    <row r="39" spans="1:32" ht="20.100000000000001" customHeight="1">
      <c r="A39" s="63">
        <v>32</v>
      </c>
      <c r="B39" s="63" t="s">
        <v>48</v>
      </c>
      <c r="C39" s="63" t="s">
        <v>14</v>
      </c>
      <c r="D39" s="63">
        <v>0.64</v>
      </c>
      <c r="E39" s="63" t="s">
        <v>15</v>
      </c>
      <c r="F39" s="63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1"/>
    </row>
    <row r="40" spans="1:32" ht="20.100000000000001" customHeight="1">
      <c r="A40" s="63">
        <v>33</v>
      </c>
      <c r="B40" s="63" t="s">
        <v>49</v>
      </c>
      <c r="C40" s="63" t="s">
        <v>14</v>
      </c>
      <c r="D40" s="63">
        <v>0.64</v>
      </c>
      <c r="E40" s="63" t="s">
        <v>25</v>
      </c>
      <c r="F40" s="63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1"/>
    </row>
    <row r="41" spans="1:32" ht="20.100000000000001" customHeight="1">
      <c r="A41" s="63">
        <v>34</v>
      </c>
      <c r="B41" s="63" t="s">
        <v>47</v>
      </c>
      <c r="C41" s="63" t="s">
        <v>14</v>
      </c>
      <c r="D41" s="63">
        <v>0.64</v>
      </c>
      <c r="E41" s="63" t="s">
        <v>25</v>
      </c>
      <c r="F41" s="63">
        <v>1230</v>
      </c>
      <c r="G41" s="60">
        <v>9</v>
      </c>
      <c r="H41" s="60">
        <f t="shared" si="4"/>
        <v>5.76</v>
      </c>
      <c r="I41" s="60">
        <v>18</v>
      </c>
      <c r="J41" s="60">
        <f t="shared" si="0"/>
        <v>11.52</v>
      </c>
      <c r="K41" s="60">
        <v>13</v>
      </c>
      <c r="L41" s="60">
        <f t="shared" si="5"/>
        <v>8.32</v>
      </c>
      <c r="M41" s="60">
        <v>12</v>
      </c>
      <c r="N41" s="60">
        <f t="shared" si="6"/>
        <v>7.68</v>
      </c>
      <c r="O41" s="60">
        <v>10</v>
      </c>
      <c r="P41" s="60">
        <f t="shared" si="7"/>
        <v>6.4</v>
      </c>
      <c r="Q41" s="60">
        <v>14</v>
      </c>
      <c r="R41" s="60">
        <f t="shared" si="8"/>
        <v>8.9600000000000009</v>
      </c>
      <c r="S41" s="60">
        <v>11</v>
      </c>
      <c r="T41" s="60">
        <f t="shared" si="1"/>
        <v>7.04</v>
      </c>
      <c r="U41" s="60">
        <v>12</v>
      </c>
      <c r="V41" s="60">
        <f t="shared" si="9"/>
        <v>7.68</v>
      </c>
      <c r="W41" s="60">
        <v>13</v>
      </c>
      <c r="X41" s="60">
        <f t="shared" si="10"/>
        <v>8.32</v>
      </c>
      <c r="Y41" s="60">
        <v>36</v>
      </c>
      <c r="Z41" s="60">
        <f t="shared" si="11"/>
        <v>23.04</v>
      </c>
      <c r="AA41" s="60">
        <v>29</v>
      </c>
      <c r="AB41" s="60">
        <f t="shared" si="12"/>
        <v>18.559999999999999</v>
      </c>
      <c r="AC41" s="60">
        <v>8</v>
      </c>
      <c r="AD41" s="60">
        <f t="shared" si="13"/>
        <v>5.12</v>
      </c>
      <c r="AE41" s="60">
        <f t="shared" si="2"/>
        <v>185</v>
      </c>
      <c r="AF41" s="61">
        <f t="shared" si="3"/>
        <v>118.4</v>
      </c>
    </row>
    <row r="42" spans="1:32" ht="20.100000000000001" customHeight="1">
      <c r="A42" s="63">
        <v>35</v>
      </c>
      <c r="B42" s="63" t="s">
        <v>47</v>
      </c>
      <c r="C42" s="63" t="s">
        <v>14</v>
      </c>
      <c r="D42" s="63">
        <v>0.64</v>
      </c>
      <c r="E42" s="63" t="s">
        <v>24</v>
      </c>
      <c r="F42" s="63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1"/>
    </row>
    <row r="43" spans="1:32" ht="20.100000000000001" customHeight="1">
      <c r="A43" s="63">
        <v>36</v>
      </c>
      <c r="B43" s="63" t="s">
        <v>50</v>
      </c>
      <c r="C43" s="63" t="s">
        <v>14</v>
      </c>
      <c r="D43" s="63">
        <v>0.68</v>
      </c>
      <c r="E43" s="63" t="s">
        <v>25</v>
      </c>
      <c r="F43" s="63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1"/>
    </row>
    <row r="44" spans="1:32" ht="20.100000000000001" customHeight="1">
      <c r="A44" s="63">
        <v>37</v>
      </c>
      <c r="B44" s="63" t="s">
        <v>50</v>
      </c>
      <c r="C44" s="63" t="s">
        <v>14</v>
      </c>
      <c r="D44" s="63">
        <v>0.64</v>
      </c>
      <c r="E44" s="63" t="s">
        <v>25</v>
      </c>
      <c r="F44" s="63">
        <v>1500</v>
      </c>
      <c r="G44" s="60"/>
      <c r="H44" s="60"/>
      <c r="I44" s="60">
        <v>13</v>
      </c>
      <c r="J44" s="60">
        <f t="shared" si="0"/>
        <v>8.32</v>
      </c>
      <c r="K44" s="60"/>
      <c r="L44" s="60"/>
      <c r="M44" s="60">
        <v>55</v>
      </c>
      <c r="N44" s="60">
        <f t="shared" si="6"/>
        <v>35.200000000000003</v>
      </c>
      <c r="O44" s="60">
        <v>43</v>
      </c>
      <c r="P44" s="60">
        <f t="shared" si="7"/>
        <v>27.52</v>
      </c>
      <c r="Q44" s="60">
        <v>124</v>
      </c>
      <c r="R44" s="60">
        <f t="shared" si="8"/>
        <v>79.36</v>
      </c>
      <c r="S44" s="60">
        <v>14</v>
      </c>
      <c r="T44" s="60">
        <f t="shared" si="1"/>
        <v>8.9600000000000009</v>
      </c>
      <c r="U44" s="60">
        <v>2</v>
      </c>
      <c r="V44" s="60">
        <f t="shared" si="9"/>
        <v>1.28</v>
      </c>
      <c r="W44" s="60">
        <v>5</v>
      </c>
      <c r="X44" s="60">
        <f t="shared" si="10"/>
        <v>3.2</v>
      </c>
      <c r="Y44" s="60">
        <v>22</v>
      </c>
      <c r="Z44" s="60">
        <f t="shared" si="11"/>
        <v>14.08</v>
      </c>
      <c r="AA44" s="60">
        <v>5</v>
      </c>
      <c r="AB44" s="60">
        <f t="shared" si="12"/>
        <v>3.2</v>
      </c>
      <c r="AC44" s="60">
        <v>3</v>
      </c>
      <c r="AD44" s="60">
        <f t="shared" si="13"/>
        <v>1.92</v>
      </c>
      <c r="AE44" s="60">
        <f t="shared" si="2"/>
        <v>286</v>
      </c>
      <c r="AF44" s="61">
        <f t="shared" si="3"/>
        <v>183.04</v>
      </c>
    </row>
    <row r="45" spans="1:32" ht="20.100000000000001" customHeight="1">
      <c r="A45" s="63">
        <v>38</v>
      </c>
      <c r="B45" s="63" t="s">
        <v>51</v>
      </c>
      <c r="C45" s="63" t="s">
        <v>14</v>
      </c>
      <c r="D45" s="63">
        <v>0.64</v>
      </c>
      <c r="E45" s="63" t="s">
        <v>25</v>
      </c>
      <c r="F45" s="63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1"/>
    </row>
    <row r="46" spans="1:32" ht="20.100000000000001" customHeight="1">
      <c r="A46" s="63">
        <v>39</v>
      </c>
      <c r="B46" s="63" t="s">
        <v>51</v>
      </c>
      <c r="C46" s="63" t="s">
        <v>14</v>
      </c>
      <c r="D46" s="63">
        <v>0.64</v>
      </c>
      <c r="E46" s="63" t="s">
        <v>25</v>
      </c>
      <c r="F46" s="63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1"/>
    </row>
    <row r="47" spans="1:32" ht="20.100000000000001" customHeight="1">
      <c r="A47" s="63">
        <v>40</v>
      </c>
      <c r="B47" s="63" t="s">
        <v>51</v>
      </c>
      <c r="C47" s="63" t="s">
        <v>14</v>
      </c>
      <c r="D47" s="63">
        <v>0.64</v>
      </c>
      <c r="E47" s="63" t="s">
        <v>25</v>
      </c>
      <c r="F47" s="63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1"/>
    </row>
    <row r="48" spans="1:32" ht="20.100000000000001" customHeight="1">
      <c r="A48" s="63"/>
      <c r="B48" s="63"/>
      <c r="C48" s="63"/>
      <c r="D48" s="63"/>
      <c r="E48" s="63"/>
      <c r="F48" s="63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1"/>
    </row>
    <row r="49" spans="1:32" ht="20.100000000000001" customHeight="1">
      <c r="A49" s="63">
        <v>41</v>
      </c>
      <c r="B49" s="63" t="s">
        <v>52</v>
      </c>
      <c r="C49" s="63" t="s">
        <v>17</v>
      </c>
      <c r="D49" s="63">
        <v>1</v>
      </c>
      <c r="E49" s="63" t="s">
        <v>15</v>
      </c>
      <c r="F49" s="63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1"/>
    </row>
    <row r="50" spans="1:32" ht="20.100000000000001" customHeight="1">
      <c r="A50" s="63">
        <v>42</v>
      </c>
      <c r="B50" s="63" t="s">
        <v>52</v>
      </c>
      <c r="C50" s="63" t="s">
        <v>17</v>
      </c>
      <c r="D50" s="63">
        <v>1</v>
      </c>
      <c r="E50" s="63" t="s">
        <v>24</v>
      </c>
      <c r="F50" s="63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1"/>
    </row>
    <row r="51" spans="1:32" ht="20.100000000000001" customHeight="1">
      <c r="A51" s="63">
        <v>43</v>
      </c>
      <c r="B51" s="63" t="s">
        <v>53</v>
      </c>
      <c r="C51" s="63" t="s">
        <v>14</v>
      </c>
      <c r="D51" s="63">
        <v>0.64</v>
      </c>
      <c r="E51" s="63" t="s">
        <v>25</v>
      </c>
      <c r="F51" s="63">
        <v>1270</v>
      </c>
      <c r="G51" s="60">
        <v>57</v>
      </c>
      <c r="H51" s="60">
        <f t="shared" si="4"/>
        <v>36.480000000000004</v>
      </c>
      <c r="I51" s="60">
        <v>81</v>
      </c>
      <c r="J51" s="60">
        <f t="shared" si="0"/>
        <v>51.84</v>
      </c>
      <c r="K51" s="60">
        <v>30</v>
      </c>
      <c r="L51" s="60">
        <f t="shared" si="5"/>
        <v>19.2</v>
      </c>
      <c r="M51" s="60">
        <v>36</v>
      </c>
      <c r="N51" s="60">
        <f t="shared" si="6"/>
        <v>23.04</v>
      </c>
      <c r="O51" s="60">
        <v>29</v>
      </c>
      <c r="P51" s="60">
        <f t="shared" si="7"/>
        <v>18.559999999999999</v>
      </c>
      <c r="Q51" s="60">
        <v>21</v>
      </c>
      <c r="R51" s="60">
        <f t="shared" si="8"/>
        <v>13.44</v>
      </c>
      <c r="S51" s="60">
        <v>13</v>
      </c>
      <c r="T51" s="60">
        <f t="shared" si="1"/>
        <v>8.32</v>
      </c>
      <c r="U51" s="60"/>
      <c r="V51" s="60"/>
      <c r="W51" s="60">
        <v>38</v>
      </c>
      <c r="X51" s="60">
        <f t="shared" si="10"/>
        <v>24.32</v>
      </c>
      <c r="Y51" s="60">
        <v>27</v>
      </c>
      <c r="Z51" s="60">
        <f t="shared" si="11"/>
        <v>17.28</v>
      </c>
      <c r="AA51" s="60">
        <v>22</v>
      </c>
      <c r="AB51" s="60">
        <f t="shared" si="12"/>
        <v>14.08</v>
      </c>
      <c r="AC51" s="60">
        <v>10</v>
      </c>
      <c r="AD51" s="60">
        <f t="shared" si="13"/>
        <v>6.4</v>
      </c>
      <c r="AE51" s="60">
        <f t="shared" si="2"/>
        <v>364</v>
      </c>
      <c r="AF51" s="61">
        <f t="shared" si="3"/>
        <v>232.96</v>
      </c>
    </row>
    <row r="52" spans="1:32" ht="20.100000000000001" customHeight="1">
      <c r="A52" s="63">
        <v>44</v>
      </c>
      <c r="B52" s="63" t="s">
        <v>53</v>
      </c>
      <c r="C52" s="63" t="s">
        <v>14</v>
      </c>
      <c r="D52" s="63">
        <v>0.64</v>
      </c>
      <c r="E52" s="63" t="s">
        <v>24</v>
      </c>
      <c r="F52" s="63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1"/>
    </row>
    <row r="53" spans="1:32" ht="20.100000000000001" customHeight="1">
      <c r="A53" s="63"/>
      <c r="B53" s="63"/>
      <c r="C53" s="63"/>
      <c r="D53" s="63"/>
      <c r="E53" s="63"/>
      <c r="F53" s="63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1"/>
    </row>
    <row r="54" spans="1:32" ht="20.100000000000001" customHeight="1">
      <c r="A54" s="63"/>
      <c r="B54" s="63"/>
      <c r="C54" s="63"/>
      <c r="D54" s="63"/>
      <c r="E54" s="63"/>
      <c r="F54" s="63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1"/>
    </row>
    <row r="55" spans="1:32" ht="20.100000000000001" customHeight="1">
      <c r="A55" s="63">
        <v>45</v>
      </c>
      <c r="B55" s="63" t="s">
        <v>54</v>
      </c>
      <c r="C55" s="63" t="s">
        <v>17</v>
      </c>
      <c r="D55" s="63">
        <v>1</v>
      </c>
      <c r="E55" s="63" t="s">
        <v>15</v>
      </c>
      <c r="F55" s="63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1"/>
    </row>
    <row r="56" spans="1:32" ht="20.100000000000001" customHeight="1">
      <c r="A56" s="63">
        <v>46</v>
      </c>
      <c r="B56" s="63" t="s">
        <v>55</v>
      </c>
      <c r="C56" s="63" t="s">
        <v>17</v>
      </c>
      <c r="D56" s="63">
        <v>0.6</v>
      </c>
      <c r="E56" s="63" t="s">
        <v>15</v>
      </c>
      <c r="F56" s="63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1"/>
    </row>
    <row r="57" spans="1:32" ht="20.100000000000001" customHeight="1">
      <c r="A57" s="63">
        <v>47</v>
      </c>
      <c r="B57" s="63" t="s">
        <v>56</v>
      </c>
      <c r="C57" s="63" t="s">
        <v>14</v>
      </c>
      <c r="D57" s="63">
        <v>0.64</v>
      </c>
      <c r="E57" s="63" t="s">
        <v>25</v>
      </c>
      <c r="F57" s="63">
        <v>1230</v>
      </c>
      <c r="G57" s="60">
        <v>11</v>
      </c>
      <c r="H57" s="60">
        <f t="shared" si="4"/>
        <v>7.04</v>
      </c>
      <c r="I57" s="60">
        <v>2</v>
      </c>
      <c r="J57" s="60">
        <f t="shared" si="0"/>
        <v>1.28</v>
      </c>
      <c r="K57" s="60">
        <v>8</v>
      </c>
      <c r="L57" s="60">
        <f t="shared" si="5"/>
        <v>5.12</v>
      </c>
      <c r="M57" s="60">
        <v>13</v>
      </c>
      <c r="N57" s="60">
        <f t="shared" si="6"/>
        <v>8.32</v>
      </c>
      <c r="O57" s="60">
        <v>13</v>
      </c>
      <c r="P57" s="60">
        <f t="shared" si="7"/>
        <v>8.32</v>
      </c>
      <c r="Q57" s="60">
        <v>24</v>
      </c>
      <c r="R57" s="60">
        <f t="shared" si="8"/>
        <v>15.36</v>
      </c>
      <c r="S57" s="60">
        <v>6</v>
      </c>
      <c r="T57" s="60">
        <f t="shared" si="1"/>
        <v>3.84</v>
      </c>
      <c r="U57" s="60">
        <v>17</v>
      </c>
      <c r="V57" s="60">
        <f t="shared" si="9"/>
        <v>10.88</v>
      </c>
      <c r="W57" s="60">
        <v>27</v>
      </c>
      <c r="X57" s="60">
        <f t="shared" si="10"/>
        <v>17.28</v>
      </c>
      <c r="Y57" s="60">
        <v>26</v>
      </c>
      <c r="Z57" s="60">
        <f t="shared" si="11"/>
        <v>16.64</v>
      </c>
      <c r="AA57" s="60">
        <v>13</v>
      </c>
      <c r="AB57" s="60">
        <f t="shared" si="12"/>
        <v>8.32</v>
      </c>
      <c r="AC57" s="60">
        <v>21</v>
      </c>
      <c r="AD57" s="60">
        <f t="shared" si="13"/>
        <v>13.44</v>
      </c>
      <c r="AE57" s="60">
        <f t="shared" si="2"/>
        <v>181</v>
      </c>
      <c r="AF57" s="61">
        <f t="shared" si="3"/>
        <v>115.84</v>
      </c>
    </row>
    <row r="58" spans="1:32" ht="20.100000000000001" customHeight="1">
      <c r="A58" s="63">
        <v>48</v>
      </c>
      <c r="B58" s="63" t="s">
        <v>56</v>
      </c>
      <c r="C58" s="63" t="s">
        <v>14</v>
      </c>
      <c r="D58" s="63">
        <v>0.64</v>
      </c>
      <c r="E58" s="63" t="s">
        <v>24</v>
      </c>
      <c r="F58" s="63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1"/>
    </row>
    <row r="59" spans="1:32" ht="20.100000000000001" customHeight="1">
      <c r="A59" s="63"/>
      <c r="B59" s="63"/>
      <c r="C59" s="63"/>
      <c r="D59" s="63"/>
      <c r="E59" s="63"/>
      <c r="F59" s="63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1"/>
    </row>
    <row r="60" spans="1:32" ht="20.100000000000001" customHeight="1">
      <c r="A60" s="63">
        <v>49</v>
      </c>
      <c r="B60" s="63" t="s">
        <v>57</v>
      </c>
      <c r="C60" s="63" t="s">
        <v>17</v>
      </c>
      <c r="D60" s="63">
        <v>1</v>
      </c>
      <c r="E60" s="63" t="s">
        <v>15</v>
      </c>
      <c r="F60" s="63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1"/>
    </row>
    <row r="61" spans="1:32" ht="20.100000000000001" customHeight="1">
      <c r="A61" s="63">
        <v>50</v>
      </c>
      <c r="B61" s="64" t="s">
        <v>58</v>
      </c>
      <c r="C61" s="63"/>
      <c r="D61" s="63">
        <v>0.6</v>
      </c>
      <c r="E61" s="63"/>
      <c r="F61" s="63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/>
    </row>
    <row r="62" spans="1:32" ht="20.100000000000001" customHeight="1">
      <c r="A62" s="63">
        <v>51</v>
      </c>
      <c r="B62" s="63" t="s">
        <v>59</v>
      </c>
      <c r="C62" s="63" t="s">
        <v>17</v>
      </c>
      <c r="D62" s="63">
        <v>0.35</v>
      </c>
      <c r="E62" s="63" t="s">
        <v>21</v>
      </c>
      <c r="F62" s="63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/>
    </row>
    <row r="63" spans="1:32" ht="20.100000000000001" customHeight="1">
      <c r="A63" s="63">
        <v>52</v>
      </c>
      <c r="B63" s="63" t="s">
        <v>60</v>
      </c>
      <c r="C63" s="63" t="s">
        <v>14</v>
      </c>
      <c r="D63" s="63">
        <v>0.64</v>
      </c>
      <c r="E63" s="63" t="s">
        <v>25</v>
      </c>
      <c r="F63" s="63">
        <v>1250</v>
      </c>
      <c r="G63" s="60">
        <v>15</v>
      </c>
      <c r="H63" s="60">
        <f t="shared" si="4"/>
        <v>9.6</v>
      </c>
      <c r="I63" s="60">
        <v>1</v>
      </c>
      <c r="J63" s="60">
        <f t="shared" si="0"/>
        <v>0.64</v>
      </c>
      <c r="K63" s="60">
        <v>3</v>
      </c>
      <c r="L63" s="60">
        <f t="shared" si="5"/>
        <v>1.92</v>
      </c>
      <c r="M63" s="60"/>
      <c r="N63" s="60"/>
      <c r="O63" s="60">
        <v>2</v>
      </c>
      <c r="P63" s="60">
        <f t="shared" si="7"/>
        <v>1.28</v>
      </c>
      <c r="Q63" s="60">
        <v>7</v>
      </c>
      <c r="R63" s="60">
        <f t="shared" si="8"/>
        <v>4.4800000000000004</v>
      </c>
      <c r="S63" s="60">
        <v>1</v>
      </c>
      <c r="T63" s="60">
        <f t="shared" si="1"/>
        <v>0.64</v>
      </c>
      <c r="U63" s="60">
        <v>5</v>
      </c>
      <c r="V63" s="60">
        <f t="shared" si="9"/>
        <v>3.2</v>
      </c>
      <c r="W63" s="60"/>
      <c r="X63" s="60"/>
      <c r="Y63" s="60">
        <v>9</v>
      </c>
      <c r="Z63" s="60">
        <f t="shared" si="11"/>
        <v>5.76</v>
      </c>
      <c r="AA63" s="60">
        <v>4</v>
      </c>
      <c r="AB63" s="60">
        <f t="shared" si="12"/>
        <v>2.56</v>
      </c>
      <c r="AC63" s="60">
        <v>2</v>
      </c>
      <c r="AD63" s="60">
        <f t="shared" si="13"/>
        <v>1.28</v>
      </c>
      <c r="AE63" s="60">
        <f t="shared" si="2"/>
        <v>49</v>
      </c>
      <c r="AF63" s="61">
        <f t="shared" si="3"/>
        <v>31.36</v>
      </c>
    </row>
    <row r="64" spans="1:32" ht="20.100000000000001" customHeight="1">
      <c r="A64" s="63">
        <v>53</v>
      </c>
      <c r="B64" s="63" t="s">
        <v>61</v>
      </c>
      <c r="C64" s="63" t="s">
        <v>14</v>
      </c>
      <c r="D64" s="63">
        <v>0.64</v>
      </c>
      <c r="E64" s="63" t="s">
        <v>25</v>
      </c>
      <c r="F64" s="63">
        <v>1180</v>
      </c>
      <c r="G64" s="60"/>
      <c r="H64" s="60"/>
      <c r="I64" s="60"/>
      <c r="J64" s="60"/>
      <c r="K64" s="60">
        <v>41</v>
      </c>
      <c r="L64" s="60">
        <f t="shared" si="5"/>
        <v>26.240000000000002</v>
      </c>
      <c r="M64" s="60">
        <v>9</v>
      </c>
      <c r="N64" s="60">
        <f t="shared" si="6"/>
        <v>5.76</v>
      </c>
      <c r="O64" s="60">
        <v>123</v>
      </c>
      <c r="P64" s="60">
        <f t="shared" si="7"/>
        <v>78.72</v>
      </c>
      <c r="Q64" s="60">
        <v>47</v>
      </c>
      <c r="R64" s="60">
        <f t="shared" si="8"/>
        <v>30.080000000000002</v>
      </c>
      <c r="S64" s="60">
        <v>15</v>
      </c>
      <c r="T64" s="60">
        <f t="shared" si="1"/>
        <v>9.6</v>
      </c>
      <c r="U64" s="60">
        <v>8</v>
      </c>
      <c r="V64" s="60">
        <f t="shared" si="9"/>
        <v>5.12</v>
      </c>
      <c r="W64" s="60">
        <v>6</v>
      </c>
      <c r="X64" s="60">
        <f t="shared" si="10"/>
        <v>3.84</v>
      </c>
      <c r="Y64" s="60">
        <v>2</v>
      </c>
      <c r="Z64" s="60">
        <f t="shared" si="11"/>
        <v>1.28</v>
      </c>
      <c r="AA64" s="60">
        <v>1</v>
      </c>
      <c r="AB64" s="60">
        <f t="shared" si="12"/>
        <v>0.64</v>
      </c>
      <c r="AC64" s="60">
        <v>8</v>
      </c>
      <c r="AD64" s="60">
        <f t="shared" si="13"/>
        <v>5.12</v>
      </c>
      <c r="AE64" s="60">
        <f t="shared" si="2"/>
        <v>260</v>
      </c>
      <c r="AF64" s="61">
        <f t="shared" si="3"/>
        <v>166.4</v>
      </c>
    </row>
    <row r="65" spans="1:32" ht="20.100000000000001" customHeight="1">
      <c r="A65" s="63"/>
      <c r="B65" s="63"/>
      <c r="C65" s="63"/>
      <c r="D65" s="63"/>
      <c r="E65" s="63"/>
      <c r="F65" s="63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1"/>
    </row>
    <row r="66" spans="1:32" ht="20.100000000000001" customHeight="1">
      <c r="A66" s="63">
        <v>54</v>
      </c>
      <c r="B66" s="63" t="s">
        <v>62</v>
      </c>
      <c r="C66" s="63" t="s">
        <v>17</v>
      </c>
      <c r="D66" s="63">
        <v>1</v>
      </c>
      <c r="E66" s="63" t="s">
        <v>15</v>
      </c>
      <c r="F66" s="63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1"/>
    </row>
    <row r="67" spans="1:32" ht="20.100000000000001" customHeight="1">
      <c r="A67" s="63">
        <v>55</v>
      </c>
      <c r="B67" s="63" t="s">
        <v>63</v>
      </c>
      <c r="C67" s="63" t="s">
        <v>17</v>
      </c>
      <c r="D67" s="63">
        <v>0.6</v>
      </c>
      <c r="E67" s="63" t="s">
        <v>15</v>
      </c>
      <c r="F67" s="63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1"/>
    </row>
    <row r="68" spans="1:32" ht="20.100000000000001" customHeight="1">
      <c r="A68" s="63">
        <v>56</v>
      </c>
      <c r="B68" s="63" t="s">
        <v>64</v>
      </c>
      <c r="C68" s="63" t="s">
        <v>14</v>
      </c>
      <c r="D68" s="63">
        <v>0.64</v>
      </c>
      <c r="E68" s="63" t="s">
        <v>25</v>
      </c>
      <c r="F68" s="63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1"/>
    </row>
    <row r="69" spans="1:32" ht="20.100000000000001" customHeight="1">
      <c r="A69" s="63"/>
      <c r="B69" s="63"/>
      <c r="C69" s="63"/>
      <c r="D69" s="63"/>
      <c r="E69" s="63"/>
      <c r="F69" s="63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/>
    </row>
    <row r="70" spans="1:32" ht="20.100000000000001" customHeight="1">
      <c r="A70" s="63">
        <v>57</v>
      </c>
      <c r="B70" s="63" t="s">
        <v>65</v>
      </c>
      <c r="C70" s="63" t="s">
        <v>17</v>
      </c>
      <c r="D70" s="63">
        <v>1</v>
      </c>
      <c r="E70" s="63" t="s">
        <v>15</v>
      </c>
      <c r="F70" s="63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1"/>
    </row>
    <row r="71" spans="1:32" ht="20.100000000000001" customHeight="1">
      <c r="A71" s="63">
        <v>58</v>
      </c>
      <c r="B71" s="63" t="s">
        <v>66</v>
      </c>
      <c r="C71" s="63" t="s">
        <v>17</v>
      </c>
      <c r="D71" s="63">
        <v>0.6</v>
      </c>
      <c r="E71" s="63" t="s">
        <v>15</v>
      </c>
      <c r="F71" s="63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1"/>
    </row>
    <row r="72" spans="1:32" ht="20.100000000000001" customHeight="1">
      <c r="A72" s="63">
        <v>59</v>
      </c>
      <c r="B72" s="63" t="s">
        <v>67</v>
      </c>
      <c r="C72" s="63" t="s">
        <v>14</v>
      </c>
      <c r="D72" s="63">
        <v>0.64</v>
      </c>
      <c r="E72" s="63" t="s">
        <v>25</v>
      </c>
      <c r="F72" s="63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1"/>
    </row>
    <row r="73" spans="1:32" ht="20.100000000000001" customHeight="1">
      <c r="A73" s="63"/>
      <c r="B73" s="63"/>
      <c r="C73" s="63"/>
      <c r="D73" s="63"/>
      <c r="E73" s="63"/>
      <c r="F73" s="63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1"/>
    </row>
    <row r="74" spans="1:32" ht="20.100000000000001" customHeight="1">
      <c r="A74" s="63">
        <v>60</v>
      </c>
      <c r="B74" s="63" t="s">
        <v>68</v>
      </c>
      <c r="C74" s="63" t="s">
        <v>14</v>
      </c>
      <c r="D74" s="63">
        <v>0.64</v>
      </c>
      <c r="E74" s="63" t="s">
        <v>25</v>
      </c>
      <c r="F74" s="63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1"/>
    </row>
    <row r="75" spans="1:32" ht="20.100000000000001" customHeight="1">
      <c r="A75" s="63">
        <v>61</v>
      </c>
      <c r="B75" s="63" t="s">
        <v>68</v>
      </c>
      <c r="C75" s="63" t="s">
        <v>14</v>
      </c>
      <c r="D75" s="63">
        <v>0.64</v>
      </c>
      <c r="E75" s="63" t="s">
        <v>24</v>
      </c>
      <c r="F75" s="63">
        <v>1230</v>
      </c>
      <c r="G75" s="60">
        <v>3</v>
      </c>
      <c r="H75" s="60">
        <f t="shared" ref="H75:H119" si="14">G75*D75</f>
        <v>1.92</v>
      </c>
      <c r="I75" s="60">
        <v>1</v>
      </c>
      <c r="J75" s="60">
        <f t="shared" ref="J75:J115" si="15">I75*D75</f>
        <v>0.64</v>
      </c>
      <c r="K75" s="60">
        <v>6</v>
      </c>
      <c r="L75" s="60">
        <f t="shared" ref="L75:L116" si="16">K75*D75</f>
        <v>3.84</v>
      </c>
      <c r="M75" s="60"/>
      <c r="N75" s="60"/>
      <c r="O75" s="60">
        <v>2</v>
      </c>
      <c r="P75" s="60">
        <f t="shared" ref="P75:P117" si="17">O75*D75</f>
        <v>1.28</v>
      </c>
      <c r="Q75" s="60"/>
      <c r="R75" s="60"/>
      <c r="S75" s="60">
        <v>5</v>
      </c>
      <c r="T75" s="60">
        <f t="shared" ref="T75:T117" si="18">S75*D75</f>
        <v>3.2</v>
      </c>
      <c r="U75" s="60"/>
      <c r="V75" s="60"/>
      <c r="W75" s="60">
        <v>8</v>
      </c>
      <c r="X75" s="60">
        <f t="shared" ref="X75:X117" si="19">W75*D75</f>
        <v>5.12</v>
      </c>
      <c r="Y75" s="60">
        <v>9</v>
      </c>
      <c r="Z75" s="60">
        <f t="shared" ref="Z75:Z117" si="20">Y75*D75</f>
        <v>5.76</v>
      </c>
      <c r="AA75" s="60">
        <v>1</v>
      </c>
      <c r="AB75" s="60">
        <f t="shared" ref="AB75:AB116" si="21">AA75*D75</f>
        <v>0.64</v>
      </c>
      <c r="AC75" s="60">
        <v>11</v>
      </c>
      <c r="AD75" s="60">
        <f t="shared" ref="AD75:AD116" si="22">AC75*D75</f>
        <v>7.04</v>
      </c>
      <c r="AE75" s="60">
        <f t="shared" ref="AE75:AE119" si="23">G75+I75+K75+M75+O75+Q75+S75+U75+W75+Y75+AA75+AC75</f>
        <v>46</v>
      </c>
      <c r="AF75" s="61">
        <f t="shared" ref="AF75:AF119" si="24">AE75*D75</f>
        <v>29.44</v>
      </c>
    </row>
    <row r="76" spans="1:32" ht="20.100000000000001" customHeight="1">
      <c r="A76" s="63"/>
      <c r="B76" s="63"/>
      <c r="C76" s="63"/>
      <c r="D76" s="63"/>
      <c r="E76" s="63"/>
      <c r="F76" s="63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1"/>
    </row>
    <row r="77" spans="1:32" ht="20.100000000000001" customHeight="1">
      <c r="A77" s="63">
        <v>62</v>
      </c>
      <c r="B77" s="63" t="s">
        <v>69</v>
      </c>
      <c r="C77" s="63" t="s">
        <v>14</v>
      </c>
      <c r="D77" s="63">
        <v>0.64</v>
      </c>
      <c r="E77" s="63" t="s">
        <v>25</v>
      </c>
      <c r="F77" s="63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1"/>
    </row>
    <row r="78" spans="1:32" ht="20.100000000000001" customHeight="1">
      <c r="A78" s="63">
        <v>63</v>
      </c>
      <c r="B78" s="63" t="s">
        <v>69</v>
      </c>
      <c r="C78" s="63" t="s">
        <v>14</v>
      </c>
      <c r="D78" s="63">
        <v>0.64</v>
      </c>
      <c r="E78" s="63" t="s">
        <v>24</v>
      </c>
      <c r="F78" s="63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1"/>
    </row>
    <row r="79" spans="1:32" ht="20.100000000000001" customHeight="1">
      <c r="A79" s="63"/>
      <c r="B79" s="63"/>
      <c r="C79" s="63"/>
      <c r="D79" s="63"/>
      <c r="E79" s="63"/>
      <c r="F79" s="63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1"/>
    </row>
    <row r="80" spans="1:32" ht="20.100000000000001" customHeight="1">
      <c r="A80" s="63">
        <v>64</v>
      </c>
      <c r="B80" s="63" t="s">
        <v>70</v>
      </c>
      <c r="C80" s="63" t="s">
        <v>14</v>
      </c>
      <c r="D80" s="63">
        <v>0.64</v>
      </c>
      <c r="E80" s="63" t="s">
        <v>24</v>
      </c>
      <c r="F80" s="63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1"/>
    </row>
    <row r="81" spans="1:32" ht="20.100000000000001" customHeight="1">
      <c r="A81" s="63">
        <v>65</v>
      </c>
      <c r="B81" s="63" t="s">
        <v>71</v>
      </c>
      <c r="C81" s="63" t="s">
        <v>14</v>
      </c>
      <c r="D81" s="63">
        <v>0.64</v>
      </c>
      <c r="E81" s="63" t="s">
        <v>15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1"/>
    </row>
    <row r="82" spans="1:32" ht="20.100000000000001" customHeight="1">
      <c r="A82" s="63"/>
      <c r="B82" s="63"/>
      <c r="C82" s="63"/>
      <c r="D82" s="63"/>
      <c r="E82" s="63"/>
      <c r="F82" s="63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1"/>
    </row>
    <row r="83" spans="1:32" ht="20.100000000000001" customHeight="1">
      <c r="A83" s="63">
        <v>66</v>
      </c>
      <c r="B83" s="63" t="s">
        <v>72</v>
      </c>
      <c r="C83" s="63" t="s">
        <v>17</v>
      </c>
      <c r="D83" s="63">
        <v>1</v>
      </c>
      <c r="E83" s="63" t="s">
        <v>24</v>
      </c>
      <c r="F83" s="63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1"/>
    </row>
    <row r="84" spans="1:32" ht="20.100000000000001" customHeight="1">
      <c r="A84" s="63">
        <v>67</v>
      </c>
      <c r="B84" s="63" t="s">
        <v>73</v>
      </c>
      <c r="C84" s="63" t="s">
        <v>17</v>
      </c>
      <c r="D84" s="63">
        <v>1</v>
      </c>
      <c r="E84" s="63" t="s">
        <v>24</v>
      </c>
      <c r="F84" s="63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1"/>
    </row>
    <row r="85" spans="1:32" ht="20.100000000000001" customHeight="1">
      <c r="A85" s="63">
        <v>68</v>
      </c>
      <c r="B85" s="63" t="s">
        <v>74</v>
      </c>
      <c r="C85" s="63" t="s">
        <v>17</v>
      </c>
      <c r="D85" s="63">
        <v>1</v>
      </c>
      <c r="E85" s="63" t="s">
        <v>15</v>
      </c>
      <c r="F85" s="63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1"/>
    </row>
    <row r="86" spans="1:32" ht="20.100000000000001" customHeight="1">
      <c r="A86" s="63">
        <v>69</v>
      </c>
      <c r="B86" s="63" t="s">
        <v>75</v>
      </c>
      <c r="C86" s="63" t="s">
        <v>17</v>
      </c>
      <c r="D86" s="63">
        <v>0.6</v>
      </c>
      <c r="E86" s="63" t="s">
        <v>24</v>
      </c>
      <c r="F86" s="63">
        <v>875</v>
      </c>
      <c r="G86" s="60"/>
      <c r="H86" s="60"/>
      <c r="I86" s="60"/>
      <c r="J86" s="60"/>
      <c r="K86" s="60"/>
      <c r="L86" s="60"/>
      <c r="M86" s="60"/>
      <c r="N86" s="60"/>
      <c r="O86" s="60">
        <v>72</v>
      </c>
      <c r="P86" s="60">
        <f t="shared" si="17"/>
        <v>43.199999999999996</v>
      </c>
      <c r="Q86" s="60">
        <v>175</v>
      </c>
      <c r="R86" s="60">
        <f t="shared" ref="R86:R117" si="25">Q86*D86</f>
        <v>105</v>
      </c>
      <c r="S86" s="60">
        <v>85</v>
      </c>
      <c r="T86" s="60">
        <f t="shared" si="18"/>
        <v>51</v>
      </c>
      <c r="U86" s="60">
        <v>20</v>
      </c>
      <c r="V86" s="60">
        <f t="shared" ref="V86:V117" si="26">U86*D86</f>
        <v>12</v>
      </c>
      <c r="W86" s="60">
        <v>7</v>
      </c>
      <c r="X86" s="60">
        <f t="shared" si="19"/>
        <v>4.2</v>
      </c>
      <c r="Y86" s="60">
        <v>53</v>
      </c>
      <c r="Z86" s="60">
        <f t="shared" si="20"/>
        <v>31.799999999999997</v>
      </c>
      <c r="AA86" s="60">
        <v>20</v>
      </c>
      <c r="AB86" s="60">
        <f t="shared" si="21"/>
        <v>12</v>
      </c>
      <c r="AC86" s="60">
        <v>28</v>
      </c>
      <c r="AD86" s="60">
        <f t="shared" si="22"/>
        <v>16.8</v>
      </c>
      <c r="AE86" s="60">
        <f t="shared" si="23"/>
        <v>460</v>
      </c>
      <c r="AF86" s="61">
        <f t="shared" si="24"/>
        <v>276</v>
      </c>
    </row>
    <row r="87" spans="1:32" ht="20.100000000000001" customHeight="1">
      <c r="A87" s="63">
        <v>70</v>
      </c>
      <c r="B87" s="63" t="s">
        <v>76</v>
      </c>
      <c r="C87" s="63" t="s">
        <v>14</v>
      </c>
      <c r="D87" s="63">
        <v>0.64</v>
      </c>
      <c r="E87" s="63" t="s">
        <v>25</v>
      </c>
      <c r="F87" s="63">
        <v>1230</v>
      </c>
      <c r="G87" s="60"/>
      <c r="H87" s="60"/>
      <c r="I87" s="60"/>
      <c r="J87" s="60"/>
      <c r="K87" s="60">
        <v>63</v>
      </c>
      <c r="L87" s="60">
        <f t="shared" si="16"/>
        <v>40.32</v>
      </c>
      <c r="M87" s="60">
        <v>32</v>
      </c>
      <c r="N87" s="60">
        <f t="shared" ref="N87:N117" si="27">M87*D87</f>
        <v>20.48</v>
      </c>
      <c r="O87" s="60">
        <v>211</v>
      </c>
      <c r="P87" s="60">
        <f t="shared" si="17"/>
        <v>135.04</v>
      </c>
      <c r="Q87" s="60">
        <v>79</v>
      </c>
      <c r="R87" s="60">
        <f t="shared" si="25"/>
        <v>50.56</v>
      </c>
      <c r="S87" s="60">
        <v>26</v>
      </c>
      <c r="T87" s="60">
        <f t="shared" si="18"/>
        <v>16.64</v>
      </c>
      <c r="U87" s="60">
        <v>14</v>
      </c>
      <c r="V87" s="60">
        <f t="shared" si="26"/>
        <v>8.9600000000000009</v>
      </c>
      <c r="W87" s="60"/>
      <c r="X87" s="60"/>
      <c r="Y87" s="60">
        <v>11</v>
      </c>
      <c r="Z87" s="60">
        <f t="shared" si="20"/>
        <v>7.04</v>
      </c>
      <c r="AA87" s="60">
        <v>1</v>
      </c>
      <c r="AB87" s="60">
        <f t="shared" si="21"/>
        <v>0.64</v>
      </c>
      <c r="AC87" s="60">
        <v>6</v>
      </c>
      <c r="AD87" s="60">
        <f t="shared" si="22"/>
        <v>3.84</v>
      </c>
      <c r="AE87" s="60">
        <f t="shared" si="23"/>
        <v>443</v>
      </c>
      <c r="AF87" s="61">
        <f t="shared" si="24"/>
        <v>283.52</v>
      </c>
    </row>
    <row r="88" spans="1:32" ht="20.100000000000001" customHeight="1">
      <c r="A88" s="63"/>
      <c r="B88" s="63"/>
      <c r="C88" s="63"/>
      <c r="D88" s="63"/>
      <c r="E88" s="63"/>
      <c r="F88" s="63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1"/>
    </row>
    <row r="89" spans="1:32" ht="20.100000000000001" customHeight="1">
      <c r="A89" s="63">
        <v>71</v>
      </c>
      <c r="B89" s="63" t="s">
        <v>77</v>
      </c>
      <c r="C89" s="63" t="s">
        <v>17</v>
      </c>
      <c r="D89" s="63">
        <v>1</v>
      </c>
      <c r="E89" s="63" t="s">
        <v>24</v>
      </c>
      <c r="F89" s="63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/>
    </row>
    <row r="90" spans="1:32" ht="20.100000000000001" customHeight="1">
      <c r="A90" s="63">
        <v>72</v>
      </c>
      <c r="B90" s="63" t="s">
        <v>77</v>
      </c>
      <c r="C90" s="63" t="s">
        <v>17</v>
      </c>
      <c r="D90" s="63">
        <v>1</v>
      </c>
      <c r="E90" s="63" t="s">
        <v>15</v>
      </c>
      <c r="F90" s="63">
        <v>1170</v>
      </c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>
        <v>10</v>
      </c>
      <c r="X90" s="60">
        <f t="shared" si="19"/>
        <v>10</v>
      </c>
      <c r="Y90" s="60">
        <v>51</v>
      </c>
      <c r="Z90" s="60">
        <f t="shared" si="20"/>
        <v>51</v>
      </c>
      <c r="AA90" s="60">
        <v>22</v>
      </c>
      <c r="AB90" s="60">
        <f t="shared" si="21"/>
        <v>22</v>
      </c>
      <c r="AC90" s="60">
        <v>42</v>
      </c>
      <c r="AD90" s="60">
        <f t="shared" si="22"/>
        <v>42</v>
      </c>
      <c r="AE90" s="60">
        <f t="shared" si="23"/>
        <v>125</v>
      </c>
      <c r="AF90" s="61">
        <f t="shared" si="24"/>
        <v>125</v>
      </c>
    </row>
    <row r="91" spans="1:32" ht="20.100000000000001" customHeight="1">
      <c r="A91" s="63">
        <v>73</v>
      </c>
      <c r="B91" s="63" t="s">
        <v>78</v>
      </c>
      <c r="C91" s="63" t="s">
        <v>17</v>
      </c>
      <c r="D91" s="63">
        <v>0.6</v>
      </c>
      <c r="E91" s="63" t="s">
        <v>24</v>
      </c>
      <c r="F91" s="63">
        <v>865</v>
      </c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>
        <v>12</v>
      </c>
      <c r="X91" s="60">
        <f t="shared" si="19"/>
        <v>7.1999999999999993</v>
      </c>
      <c r="Y91" s="60">
        <v>81</v>
      </c>
      <c r="Z91" s="60">
        <f t="shared" si="20"/>
        <v>48.6</v>
      </c>
      <c r="AA91" s="60">
        <v>18</v>
      </c>
      <c r="AB91" s="60">
        <f t="shared" si="21"/>
        <v>10.799999999999999</v>
      </c>
      <c r="AC91" s="60">
        <v>26</v>
      </c>
      <c r="AD91" s="60">
        <f t="shared" si="22"/>
        <v>15.6</v>
      </c>
      <c r="AE91" s="60">
        <f t="shared" si="23"/>
        <v>137</v>
      </c>
      <c r="AF91" s="61">
        <f t="shared" si="24"/>
        <v>82.2</v>
      </c>
    </row>
    <row r="92" spans="1:32" ht="20.100000000000001" customHeight="1">
      <c r="A92" s="63">
        <v>74</v>
      </c>
      <c r="B92" s="63" t="s">
        <v>79</v>
      </c>
      <c r="C92" s="63" t="s">
        <v>14</v>
      </c>
      <c r="D92" s="63">
        <v>0.64</v>
      </c>
      <c r="E92" s="63" t="s">
        <v>25</v>
      </c>
      <c r="F92" s="63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/>
    </row>
    <row r="93" spans="1:32" ht="20.100000000000001" customHeight="1">
      <c r="A93" s="63"/>
      <c r="B93" s="63"/>
      <c r="C93" s="63"/>
      <c r="D93" s="63"/>
      <c r="E93" s="63"/>
      <c r="F93" s="63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/>
    </row>
    <row r="94" spans="1:32" ht="20.100000000000001" customHeight="1">
      <c r="A94" s="63">
        <v>75</v>
      </c>
      <c r="B94" s="65" t="s">
        <v>80</v>
      </c>
      <c r="C94" s="63" t="s">
        <v>17</v>
      </c>
      <c r="D94" s="63">
        <v>0.6</v>
      </c>
      <c r="E94" s="63"/>
      <c r="F94" s="63"/>
      <c r="G94" s="60"/>
      <c r="H94" s="60"/>
      <c r="I94" s="60"/>
      <c r="J94" s="60"/>
      <c r="K94" s="60">
        <v>56</v>
      </c>
      <c r="L94" s="60">
        <f t="shared" si="16"/>
        <v>33.6</v>
      </c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>
        <f t="shared" si="23"/>
        <v>56</v>
      </c>
      <c r="AF94" s="61">
        <f t="shared" si="24"/>
        <v>33.6</v>
      </c>
    </row>
    <row r="95" spans="1:32" ht="20.100000000000001" customHeight="1">
      <c r="A95" s="63">
        <v>76</v>
      </c>
      <c r="B95" s="63" t="s">
        <v>80</v>
      </c>
      <c r="C95" s="63" t="s">
        <v>14</v>
      </c>
      <c r="D95" s="63">
        <v>0.6</v>
      </c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/>
    </row>
    <row r="96" spans="1:32" ht="20.100000000000001" customHeight="1">
      <c r="A96" s="63">
        <v>77</v>
      </c>
      <c r="B96" s="64" t="s">
        <v>80</v>
      </c>
      <c r="C96" s="63" t="s">
        <v>14</v>
      </c>
      <c r="D96" s="63">
        <v>0.64</v>
      </c>
      <c r="E96" s="63" t="s">
        <v>24</v>
      </c>
      <c r="F96" s="63">
        <v>780</v>
      </c>
      <c r="G96" s="60"/>
      <c r="H96" s="60"/>
      <c r="I96" s="60">
        <v>13</v>
      </c>
      <c r="J96" s="60">
        <f t="shared" si="15"/>
        <v>8.32</v>
      </c>
      <c r="K96" s="60">
        <v>40</v>
      </c>
      <c r="L96" s="60">
        <f t="shared" si="16"/>
        <v>25.6</v>
      </c>
      <c r="M96" s="60">
        <v>91</v>
      </c>
      <c r="N96" s="60">
        <f t="shared" si="27"/>
        <v>58.24</v>
      </c>
      <c r="O96" s="60">
        <v>175</v>
      </c>
      <c r="P96" s="60">
        <f t="shared" si="17"/>
        <v>112</v>
      </c>
      <c r="Q96" s="60">
        <v>143</v>
      </c>
      <c r="R96" s="60">
        <f t="shared" si="25"/>
        <v>91.52</v>
      </c>
      <c r="S96" s="60">
        <v>76</v>
      </c>
      <c r="T96" s="60">
        <f t="shared" si="18"/>
        <v>48.64</v>
      </c>
      <c r="U96" s="60">
        <v>35</v>
      </c>
      <c r="V96" s="60">
        <f t="shared" si="26"/>
        <v>22.400000000000002</v>
      </c>
      <c r="W96" s="60">
        <v>35</v>
      </c>
      <c r="X96" s="60">
        <f t="shared" si="19"/>
        <v>22.400000000000002</v>
      </c>
      <c r="Y96" s="60">
        <v>37</v>
      </c>
      <c r="Z96" s="60">
        <f t="shared" si="20"/>
        <v>23.68</v>
      </c>
      <c r="AA96" s="60">
        <v>51</v>
      </c>
      <c r="AB96" s="60">
        <f t="shared" si="21"/>
        <v>32.64</v>
      </c>
      <c r="AC96" s="60">
        <v>33</v>
      </c>
      <c r="AD96" s="60">
        <f t="shared" si="22"/>
        <v>21.12</v>
      </c>
      <c r="AE96" s="60">
        <f t="shared" si="23"/>
        <v>729</v>
      </c>
      <c r="AF96" s="61">
        <f t="shared" si="24"/>
        <v>466.56</v>
      </c>
    </row>
    <row r="97" spans="1:32" ht="20.100000000000001" customHeight="1">
      <c r="A97" s="63"/>
      <c r="B97" s="64"/>
      <c r="C97" s="63"/>
      <c r="D97" s="63"/>
      <c r="E97" s="63"/>
      <c r="F97" s="63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1"/>
    </row>
    <row r="98" spans="1:32" ht="20.100000000000001" customHeight="1">
      <c r="A98" s="63">
        <v>78</v>
      </c>
      <c r="B98" s="64" t="s">
        <v>81</v>
      </c>
      <c r="C98" s="63" t="s">
        <v>14</v>
      </c>
      <c r="D98" s="63">
        <v>0.64</v>
      </c>
      <c r="E98" s="63" t="s">
        <v>82</v>
      </c>
      <c r="F98" s="63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1"/>
    </row>
    <row r="99" spans="1:32" ht="20.100000000000001" customHeight="1">
      <c r="A99" s="63">
        <v>79</v>
      </c>
      <c r="B99" s="65" t="s">
        <v>83</v>
      </c>
      <c r="C99" s="63" t="s">
        <v>17</v>
      </c>
      <c r="D99" s="63">
        <v>1</v>
      </c>
      <c r="E99" s="63" t="s">
        <v>38</v>
      </c>
      <c r="F99" s="63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1"/>
    </row>
    <row r="100" spans="1:32" ht="20.100000000000001" customHeight="1">
      <c r="A100" s="63">
        <v>80</v>
      </c>
      <c r="B100" s="65" t="s">
        <v>83</v>
      </c>
      <c r="C100" s="63" t="s">
        <v>17</v>
      </c>
      <c r="D100" s="63">
        <v>0.6</v>
      </c>
      <c r="E100" s="63" t="s">
        <v>38</v>
      </c>
      <c r="F100" s="63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1"/>
    </row>
    <row r="101" spans="1:32" ht="20.100000000000001" customHeight="1">
      <c r="A101" s="63"/>
      <c r="B101" s="63"/>
      <c r="C101" s="63"/>
      <c r="D101" s="63"/>
      <c r="E101" s="63"/>
      <c r="F101" s="63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1"/>
    </row>
    <row r="102" spans="1:32" ht="20.100000000000001" customHeight="1">
      <c r="A102" s="63">
        <v>81</v>
      </c>
      <c r="B102" s="65" t="s">
        <v>84</v>
      </c>
      <c r="C102" s="63" t="s">
        <v>14</v>
      </c>
      <c r="D102" s="63">
        <v>0.64</v>
      </c>
      <c r="E102" s="63" t="s">
        <v>25</v>
      </c>
      <c r="F102" s="63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1"/>
    </row>
    <row r="103" spans="1:32" ht="20.100000000000001" customHeight="1">
      <c r="A103" s="63">
        <v>82</v>
      </c>
      <c r="B103" s="65" t="s">
        <v>84</v>
      </c>
      <c r="C103" s="63" t="s">
        <v>17</v>
      </c>
      <c r="D103" s="63">
        <v>0.6</v>
      </c>
      <c r="E103" s="63"/>
      <c r="F103" s="63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1"/>
    </row>
    <row r="104" spans="1:32" ht="20.100000000000001" customHeight="1">
      <c r="A104" s="63"/>
      <c r="B104" s="63"/>
      <c r="C104" s="63"/>
      <c r="D104" s="63"/>
      <c r="E104" s="63"/>
      <c r="F104" s="63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1"/>
    </row>
    <row r="105" spans="1:32" ht="20.100000000000001" customHeight="1">
      <c r="A105" s="63">
        <v>83</v>
      </c>
      <c r="B105" s="65" t="s">
        <v>85</v>
      </c>
      <c r="C105" s="63" t="s">
        <v>17</v>
      </c>
      <c r="D105" s="63">
        <v>1</v>
      </c>
      <c r="E105" s="63"/>
      <c r="F105" s="63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1"/>
    </row>
    <row r="106" spans="1:32" ht="20.100000000000001" customHeight="1">
      <c r="A106" s="63">
        <v>84</v>
      </c>
      <c r="B106" s="65" t="s">
        <v>85</v>
      </c>
      <c r="C106" s="63" t="s">
        <v>14</v>
      </c>
      <c r="D106" s="63">
        <v>0.64</v>
      </c>
      <c r="E106" s="63" t="s">
        <v>25</v>
      </c>
      <c r="F106" s="63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1"/>
    </row>
    <row r="107" spans="1:32" ht="20.100000000000001" customHeight="1">
      <c r="A107" s="63"/>
      <c r="B107" s="63"/>
      <c r="C107" s="63"/>
      <c r="D107" s="63"/>
      <c r="E107" s="63"/>
      <c r="F107" s="63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1"/>
    </row>
    <row r="108" spans="1:32" ht="20.100000000000001" customHeight="1">
      <c r="A108" s="63">
        <v>85</v>
      </c>
      <c r="B108" s="63" t="s">
        <v>86</v>
      </c>
      <c r="C108" s="63" t="s">
        <v>14</v>
      </c>
      <c r="D108" s="63">
        <v>0.7</v>
      </c>
      <c r="E108" s="63" t="s">
        <v>15</v>
      </c>
      <c r="F108" s="63">
        <v>3600</v>
      </c>
      <c r="G108" s="60"/>
      <c r="H108" s="60"/>
      <c r="I108" s="60"/>
      <c r="J108" s="60"/>
      <c r="K108" s="60">
        <v>2</v>
      </c>
      <c r="L108" s="60">
        <f t="shared" si="16"/>
        <v>1.4</v>
      </c>
      <c r="M108" s="60"/>
      <c r="N108" s="60"/>
      <c r="O108" s="60"/>
      <c r="P108" s="60"/>
      <c r="Q108" s="60"/>
      <c r="R108" s="60"/>
      <c r="S108" s="60">
        <v>5</v>
      </c>
      <c r="T108" s="60">
        <f t="shared" si="18"/>
        <v>3.5</v>
      </c>
      <c r="U108" s="60"/>
      <c r="V108" s="60"/>
      <c r="W108" s="60">
        <v>1</v>
      </c>
      <c r="X108" s="60">
        <f t="shared" si="19"/>
        <v>0.7</v>
      </c>
      <c r="Y108" s="60">
        <v>4</v>
      </c>
      <c r="Z108" s="60">
        <f t="shared" si="20"/>
        <v>2.8</v>
      </c>
      <c r="AA108" s="60"/>
      <c r="AB108" s="60"/>
      <c r="AC108" s="60"/>
      <c r="AD108" s="60"/>
      <c r="AE108" s="60">
        <f t="shared" si="23"/>
        <v>12</v>
      </c>
      <c r="AF108" s="61">
        <f t="shared" si="24"/>
        <v>8.3999999999999986</v>
      </c>
    </row>
    <row r="109" spans="1:32" ht="20.100000000000001" customHeight="1">
      <c r="A109" s="63">
        <v>86</v>
      </c>
      <c r="B109" s="63" t="s">
        <v>87</v>
      </c>
      <c r="C109" s="63" t="s">
        <v>14</v>
      </c>
      <c r="D109" s="63">
        <v>0.35</v>
      </c>
      <c r="E109" s="63" t="s">
        <v>24</v>
      </c>
      <c r="F109" s="63">
        <v>2100</v>
      </c>
      <c r="G109" s="60"/>
      <c r="H109" s="60"/>
      <c r="I109" s="60">
        <v>1</v>
      </c>
      <c r="J109" s="60">
        <f t="shared" si="15"/>
        <v>0.35</v>
      </c>
      <c r="K109" s="60"/>
      <c r="L109" s="60"/>
      <c r="M109" s="60">
        <v>2</v>
      </c>
      <c r="N109" s="60">
        <f t="shared" si="27"/>
        <v>0.7</v>
      </c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>
        <v>2</v>
      </c>
      <c r="AB109" s="60">
        <f t="shared" si="21"/>
        <v>0.7</v>
      </c>
      <c r="AC109" s="60"/>
      <c r="AD109" s="60"/>
      <c r="AE109" s="60">
        <f t="shared" si="23"/>
        <v>5</v>
      </c>
      <c r="AF109" s="61">
        <f t="shared" si="24"/>
        <v>1.75</v>
      </c>
    </row>
    <row r="110" spans="1:32" ht="20.100000000000001" customHeight="1">
      <c r="A110" s="63"/>
      <c r="B110" s="63"/>
      <c r="C110" s="63"/>
      <c r="D110" s="63"/>
      <c r="E110" s="63"/>
      <c r="F110" s="63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1"/>
    </row>
    <row r="111" spans="1:32" ht="20.100000000000001" customHeight="1">
      <c r="A111" s="63">
        <v>87</v>
      </c>
      <c r="B111" s="63" t="s">
        <v>88</v>
      </c>
      <c r="C111" s="63" t="s">
        <v>17</v>
      </c>
      <c r="D111" s="63">
        <v>1</v>
      </c>
      <c r="E111" s="63" t="s">
        <v>15</v>
      </c>
      <c r="F111" s="63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1"/>
    </row>
    <row r="112" spans="1:32" ht="20.100000000000001" customHeight="1">
      <c r="A112" s="63">
        <v>88</v>
      </c>
      <c r="B112" s="63" t="s">
        <v>89</v>
      </c>
      <c r="C112" s="63" t="s">
        <v>17</v>
      </c>
      <c r="D112" s="63">
        <v>1</v>
      </c>
      <c r="E112" s="63" t="s">
        <v>90</v>
      </c>
      <c r="F112" s="63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1"/>
    </row>
    <row r="113" spans="1:32" ht="20.100000000000001" customHeight="1">
      <c r="A113" s="63">
        <v>89</v>
      </c>
      <c r="B113" s="63" t="s">
        <v>91</v>
      </c>
      <c r="C113" s="63" t="s">
        <v>17</v>
      </c>
      <c r="D113" s="63">
        <v>1</v>
      </c>
      <c r="E113" s="63" t="s">
        <v>24</v>
      </c>
      <c r="F113" s="63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1"/>
    </row>
    <row r="114" spans="1:32" ht="20.100000000000001" customHeight="1">
      <c r="A114" s="63">
        <v>90</v>
      </c>
      <c r="B114" s="63" t="s">
        <v>92</v>
      </c>
      <c r="C114" s="63" t="s">
        <v>14</v>
      </c>
      <c r="D114" s="63">
        <v>0.64</v>
      </c>
      <c r="E114" s="63" t="s">
        <v>24</v>
      </c>
      <c r="F114" s="63">
        <v>1230</v>
      </c>
      <c r="G114" s="60">
        <v>21</v>
      </c>
      <c r="H114" s="60">
        <f t="shared" si="14"/>
        <v>13.44</v>
      </c>
      <c r="I114" s="60">
        <v>32</v>
      </c>
      <c r="J114" s="60">
        <f t="shared" si="15"/>
        <v>20.48</v>
      </c>
      <c r="K114" s="60">
        <v>20</v>
      </c>
      <c r="L114" s="60">
        <f t="shared" si="16"/>
        <v>12.8</v>
      </c>
      <c r="M114" s="60">
        <v>11</v>
      </c>
      <c r="N114" s="60">
        <f t="shared" si="27"/>
        <v>7.04</v>
      </c>
      <c r="O114" s="60">
        <v>37</v>
      </c>
      <c r="P114" s="60">
        <f t="shared" si="17"/>
        <v>23.68</v>
      </c>
      <c r="Q114" s="60">
        <v>42</v>
      </c>
      <c r="R114" s="60">
        <f t="shared" si="25"/>
        <v>26.88</v>
      </c>
      <c r="S114" s="60">
        <v>55</v>
      </c>
      <c r="T114" s="60">
        <f t="shared" si="18"/>
        <v>35.200000000000003</v>
      </c>
      <c r="U114" s="60">
        <v>203</v>
      </c>
      <c r="V114" s="60">
        <f t="shared" si="26"/>
        <v>129.92000000000002</v>
      </c>
      <c r="W114" s="60">
        <v>270</v>
      </c>
      <c r="X114" s="60">
        <f t="shared" si="19"/>
        <v>172.8</v>
      </c>
      <c r="Y114" s="60">
        <v>332</v>
      </c>
      <c r="Z114" s="60">
        <f t="shared" si="20"/>
        <v>212.48000000000002</v>
      </c>
      <c r="AA114" s="60">
        <v>325</v>
      </c>
      <c r="AB114" s="60">
        <f t="shared" si="21"/>
        <v>208</v>
      </c>
      <c r="AC114" s="60">
        <v>325</v>
      </c>
      <c r="AD114" s="60">
        <f t="shared" si="22"/>
        <v>208</v>
      </c>
      <c r="AE114" s="60">
        <f t="shared" si="23"/>
        <v>1673</v>
      </c>
      <c r="AF114" s="61">
        <f t="shared" si="24"/>
        <v>1070.72</v>
      </c>
    </row>
    <row r="115" spans="1:32" ht="20.100000000000001" customHeight="1">
      <c r="A115" s="63">
        <v>91</v>
      </c>
      <c r="B115" s="63" t="s">
        <v>93</v>
      </c>
      <c r="C115" s="63" t="s">
        <v>14</v>
      </c>
      <c r="D115" s="63">
        <v>0.64</v>
      </c>
      <c r="E115" s="63" t="s">
        <v>25</v>
      </c>
      <c r="F115" s="63">
        <v>1230</v>
      </c>
      <c r="G115" s="60">
        <v>1</v>
      </c>
      <c r="H115" s="60">
        <f t="shared" si="14"/>
        <v>0.64</v>
      </c>
      <c r="I115" s="60">
        <v>1</v>
      </c>
      <c r="J115" s="60">
        <f t="shared" si="15"/>
        <v>0.64</v>
      </c>
      <c r="K115" s="60">
        <v>1</v>
      </c>
      <c r="L115" s="60">
        <f t="shared" si="16"/>
        <v>0.64</v>
      </c>
      <c r="M115" s="60">
        <v>4</v>
      </c>
      <c r="N115" s="60">
        <f t="shared" si="27"/>
        <v>2.56</v>
      </c>
      <c r="O115" s="60">
        <v>7</v>
      </c>
      <c r="P115" s="60">
        <f t="shared" si="17"/>
        <v>4.4800000000000004</v>
      </c>
      <c r="Q115" s="60">
        <v>15</v>
      </c>
      <c r="R115" s="60">
        <f t="shared" si="25"/>
        <v>9.6</v>
      </c>
      <c r="S115" s="60">
        <v>16</v>
      </c>
      <c r="T115" s="60">
        <f t="shared" si="18"/>
        <v>10.24</v>
      </c>
      <c r="U115" s="60">
        <v>4</v>
      </c>
      <c r="V115" s="60">
        <f t="shared" si="26"/>
        <v>2.56</v>
      </c>
      <c r="W115" s="60">
        <v>14</v>
      </c>
      <c r="X115" s="60">
        <f t="shared" si="19"/>
        <v>8.9600000000000009</v>
      </c>
      <c r="Y115" s="60">
        <v>6</v>
      </c>
      <c r="Z115" s="60">
        <f t="shared" si="20"/>
        <v>3.84</v>
      </c>
      <c r="AA115" s="60">
        <v>2</v>
      </c>
      <c r="AB115" s="60">
        <f t="shared" si="21"/>
        <v>1.28</v>
      </c>
      <c r="AC115" s="60">
        <v>1</v>
      </c>
      <c r="AD115" s="60">
        <f t="shared" si="22"/>
        <v>0.64</v>
      </c>
      <c r="AE115" s="60">
        <f t="shared" si="23"/>
        <v>72</v>
      </c>
      <c r="AF115" s="61">
        <f t="shared" si="24"/>
        <v>46.08</v>
      </c>
    </row>
    <row r="116" spans="1:32" ht="20.100000000000001" customHeight="1">
      <c r="A116" s="63">
        <v>92</v>
      </c>
      <c r="B116" s="63" t="s">
        <v>94</v>
      </c>
      <c r="C116" s="63" t="s">
        <v>14</v>
      </c>
      <c r="D116" s="63">
        <v>0.64</v>
      </c>
      <c r="E116" s="63" t="s">
        <v>24</v>
      </c>
      <c r="F116" s="63">
        <v>1230</v>
      </c>
      <c r="G116" s="60">
        <v>1</v>
      </c>
      <c r="H116" s="60">
        <f t="shared" si="14"/>
        <v>0.64</v>
      </c>
      <c r="I116" s="60"/>
      <c r="J116" s="60"/>
      <c r="K116" s="60">
        <v>14</v>
      </c>
      <c r="L116" s="60">
        <f t="shared" si="16"/>
        <v>8.9600000000000009</v>
      </c>
      <c r="M116" s="60"/>
      <c r="N116" s="60"/>
      <c r="O116" s="60"/>
      <c r="P116" s="60"/>
      <c r="Q116" s="60">
        <v>5</v>
      </c>
      <c r="R116" s="60">
        <f t="shared" si="25"/>
        <v>3.2</v>
      </c>
      <c r="S116" s="60">
        <v>5</v>
      </c>
      <c r="T116" s="60">
        <f t="shared" si="18"/>
        <v>3.2</v>
      </c>
      <c r="U116" s="60">
        <v>16</v>
      </c>
      <c r="V116" s="60">
        <f t="shared" si="26"/>
        <v>10.24</v>
      </c>
      <c r="W116" s="60">
        <v>8</v>
      </c>
      <c r="X116" s="60">
        <f t="shared" si="19"/>
        <v>5.12</v>
      </c>
      <c r="Y116" s="60">
        <v>5</v>
      </c>
      <c r="Z116" s="60">
        <f t="shared" si="20"/>
        <v>3.2</v>
      </c>
      <c r="AA116" s="60">
        <v>3</v>
      </c>
      <c r="AB116" s="60">
        <f t="shared" si="21"/>
        <v>1.92</v>
      </c>
      <c r="AC116" s="60">
        <v>4</v>
      </c>
      <c r="AD116" s="60">
        <f t="shared" si="22"/>
        <v>2.56</v>
      </c>
      <c r="AE116" s="60">
        <f t="shared" si="23"/>
        <v>61</v>
      </c>
      <c r="AF116" s="61">
        <f t="shared" si="24"/>
        <v>39.04</v>
      </c>
    </row>
    <row r="117" spans="1:32" ht="20.100000000000001" customHeight="1">
      <c r="A117" s="63">
        <v>93</v>
      </c>
      <c r="B117" s="63" t="s">
        <v>95</v>
      </c>
      <c r="C117" s="63" t="s">
        <v>14</v>
      </c>
      <c r="D117" s="63">
        <v>0.64</v>
      </c>
      <c r="E117" s="63" t="s">
        <v>25</v>
      </c>
      <c r="F117" s="63">
        <v>1230</v>
      </c>
      <c r="G117" s="60"/>
      <c r="H117" s="60"/>
      <c r="I117" s="60"/>
      <c r="J117" s="60"/>
      <c r="K117" s="60"/>
      <c r="L117" s="60"/>
      <c r="M117" s="60">
        <v>1</v>
      </c>
      <c r="N117" s="60">
        <f t="shared" si="27"/>
        <v>0.64</v>
      </c>
      <c r="O117" s="60">
        <v>1</v>
      </c>
      <c r="P117" s="60">
        <f t="shared" si="17"/>
        <v>0.64</v>
      </c>
      <c r="Q117" s="60">
        <v>4</v>
      </c>
      <c r="R117" s="60">
        <f t="shared" si="25"/>
        <v>2.56</v>
      </c>
      <c r="S117" s="60">
        <v>9</v>
      </c>
      <c r="T117" s="60">
        <f t="shared" si="18"/>
        <v>5.76</v>
      </c>
      <c r="U117" s="60">
        <v>1</v>
      </c>
      <c r="V117" s="60">
        <f t="shared" si="26"/>
        <v>0.64</v>
      </c>
      <c r="W117" s="60">
        <v>6</v>
      </c>
      <c r="X117" s="60">
        <f t="shared" si="19"/>
        <v>3.84</v>
      </c>
      <c r="Y117" s="60">
        <v>4</v>
      </c>
      <c r="Z117" s="60">
        <f t="shared" si="20"/>
        <v>2.56</v>
      </c>
      <c r="AA117" s="60"/>
      <c r="AB117" s="60"/>
      <c r="AC117" s="60"/>
      <c r="AD117" s="60"/>
      <c r="AE117" s="60">
        <f t="shared" si="23"/>
        <v>26</v>
      </c>
      <c r="AF117" s="61">
        <f t="shared" si="24"/>
        <v>16.64</v>
      </c>
    </row>
    <row r="118" spans="1:32" ht="20.100000000000001" customHeight="1">
      <c r="A118" s="63">
        <v>94</v>
      </c>
      <c r="B118" s="63" t="s">
        <v>96</v>
      </c>
      <c r="C118" s="63" t="s">
        <v>14</v>
      </c>
      <c r="D118" s="63">
        <v>0.64</v>
      </c>
      <c r="E118" s="63" t="s">
        <v>25</v>
      </c>
      <c r="F118" s="63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1"/>
    </row>
    <row r="119" spans="1:32" ht="20.100000000000001" customHeight="1">
      <c r="A119" s="63">
        <v>95</v>
      </c>
      <c r="B119" s="63" t="s">
        <v>97</v>
      </c>
      <c r="C119" s="63" t="s">
        <v>14</v>
      </c>
      <c r="D119" s="63">
        <v>0.64</v>
      </c>
      <c r="E119" s="63" t="s">
        <v>25</v>
      </c>
      <c r="F119" s="63"/>
      <c r="G119" s="60">
        <v>4</v>
      </c>
      <c r="H119" s="60">
        <f t="shared" si="14"/>
        <v>2.56</v>
      </c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>
        <f t="shared" si="23"/>
        <v>4</v>
      </c>
      <c r="AF119" s="61">
        <f t="shared" si="24"/>
        <v>2.56</v>
      </c>
    </row>
    <row r="120" spans="1:32" ht="20.100000000000001" customHeight="1">
      <c r="A120" s="63">
        <v>96</v>
      </c>
      <c r="B120" s="63" t="s">
        <v>98</v>
      </c>
      <c r="C120" s="63" t="s">
        <v>14</v>
      </c>
      <c r="D120" s="63">
        <v>0.64</v>
      </c>
      <c r="E120" s="63" t="s">
        <v>24</v>
      </c>
      <c r="F120" s="63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1"/>
    </row>
    <row r="121" spans="1:32" ht="20.100000000000001" customHeight="1">
      <c r="A121" s="63">
        <v>97</v>
      </c>
      <c r="B121" s="63" t="s">
        <v>99</v>
      </c>
      <c r="C121" s="63"/>
      <c r="D121" s="63">
        <v>0.64</v>
      </c>
      <c r="E121" s="63"/>
      <c r="F121" s="63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1"/>
    </row>
    <row r="122" spans="1:32" ht="20.100000000000001" customHeight="1">
      <c r="A122" s="63">
        <v>98</v>
      </c>
      <c r="B122" s="63" t="s">
        <v>100</v>
      </c>
      <c r="C122" s="63"/>
      <c r="D122" s="63">
        <v>0.64</v>
      </c>
      <c r="E122" s="63" t="s">
        <v>101</v>
      </c>
      <c r="F122" s="63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1"/>
    </row>
    <row r="123" spans="1:32" ht="20.100000000000001" customHeight="1">
      <c r="A123" s="63"/>
      <c r="B123" s="63"/>
      <c r="C123" s="63"/>
      <c r="D123" s="63"/>
      <c r="E123" s="62"/>
      <c r="F123" s="62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1"/>
    </row>
    <row r="124" spans="1:32" ht="20.100000000000001" customHeight="1">
      <c r="A124" s="63">
        <v>99</v>
      </c>
      <c r="B124" s="63" t="s">
        <v>102</v>
      </c>
      <c r="C124" s="63" t="s">
        <v>14</v>
      </c>
      <c r="D124" s="63">
        <v>0.7</v>
      </c>
      <c r="E124" s="63" t="s">
        <v>15</v>
      </c>
      <c r="F124" s="63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1"/>
    </row>
    <row r="125" spans="1:32" ht="20.100000000000001" customHeight="1">
      <c r="A125" s="63">
        <v>100</v>
      </c>
      <c r="B125" s="63" t="s">
        <v>103</v>
      </c>
      <c r="C125" s="63"/>
      <c r="D125" s="63">
        <v>20</v>
      </c>
      <c r="E125" s="63">
        <v>1</v>
      </c>
      <c r="F125" s="63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1"/>
    </row>
    <row r="126" spans="1:32" ht="20.100000000000001" customHeight="1">
      <c r="A126" s="63"/>
      <c r="B126" s="63"/>
      <c r="C126" s="63"/>
      <c r="D126" s="63"/>
      <c r="E126" s="63"/>
      <c r="F126" s="63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1"/>
    </row>
    <row r="127" spans="1:32" ht="20.100000000000001" customHeight="1">
      <c r="A127" s="63"/>
      <c r="B127" s="63"/>
      <c r="C127" s="63"/>
      <c r="D127" s="63"/>
      <c r="E127" s="63"/>
      <c r="F127" s="63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1"/>
    </row>
    <row r="128" spans="1:32" ht="20.100000000000001" customHeight="1">
      <c r="A128" s="63"/>
      <c r="B128" s="8"/>
      <c r="C128" s="8"/>
      <c r="D128" s="8"/>
      <c r="E128" s="62"/>
      <c r="F128" s="62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1"/>
    </row>
    <row r="129" spans="1:32" ht="20.100000000000001" customHeight="1">
      <c r="A129" s="66"/>
      <c r="B129" s="11" t="s">
        <v>104</v>
      </c>
      <c r="C129" s="11"/>
      <c r="D129" s="12"/>
      <c r="E129" s="67"/>
      <c r="F129" s="67"/>
      <c r="G129" s="60">
        <f>SUM(G4:G125)</f>
        <v>446</v>
      </c>
      <c r="H129" s="60">
        <f t="shared" ref="H129:AF129" si="28">SUM(H4:H125)</f>
        <v>302.26000000000005</v>
      </c>
      <c r="I129" s="60">
        <f t="shared" si="28"/>
        <v>1510</v>
      </c>
      <c r="J129" s="60">
        <f t="shared" si="28"/>
        <v>1363.2499999999998</v>
      </c>
      <c r="K129" s="60">
        <f t="shared" si="28"/>
        <v>536</v>
      </c>
      <c r="L129" s="60">
        <f t="shared" si="28"/>
        <v>348.59999999999997</v>
      </c>
      <c r="M129" s="60">
        <f t="shared" si="28"/>
        <v>445</v>
      </c>
      <c r="N129" s="60">
        <f t="shared" si="28"/>
        <v>288.56</v>
      </c>
      <c r="O129" s="60">
        <f t="shared" si="28"/>
        <v>963</v>
      </c>
      <c r="P129" s="60">
        <f t="shared" si="28"/>
        <v>623.67999999999995</v>
      </c>
      <c r="Q129" s="60">
        <f t="shared" si="28"/>
        <v>978</v>
      </c>
      <c r="R129" s="60">
        <f t="shared" si="28"/>
        <v>626.74</v>
      </c>
      <c r="S129" s="60">
        <f t="shared" si="28"/>
        <v>662</v>
      </c>
      <c r="T129" s="60">
        <f t="shared" si="28"/>
        <v>436.71999999999991</v>
      </c>
      <c r="U129" s="60">
        <f t="shared" si="28"/>
        <v>475</v>
      </c>
      <c r="V129" s="60">
        <f t="shared" si="28"/>
        <v>308.3</v>
      </c>
      <c r="W129" s="60">
        <f t="shared" si="28"/>
        <v>593</v>
      </c>
      <c r="X129" s="60">
        <f t="shared" si="28"/>
        <v>383.57999999999993</v>
      </c>
      <c r="Y129" s="60">
        <f t="shared" si="28"/>
        <v>891</v>
      </c>
      <c r="Z129" s="60">
        <f t="shared" si="28"/>
        <v>592.50000000000011</v>
      </c>
      <c r="AA129" s="60">
        <f t="shared" si="28"/>
        <v>615</v>
      </c>
      <c r="AB129" s="60">
        <f t="shared" si="28"/>
        <v>402.9</v>
      </c>
      <c r="AC129" s="60">
        <f t="shared" si="28"/>
        <v>663</v>
      </c>
      <c r="AD129" s="60">
        <f t="shared" si="28"/>
        <v>439.88000000000005</v>
      </c>
      <c r="AE129" s="60">
        <f t="shared" si="28"/>
        <v>8777</v>
      </c>
      <c r="AF129" s="60">
        <f t="shared" si="28"/>
        <v>6116.9700000000012</v>
      </c>
    </row>
    <row r="130" spans="1:32" ht="20.100000000000001" customHeight="1">
      <c r="A130" s="68"/>
      <c r="B130" s="8"/>
      <c r="C130" s="8"/>
      <c r="D130" s="8"/>
      <c r="E130" s="62"/>
      <c r="F130" s="62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1"/>
    </row>
    <row r="131" spans="1:32" ht="20.100000000000001" customHeight="1">
      <c r="A131" s="63">
        <v>101</v>
      </c>
      <c r="B131" s="63" t="s">
        <v>105</v>
      </c>
      <c r="C131" s="63" t="s">
        <v>14</v>
      </c>
      <c r="D131" s="63">
        <v>0.7</v>
      </c>
      <c r="E131" s="63" t="s">
        <v>15</v>
      </c>
      <c r="F131" s="63">
        <v>4500</v>
      </c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1"/>
    </row>
    <row r="132" spans="1:32" ht="20.100000000000001" customHeight="1">
      <c r="A132" s="63">
        <v>102</v>
      </c>
      <c r="B132" s="63" t="s">
        <v>106</v>
      </c>
      <c r="C132" s="63" t="s">
        <v>14</v>
      </c>
      <c r="D132" s="63">
        <v>0.35</v>
      </c>
      <c r="E132" s="63" t="s">
        <v>24</v>
      </c>
      <c r="F132" s="63">
        <v>2300</v>
      </c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1"/>
    </row>
    <row r="133" spans="1:32" ht="20.100000000000001" customHeight="1">
      <c r="A133" s="63">
        <v>103</v>
      </c>
      <c r="B133" s="63" t="s">
        <v>107</v>
      </c>
      <c r="C133" s="63" t="s">
        <v>14</v>
      </c>
      <c r="D133" s="63">
        <v>0.17499999999999999</v>
      </c>
      <c r="E133" s="63" t="s">
        <v>108</v>
      </c>
      <c r="F133" s="63">
        <v>1300</v>
      </c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1"/>
    </row>
    <row r="134" spans="1:32" ht="20.100000000000001" customHeight="1">
      <c r="A134" s="63">
        <v>104</v>
      </c>
      <c r="B134" s="63" t="s">
        <v>109</v>
      </c>
      <c r="C134" s="63" t="s">
        <v>14</v>
      </c>
      <c r="D134" s="63">
        <v>0.7</v>
      </c>
      <c r="E134" s="63" t="s">
        <v>15</v>
      </c>
      <c r="F134" s="63">
        <v>5200</v>
      </c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1"/>
    </row>
    <row r="135" spans="1:32" ht="20.100000000000001" customHeight="1">
      <c r="A135" s="63">
        <v>105</v>
      </c>
      <c r="B135" s="63" t="s">
        <v>110</v>
      </c>
      <c r="C135" s="63" t="s">
        <v>14</v>
      </c>
      <c r="D135" s="63">
        <v>0.35</v>
      </c>
      <c r="E135" s="63" t="s">
        <v>24</v>
      </c>
      <c r="F135" s="63">
        <v>2600</v>
      </c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1"/>
    </row>
    <row r="136" spans="1:32" ht="20.100000000000001" customHeight="1">
      <c r="A136" s="63">
        <v>106</v>
      </c>
      <c r="B136" s="63" t="s">
        <v>111</v>
      </c>
      <c r="C136" s="63" t="s">
        <v>14</v>
      </c>
      <c r="D136" s="63">
        <v>0.17499999999999999</v>
      </c>
      <c r="E136" s="63" t="s">
        <v>108</v>
      </c>
      <c r="F136" s="63">
        <v>1450</v>
      </c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1"/>
    </row>
    <row r="137" spans="1:32" ht="20.100000000000001" customHeight="1">
      <c r="A137" s="63">
        <v>107</v>
      </c>
      <c r="B137" s="63" t="s">
        <v>112</v>
      </c>
      <c r="C137" s="63" t="s">
        <v>14</v>
      </c>
      <c r="D137" s="63">
        <v>0.7</v>
      </c>
      <c r="E137" s="63" t="s">
        <v>15</v>
      </c>
      <c r="F137" s="63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1"/>
    </row>
    <row r="138" spans="1:32" ht="20.100000000000001" customHeight="1">
      <c r="A138" s="63">
        <v>108</v>
      </c>
      <c r="B138" s="63" t="s">
        <v>113</v>
      </c>
      <c r="C138" s="63" t="s">
        <v>14</v>
      </c>
      <c r="D138" s="63">
        <v>0.7</v>
      </c>
      <c r="E138" s="63" t="s">
        <v>15</v>
      </c>
      <c r="F138" s="63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1"/>
    </row>
    <row r="139" spans="1:32" ht="20.100000000000001" customHeight="1">
      <c r="A139" s="63">
        <v>109</v>
      </c>
      <c r="B139" s="63" t="s">
        <v>114</v>
      </c>
      <c r="C139" s="63" t="s">
        <v>14</v>
      </c>
      <c r="D139" s="63">
        <v>0.35</v>
      </c>
      <c r="E139" s="63" t="s">
        <v>24</v>
      </c>
      <c r="F139" s="63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1"/>
    </row>
    <row r="140" spans="1:32" ht="20.100000000000001" customHeight="1">
      <c r="A140" s="63">
        <v>110</v>
      </c>
      <c r="B140" s="63" t="s">
        <v>115</v>
      </c>
      <c r="C140" s="63" t="s">
        <v>14</v>
      </c>
      <c r="D140" s="63">
        <v>0.7</v>
      </c>
      <c r="E140" s="63" t="s">
        <v>15</v>
      </c>
      <c r="F140" s="63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1"/>
    </row>
    <row r="141" spans="1:32" ht="20.100000000000001" customHeight="1">
      <c r="A141" s="63">
        <v>111</v>
      </c>
      <c r="B141" s="63" t="s">
        <v>116</v>
      </c>
      <c r="C141" s="63" t="s">
        <v>14</v>
      </c>
      <c r="D141" s="63">
        <v>0.35</v>
      </c>
      <c r="E141" s="63" t="s">
        <v>24</v>
      </c>
      <c r="F141" s="63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1"/>
    </row>
    <row r="142" spans="1:32" ht="20.100000000000001" customHeight="1">
      <c r="A142" s="63">
        <v>112</v>
      </c>
      <c r="B142" s="8" t="s">
        <v>117</v>
      </c>
      <c r="C142" s="8" t="s">
        <v>14</v>
      </c>
      <c r="D142" s="63">
        <v>0.7</v>
      </c>
      <c r="E142" s="69" t="s">
        <v>118</v>
      </c>
      <c r="F142" s="62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1"/>
    </row>
    <row r="143" spans="1:32" ht="20.100000000000001" customHeight="1">
      <c r="A143" s="8"/>
      <c r="B143" s="8"/>
      <c r="C143" s="8"/>
      <c r="D143" s="8"/>
      <c r="E143" s="62"/>
      <c r="F143" s="62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1"/>
    </row>
    <row r="144" spans="1:32" ht="20.100000000000001" customHeight="1">
      <c r="A144" s="70"/>
      <c r="B144" s="11" t="s">
        <v>119</v>
      </c>
      <c r="C144" s="11"/>
      <c r="D144" s="11"/>
      <c r="E144" s="67"/>
      <c r="F144" s="67"/>
      <c r="G144" s="60">
        <f>SUM(G131:G142)</f>
        <v>0</v>
      </c>
      <c r="H144" s="60">
        <f t="shared" ref="H144:AF144" si="29">SUM(H131:H142)</f>
        <v>0</v>
      </c>
      <c r="I144" s="60">
        <f t="shared" si="29"/>
        <v>0</v>
      </c>
      <c r="J144" s="60">
        <f t="shared" si="29"/>
        <v>0</v>
      </c>
      <c r="K144" s="60">
        <f t="shared" si="29"/>
        <v>0</v>
      </c>
      <c r="L144" s="60">
        <f t="shared" si="29"/>
        <v>0</v>
      </c>
      <c r="M144" s="60">
        <f t="shared" si="29"/>
        <v>0</v>
      </c>
      <c r="N144" s="60">
        <f t="shared" si="29"/>
        <v>0</v>
      </c>
      <c r="O144" s="60">
        <f t="shared" si="29"/>
        <v>0</v>
      </c>
      <c r="P144" s="60">
        <f t="shared" si="29"/>
        <v>0</v>
      </c>
      <c r="Q144" s="60">
        <f t="shared" si="29"/>
        <v>0</v>
      </c>
      <c r="R144" s="60">
        <f t="shared" si="29"/>
        <v>0</v>
      </c>
      <c r="S144" s="60">
        <f t="shared" si="29"/>
        <v>0</v>
      </c>
      <c r="T144" s="60">
        <f t="shared" si="29"/>
        <v>0</v>
      </c>
      <c r="U144" s="60">
        <f t="shared" si="29"/>
        <v>0</v>
      </c>
      <c r="V144" s="60">
        <f t="shared" si="29"/>
        <v>0</v>
      </c>
      <c r="W144" s="60">
        <f t="shared" si="29"/>
        <v>0</v>
      </c>
      <c r="X144" s="60">
        <f t="shared" si="29"/>
        <v>0</v>
      </c>
      <c r="Y144" s="60">
        <f t="shared" si="29"/>
        <v>0</v>
      </c>
      <c r="Z144" s="60">
        <f t="shared" si="29"/>
        <v>0</v>
      </c>
      <c r="AA144" s="60">
        <f t="shared" si="29"/>
        <v>0</v>
      </c>
      <c r="AB144" s="60">
        <f t="shared" si="29"/>
        <v>0</v>
      </c>
      <c r="AC144" s="60">
        <f t="shared" si="29"/>
        <v>0</v>
      </c>
      <c r="AD144" s="60">
        <f t="shared" si="29"/>
        <v>0</v>
      </c>
      <c r="AE144" s="60">
        <f t="shared" si="29"/>
        <v>0</v>
      </c>
      <c r="AF144" s="60">
        <f t="shared" si="29"/>
        <v>0</v>
      </c>
    </row>
    <row r="145" spans="1:32" ht="20.100000000000001" customHeight="1">
      <c r="A145" s="18"/>
      <c r="B145" s="12" t="s">
        <v>120</v>
      </c>
      <c r="C145" s="12"/>
      <c r="D145" s="12"/>
      <c r="E145" s="12"/>
      <c r="F145" s="12"/>
      <c r="G145" s="60">
        <f>G129+G144</f>
        <v>446</v>
      </c>
      <c r="H145" s="60">
        <f t="shared" ref="H145:AF145" si="30">H129+H144</f>
        <v>302.26000000000005</v>
      </c>
      <c r="I145" s="60">
        <f t="shared" si="30"/>
        <v>1510</v>
      </c>
      <c r="J145" s="60">
        <f t="shared" si="30"/>
        <v>1363.2499999999998</v>
      </c>
      <c r="K145" s="60">
        <f t="shared" si="30"/>
        <v>536</v>
      </c>
      <c r="L145" s="60">
        <f t="shared" si="30"/>
        <v>348.59999999999997</v>
      </c>
      <c r="M145" s="60">
        <f t="shared" si="30"/>
        <v>445</v>
      </c>
      <c r="N145" s="60">
        <f t="shared" si="30"/>
        <v>288.56</v>
      </c>
      <c r="O145" s="60">
        <f t="shared" si="30"/>
        <v>963</v>
      </c>
      <c r="P145" s="60">
        <f t="shared" si="30"/>
        <v>623.67999999999995</v>
      </c>
      <c r="Q145" s="60">
        <f t="shared" si="30"/>
        <v>978</v>
      </c>
      <c r="R145" s="60">
        <f t="shared" si="30"/>
        <v>626.74</v>
      </c>
      <c r="S145" s="60">
        <f t="shared" si="30"/>
        <v>662</v>
      </c>
      <c r="T145" s="60">
        <f t="shared" si="30"/>
        <v>436.71999999999991</v>
      </c>
      <c r="U145" s="60">
        <f t="shared" si="30"/>
        <v>475</v>
      </c>
      <c r="V145" s="60">
        <f t="shared" si="30"/>
        <v>308.3</v>
      </c>
      <c r="W145" s="60">
        <f t="shared" si="30"/>
        <v>593</v>
      </c>
      <c r="X145" s="60">
        <f t="shared" si="30"/>
        <v>383.57999999999993</v>
      </c>
      <c r="Y145" s="60">
        <f t="shared" si="30"/>
        <v>891</v>
      </c>
      <c r="Z145" s="60">
        <f t="shared" si="30"/>
        <v>592.50000000000011</v>
      </c>
      <c r="AA145" s="60">
        <f t="shared" si="30"/>
        <v>615</v>
      </c>
      <c r="AB145" s="60">
        <f t="shared" si="30"/>
        <v>402.9</v>
      </c>
      <c r="AC145" s="60">
        <f t="shared" si="30"/>
        <v>663</v>
      </c>
      <c r="AD145" s="60">
        <f t="shared" si="30"/>
        <v>439.88000000000005</v>
      </c>
      <c r="AE145" s="60">
        <f t="shared" si="30"/>
        <v>8777</v>
      </c>
      <c r="AF145" s="60">
        <f t="shared" si="30"/>
        <v>6116.9700000000012</v>
      </c>
    </row>
  </sheetData>
  <mergeCells count="19">
    <mergeCell ref="F2:F3"/>
    <mergeCell ref="A2:A3"/>
    <mergeCell ref="B2:B3"/>
    <mergeCell ref="C2:C3"/>
    <mergeCell ref="D2:D3"/>
    <mergeCell ref="E2:E3"/>
    <mergeCell ref="AE2:AF2"/>
    <mergeCell ref="AC2:AD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workbookViewId="0">
      <pane xSplit="6" ySplit="3" topLeftCell="R132" activePane="bottomRight" state="frozen"/>
      <selection pane="topRight" activeCell="G1" sqref="G1"/>
      <selection pane="bottomLeft" activeCell="A4" sqref="A4"/>
      <selection pane="bottomRight" activeCell="D140" sqref="D140"/>
    </sheetView>
  </sheetViews>
  <sheetFormatPr defaultRowHeight="21"/>
  <cols>
    <col min="2" max="2" width="27" customWidth="1"/>
    <col min="3" max="3" width="17.7109375" customWidth="1"/>
    <col min="5" max="5" width="7.7109375" bestFit="1" customWidth="1"/>
    <col min="6" max="6" width="11.140625" customWidth="1"/>
    <col min="8" max="8" width="9.5703125" bestFit="1" customWidth="1"/>
    <col min="10" max="10" width="9.5703125" bestFit="1" customWidth="1"/>
    <col min="15" max="15" width="10.85546875" customWidth="1"/>
    <col min="16" max="16" width="9.5703125" bestFit="1" customWidth="1"/>
    <col min="24" max="24" width="9.5703125" bestFit="1" customWidth="1"/>
    <col min="25" max="25" width="11.7109375" customWidth="1"/>
    <col min="26" max="26" width="13.5703125" customWidth="1"/>
    <col min="27" max="27" width="11.5703125" customWidth="1"/>
    <col min="28" max="28" width="11.42578125" customWidth="1"/>
    <col min="31" max="32" width="9.5703125" bestFit="1" customWidth="1"/>
  </cols>
  <sheetData>
    <row r="1" spans="1:32" ht="24.75">
      <c r="A1" s="54" t="s">
        <v>235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5" t="s">
        <v>6</v>
      </c>
      <c r="G2" s="252">
        <v>45658</v>
      </c>
      <c r="H2" s="253"/>
      <c r="I2" s="252">
        <v>45689</v>
      </c>
      <c r="J2" s="253"/>
      <c r="K2" s="252">
        <v>45717</v>
      </c>
      <c r="L2" s="253"/>
      <c r="M2" s="252">
        <v>45748</v>
      </c>
      <c r="N2" s="253"/>
      <c r="O2" s="252">
        <v>45778</v>
      </c>
      <c r="P2" s="253"/>
      <c r="Q2" s="252">
        <v>45809</v>
      </c>
      <c r="R2" s="253"/>
      <c r="S2" s="252">
        <v>45839</v>
      </c>
      <c r="T2" s="253"/>
      <c r="U2" s="252">
        <v>45870</v>
      </c>
      <c r="V2" s="253"/>
      <c r="W2" s="252">
        <v>45901</v>
      </c>
      <c r="X2" s="253"/>
      <c r="Y2" s="252">
        <v>45931</v>
      </c>
      <c r="Z2" s="253"/>
      <c r="AA2" s="252">
        <v>45962</v>
      </c>
      <c r="AB2" s="253"/>
      <c r="AC2" s="252">
        <v>45992</v>
      </c>
      <c r="AD2" s="253"/>
      <c r="AE2" s="259" t="s">
        <v>10</v>
      </c>
      <c r="AF2" s="260"/>
    </row>
    <row r="3" spans="1:32">
      <c r="A3" s="238"/>
      <c r="B3" s="238"/>
      <c r="C3" s="238"/>
      <c r="D3" s="240"/>
      <c r="E3" s="240"/>
      <c r="F3" s="240"/>
      <c r="G3" s="55" t="s">
        <v>11</v>
      </c>
      <c r="H3" s="87" t="s">
        <v>12</v>
      </c>
      <c r="I3" s="55" t="s">
        <v>11</v>
      </c>
      <c r="J3" s="56" t="s">
        <v>12</v>
      </c>
      <c r="K3" s="55" t="s">
        <v>11</v>
      </c>
      <c r="L3" s="56" t="s">
        <v>12</v>
      </c>
      <c r="M3" s="55" t="s">
        <v>11</v>
      </c>
      <c r="N3" s="56" t="s">
        <v>12</v>
      </c>
      <c r="O3" s="55" t="s">
        <v>11</v>
      </c>
      <c r="P3" s="56" t="s">
        <v>12</v>
      </c>
      <c r="Q3" s="55" t="s">
        <v>11</v>
      </c>
      <c r="R3" s="56" t="s">
        <v>12</v>
      </c>
      <c r="S3" s="55" t="s">
        <v>11</v>
      </c>
      <c r="T3" s="56" t="s">
        <v>12</v>
      </c>
      <c r="U3" s="55" t="s">
        <v>11</v>
      </c>
      <c r="V3" s="56" t="s">
        <v>12</v>
      </c>
      <c r="W3" s="55" t="s">
        <v>11</v>
      </c>
      <c r="X3" s="56" t="s">
        <v>12</v>
      </c>
      <c r="Y3" s="55" t="s">
        <v>11</v>
      </c>
      <c r="Z3" s="56" t="s">
        <v>12</v>
      </c>
      <c r="AA3" s="55" t="s">
        <v>11</v>
      </c>
      <c r="AB3" s="56" t="s">
        <v>12</v>
      </c>
      <c r="AC3" s="55" t="s">
        <v>11</v>
      </c>
      <c r="AD3" s="56" t="s">
        <v>12</v>
      </c>
      <c r="AE3" s="55" t="s">
        <v>11</v>
      </c>
      <c r="AF3" s="56" t="s">
        <v>12</v>
      </c>
    </row>
    <row r="4" spans="1:32" ht="20.100000000000001" customHeight="1">
      <c r="A4" s="63">
        <v>1</v>
      </c>
      <c r="B4" s="63" t="s">
        <v>13</v>
      </c>
      <c r="C4" s="63" t="s">
        <v>14</v>
      </c>
      <c r="D4" s="63">
        <v>0.7</v>
      </c>
      <c r="E4" s="63" t="s">
        <v>15</v>
      </c>
      <c r="F4" s="63">
        <v>2020</v>
      </c>
      <c r="G4" s="60">
        <v>2</v>
      </c>
      <c r="H4" s="176">
        <f>G4*$D4</f>
        <v>1.4</v>
      </c>
      <c r="I4" s="60">
        <v>5</v>
      </c>
      <c r="J4" s="176">
        <f>I4*$D4</f>
        <v>3.5</v>
      </c>
      <c r="K4" s="60">
        <v>5</v>
      </c>
      <c r="L4" s="176">
        <f>K4*$D4</f>
        <v>3.5</v>
      </c>
      <c r="M4" s="60">
        <v>2</v>
      </c>
      <c r="N4" s="176">
        <f>M4*$D4</f>
        <v>1.4</v>
      </c>
      <c r="O4" s="60">
        <v>4</v>
      </c>
      <c r="P4" s="176">
        <f>O4*$D4</f>
        <v>2.8</v>
      </c>
      <c r="Q4" s="60">
        <v>1</v>
      </c>
      <c r="R4" s="176">
        <f>Q4*$D4</f>
        <v>0.7</v>
      </c>
      <c r="S4" s="60">
        <v>2</v>
      </c>
      <c r="T4" s="176">
        <f>S4*D4</f>
        <v>1.4</v>
      </c>
      <c r="U4" s="60"/>
      <c r="V4" s="176">
        <f>U4*D4</f>
        <v>0</v>
      </c>
      <c r="W4" s="60">
        <v>2</v>
      </c>
      <c r="X4" s="176">
        <f>W4*D4</f>
        <v>1.4</v>
      </c>
      <c r="Y4" s="60">
        <v>1</v>
      </c>
      <c r="Z4" s="176">
        <f>Y4*D4</f>
        <v>0.7</v>
      </c>
      <c r="AA4" s="60"/>
      <c r="AB4" s="176">
        <f>AA4*D4</f>
        <v>0</v>
      </c>
      <c r="AC4" s="60"/>
      <c r="AD4" s="176">
        <f>AC4*D4</f>
        <v>0</v>
      </c>
      <c r="AE4" s="176">
        <f>G4+I4+K4+M4+O4+Q4+S4+U4+W4+Y4+AA4+AC4</f>
        <v>24</v>
      </c>
      <c r="AF4" s="176">
        <f>H4+J4+L4+N4+P4+R4+T4+V4+X4+Z4+AB4+AD4</f>
        <v>16.8</v>
      </c>
    </row>
    <row r="5" spans="1:32" ht="20.100000000000001" customHeight="1">
      <c r="A5" s="63"/>
      <c r="B5" s="63"/>
      <c r="C5" s="63"/>
      <c r="D5" s="63"/>
      <c r="E5" s="63"/>
      <c r="F5" s="63"/>
      <c r="G5" s="60"/>
      <c r="H5" s="176">
        <f t="shared" ref="H5:H68" si="0">G5*$D5</f>
        <v>0</v>
      </c>
      <c r="I5" s="60"/>
      <c r="J5" s="176">
        <f t="shared" ref="J5:J68" si="1">I5*$D5</f>
        <v>0</v>
      </c>
      <c r="K5" s="60"/>
      <c r="L5" s="176">
        <f t="shared" ref="L5:L68" si="2">K5*$D5</f>
        <v>0</v>
      </c>
      <c r="M5" s="60"/>
      <c r="N5" s="176">
        <f t="shared" ref="N5:N68" si="3">M5*$D5</f>
        <v>0</v>
      </c>
      <c r="O5" s="60"/>
      <c r="P5" s="176">
        <f t="shared" ref="P5:P68" si="4">O5*$D5</f>
        <v>0</v>
      </c>
      <c r="Q5" s="60"/>
      <c r="R5" s="176">
        <f t="shared" ref="R5:R68" si="5">Q5*$D5</f>
        <v>0</v>
      </c>
      <c r="S5" s="60"/>
      <c r="T5" s="176">
        <f t="shared" ref="T5:T68" si="6">S5*D5</f>
        <v>0</v>
      </c>
      <c r="U5" s="60"/>
      <c r="V5" s="176">
        <f t="shared" ref="V5:V68" si="7">U5*D5</f>
        <v>0</v>
      </c>
      <c r="W5" s="60"/>
      <c r="X5" s="176">
        <f t="shared" ref="X5:X68" si="8">W5*D5</f>
        <v>0</v>
      </c>
      <c r="Y5" s="60"/>
      <c r="Z5" s="176">
        <f t="shared" ref="Z5:Z68" si="9">Y5*D5</f>
        <v>0</v>
      </c>
      <c r="AA5" s="60"/>
      <c r="AB5" s="176">
        <f t="shared" ref="AB5:AB68" si="10">AA5*D5</f>
        <v>0</v>
      </c>
      <c r="AC5" s="60"/>
      <c r="AD5" s="176">
        <f t="shared" ref="AD5:AD68" si="11">AC5*D5</f>
        <v>0</v>
      </c>
      <c r="AE5" s="176">
        <f t="shared" ref="AE5:AE68" si="12">G5+I5+K5+M5+O5+Q5+S5+U5+W5+Y5+AA5+AC5</f>
        <v>0</v>
      </c>
      <c r="AF5" s="176">
        <f t="shared" ref="AF5:AF68" si="13">H5+J5+L5+N5+P5+R5+T5+V5+X5+Z5+AB5+AD5</f>
        <v>0</v>
      </c>
    </row>
    <row r="6" spans="1:32" ht="20.100000000000001" customHeight="1">
      <c r="A6" s="63">
        <v>2</v>
      </c>
      <c r="B6" s="63" t="s">
        <v>16</v>
      </c>
      <c r="C6" s="63" t="s">
        <v>17</v>
      </c>
      <c r="D6" s="63">
        <v>1</v>
      </c>
      <c r="E6" s="63" t="s">
        <v>15</v>
      </c>
      <c r="F6" s="63"/>
      <c r="G6" s="60"/>
      <c r="H6" s="176">
        <f t="shared" si="0"/>
        <v>0</v>
      </c>
      <c r="I6" s="60"/>
      <c r="J6" s="176">
        <f t="shared" si="1"/>
        <v>0</v>
      </c>
      <c r="K6" s="60"/>
      <c r="L6" s="176">
        <f t="shared" si="2"/>
        <v>0</v>
      </c>
      <c r="M6" s="60"/>
      <c r="N6" s="176">
        <f t="shared" si="3"/>
        <v>0</v>
      </c>
      <c r="O6" s="60"/>
      <c r="P6" s="176">
        <f t="shared" si="4"/>
        <v>0</v>
      </c>
      <c r="Q6" s="60"/>
      <c r="R6" s="176">
        <f t="shared" si="5"/>
        <v>0</v>
      </c>
      <c r="S6" s="60"/>
      <c r="T6" s="176">
        <f t="shared" si="6"/>
        <v>0</v>
      </c>
      <c r="U6" s="60"/>
      <c r="V6" s="176">
        <f t="shared" si="7"/>
        <v>0</v>
      </c>
      <c r="W6" s="60"/>
      <c r="X6" s="176">
        <f t="shared" si="8"/>
        <v>0</v>
      </c>
      <c r="Y6" s="60"/>
      <c r="Z6" s="176">
        <f t="shared" si="9"/>
        <v>0</v>
      </c>
      <c r="AA6" s="60"/>
      <c r="AB6" s="176">
        <f t="shared" si="10"/>
        <v>0</v>
      </c>
      <c r="AC6" s="60"/>
      <c r="AD6" s="176">
        <f t="shared" si="11"/>
        <v>0</v>
      </c>
      <c r="AE6" s="176">
        <f t="shared" si="12"/>
        <v>0</v>
      </c>
      <c r="AF6" s="176">
        <f t="shared" si="13"/>
        <v>0</v>
      </c>
    </row>
    <row r="7" spans="1:32" ht="20.100000000000001" customHeight="1">
      <c r="A7" s="63">
        <v>3</v>
      </c>
      <c r="B7" s="63" t="s">
        <v>18</v>
      </c>
      <c r="C7" s="63" t="s">
        <v>17</v>
      </c>
      <c r="D7" s="63">
        <v>1</v>
      </c>
      <c r="E7" s="63" t="s">
        <v>15</v>
      </c>
      <c r="F7" s="63">
        <v>1680</v>
      </c>
      <c r="G7" s="60"/>
      <c r="H7" s="176">
        <f t="shared" si="0"/>
        <v>0</v>
      </c>
      <c r="I7" s="60"/>
      <c r="J7" s="176">
        <f t="shared" si="1"/>
        <v>0</v>
      </c>
      <c r="K7" s="60"/>
      <c r="L7" s="176">
        <f t="shared" si="2"/>
        <v>0</v>
      </c>
      <c r="M7" s="60">
        <v>3</v>
      </c>
      <c r="N7" s="176">
        <f t="shared" si="3"/>
        <v>3</v>
      </c>
      <c r="O7" s="60"/>
      <c r="P7" s="176">
        <f t="shared" si="4"/>
        <v>0</v>
      </c>
      <c r="Q7" s="60">
        <v>28</v>
      </c>
      <c r="R7" s="176">
        <f t="shared" si="5"/>
        <v>28</v>
      </c>
      <c r="S7" s="60"/>
      <c r="T7" s="176">
        <f t="shared" si="6"/>
        <v>0</v>
      </c>
      <c r="U7" s="60"/>
      <c r="V7" s="176">
        <f t="shared" si="7"/>
        <v>0</v>
      </c>
      <c r="W7" s="60"/>
      <c r="X7" s="176">
        <f t="shared" si="8"/>
        <v>0</v>
      </c>
      <c r="Y7" s="60"/>
      <c r="Z7" s="176">
        <f t="shared" si="9"/>
        <v>0</v>
      </c>
      <c r="AA7" s="60"/>
      <c r="AB7" s="176">
        <f t="shared" si="10"/>
        <v>0</v>
      </c>
      <c r="AC7" s="60"/>
      <c r="AD7" s="176">
        <f t="shared" si="11"/>
        <v>0</v>
      </c>
      <c r="AE7" s="176">
        <f t="shared" si="12"/>
        <v>31</v>
      </c>
      <c r="AF7" s="176">
        <f t="shared" si="13"/>
        <v>31</v>
      </c>
    </row>
    <row r="8" spans="1:32" ht="20.100000000000001" customHeight="1">
      <c r="A8" s="63">
        <v>4</v>
      </c>
      <c r="B8" s="63" t="s">
        <v>19</v>
      </c>
      <c r="C8" s="63" t="s">
        <v>17</v>
      </c>
      <c r="D8" s="63">
        <v>0.6</v>
      </c>
      <c r="E8" s="63" t="s">
        <v>15</v>
      </c>
      <c r="F8" s="63">
        <v>1130</v>
      </c>
      <c r="G8" s="60"/>
      <c r="H8" s="176">
        <f t="shared" si="0"/>
        <v>0</v>
      </c>
      <c r="I8" s="60"/>
      <c r="J8" s="176">
        <f t="shared" si="1"/>
        <v>0</v>
      </c>
      <c r="K8" s="60"/>
      <c r="L8" s="176">
        <f t="shared" si="2"/>
        <v>0</v>
      </c>
      <c r="M8" s="60"/>
      <c r="N8" s="176">
        <f t="shared" si="3"/>
        <v>0</v>
      </c>
      <c r="O8" s="60"/>
      <c r="P8" s="176">
        <f t="shared" si="4"/>
        <v>0</v>
      </c>
      <c r="Q8" s="60">
        <v>56</v>
      </c>
      <c r="R8" s="176">
        <f t="shared" si="5"/>
        <v>33.6</v>
      </c>
      <c r="S8" s="60"/>
      <c r="T8" s="176">
        <f t="shared" si="6"/>
        <v>0</v>
      </c>
      <c r="U8" s="60"/>
      <c r="V8" s="176">
        <f t="shared" si="7"/>
        <v>0</v>
      </c>
      <c r="W8" s="60"/>
      <c r="X8" s="176">
        <f t="shared" si="8"/>
        <v>0</v>
      </c>
      <c r="Y8" s="60"/>
      <c r="Z8" s="176">
        <f t="shared" si="9"/>
        <v>0</v>
      </c>
      <c r="AA8" s="60"/>
      <c r="AB8" s="176">
        <f t="shared" si="10"/>
        <v>0</v>
      </c>
      <c r="AC8" s="60"/>
      <c r="AD8" s="176">
        <f t="shared" si="11"/>
        <v>0</v>
      </c>
      <c r="AE8" s="176">
        <f t="shared" si="12"/>
        <v>56</v>
      </c>
      <c r="AF8" s="176">
        <f t="shared" si="13"/>
        <v>33.6</v>
      </c>
    </row>
    <row r="9" spans="1:32" ht="20.100000000000001" customHeight="1">
      <c r="A9" s="63">
        <v>5</v>
      </c>
      <c r="B9" s="63" t="s">
        <v>20</v>
      </c>
      <c r="C9" s="63" t="s">
        <v>17</v>
      </c>
      <c r="D9" s="63">
        <v>0.35</v>
      </c>
      <c r="E9" s="63" t="s">
        <v>21</v>
      </c>
      <c r="F9" s="63"/>
      <c r="G9" s="60"/>
      <c r="H9" s="176">
        <f t="shared" si="0"/>
        <v>0</v>
      </c>
      <c r="I9" s="60"/>
      <c r="J9" s="176">
        <f t="shared" si="1"/>
        <v>0</v>
      </c>
      <c r="K9" s="60"/>
      <c r="L9" s="176">
        <f t="shared" si="2"/>
        <v>0</v>
      </c>
      <c r="M9" s="60"/>
      <c r="N9" s="176">
        <f t="shared" si="3"/>
        <v>0</v>
      </c>
      <c r="O9" s="60"/>
      <c r="P9" s="176">
        <f t="shared" si="4"/>
        <v>0</v>
      </c>
      <c r="Q9" s="60"/>
      <c r="R9" s="176">
        <f t="shared" si="5"/>
        <v>0</v>
      </c>
      <c r="S9" s="60"/>
      <c r="T9" s="176">
        <f t="shared" si="6"/>
        <v>0</v>
      </c>
      <c r="U9" s="60"/>
      <c r="V9" s="176">
        <f t="shared" si="7"/>
        <v>0</v>
      </c>
      <c r="W9" s="60"/>
      <c r="X9" s="176">
        <f t="shared" si="8"/>
        <v>0</v>
      </c>
      <c r="Y9" s="60"/>
      <c r="Z9" s="176">
        <f t="shared" si="9"/>
        <v>0</v>
      </c>
      <c r="AA9" s="60"/>
      <c r="AB9" s="176">
        <f t="shared" si="10"/>
        <v>0</v>
      </c>
      <c r="AC9" s="60"/>
      <c r="AD9" s="176">
        <f t="shared" si="11"/>
        <v>0</v>
      </c>
      <c r="AE9" s="176">
        <f t="shared" si="12"/>
        <v>0</v>
      </c>
      <c r="AF9" s="176">
        <f t="shared" si="13"/>
        <v>0</v>
      </c>
    </row>
    <row r="10" spans="1:32" ht="20.100000000000001" customHeight="1">
      <c r="A10" s="63">
        <v>6</v>
      </c>
      <c r="B10" s="63" t="s">
        <v>22</v>
      </c>
      <c r="C10" s="63" t="s">
        <v>14</v>
      </c>
      <c r="D10" s="63">
        <v>0.7</v>
      </c>
      <c r="E10" s="63" t="s">
        <v>15</v>
      </c>
      <c r="F10" s="63"/>
      <c r="G10" s="60"/>
      <c r="H10" s="176">
        <f t="shared" si="0"/>
        <v>0</v>
      </c>
      <c r="I10" s="60"/>
      <c r="J10" s="176">
        <f t="shared" si="1"/>
        <v>0</v>
      </c>
      <c r="K10" s="60"/>
      <c r="L10" s="176">
        <f t="shared" si="2"/>
        <v>0</v>
      </c>
      <c r="M10" s="60"/>
      <c r="N10" s="176">
        <f t="shared" si="3"/>
        <v>0</v>
      </c>
      <c r="O10" s="60"/>
      <c r="P10" s="176">
        <f t="shared" si="4"/>
        <v>0</v>
      </c>
      <c r="Q10" s="60"/>
      <c r="R10" s="176">
        <f t="shared" si="5"/>
        <v>0</v>
      </c>
      <c r="S10" s="60"/>
      <c r="T10" s="176">
        <f t="shared" si="6"/>
        <v>0</v>
      </c>
      <c r="U10" s="60"/>
      <c r="V10" s="176">
        <f t="shared" si="7"/>
        <v>0</v>
      </c>
      <c r="W10" s="60"/>
      <c r="X10" s="176">
        <f t="shared" si="8"/>
        <v>0</v>
      </c>
      <c r="Y10" s="60"/>
      <c r="Z10" s="176">
        <f t="shared" si="9"/>
        <v>0</v>
      </c>
      <c r="AA10" s="60"/>
      <c r="AB10" s="176">
        <f t="shared" si="10"/>
        <v>0</v>
      </c>
      <c r="AC10" s="60"/>
      <c r="AD10" s="176">
        <f t="shared" si="11"/>
        <v>0</v>
      </c>
      <c r="AE10" s="176">
        <f t="shared" si="12"/>
        <v>0</v>
      </c>
      <c r="AF10" s="176">
        <f t="shared" si="13"/>
        <v>0</v>
      </c>
    </row>
    <row r="11" spans="1:32" ht="20.100000000000001" customHeight="1">
      <c r="A11" s="63">
        <v>7</v>
      </c>
      <c r="B11" s="63" t="s">
        <v>23</v>
      </c>
      <c r="C11" s="63" t="s">
        <v>14</v>
      </c>
      <c r="D11" s="63">
        <v>0.64</v>
      </c>
      <c r="E11" s="63" t="s">
        <v>24</v>
      </c>
      <c r="F11" s="63"/>
      <c r="G11" s="60"/>
      <c r="H11" s="176">
        <f t="shared" si="0"/>
        <v>0</v>
      </c>
      <c r="I11" s="60"/>
      <c r="J11" s="176">
        <f t="shared" si="1"/>
        <v>0</v>
      </c>
      <c r="K11" s="60"/>
      <c r="L11" s="176">
        <f t="shared" si="2"/>
        <v>0</v>
      </c>
      <c r="M11" s="60"/>
      <c r="N11" s="176">
        <f t="shared" si="3"/>
        <v>0</v>
      </c>
      <c r="O11" s="60"/>
      <c r="P11" s="176">
        <f t="shared" si="4"/>
        <v>0</v>
      </c>
      <c r="Q11" s="60"/>
      <c r="R11" s="176">
        <f t="shared" si="5"/>
        <v>0</v>
      </c>
      <c r="S11" s="60"/>
      <c r="T11" s="176">
        <f t="shared" si="6"/>
        <v>0</v>
      </c>
      <c r="U11" s="60"/>
      <c r="V11" s="176">
        <f t="shared" si="7"/>
        <v>0</v>
      </c>
      <c r="W11" s="60"/>
      <c r="X11" s="176">
        <f t="shared" si="8"/>
        <v>0</v>
      </c>
      <c r="Y11" s="60"/>
      <c r="Z11" s="176">
        <f t="shared" si="9"/>
        <v>0</v>
      </c>
      <c r="AA11" s="60"/>
      <c r="AB11" s="176">
        <f t="shared" si="10"/>
        <v>0</v>
      </c>
      <c r="AC11" s="60"/>
      <c r="AD11" s="176">
        <f t="shared" si="11"/>
        <v>0</v>
      </c>
      <c r="AE11" s="176">
        <f t="shared" si="12"/>
        <v>0</v>
      </c>
      <c r="AF11" s="176">
        <f t="shared" si="13"/>
        <v>0</v>
      </c>
    </row>
    <row r="12" spans="1:32" ht="20.100000000000001" customHeight="1">
      <c r="A12" s="63">
        <v>8</v>
      </c>
      <c r="B12" s="63" t="s">
        <v>23</v>
      </c>
      <c r="C12" s="63" t="s">
        <v>14</v>
      </c>
      <c r="D12" s="63">
        <v>0.64</v>
      </c>
      <c r="E12" s="63" t="s">
        <v>25</v>
      </c>
      <c r="F12" s="63">
        <v>1380</v>
      </c>
      <c r="G12" s="60">
        <v>48</v>
      </c>
      <c r="H12" s="176">
        <f t="shared" si="0"/>
        <v>30.72</v>
      </c>
      <c r="I12" s="60">
        <v>21</v>
      </c>
      <c r="J12" s="176">
        <f t="shared" si="1"/>
        <v>13.44</v>
      </c>
      <c r="K12" s="60">
        <v>798</v>
      </c>
      <c r="L12" s="176">
        <f t="shared" si="2"/>
        <v>510.72</v>
      </c>
      <c r="M12" s="60">
        <v>23</v>
      </c>
      <c r="N12" s="176">
        <f t="shared" si="3"/>
        <v>14.72</v>
      </c>
      <c r="O12" s="60">
        <v>846</v>
      </c>
      <c r="P12" s="176">
        <f t="shared" si="4"/>
        <v>541.44000000000005</v>
      </c>
      <c r="Q12" s="60">
        <v>48</v>
      </c>
      <c r="R12" s="176">
        <f t="shared" si="5"/>
        <v>30.72</v>
      </c>
      <c r="S12" s="60">
        <v>35</v>
      </c>
      <c r="T12" s="176">
        <f t="shared" si="6"/>
        <v>22.400000000000002</v>
      </c>
      <c r="U12" s="60">
        <v>31</v>
      </c>
      <c r="V12" s="176">
        <f t="shared" si="7"/>
        <v>19.84</v>
      </c>
      <c r="W12" s="60">
        <v>20</v>
      </c>
      <c r="X12" s="176">
        <f t="shared" si="8"/>
        <v>12.8</v>
      </c>
      <c r="Y12" s="60">
        <v>9</v>
      </c>
      <c r="Z12" s="176">
        <f t="shared" si="9"/>
        <v>5.76</v>
      </c>
      <c r="AA12" s="60">
        <v>14</v>
      </c>
      <c r="AB12" s="176">
        <f t="shared" si="10"/>
        <v>8.9600000000000009</v>
      </c>
      <c r="AC12" s="60">
        <v>25</v>
      </c>
      <c r="AD12" s="176">
        <f t="shared" si="11"/>
        <v>16</v>
      </c>
      <c r="AE12" s="176">
        <f t="shared" si="12"/>
        <v>1918</v>
      </c>
      <c r="AF12" s="176">
        <f t="shared" si="13"/>
        <v>1227.52</v>
      </c>
    </row>
    <row r="13" spans="1:32" ht="20.100000000000001" customHeight="1">
      <c r="A13" s="63">
        <v>9</v>
      </c>
      <c r="B13" s="63" t="s">
        <v>23</v>
      </c>
      <c r="C13" s="63" t="s">
        <v>14</v>
      </c>
      <c r="D13" s="63">
        <v>0.64</v>
      </c>
      <c r="E13" s="63" t="s">
        <v>15</v>
      </c>
      <c r="F13" s="63"/>
      <c r="G13" s="60"/>
      <c r="H13" s="176">
        <f t="shared" si="0"/>
        <v>0</v>
      </c>
      <c r="I13" s="60"/>
      <c r="J13" s="176">
        <f t="shared" si="1"/>
        <v>0</v>
      </c>
      <c r="K13" s="60"/>
      <c r="L13" s="176">
        <f t="shared" si="2"/>
        <v>0</v>
      </c>
      <c r="M13" s="60"/>
      <c r="N13" s="176">
        <f t="shared" si="3"/>
        <v>0</v>
      </c>
      <c r="O13" s="60"/>
      <c r="P13" s="176">
        <f t="shared" si="4"/>
        <v>0</v>
      </c>
      <c r="Q13" s="60"/>
      <c r="R13" s="176">
        <f t="shared" si="5"/>
        <v>0</v>
      </c>
      <c r="S13" s="60"/>
      <c r="T13" s="176">
        <f t="shared" si="6"/>
        <v>0</v>
      </c>
      <c r="U13" s="60"/>
      <c r="V13" s="176">
        <f t="shared" si="7"/>
        <v>0</v>
      </c>
      <c r="W13" s="60"/>
      <c r="X13" s="176">
        <f t="shared" si="8"/>
        <v>0</v>
      </c>
      <c r="Y13" s="60"/>
      <c r="Z13" s="176">
        <f t="shared" si="9"/>
        <v>0</v>
      </c>
      <c r="AA13" s="60"/>
      <c r="AB13" s="176">
        <f t="shared" si="10"/>
        <v>0</v>
      </c>
      <c r="AC13" s="60"/>
      <c r="AD13" s="176">
        <f t="shared" si="11"/>
        <v>0</v>
      </c>
      <c r="AE13" s="176">
        <f t="shared" si="12"/>
        <v>0</v>
      </c>
      <c r="AF13" s="176">
        <f t="shared" si="13"/>
        <v>0</v>
      </c>
    </row>
    <row r="14" spans="1:32" ht="20.100000000000001" customHeight="1">
      <c r="A14" s="63">
        <v>10</v>
      </c>
      <c r="B14" s="63" t="s">
        <v>26</v>
      </c>
      <c r="C14" s="63" t="s">
        <v>14</v>
      </c>
      <c r="D14" s="63">
        <v>0.64</v>
      </c>
      <c r="E14" s="63" t="s">
        <v>25</v>
      </c>
      <c r="F14" s="63"/>
      <c r="G14" s="60"/>
      <c r="H14" s="176">
        <f t="shared" si="0"/>
        <v>0</v>
      </c>
      <c r="I14" s="60"/>
      <c r="J14" s="176">
        <f t="shared" si="1"/>
        <v>0</v>
      </c>
      <c r="K14" s="60"/>
      <c r="L14" s="176">
        <f t="shared" si="2"/>
        <v>0</v>
      </c>
      <c r="M14" s="60"/>
      <c r="N14" s="176">
        <f t="shared" si="3"/>
        <v>0</v>
      </c>
      <c r="O14" s="60"/>
      <c r="P14" s="176">
        <f t="shared" si="4"/>
        <v>0</v>
      </c>
      <c r="Q14" s="60"/>
      <c r="R14" s="176">
        <f t="shared" si="5"/>
        <v>0</v>
      </c>
      <c r="S14" s="60"/>
      <c r="T14" s="176">
        <f t="shared" si="6"/>
        <v>0</v>
      </c>
      <c r="U14" s="60"/>
      <c r="V14" s="176">
        <f t="shared" si="7"/>
        <v>0</v>
      </c>
      <c r="W14" s="60"/>
      <c r="X14" s="176">
        <f t="shared" si="8"/>
        <v>0</v>
      </c>
      <c r="Y14" s="60"/>
      <c r="Z14" s="176">
        <f t="shared" si="9"/>
        <v>0</v>
      </c>
      <c r="AA14" s="60"/>
      <c r="AB14" s="176">
        <f t="shared" si="10"/>
        <v>0</v>
      </c>
      <c r="AC14" s="60"/>
      <c r="AD14" s="176">
        <f t="shared" si="11"/>
        <v>0</v>
      </c>
      <c r="AE14" s="176">
        <f t="shared" si="12"/>
        <v>0</v>
      </c>
      <c r="AF14" s="176">
        <f t="shared" si="13"/>
        <v>0</v>
      </c>
    </row>
    <row r="15" spans="1:32" ht="20.100000000000001" customHeight="1">
      <c r="A15" s="63"/>
      <c r="B15" s="63"/>
      <c r="C15" s="63"/>
      <c r="D15" s="63"/>
      <c r="E15" s="63"/>
      <c r="F15" s="63"/>
      <c r="G15" s="60"/>
      <c r="H15" s="176">
        <f t="shared" si="0"/>
        <v>0</v>
      </c>
      <c r="I15" s="60"/>
      <c r="J15" s="176">
        <f t="shared" si="1"/>
        <v>0</v>
      </c>
      <c r="K15" s="60"/>
      <c r="L15" s="176">
        <f t="shared" si="2"/>
        <v>0</v>
      </c>
      <c r="M15" s="60"/>
      <c r="N15" s="176">
        <f t="shared" si="3"/>
        <v>0</v>
      </c>
      <c r="O15" s="60"/>
      <c r="P15" s="176">
        <f t="shared" si="4"/>
        <v>0</v>
      </c>
      <c r="Q15" s="60"/>
      <c r="R15" s="176">
        <f t="shared" si="5"/>
        <v>0</v>
      </c>
      <c r="S15" s="60"/>
      <c r="T15" s="176">
        <f t="shared" si="6"/>
        <v>0</v>
      </c>
      <c r="U15" s="60"/>
      <c r="V15" s="176">
        <f t="shared" si="7"/>
        <v>0</v>
      </c>
      <c r="W15" s="60"/>
      <c r="X15" s="176">
        <f t="shared" si="8"/>
        <v>0</v>
      </c>
      <c r="Y15" s="60"/>
      <c r="Z15" s="176">
        <f t="shared" si="9"/>
        <v>0</v>
      </c>
      <c r="AA15" s="60"/>
      <c r="AB15" s="176">
        <f t="shared" si="10"/>
        <v>0</v>
      </c>
      <c r="AC15" s="60"/>
      <c r="AD15" s="176">
        <f t="shared" si="11"/>
        <v>0</v>
      </c>
      <c r="AE15" s="176">
        <f t="shared" si="12"/>
        <v>0</v>
      </c>
      <c r="AF15" s="176">
        <f t="shared" si="13"/>
        <v>0</v>
      </c>
    </row>
    <row r="16" spans="1:32" ht="20.100000000000001" customHeight="1">
      <c r="A16" s="63">
        <v>11</v>
      </c>
      <c r="B16" s="63" t="s">
        <v>27</v>
      </c>
      <c r="C16" s="63" t="s">
        <v>17</v>
      </c>
      <c r="D16" s="63">
        <v>1</v>
      </c>
      <c r="E16" s="63" t="s">
        <v>15</v>
      </c>
      <c r="F16" s="63">
        <v>1530</v>
      </c>
      <c r="G16" s="60">
        <v>2128</v>
      </c>
      <c r="H16" s="176">
        <f t="shared" si="0"/>
        <v>2128</v>
      </c>
      <c r="I16" s="60">
        <v>1310</v>
      </c>
      <c r="J16" s="176">
        <f t="shared" si="1"/>
        <v>1310</v>
      </c>
      <c r="K16" s="60">
        <v>6</v>
      </c>
      <c r="L16" s="176">
        <f t="shared" si="2"/>
        <v>6</v>
      </c>
      <c r="M16" s="60">
        <v>252</v>
      </c>
      <c r="N16" s="176">
        <f t="shared" si="3"/>
        <v>252</v>
      </c>
      <c r="O16" s="60">
        <v>12</v>
      </c>
      <c r="P16" s="176">
        <f t="shared" si="4"/>
        <v>12</v>
      </c>
      <c r="Q16" s="60">
        <v>15</v>
      </c>
      <c r="R16" s="176">
        <f t="shared" si="5"/>
        <v>15</v>
      </c>
      <c r="S16" s="60">
        <v>14</v>
      </c>
      <c r="T16" s="176">
        <f t="shared" si="6"/>
        <v>14</v>
      </c>
      <c r="U16" s="60">
        <v>10</v>
      </c>
      <c r="V16" s="176">
        <f t="shared" si="7"/>
        <v>10</v>
      </c>
      <c r="W16" s="60">
        <v>2815</v>
      </c>
      <c r="X16" s="176">
        <f t="shared" si="8"/>
        <v>2815</v>
      </c>
      <c r="Y16" s="60">
        <v>3363</v>
      </c>
      <c r="Z16" s="176">
        <f t="shared" si="9"/>
        <v>3363</v>
      </c>
      <c r="AA16" s="60"/>
      <c r="AB16" s="176">
        <f t="shared" si="10"/>
        <v>0</v>
      </c>
      <c r="AC16" s="60">
        <v>4</v>
      </c>
      <c r="AD16" s="176">
        <f t="shared" si="11"/>
        <v>4</v>
      </c>
      <c r="AE16" s="176">
        <f t="shared" si="12"/>
        <v>9929</v>
      </c>
      <c r="AF16" s="176">
        <f t="shared" si="13"/>
        <v>9929</v>
      </c>
    </row>
    <row r="17" spans="1:32" ht="20.100000000000001" customHeight="1">
      <c r="A17" s="63">
        <v>12</v>
      </c>
      <c r="B17" s="63" t="s">
        <v>28</v>
      </c>
      <c r="C17" s="63" t="s">
        <v>17</v>
      </c>
      <c r="D17" s="63">
        <v>1</v>
      </c>
      <c r="E17" s="63" t="s">
        <v>15</v>
      </c>
      <c r="F17" s="63"/>
      <c r="G17" s="60"/>
      <c r="H17" s="176">
        <f t="shared" si="0"/>
        <v>0</v>
      </c>
      <c r="I17" s="60"/>
      <c r="J17" s="176">
        <f t="shared" si="1"/>
        <v>0</v>
      </c>
      <c r="K17" s="60"/>
      <c r="L17" s="176">
        <f t="shared" si="2"/>
        <v>0</v>
      </c>
      <c r="M17" s="60"/>
      <c r="N17" s="176">
        <f t="shared" si="3"/>
        <v>0</v>
      </c>
      <c r="O17" s="60"/>
      <c r="P17" s="176">
        <f t="shared" si="4"/>
        <v>0</v>
      </c>
      <c r="Q17" s="60"/>
      <c r="R17" s="176">
        <f t="shared" si="5"/>
        <v>0</v>
      </c>
      <c r="S17" s="60"/>
      <c r="T17" s="176">
        <f t="shared" si="6"/>
        <v>0</v>
      </c>
      <c r="U17" s="60"/>
      <c r="V17" s="176">
        <f t="shared" si="7"/>
        <v>0</v>
      </c>
      <c r="W17" s="60"/>
      <c r="X17" s="176">
        <f t="shared" si="8"/>
        <v>0</v>
      </c>
      <c r="Y17" s="60"/>
      <c r="Z17" s="176">
        <f t="shared" si="9"/>
        <v>0</v>
      </c>
      <c r="AA17" s="60"/>
      <c r="AB17" s="176">
        <f t="shared" si="10"/>
        <v>0</v>
      </c>
      <c r="AC17" s="60"/>
      <c r="AD17" s="176">
        <f t="shared" si="11"/>
        <v>0</v>
      </c>
      <c r="AE17" s="176">
        <f t="shared" si="12"/>
        <v>0</v>
      </c>
      <c r="AF17" s="176">
        <f t="shared" si="13"/>
        <v>0</v>
      </c>
    </row>
    <row r="18" spans="1:32" ht="20.100000000000001" customHeight="1">
      <c r="A18" s="63">
        <v>13</v>
      </c>
      <c r="B18" s="63" t="s">
        <v>29</v>
      </c>
      <c r="C18" s="63" t="s">
        <v>17</v>
      </c>
      <c r="D18" s="63">
        <v>0.6</v>
      </c>
      <c r="E18" s="63" t="s">
        <v>15</v>
      </c>
      <c r="F18" s="63">
        <v>1090</v>
      </c>
      <c r="G18" s="60">
        <v>2</v>
      </c>
      <c r="H18" s="176">
        <f t="shared" si="0"/>
        <v>1.2</v>
      </c>
      <c r="I18" s="60"/>
      <c r="J18" s="176">
        <f t="shared" si="1"/>
        <v>0</v>
      </c>
      <c r="K18" s="60"/>
      <c r="L18" s="176">
        <f t="shared" si="2"/>
        <v>0</v>
      </c>
      <c r="M18" s="60">
        <v>3</v>
      </c>
      <c r="N18" s="176">
        <f t="shared" si="3"/>
        <v>1.7999999999999998</v>
      </c>
      <c r="O18" s="60"/>
      <c r="P18" s="176">
        <f t="shared" si="4"/>
        <v>0</v>
      </c>
      <c r="Q18" s="60"/>
      <c r="R18" s="176">
        <f t="shared" si="5"/>
        <v>0</v>
      </c>
      <c r="S18" s="60"/>
      <c r="T18" s="176">
        <f t="shared" si="6"/>
        <v>0</v>
      </c>
      <c r="U18" s="60">
        <v>12</v>
      </c>
      <c r="V18" s="176">
        <f t="shared" si="7"/>
        <v>7.1999999999999993</v>
      </c>
      <c r="W18" s="60"/>
      <c r="X18" s="176">
        <f t="shared" si="8"/>
        <v>0</v>
      </c>
      <c r="Y18" s="60">
        <v>3</v>
      </c>
      <c r="Z18" s="176">
        <f t="shared" si="9"/>
        <v>1.7999999999999998</v>
      </c>
      <c r="AA18" s="60"/>
      <c r="AB18" s="176">
        <f t="shared" si="10"/>
        <v>0</v>
      </c>
      <c r="AC18" s="60"/>
      <c r="AD18" s="176">
        <f t="shared" si="11"/>
        <v>0</v>
      </c>
      <c r="AE18" s="176">
        <f t="shared" si="12"/>
        <v>20</v>
      </c>
      <c r="AF18" s="176">
        <f t="shared" si="13"/>
        <v>12</v>
      </c>
    </row>
    <row r="19" spans="1:32" ht="20.100000000000001" customHeight="1">
      <c r="A19" s="63">
        <v>14</v>
      </c>
      <c r="B19" s="63" t="s">
        <v>30</v>
      </c>
      <c r="C19" s="63" t="s">
        <v>17</v>
      </c>
      <c r="D19" s="63">
        <v>0.6</v>
      </c>
      <c r="E19" s="63" t="s">
        <v>15</v>
      </c>
      <c r="F19" s="63"/>
      <c r="G19" s="60"/>
      <c r="H19" s="176">
        <f t="shared" si="0"/>
        <v>0</v>
      </c>
      <c r="I19" s="60"/>
      <c r="J19" s="176">
        <f t="shared" si="1"/>
        <v>0</v>
      </c>
      <c r="K19" s="60"/>
      <c r="L19" s="176">
        <f t="shared" si="2"/>
        <v>0</v>
      </c>
      <c r="M19" s="60"/>
      <c r="N19" s="176">
        <f t="shared" si="3"/>
        <v>0</v>
      </c>
      <c r="O19" s="60"/>
      <c r="P19" s="176">
        <f t="shared" si="4"/>
        <v>0</v>
      </c>
      <c r="Q19" s="60"/>
      <c r="R19" s="176">
        <f t="shared" si="5"/>
        <v>0</v>
      </c>
      <c r="S19" s="60"/>
      <c r="T19" s="176">
        <f t="shared" si="6"/>
        <v>0</v>
      </c>
      <c r="U19" s="60"/>
      <c r="V19" s="176">
        <f t="shared" si="7"/>
        <v>0</v>
      </c>
      <c r="W19" s="60"/>
      <c r="X19" s="176">
        <f t="shared" si="8"/>
        <v>0</v>
      </c>
      <c r="Y19" s="60"/>
      <c r="Z19" s="176">
        <f t="shared" si="9"/>
        <v>0</v>
      </c>
      <c r="AA19" s="60"/>
      <c r="AB19" s="176">
        <f t="shared" si="10"/>
        <v>0</v>
      </c>
      <c r="AC19" s="60"/>
      <c r="AD19" s="176">
        <f t="shared" si="11"/>
        <v>0</v>
      </c>
      <c r="AE19" s="176">
        <f t="shared" si="12"/>
        <v>0</v>
      </c>
      <c r="AF19" s="176">
        <f t="shared" si="13"/>
        <v>0</v>
      </c>
    </row>
    <row r="20" spans="1:32" ht="20.100000000000001" customHeight="1">
      <c r="A20" s="63">
        <v>15</v>
      </c>
      <c r="B20" s="63" t="s">
        <v>31</v>
      </c>
      <c r="C20" s="63" t="s">
        <v>17</v>
      </c>
      <c r="D20" s="63">
        <v>0.35</v>
      </c>
      <c r="E20" s="63" t="s">
        <v>21</v>
      </c>
      <c r="F20" s="63"/>
      <c r="G20" s="60"/>
      <c r="H20" s="176">
        <f t="shared" si="0"/>
        <v>0</v>
      </c>
      <c r="I20" s="60"/>
      <c r="J20" s="176">
        <f t="shared" si="1"/>
        <v>0</v>
      </c>
      <c r="K20" s="60"/>
      <c r="L20" s="176">
        <f t="shared" si="2"/>
        <v>0</v>
      </c>
      <c r="M20" s="60"/>
      <c r="N20" s="176">
        <f t="shared" si="3"/>
        <v>0</v>
      </c>
      <c r="O20" s="60"/>
      <c r="P20" s="176">
        <f t="shared" si="4"/>
        <v>0</v>
      </c>
      <c r="Q20" s="60"/>
      <c r="R20" s="176">
        <f t="shared" si="5"/>
        <v>0</v>
      </c>
      <c r="S20" s="60"/>
      <c r="T20" s="176">
        <f t="shared" si="6"/>
        <v>0</v>
      </c>
      <c r="U20" s="60"/>
      <c r="V20" s="176">
        <f t="shared" si="7"/>
        <v>0</v>
      </c>
      <c r="W20" s="60"/>
      <c r="X20" s="176">
        <f t="shared" si="8"/>
        <v>0</v>
      </c>
      <c r="Y20" s="60"/>
      <c r="Z20" s="176">
        <f t="shared" si="9"/>
        <v>0</v>
      </c>
      <c r="AA20" s="60"/>
      <c r="AB20" s="176">
        <f t="shared" si="10"/>
        <v>0</v>
      </c>
      <c r="AC20" s="60"/>
      <c r="AD20" s="176">
        <f t="shared" si="11"/>
        <v>0</v>
      </c>
      <c r="AE20" s="176">
        <f t="shared" si="12"/>
        <v>0</v>
      </c>
      <c r="AF20" s="176">
        <f t="shared" si="13"/>
        <v>0</v>
      </c>
    </row>
    <row r="21" spans="1:32" ht="20.100000000000001" customHeight="1">
      <c r="A21" s="63">
        <v>16</v>
      </c>
      <c r="B21" s="63" t="s">
        <v>32</v>
      </c>
      <c r="C21" s="63" t="s">
        <v>17</v>
      </c>
      <c r="D21" s="63">
        <v>0.35</v>
      </c>
      <c r="E21" s="63" t="s">
        <v>21</v>
      </c>
      <c r="F21" s="63"/>
      <c r="G21" s="60"/>
      <c r="H21" s="176">
        <f t="shared" si="0"/>
        <v>0</v>
      </c>
      <c r="I21" s="60"/>
      <c r="J21" s="176">
        <f t="shared" si="1"/>
        <v>0</v>
      </c>
      <c r="K21" s="60"/>
      <c r="L21" s="176">
        <f t="shared" si="2"/>
        <v>0</v>
      </c>
      <c r="M21" s="60"/>
      <c r="N21" s="176">
        <f t="shared" si="3"/>
        <v>0</v>
      </c>
      <c r="O21" s="60"/>
      <c r="P21" s="176">
        <f t="shared" si="4"/>
        <v>0</v>
      </c>
      <c r="Q21" s="60"/>
      <c r="R21" s="176">
        <f t="shared" si="5"/>
        <v>0</v>
      </c>
      <c r="S21" s="60"/>
      <c r="T21" s="176">
        <f t="shared" si="6"/>
        <v>0</v>
      </c>
      <c r="U21" s="60"/>
      <c r="V21" s="176">
        <f t="shared" si="7"/>
        <v>0</v>
      </c>
      <c r="W21" s="60"/>
      <c r="X21" s="176">
        <f t="shared" si="8"/>
        <v>0</v>
      </c>
      <c r="Y21" s="60"/>
      <c r="Z21" s="176">
        <f t="shared" si="9"/>
        <v>0</v>
      </c>
      <c r="AA21" s="60"/>
      <c r="AB21" s="176">
        <f t="shared" si="10"/>
        <v>0</v>
      </c>
      <c r="AC21" s="60"/>
      <c r="AD21" s="176">
        <f t="shared" si="11"/>
        <v>0</v>
      </c>
      <c r="AE21" s="176">
        <f t="shared" si="12"/>
        <v>0</v>
      </c>
      <c r="AF21" s="176">
        <f t="shared" si="13"/>
        <v>0</v>
      </c>
    </row>
    <row r="22" spans="1:32" ht="20.100000000000001" customHeight="1">
      <c r="A22" s="63">
        <v>17</v>
      </c>
      <c r="B22" s="63" t="s">
        <v>33</v>
      </c>
      <c r="C22" s="63" t="s">
        <v>14</v>
      </c>
      <c r="D22" s="63">
        <v>0.64</v>
      </c>
      <c r="E22" s="63" t="s">
        <v>25</v>
      </c>
      <c r="F22" s="63">
        <v>1330</v>
      </c>
      <c r="G22" s="60">
        <v>32</v>
      </c>
      <c r="H22" s="176">
        <f t="shared" si="0"/>
        <v>20.48</v>
      </c>
      <c r="I22" s="60">
        <v>12</v>
      </c>
      <c r="J22" s="176">
        <f t="shared" si="1"/>
        <v>7.68</v>
      </c>
      <c r="K22" s="60">
        <v>643</v>
      </c>
      <c r="L22" s="176">
        <f t="shared" si="2"/>
        <v>411.52</v>
      </c>
      <c r="M22" s="60">
        <v>12</v>
      </c>
      <c r="N22" s="176">
        <f t="shared" si="3"/>
        <v>7.68</v>
      </c>
      <c r="O22" s="60">
        <v>158</v>
      </c>
      <c r="P22" s="176">
        <f t="shared" si="4"/>
        <v>101.12</v>
      </c>
      <c r="Q22" s="60">
        <v>23</v>
      </c>
      <c r="R22" s="176">
        <f t="shared" si="5"/>
        <v>14.72</v>
      </c>
      <c r="S22" s="60">
        <v>13</v>
      </c>
      <c r="T22" s="176">
        <f t="shared" si="6"/>
        <v>8.32</v>
      </c>
      <c r="U22" s="60">
        <v>6</v>
      </c>
      <c r="V22" s="176">
        <f t="shared" si="7"/>
        <v>3.84</v>
      </c>
      <c r="W22" s="60">
        <v>8</v>
      </c>
      <c r="X22" s="176">
        <f t="shared" si="8"/>
        <v>5.12</v>
      </c>
      <c r="Y22" s="60">
        <v>3</v>
      </c>
      <c r="Z22" s="176">
        <f t="shared" si="9"/>
        <v>1.92</v>
      </c>
      <c r="AA22" s="60">
        <v>5</v>
      </c>
      <c r="AB22" s="176">
        <f t="shared" si="10"/>
        <v>3.2</v>
      </c>
      <c r="AC22" s="60">
        <v>5</v>
      </c>
      <c r="AD22" s="176">
        <f t="shared" si="11"/>
        <v>3.2</v>
      </c>
      <c r="AE22" s="176">
        <f t="shared" si="12"/>
        <v>920</v>
      </c>
      <c r="AF22" s="176">
        <f t="shared" si="13"/>
        <v>588.80000000000018</v>
      </c>
    </row>
    <row r="23" spans="1:32" ht="20.100000000000001" customHeight="1">
      <c r="A23" s="63">
        <v>18</v>
      </c>
      <c r="B23" s="63" t="s">
        <v>34</v>
      </c>
      <c r="C23" s="63" t="s">
        <v>14</v>
      </c>
      <c r="D23" s="63">
        <v>0.64</v>
      </c>
      <c r="E23" s="63" t="s">
        <v>25</v>
      </c>
      <c r="F23" s="63"/>
      <c r="G23" s="60"/>
      <c r="H23" s="176">
        <f t="shared" si="0"/>
        <v>0</v>
      </c>
      <c r="I23" s="60"/>
      <c r="J23" s="176">
        <f t="shared" si="1"/>
        <v>0</v>
      </c>
      <c r="K23" s="60"/>
      <c r="L23" s="176">
        <f t="shared" si="2"/>
        <v>0</v>
      </c>
      <c r="M23" s="60"/>
      <c r="N23" s="176">
        <f t="shared" si="3"/>
        <v>0</v>
      </c>
      <c r="O23" s="60"/>
      <c r="P23" s="176">
        <f t="shared" si="4"/>
        <v>0</v>
      </c>
      <c r="Q23" s="60"/>
      <c r="R23" s="176">
        <f t="shared" si="5"/>
        <v>0</v>
      </c>
      <c r="S23" s="60"/>
      <c r="T23" s="176">
        <f t="shared" si="6"/>
        <v>0</v>
      </c>
      <c r="U23" s="60"/>
      <c r="V23" s="176">
        <f t="shared" si="7"/>
        <v>0</v>
      </c>
      <c r="W23" s="60"/>
      <c r="X23" s="176">
        <f t="shared" si="8"/>
        <v>0</v>
      </c>
      <c r="Y23" s="60"/>
      <c r="Z23" s="176">
        <f t="shared" si="9"/>
        <v>0</v>
      </c>
      <c r="AA23" s="60"/>
      <c r="AB23" s="176">
        <f t="shared" si="10"/>
        <v>0</v>
      </c>
      <c r="AC23" s="60"/>
      <c r="AD23" s="176">
        <f t="shared" si="11"/>
        <v>0</v>
      </c>
      <c r="AE23" s="176">
        <f t="shared" si="12"/>
        <v>0</v>
      </c>
      <c r="AF23" s="176">
        <f t="shared" si="13"/>
        <v>0</v>
      </c>
    </row>
    <row r="24" spans="1:32" ht="20.100000000000001" customHeight="1">
      <c r="A24" s="63">
        <v>19</v>
      </c>
      <c r="B24" s="63" t="s">
        <v>35</v>
      </c>
      <c r="C24" s="63" t="s">
        <v>14</v>
      </c>
      <c r="D24" s="63">
        <v>0.64</v>
      </c>
      <c r="E24" s="63" t="s">
        <v>25</v>
      </c>
      <c r="F24" s="63"/>
      <c r="G24" s="60"/>
      <c r="H24" s="176">
        <f t="shared" si="0"/>
        <v>0</v>
      </c>
      <c r="I24" s="60"/>
      <c r="J24" s="176">
        <f t="shared" si="1"/>
        <v>0</v>
      </c>
      <c r="K24" s="60"/>
      <c r="L24" s="176">
        <f t="shared" si="2"/>
        <v>0</v>
      </c>
      <c r="M24" s="60"/>
      <c r="N24" s="176">
        <f t="shared" si="3"/>
        <v>0</v>
      </c>
      <c r="O24" s="60"/>
      <c r="P24" s="176">
        <f t="shared" si="4"/>
        <v>0</v>
      </c>
      <c r="Q24" s="60"/>
      <c r="R24" s="176">
        <f t="shared" si="5"/>
        <v>0</v>
      </c>
      <c r="S24" s="60"/>
      <c r="T24" s="176">
        <f t="shared" si="6"/>
        <v>0</v>
      </c>
      <c r="U24" s="60"/>
      <c r="V24" s="176">
        <f t="shared" si="7"/>
        <v>0</v>
      </c>
      <c r="W24" s="60"/>
      <c r="X24" s="176">
        <f t="shared" si="8"/>
        <v>0</v>
      </c>
      <c r="Y24" s="60"/>
      <c r="Z24" s="176">
        <f t="shared" si="9"/>
        <v>0</v>
      </c>
      <c r="AA24" s="60"/>
      <c r="AB24" s="176">
        <f t="shared" si="10"/>
        <v>0</v>
      </c>
      <c r="AC24" s="60"/>
      <c r="AD24" s="176">
        <f t="shared" si="11"/>
        <v>0</v>
      </c>
      <c r="AE24" s="176">
        <f t="shared" si="12"/>
        <v>0</v>
      </c>
      <c r="AF24" s="176">
        <f t="shared" si="13"/>
        <v>0</v>
      </c>
    </row>
    <row r="25" spans="1:32" ht="20.100000000000001" customHeight="1">
      <c r="A25" s="63"/>
      <c r="B25" s="63"/>
      <c r="C25" s="63"/>
      <c r="D25" s="63"/>
      <c r="E25" s="63"/>
      <c r="F25" s="63"/>
      <c r="G25" s="60"/>
      <c r="H25" s="176">
        <f t="shared" si="0"/>
        <v>0</v>
      </c>
      <c r="I25" s="60"/>
      <c r="J25" s="176">
        <f t="shared" si="1"/>
        <v>0</v>
      </c>
      <c r="K25" s="60"/>
      <c r="L25" s="176">
        <f t="shared" si="2"/>
        <v>0</v>
      </c>
      <c r="M25" s="60"/>
      <c r="N25" s="176">
        <f t="shared" si="3"/>
        <v>0</v>
      </c>
      <c r="O25" s="60"/>
      <c r="P25" s="176">
        <f t="shared" si="4"/>
        <v>0</v>
      </c>
      <c r="Q25" s="60"/>
      <c r="R25" s="176">
        <f t="shared" si="5"/>
        <v>0</v>
      </c>
      <c r="S25" s="60"/>
      <c r="T25" s="176">
        <f t="shared" si="6"/>
        <v>0</v>
      </c>
      <c r="U25" s="60"/>
      <c r="V25" s="176">
        <f t="shared" si="7"/>
        <v>0</v>
      </c>
      <c r="W25" s="60"/>
      <c r="X25" s="176">
        <f t="shared" si="8"/>
        <v>0</v>
      </c>
      <c r="Y25" s="60"/>
      <c r="Z25" s="176">
        <f t="shared" si="9"/>
        <v>0</v>
      </c>
      <c r="AA25" s="60"/>
      <c r="AB25" s="176">
        <f t="shared" si="10"/>
        <v>0</v>
      </c>
      <c r="AC25" s="60"/>
      <c r="AD25" s="176">
        <f t="shared" si="11"/>
        <v>0</v>
      </c>
      <c r="AE25" s="176">
        <f t="shared" si="12"/>
        <v>0</v>
      </c>
      <c r="AF25" s="176">
        <f t="shared" si="13"/>
        <v>0</v>
      </c>
    </row>
    <row r="26" spans="1:32" ht="20.100000000000001" customHeight="1">
      <c r="A26" s="63">
        <v>20</v>
      </c>
      <c r="B26" s="63" t="s">
        <v>36</v>
      </c>
      <c r="C26" s="63" t="s">
        <v>17</v>
      </c>
      <c r="D26" s="63">
        <v>1</v>
      </c>
      <c r="E26" s="63" t="s">
        <v>24</v>
      </c>
      <c r="F26" s="63">
        <v>1900</v>
      </c>
      <c r="G26" s="60"/>
      <c r="H26" s="176">
        <f t="shared" si="0"/>
        <v>0</v>
      </c>
      <c r="I26" s="60"/>
      <c r="J26" s="176">
        <f t="shared" si="1"/>
        <v>0</v>
      </c>
      <c r="K26" s="60"/>
      <c r="L26" s="176">
        <f t="shared" si="2"/>
        <v>0</v>
      </c>
      <c r="M26" s="60"/>
      <c r="N26" s="176">
        <f t="shared" si="3"/>
        <v>0</v>
      </c>
      <c r="O26" s="60">
        <v>2640</v>
      </c>
      <c r="P26" s="176">
        <f t="shared" si="4"/>
        <v>2640</v>
      </c>
      <c r="Q26" s="60"/>
      <c r="R26" s="176">
        <f t="shared" si="5"/>
        <v>0</v>
      </c>
      <c r="S26" s="60"/>
      <c r="T26" s="176">
        <f t="shared" si="6"/>
        <v>0</v>
      </c>
      <c r="U26" s="60"/>
      <c r="V26" s="176">
        <f t="shared" si="7"/>
        <v>0</v>
      </c>
      <c r="W26" s="60"/>
      <c r="X26" s="176">
        <f t="shared" si="8"/>
        <v>0</v>
      </c>
      <c r="Y26" s="60"/>
      <c r="Z26" s="176">
        <f t="shared" si="9"/>
        <v>0</v>
      </c>
      <c r="AA26" s="60"/>
      <c r="AB26" s="176">
        <f t="shared" si="10"/>
        <v>0</v>
      </c>
      <c r="AC26" s="60">
        <v>1</v>
      </c>
      <c r="AD26" s="176">
        <f t="shared" si="11"/>
        <v>1</v>
      </c>
      <c r="AE26" s="176">
        <f t="shared" si="12"/>
        <v>2641</v>
      </c>
      <c r="AF26" s="176">
        <f t="shared" si="13"/>
        <v>2641</v>
      </c>
    </row>
    <row r="27" spans="1:32" ht="20.100000000000001" customHeight="1">
      <c r="A27" s="63">
        <v>21</v>
      </c>
      <c r="B27" s="63" t="s">
        <v>37</v>
      </c>
      <c r="C27" s="63" t="s">
        <v>17</v>
      </c>
      <c r="D27" s="63">
        <v>0.6</v>
      </c>
      <c r="E27" s="63" t="s">
        <v>38</v>
      </c>
      <c r="F27" s="63"/>
      <c r="G27" s="60"/>
      <c r="H27" s="176">
        <f t="shared" si="0"/>
        <v>0</v>
      </c>
      <c r="I27" s="60"/>
      <c r="J27" s="176">
        <f t="shared" si="1"/>
        <v>0</v>
      </c>
      <c r="K27" s="60"/>
      <c r="L27" s="176">
        <f t="shared" si="2"/>
        <v>0</v>
      </c>
      <c r="M27" s="60"/>
      <c r="N27" s="176">
        <f t="shared" si="3"/>
        <v>0</v>
      </c>
      <c r="O27" s="60"/>
      <c r="P27" s="176">
        <f t="shared" si="4"/>
        <v>0</v>
      </c>
      <c r="Q27" s="60"/>
      <c r="R27" s="176">
        <f t="shared" si="5"/>
        <v>0</v>
      </c>
      <c r="S27" s="60"/>
      <c r="T27" s="176">
        <f t="shared" si="6"/>
        <v>0</v>
      </c>
      <c r="U27" s="60"/>
      <c r="V27" s="176">
        <f t="shared" si="7"/>
        <v>0</v>
      </c>
      <c r="W27" s="60"/>
      <c r="X27" s="176">
        <f t="shared" si="8"/>
        <v>0</v>
      </c>
      <c r="Y27" s="60"/>
      <c r="Z27" s="176">
        <f t="shared" si="9"/>
        <v>0</v>
      </c>
      <c r="AA27" s="60"/>
      <c r="AB27" s="176">
        <f t="shared" si="10"/>
        <v>0</v>
      </c>
      <c r="AC27" s="60"/>
      <c r="AD27" s="176">
        <f t="shared" si="11"/>
        <v>0</v>
      </c>
      <c r="AE27" s="176">
        <f t="shared" si="12"/>
        <v>0</v>
      </c>
      <c r="AF27" s="176">
        <f t="shared" si="13"/>
        <v>0</v>
      </c>
    </row>
    <row r="28" spans="1:32" ht="20.100000000000001" customHeight="1">
      <c r="A28" s="63">
        <v>22</v>
      </c>
      <c r="B28" s="63" t="s">
        <v>39</v>
      </c>
      <c r="C28" s="63" t="s">
        <v>14</v>
      </c>
      <c r="D28" s="63">
        <v>0.64</v>
      </c>
      <c r="E28" s="63" t="s">
        <v>25</v>
      </c>
      <c r="F28" s="63">
        <v>1500</v>
      </c>
      <c r="G28" s="60">
        <v>64</v>
      </c>
      <c r="H28" s="176">
        <f t="shared" si="0"/>
        <v>40.96</v>
      </c>
      <c r="I28" s="60">
        <v>40</v>
      </c>
      <c r="J28" s="176">
        <f t="shared" si="1"/>
        <v>25.6</v>
      </c>
      <c r="K28" s="60">
        <v>44</v>
      </c>
      <c r="L28" s="176">
        <f t="shared" si="2"/>
        <v>28.16</v>
      </c>
      <c r="M28" s="60">
        <v>8</v>
      </c>
      <c r="N28" s="176">
        <f t="shared" si="3"/>
        <v>5.12</v>
      </c>
      <c r="O28" s="60">
        <v>876</v>
      </c>
      <c r="P28" s="176">
        <f t="shared" si="4"/>
        <v>560.64</v>
      </c>
      <c r="Q28" s="60">
        <v>36</v>
      </c>
      <c r="R28" s="176">
        <f t="shared" si="5"/>
        <v>23.04</v>
      </c>
      <c r="S28" s="60">
        <v>19</v>
      </c>
      <c r="T28" s="176">
        <f t="shared" si="6"/>
        <v>12.16</v>
      </c>
      <c r="U28" s="60">
        <v>7</v>
      </c>
      <c r="V28" s="176">
        <f t="shared" si="7"/>
        <v>4.4800000000000004</v>
      </c>
      <c r="W28" s="60">
        <v>6</v>
      </c>
      <c r="X28" s="176">
        <f t="shared" si="8"/>
        <v>3.84</v>
      </c>
      <c r="Y28" s="60">
        <v>1</v>
      </c>
      <c r="Z28" s="176">
        <f t="shared" si="9"/>
        <v>0.64</v>
      </c>
      <c r="AA28" s="60">
        <v>3</v>
      </c>
      <c r="AB28" s="176">
        <f t="shared" si="10"/>
        <v>1.92</v>
      </c>
      <c r="AC28" s="60">
        <v>16</v>
      </c>
      <c r="AD28" s="176">
        <f t="shared" si="11"/>
        <v>10.24</v>
      </c>
      <c r="AE28" s="176">
        <f t="shared" si="12"/>
        <v>1120</v>
      </c>
      <c r="AF28" s="176">
        <f t="shared" si="13"/>
        <v>716.8</v>
      </c>
    </row>
    <row r="29" spans="1:32" ht="20.100000000000001" customHeight="1">
      <c r="A29" s="63">
        <v>23</v>
      </c>
      <c r="B29" s="63" t="s">
        <v>40</v>
      </c>
      <c r="C29" s="63" t="s">
        <v>14</v>
      </c>
      <c r="D29" s="63">
        <v>0.64</v>
      </c>
      <c r="E29" s="63" t="s">
        <v>25</v>
      </c>
      <c r="F29" s="63"/>
      <c r="G29" s="60"/>
      <c r="H29" s="176">
        <f t="shared" si="0"/>
        <v>0</v>
      </c>
      <c r="I29" s="60"/>
      <c r="J29" s="176">
        <f t="shared" si="1"/>
        <v>0</v>
      </c>
      <c r="K29" s="60"/>
      <c r="L29" s="176">
        <f t="shared" si="2"/>
        <v>0</v>
      </c>
      <c r="M29" s="60"/>
      <c r="N29" s="176">
        <f t="shared" si="3"/>
        <v>0</v>
      </c>
      <c r="O29" s="60"/>
      <c r="P29" s="176">
        <f t="shared" si="4"/>
        <v>0</v>
      </c>
      <c r="Q29" s="60"/>
      <c r="R29" s="176">
        <f t="shared" si="5"/>
        <v>0</v>
      </c>
      <c r="S29" s="60"/>
      <c r="T29" s="176">
        <f t="shared" si="6"/>
        <v>0</v>
      </c>
      <c r="U29" s="60"/>
      <c r="V29" s="176">
        <f t="shared" si="7"/>
        <v>0</v>
      </c>
      <c r="W29" s="60"/>
      <c r="X29" s="176">
        <f t="shared" si="8"/>
        <v>0</v>
      </c>
      <c r="Y29" s="60"/>
      <c r="Z29" s="176">
        <f t="shared" si="9"/>
        <v>0</v>
      </c>
      <c r="AA29" s="60"/>
      <c r="AB29" s="176">
        <f t="shared" si="10"/>
        <v>0</v>
      </c>
      <c r="AC29" s="60"/>
      <c r="AD29" s="176">
        <f t="shared" si="11"/>
        <v>0</v>
      </c>
      <c r="AE29" s="176">
        <f t="shared" si="12"/>
        <v>0</v>
      </c>
      <c r="AF29" s="176">
        <f t="shared" si="13"/>
        <v>0</v>
      </c>
    </row>
    <row r="30" spans="1:32" ht="20.100000000000001" customHeight="1">
      <c r="A30" s="63"/>
      <c r="B30" s="63"/>
      <c r="C30" s="63"/>
      <c r="D30" s="63"/>
      <c r="E30" s="63"/>
      <c r="F30" s="63"/>
      <c r="G30" s="60"/>
      <c r="H30" s="176">
        <f t="shared" si="0"/>
        <v>0</v>
      </c>
      <c r="I30" s="60"/>
      <c r="J30" s="176">
        <f t="shared" si="1"/>
        <v>0</v>
      </c>
      <c r="K30" s="60"/>
      <c r="L30" s="176">
        <f t="shared" si="2"/>
        <v>0</v>
      </c>
      <c r="M30" s="60"/>
      <c r="N30" s="176">
        <f t="shared" si="3"/>
        <v>0</v>
      </c>
      <c r="O30" s="60"/>
      <c r="P30" s="176">
        <f t="shared" si="4"/>
        <v>0</v>
      </c>
      <c r="Q30" s="60"/>
      <c r="R30" s="176">
        <f t="shared" si="5"/>
        <v>0</v>
      </c>
      <c r="S30" s="60"/>
      <c r="T30" s="176">
        <f t="shared" si="6"/>
        <v>0</v>
      </c>
      <c r="U30" s="60"/>
      <c r="V30" s="176">
        <f t="shared" si="7"/>
        <v>0</v>
      </c>
      <c r="W30" s="60"/>
      <c r="X30" s="176">
        <f t="shared" si="8"/>
        <v>0</v>
      </c>
      <c r="Y30" s="60"/>
      <c r="Z30" s="176">
        <f t="shared" si="9"/>
        <v>0</v>
      </c>
      <c r="AA30" s="60"/>
      <c r="AB30" s="176">
        <f t="shared" si="10"/>
        <v>0</v>
      </c>
      <c r="AC30" s="60"/>
      <c r="AD30" s="176">
        <f t="shared" si="11"/>
        <v>0</v>
      </c>
      <c r="AE30" s="176">
        <f t="shared" si="12"/>
        <v>0</v>
      </c>
      <c r="AF30" s="176">
        <f t="shared" si="13"/>
        <v>0</v>
      </c>
    </row>
    <row r="31" spans="1:32" ht="20.100000000000001" customHeight="1">
      <c r="A31" s="63">
        <v>24</v>
      </c>
      <c r="B31" s="63" t="s">
        <v>41</v>
      </c>
      <c r="C31" s="63" t="s">
        <v>17</v>
      </c>
      <c r="D31" s="63">
        <v>1</v>
      </c>
      <c r="E31" s="63" t="s">
        <v>15</v>
      </c>
      <c r="F31" s="63">
        <v>1680</v>
      </c>
      <c r="G31" s="60"/>
      <c r="H31" s="176">
        <f t="shared" si="0"/>
        <v>0</v>
      </c>
      <c r="I31" s="60"/>
      <c r="J31" s="176">
        <f t="shared" si="1"/>
        <v>0</v>
      </c>
      <c r="K31" s="60"/>
      <c r="L31" s="176">
        <f t="shared" si="2"/>
        <v>0</v>
      </c>
      <c r="M31" s="60"/>
      <c r="N31" s="176">
        <f t="shared" si="3"/>
        <v>0</v>
      </c>
      <c r="O31" s="60"/>
      <c r="P31" s="176">
        <f t="shared" si="4"/>
        <v>0</v>
      </c>
      <c r="Q31" s="60">
        <v>31</v>
      </c>
      <c r="R31" s="176">
        <f t="shared" si="5"/>
        <v>31</v>
      </c>
      <c r="S31" s="60"/>
      <c r="T31" s="176">
        <f t="shared" si="6"/>
        <v>0</v>
      </c>
      <c r="U31" s="60"/>
      <c r="V31" s="176">
        <f t="shared" si="7"/>
        <v>0</v>
      </c>
      <c r="W31" s="60"/>
      <c r="X31" s="176">
        <f t="shared" si="8"/>
        <v>0</v>
      </c>
      <c r="Y31" s="60"/>
      <c r="Z31" s="176">
        <f t="shared" si="9"/>
        <v>0</v>
      </c>
      <c r="AA31" s="60"/>
      <c r="AB31" s="176">
        <f t="shared" si="10"/>
        <v>0</v>
      </c>
      <c r="AC31" s="60"/>
      <c r="AD31" s="176">
        <f t="shared" si="11"/>
        <v>0</v>
      </c>
      <c r="AE31" s="176">
        <f t="shared" si="12"/>
        <v>31</v>
      </c>
      <c r="AF31" s="176">
        <f t="shared" si="13"/>
        <v>31</v>
      </c>
    </row>
    <row r="32" spans="1:32" ht="20.100000000000001" customHeight="1">
      <c r="A32" s="63">
        <v>25</v>
      </c>
      <c r="B32" s="63" t="s">
        <v>42</v>
      </c>
      <c r="C32" s="63" t="s">
        <v>17</v>
      </c>
      <c r="D32" s="63">
        <v>1</v>
      </c>
      <c r="E32" s="63" t="s">
        <v>15</v>
      </c>
      <c r="F32" s="63"/>
      <c r="G32" s="60"/>
      <c r="H32" s="176">
        <f t="shared" si="0"/>
        <v>0</v>
      </c>
      <c r="I32" s="60"/>
      <c r="J32" s="176">
        <f t="shared" si="1"/>
        <v>0</v>
      </c>
      <c r="K32" s="60"/>
      <c r="L32" s="176">
        <f t="shared" si="2"/>
        <v>0</v>
      </c>
      <c r="M32" s="60"/>
      <c r="N32" s="176">
        <f t="shared" si="3"/>
        <v>0</v>
      </c>
      <c r="O32" s="60"/>
      <c r="P32" s="176">
        <f t="shared" si="4"/>
        <v>0</v>
      </c>
      <c r="Q32" s="60"/>
      <c r="R32" s="176">
        <f t="shared" si="5"/>
        <v>0</v>
      </c>
      <c r="S32" s="60"/>
      <c r="T32" s="176">
        <f t="shared" si="6"/>
        <v>0</v>
      </c>
      <c r="U32" s="60"/>
      <c r="V32" s="176">
        <f t="shared" si="7"/>
        <v>0</v>
      </c>
      <c r="W32" s="60"/>
      <c r="X32" s="176">
        <f t="shared" si="8"/>
        <v>0</v>
      </c>
      <c r="Y32" s="60"/>
      <c r="Z32" s="176">
        <f t="shared" si="9"/>
        <v>0</v>
      </c>
      <c r="AA32" s="60"/>
      <c r="AB32" s="176">
        <f t="shared" si="10"/>
        <v>0</v>
      </c>
      <c r="AC32" s="60"/>
      <c r="AD32" s="176">
        <f t="shared" si="11"/>
        <v>0</v>
      </c>
      <c r="AE32" s="176">
        <f t="shared" si="12"/>
        <v>0</v>
      </c>
      <c r="AF32" s="176">
        <f t="shared" si="13"/>
        <v>0</v>
      </c>
    </row>
    <row r="33" spans="1:32" ht="20.100000000000001" customHeight="1">
      <c r="A33" s="63">
        <v>26</v>
      </c>
      <c r="B33" s="63" t="s">
        <v>43</v>
      </c>
      <c r="C33" s="63" t="s">
        <v>17</v>
      </c>
      <c r="D33" s="63">
        <v>0.6</v>
      </c>
      <c r="E33" s="63" t="s">
        <v>15</v>
      </c>
      <c r="F33" s="63"/>
      <c r="G33" s="60"/>
      <c r="H33" s="176">
        <f t="shared" si="0"/>
        <v>0</v>
      </c>
      <c r="I33" s="60"/>
      <c r="J33" s="176">
        <f t="shared" si="1"/>
        <v>0</v>
      </c>
      <c r="K33" s="60"/>
      <c r="L33" s="176">
        <f t="shared" si="2"/>
        <v>0</v>
      </c>
      <c r="M33" s="60"/>
      <c r="N33" s="176">
        <f t="shared" si="3"/>
        <v>0</v>
      </c>
      <c r="O33" s="60"/>
      <c r="P33" s="176">
        <f t="shared" si="4"/>
        <v>0</v>
      </c>
      <c r="Q33" s="60"/>
      <c r="R33" s="176">
        <f t="shared" si="5"/>
        <v>0</v>
      </c>
      <c r="S33" s="60"/>
      <c r="T33" s="176">
        <f t="shared" si="6"/>
        <v>0</v>
      </c>
      <c r="U33" s="60"/>
      <c r="V33" s="176">
        <f t="shared" si="7"/>
        <v>0</v>
      </c>
      <c r="W33" s="60"/>
      <c r="X33" s="176">
        <f t="shared" si="8"/>
        <v>0</v>
      </c>
      <c r="Y33" s="60"/>
      <c r="Z33" s="176">
        <f t="shared" si="9"/>
        <v>0</v>
      </c>
      <c r="AA33" s="60"/>
      <c r="AB33" s="176">
        <f t="shared" si="10"/>
        <v>0</v>
      </c>
      <c r="AC33" s="60"/>
      <c r="AD33" s="176">
        <f t="shared" si="11"/>
        <v>0</v>
      </c>
      <c r="AE33" s="176">
        <f t="shared" si="12"/>
        <v>0</v>
      </c>
      <c r="AF33" s="176">
        <f t="shared" si="13"/>
        <v>0</v>
      </c>
    </row>
    <row r="34" spans="1:32" ht="20.100000000000001" customHeight="1">
      <c r="A34" s="63">
        <v>27</v>
      </c>
      <c r="B34" s="63" t="s">
        <v>44</v>
      </c>
      <c r="C34" s="63" t="s">
        <v>17</v>
      </c>
      <c r="D34" s="63">
        <v>0.6</v>
      </c>
      <c r="E34" s="63" t="s">
        <v>15</v>
      </c>
      <c r="F34" s="63"/>
      <c r="G34" s="60"/>
      <c r="H34" s="176">
        <f t="shared" si="0"/>
        <v>0</v>
      </c>
      <c r="I34" s="60"/>
      <c r="J34" s="176">
        <f t="shared" si="1"/>
        <v>0</v>
      </c>
      <c r="K34" s="60"/>
      <c r="L34" s="176">
        <f t="shared" si="2"/>
        <v>0</v>
      </c>
      <c r="M34" s="60"/>
      <c r="N34" s="176">
        <f t="shared" si="3"/>
        <v>0</v>
      </c>
      <c r="O34" s="60"/>
      <c r="P34" s="176">
        <f t="shared" si="4"/>
        <v>0</v>
      </c>
      <c r="Q34" s="60"/>
      <c r="R34" s="176">
        <f t="shared" si="5"/>
        <v>0</v>
      </c>
      <c r="S34" s="60"/>
      <c r="T34" s="176">
        <f t="shared" si="6"/>
        <v>0</v>
      </c>
      <c r="U34" s="60"/>
      <c r="V34" s="176">
        <f t="shared" si="7"/>
        <v>0</v>
      </c>
      <c r="W34" s="60"/>
      <c r="X34" s="176">
        <f t="shared" si="8"/>
        <v>0</v>
      </c>
      <c r="Y34" s="60"/>
      <c r="Z34" s="176">
        <f t="shared" si="9"/>
        <v>0</v>
      </c>
      <c r="AA34" s="60"/>
      <c r="AB34" s="176">
        <f t="shared" si="10"/>
        <v>0</v>
      </c>
      <c r="AC34" s="60"/>
      <c r="AD34" s="176">
        <f t="shared" si="11"/>
        <v>0</v>
      </c>
      <c r="AE34" s="176">
        <f t="shared" si="12"/>
        <v>0</v>
      </c>
      <c r="AF34" s="176">
        <f t="shared" si="13"/>
        <v>0</v>
      </c>
    </row>
    <row r="35" spans="1:32" ht="20.100000000000001" customHeight="1">
      <c r="A35" s="63">
        <v>28</v>
      </c>
      <c r="B35" s="63" t="s">
        <v>45</v>
      </c>
      <c r="C35" s="63" t="s">
        <v>17</v>
      </c>
      <c r="D35" s="63">
        <v>0.35</v>
      </c>
      <c r="E35" s="63" t="s">
        <v>21</v>
      </c>
      <c r="F35" s="63"/>
      <c r="G35" s="60"/>
      <c r="H35" s="176">
        <f t="shared" si="0"/>
        <v>0</v>
      </c>
      <c r="I35" s="60"/>
      <c r="J35" s="176">
        <f t="shared" si="1"/>
        <v>0</v>
      </c>
      <c r="K35" s="60"/>
      <c r="L35" s="176">
        <f t="shared" si="2"/>
        <v>0</v>
      </c>
      <c r="M35" s="60"/>
      <c r="N35" s="176">
        <f t="shared" si="3"/>
        <v>0</v>
      </c>
      <c r="O35" s="60"/>
      <c r="P35" s="176">
        <f t="shared" si="4"/>
        <v>0</v>
      </c>
      <c r="Q35" s="60"/>
      <c r="R35" s="176">
        <f t="shared" si="5"/>
        <v>0</v>
      </c>
      <c r="S35" s="60"/>
      <c r="T35" s="176">
        <f t="shared" si="6"/>
        <v>0</v>
      </c>
      <c r="U35" s="60"/>
      <c r="V35" s="176">
        <f t="shared" si="7"/>
        <v>0</v>
      </c>
      <c r="W35" s="60"/>
      <c r="X35" s="176">
        <f t="shared" si="8"/>
        <v>0</v>
      </c>
      <c r="Y35" s="60"/>
      <c r="Z35" s="176">
        <f t="shared" si="9"/>
        <v>0</v>
      </c>
      <c r="AA35" s="60"/>
      <c r="AB35" s="176">
        <f t="shared" si="10"/>
        <v>0</v>
      </c>
      <c r="AC35" s="60"/>
      <c r="AD35" s="176">
        <f t="shared" si="11"/>
        <v>0</v>
      </c>
      <c r="AE35" s="176">
        <f t="shared" si="12"/>
        <v>0</v>
      </c>
      <c r="AF35" s="176">
        <f t="shared" si="13"/>
        <v>0</v>
      </c>
    </row>
    <row r="36" spans="1:32" ht="20.100000000000001" customHeight="1">
      <c r="A36" s="63">
        <v>29</v>
      </c>
      <c r="B36" s="63" t="s">
        <v>46</v>
      </c>
      <c r="C36" s="63" t="s">
        <v>14</v>
      </c>
      <c r="D36" s="63">
        <v>0.7</v>
      </c>
      <c r="E36" s="63" t="s">
        <v>15</v>
      </c>
      <c r="F36" s="63"/>
      <c r="G36" s="60"/>
      <c r="H36" s="176">
        <f t="shared" si="0"/>
        <v>0</v>
      </c>
      <c r="I36" s="60"/>
      <c r="J36" s="176">
        <f t="shared" si="1"/>
        <v>0</v>
      </c>
      <c r="K36" s="60"/>
      <c r="L36" s="176">
        <f t="shared" si="2"/>
        <v>0</v>
      </c>
      <c r="M36" s="60"/>
      <c r="N36" s="176">
        <f t="shared" si="3"/>
        <v>0</v>
      </c>
      <c r="O36" s="60"/>
      <c r="P36" s="176">
        <f t="shared" si="4"/>
        <v>0</v>
      </c>
      <c r="Q36" s="60"/>
      <c r="R36" s="176">
        <f t="shared" si="5"/>
        <v>0</v>
      </c>
      <c r="S36" s="60"/>
      <c r="T36" s="176">
        <f t="shared" si="6"/>
        <v>0</v>
      </c>
      <c r="U36" s="60"/>
      <c r="V36" s="176">
        <f t="shared" si="7"/>
        <v>0</v>
      </c>
      <c r="W36" s="60"/>
      <c r="X36" s="176">
        <f t="shared" si="8"/>
        <v>0</v>
      </c>
      <c r="Y36" s="60"/>
      <c r="Z36" s="176">
        <f t="shared" si="9"/>
        <v>0</v>
      </c>
      <c r="AA36" s="60"/>
      <c r="AB36" s="176">
        <f t="shared" si="10"/>
        <v>0</v>
      </c>
      <c r="AC36" s="60"/>
      <c r="AD36" s="176">
        <f t="shared" si="11"/>
        <v>0</v>
      </c>
      <c r="AE36" s="176">
        <f t="shared" si="12"/>
        <v>0</v>
      </c>
      <c r="AF36" s="176">
        <f t="shared" si="13"/>
        <v>0</v>
      </c>
    </row>
    <row r="37" spans="1:32" ht="20.100000000000001" customHeight="1">
      <c r="A37" s="63">
        <v>30</v>
      </c>
      <c r="B37" s="63" t="s">
        <v>47</v>
      </c>
      <c r="C37" s="63" t="s">
        <v>14</v>
      </c>
      <c r="D37" s="63">
        <v>0.7</v>
      </c>
      <c r="E37" s="63" t="s">
        <v>15</v>
      </c>
      <c r="F37" s="63">
        <v>1800</v>
      </c>
      <c r="G37" s="60">
        <v>7</v>
      </c>
      <c r="H37" s="176">
        <f t="shared" si="0"/>
        <v>4.8999999999999995</v>
      </c>
      <c r="I37" s="60">
        <v>8</v>
      </c>
      <c r="J37" s="176">
        <f t="shared" si="1"/>
        <v>5.6</v>
      </c>
      <c r="K37" s="60">
        <v>3</v>
      </c>
      <c r="L37" s="176">
        <f t="shared" si="2"/>
        <v>2.0999999999999996</v>
      </c>
      <c r="M37" s="60"/>
      <c r="N37" s="176">
        <f t="shared" si="3"/>
        <v>0</v>
      </c>
      <c r="O37" s="60">
        <v>2</v>
      </c>
      <c r="P37" s="176">
        <f t="shared" si="4"/>
        <v>1.4</v>
      </c>
      <c r="Q37" s="60">
        <v>11</v>
      </c>
      <c r="R37" s="176">
        <f t="shared" si="5"/>
        <v>7.6999999999999993</v>
      </c>
      <c r="S37" s="60">
        <v>2</v>
      </c>
      <c r="T37" s="176">
        <f t="shared" si="6"/>
        <v>1.4</v>
      </c>
      <c r="U37" s="60"/>
      <c r="V37" s="176">
        <f t="shared" si="7"/>
        <v>0</v>
      </c>
      <c r="W37" s="60">
        <v>1</v>
      </c>
      <c r="X37" s="176">
        <f t="shared" si="8"/>
        <v>0.7</v>
      </c>
      <c r="Y37" s="60">
        <v>5</v>
      </c>
      <c r="Z37" s="176">
        <f t="shared" si="9"/>
        <v>3.5</v>
      </c>
      <c r="AA37" s="60"/>
      <c r="AB37" s="176">
        <f t="shared" si="10"/>
        <v>0</v>
      </c>
      <c r="AC37" s="60"/>
      <c r="AD37" s="176">
        <f t="shared" si="11"/>
        <v>0</v>
      </c>
      <c r="AE37" s="176">
        <f t="shared" si="12"/>
        <v>39</v>
      </c>
      <c r="AF37" s="176">
        <f t="shared" si="13"/>
        <v>27.299999999999997</v>
      </c>
    </row>
    <row r="38" spans="1:32" ht="20.100000000000001" customHeight="1">
      <c r="A38" s="63">
        <v>31</v>
      </c>
      <c r="B38" s="63" t="s">
        <v>48</v>
      </c>
      <c r="C38" s="63" t="s">
        <v>14</v>
      </c>
      <c r="D38" s="63">
        <v>0.68</v>
      </c>
      <c r="E38" s="63" t="s">
        <v>15</v>
      </c>
      <c r="F38" s="63">
        <v>1550</v>
      </c>
      <c r="G38" s="60">
        <v>12</v>
      </c>
      <c r="H38" s="176">
        <f t="shared" si="0"/>
        <v>8.16</v>
      </c>
      <c r="I38" s="60">
        <v>4</v>
      </c>
      <c r="J38" s="176">
        <f t="shared" si="1"/>
        <v>2.72</v>
      </c>
      <c r="K38" s="60"/>
      <c r="L38" s="176">
        <f t="shared" si="2"/>
        <v>0</v>
      </c>
      <c r="M38" s="60">
        <v>74</v>
      </c>
      <c r="N38" s="176">
        <f t="shared" si="3"/>
        <v>50.32</v>
      </c>
      <c r="O38" s="60"/>
      <c r="P38" s="176">
        <f t="shared" si="4"/>
        <v>0</v>
      </c>
      <c r="Q38" s="60">
        <v>2</v>
      </c>
      <c r="R38" s="176">
        <f t="shared" si="5"/>
        <v>1.36</v>
      </c>
      <c r="S38" s="60"/>
      <c r="T38" s="176">
        <f t="shared" si="6"/>
        <v>0</v>
      </c>
      <c r="U38" s="60"/>
      <c r="V38" s="176">
        <f t="shared" si="7"/>
        <v>0</v>
      </c>
      <c r="W38" s="60"/>
      <c r="X38" s="176">
        <f t="shared" si="8"/>
        <v>0</v>
      </c>
      <c r="Y38" s="60"/>
      <c r="Z38" s="176">
        <f t="shared" si="9"/>
        <v>0</v>
      </c>
      <c r="AA38" s="60"/>
      <c r="AB38" s="176">
        <f t="shared" si="10"/>
        <v>0</v>
      </c>
      <c r="AC38" s="60"/>
      <c r="AD38" s="176">
        <f t="shared" si="11"/>
        <v>0</v>
      </c>
      <c r="AE38" s="176">
        <f t="shared" si="12"/>
        <v>92</v>
      </c>
      <c r="AF38" s="176">
        <f t="shared" si="13"/>
        <v>62.56</v>
      </c>
    </row>
    <row r="39" spans="1:32" ht="20.100000000000001" customHeight="1">
      <c r="A39" s="63">
        <v>32</v>
      </c>
      <c r="B39" s="63" t="s">
        <v>48</v>
      </c>
      <c r="C39" s="63" t="s">
        <v>14</v>
      </c>
      <c r="D39" s="63">
        <v>0.64</v>
      </c>
      <c r="E39" s="63" t="s">
        <v>15</v>
      </c>
      <c r="F39" s="63"/>
      <c r="G39" s="60"/>
      <c r="H39" s="176">
        <f t="shared" si="0"/>
        <v>0</v>
      </c>
      <c r="I39" s="60"/>
      <c r="J39" s="176">
        <f t="shared" si="1"/>
        <v>0</v>
      </c>
      <c r="K39" s="60"/>
      <c r="L39" s="176">
        <f t="shared" si="2"/>
        <v>0</v>
      </c>
      <c r="M39" s="60"/>
      <c r="N39" s="176">
        <f t="shared" si="3"/>
        <v>0</v>
      </c>
      <c r="O39" s="60"/>
      <c r="P39" s="176">
        <f t="shared" si="4"/>
        <v>0</v>
      </c>
      <c r="Q39" s="60"/>
      <c r="R39" s="176">
        <f t="shared" si="5"/>
        <v>0</v>
      </c>
      <c r="S39" s="60"/>
      <c r="T39" s="176">
        <f t="shared" si="6"/>
        <v>0</v>
      </c>
      <c r="U39" s="60"/>
      <c r="V39" s="176">
        <f t="shared" si="7"/>
        <v>0</v>
      </c>
      <c r="W39" s="60"/>
      <c r="X39" s="176">
        <f t="shared" si="8"/>
        <v>0</v>
      </c>
      <c r="Y39" s="60"/>
      <c r="Z39" s="176">
        <f t="shared" si="9"/>
        <v>0</v>
      </c>
      <c r="AA39" s="60"/>
      <c r="AB39" s="176">
        <f t="shared" si="10"/>
        <v>0</v>
      </c>
      <c r="AC39" s="60"/>
      <c r="AD39" s="176">
        <f t="shared" si="11"/>
        <v>0</v>
      </c>
      <c r="AE39" s="176">
        <f t="shared" si="12"/>
        <v>0</v>
      </c>
      <c r="AF39" s="176">
        <f t="shared" si="13"/>
        <v>0</v>
      </c>
    </row>
    <row r="40" spans="1:32" ht="20.100000000000001" customHeight="1">
      <c r="A40" s="63">
        <v>33</v>
      </c>
      <c r="B40" s="63" t="s">
        <v>49</v>
      </c>
      <c r="C40" s="63" t="s">
        <v>14</v>
      </c>
      <c r="D40" s="63">
        <v>0.64</v>
      </c>
      <c r="E40" s="63" t="s">
        <v>25</v>
      </c>
      <c r="F40" s="63"/>
      <c r="G40" s="60"/>
      <c r="H40" s="176">
        <f t="shared" si="0"/>
        <v>0</v>
      </c>
      <c r="I40" s="60"/>
      <c r="J40" s="176">
        <f t="shared" si="1"/>
        <v>0</v>
      </c>
      <c r="K40" s="60"/>
      <c r="L40" s="176">
        <f t="shared" si="2"/>
        <v>0</v>
      </c>
      <c r="M40" s="60"/>
      <c r="N40" s="176">
        <f t="shared" si="3"/>
        <v>0</v>
      </c>
      <c r="O40" s="60"/>
      <c r="P40" s="176">
        <f t="shared" si="4"/>
        <v>0</v>
      </c>
      <c r="Q40" s="60"/>
      <c r="R40" s="176">
        <f t="shared" si="5"/>
        <v>0</v>
      </c>
      <c r="S40" s="60"/>
      <c r="T40" s="176">
        <f t="shared" si="6"/>
        <v>0</v>
      </c>
      <c r="U40" s="60"/>
      <c r="V40" s="176">
        <f t="shared" si="7"/>
        <v>0</v>
      </c>
      <c r="W40" s="60"/>
      <c r="X40" s="176">
        <f t="shared" si="8"/>
        <v>0</v>
      </c>
      <c r="Y40" s="60"/>
      <c r="Z40" s="176">
        <f t="shared" si="9"/>
        <v>0</v>
      </c>
      <c r="AA40" s="60"/>
      <c r="AB40" s="176">
        <f t="shared" si="10"/>
        <v>0</v>
      </c>
      <c r="AC40" s="60"/>
      <c r="AD40" s="176">
        <f t="shared" si="11"/>
        <v>0</v>
      </c>
      <c r="AE40" s="176">
        <f t="shared" si="12"/>
        <v>0</v>
      </c>
      <c r="AF40" s="176">
        <f t="shared" si="13"/>
        <v>0</v>
      </c>
    </row>
    <row r="41" spans="1:32" ht="20.100000000000001" customHeight="1">
      <c r="A41" s="63">
        <v>34</v>
      </c>
      <c r="B41" s="63" t="s">
        <v>47</v>
      </c>
      <c r="C41" s="63" t="s">
        <v>14</v>
      </c>
      <c r="D41" s="63">
        <v>0.64</v>
      </c>
      <c r="E41" s="63" t="s">
        <v>25</v>
      </c>
      <c r="F41" s="63">
        <v>1330</v>
      </c>
      <c r="G41" s="60">
        <v>14</v>
      </c>
      <c r="H41" s="176">
        <f t="shared" si="0"/>
        <v>8.9600000000000009</v>
      </c>
      <c r="I41" s="60">
        <v>6</v>
      </c>
      <c r="J41" s="176">
        <f t="shared" si="1"/>
        <v>3.84</v>
      </c>
      <c r="K41" s="60">
        <v>20</v>
      </c>
      <c r="L41" s="176">
        <f t="shared" si="2"/>
        <v>12.8</v>
      </c>
      <c r="M41" s="60">
        <v>5</v>
      </c>
      <c r="N41" s="176">
        <f t="shared" si="3"/>
        <v>3.2</v>
      </c>
      <c r="O41" s="60">
        <v>987</v>
      </c>
      <c r="P41" s="176">
        <f t="shared" si="4"/>
        <v>631.68000000000006</v>
      </c>
      <c r="Q41" s="60">
        <v>10</v>
      </c>
      <c r="R41" s="176">
        <f t="shared" si="5"/>
        <v>6.4</v>
      </c>
      <c r="S41" s="60">
        <v>7</v>
      </c>
      <c r="T41" s="176">
        <f t="shared" si="6"/>
        <v>4.4800000000000004</v>
      </c>
      <c r="U41" s="60">
        <v>5</v>
      </c>
      <c r="V41" s="176">
        <f t="shared" si="7"/>
        <v>3.2</v>
      </c>
      <c r="W41" s="60">
        <v>3</v>
      </c>
      <c r="X41" s="176">
        <f t="shared" si="8"/>
        <v>1.92</v>
      </c>
      <c r="Y41" s="60">
        <v>6</v>
      </c>
      <c r="Z41" s="176">
        <f t="shared" si="9"/>
        <v>3.84</v>
      </c>
      <c r="AA41" s="60">
        <v>6</v>
      </c>
      <c r="AB41" s="176">
        <f t="shared" si="10"/>
        <v>3.84</v>
      </c>
      <c r="AC41" s="60"/>
      <c r="AD41" s="176">
        <f t="shared" si="11"/>
        <v>0</v>
      </c>
      <c r="AE41" s="176">
        <f t="shared" si="12"/>
        <v>1069</v>
      </c>
      <c r="AF41" s="176">
        <f t="shared" si="13"/>
        <v>684.16000000000008</v>
      </c>
    </row>
    <row r="42" spans="1:32" ht="20.100000000000001" customHeight="1">
      <c r="A42" s="63">
        <v>35</v>
      </c>
      <c r="B42" s="63" t="s">
        <v>47</v>
      </c>
      <c r="C42" s="63" t="s">
        <v>14</v>
      </c>
      <c r="D42" s="63">
        <v>0.64</v>
      </c>
      <c r="E42" s="63" t="s">
        <v>24</v>
      </c>
      <c r="F42" s="63"/>
      <c r="G42" s="60"/>
      <c r="H42" s="176">
        <f t="shared" si="0"/>
        <v>0</v>
      </c>
      <c r="I42" s="60"/>
      <c r="J42" s="176">
        <f t="shared" si="1"/>
        <v>0</v>
      </c>
      <c r="K42" s="60"/>
      <c r="L42" s="176">
        <f t="shared" si="2"/>
        <v>0</v>
      </c>
      <c r="M42" s="60"/>
      <c r="N42" s="176">
        <f t="shared" si="3"/>
        <v>0</v>
      </c>
      <c r="O42" s="60"/>
      <c r="P42" s="176">
        <f t="shared" si="4"/>
        <v>0</v>
      </c>
      <c r="Q42" s="60"/>
      <c r="R42" s="176">
        <f t="shared" si="5"/>
        <v>0</v>
      </c>
      <c r="S42" s="60"/>
      <c r="T42" s="176">
        <f t="shared" si="6"/>
        <v>0</v>
      </c>
      <c r="U42" s="60"/>
      <c r="V42" s="176">
        <f t="shared" si="7"/>
        <v>0</v>
      </c>
      <c r="W42" s="60"/>
      <c r="X42" s="176">
        <f t="shared" si="8"/>
        <v>0</v>
      </c>
      <c r="Y42" s="60"/>
      <c r="Z42" s="176">
        <f t="shared" si="9"/>
        <v>0</v>
      </c>
      <c r="AA42" s="60"/>
      <c r="AB42" s="176">
        <f t="shared" si="10"/>
        <v>0</v>
      </c>
      <c r="AC42" s="60"/>
      <c r="AD42" s="176">
        <f t="shared" si="11"/>
        <v>0</v>
      </c>
      <c r="AE42" s="176">
        <f t="shared" si="12"/>
        <v>0</v>
      </c>
      <c r="AF42" s="176">
        <f t="shared" si="13"/>
        <v>0</v>
      </c>
    </row>
    <row r="43" spans="1:32" ht="20.100000000000001" customHeight="1">
      <c r="A43" s="63">
        <v>36</v>
      </c>
      <c r="B43" s="63" t="s">
        <v>50</v>
      </c>
      <c r="C43" s="63" t="s">
        <v>14</v>
      </c>
      <c r="D43" s="63">
        <v>0.68</v>
      </c>
      <c r="E43" s="63" t="s">
        <v>25</v>
      </c>
      <c r="F43" s="63"/>
      <c r="G43" s="60"/>
      <c r="H43" s="176">
        <f t="shared" si="0"/>
        <v>0</v>
      </c>
      <c r="I43" s="60"/>
      <c r="J43" s="176">
        <f t="shared" si="1"/>
        <v>0</v>
      </c>
      <c r="K43" s="60"/>
      <c r="L43" s="176">
        <f t="shared" si="2"/>
        <v>0</v>
      </c>
      <c r="M43" s="60"/>
      <c r="N43" s="176">
        <f t="shared" si="3"/>
        <v>0</v>
      </c>
      <c r="O43" s="60"/>
      <c r="P43" s="176">
        <f t="shared" si="4"/>
        <v>0</v>
      </c>
      <c r="Q43" s="60"/>
      <c r="R43" s="176">
        <f t="shared" si="5"/>
        <v>0</v>
      </c>
      <c r="S43" s="60"/>
      <c r="T43" s="176">
        <f t="shared" si="6"/>
        <v>0</v>
      </c>
      <c r="U43" s="60"/>
      <c r="V43" s="176">
        <f t="shared" si="7"/>
        <v>0</v>
      </c>
      <c r="W43" s="60"/>
      <c r="X43" s="176">
        <f t="shared" si="8"/>
        <v>0</v>
      </c>
      <c r="Y43" s="60"/>
      <c r="Z43" s="176">
        <f t="shared" si="9"/>
        <v>0</v>
      </c>
      <c r="AA43" s="60"/>
      <c r="AB43" s="176">
        <f t="shared" si="10"/>
        <v>0</v>
      </c>
      <c r="AC43" s="60"/>
      <c r="AD43" s="176">
        <f t="shared" si="11"/>
        <v>0</v>
      </c>
      <c r="AE43" s="176">
        <f t="shared" si="12"/>
        <v>0</v>
      </c>
      <c r="AF43" s="176">
        <f t="shared" si="13"/>
        <v>0</v>
      </c>
    </row>
    <row r="44" spans="1:32" ht="20.100000000000001" customHeight="1">
      <c r="A44" s="63">
        <v>37</v>
      </c>
      <c r="B44" s="63" t="s">
        <v>50</v>
      </c>
      <c r="C44" s="63" t="s">
        <v>14</v>
      </c>
      <c r="D44" s="63">
        <v>0.64</v>
      </c>
      <c r="E44" s="63" t="s">
        <v>25</v>
      </c>
      <c r="F44" s="63">
        <v>1600</v>
      </c>
      <c r="G44" s="60"/>
      <c r="H44" s="176">
        <f t="shared" si="0"/>
        <v>0</v>
      </c>
      <c r="I44" s="60"/>
      <c r="J44" s="176">
        <f t="shared" si="1"/>
        <v>0</v>
      </c>
      <c r="K44" s="60"/>
      <c r="L44" s="176">
        <f t="shared" si="2"/>
        <v>0</v>
      </c>
      <c r="M44" s="60"/>
      <c r="N44" s="176">
        <f t="shared" si="3"/>
        <v>0</v>
      </c>
      <c r="O44" s="60">
        <v>2</v>
      </c>
      <c r="P44" s="176">
        <f t="shared" si="4"/>
        <v>1.28</v>
      </c>
      <c r="Q44" s="60">
        <v>1</v>
      </c>
      <c r="R44" s="176">
        <f t="shared" si="5"/>
        <v>0.64</v>
      </c>
      <c r="S44" s="60">
        <v>4</v>
      </c>
      <c r="T44" s="176">
        <f t="shared" si="6"/>
        <v>2.56</v>
      </c>
      <c r="U44" s="60"/>
      <c r="V44" s="176">
        <f t="shared" si="7"/>
        <v>0</v>
      </c>
      <c r="W44" s="60">
        <v>1</v>
      </c>
      <c r="X44" s="176">
        <f t="shared" si="8"/>
        <v>0.64</v>
      </c>
      <c r="Y44" s="60"/>
      <c r="Z44" s="176">
        <f t="shared" si="9"/>
        <v>0</v>
      </c>
      <c r="AA44" s="60"/>
      <c r="AB44" s="176">
        <f t="shared" si="10"/>
        <v>0</v>
      </c>
      <c r="AC44" s="60"/>
      <c r="AD44" s="176">
        <f t="shared" si="11"/>
        <v>0</v>
      </c>
      <c r="AE44" s="176">
        <f t="shared" si="12"/>
        <v>8</v>
      </c>
      <c r="AF44" s="176">
        <f t="shared" si="13"/>
        <v>5.12</v>
      </c>
    </row>
    <row r="45" spans="1:32" ht="20.100000000000001" customHeight="1">
      <c r="A45" s="63">
        <v>38</v>
      </c>
      <c r="B45" s="63" t="s">
        <v>51</v>
      </c>
      <c r="C45" s="63" t="s">
        <v>14</v>
      </c>
      <c r="D45" s="63">
        <v>0.64</v>
      </c>
      <c r="E45" s="63" t="s">
        <v>25</v>
      </c>
      <c r="F45" s="63"/>
      <c r="G45" s="60"/>
      <c r="H45" s="176">
        <f t="shared" si="0"/>
        <v>0</v>
      </c>
      <c r="I45" s="60"/>
      <c r="J45" s="176">
        <f t="shared" si="1"/>
        <v>0</v>
      </c>
      <c r="K45" s="60"/>
      <c r="L45" s="176">
        <f t="shared" si="2"/>
        <v>0</v>
      </c>
      <c r="M45" s="60"/>
      <c r="N45" s="176">
        <f t="shared" si="3"/>
        <v>0</v>
      </c>
      <c r="O45" s="60"/>
      <c r="P45" s="176">
        <f t="shared" si="4"/>
        <v>0</v>
      </c>
      <c r="Q45" s="60"/>
      <c r="R45" s="176">
        <f t="shared" si="5"/>
        <v>0</v>
      </c>
      <c r="S45" s="60"/>
      <c r="T45" s="176">
        <f t="shared" si="6"/>
        <v>0</v>
      </c>
      <c r="U45" s="60"/>
      <c r="V45" s="176">
        <f t="shared" si="7"/>
        <v>0</v>
      </c>
      <c r="W45" s="60"/>
      <c r="X45" s="176">
        <f t="shared" si="8"/>
        <v>0</v>
      </c>
      <c r="Y45" s="60"/>
      <c r="Z45" s="176">
        <f t="shared" si="9"/>
        <v>0</v>
      </c>
      <c r="AA45" s="60"/>
      <c r="AB45" s="176">
        <f t="shared" si="10"/>
        <v>0</v>
      </c>
      <c r="AC45" s="60"/>
      <c r="AD45" s="176">
        <f t="shared" si="11"/>
        <v>0</v>
      </c>
      <c r="AE45" s="176">
        <f t="shared" si="12"/>
        <v>0</v>
      </c>
      <c r="AF45" s="176">
        <f t="shared" si="13"/>
        <v>0</v>
      </c>
    </row>
    <row r="46" spans="1:32" ht="20.100000000000001" customHeight="1">
      <c r="A46" s="63">
        <v>39</v>
      </c>
      <c r="B46" s="63" t="s">
        <v>51</v>
      </c>
      <c r="C46" s="63" t="s">
        <v>14</v>
      </c>
      <c r="D46" s="63">
        <v>0.64</v>
      </c>
      <c r="E46" s="63" t="s">
        <v>25</v>
      </c>
      <c r="F46" s="63"/>
      <c r="G46" s="60"/>
      <c r="H46" s="176">
        <f t="shared" si="0"/>
        <v>0</v>
      </c>
      <c r="I46" s="60"/>
      <c r="J46" s="176">
        <f t="shared" si="1"/>
        <v>0</v>
      </c>
      <c r="K46" s="60"/>
      <c r="L46" s="176">
        <f t="shared" si="2"/>
        <v>0</v>
      </c>
      <c r="M46" s="60"/>
      <c r="N46" s="176">
        <f t="shared" si="3"/>
        <v>0</v>
      </c>
      <c r="O46" s="60"/>
      <c r="P46" s="176">
        <f t="shared" si="4"/>
        <v>0</v>
      </c>
      <c r="Q46" s="60"/>
      <c r="R46" s="176">
        <f t="shared" si="5"/>
        <v>0</v>
      </c>
      <c r="S46" s="60"/>
      <c r="T46" s="176">
        <f t="shared" si="6"/>
        <v>0</v>
      </c>
      <c r="U46" s="60"/>
      <c r="V46" s="176">
        <f t="shared" si="7"/>
        <v>0</v>
      </c>
      <c r="W46" s="60"/>
      <c r="X46" s="176">
        <f t="shared" si="8"/>
        <v>0</v>
      </c>
      <c r="Y46" s="60"/>
      <c r="Z46" s="176">
        <f t="shared" si="9"/>
        <v>0</v>
      </c>
      <c r="AA46" s="60"/>
      <c r="AB46" s="176">
        <f t="shared" si="10"/>
        <v>0</v>
      </c>
      <c r="AC46" s="60"/>
      <c r="AD46" s="176">
        <f t="shared" si="11"/>
        <v>0</v>
      </c>
      <c r="AE46" s="176">
        <f t="shared" si="12"/>
        <v>0</v>
      </c>
      <c r="AF46" s="176">
        <f t="shared" si="13"/>
        <v>0</v>
      </c>
    </row>
    <row r="47" spans="1:32" ht="20.100000000000001" customHeight="1">
      <c r="A47" s="63">
        <v>40</v>
      </c>
      <c r="B47" s="63" t="s">
        <v>51</v>
      </c>
      <c r="C47" s="63" t="s">
        <v>14</v>
      </c>
      <c r="D47" s="63">
        <v>0.64</v>
      </c>
      <c r="E47" s="63" t="s">
        <v>25</v>
      </c>
      <c r="F47" s="63"/>
      <c r="G47" s="60"/>
      <c r="H47" s="176">
        <f t="shared" si="0"/>
        <v>0</v>
      </c>
      <c r="I47" s="60"/>
      <c r="J47" s="176">
        <f t="shared" si="1"/>
        <v>0</v>
      </c>
      <c r="K47" s="60"/>
      <c r="L47" s="176">
        <f t="shared" si="2"/>
        <v>0</v>
      </c>
      <c r="M47" s="60"/>
      <c r="N47" s="176">
        <f t="shared" si="3"/>
        <v>0</v>
      </c>
      <c r="O47" s="60"/>
      <c r="P47" s="176">
        <f t="shared" si="4"/>
        <v>0</v>
      </c>
      <c r="Q47" s="60"/>
      <c r="R47" s="176">
        <f t="shared" si="5"/>
        <v>0</v>
      </c>
      <c r="S47" s="60"/>
      <c r="T47" s="176">
        <f t="shared" si="6"/>
        <v>0</v>
      </c>
      <c r="U47" s="60"/>
      <c r="V47" s="176">
        <f t="shared" si="7"/>
        <v>0</v>
      </c>
      <c r="W47" s="60"/>
      <c r="X47" s="176">
        <f t="shared" si="8"/>
        <v>0</v>
      </c>
      <c r="Y47" s="60"/>
      <c r="Z47" s="176">
        <f t="shared" si="9"/>
        <v>0</v>
      </c>
      <c r="AA47" s="60"/>
      <c r="AB47" s="176">
        <f t="shared" si="10"/>
        <v>0</v>
      </c>
      <c r="AC47" s="60"/>
      <c r="AD47" s="176">
        <f t="shared" si="11"/>
        <v>0</v>
      </c>
      <c r="AE47" s="176">
        <f t="shared" si="12"/>
        <v>0</v>
      </c>
      <c r="AF47" s="176">
        <f t="shared" si="13"/>
        <v>0</v>
      </c>
    </row>
    <row r="48" spans="1:32" ht="20.100000000000001" customHeight="1">
      <c r="A48" s="63"/>
      <c r="B48" s="63"/>
      <c r="C48" s="63"/>
      <c r="D48" s="63"/>
      <c r="E48" s="63"/>
      <c r="F48" s="63"/>
      <c r="G48" s="60"/>
      <c r="H48" s="176">
        <f t="shared" si="0"/>
        <v>0</v>
      </c>
      <c r="I48" s="60"/>
      <c r="J48" s="176">
        <f t="shared" si="1"/>
        <v>0</v>
      </c>
      <c r="K48" s="60"/>
      <c r="L48" s="176">
        <f t="shared" si="2"/>
        <v>0</v>
      </c>
      <c r="M48" s="60"/>
      <c r="N48" s="176">
        <f t="shared" si="3"/>
        <v>0</v>
      </c>
      <c r="O48" s="60"/>
      <c r="P48" s="176">
        <f t="shared" si="4"/>
        <v>0</v>
      </c>
      <c r="Q48" s="60"/>
      <c r="R48" s="176">
        <f t="shared" si="5"/>
        <v>0</v>
      </c>
      <c r="S48" s="60"/>
      <c r="T48" s="176">
        <f t="shared" si="6"/>
        <v>0</v>
      </c>
      <c r="U48" s="60"/>
      <c r="V48" s="176">
        <f t="shared" si="7"/>
        <v>0</v>
      </c>
      <c r="W48" s="60"/>
      <c r="X48" s="176">
        <f t="shared" si="8"/>
        <v>0</v>
      </c>
      <c r="Y48" s="60"/>
      <c r="Z48" s="176">
        <f t="shared" si="9"/>
        <v>0</v>
      </c>
      <c r="AA48" s="60"/>
      <c r="AB48" s="176">
        <f t="shared" si="10"/>
        <v>0</v>
      </c>
      <c r="AC48" s="60"/>
      <c r="AD48" s="176">
        <f t="shared" si="11"/>
        <v>0</v>
      </c>
      <c r="AE48" s="176">
        <f t="shared" si="12"/>
        <v>0</v>
      </c>
      <c r="AF48" s="176">
        <f t="shared" si="13"/>
        <v>0</v>
      </c>
    </row>
    <row r="49" spans="1:32" ht="20.100000000000001" customHeight="1">
      <c r="A49" s="63">
        <v>41</v>
      </c>
      <c r="B49" s="63" t="s">
        <v>52</v>
      </c>
      <c r="C49" s="63" t="s">
        <v>17</v>
      </c>
      <c r="D49" s="63">
        <v>1</v>
      </c>
      <c r="E49" s="63" t="s">
        <v>15</v>
      </c>
      <c r="F49" s="63"/>
      <c r="G49" s="60"/>
      <c r="H49" s="176">
        <f t="shared" si="0"/>
        <v>0</v>
      </c>
      <c r="I49" s="60"/>
      <c r="J49" s="176">
        <f t="shared" si="1"/>
        <v>0</v>
      </c>
      <c r="K49" s="60"/>
      <c r="L49" s="176">
        <f t="shared" si="2"/>
        <v>0</v>
      </c>
      <c r="M49" s="60"/>
      <c r="N49" s="176">
        <f t="shared" si="3"/>
        <v>0</v>
      </c>
      <c r="O49" s="60"/>
      <c r="P49" s="176">
        <f t="shared" si="4"/>
        <v>0</v>
      </c>
      <c r="Q49" s="60"/>
      <c r="R49" s="176">
        <f t="shared" si="5"/>
        <v>0</v>
      </c>
      <c r="S49" s="60"/>
      <c r="T49" s="176">
        <f t="shared" si="6"/>
        <v>0</v>
      </c>
      <c r="U49" s="60"/>
      <c r="V49" s="176">
        <f t="shared" si="7"/>
        <v>0</v>
      </c>
      <c r="W49" s="60"/>
      <c r="X49" s="176">
        <f t="shared" si="8"/>
        <v>0</v>
      </c>
      <c r="Y49" s="60"/>
      <c r="Z49" s="176">
        <f t="shared" si="9"/>
        <v>0</v>
      </c>
      <c r="AA49" s="60"/>
      <c r="AB49" s="176">
        <f t="shared" si="10"/>
        <v>0</v>
      </c>
      <c r="AC49" s="60"/>
      <c r="AD49" s="176">
        <f t="shared" si="11"/>
        <v>0</v>
      </c>
      <c r="AE49" s="176">
        <f t="shared" si="12"/>
        <v>0</v>
      </c>
      <c r="AF49" s="176">
        <f t="shared" si="13"/>
        <v>0</v>
      </c>
    </row>
    <row r="50" spans="1:32" ht="20.100000000000001" customHeight="1">
      <c r="A50" s="63">
        <v>42</v>
      </c>
      <c r="B50" s="63" t="s">
        <v>52</v>
      </c>
      <c r="C50" s="63" t="s">
        <v>17</v>
      </c>
      <c r="D50" s="63">
        <v>1</v>
      </c>
      <c r="E50" s="63" t="s">
        <v>24</v>
      </c>
      <c r="F50" s="63"/>
      <c r="G50" s="60"/>
      <c r="H50" s="176">
        <f t="shared" si="0"/>
        <v>0</v>
      </c>
      <c r="I50" s="60"/>
      <c r="J50" s="176">
        <f t="shared" si="1"/>
        <v>0</v>
      </c>
      <c r="K50" s="60"/>
      <c r="L50" s="176">
        <f t="shared" si="2"/>
        <v>0</v>
      </c>
      <c r="M50" s="60"/>
      <c r="N50" s="176">
        <f t="shared" si="3"/>
        <v>0</v>
      </c>
      <c r="O50" s="60"/>
      <c r="P50" s="176">
        <f t="shared" si="4"/>
        <v>0</v>
      </c>
      <c r="Q50" s="60"/>
      <c r="R50" s="176">
        <f t="shared" si="5"/>
        <v>0</v>
      </c>
      <c r="S50" s="60"/>
      <c r="T50" s="176">
        <f t="shared" si="6"/>
        <v>0</v>
      </c>
      <c r="U50" s="60"/>
      <c r="V50" s="176">
        <f t="shared" si="7"/>
        <v>0</v>
      </c>
      <c r="W50" s="60"/>
      <c r="X50" s="176">
        <f t="shared" si="8"/>
        <v>0</v>
      </c>
      <c r="Y50" s="60"/>
      <c r="Z50" s="176">
        <f t="shared" si="9"/>
        <v>0</v>
      </c>
      <c r="AA50" s="60"/>
      <c r="AB50" s="176">
        <f t="shared" si="10"/>
        <v>0</v>
      </c>
      <c r="AC50" s="60"/>
      <c r="AD50" s="176">
        <f t="shared" si="11"/>
        <v>0</v>
      </c>
      <c r="AE50" s="176">
        <f t="shared" si="12"/>
        <v>0</v>
      </c>
      <c r="AF50" s="176">
        <f t="shared" si="13"/>
        <v>0</v>
      </c>
    </row>
    <row r="51" spans="1:32" ht="20.100000000000001" customHeight="1">
      <c r="A51" s="63">
        <v>43</v>
      </c>
      <c r="B51" s="63" t="s">
        <v>53</v>
      </c>
      <c r="C51" s="63" t="s">
        <v>14</v>
      </c>
      <c r="D51" s="63">
        <v>0.64</v>
      </c>
      <c r="E51" s="63" t="s">
        <v>25</v>
      </c>
      <c r="F51" s="63">
        <v>1370</v>
      </c>
      <c r="G51" s="60">
        <v>14</v>
      </c>
      <c r="H51" s="176">
        <f t="shared" si="0"/>
        <v>8.9600000000000009</v>
      </c>
      <c r="I51" s="60">
        <v>12</v>
      </c>
      <c r="J51" s="176">
        <f t="shared" si="1"/>
        <v>7.68</v>
      </c>
      <c r="K51" s="60">
        <v>67</v>
      </c>
      <c r="L51" s="176">
        <f t="shared" si="2"/>
        <v>42.88</v>
      </c>
      <c r="M51" s="60">
        <v>18</v>
      </c>
      <c r="N51" s="176">
        <f t="shared" si="3"/>
        <v>11.52</v>
      </c>
      <c r="O51" s="60">
        <v>1853</v>
      </c>
      <c r="P51" s="176">
        <f t="shared" si="4"/>
        <v>1185.92</v>
      </c>
      <c r="Q51" s="60">
        <v>17</v>
      </c>
      <c r="R51" s="176">
        <f t="shared" si="5"/>
        <v>10.88</v>
      </c>
      <c r="S51" s="60">
        <v>20</v>
      </c>
      <c r="T51" s="176">
        <f t="shared" si="6"/>
        <v>12.8</v>
      </c>
      <c r="U51" s="60">
        <v>12</v>
      </c>
      <c r="V51" s="176">
        <f t="shared" si="7"/>
        <v>7.68</v>
      </c>
      <c r="W51" s="60">
        <v>16</v>
      </c>
      <c r="X51" s="176">
        <f t="shared" si="8"/>
        <v>10.24</v>
      </c>
      <c r="Y51" s="60">
        <v>9</v>
      </c>
      <c r="Z51" s="176">
        <f t="shared" si="9"/>
        <v>5.76</v>
      </c>
      <c r="AA51" s="60">
        <v>8</v>
      </c>
      <c r="AB51" s="176">
        <f t="shared" si="10"/>
        <v>5.12</v>
      </c>
      <c r="AC51" s="60">
        <v>9</v>
      </c>
      <c r="AD51" s="176">
        <f t="shared" si="11"/>
        <v>5.76</v>
      </c>
      <c r="AE51" s="176">
        <f t="shared" si="12"/>
        <v>2055</v>
      </c>
      <c r="AF51" s="176">
        <f t="shared" si="13"/>
        <v>1315.2</v>
      </c>
    </row>
    <row r="52" spans="1:32" ht="20.100000000000001" customHeight="1">
      <c r="A52" s="63">
        <v>44</v>
      </c>
      <c r="B52" s="63" t="s">
        <v>53</v>
      </c>
      <c r="C52" s="63" t="s">
        <v>14</v>
      </c>
      <c r="D52" s="63">
        <v>0.64</v>
      </c>
      <c r="E52" s="63" t="s">
        <v>24</v>
      </c>
      <c r="F52" s="63"/>
      <c r="G52" s="60"/>
      <c r="H52" s="176">
        <f t="shared" si="0"/>
        <v>0</v>
      </c>
      <c r="I52" s="60"/>
      <c r="J52" s="176">
        <f t="shared" si="1"/>
        <v>0</v>
      </c>
      <c r="K52" s="60"/>
      <c r="L52" s="176">
        <f t="shared" si="2"/>
        <v>0</v>
      </c>
      <c r="M52" s="60"/>
      <c r="N52" s="176">
        <f t="shared" si="3"/>
        <v>0</v>
      </c>
      <c r="O52" s="60"/>
      <c r="P52" s="176">
        <f t="shared" si="4"/>
        <v>0</v>
      </c>
      <c r="Q52" s="60"/>
      <c r="R52" s="176">
        <f t="shared" si="5"/>
        <v>0</v>
      </c>
      <c r="S52" s="60"/>
      <c r="T52" s="176">
        <f t="shared" si="6"/>
        <v>0</v>
      </c>
      <c r="U52" s="60"/>
      <c r="V52" s="176">
        <f t="shared" si="7"/>
        <v>0</v>
      </c>
      <c r="W52" s="60"/>
      <c r="X52" s="176">
        <f t="shared" si="8"/>
        <v>0</v>
      </c>
      <c r="Y52" s="60"/>
      <c r="Z52" s="176">
        <f t="shared" si="9"/>
        <v>0</v>
      </c>
      <c r="AA52" s="60"/>
      <c r="AB52" s="176">
        <f t="shared" si="10"/>
        <v>0</v>
      </c>
      <c r="AC52" s="60"/>
      <c r="AD52" s="176">
        <f t="shared" si="11"/>
        <v>0</v>
      </c>
      <c r="AE52" s="176">
        <f t="shared" si="12"/>
        <v>0</v>
      </c>
      <c r="AF52" s="176">
        <f t="shared" si="13"/>
        <v>0</v>
      </c>
    </row>
    <row r="53" spans="1:32" ht="20.100000000000001" customHeight="1">
      <c r="A53" s="63"/>
      <c r="B53" s="63"/>
      <c r="C53" s="63"/>
      <c r="D53" s="63"/>
      <c r="E53" s="63"/>
      <c r="F53" s="63"/>
      <c r="G53" s="60"/>
      <c r="H53" s="176">
        <f t="shared" si="0"/>
        <v>0</v>
      </c>
      <c r="I53" s="60"/>
      <c r="J53" s="176">
        <f t="shared" si="1"/>
        <v>0</v>
      </c>
      <c r="K53" s="60"/>
      <c r="L53" s="176">
        <f t="shared" si="2"/>
        <v>0</v>
      </c>
      <c r="M53" s="60"/>
      <c r="N53" s="176">
        <f t="shared" si="3"/>
        <v>0</v>
      </c>
      <c r="O53" s="60"/>
      <c r="P53" s="176">
        <f t="shared" si="4"/>
        <v>0</v>
      </c>
      <c r="Q53" s="60"/>
      <c r="R53" s="176">
        <f t="shared" si="5"/>
        <v>0</v>
      </c>
      <c r="S53" s="60"/>
      <c r="T53" s="176">
        <f t="shared" si="6"/>
        <v>0</v>
      </c>
      <c r="U53" s="60"/>
      <c r="V53" s="176">
        <f t="shared" si="7"/>
        <v>0</v>
      </c>
      <c r="W53" s="60"/>
      <c r="X53" s="176">
        <f t="shared" si="8"/>
        <v>0</v>
      </c>
      <c r="Y53" s="60"/>
      <c r="Z53" s="176">
        <f t="shared" si="9"/>
        <v>0</v>
      </c>
      <c r="AA53" s="60"/>
      <c r="AB53" s="176">
        <f t="shared" si="10"/>
        <v>0</v>
      </c>
      <c r="AC53" s="60"/>
      <c r="AD53" s="176">
        <f t="shared" si="11"/>
        <v>0</v>
      </c>
      <c r="AE53" s="176">
        <f t="shared" si="12"/>
        <v>0</v>
      </c>
      <c r="AF53" s="176">
        <f t="shared" si="13"/>
        <v>0</v>
      </c>
    </row>
    <row r="54" spans="1:32" ht="20.100000000000001" customHeight="1">
      <c r="A54" s="63"/>
      <c r="B54" s="63"/>
      <c r="C54" s="63"/>
      <c r="D54" s="63"/>
      <c r="E54" s="63"/>
      <c r="F54" s="63"/>
      <c r="G54" s="60"/>
      <c r="H54" s="176">
        <f t="shared" si="0"/>
        <v>0</v>
      </c>
      <c r="I54" s="60"/>
      <c r="J54" s="176">
        <f t="shared" si="1"/>
        <v>0</v>
      </c>
      <c r="K54" s="60"/>
      <c r="L54" s="176">
        <f t="shared" si="2"/>
        <v>0</v>
      </c>
      <c r="M54" s="60"/>
      <c r="N54" s="176">
        <f t="shared" si="3"/>
        <v>0</v>
      </c>
      <c r="O54" s="60"/>
      <c r="P54" s="176">
        <f t="shared" si="4"/>
        <v>0</v>
      </c>
      <c r="Q54" s="60"/>
      <c r="R54" s="176">
        <f t="shared" si="5"/>
        <v>0</v>
      </c>
      <c r="S54" s="60"/>
      <c r="T54" s="176">
        <f t="shared" si="6"/>
        <v>0</v>
      </c>
      <c r="U54" s="60"/>
      <c r="V54" s="176">
        <f t="shared" si="7"/>
        <v>0</v>
      </c>
      <c r="W54" s="60"/>
      <c r="X54" s="176">
        <f t="shared" si="8"/>
        <v>0</v>
      </c>
      <c r="Y54" s="60"/>
      <c r="Z54" s="176">
        <f t="shared" si="9"/>
        <v>0</v>
      </c>
      <c r="AA54" s="60"/>
      <c r="AB54" s="176">
        <f t="shared" si="10"/>
        <v>0</v>
      </c>
      <c r="AC54" s="60"/>
      <c r="AD54" s="176">
        <f t="shared" si="11"/>
        <v>0</v>
      </c>
      <c r="AE54" s="176">
        <f t="shared" si="12"/>
        <v>0</v>
      </c>
      <c r="AF54" s="176">
        <f t="shared" si="13"/>
        <v>0</v>
      </c>
    </row>
    <row r="55" spans="1:32" ht="20.100000000000001" customHeight="1">
      <c r="A55" s="63">
        <v>45</v>
      </c>
      <c r="B55" s="63" t="s">
        <v>54</v>
      </c>
      <c r="C55" s="63" t="s">
        <v>17</v>
      </c>
      <c r="D55" s="63">
        <v>1</v>
      </c>
      <c r="E55" s="63" t="s">
        <v>15</v>
      </c>
      <c r="F55" s="63"/>
      <c r="G55" s="60"/>
      <c r="H55" s="176">
        <f t="shared" si="0"/>
        <v>0</v>
      </c>
      <c r="I55" s="60"/>
      <c r="J55" s="176">
        <f t="shared" si="1"/>
        <v>0</v>
      </c>
      <c r="K55" s="60"/>
      <c r="L55" s="176">
        <f t="shared" si="2"/>
        <v>0</v>
      </c>
      <c r="M55" s="60"/>
      <c r="N55" s="176">
        <f t="shared" si="3"/>
        <v>0</v>
      </c>
      <c r="O55" s="60"/>
      <c r="P55" s="176">
        <f t="shared" si="4"/>
        <v>0</v>
      </c>
      <c r="Q55" s="60"/>
      <c r="R55" s="176">
        <f t="shared" si="5"/>
        <v>0</v>
      </c>
      <c r="S55" s="60"/>
      <c r="T55" s="176">
        <f t="shared" si="6"/>
        <v>0</v>
      </c>
      <c r="U55" s="60"/>
      <c r="V55" s="176">
        <f t="shared" si="7"/>
        <v>0</v>
      </c>
      <c r="W55" s="60"/>
      <c r="X55" s="176">
        <f t="shared" si="8"/>
        <v>0</v>
      </c>
      <c r="Y55" s="60"/>
      <c r="Z55" s="176">
        <f t="shared" si="9"/>
        <v>0</v>
      </c>
      <c r="AA55" s="60"/>
      <c r="AB55" s="176">
        <f t="shared" si="10"/>
        <v>0</v>
      </c>
      <c r="AC55" s="60"/>
      <c r="AD55" s="176">
        <f t="shared" si="11"/>
        <v>0</v>
      </c>
      <c r="AE55" s="176">
        <f t="shared" si="12"/>
        <v>0</v>
      </c>
      <c r="AF55" s="176">
        <f t="shared" si="13"/>
        <v>0</v>
      </c>
    </row>
    <row r="56" spans="1:32" ht="20.100000000000001" customHeight="1">
      <c r="A56" s="63">
        <v>46</v>
      </c>
      <c r="B56" s="63" t="s">
        <v>55</v>
      </c>
      <c r="C56" s="63" t="s">
        <v>17</v>
      </c>
      <c r="D56" s="63">
        <v>0.6</v>
      </c>
      <c r="E56" s="63" t="s">
        <v>15</v>
      </c>
      <c r="F56" s="63"/>
      <c r="G56" s="60"/>
      <c r="H56" s="176">
        <f t="shared" si="0"/>
        <v>0</v>
      </c>
      <c r="I56" s="60"/>
      <c r="J56" s="176">
        <f t="shared" si="1"/>
        <v>0</v>
      </c>
      <c r="K56" s="60"/>
      <c r="L56" s="176">
        <f t="shared" si="2"/>
        <v>0</v>
      </c>
      <c r="M56" s="60"/>
      <c r="N56" s="176">
        <f t="shared" si="3"/>
        <v>0</v>
      </c>
      <c r="O56" s="60"/>
      <c r="P56" s="176">
        <f t="shared" si="4"/>
        <v>0</v>
      </c>
      <c r="Q56" s="60"/>
      <c r="R56" s="176">
        <f t="shared" si="5"/>
        <v>0</v>
      </c>
      <c r="S56" s="60"/>
      <c r="T56" s="176">
        <f t="shared" si="6"/>
        <v>0</v>
      </c>
      <c r="U56" s="60"/>
      <c r="V56" s="176">
        <f t="shared" si="7"/>
        <v>0</v>
      </c>
      <c r="W56" s="60"/>
      <c r="X56" s="176">
        <f t="shared" si="8"/>
        <v>0</v>
      </c>
      <c r="Y56" s="60"/>
      <c r="Z56" s="176">
        <f t="shared" si="9"/>
        <v>0</v>
      </c>
      <c r="AA56" s="60"/>
      <c r="AB56" s="176">
        <f t="shared" si="10"/>
        <v>0</v>
      </c>
      <c r="AC56" s="60"/>
      <c r="AD56" s="176">
        <f t="shared" si="11"/>
        <v>0</v>
      </c>
      <c r="AE56" s="176">
        <f t="shared" si="12"/>
        <v>0</v>
      </c>
      <c r="AF56" s="176">
        <f t="shared" si="13"/>
        <v>0</v>
      </c>
    </row>
    <row r="57" spans="1:32" ht="20.100000000000001" customHeight="1">
      <c r="A57" s="63">
        <v>47</v>
      </c>
      <c r="B57" s="63" t="s">
        <v>170</v>
      </c>
      <c r="C57" s="63" t="s">
        <v>14</v>
      </c>
      <c r="D57" s="63">
        <v>0.64</v>
      </c>
      <c r="E57" s="63" t="s">
        <v>25</v>
      </c>
      <c r="F57" s="63">
        <v>1330</v>
      </c>
      <c r="G57" s="60">
        <v>17</v>
      </c>
      <c r="H57" s="176">
        <f t="shared" si="0"/>
        <v>10.88</v>
      </c>
      <c r="I57" s="60">
        <v>18</v>
      </c>
      <c r="J57" s="176">
        <f t="shared" si="1"/>
        <v>11.52</v>
      </c>
      <c r="K57" s="60">
        <v>632</v>
      </c>
      <c r="L57" s="176">
        <f t="shared" si="2"/>
        <v>404.48</v>
      </c>
      <c r="M57" s="60">
        <v>7</v>
      </c>
      <c r="N57" s="176">
        <f t="shared" si="3"/>
        <v>4.4800000000000004</v>
      </c>
      <c r="O57" s="60">
        <v>1134</v>
      </c>
      <c r="P57" s="176">
        <f t="shared" si="4"/>
        <v>725.76</v>
      </c>
      <c r="Q57" s="60">
        <v>12</v>
      </c>
      <c r="R57" s="176">
        <f t="shared" si="5"/>
        <v>7.68</v>
      </c>
      <c r="S57" s="60">
        <v>14</v>
      </c>
      <c r="T57" s="176">
        <f t="shared" si="6"/>
        <v>8.9600000000000009</v>
      </c>
      <c r="U57" s="60">
        <v>8</v>
      </c>
      <c r="V57" s="176">
        <f t="shared" si="7"/>
        <v>5.12</v>
      </c>
      <c r="W57" s="60">
        <v>3</v>
      </c>
      <c r="X57" s="176">
        <f t="shared" si="8"/>
        <v>1.92</v>
      </c>
      <c r="Y57" s="60">
        <v>3</v>
      </c>
      <c r="Z57" s="176">
        <f t="shared" si="9"/>
        <v>1.92</v>
      </c>
      <c r="AA57" s="60">
        <v>4</v>
      </c>
      <c r="AB57" s="176">
        <f t="shared" si="10"/>
        <v>2.56</v>
      </c>
      <c r="AC57" s="60">
        <v>8</v>
      </c>
      <c r="AD57" s="176">
        <f t="shared" si="11"/>
        <v>5.12</v>
      </c>
      <c r="AE57" s="176">
        <f t="shared" si="12"/>
        <v>1860</v>
      </c>
      <c r="AF57" s="176">
        <f t="shared" si="13"/>
        <v>1190.3999999999999</v>
      </c>
    </row>
    <row r="58" spans="1:32" ht="20.100000000000001" customHeight="1">
      <c r="A58" s="63">
        <v>48</v>
      </c>
      <c r="B58" s="63" t="s">
        <v>170</v>
      </c>
      <c r="C58" s="63" t="s">
        <v>14</v>
      </c>
      <c r="D58" s="63">
        <v>0.64</v>
      </c>
      <c r="E58" s="63" t="s">
        <v>24</v>
      </c>
      <c r="F58" s="63"/>
      <c r="G58" s="60"/>
      <c r="H58" s="176">
        <f t="shared" si="0"/>
        <v>0</v>
      </c>
      <c r="I58" s="60"/>
      <c r="J58" s="176">
        <f t="shared" si="1"/>
        <v>0</v>
      </c>
      <c r="K58" s="60"/>
      <c r="L58" s="176">
        <f t="shared" si="2"/>
        <v>0</v>
      </c>
      <c r="M58" s="60"/>
      <c r="N58" s="176">
        <f t="shared" si="3"/>
        <v>0</v>
      </c>
      <c r="O58" s="60"/>
      <c r="P58" s="176">
        <f t="shared" si="4"/>
        <v>0</v>
      </c>
      <c r="Q58" s="60"/>
      <c r="R58" s="176">
        <f t="shared" si="5"/>
        <v>0</v>
      </c>
      <c r="S58" s="60"/>
      <c r="T58" s="176">
        <f t="shared" si="6"/>
        <v>0</v>
      </c>
      <c r="U58" s="60"/>
      <c r="V58" s="176">
        <f t="shared" si="7"/>
        <v>0</v>
      </c>
      <c r="W58" s="60"/>
      <c r="X58" s="176">
        <f t="shared" si="8"/>
        <v>0</v>
      </c>
      <c r="Y58" s="60"/>
      <c r="Z58" s="176">
        <f t="shared" si="9"/>
        <v>0</v>
      </c>
      <c r="AA58" s="60"/>
      <c r="AB58" s="176">
        <f t="shared" si="10"/>
        <v>0</v>
      </c>
      <c r="AC58" s="60"/>
      <c r="AD58" s="176">
        <f t="shared" si="11"/>
        <v>0</v>
      </c>
      <c r="AE58" s="176">
        <f t="shared" si="12"/>
        <v>0</v>
      </c>
      <c r="AF58" s="176">
        <f t="shared" si="13"/>
        <v>0</v>
      </c>
    </row>
    <row r="59" spans="1:32" ht="20.100000000000001" customHeight="1">
      <c r="A59" s="63"/>
      <c r="B59" s="63"/>
      <c r="C59" s="63"/>
      <c r="D59" s="63"/>
      <c r="E59" s="63"/>
      <c r="F59" s="63"/>
      <c r="G59" s="60"/>
      <c r="H59" s="176">
        <f t="shared" si="0"/>
        <v>0</v>
      </c>
      <c r="I59" s="60"/>
      <c r="J59" s="176">
        <f t="shared" si="1"/>
        <v>0</v>
      </c>
      <c r="K59" s="60"/>
      <c r="L59" s="176">
        <f t="shared" si="2"/>
        <v>0</v>
      </c>
      <c r="M59" s="60"/>
      <c r="N59" s="176">
        <f t="shared" si="3"/>
        <v>0</v>
      </c>
      <c r="O59" s="60"/>
      <c r="P59" s="176">
        <f t="shared" si="4"/>
        <v>0</v>
      </c>
      <c r="Q59" s="60"/>
      <c r="R59" s="176">
        <f t="shared" si="5"/>
        <v>0</v>
      </c>
      <c r="S59" s="60"/>
      <c r="T59" s="176">
        <f t="shared" si="6"/>
        <v>0</v>
      </c>
      <c r="U59" s="60"/>
      <c r="V59" s="176">
        <f t="shared" si="7"/>
        <v>0</v>
      </c>
      <c r="W59" s="60"/>
      <c r="X59" s="176">
        <f t="shared" si="8"/>
        <v>0</v>
      </c>
      <c r="Y59" s="60"/>
      <c r="Z59" s="176">
        <f t="shared" si="9"/>
        <v>0</v>
      </c>
      <c r="AA59" s="60"/>
      <c r="AB59" s="176">
        <f t="shared" si="10"/>
        <v>0</v>
      </c>
      <c r="AC59" s="60"/>
      <c r="AD59" s="176">
        <f t="shared" si="11"/>
        <v>0</v>
      </c>
      <c r="AE59" s="176">
        <f t="shared" si="12"/>
        <v>0</v>
      </c>
      <c r="AF59" s="176">
        <f t="shared" si="13"/>
        <v>0</v>
      </c>
    </row>
    <row r="60" spans="1:32" ht="20.100000000000001" customHeight="1">
      <c r="A60" s="63">
        <v>49</v>
      </c>
      <c r="B60" s="63" t="s">
        <v>57</v>
      </c>
      <c r="C60" s="63" t="s">
        <v>17</v>
      </c>
      <c r="D60" s="63">
        <v>1</v>
      </c>
      <c r="E60" s="63" t="s">
        <v>15</v>
      </c>
      <c r="F60" s="63"/>
      <c r="G60" s="60"/>
      <c r="H60" s="176">
        <f t="shared" si="0"/>
        <v>0</v>
      </c>
      <c r="I60" s="60"/>
      <c r="J60" s="176">
        <f t="shared" si="1"/>
        <v>0</v>
      </c>
      <c r="K60" s="60"/>
      <c r="L60" s="176">
        <f t="shared" si="2"/>
        <v>0</v>
      </c>
      <c r="M60" s="60"/>
      <c r="N60" s="176">
        <f t="shared" si="3"/>
        <v>0</v>
      </c>
      <c r="O60" s="60"/>
      <c r="P60" s="176">
        <f t="shared" si="4"/>
        <v>0</v>
      </c>
      <c r="Q60" s="60"/>
      <c r="R60" s="176">
        <f t="shared" si="5"/>
        <v>0</v>
      </c>
      <c r="S60" s="60"/>
      <c r="T60" s="176">
        <f t="shared" si="6"/>
        <v>0</v>
      </c>
      <c r="U60" s="60"/>
      <c r="V60" s="176">
        <f t="shared" si="7"/>
        <v>0</v>
      </c>
      <c r="W60" s="60"/>
      <c r="X60" s="176">
        <f t="shared" si="8"/>
        <v>0</v>
      </c>
      <c r="Y60" s="60"/>
      <c r="Z60" s="176">
        <f t="shared" si="9"/>
        <v>0</v>
      </c>
      <c r="AA60" s="60"/>
      <c r="AB60" s="176">
        <f t="shared" si="10"/>
        <v>0</v>
      </c>
      <c r="AC60" s="60"/>
      <c r="AD60" s="176">
        <f t="shared" si="11"/>
        <v>0</v>
      </c>
      <c r="AE60" s="176">
        <f t="shared" si="12"/>
        <v>0</v>
      </c>
      <c r="AF60" s="176">
        <f t="shared" si="13"/>
        <v>0</v>
      </c>
    </row>
    <row r="61" spans="1:32" ht="20.100000000000001" customHeight="1">
      <c r="A61" s="63">
        <v>50</v>
      </c>
      <c r="B61" s="64" t="s">
        <v>58</v>
      </c>
      <c r="C61" s="63"/>
      <c r="D61" s="63">
        <v>0.6</v>
      </c>
      <c r="E61" s="63"/>
      <c r="F61" s="63"/>
      <c r="G61" s="60"/>
      <c r="H61" s="176">
        <f t="shared" si="0"/>
        <v>0</v>
      </c>
      <c r="I61" s="60"/>
      <c r="J61" s="176">
        <f t="shared" si="1"/>
        <v>0</v>
      </c>
      <c r="K61" s="60"/>
      <c r="L61" s="176">
        <f t="shared" si="2"/>
        <v>0</v>
      </c>
      <c r="M61" s="60"/>
      <c r="N61" s="176">
        <f t="shared" si="3"/>
        <v>0</v>
      </c>
      <c r="O61" s="60"/>
      <c r="P61" s="176">
        <f t="shared" si="4"/>
        <v>0</v>
      </c>
      <c r="Q61" s="60"/>
      <c r="R61" s="176">
        <f t="shared" si="5"/>
        <v>0</v>
      </c>
      <c r="S61" s="60"/>
      <c r="T61" s="176">
        <f t="shared" si="6"/>
        <v>0</v>
      </c>
      <c r="U61" s="60"/>
      <c r="V61" s="176">
        <f t="shared" si="7"/>
        <v>0</v>
      </c>
      <c r="W61" s="60"/>
      <c r="X61" s="176">
        <f t="shared" si="8"/>
        <v>0</v>
      </c>
      <c r="Y61" s="60"/>
      <c r="Z61" s="176">
        <f t="shared" si="9"/>
        <v>0</v>
      </c>
      <c r="AA61" s="60"/>
      <c r="AB61" s="176">
        <f t="shared" si="10"/>
        <v>0</v>
      </c>
      <c r="AC61" s="60"/>
      <c r="AD61" s="176">
        <f t="shared" si="11"/>
        <v>0</v>
      </c>
      <c r="AE61" s="176">
        <f t="shared" si="12"/>
        <v>0</v>
      </c>
      <c r="AF61" s="176">
        <f t="shared" si="13"/>
        <v>0</v>
      </c>
    </row>
    <row r="62" spans="1:32" ht="20.100000000000001" customHeight="1">
      <c r="A62" s="63">
        <v>51</v>
      </c>
      <c r="B62" s="63" t="s">
        <v>59</v>
      </c>
      <c r="C62" s="63" t="s">
        <v>17</v>
      </c>
      <c r="D62" s="63">
        <v>0.35</v>
      </c>
      <c r="E62" s="63" t="s">
        <v>21</v>
      </c>
      <c r="F62" s="63"/>
      <c r="G62" s="60"/>
      <c r="H62" s="176">
        <f t="shared" si="0"/>
        <v>0</v>
      </c>
      <c r="I62" s="60"/>
      <c r="J62" s="176">
        <f t="shared" si="1"/>
        <v>0</v>
      </c>
      <c r="K62" s="60"/>
      <c r="L62" s="176">
        <f t="shared" si="2"/>
        <v>0</v>
      </c>
      <c r="M62" s="60"/>
      <c r="N62" s="176">
        <f t="shared" si="3"/>
        <v>0</v>
      </c>
      <c r="O62" s="60"/>
      <c r="P62" s="176">
        <f t="shared" si="4"/>
        <v>0</v>
      </c>
      <c r="Q62" s="60"/>
      <c r="R62" s="176">
        <f t="shared" si="5"/>
        <v>0</v>
      </c>
      <c r="S62" s="60"/>
      <c r="T62" s="176">
        <f t="shared" si="6"/>
        <v>0</v>
      </c>
      <c r="U62" s="60"/>
      <c r="V62" s="176">
        <f t="shared" si="7"/>
        <v>0</v>
      </c>
      <c r="W62" s="60"/>
      <c r="X62" s="176">
        <f t="shared" si="8"/>
        <v>0</v>
      </c>
      <c r="Y62" s="60"/>
      <c r="Z62" s="176">
        <f t="shared" si="9"/>
        <v>0</v>
      </c>
      <c r="AA62" s="60"/>
      <c r="AB62" s="176">
        <f t="shared" si="10"/>
        <v>0</v>
      </c>
      <c r="AC62" s="60"/>
      <c r="AD62" s="176">
        <f t="shared" si="11"/>
        <v>0</v>
      </c>
      <c r="AE62" s="176">
        <f t="shared" si="12"/>
        <v>0</v>
      </c>
      <c r="AF62" s="176">
        <f t="shared" si="13"/>
        <v>0</v>
      </c>
    </row>
    <row r="63" spans="1:32" ht="20.100000000000001" customHeight="1">
      <c r="A63" s="63">
        <v>52</v>
      </c>
      <c r="B63" s="63" t="s">
        <v>60</v>
      </c>
      <c r="C63" s="63" t="s">
        <v>14</v>
      </c>
      <c r="D63" s="63">
        <v>0.64</v>
      </c>
      <c r="E63" s="63" t="s">
        <v>25</v>
      </c>
      <c r="F63" s="63">
        <v>1350</v>
      </c>
      <c r="G63" s="60"/>
      <c r="H63" s="176">
        <f t="shared" si="0"/>
        <v>0</v>
      </c>
      <c r="I63" s="60">
        <v>1</v>
      </c>
      <c r="J63" s="176">
        <f t="shared" si="1"/>
        <v>0.64</v>
      </c>
      <c r="K63" s="60"/>
      <c r="L63" s="176">
        <f t="shared" si="2"/>
        <v>0</v>
      </c>
      <c r="M63" s="60"/>
      <c r="N63" s="176">
        <f t="shared" si="3"/>
        <v>0</v>
      </c>
      <c r="O63" s="60"/>
      <c r="P63" s="176">
        <f t="shared" si="4"/>
        <v>0</v>
      </c>
      <c r="Q63" s="60">
        <v>4</v>
      </c>
      <c r="R63" s="176">
        <f t="shared" si="5"/>
        <v>2.56</v>
      </c>
      <c r="S63" s="60">
        <v>4</v>
      </c>
      <c r="T63" s="176">
        <f t="shared" si="6"/>
        <v>2.56</v>
      </c>
      <c r="U63" s="60"/>
      <c r="V63" s="176">
        <f t="shared" si="7"/>
        <v>0</v>
      </c>
      <c r="W63" s="60"/>
      <c r="X63" s="176">
        <f t="shared" si="8"/>
        <v>0</v>
      </c>
      <c r="Y63" s="60"/>
      <c r="Z63" s="176">
        <f t="shared" si="9"/>
        <v>0</v>
      </c>
      <c r="AA63" s="60">
        <v>1</v>
      </c>
      <c r="AB63" s="176">
        <f t="shared" si="10"/>
        <v>0.64</v>
      </c>
      <c r="AC63" s="60"/>
      <c r="AD63" s="176">
        <f t="shared" si="11"/>
        <v>0</v>
      </c>
      <c r="AE63" s="176">
        <f t="shared" si="12"/>
        <v>10</v>
      </c>
      <c r="AF63" s="176">
        <f t="shared" si="13"/>
        <v>6.3999999999999995</v>
      </c>
    </row>
    <row r="64" spans="1:32" ht="20.100000000000001" customHeight="1">
      <c r="A64" s="63">
        <v>53</v>
      </c>
      <c r="B64" s="63" t="s">
        <v>61</v>
      </c>
      <c r="C64" s="63" t="s">
        <v>14</v>
      </c>
      <c r="D64" s="63">
        <v>0.64</v>
      </c>
      <c r="E64" s="63" t="s">
        <v>25</v>
      </c>
      <c r="F64" s="63">
        <v>1280</v>
      </c>
      <c r="G64" s="60">
        <v>2</v>
      </c>
      <c r="H64" s="176">
        <f t="shared" si="0"/>
        <v>1.28</v>
      </c>
      <c r="I64" s="60">
        <v>8</v>
      </c>
      <c r="J64" s="176">
        <f t="shared" si="1"/>
        <v>5.12</v>
      </c>
      <c r="K64" s="60">
        <v>16</v>
      </c>
      <c r="L64" s="176">
        <f t="shared" si="2"/>
        <v>10.24</v>
      </c>
      <c r="M64" s="60">
        <v>563</v>
      </c>
      <c r="N64" s="176">
        <f t="shared" si="3"/>
        <v>360.32</v>
      </c>
      <c r="O64" s="60"/>
      <c r="P64" s="176">
        <f t="shared" si="4"/>
        <v>0</v>
      </c>
      <c r="Q64" s="60"/>
      <c r="R64" s="176">
        <f t="shared" si="5"/>
        <v>0</v>
      </c>
      <c r="S64" s="60"/>
      <c r="T64" s="176">
        <f t="shared" si="6"/>
        <v>0</v>
      </c>
      <c r="U64" s="60">
        <v>6</v>
      </c>
      <c r="V64" s="176">
        <f t="shared" si="7"/>
        <v>3.84</v>
      </c>
      <c r="W64" s="60"/>
      <c r="X64" s="176">
        <f t="shared" si="8"/>
        <v>0</v>
      </c>
      <c r="Y64" s="60"/>
      <c r="Z64" s="176">
        <f t="shared" si="9"/>
        <v>0</v>
      </c>
      <c r="AA64" s="60"/>
      <c r="AB64" s="176">
        <f t="shared" si="10"/>
        <v>0</v>
      </c>
      <c r="AC64" s="60"/>
      <c r="AD64" s="176">
        <f t="shared" si="11"/>
        <v>0</v>
      </c>
      <c r="AE64" s="176">
        <f t="shared" si="12"/>
        <v>595</v>
      </c>
      <c r="AF64" s="176">
        <f t="shared" si="13"/>
        <v>380.79999999999995</v>
      </c>
    </row>
    <row r="65" spans="1:32" ht="20.100000000000001" customHeight="1">
      <c r="A65" s="63"/>
      <c r="B65" s="63"/>
      <c r="C65" s="63"/>
      <c r="D65" s="63"/>
      <c r="E65" s="63"/>
      <c r="F65" s="63"/>
      <c r="G65" s="60"/>
      <c r="H65" s="176">
        <f t="shared" si="0"/>
        <v>0</v>
      </c>
      <c r="I65" s="60"/>
      <c r="J65" s="176">
        <f t="shared" si="1"/>
        <v>0</v>
      </c>
      <c r="K65" s="60"/>
      <c r="L65" s="176">
        <f t="shared" si="2"/>
        <v>0</v>
      </c>
      <c r="M65" s="60"/>
      <c r="N65" s="176">
        <f t="shared" si="3"/>
        <v>0</v>
      </c>
      <c r="O65" s="60"/>
      <c r="P65" s="176">
        <f t="shared" si="4"/>
        <v>0</v>
      </c>
      <c r="Q65" s="60"/>
      <c r="R65" s="176">
        <f t="shared" si="5"/>
        <v>0</v>
      </c>
      <c r="S65" s="60"/>
      <c r="T65" s="176">
        <f t="shared" si="6"/>
        <v>0</v>
      </c>
      <c r="U65" s="60"/>
      <c r="V65" s="176">
        <f t="shared" si="7"/>
        <v>0</v>
      </c>
      <c r="W65" s="60"/>
      <c r="X65" s="176">
        <f t="shared" si="8"/>
        <v>0</v>
      </c>
      <c r="Y65" s="60"/>
      <c r="Z65" s="176">
        <f t="shared" si="9"/>
        <v>0</v>
      </c>
      <c r="AA65" s="60"/>
      <c r="AB65" s="176">
        <f t="shared" si="10"/>
        <v>0</v>
      </c>
      <c r="AC65" s="60"/>
      <c r="AD65" s="176">
        <f t="shared" si="11"/>
        <v>0</v>
      </c>
      <c r="AE65" s="176">
        <f t="shared" si="12"/>
        <v>0</v>
      </c>
      <c r="AF65" s="176">
        <f t="shared" si="13"/>
        <v>0</v>
      </c>
    </row>
    <row r="66" spans="1:32" ht="20.100000000000001" customHeight="1">
      <c r="A66" s="63">
        <v>54</v>
      </c>
      <c r="B66" s="63" t="s">
        <v>62</v>
      </c>
      <c r="C66" s="63" t="s">
        <v>17</v>
      </c>
      <c r="D66" s="63">
        <v>1</v>
      </c>
      <c r="E66" s="63" t="s">
        <v>15</v>
      </c>
      <c r="F66" s="63"/>
      <c r="G66" s="60"/>
      <c r="H66" s="176">
        <f t="shared" si="0"/>
        <v>0</v>
      </c>
      <c r="I66" s="60"/>
      <c r="J66" s="176">
        <f t="shared" si="1"/>
        <v>0</v>
      </c>
      <c r="K66" s="60"/>
      <c r="L66" s="176">
        <f t="shared" si="2"/>
        <v>0</v>
      </c>
      <c r="M66" s="60"/>
      <c r="N66" s="176">
        <f t="shared" si="3"/>
        <v>0</v>
      </c>
      <c r="O66" s="60"/>
      <c r="P66" s="176">
        <f t="shared" si="4"/>
        <v>0</v>
      </c>
      <c r="Q66" s="60"/>
      <c r="R66" s="176">
        <f t="shared" si="5"/>
        <v>0</v>
      </c>
      <c r="S66" s="60"/>
      <c r="T66" s="176">
        <f t="shared" si="6"/>
        <v>0</v>
      </c>
      <c r="U66" s="60"/>
      <c r="V66" s="176">
        <f t="shared" si="7"/>
        <v>0</v>
      </c>
      <c r="W66" s="60"/>
      <c r="X66" s="176">
        <f t="shared" si="8"/>
        <v>0</v>
      </c>
      <c r="Y66" s="60"/>
      <c r="Z66" s="176">
        <f t="shared" si="9"/>
        <v>0</v>
      </c>
      <c r="AA66" s="60"/>
      <c r="AB66" s="176">
        <f t="shared" si="10"/>
        <v>0</v>
      </c>
      <c r="AC66" s="60"/>
      <c r="AD66" s="176">
        <f t="shared" si="11"/>
        <v>0</v>
      </c>
      <c r="AE66" s="176">
        <f t="shared" si="12"/>
        <v>0</v>
      </c>
      <c r="AF66" s="176">
        <f t="shared" si="13"/>
        <v>0</v>
      </c>
    </row>
    <row r="67" spans="1:32" ht="20.100000000000001" customHeight="1">
      <c r="A67" s="63">
        <v>55</v>
      </c>
      <c r="B67" s="63" t="s">
        <v>63</v>
      </c>
      <c r="C67" s="63" t="s">
        <v>17</v>
      </c>
      <c r="D67" s="63">
        <v>0.6</v>
      </c>
      <c r="E67" s="63" t="s">
        <v>15</v>
      </c>
      <c r="F67" s="63"/>
      <c r="G67" s="60"/>
      <c r="H67" s="176">
        <f t="shared" si="0"/>
        <v>0</v>
      </c>
      <c r="I67" s="60"/>
      <c r="J67" s="176">
        <f t="shared" si="1"/>
        <v>0</v>
      </c>
      <c r="K67" s="60"/>
      <c r="L67" s="176">
        <f t="shared" si="2"/>
        <v>0</v>
      </c>
      <c r="M67" s="60"/>
      <c r="N67" s="176">
        <f t="shared" si="3"/>
        <v>0</v>
      </c>
      <c r="O67" s="60"/>
      <c r="P67" s="176">
        <f t="shared" si="4"/>
        <v>0</v>
      </c>
      <c r="Q67" s="60"/>
      <c r="R67" s="176">
        <f t="shared" si="5"/>
        <v>0</v>
      </c>
      <c r="S67" s="60"/>
      <c r="T67" s="176">
        <f t="shared" si="6"/>
        <v>0</v>
      </c>
      <c r="U67" s="60"/>
      <c r="V67" s="176">
        <f t="shared" si="7"/>
        <v>0</v>
      </c>
      <c r="W67" s="60"/>
      <c r="X67" s="176">
        <f t="shared" si="8"/>
        <v>0</v>
      </c>
      <c r="Y67" s="60"/>
      <c r="Z67" s="176">
        <f t="shared" si="9"/>
        <v>0</v>
      </c>
      <c r="AA67" s="60"/>
      <c r="AB67" s="176">
        <f t="shared" si="10"/>
        <v>0</v>
      </c>
      <c r="AC67" s="60"/>
      <c r="AD67" s="176">
        <f t="shared" si="11"/>
        <v>0</v>
      </c>
      <c r="AE67" s="176">
        <f t="shared" si="12"/>
        <v>0</v>
      </c>
      <c r="AF67" s="176">
        <f t="shared" si="13"/>
        <v>0</v>
      </c>
    </row>
    <row r="68" spans="1:32" ht="20.100000000000001" customHeight="1">
      <c r="A68" s="63">
        <v>56</v>
      </c>
      <c r="B68" s="63" t="s">
        <v>64</v>
      </c>
      <c r="C68" s="63" t="s">
        <v>14</v>
      </c>
      <c r="D68" s="63">
        <v>0.64</v>
      </c>
      <c r="E68" s="63" t="s">
        <v>25</v>
      </c>
      <c r="F68" s="63"/>
      <c r="G68" s="60"/>
      <c r="H68" s="176">
        <f t="shared" si="0"/>
        <v>0</v>
      </c>
      <c r="I68" s="60"/>
      <c r="J68" s="176">
        <f t="shared" si="1"/>
        <v>0</v>
      </c>
      <c r="K68" s="60"/>
      <c r="L68" s="176">
        <f t="shared" si="2"/>
        <v>0</v>
      </c>
      <c r="M68" s="60"/>
      <c r="N68" s="176">
        <f t="shared" si="3"/>
        <v>0</v>
      </c>
      <c r="O68" s="60"/>
      <c r="P68" s="176">
        <f t="shared" si="4"/>
        <v>0</v>
      </c>
      <c r="Q68" s="60"/>
      <c r="R68" s="176">
        <f t="shared" si="5"/>
        <v>0</v>
      </c>
      <c r="S68" s="60"/>
      <c r="T68" s="176">
        <f t="shared" si="6"/>
        <v>0</v>
      </c>
      <c r="U68" s="60"/>
      <c r="V68" s="176">
        <f t="shared" si="7"/>
        <v>0</v>
      </c>
      <c r="W68" s="60"/>
      <c r="X68" s="176">
        <f t="shared" si="8"/>
        <v>0</v>
      </c>
      <c r="Y68" s="60"/>
      <c r="Z68" s="176">
        <f t="shared" si="9"/>
        <v>0</v>
      </c>
      <c r="AA68" s="60"/>
      <c r="AB68" s="176">
        <f t="shared" si="10"/>
        <v>0</v>
      </c>
      <c r="AC68" s="60"/>
      <c r="AD68" s="176">
        <f t="shared" si="11"/>
        <v>0</v>
      </c>
      <c r="AE68" s="176">
        <f t="shared" si="12"/>
        <v>0</v>
      </c>
      <c r="AF68" s="176">
        <f t="shared" si="13"/>
        <v>0</v>
      </c>
    </row>
    <row r="69" spans="1:32" ht="20.100000000000001" customHeight="1">
      <c r="A69" s="63"/>
      <c r="B69" s="63"/>
      <c r="C69" s="63"/>
      <c r="D69" s="63"/>
      <c r="E69" s="63"/>
      <c r="F69" s="63"/>
      <c r="G69" s="60"/>
      <c r="H69" s="176">
        <f t="shared" ref="H69:H137" si="14">G69*$D69</f>
        <v>0</v>
      </c>
      <c r="I69" s="60"/>
      <c r="J69" s="176">
        <f t="shared" ref="J69:J137" si="15">I69*$D69</f>
        <v>0</v>
      </c>
      <c r="K69" s="60"/>
      <c r="L69" s="176">
        <f t="shared" ref="L69:L137" si="16">K69*$D69</f>
        <v>0</v>
      </c>
      <c r="M69" s="60"/>
      <c r="N69" s="176">
        <f t="shared" ref="N69:N137" si="17">M69*$D69</f>
        <v>0</v>
      </c>
      <c r="O69" s="60"/>
      <c r="P69" s="176">
        <f t="shared" ref="P69:P137" si="18">O69*$D69</f>
        <v>0</v>
      </c>
      <c r="Q69" s="60"/>
      <c r="R69" s="176">
        <f t="shared" ref="R69:R137" si="19">Q69*$D69</f>
        <v>0</v>
      </c>
      <c r="S69" s="60"/>
      <c r="T69" s="176">
        <f t="shared" ref="T69:T130" si="20">S69*D69</f>
        <v>0</v>
      </c>
      <c r="U69" s="60"/>
      <c r="V69" s="176">
        <f t="shared" ref="V69:V133" si="21">U69*D69</f>
        <v>0</v>
      </c>
      <c r="W69" s="60"/>
      <c r="X69" s="176">
        <f t="shared" ref="X69:X133" si="22">W69*D69</f>
        <v>0</v>
      </c>
      <c r="Y69" s="60"/>
      <c r="Z69" s="176">
        <f t="shared" ref="Z69:Z132" si="23">Y69*D69</f>
        <v>0</v>
      </c>
      <c r="AA69" s="60"/>
      <c r="AB69" s="176">
        <f t="shared" ref="AB69:AB132" si="24">AA69*D69</f>
        <v>0</v>
      </c>
      <c r="AC69" s="60"/>
      <c r="AD69" s="176">
        <f t="shared" ref="AD69:AD132" si="25">AC69*D69</f>
        <v>0</v>
      </c>
      <c r="AE69" s="176">
        <f t="shared" ref="AE69:AE137" si="26">G69+I69+K69+M69+O69+Q69+S69+U69+W69+Y69+AA69+AC69</f>
        <v>0</v>
      </c>
      <c r="AF69" s="176">
        <f t="shared" ref="AF69:AF137" si="27">H69+J69+L69+N69+P69+R69+T69+V69+X69+Z69+AB69+AD69</f>
        <v>0</v>
      </c>
    </row>
    <row r="70" spans="1:32" ht="20.100000000000001" customHeight="1">
      <c r="A70" s="63">
        <v>57</v>
      </c>
      <c r="B70" s="63" t="s">
        <v>65</v>
      </c>
      <c r="C70" s="63" t="s">
        <v>17</v>
      </c>
      <c r="D70" s="63">
        <v>1</v>
      </c>
      <c r="E70" s="63" t="s">
        <v>15</v>
      </c>
      <c r="F70" s="63"/>
      <c r="G70" s="60"/>
      <c r="H70" s="176">
        <f t="shared" si="14"/>
        <v>0</v>
      </c>
      <c r="I70" s="60"/>
      <c r="J70" s="176">
        <f t="shared" si="15"/>
        <v>0</v>
      </c>
      <c r="K70" s="60"/>
      <c r="L70" s="176">
        <f t="shared" si="16"/>
        <v>0</v>
      </c>
      <c r="M70" s="60"/>
      <c r="N70" s="176">
        <f t="shared" si="17"/>
        <v>0</v>
      </c>
      <c r="O70" s="60"/>
      <c r="P70" s="176">
        <f t="shared" si="18"/>
        <v>0</v>
      </c>
      <c r="Q70" s="60"/>
      <c r="R70" s="176">
        <f t="shared" si="19"/>
        <v>0</v>
      </c>
      <c r="S70" s="60"/>
      <c r="T70" s="176">
        <f t="shared" si="20"/>
        <v>0</v>
      </c>
      <c r="U70" s="60"/>
      <c r="V70" s="176">
        <f t="shared" si="21"/>
        <v>0</v>
      </c>
      <c r="W70" s="60"/>
      <c r="X70" s="176">
        <f t="shared" si="22"/>
        <v>0</v>
      </c>
      <c r="Y70" s="60"/>
      <c r="Z70" s="176">
        <f t="shared" si="23"/>
        <v>0</v>
      </c>
      <c r="AA70" s="60"/>
      <c r="AB70" s="176">
        <f t="shared" si="24"/>
        <v>0</v>
      </c>
      <c r="AC70" s="60"/>
      <c r="AD70" s="176">
        <f t="shared" si="25"/>
        <v>0</v>
      </c>
      <c r="AE70" s="176">
        <f t="shared" si="26"/>
        <v>0</v>
      </c>
      <c r="AF70" s="176">
        <f t="shared" si="27"/>
        <v>0</v>
      </c>
    </row>
    <row r="71" spans="1:32" ht="20.100000000000001" customHeight="1">
      <c r="A71" s="63">
        <v>58</v>
      </c>
      <c r="B71" s="63" t="s">
        <v>66</v>
      </c>
      <c r="C71" s="63" t="s">
        <v>17</v>
      </c>
      <c r="D71" s="63">
        <v>0.6</v>
      </c>
      <c r="E71" s="63" t="s">
        <v>15</v>
      </c>
      <c r="F71" s="63"/>
      <c r="G71" s="60"/>
      <c r="H71" s="176">
        <f t="shared" si="14"/>
        <v>0</v>
      </c>
      <c r="I71" s="60"/>
      <c r="J71" s="176">
        <f t="shared" si="15"/>
        <v>0</v>
      </c>
      <c r="K71" s="60"/>
      <c r="L71" s="176">
        <f t="shared" si="16"/>
        <v>0</v>
      </c>
      <c r="M71" s="60"/>
      <c r="N71" s="176">
        <f t="shared" si="17"/>
        <v>0</v>
      </c>
      <c r="O71" s="60"/>
      <c r="P71" s="176">
        <f t="shared" si="18"/>
        <v>0</v>
      </c>
      <c r="Q71" s="60"/>
      <c r="R71" s="176">
        <f t="shared" si="19"/>
        <v>0</v>
      </c>
      <c r="S71" s="60"/>
      <c r="T71" s="176">
        <f t="shared" si="20"/>
        <v>0</v>
      </c>
      <c r="U71" s="60"/>
      <c r="V71" s="176">
        <f t="shared" si="21"/>
        <v>0</v>
      </c>
      <c r="W71" s="60"/>
      <c r="X71" s="176">
        <f t="shared" si="22"/>
        <v>0</v>
      </c>
      <c r="Y71" s="60"/>
      <c r="Z71" s="176">
        <f t="shared" si="23"/>
        <v>0</v>
      </c>
      <c r="AA71" s="60"/>
      <c r="AB71" s="176">
        <f t="shared" si="24"/>
        <v>0</v>
      </c>
      <c r="AC71" s="60"/>
      <c r="AD71" s="176">
        <f t="shared" si="25"/>
        <v>0</v>
      </c>
      <c r="AE71" s="176">
        <f t="shared" si="26"/>
        <v>0</v>
      </c>
      <c r="AF71" s="176">
        <f t="shared" si="27"/>
        <v>0</v>
      </c>
    </row>
    <row r="72" spans="1:32" ht="20.100000000000001" customHeight="1">
      <c r="A72" s="63">
        <v>59</v>
      </c>
      <c r="B72" s="63" t="s">
        <v>67</v>
      </c>
      <c r="C72" s="63" t="s">
        <v>14</v>
      </c>
      <c r="D72" s="63">
        <v>0.64</v>
      </c>
      <c r="E72" s="63" t="s">
        <v>25</v>
      </c>
      <c r="F72" s="63"/>
      <c r="G72" s="60"/>
      <c r="H72" s="176">
        <f t="shared" si="14"/>
        <v>0</v>
      </c>
      <c r="I72" s="60"/>
      <c r="J72" s="176">
        <f t="shared" si="15"/>
        <v>0</v>
      </c>
      <c r="K72" s="60"/>
      <c r="L72" s="176">
        <f t="shared" si="16"/>
        <v>0</v>
      </c>
      <c r="M72" s="60"/>
      <c r="N72" s="176">
        <f t="shared" si="17"/>
        <v>0</v>
      </c>
      <c r="O72" s="60"/>
      <c r="P72" s="176">
        <f t="shared" si="18"/>
        <v>0</v>
      </c>
      <c r="Q72" s="60"/>
      <c r="R72" s="176">
        <f t="shared" si="19"/>
        <v>0</v>
      </c>
      <c r="S72" s="60"/>
      <c r="T72" s="176">
        <f t="shared" si="20"/>
        <v>0</v>
      </c>
      <c r="U72" s="60"/>
      <c r="V72" s="176">
        <f t="shared" si="21"/>
        <v>0</v>
      </c>
      <c r="W72" s="60"/>
      <c r="X72" s="176">
        <f t="shared" si="22"/>
        <v>0</v>
      </c>
      <c r="Y72" s="60"/>
      <c r="Z72" s="176">
        <f t="shared" si="23"/>
        <v>0</v>
      </c>
      <c r="AA72" s="60"/>
      <c r="AB72" s="176">
        <f t="shared" si="24"/>
        <v>0</v>
      </c>
      <c r="AC72" s="60"/>
      <c r="AD72" s="176">
        <f t="shared" si="25"/>
        <v>0</v>
      </c>
      <c r="AE72" s="176">
        <f t="shared" si="26"/>
        <v>0</v>
      </c>
      <c r="AF72" s="176">
        <f t="shared" si="27"/>
        <v>0</v>
      </c>
    </row>
    <row r="73" spans="1:32" ht="20.100000000000001" customHeight="1">
      <c r="A73" s="63"/>
      <c r="B73" s="63"/>
      <c r="C73" s="63"/>
      <c r="D73" s="63"/>
      <c r="E73" s="63"/>
      <c r="F73" s="63"/>
      <c r="G73" s="60"/>
      <c r="H73" s="176">
        <f t="shared" si="14"/>
        <v>0</v>
      </c>
      <c r="I73" s="60"/>
      <c r="J73" s="176">
        <f t="shared" si="15"/>
        <v>0</v>
      </c>
      <c r="K73" s="60"/>
      <c r="L73" s="176">
        <f t="shared" si="16"/>
        <v>0</v>
      </c>
      <c r="M73" s="60"/>
      <c r="N73" s="176">
        <f t="shared" si="17"/>
        <v>0</v>
      </c>
      <c r="O73" s="60"/>
      <c r="P73" s="176">
        <f t="shared" si="18"/>
        <v>0</v>
      </c>
      <c r="Q73" s="60"/>
      <c r="R73" s="176">
        <f t="shared" si="19"/>
        <v>0</v>
      </c>
      <c r="S73" s="60"/>
      <c r="T73" s="176">
        <f t="shared" si="20"/>
        <v>0</v>
      </c>
      <c r="U73" s="60"/>
      <c r="V73" s="176">
        <f t="shared" si="21"/>
        <v>0</v>
      </c>
      <c r="W73" s="60"/>
      <c r="X73" s="176">
        <f t="shared" si="22"/>
        <v>0</v>
      </c>
      <c r="Y73" s="60"/>
      <c r="Z73" s="176">
        <f t="shared" si="23"/>
        <v>0</v>
      </c>
      <c r="AA73" s="60"/>
      <c r="AB73" s="176">
        <f t="shared" si="24"/>
        <v>0</v>
      </c>
      <c r="AC73" s="60"/>
      <c r="AD73" s="176">
        <f t="shared" si="25"/>
        <v>0</v>
      </c>
      <c r="AE73" s="176">
        <f t="shared" si="26"/>
        <v>0</v>
      </c>
      <c r="AF73" s="176">
        <f t="shared" si="27"/>
        <v>0</v>
      </c>
    </row>
    <row r="74" spans="1:32" ht="20.100000000000001" customHeight="1">
      <c r="A74" s="63">
        <v>60</v>
      </c>
      <c r="B74" s="63" t="s">
        <v>68</v>
      </c>
      <c r="C74" s="63" t="s">
        <v>14</v>
      </c>
      <c r="D74" s="63">
        <v>0.64</v>
      </c>
      <c r="E74" s="63" t="s">
        <v>25</v>
      </c>
      <c r="F74" s="63"/>
      <c r="G74" s="60"/>
      <c r="H74" s="176">
        <f t="shared" si="14"/>
        <v>0</v>
      </c>
      <c r="I74" s="60"/>
      <c r="J74" s="176">
        <f t="shared" si="15"/>
        <v>0</v>
      </c>
      <c r="K74" s="60"/>
      <c r="L74" s="176">
        <f t="shared" si="16"/>
        <v>0</v>
      </c>
      <c r="M74" s="60"/>
      <c r="N74" s="176">
        <f t="shared" si="17"/>
        <v>0</v>
      </c>
      <c r="O74" s="60"/>
      <c r="P74" s="176">
        <f t="shared" si="18"/>
        <v>0</v>
      </c>
      <c r="Q74" s="60"/>
      <c r="R74" s="176">
        <f t="shared" si="19"/>
        <v>0</v>
      </c>
      <c r="S74" s="60"/>
      <c r="T74" s="176">
        <f t="shared" si="20"/>
        <v>0</v>
      </c>
      <c r="U74" s="60"/>
      <c r="V74" s="176">
        <f t="shared" si="21"/>
        <v>0</v>
      </c>
      <c r="W74" s="60"/>
      <c r="X74" s="176">
        <f t="shared" si="22"/>
        <v>0</v>
      </c>
      <c r="Y74" s="60"/>
      <c r="Z74" s="176">
        <f t="shared" si="23"/>
        <v>0</v>
      </c>
      <c r="AA74" s="60"/>
      <c r="AB74" s="176">
        <f t="shared" si="24"/>
        <v>0</v>
      </c>
      <c r="AC74" s="60"/>
      <c r="AD74" s="176">
        <f t="shared" si="25"/>
        <v>0</v>
      </c>
      <c r="AE74" s="176">
        <f t="shared" si="26"/>
        <v>0</v>
      </c>
      <c r="AF74" s="176">
        <f t="shared" si="27"/>
        <v>0</v>
      </c>
    </row>
    <row r="75" spans="1:32" ht="20.100000000000001" customHeight="1">
      <c r="A75" s="63">
        <v>61</v>
      </c>
      <c r="B75" s="63" t="s">
        <v>68</v>
      </c>
      <c r="C75" s="63" t="s">
        <v>14</v>
      </c>
      <c r="D75" s="63">
        <v>0.64</v>
      </c>
      <c r="E75" s="63" t="s">
        <v>24</v>
      </c>
      <c r="F75" s="63">
        <v>1330</v>
      </c>
      <c r="G75" s="60"/>
      <c r="H75" s="176">
        <f t="shared" si="14"/>
        <v>0</v>
      </c>
      <c r="I75" s="60">
        <v>3</v>
      </c>
      <c r="J75" s="176">
        <f t="shared" si="15"/>
        <v>1.92</v>
      </c>
      <c r="K75" s="60">
        <v>2</v>
      </c>
      <c r="L75" s="176">
        <f t="shared" si="16"/>
        <v>1.28</v>
      </c>
      <c r="M75" s="60"/>
      <c r="N75" s="176">
        <f t="shared" si="17"/>
        <v>0</v>
      </c>
      <c r="O75" s="60">
        <v>124</v>
      </c>
      <c r="P75" s="176">
        <f t="shared" si="18"/>
        <v>79.36</v>
      </c>
      <c r="Q75" s="60">
        <v>4</v>
      </c>
      <c r="R75" s="176">
        <f t="shared" si="19"/>
        <v>2.56</v>
      </c>
      <c r="S75" s="60">
        <v>7</v>
      </c>
      <c r="T75" s="176">
        <f t="shared" si="20"/>
        <v>4.4800000000000004</v>
      </c>
      <c r="U75" s="60"/>
      <c r="V75" s="176">
        <f t="shared" si="21"/>
        <v>0</v>
      </c>
      <c r="W75" s="60"/>
      <c r="X75" s="176">
        <f t="shared" si="22"/>
        <v>0</v>
      </c>
      <c r="Y75" s="60">
        <v>2</v>
      </c>
      <c r="Z75" s="176">
        <f t="shared" si="23"/>
        <v>1.28</v>
      </c>
      <c r="AA75" s="60">
        <v>1</v>
      </c>
      <c r="AB75" s="176">
        <f t="shared" si="24"/>
        <v>0.64</v>
      </c>
      <c r="AC75" s="60"/>
      <c r="AD75" s="176">
        <f t="shared" si="25"/>
        <v>0</v>
      </c>
      <c r="AE75" s="176">
        <f t="shared" si="26"/>
        <v>143</v>
      </c>
      <c r="AF75" s="176">
        <f t="shared" si="27"/>
        <v>91.52000000000001</v>
      </c>
    </row>
    <row r="76" spans="1:32" ht="20.100000000000001" customHeight="1">
      <c r="A76" s="63"/>
      <c r="B76" s="63"/>
      <c r="C76" s="63"/>
      <c r="D76" s="63"/>
      <c r="E76" s="63"/>
      <c r="F76" s="63"/>
      <c r="G76" s="60"/>
      <c r="H76" s="176">
        <f t="shared" si="14"/>
        <v>0</v>
      </c>
      <c r="I76" s="60"/>
      <c r="J76" s="176">
        <f t="shared" si="15"/>
        <v>0</v>
      </c>
      <c r="K76" s="60"/>
      <c r="L76" s="176">
        <f t="shared" si="16"/>
        <v>0</v>
      </c>
      <c r="M76" s="60"/>
      <c r="N76" s="176">
        <f t="shared" si="17"/>
        <v>0</v>
      </c>
      <c r="O76" s="60"/>
      <c r="P76" s="176">
        <f t="shared" si="18"/>
        <v>0</v>
      </c>
      <c r="Q76" s="60"/>
      <c r="R76" s="176">
        <f t="shared" si="19"/>
        <v>0</v>
      </c>
      <c r="S76" s="60"/>
      <c r="T76" s="176">
        <f t="shared" si="20"/>
        <v>0</v>
      </c>
      <c r="U76" s="60"/>
      <c r="V76" s="176">
        <f t="shared" si="21"/>
        <v>0</v>
      </c>
      <c r="W76" s="60"/>
      <c r="X76" s="176">
        <f t="shared" si="22"/>
        <v>0</v>
      </c>
      <c r="Y76" s="60"/>
      <c r="Z76" s="176">
        <f t="shared" si="23"/>
        <v>0</v>
      </c>
      <c r="AA76" s="60"/>
      <c r="AB76" s="176">
        <f t="shared" si="24"/>
        <v>0</v>
      </c>
      <c r="AC76" s="60"/>
      <c r="AD76" s="176">
        <f t="shared" si="25"/>
        <v>0</v>
      </c>
      <c r="AE76" s="176">
        <f t="shared" si="26"/>
        <v>0</v>
      </c>
      <c r="AF76" s="176">
        <f t="shared" si="27"/>
        <v>0</v>
      </c>
    </row>
    <row r="77" spans="1:32" ht="20.100000000000001" customHeight="1">
      <c r="A77" s="63">
        <v>62</v>
      </c>
      <c r="B77" s="63" t="s">
        <v>69</v>
      </c>
      <c r="C77" s="63" t="s">
        <v>14</v>
      </c>
      <c r="D77" s="63">
        <v>0.64</v>
      </c>
      <c r="E77" s="63" t="s">
        <v>25</v>
      </c>
      <c r="F77" s="63"/>
      <c r="G77" s="60"/>
      <c r="H77" s="176">
        <f t="shared" si="14"/>
        <v>0</v>
      </c>
      <c r="I77" s="60"/>
      <c r="J77" s="176">
        <f t="shared" si="15"/>
        <v>0</v>
      </c>
      <c r="K77" s="60"/>
      <c r="L77" s="176">
        <f t="shared" si="16"/>
        <v>0</v>
      </c>
      <c r="M77" s="60"/>
      <c r="N77" s="176">
        <f t="shared" si="17"/>
        <v>0</v>
      </c>
      <c r="O77" s="60"/>
      <c r="P77" s="176">
        <f t="shared" si="18"/>
        <v>0</v>
      </c>
      <c r="Q77" s="60"/>
      <c r="R77" s="176">
        <f t="shared" si="19"/>
        <v>0</v>
      </c>
      <c r="S77" s="60"/>
      <c r="T77" s="176">
        <f t="shared" si="20"/>
        <v>0</v>
      </c>
      <c r="U77" s="60"/>
      <c r="V77" s="176">
        <f t="shared" si="21"/>
        <v>0</v>
      </c>
      <c r="W77" s="60"/>
      <c r="X77" s="176">
        <f t="shared" si="22"/>
        <v>0</v>
      </c>
      <c r="Y77" s="60"/>
      <c r="Z77" s="176">
        <f t="shared" si="23"/>
        <v>0</v>
      </c>
      <c r="AA77" s="60"/>
      <c r="AB77" s="176">
        <f t="shared" si="24"/>
        <v>0</v>
      </c>
      <c r="AC77" s="60"/>
      <c r="AD77" s="176">
        <f t="shared" si="25"/>
        <v>0</v>
      </c>
      <c r="AE77" s="176">
        <f t="shared" si="26"/>
        <v>0</v>
      </c>
      <c r="AF77" s="176">
        <f t="shared" si="27"/>
        <v>0</v>
      </c>
    </row>
    <row r="78" spans="1:32" ht="20.100000000000001" customHeight="1">
      <c r="A78" s="63">
        <v>63</v>
      </c>
      <c r="B78" s="63" t="s">
        <v>69</v>
      </c>
      <c r="C78" s="63" t="s">
        <v>14</v>
      </c>
      <c r="D78" s="63">
        <v>0.64</v>
      </c>
      <c r="E78" s="63" t="s">
        <v>24</v>
      </c>
      <c r="F78" s="63"/>
      <c r="G78" s="60"/>
      <c r="H78" s="176">
        <f t="shared" si="14"/>
        <v>0</v>
      </c>
      <c r="I78" s="60"/>
      <c r="J78" s="176">
        <f t="shared" si="15"/>
        <v>0</v>
      </c>
      <c r="K78" s="60"/>
      <c r="L78" s="176">
        <f t="shared" si="16"/>
        <v>0</v>
      </c>
      <c r="M78" s="60"/>
      <c r="N78" s="176">
        <f t="shared" si="17"/>
        <v>0</v>
      </c>
      <c r="O78" s="60"/>
      <c r="P78" s="176">
        <f t="shared" si="18"/>
        <v>0</v>
      </c>
      <c r="Q78" s="60"/>
      <c r="R78" s="176">
        <f t="shared" si="19"/>
        <v>0</v>
      </c>
      <c r="S78" s="60"/>
      <c r="T78" s="176">
        <f t="shared" si="20"/>
        <v>0</v>
      </c>
      <c r="U78" s="60"/>
      <c r="V78" s="176">
        <f t="shared" si="21"/>
        <v>0</v>
      </c>
      <c r="W78" s="60"/>
      <c r="X78" s="176">
        <f t="shared" si="22"/>
        <v>0</v>
      </c>
      <c r="Y78" s="60"/>
      <c r="Z78" s="176">
        <f t="shared" si="23"/>
        <v>0</v>
      </c>
      <c r="AA78" s="60"/>
      <c r="AB78" s="176">
        <f t="shared" si="24"/>
        <v>0</v>
      </c>
      <c r="AC78" s="60"/>
      <c r="AD78" s="176">
        <f t="shared" si="25"/>
        <v>0</v>
      </c>
      <c r="AE78" s="176">
        <f t="shared" si="26"/>
        <v>0</v>
      </c>
      <c r="AF78" s="176">
        <f t="shared" si="27"/>
        <v>0</v>
      </c>
    </row>
    <row r="79" spans="1:32" ht="20.100000000000001" customHeight="1">
      <c r="A79" s="63"/>
      <c r="B79" s="63"/>
      <c r="C79" s="63"/>
      <c r="D79" s="63"/>
      <c r="E79" s="63"/>
      <c r="F79" s="63"/>
      <c r="G79" s="60"/>
      <c r="H79" s="176">
        <f t="shared" si="14"/>
        <v>0</v>
      </c>
      <c r="I79" s="60"/>
      <c r="J79" s="176">
        <f t="shared" si="15"/>
        <v>0</v>
      </c>
      <c r="K79" s="60"/>
      <c r="L79" s="176">
        <f t="shared" si="16"/>
        <v>0</v>
      </c>
      <c r="M79" s="60"/>
      <c r="N79" s="176">
        <f t="shared" si="17"/>
        <v>0</v>
      </c>
      <c r="O79" s="60"/>
      <c r="P79" s="176">
        <f t="shared" si="18"/>
        <v>0</v>
      </c>
      <c r="Q79" s="60"/>
      <c r="R79" s="176">
        <f t="shared" si="19"/>
        <v>0</v>
      </c>
      <c r="S79" s="60"/>
      <c r="T79" s="176">
        <f t="shared" si="20"/>
        <v>0</v>
      </c>
      <c r="U79" s="60"/>
      <c r="V79" s="176">
        <f t="shared" si="21"/>
        <v>0</v>
      </c>
      <c r="W79" s="60"/>
      <c r="X79" s="176">
        <f t="shared" si="22"/>
        <v>0</v>
      </c>
      <c r="Y79" s="60"/>
      <c r="Z79" s="176">
        <f t="shared" si="23"/>
        <v>0</v>
      </c>
      <c r="AA79" s="60"/>
      <c r="AB79" s="176">
        <f t="shared" si="24"/>
        <v>0</v>
      </c>
      <c r="AC79" s="60"/>
      <c r="AD79" s="176">
        <f t="shared" si="25"/>
        <v>0</v>
      </c>
      <c r="AE79" s="176">
        <f t="shared" si="26"/>
        <v>0</v>
      </c>
      <c r="AF79" s="176">
        <f t="shared" si="27"/>
        <v>0</v>
      </c>
    </row>
    <row r="80" spans="1:32" ht="20.100000000000001" customHeight="1">
      <c r="A80" s="63">
        <v>64</v>
      </c>
      <c r="B80" s="63" t="s">
        <v>70</v>
      </c>
      <c r="C80" s="63" t="s">
        <v>14</v>
      </c>
      <c r="D80" s="63">
        <v>0.64</v>
      </c>
      <c r="E80" s="63" t="s">
        <v>24</v>
      </c>
      <c r="F80" s="63"/>
      <c r="G80" s="60"/>
      <c r="H80" s="176">
        <f t="shared" si="14"/>
        <v>0</v>
      </c>
      <c r="I80" s="60"/>
      <c r="J80" s="176">
        <f t="shared" si="15"/>
        <v>0</v>
      </c>
      <c r="K80" s="60"/>
      <c r="L80" s="176">
        <f t="shared" si="16"/>
        <v>0</v>
      </c>
      <c r="M80" s="60"/>
      <c r="N80" s="176">
        <f t="shared" si="17"/>
        <v>0</v>
      </c>
      <c r="O80" s="60"/>
      <c r="P80" s="176">
        <f t="shared" si="18"/>
        <v>0</v>
      </c>
      <c r="Q80" s="60"/>
      <c r="R80" s="176">
        <f t="shared" si="19"/>
        <v>0</v>
      </c>
      <c r="S80" s="60"/>
      <c r="T80" s="176">
        <f t="shared" si="20"/>
        <v>0</v>
      </c>
      <c r="U80" s="60"/>
      <c r="V80" s="176">
        <f t="shared" si="21"/>
        <v>0</v>
      </c>
      <c r="W80" s="60"/>
      <c r="X80" s="176">
        <f t="shared" si="22"/>
        <v>0</v>
      </c>
      <c r="Y80" s="60"/>
      <c r="Z80" s="176">
        <f t="shared" si="23"/>
        <v>0</v>
      </c>
      <c r="AA80" s="60"/>
      <c r="AB80" s="176">
        <f t="shared" si="24"/>
        <v>0</v>
      </c>
      <c r="AC80" s="60"/>
      <c r="AD80" s="176">
        <f t="shared" si="25"/>
        <v>0</v>
      </c>
      <c r="AE80" s="176">
        <f t="shared" si="26"/>
        <v>0</v>
      </c>
      <c r="AF80" s="176">
        <f t="shared" si="27"/>
        <v>0</v>
      </c>
    </row>
    <row r="81" spans="1:32" ht="20.100000000000001" customHeight="1">
      <c r="A81" s="63">
        <v>65</v>
      </c>
      <c r="B81" s="63" t="s">
        <v>71</v>
      </c>
      <c r="C81" s="63" t="s">
        <v>14</v>
      </c>
      <c r="D81" s="63">
        <v>0.64</v>
      </c>
      <c r="E81" s="63" t="s">
        <v>15</v>
      </c>
      <c r="F81" s="63"/>
      <c r="G81" s="60"/>
      <c r="H81" s="176">
        <f t="shared" si="14"/>
        <v>0</v>
      </c>
      <c r="I81" s="60"/>
      <c r="J81" s="176">
        <f t="shared" si="15"/>
        <v>0</v>
      </c>
      <c r="K81" s="60"/>
      <c r="L81" s="176">
        <f t="shared" si="16"/>
        <v>0</v>
      </c>
      <c r="M81" s="60"/>
      <c r="N81" s="176">
        <f t="shared" si="17"/>
        <v>0</v>
      </c>
      <c r="O81" s="60"/>
      <c r="P81" s="176">
        <f t="shared" si="18"/>
        <v>0</v>
      </c>
      <c r="Q81" s="60"/>
      <c r="R81" s="176">
        <f t="shared" si="19"/>
        <v>0</v>
      </c>
      <c r="S81" s="60"/>
      <c r="T81" s="176">
        <f t="shared" si="20"/>
        <v>0</v>
      </c>
      <c r="U81" s="60"/>
      <c r="V81" s="176">
        <f t="shared" si="21"/>
        <v>0</v>
      </c>
      <c r="W81" s="60"/>
      <c r="X81" s="176">
        <f t="shared" si="22"/>
        <v>0</v>
      </c>
      <c r="Y81" s="60"/>
      <c r="Z81" s="176">
        <f t="shared" si="23"/>
        <v>0</v>
      </c>
      <c r="AA81" s="60"/>
      <c r="AB81" s="176">
        <f t="shared" si="24"/>
        <v>0</v>
      </c>
      <c r="AC81" s="60"/>
      <c r="AD81" s="176">
        <f t="shared" si="25"/>
        <v>0</v>
      </c>
      <c r="AE81" s="176">
        <f t="shared" si="26"/>
        <v>0</v>
      </c>
      <c r="AF81" s="176">
        <f t="shared" si="27"/>
        <v>0</v>
      </c>
    </row>
    <row r="82" spans="1:32" ht="20.100000000000001" customHeight="1">
      <c r="A82" s="63">
        <v>66</v>
      </c>
      <c r="B82" s="63" t="s">
        <v>201</v>
      </c>
      <c r="C82" s="63" t="s">
        <v>14</v>
      </c>
      <c r="D82" s="63">
        <v>0.64</v>
      </c>
      <c r="E82" s="63" t="s">
        <v>25</v>
      </c>
      <c r="F82" s="63"/>
      <c r="G82" s="164"/>
      <c r="H82" s="176">
        <f t="shared" si="14"/>
        <v>0</v>
      </c>
      <c r="I82" s="164"/>
      <c r="J82" s="176">
        <f t="shared" si="15"/>
        <v>0</v>
      </c>
      <c r="K82" s="164"/>
      <c r="L82" s="176">
        <f t="shared" si="16"/>
        <v>0</v>
      </c>
      <c r="M82" s="164"/>
      <c r="N82" s="176">
        <f t="shared" si="17"/>
        <v>0</v>
      </c>
      <c r="O82" s="164"/>
      <c r="P82" s="176">
        <f t="shared" si="18"/>
        <v>0</v>
      </c>
      <c r="Q82" s="164"/>
      <c r="R82" s="176">
        <f t="shared" si="19"/>
        <v>0</v>
      </c>
      <c r="S82" s="164"/>
      <c r="T82" s="176">
        <f t="shared" si="20"/>
        <v>0</v>
      </c>
      <c r="U82" s="164"/>
      <c r="V82" s="176">
        <f t="shared" si="21"/>
        <v>0</v>
      </c>
      <c r="W82" s="164"/>
      <c r="X82" s="176">
        <f t="shared" si="22"/>
        <v>0</v>
      </c>
      <c r="Y82" s="164"/>
      <c r="Z82" s="176">
        <f t="shared" si="23"/>
        <v>0</v>
      </c>
      <c r="AA82" s="164"/>
      <c r="AB82" s="176">
        <f t="shared" si="24"/>
        <v>0</v>
      </c>
      <c r="AC82" s="164"/>
      <c r="AD82" s="176">
        <f t="shared" si="25"/>
        <v>0</v>
      </c>
      <c r="AE82" s="176">
        <f t="shared" si="26"/>
        <v>0</v>
      </c>
      <c r="AF82" s="176">
        <f t="shared" si="27"/>
        <v>0</v>
      </c>
    </row>
    <row r="83" spans="1:32" ht="20.100000000000001" customHeight="1">
      <c r="A83" s="63">
        <v>67</v>
      </c>
      <c r="B83" s="63" t="s">
        <v>201</v>
      </c>
      <c r="C83" s="63" t="s">
        <v>197</v>
      </c>
      <c r="D83" s="63">
        <v>1</v>
      </c>
      <c r="E83" s="63" t="s">
        <v>15</v>
      </c>
      <c r="F83" s="63"/>
      <c r="G83" s="164"/>
      <c r="H83" s="176">
        <f t="shared" si="14"/>
        <v>0</v>
      </c>
      <c r="I83" s="164"/>
      <c r="J83" s="176">
        <f t="shared" si="15"/>
        <v>0</v>
      </c>
      <c r="K83" s="164"/>
      <c r="L83" s="176">
        <f t="shared" si="16"/>
        <v>0</v>
      </c>
      <c r="M83" s="164"/>
      <c r="N83" s="176">
        <f t="shared" si="17"/>
        <v>0</v>
      </c>
      <c r="O83" s="164"/>
      <c r="P83" s="176">
        <f t="shared" si="18"/>
        <v>0</v>
      </c>
      <c r="Q83" s="164"/>
      <c r="R83" s="176">
        <f t="shared" si="19"/>
        <v>0</v>
      </c>
      <c r="S83" s="164"/>
      <c r="T83" s="176">
        <f t="shared" si="20"/>
        <v>0</v>
      </c>
      <c r="U83" s="164"/>
      <c r="V83" s="176">
        <f t="shared" si="21"/>
        <v>0</v>
      </c>
      <c r="W83" s="164"/>
      <c r="X83" s="176">
        <f t="shared" si="22"/>
        <v>0</v>
      </c>
      <c r="Y83" s="164"/>
      <c r="Z83" s="176">
        <f t="shared" si="23"/>
        <v>0</v>
      </c>
      <c r="AA83" s="164"/>
      <c r="AB83" s="176">
        <f t="shared" si="24"/>
        <v>0</v>
      </c>
      <c r="AC83" s="164"/>
      <c r="AD83" s="176">
        <f t="shared" si="25"/>
        <v>0</v>
      </c>
      <c r="AE83" s="176">
        <f t="shared" si="26"/>
        <v>0</v>
      </c>
      <c r="AF83" s="176">
        <f t="shared" si="27"/>
        <v>0</v>
      </c>
    </row>
    <row r="84" spans="1:32" ht="20.100000000000001" customHeight="1">
      <c r="A84" s="63">
        <v>68</v>
      </c>
      <c r="B84" s="63" t="s">
        <v>202</v>
      </c>
      <c r="C84" s="63" t="s">
        <v>197</v>
      </c>
      <c r="D84" s="63">
        <v>1</v>
      </c>
      <c r="E84" s="63" t="s">
        <v>15</v>
      </c>
      <c r="F84" s="63"/>
      <c r="G84" s="164"/>
      <c r="H84" s="176">
        <f t="shared" si="14"/>
        <v>0</v>
      </c>
      <c r="I84" s="164"/>
      <c r="J84" s="176">
        <f t="shared" si="15"/>
        <v>0</v>
      </c>
      <c r="K84" s="164"/>
      <c r="L84" s="176">
        <f t="shared" si="16"/>
        <v>0</v>
      </c>
      <c r="M84" s="164"/>
      <c r="N84" s="176">
        <f t="shared" si="17"/>
        <v>0</v>
      </c>
      <c r="O84" s="164"/>
      <c r="P84" s="176">
        <f t="shared" si="18"/>
        <v>0</v>
      </c>
      <c r="Q84" s="164"/>
      <c r="R84" s="176">
        <f t="shared" si="19"/>
        <v>0</v>
      </c>
      <c r="S84" s="164"/>
      <c r="T84" s="176">
        <f t="shared" si="20"/>
        <v>0</v>
      </c>
      <c r="U84" s="164"/>
      <c r="V84" s="176">
        <f t="shared" si="21"/>
        <v>0</v>
      </c>
      <c r="W84" s="164"/>
      <c r="X84" s="176">
        <f t="shared" si="22"/>
        <v>0</v>
      </c>
      <c r="Y84" s="164"/>
      <c r="Z84" s="176">
        <f t="shared" si="23"/>
        <v>0</v>
      </c>
      <c r="AA84" s="164"/>
      <c r="AB84" s="176">
        <f t="shared" si="24"/>
        <v>0</v>
      </c>
      <c r="AC84" s="164"/>
      <c r="AD84" s="176">
        <f t="shared" si="25"/>
        <v>0</v>
      </c>
      <c r="AE84" s="176">
        <f t="shared" si="26"/>
        <v>0</v>
      </c>
      <c r="AF84" s="176">
        <f t="shared" si="27"/>
        <v>0</v>
      </c>
    </row>
    <row r="85" spans="1:32" ht="20.100000000000001" customHeight="1">
      <c r="A85" s="63"/>
      <c r="B85" s="63"/>
      <c r="C85" s="63"/>
      <c r="D85" s="63"/>
      <c r="E85" s="63"/>
      <c r="F85" s="63"/>
      <c r="G85" s="60"/>
      <c r="H85" s="176">
        <f t="shared" si="14"/>
        <v>0</v>
      </c>
      <c r="I85" s="60"/>
      <c r="J85" s="176">
        <f t="shared" si="15"/>
        <v>0</v>
      </c>
      <c r="K85" s="60"/>
      <c r="L85" s="176">
        <f t="shared" si="16"/>
        <v>0</v>
      </c>
      <c r="M85" s="60"/>
      <c r="N85" s="176">
        <f t="shared" si="17"/>
        <v>0</v>
      </c>
      <c r="O85" s="60"/>
      <c r="P85" s="176">
        <f t="shared" si="18"/>
        <v>0</v>
      </c>
      <c r="Q85" s="60"/>
      <c r="R85" s="176">
        <f t="shared" si="19"/>
        <v>0</v>
      </c>
      <c r="S85" s="60"/>
      <c r="T85" s="176">
        <f t="shared" si="20"/>
        <v>0</v>
      </c>
      <c r="U85" s="60"/>
      <c r="V85" s="176">
        <f t="shared" si="21"/>
        <v>0</v>
      </c>
      <c r="W85" s="60"/>
      <c r="X85" s="176">
        <f t="shared" si="22"/>
        <v>0</v>
      </c>
      <c r="Y85" s="60"/>
      <c r="Z85" s="176">
        <f t="shared" si="23"/>
        <v>0</v>
      </c>
      <c r="AA85" s="60"/>
      <c r="AB85" s="176">
        <f t="shared" si="24"/>
        <v>0</v>
      </c>
      <c r="AC85" s="60"/>
      <c r="AD85" s="176">
        <f t="shared" si="25"/>
        <v>0</v>
      </c>
      <c r="AE85" s="176">
        <f t="shared" si="26"/>
        <v>0</v>
      </c>
      <c r="AF85" s="176">
        <f t="shared" si="27"/>
        <v>0</v>
      </c>
    </row>
    <row r="86" spans="1:32" ht="20.100000000000001" customHeight="1">
      <c r="A86" s="63">
        <v>69</v>
      </c>
      <c r="B86" s="63" t="s">
        <v>72</v>
      </c>
      <c r="C86" s="63" t="s">
        <v>17</v>
      </c>
      <c r="D86" s="63">
        <v>1</v>
      </c>
      <c r="E86" s="63" t="s">
        <v>24</v>
      </c>
      <c r="F86" s="63"/>
      <c r="G86" s="60"/>
      <c r="H86" s="176">
        <f t="shared" si="14"/>
        <v>0</v>
      </c>
      <c r="I86" s="60"/>
      <c r="J86" s="176">
        <f t="shared" si="15"/>
        <v>0</v>
      </c>
      <c r="K86" s="60"/>
      <c r="L86" s="176">
        <f t="shared" si="16"/>
        <v>0</v>
      </c>
      <c r="M86" s="60"/>
      <c r="N86" s="176">
        <f t="shared" si="17"/>
        <v>0</v>
      </c>
      <c r="O86" s="60"/>
      <c r="P86" s="176">
        <f t="shared" si="18"/>
        <v>0</v>
      </c>
      <c r="Q86" s="60"/>
      <c r="R86" s="176">
        <f t="shared" si="19"/>
        <v>0</v>
      </c>
      <c r="S86" s="60"/>
      <c r="T86" s="176">
        <f t="shared" si="20"/>
        <v>0</v>
      </c>
      <c r="U86" s="60"/>
      <c r="V86" s="176">
        <f t="shared" si="21"/>
        <v>0</v>
      </c>
      <c r="W86" s="60"/>
      <c r="X86" s="176">
        <f t="shared" si="22"/>
        <v>0</v>
      </c>
      <c r="Y86" s="60"/>
      <c r="Z86" s="176">
        <f t="shared" si="23"/>
        <v>0</v>
      </c>
      <c r="AA86" s="60"/>
      <c r="AB86" s="176">
        <f t="shared" si="24"/>
        <v>0</v>
      </c>
      <c r="AC86" s="60"/>
      <c r="AD86" s="176">
        <f t="shared" si="25"/>
        <v>0</v>
      </c>
      <c r="AE86" s="176">
        <f t="shared" si="26"/>
        <v>0</v>
      </c>
      <c r="AF86" s="176">
        <f t="shared" si="27"/>
        <v>0</v>
      </c>
    </row>
    <row r="87" spans="1:32" ht="20.100000000000001" customHeight="1">
      <c r="A87" s="63">
        <v>70</v>
      </c>
      <c r="B87" s="63" t="s">
        <v>73</v>
      </c>
      <c r="C87" s="63" t="s">
        <v>17</v>
      </c>
      <c r="D87" s="63">
        <v>1</v>
      </c>
      <c r="E87" s="63" t="s">
        <v>24</v>
      </c>
      <c r="F87" s="63"/>
      <c r="G87" s="60"/>
      <c r="H87" s="176">
        <f t="shared" si="14"/>
        <v>0</v>
      </c>
      <c r="I87" s="60"/>
      <c r="J87" s="176">
        <f t="shared" si="15"/>
        <v>0</v>
      </c>
      <c r="K87" s="60"/>
      <c r="L87" s="176">
        <f t="shared" si="16"/>
        <v>0</v>
      </c>
      <c r="M87" s="60"/>
      <c r="N87" s="176">
        <f t="shared" si="17"/>
        <v>0</v>
      </c>
      <c r="O87" s="60"/>
      <c r="P87" s="176">
        <f t="shared" si="18"/>
        <v>0</v>
      </c>
      <c r="Q87" s="60"/>
      <c r="R87" s="176">
        <f t="shared" si="19"/>
        <v>0</v>
      </c>
      <c r="S87" s="60"/>
      <c r="T87" s="176">
        <f t="shared" si="20"/>
        <v>0</v>
      </c>
      <c r="U87" s="60"/>
      <c r="V87" s="176">
        <f t="shared" si="21"/>
        <v>0</v>
      </c>
      <c r="W87" s="60"/>
      <c r="X87" s="176">
        <f t="shared" si="22"/>
        <v>0</v>
      </c>
      <c r="Y87" s="60"/>
      <c r="Z87" s="176">
        <f t="shared" si="23"/>
        <v>0</v>
      </c>
      <c r="AA87" s="60"/>
      <c r="AB87" s="176">
        <f t="shared" si="24"/>
        <v>0</v>
      </c>
      <c r="AC87" s="60"/>
      <c r="AD87" s="176">
        <f t="shared" si="25"/>
        <v>0</v>
      </c>
      <c r="AE87" s="176">
        <f t="shared" si="26"/>
        <v>0</v>
      </c>
      <c r="AF87" s="176">
        <f t="shared" si="27"/>
        <v>0</v>
      </c>
    </row>
    <row r="88" spans="1:32" ht="20.100000000000001" customHeight="1">
      <c r="A88" s="63">
        <v>71</v>
      </c>
      <c r="B88" s="63" t="s">
        <v>74</v>
      </c>
      <c r="C88" s="63" t="s">
        <v>17</v>
      </c>
      <c r="D88" s="63">
        <v>1</v>
      </c>
      <c r="E88" s="63" t="s">
        <v>15</v>
      </c>
      <c r="F88" s="63"/>
      <c r="G88" s="60"/>
      <c r="H88" s="176">
        <f t="shared" si="14"/>
        <v>0</v>
      </c>
      <c r="I88" s="60"/>
      <c r="J88" s="176">
        <f t="shared" si="15"/>
        <v>0</v>
      </c>
      <c r="K88" s="60"/>
      <c r="L88" s="176">
        <f t="shared" si="16"/>
        <v>0</v>
      </c>
      <c r="M88" s="60"/>
      <c r="N88" s="176">
        <f t="shared" si="17"/>
        <v>0</v>
      </c>
      <c r="O88" s="60"/>
      <c r="P88" s="176">
        <f t="shared" si="18"/>
        <v>0</v>
      </c>
      <c r="Q88" s="60"/>
      <c r="R88" s="176">
        <f t="shared" si="19"/>
        <v>0</v>
      </c>
      <c r="S88" s="60"/>
      <c r="T88" s="176">
        <f t="shared" si="20"/>
        <v>0</v>
      </c>
      <c r="U88" s="60"/>
      <c r="V88" s="176">
        <f t="shared" si="21"/>
        <v>0</v>
      </c>
      <c r="W88" s="60"/>
      <c r="X88" s="176">
        <f t="shared" si="22"/>
        <v>0</v>
      </c>
      <c r="Y88" s="60"/>
      <c r="Z88" s="176">
        <f t="shared" si="23"/>
        <v>0</v>
      </c>
      <c r="AA88" s="60"/>
      <c r="AB88" s="176">
        <f t="shared" si="24"/>
        <v>0</v>
      </c>
      <c r="AC88" s="60"/>
      <c r="AD88" s="176">
        <f t="shared" si="25"/>
        <v>0</v>
      </c>
      <c r="AE88" s="176">
        <f t="shared" si="26"/>
        <v>0</v>
      </c>
      <c r="AF88" s="176">
        <f t="shared" si="27"/>
        <v>0</v>
      </c>
    </row>
    <row r="89" spans="1:32" ht="20.100000000000001" customHeight="1">
      <c r="A89" s="63">
        <v>72</v>
      </c>
      <c r="B89" s="63" t="s">
        <v>75</v>
      </c>
      <c r="C89" s="63" t="s">
        <v>17</v>
      </c>
      <c r="D89" s="63">
        <v>0.6</v>
      </c>
      <c r="E89" s="63" t="s">
        <v>24</v>
      </c>
      <c r="F89" s="63">
        <v>900</v>
      </c>
      <c r="G89" s="60">
        <v>37</v>
      </c>
      <c r="H89" s="176">
        <f t="shared" si="14"/>
        <v>22.2</v>
      </c>
      <c r="I89" s="60">
        <v>326</v>
      </c>
      <c r="J89" s="176">
        <f t="shared" si="15"/>
        <v>195.6</v>
      </c>
      <c r="K89" s="60">
        <v>6</v>
      </c>
      <c r="L89" s="176">
        <f t="shared" si="16"/>
        <v>3.5999999999999996</v>
      </c>
      <c r="M89" s="60">
        <v>15</v>
      </c>
      <c r="N89" s="176">
        <f t="shared" si="17"/>
        <v>9</v>
      </c>
      <c r="O89" s="60">
        <v>5</v>
      </c>
      <c r="P89" s="176">
        <f t="shared" si="18"/>
        <v>3</v>
      </c>
      <c r="Q89" s="60">
        <v>17</v>
      </c>
      <c r="R89" s="176">
        <f t="shared" si="19"/>
        <v>10.199999999999999</v>
      </c>
      <c r="S89" s="60">
        <v>6</v>
      </c>
      <c r="T89" s="176">
        <f t="shared" si="20"/>
        <v>3.5999999999999996</v>
      </c>
      <c r="U89" s="60">
        <v>5</v>
      </c>
      <c r="V89" s="176">
        <f t="shared" si="21"/>
        <v>3</v>
      </c>
      <c r="W89" s="60">
        <v>1</v>
      </c>
      <c r="X89" s="176">
        <f t="shared" si="22"/>
        <v>0.6</v>
      </c>
      <c r="Y89" s="60"/>
      <c r="Z89" s="176">
        <f t="shared" si="23"/>
        <v>0</v>
      </c>
      <c r="AA89" s="60"/>
      <c r="AB89" s="176">
        <f t="shared" si="24"/>
        <v>0</v>
      </c>
      <c r="AC89" s="60">
        <v>1</v>
      </c>
      <c r="AD89" s="176">
        <f t="shared" si="25"/>
        <v>0.6</v>
      </c>
      <c r="AE89" s="176">
        <f t="shared" si="26"/>
        <v>419</v>
      </c>
      <c r="AF89" s="176">
        <f t="shared" si="27"/>
        <v>251.39999999999995</v>
      </c>
    </row>
    <row r="90" spans="1:32" ht="20.100000000000001" customHeight="1">
      <c r="A90" s="63">
        <v>73</v>
      </c>
      <c r="B90" s="63" t="s">
        <v>76</v>
      </c>
      <c r="C90" s="63" t="s">
        <v>14</v>
      </c>
      <c r="D90" s="63">
        <v>0.64</v>
      </c>
      <c r="E90" s="63" t="s">
        <v>25</v>
      </c>
      <c r="F90" s="63">
        <v>1380</v>
      </c>
      <c r="G90" s="60"/>
      <c r="H90" s="176">
        <f t="shared" si="14"/>
        <v>0</v>
      </c>
      <c r="I90" s="60"/>
      <c r="J90" s="176">
        <f t="shared" si="15"/>
        <v>0</v>
      </c>
      <c r="K90" s="60">
        <v>25</v>
      </c>
      <c r="L90" s="176">
        <f t="shared" si="16"/>
        <v>16</v>
      </c>
      <c r="M90" s="60"/>
      <c r="N90" s="176">
        <f t="shared" si="17"/>
        <v>0</v>
      </c>
      <c r="O90" s="60"/>
      <c r="P90" s="176">
        <f t="shared" si="18"/>
        <v>0</v>
      </c>
      <c r="Q90" s="60"/>
      <c r="R90" s="176">
        <f t="shared" si="19"/>
        <v>0</v>
      </c>
      <c r="S90" s="60"/>
      <c r="T90" s="176">
        <f t="shared" si="20"/>
        <v>0</v>
      </c>
      <c r="U90" s="60"/>
      <c r="V90" s="176">
        <f t="shared" si="21"/>
        <v>0</v>
      </c>
      <c r="W90" s="60"/>
      <c r="X90" s="176">
        <f t="shared" si="22"/>
        <v>0</v>
      </c>
      <c r="Y90" s="60"/>
      <c r="Z90" s="176">
        <f t="shared" si="23"/>
        <v>0</v>
      </c>
      <c r="AA90" s="60"/>
      <c r="AB90" s="176">
        <f t="shared" si="24"/>
        <v>0</v>
      </c>
      <c r="AC90" s="60"/>
      <c r="AD90" s="176">
        <f t="shared" si="25"/>
        <v>0</v>
      </c>
      <c r="AE90" s="176">
        <f t="shared" si="26"/>
        <v>25</v>
      </c>
      <c r="AF90" s="176">
        <f t="shared" si="27"/>
        <v>16</v>
      </c>
    </row>
    <row r="91" spans="1:32" ht="20.100000000000001" customHeight="1">
      <c r="A91" s="63"/>
      <c r="B91" s="63"/>
      <c r="C91" s="63"/>
      <c r="D91" s="63"/>
      <c r="E91" s="63"/>
      <c r="F91" s="63"/>
      <c r="G91" s="60"/>
      <c r="H91" s="176">
        <f t="shared" si="14"/>
        <v>0</v>
      </c>
      <c r="I91" s="60"/>
      <c r="J91" s="176">
        <f t="shared" si="15"/>
        <v>0</v>
      </c>
      <c r="K91" s="60"/>
      <c r="L91" s="176">
        <f t="shared" si="16"/>
        <v>0</v>
      </c>
      <c r="M91" s="60"/>
      <c r="N91" s="176">
        <f t="shared" si="17"/>
        <v>0</v>
      </c>
      <c r="O91" s="60"/>
      <c r="P91" s="176">
        <f t="shared" si="18"/>
        <v>0</v>
      </c>
      <c r="Q91" s="60"/>
      <c r="R91" s="176">
        <f t="shared" si="19"/>
        <v>0</v>
      </c>
      <c r="S91" s="60"/>
      <c r="T91" s="176">
        <f t="shared" si="20"/>
        <v>0</v>
      </c>
      <c r="U91" s="60"/>
      <c r="V91" s="176">
        <f t="shared" si="21"/>
        <v>0</v>
      </c>
      <c r="W91" s="60"/>
      <c r="X91" s="176">
        <f t="shared" si="22"/>
        <v>0</v>
      </c>
      <c r="Y91" s="60"/>
      <c r="Z91" s="176">
        <f t="shared" si="23"/>
        <v>0</v>
      </c>
      <c r="AA91" s="60"/>
      <c r="AB91" s="176">
        <f t="shared" si="24"/>
        <v>0</v>
      </c>
      <c r="AC91" s="60"/>
      <c r="AD91" s="176">
        <f t="shared" si="25"/>
        <v>0</v>
      </c>
      <c r="AE91" s="176">
        <f t="shared" si="26"/>
        <v>0</v>
      </c>
      <c r="AF91" s="176">
        <f t="shared" si="27"/>
        <v>0</v>
      </c>
    </row>
    <row r="92" spans="1:32" ht="20.100000000000001" customHeight="1">
      <c r="A92" s="63">
        <v>74</v>
      </c>
      <c r="B92" s="63" t="s">
        <v>77</v>
      </c>
      <c r="C92" s="63" t="s">
        <v>17</v>
      </c>
      <c r="D92" s="63">
        <v>1</v>
      </c>
      <c r="E92" s="63" t="s">
        <v>24</v>
      </c>
      <c r="F92" s="63"/>
      <c r="G92" s="60"/>
      <c r="H92" s="176">
        <f t="shared" si="14"/>
        <v>0</v>
      </c>
      <c r="I92" s="60"/>
      <c r="J92" s="176">
        <f t="shared" si="15"/>
        <v>0</v>
      </c>
      <c r="K92" s="60"/>
      <c r="L92" s="176">
        <f t="shared" si="16"/>
        <v>0</v>
      </c>
      <c r="M92" s="60"/>
      <c r="N92" s="176">
        <f t="shared" si="17"/>
        <v>0</v>
      </c>
      <c r="O92" s="60"/>
      <c r="P92" s="176">
        <f t="shared" si="18"/>
        <v>0</v>
      </c>
      <c r="Q92" s="60"/>
      <c r="R92" s="176">
        <f t="shared" si="19"/>
        <v>0</v>
      </c>
      <c r="S92" s="60"/>
      <c r="T92" s="176">
        <f t="shared" si="20"/>
        <v>0</v>
      </c>
      <c r="U92" s="60"/>
      <c r="V92" s="176">
        <f t="shared" si="21"/>
        <v>0</v>
      </c>
      <c r="W92" s="60"/>
      <c r="X92" s="176">
        <f t="shared" si="22"/>
        <v>0</v>
      </c>
      <c r="Y92" s="60"/>
      <c r="Z92" s="176">
        <f t="shared" si="23"/>
        <v>0</v>
      </c>
      <c r="AA92" s="60"/>
      <c r="AB92" s="176">
        <f t="shared" si="24"/>
        <v>0</v>
      </c>
      <c r="AC92" s="60"/>
      <c r="AD92" s="176">
        <f t="shared" si="25"/>
        <v>0</v>
      </c>
      <c r="AE92" s="176">
        <f t="shared" si="26"/>
        <v>0</v>
      </c>
      <c r="AF92" s="176">
        <f t="shared" si="27"/>
        <v>0</v>
      </c>
    </row>
    <row r="93" spans="1:32" ht="20.100000000000001" customHeight="1">
      <c r="A93" s="63">
        <v>75</v>
      </c>
      <c r="B93" s="63" t="s">
        <v>77</v>
      </c>
      <c r="C93" s="63" t="s">
        <v>17</v>
      </c>
      <c r="D93" s="63">
        <v>1</v>
      </c>
      <c r="E93" s="63" t="s">
        <v>15</v>
      </c>
      <c r="F93" s="63">
        <v>1220</v>
      </c>
      <c r="G93" s="60">
        <v>83</v>
      </c>
      <c r="H93" s="176">
        <f t="shared" si="14"/>
        <v>83</v>
      </c>
      <c r="I93" s="60">
        <v>51</v>
      </c>
      <c r="J93" s="176">
        <f t="shared" si="15"/>
        <v>51</v>
      </c>
      <c r="K93" s="60">
        <v>6</v>
      </c>
      <c r="L93" s="176">
        <f t="shared" si="16"/>
        <v>6</v>
      </c>
      <c r="M93" s="60">
        <v>12</v>
      </c>
      <c r="N93" s="176">
        <f t="shared" si="17"/>
        <v>12</v>
      </c>
      <c r="O93" s="60">
        <v>11</v>
      </c>
      <c r="P93" s="176">
        <f t="shared" si="18"/>
        <v>11</v>
      </c>
      <c r="Q93" s="60">
        <v>22</v>
      </c>
      <c r="R93" s="176">
        <f t="shared" si="19"/>
        <v>22</v>
      </c>
      <c r="S93" s="60">
        <v>31</v>
      </c>
      <c r="T93" s="176">
        <f t="shared" si="20"/>
        <v>31</v>
      </c>
      <c r="U93" s="60">
        <v>14</v>
      </c>
      <c r="V93" s="176">
        <f t="shared" si="21"/>
        <v>14</v>
      </c>
      <c r="W93" s="60"/>
      <c r="X93" s="176">
        <f t="shared" si="22"/>
        <v>0</v>
      </c>
      <c r="Y93" s="60">
        <v>5</v>
      </c>
      <c r="Z93" s="176">
        <f t="shared" si="23"/>
        <v>5</v>
      </c>
      <c r="AA93" s="60">
        <v>4</v>
      </c>
      <c r="AB93" s="176">
        <f t="shared" si="24"/>
        <v>4</v>
      </c>
      <c r="AC93" s="60">
        <v>3</v>
      </c>
      <c r="AD93" s="176">
        <f t="shared" si="25"/>
        <v>3</v>
      </c>
      <c r="AE93" s="176">
        <f t="shared" si="26"/>
        <v>242</v>
      </c>
      <c r="AF93" s="176">
        <f t="shared" si="27"/>
        <v>242</v>
      </c>
    </row>
    <row r="94" spans="1:32" ht="20.100000000000001" customHeight="1">
      <c r="A94" s="63">
        <v>76</v>
      </c>
      <c r="B94" s="63" t="s">
        <v>78</v>
      </c>
      <c r="C94" s="63" t="s">
        <v>17</v>
      </c>
      <c r="D94" s="63">
        <v>0.6</v>
      </c>
      <c r="E94" s="63" t="s">
        <v>24</v>
      </c>
      <c r="F94" s="63">
        <v>915</v>
      </c>
      <c r="G94" s="60">
        <v>14</v>
      </c>
      <c r="H94" s="176">
        <f t="shared" si="14"/>
        <v>8.4</v>
      </c>
      <c r="I94" s="60">
        <v>61</v>
      </c>
      <c r="J94" s="176">
        <f t="shared" si="15"/>
        <v>36.6</v>
      </c>
      <c r="K94" s="60">
        <v>3</v>
      </c>
      <c r="L94" s="176">
        <f t="shared" si="16"/>
        <v>1.7999999999999998</v>
      </c>
      <c r="M94" s="60"/>
      <c r="N94" s="176">
        <f t="shared" si="17"/>
        <v>0</v>
      </c>
      <c r="O94" s="60">
        <v>20</v>
      </c>
      <c r="P94" s="176">
        <f t="shared" si="18"/>
        <v>12</v>
      </c>
      <c r="Q94" s="60">
        <v>12</v>
      </c>
      <c r="R94" s="176">
        <f t="shared" si="19"/>
        <v>7.1999999999999993</v>
      </c>
      <c r="S94" s="60">
        <v>1</v>
      </c>
      <c r="T94" s="176">
        <f t="shared" si="20"/>
        <v>0.6</v>
      </c>
      <c r="U94" s="60">
        <v>43</v>
      </c>
      <c r="V94" s="176">
        <f t="shared" si="21"/>
        <v>25.8</v>
      </c>
      <c r="W94" s="60">
        <v>1</v>
      </c>
      <c r="X94" s="176">
        <f t="shared" si="22"/>
        <v>0.6</v>
      </c>
      <c r="Y94" s="60"/>
      <c r="Z94" s="176">
        <f t="shared" si="23"/>
        <v>0</v>
      </c>
      <c r="AA94" s="60">
        <v>3</v>
      </c>
      <c r="AB94" s="176">
        <f t="shared" si="24"/>
        <v>1.7999999999999998</v>
      </c>
      <c r="AC94" s="60"/>
      <c r="AD94" s="176">
        <f t="shared" si="25"/>
        <v>0</v>
      </c>
      <c r="AE94" s="176">
        <f t="shared" si="26"/>
        <v>158</v>
      </c>
      <c r="AF94" s="176">
        <f t="shared" si="27"/>
        <v>94.799999999999983</v>
      </c>
    </row>
    <row r="95" spans="1:32" ht="20.100000000000001" customHeight="1">
      <c r="A95" s="63">
        <v>77</v>
      </c>
      <c r="B95" s="63" t="s">
        <v>79</v>
      </c>
      <c r="C95" s="63" t="s">
        <v>14</v>
      </c>
      <c r="D95" s="63">
        <v>0.64</v>
      </c>
      <c r="E95" s="63" t="s">
        <v>25</v>
      </c>
      <c r="F95" s="63"/>
      <c r="G95" s="60"/>
      <c r="H95" s="176">
        <f t="shared" si="14"/>
        <v>0</v>
      </c>
      <c r="I95" s="60"/>
      <c r="J95" s="176">
        <f t="shared" si="15"/>
        <v>0</v>
      </c>
      <c r="K95" s="60"/>
      <c r="L95" s="176">
        <f t="shared" si="16"/>
        <v>0</v>
      </c>
      <c r="M95" s="60">
        <v>2</v>
      </c>
      <c r="N95" s="176">
        <f t="shared" si="17"/>
        <v>1.28</v>
      </c>
      <c r="O95" s="60"/>
      <c r="P95" s="176">
        <f t="shared" si="18"/>
        <v>0</v>
      </c>
      <c r="Q95" s="60"/>
      <c r="R95" s="176">
        <f t="shared" si="19"/>
        <v>0</v>
      </c>
      <c r="S95" s="60"/>
      <c r="T95" s="176">
        <f t="shared" si="20"/>
        <v>0</v>
      </c>
      <c r="U95" s="60"/>
      <c r="V95" s="176">
        <f t="shared" si="21"/>
        <v>0</v>
      </c>
      <c r="W95" s="60"/>
      <c r="X95" s="176">
        <f t="shared" si="22"/>
        <v>0</v>
      </c>
      <c r="Y95" s="60"/>
      <c r="Z95" s="176">
        <f t="shared" si="23"/>
        <v>0</v>
      </c>
      <c r="AA95" s="60"/>
      <c r="AB95" s="176">
        <f t="shared" si="24"/>
        <v>0</v>
      </c>
      <c r="AC95" s="60"/>
      <c r="AD95" s="176">
        <f t="shared" si="25"/>
        <v>0</v>
      </c>
      <c r="AE95" s="176">
        <f t="shared" si="26"/>
        <v>2</v>
      </c>
      <c r="AF95" s="176">
        <f t="shared" si="27"/>
        <v>1.28</v>
      </c>
    </row>
    <row r="96" spans="1:32" ht="20.100000000000001" customHeight="1">
      <c r="A96" s="63"/>
      <c r="B96" s="63"/>
      <c r="C96" s="63"/>
      <c r="D96" s="63"/>
      <c r="E96" s="63"/>
      <c r="F96" s="63"/>
      <c r="G96" s="60"/>
      <c r="H96" s="176">
        <f t="shared" si="14"/>
        <v>0</v>
      </c>
      <c r="I96" s="60"/>
      <c r="J96" s="176">
        <f t="shared" si="15"/>
        <v>0</v>
      </c>
      <c r="K96" s="60"/>
      <c r="L96" s="176">
        <f t="shared" si="16"/>
        <v>0</v>
      </c>
      <c r="M96" s="60"/>
      <c r="N96" s="176">
        <f t="shared" si="17"/>
        <v>0</v>
      </c>
      <c r="O96" s="60"/>
      <c r="P96" s="176">
        <f t="shared" si="18"/>
        <v>0</v>
      </c>
      <c r="Q96" s="60"/>
      <c r="R96" s="176">
        <f t="shared" si="19"/>
        <v>0</v>
      </c>
      <c r="S96" s="60"/>
      <c r="T96" s="176">
        <f t="shared" si="20"/>
        <v>0</v>
      </c>
      <c r="U96" s="60"/>
      <c r="V96" s="176">
        <f t="shared" si="21"/>
        <v>0</v>
      </c>
      <c r="W96" s="60"/>
      <c r="X96" s="176">
        <f t="shared" si="22"/>
        <v>0</v>
      </c>
      <c r="Y96" s="60"/>
      <c r="Z96" s="176">
        <f t="shared" si="23"/>
        <v>0</v>
      </c>
      <c r="AA96" s="60"/>
      <c r="AB96" s="176">
        <f t="shared" si="24"/>
        <v>0</v>
      </c>
      <c r="AC96" s="60"/>
      <c r="AD96" s="176">
        <f t="shared" si="25"/>
        <v>0</v>
      </c>
      <c r="AE96" s="176">
        <f t="shared" si="26"/>
        <v>0</v>
      </c>
      <c r="AF96" s="176">
        <f t="shared" si="27"/>
        <v>0</v>
      </c>
    </row>
    <row r="97" spans="1:32" ht="20.100000000000001" customHeight="1">
      <c r="A97" s="63">
        <v>78</v>
      </c>
      <c r="B97" s="65" t="s">
        <v>80</v>
      </c>
      <c r="C97" s="63" t="s">
        <v>17</v>
      </c>
      <c r="D97" s="63">
        <v>0.75</v>
      </c>
      <c r="E97" s="63"/>
      <c r="F97" s="63"/>
      <c r="G97" s="60"/>
      <c r="H97" s="176">
        <f t="shared" si="14"/>
        <v>0</v>
      </c>
      <c r="I97" s="60"/>
      <c r="J97" s="176">
        <f t="shared" si="15"/>
        <v>0</v>
      </c>
      <c r="K97" s="60"/>
      <c r="L97" s="176">
        <f t="shared" si="16"/>
        <v>0</v>
      </c>
      <c r="M97" s="60"/>
      <c r="N97" s="176">
        <f t="shared" si="17"/>
        <v>0</v>
      </c>
      <c r="O97" s="60"/>
      <c r="P97" s="176">
        <f t="shared" si="18"/>
        <v>0</v>
      </c>
      <c r="Q97" s="60"/>
      <c r="R97" s="176">
        <f t="shared" si="19"/>
        <v>0</v>
      </c>
      <c r="S97" s="60"/>
      <c r="T97" s="176">
        <f t="shared" si="20"/>
        <v>0</v>
      </c>
      <c r="U97" s="60"/>
      <c r="V97" s="176">
        <f t="shared" si="21"/>
        <v>0</v>
      </c>
      <c r="W97" s="60"/>
      <c r="X97" s="176">
        <f t="shared" si="22"/>
        <v>0</v>
      </c>
      <c r="Y97" s="60"/>
      <c r="Z97" s="176">
        <f t="shared" si="23"/>
        <v>0</v>
      </c>
      <c r="AA97" s="60"/>
      <c r="AB97" s="176">
        <f t="shared" si="24"/>
        <v>0</v>
      </c>
      <c r="AC97" s="60"/>
      <c r="AD97" s="176">
        <f t="shared" si="25"/>
        <v>0</v>
      </c>
      <c r="AE97" s="176">
        <f t="shared" si="26"/>
        <v>0</v>
      </c>
      <c r="AF97" s="176">
        <f t="shared" si="27"/>
        <v>0</v>
      </c>
    </row>
    <row r="98" spans="1:32" ht="20.100000000000001" customHeight="1">
      <c r="A98" s="63">
        <v>79</v>
      </c>
      <c r="B98" s="63" t="s">
        <v>80</v>
      </c>
      <c r="C98" s="63" t="s">
        <v>197</v>
      </c>
      <c r="D98" s="63">
        <v>0.6</v>
      </c>
      <c r="E98" s="62" t="s">
        <v>15</v>
      </c>
      <c r="F98" s="154">
        <v>800</v>
      </c>
      <c r="G98" s="60"/>
      <c r="H98" s="176">
        <f t="shared" si="14"/>
        <v>0</v>
      </c>
      <c r="I98" s="60"/>
      <c r="J98" s="176">
        <f t="shared" si="15"/>
        <v>0</v>
      </c>
      <c r="K98" s="60"/>
      <c r="L98" s="176">
        <f t="shared" si="16"/>
        <v>0</v>
      </c>
      <c r="M98" s="60"/>
      <c r="N98" s="176">
        <f t="shared" si="17"/>
        <v>0</v>
      </c>
      <c r="O98" s="60"/>
      <c r="P98" s="176">
        <f t="shared" si="18"/>
        <v>0</v>
      </c>
      <c r="Q98" s="60">
        <v>931</v>
      </c>
      <c r="R98" s="176">
        <f t="shared" si="19"/>
        <v>558.6</v>
      </c>
      <c r="S98" s="60">
        <v>303</v>
      </c>
      <c r="T98" s="176">
        <f t="shared" si="20"/>
        <v>181.79999999999998</v>
      </c>
      <c r="U98" s="60">
        <v>119</v>
      </c>
      <c r="V98" s="176">
        <f t="shared" si="21"/>
        <v>71.399999999999991</v>
      </c>
      <c r="W98" s="60">
        <v>105</v>
      </c>
      <c r="X98" s="176">
        <f t="shared" si="22"/>
        <v>63</v>
      </c>
      <c r="Y98" s="60">
        <v>12</v>
      </c>
      <c r="Z98" s="176">
        <f t="shared" si="23"/>
        <v>7.1999999999999993</v>
      </c>
      <c r="AA98" s="60">
        <v>37</v>
      </c>
      <c r="AB98" s="176">
        <f t="shared" si="24"/>
        <v>22.2</v>
      </c>
      <c r="AC98" s="60">
        <v>76</v>
      </c>
      <c r="AD98" s="176">
        <f t="shared" si="25"/>
        <v>45.6</v>
      </c>
      <c r="AE98" s="176">
        <f t="shared" si="26"/>
        <v>1583</v>
      </c>
      <c r="AF98" s="176">
        <f t="shared" si="27"/>
        <v>949.80000000000007</v>
      </c>
    </row>
    <row r="99" spans="1:32" ht="20.100000000000001" customHeight="1">
      <c r="A99" s="63">
        <v>80</v>
      </c>
      <c r="B99" s="64" t="s">
        <v>80</v>
      </c>
      <c r="C99" s="63" t="s">
        <v>14</v>
      </c>
      <c r="D99" s="63">
        <v>0.64</v>
      </c>
      <c r="E99" s="63" t="s">
        <v>24</v>
      </c>
      <c r="F99" s="63">
        <v>800</v>
      </c>
      <c r="G99" s="60">
        <v>29</v>
      </c>
      <c r="H99" s="176">
        <f t="shared" si="14"/>
        <v>18.559999999999999</v>
      </c>
      <c r="I99" s="60">
        <v>25</v>
      </c>
      <c r="J99" s="176">
        <f t="shared" si="15"/>
        <v>16</v>
      </c>
      <c r="K99" s="60">
        <v>136</v>
      </c>
      <c r="L99" s="176">
        <f t="shared" si="16"/>
        <v>87.04</v>
      </c>
      <c r="M99" s="60">
        <v>21</v>
      </c>
      <c r="N99" s="176">
        <f t="shared" si="17"/>
        <v>13.44</v>
      </c>
      <c r="O99" s="60">
        <v>35</v>
      </c>
      <c r="P99" s="176">
        <f t="shared" si="18"/>
        <v>22.400000000000002</v>
      </c>
      <c r="Q99" s="60">
        <v>49</v>
      </c>
      <c r="R99" s="176">
        <f t="shared" si="19"/>
        <v>31.36</v>
      </c>
      <c r="S99" s="60">
        <v>40</v>
      </c>
      <c r="T99" s="176">
        <f t="shared" si="20"/>
        <v>25.6</v>
      </c>
      <c r="U99" s="60">
        <v>12</v>
      </c>
      <c r="V99" s="176">
        <f t="shared" si="21"/>
        <v>7.68</v>
      </c>
      <c r="W99" s="60">
        <v>7</v>
      </c>
      <c r="X99" s="176">
        <f t="shared" si="22"/>
        <v>4.4800000000000004</v>
      </c>
      <c r="Y99" s="60">
        <v>1</v>
      </c>
      <c r="Z99" s="176">
        <f t="shared" si="23"/>
        <v>0.64</v>
      </c>
      <c r="AA99" s="60">
        <v>12</v>
      </c>
      <c r="AB99" s="176">
        <f t="shared" si="24"/>
        <v>7.68</v>
      </c>
      <c r="AC99" s="60">
        <v>15</v>
      </c>
      <c r="AD99" s="176">
        <f t="shared" si="25"/>
        <v>9.6</v>
      </c>
      <c r="AE99" s="176">
        <f t="shared" si="26"/>
        <v>382</v>
      </c>
      <c r="AF99" s="176">
        <f t="shared" si="27"/>
        <v>244.48</v>
      </c>
    </row>
    <row r="100" spans="1:32" ht="20.100000000000001" customHeight="1">
      <c r="A100" s="63"/>
      <c r="B100" s="64"/>
      <c r="C100" s="63"/>
      <c r="D100" s="63"/>
      <c r="E100" s="63"/>
      <c r="F100" s="63"/>
      <c r="G100" s="60"/>
      <c r="H100" s="176">
        <f t="shared" si="14"/>
        <v>0</v>
      </c>
      <c r="I100" s="60"/>
      <c r="J100" s="176">
        <f t="shared" si="15"/>
        <v>0</v>
      </c>
      <c r="K100" s="60"/>
      <c r="L100" s="176">
        <f t="shared" si="16"/>
        <v>0</v>
      </c>
      <c r="M100" s="60"/>
      <c r="N100" s="176">
        <f t="shared" si="17"/>
        <v>0</v>
      </c>
      <c r="O100" s="60"/>
      <c r="P100" s="176">
        <f t="shared" si="18"/>
        <v>0</v>
      </c>
      <c r="Q100" s="60"/>
      <c r="R100" s="176">
        <f t="shared" si="19"/>
        <v>0</v>
      </c>
      <c r="S100" s="60"/>
      <c r="T100" s="176">
        <f t="shared" si="20"/>
        <v>0</v>
      </c>
      <c r="U100" s="60"/>
      <c r="V100" s="176">
        <f t="shared" si="21"/>
        <v>0</v>
      </c>
      <c r="W100" s="60"/>
      <c r="X100" s="176">
        <f t="shared" si="22"/>
        <v>0</v>
      </c>
      <c r="Y100" s="60"/>
      <c r="Z100" s="176">
        <f t="shared" si="23"/>
        <v>0</v>
      </c>
      <c r="AA100" s="60"/>
      <c r="AB100" s="176">
        <f t="shared" si="24"/>
        <v>0</v>
      </c>
      <c r="AC100" s="60"/>
      <c r="AD100" s="176">
        <f t="shared" si="25"/>
        <v>0</v>
      </c>
      <c r="AE100" s="176">
        <f t="shared" si="26"/>
        <v>0</v>
      </c>
      <c r="AF100" s="176">
        <f t="shared" si="27"/>
        <v>0</v>
      </c>
    </row>
    <row r="101" spans="1:32" ht="20.100000000000001" customHeight="1">
      <c r="A101" s="63">
        <v>81</v>
      </c>
      <c r="B101" s="64" t="s">
        <v>81</v>
      </c>
      <c r="C101" s="63" t="s">
        <v>14</v>
      </c>
      <c r="D101" s="63">
        <v>0.64</v>
      </c>
      <c r="E101" s="63" t="s">
        <v>82</v>
      </c>
      <c r="F101" s="63"/>
      <c r="G101" s="60"/>
      <c r="H101" s="176">
        <f t="shared" si="14"/>
        <v>0</v>
      </c>
      <c r="I101" s="60"/>
      <c r="J101" s="176">
        <f t="shared" si="15"/>
        <v>0</v>
      </c>
      <c r="K101" s="60"/>
      <c r="L101" s="176">
        <f t="shared" si="16"/>
        <v>0</v>
      </c>
      <c r="M101" s="60"/>
      <c r="N101" s="176">
        <f t="shared" si="17"/>
        <v>0</v>
      </c>
      <c r="O101" s="60"/>
      <c r="P101" s="176">
        <f t="shared" si="18"/>
        <v>0</v>
      </c>
      <c r="Q101" s="60"/>
      <c r="R101" s="176">
        <f t="shared" si="19"/>
        <v>0</v>
      </c>
      <c r="S101" s="60"/>
      <c r="T101" s="176">
        <f t="shared" si="20"/>
        <v>0</v>
      </c>
      <c r="U101" s="60"/>
      <c r="V101" s="176">
        <f t="shared" si="21"/>
        <v>0</v>
      </c>
      <c r="W101" s="60"/>
      <c r="X101" s="176">
        <f t="shared" si="22"/>
        <v>0</v>
      </c>
      <c r="Y101" s="60"/>
      <c r="Z101" s="176">
        <f t="shared" si="23"/>
        <v>0</v>
      </c>
      <c r="AA101" s="60"/>
      <c r="AB101" s="176">
        <f t="shared" si="24"/>
        <v>0</v>
      </c>
      <c r="AC101" s="60"/>
      <c r="AD101" s="176">
        <f t="shared" si="25"/>
        <v>0</v>
      </c>
      <c r="AE101" s="176">
        <f t="shared" si="26"/>
        <v>0</v>
      </c>
      <c r="AF101" s="176">
        <f t="shared" si="27"/>
        <v>0</v>
      </c>
    </row>
    <row r="102" spans="1:32" ht="20.100000000000001" customHeight="1">
      <c r="A102" s="63">
        <v>82</v>
      </c>
      <c r="B102" s="65" t="s">
        <v>83</v>
      </c>
      <c r="C102" s="63" t="s">
        <v>17</v>
      </c>
      <c r="D102" s="63">
        <v>1</v>
      </c>
      <c r="E102" s="63" t="s">
        <v>38</v>
      </c>
      <c r="F102" s="63"/>
      <c r="G102" s="60"/>
      <c r="H102" s="176">
        <f t="shared" si="14"/>
        <v>0</v>
      </c>
      <c r="I102" s="60"/>
      <c r="J102" s="176">
        <f t="shared" si="15"/>
        <v>0</v>
      </c>
      <c r="K102" s="60"/>
      <c r="L102" s="176">
        <f t="shared" si="16"/>
        <v>0</v>
      </c>
      <c r="M102" s="60"/>
      <c r="N102" s="176">
        <f t="shared" si="17"/>
        <v>0</v>
      </c>
      <c r="O102" s="60"/>
      <c r="P102" s="176">
        <f t="shared" si="18"/>
        <v>0</v>
      </c>
      <c r="Q102" s="60"/>
      <c r="R102" s="176">
        <f t="shared" si="19"/>
        <v>0</v>
      </c>
      <c r="S102" s="60"/>
      <c r="T102" s="176">
        <f t="shared" si="20"/>
        <v>0</v>
      </c>
      <c r="U102" s="60"/>
      <c r="V102" s="176">
        <f t="shared" si="21"/>
        <v>0</v>
      </c>
      <c r="W102" s="60"/>
      <c r="X102" s="176">
        <f t="shared" si="22"/>
        <v>0</v>
      </c>
      <c r="Y102" s="60"/>
      <c r="Z102" s="176">
        <f t="shared" si="23"/>
        <v>0</v>
      </c>
      <c r="AA102" s="60"/>
      <c r="AB102" s="176">
        <f t="shared" si="24"/>
        <v>0</v>
      </c>
      <c r="AC102" s="60"/>
      <c r="AD102" s="176">
        <f t="shared" si="25"/>
        <v>0</v>
      </c>
      <c r="AE102" s="176">
        <f t="shared" si="26"/>
        <v>0</v>
      </c>
      <c r="AF102" s="176">
        <f t="shared" si="27"/>
        <v>0</v>
      </c>
    </row>
    <row r="103" spans="1:32" ht="20.100000000000001" customHeight="1">
      <c r="A103" s="63">
        <v>83</v>
      </c>
      <c r="B103" s="65" t="s">
        <v>83</v>
      </c>
      <c r="C103" s="63" t="s">
        <v>17</v>
      </c>
      <c r="D103" s="63">
        <v>0.6</v>
      </c>
      <c r="E103" s="63" t="s">
        <v>38</v>
      </c>
      <c r="F103" s="63"/>
      <c r="G103" s="60"/>
      <c r="H103" s="176">
        <f t="shared" si="14"/>
        <v>0</v>
      </c>
      <c r="I103" s="60"/>
      <c r="J103" s="176">
        <f t="shared" si="15"/>
        <v>0</v>
      </c>
      <c r="K103" s="60"/>
      <c r="L103" s="176">
        <f t="shared" si="16"/>
        <v>0</v>
      </c>
      <c r="M103" s="60"/>
      <c r="N103" s="176">
        <f t="shared" si="17"/>
        <v>0</v>
      </c>
      <c r="O103" s="60"/>
      <c r="P103" s="176">
        <f t="shared" si="18"/>
        <v>0</v>
      </c>
      <c r="Q103" s="60"/>
      <c r="R103" s="176">
        <f t="shared" si="19"/>
        <v>0</v>
      </c>
      <c r="S103" s="60"/>
      <c r="T103" s="176">
        <f t="shared" si="20"/>
        <v>0</v>
      </c>
      <c r="U103" s="60"/>
      <c r="V103" s="176">
        <f t="shared" si="21"/>
        <v>0</v>
      </c>
      <c r="W103" s="60"/>
      <c r="X103" s="176">
        <f t="shared" si="22"/>
        <v>0</v>
      </c>
      <c r="Y103" s="60"/>
      <c r="Z103" s="176">
        <f t="shared" si="23"/>
        <v>0</v>
      </c>
      <c r="AA103" s="60"/>
      <c r="AB103" s="176">
        <f t="shared" si="24"/>
        <v>0</v>
      </c>
      <c r="AC103" s="60"/>
      <c r="AD103" s="176">
        <f t="shared" si="25"/>
        <v>0</v>
      </c>
      <c r="AE103" s="176">
        <f t="shared" si="26"/>
        <v>0</v>
      </c>
      <c r="AF103" s="176">
        <f t="shared" si="27"/>
        <v>0</v>
      </c>
    </row>
    <row r="104" spans="1:32" ht="20.100000000000001" customHeight="1">
      <c r="A104" s="63"/>
      <c r="B104" s="63"/>
      <c r="C104" s="63"/>
      <c r="D104" s="63"/>
      <c r="E104" s="63"/>
      <c r="F104" s="63"/>
      <c r="G104" s="60"/>
      <c r="H104" s="176">
        <f t="shared" si="14"/>
        <v>0</v>
      </c>
      <c r="I104" s="60"/>
      <c r="J104" s="176">
        <f t="shared" si="15"/>
        <v>0</v>
      </c>
      <c r="K104" s="60"/>
      <c r="L104" s="176">
        <f t="shared" si="16"/>
        <v>0</v>
      </c>
      <c r="M104" s="60"/>
      <c r="N104" s="176">
        <f t="shared" si="17"/>
        <v>0</v>
      </c>
      <c r="O104" s="60"/>
      <c r="P104" s="176">
        <f t="shared" si="18"/>
        <v>0</v>
      </c>
      <c r="Q104" s="60"/>
      <c r="R104" s="176">
        <f t="shared" si="19"/>
        <v>0</v>
      </c>
      <c r="S104" s="60"/>
      <c r="T104" s="176">
        <f t="shared" si="20"/>
        <v>0</v>
      </c>
      <c r="U104" s="60"/>
      <c r="V104" s="176">
        <f t="shared" si="21"/>
        <v>0</v>
      </c>
      <c r="W104" s="60"/>
      <c r="X104" s="176">
        <f t="shared" si="22"/>
        <v>0</v>
      </c>
      <c r="Y104" s="60"/>
      <c r="Z104" s="176">
        <f t="shared" si="23"/>
        <v>0</v>
      </c>
      <c r="AA104" s="60"/>
      <c r="AB104" s="176">
        <f t="shared" si="24"/>
        <v>0</v>
      </c>
      <c r="AC104" s="60"/>
      <c r="AD104" s="176">
        <f t="shared" si="25"/>
        <v>0</v>
      </c>
      <c r="AE104" s="176">
        <f t="shared" si="26"/>
        <v>0</v>
      </c>
      <c r="AF104" s="176">
        <f t="shared" si="27"/>
        <v>0</v>
      </c>
    </row>
    <row r="105" spans="1:32" ht="20.100000000000001" customHeight="1">
      <c r="A105" s="63">
        <v>84</v>
      </c>
      <c r="B105" s="63" t="s">
        <v>84</v>
      </c>
      <c r="C105" s="63" t="s">
        <v>197</v>
      </c>
      <c r="D105" s="63">
        <v>1</v>
      </c>
      <c r="E105" s="63" t="s">
        <v>15</v>
      </c>
      <c r="F105" s="63"/>
      <c r="G105" s="164"/>
      <c r="H105" s="176">
        <f t="shared" si="14"/>
        <v>0</v>
      </c>
      <c r="I105" s="164"/>
      <c r="J105" s="176">
        <f t="shared" si="15"/>
        <v>0</v>
      </c>
      <c r="K105" s="164"/>
      <c r="L105" s="176">
        <f t="shared" si="16"/>
        <v>0</v>
      </c>
      <c r="M105" s="164"/>
      <c r="N105" s="176">
        <f t="shared" si="17"/>
        <v>0</v>
      </c>
      <c r="O105" s="164"/>
      <c r="P105" s="176">
        <f t="shared" si="18"/>
        <v>0</v>
      </c>
      <c r="Q105" s="164"/>
      <c r="R105" s="176">
        <f t="shared" si="19"/>
        <v>0</v>
      </c>
      <c r="S105" s="164"/>
      <c r="T105" s="176">
        <f t="shared" si="20"/>
        <v>0</v>
      </c>
      <c r="U105" s="164"/>
      <c r="V105" s="176">
        <f t="shared" si="21"/>
        <v>0</v>
      </c>
      <c r="W105" s="164"/>
      <c r="X105" s="176">
        <f t="shared" si="22"/>
        <v>0</v>
      </c>
      <c r="Y105" s="164"/>
      <c r="Z105" s="176">
        <f t="shared" si="23"/>
        <v>0</v>
      </c>
      <c r="AA105" s="164"/>
      <c r="AB105" s="176">
        <f t="shared" si="24"/>
        <v>0</v>
      </c>
      <c r="AC105" s="164"/>
      <c r="AD105" s="176">
        <f t="shared" si="25"/>
        <v>0</v>
      </c>
      <c r="AE105" s="176">
        <f t="shared" si="26"/>
        <v>0</v>
      </c>
      <c r="AF105" s="176">
        <f t="shared" si="27"/>
        <v>0</v>
      </c>
    </row>
    <row r="106" spans="1:32" ht="20.100000000000001" customHeight="1">
      <c r="A106" s="63">
        <v>85</v>
      </c>
      <c r="B106" s="65" t="s">
        <v>84</v>
      </c>
      <c r="C106" s="63" t="s">
        <v>14</v>
      </c>
      <c r="D106" s="63">
        <v>0.64</v>
      </c>
      <c r="E106" s="63" t="s">
        <v>25</v>
      </c>
      <c r="F106" s="63"/>
      <c r="G106" s="60"/>
      <c r="H106" s="176">
        <f t="shared" si="14"/>
        <v>0</v>
      </c>
      <c r="I106" s="60"/>
      <c r="J106" s="176">
        <f t="shared" si="15"/>
        <v>0</v>
      </c>
      <c r="K106" s="60"/>
      <c r="L106" s="176">
        <f t="shared" si="16"/>
        <v>0</v>
      </c>
      <c r="M106" s="60"/>
      <c r="N106" s="176">
        <f t="shared" si="17"/>
        <v>0</v>
      </c>
      <c r="O106" s="60"/>
      <c r="P106" s="176">
        <f t="shared" si="18"/>
        <v>0</v>
      </c>
      <c r="Q106" s="60"/>
      <c r="R106" s="176">
        <f t="shared" si="19"/>
        <v>0</v>
      </c>
      <c r="S106" s="60"/>
      <c r="T106" s="176">
        <f t="shared" si="20"/>
        <v>0</v>
      </c>
      <c r="U106" s="60"/>
      <c r="V106" s="176">
        <f t="shared" si="21"/>
        <v>0</v>
      </c>
      <c r="W106" s="60"/>
      <c r="X106" s="176">
        <f t="shared" si="22"/>
        <v>0</v>
      </c>
      <c r="Y106" s="60"/>
      <c r="Z106" s="176">
        <f t="shared" si="23"/>
        <v>0</v>
      </c>
      <c r="AA106" s="60"/>
      <c r="AB106" s="176">
        <f t="shared" si="24"/>
        <v>0</v>
      </c>
      <c r="AC106" s="60"/>
      <c r="AD106" s="176">
        <f t="shared" si="25"/>
        <v>0</v>
      </c>
      <c r="AE106" s="176">
        <f t="shared" si="26"/>
        <v>0</v>
      </c>
      <c r="AF106" s="176">
        <f t="shared" si="27"/>
        <v>0</v>
      </c>
    </row>
    <row r="107" spans="1:32" ht="20.100000000000001" customHeight="1">
      <c r="A107" s="63">
        <v>86</v>
      </c>
      <c r="B107" s="65" t="s">
        <v>84</v>
      </c>
      <c r="C107" s="63" t="s">
        <v>17</v>
      </c>
      <c r="D107" s="63">
        <v>0.6</v>
      </c>
      <c r="E107" s="63"/>
      <c r="F107" s="63"/>
      <c r="G107" s="60"/>
      <c r="H107" s="176">
        <f t="shared" si="14"/>
        <v>0</v>
      </c>
      <c r="I107" s="60"/>
      <c r="J107" s="176">
        <f t="shared" si="15"/>
        <v>0</v>
      </c>
      <c r="K107" s="60"/>
      <c r="L107" s="176">
        <f t="shared" si="16"/>
        <v>0</v>
      </c>
      <c r="M107" s="60"/>
      <c r="N107" s="176">
        <f t="shared" si="17"/>
        <v>0</v>
      </c>
      <c r="O107" s="60"/>
      <c r="P107" s="176">
        <f t="shared" si="18"/>
        <v>0</v>
      </c>
      <c r="Q107" s="60"/>
      <c r="R107" s="176">
        <f t="shared" si="19"/>
        <v>0</v>
      </c>
      <c r="S107" s="60"/>
      <c r="T107" s="176">
        <f t="shared" si="20"/>
        <v>0</v>
      </c>
      <c r="U107" s="60"/>
      <c r="V107" s="176">
        <f t="shared" si="21"/>
        <v>0</v>
      </c>
      <c r="W107" s="60"/>
      <c r="X107" s="176">
        <f t="shared" si="22"/>
        <v>0</v>
      </c>
      <c r="Y107" s="60"/>
      <c r="Z107" s="176">
        <f t="shared" si="23"/>
        <v>0</v>
      </c>
      <c r="AA107" s="60"/>
      <c r="AB107" s="176">
        <f t="shared" si="24"/>
        <v>0</v>
      </c>
      <c r="AC107" s="60"/>
      <c r="AD107" s="176">
        <f t="shared" si="25"/>
        <v>0</v>
      </c>
      <c r="AE107" s="176">
        <f t="shared" si="26"/>
        <v>0</v>
      </c>
      <c r="AF107" s="176">
        <f t="shared" si="27"/>
        <v>0</v>
      </c>
    </row>
    <row r="108" spans="1:32" ht="20.100000000000001" customHeight="1">
      <c r="A108" s="63"/>
      <c r="B108" s="63"/>
      <c r="C108" s="63"/>
      <c r="D108" s="63"/>
      <c r="E108" s="63"/>
      <c r="F108" s="63"/>
      <c r="G108" s="60"/>
      <c r="H108" s="176">
        <f t="shared" si="14"/>
        <v>0</v>
      </c>
      <c r="I108" s="60"/>
      <c r="J108" s="176">
        <f t="shared" si="15"/>
        <v>0</v>
      </c>
      <c r="K108" s="60"/>
      <c r="L108" s="176">
        <f t="shared" si="16"/>
        <v>0</v>
      </c>
      <c r="M108" s="60"/>
      <c r="N108" s="176">
        <f t="shared" si="17"/>
        <v>0</v>
      </c>
      <c r="O108" s="60"/>
      <c r="P108" s="176">
        <f t="shared" si="18"/>
        <v>0</v>
      </c>
      <c r="Q108" s="60"/>
      <c r="R108" s="176">
        <f t="shared" si="19"/>
        <v>0</v>
      </c>
      <c r="S108" s="60"/>
      <c r="T108" s="176">
        <f t="shared" si="20"/>
        <v>0</v>
      </c>
      <c r="U108" s="60"/>
      <c r="V108" s="176">
        <f t="shared" si="21"/>
        <v>0</v>
      </c>
      <c r="W108" s="60"/>
      <c r="X108" s="176">
        <f t="shared" si="22"/>
        <v>0</v>
      </c>
      <c r="Y108" s="60"/>
      <c r="Z108" s="176">
        <f t="shared" si="23"/>
        <v>0</v>
      </c>
      <c r="AA108" s="60"/>
      <c r="AB108" s="176">
        <f t="shared" si="24"/>
        <v>0</v>
      </c>
      <c r="AC108" s="60"/>
      <c r="AD108" s="176">
        <f t="shared" si="25"/>
        <v>0</v>
      </c>
      <c r="AE108" s="176">
        <f t="shared" si="26"/>
        <v>0</v>
      </c>
      <c r="AF108" s="176">
        <f t="shared" si="27"/>
        <v>0</v>
      </c>
    </row>
    <row r="109" spans="1:32" ht="20.100000000000001" customHeight="1">
      <c r="A109" s="63">
        <v>87</v>
      </c>
      <c r="B109" s="63" t="s">
        <v>85</v>
      </c>
      <c r="C109" s="63" t="s">
        <v>197</v>
      </c>
      <c r="D109" s="63">
        <v>0.6</v>
      </c>
      <c r="E109" s="63" t="s">
        <v>15</v>
      </c>
      <c r="F109" s="63"/>
      <c r="G109" s="164"/>
      <c r="H109" s="176">
        <f t="shared" si="14"/>
        <v>0</v>
      </c>
      <c r="I109" s="164"/>
      <c r="J109" s="176">
        <f t="shared" si="15"/>
        <v>0</v>
      </c>
      <c r="K109" s="164"/>
      <c r="L109" s="176">
        <f t="shared" si="16"/>
        <v>0</v>
      </c>
      <c r="M109" s="164"/>
      <c r="N109" s="176">
        <f t="shared" si="17"/>
        <v>0</v>
      </c>
      <c r="O109" s="164"/>
      <c r="P109" s="176">
        <f t="shared" si="18"/>
        <v>0</v>
      </c>
      <c r="Q109" s="164"/>
      <c r="R109" s="176">
        <f t="shared" si="19"/>
        <v>0</v>
      </c>
      <c r="S109" s="164"/>
      <c r="T109" s="176">
        <f t="shared" si="20"/>
        <v>0</v>
      </c>
      <c r="U109" s="164"/>
      <c r="V109" s="176">
        <f t="shared" si="21"/>
        <v>0</v>
      </c>
      <c r="W109" s="164"/>
      <c r="X109" s="176">
        <f t="shared" si="22"/>
        <v>0</v>
      </c>
      <c r="Y109" s="164"/>
      <c r="Z109" s="176">
        <f t="shared" si="23"/>
        <v>0</v>
      </c>
      <c r="AA109" s="164"/>
      <c r="AB109" s="176">
        <f t="shared" si="24"/>
        <v>0</v>
      </c>
      <c r="AC109" s="164"/>
      <c r="AD109" s="176">
        <f t="shared" si="25"/>
        <v>0</v>
      </c>
      <c r="AE109" s="176">
        <f t="shared" si="26"/>
        <v>0</v>
      </c>
      <c r="AF109" s="176">
        <f t="shared" si="27"/>
        <v>0</v>
      </c>
    </row>
    <row r="110" spans="1:32" ht="20.100000000000001" customHeight="1">
      <c r="A110" s="63">
        <v>88</v>
      </c>
      <c r="B110" s="65" t="s">
        <v>85</v>
      </c>
      <c r="C110" s="63" t="s">
        <v>17</v>
      </c>
      <c r="D110" s="63">
        <v>1</v>
      </c>
      <c r="E110" s="63" t="s">
        <v>15</v>
      </c>
      <c r="F110" s="63"/>
      <c r="G110" s="60"/>
      <c r="H110" s="176">
        <f t="shared" si="14"/>
        <v>0</v>
      </c>
      <c r="I110" s="60"/>
      <c r="J110" s="176">
        <f t="shared" si="15"/>
        <v>0</v>
      </c>
      <c r="K110" s="60"/>
      <c r="L110" s="176">
        <f t="shared" si="16"/>
        <v>0</v>
      </c>
      <c r="M110" s="60"/>
      <c r="N110" s="176">
        <f t="shared" si="17"/>
        <v>0</v>
      </c>
      <c r="O110" s="60"/>
      <c r="P110" s="176">
        <f t="shared" si="18"/>
        <v>0</v>
      </c>
      <c r="Q110" s="60"/>
      <c r="R110" s="176">
        <f t="shared" si="19"/>
        <v>0</v>
      </c>
      <c r="S110" s="60"/>
      <c r="T110" s="176">
        <f t="shared" si="20"/>
        <v>0</v>
      </c>
      <c r="U110" s="60"/>
      <c r="V110" s="176">
        <f t="shared" si="21"/>
        <v>0</v>
      </c>
      <c r="W110" s="60"/>
      <c r="X110" s="176">
        <f t="shared" si="22"/>
        <v>0</v>
      </c>
      <c r="Y110" s="60"/>
      <c r="Z110" s="176">
        <f t="shared" si="23"/>
        <v>0</v>
      </c>
      <c r="AA110" s="60"/>
      <c r="AB110" s="176">
        <f t="shared" si="24"/>
        <v>0</v>
      </c>
      <c r="AC110" s="60"/>
      <c r="AD110" s="176">
        <f t="shared" si="25"/>
        <v>0</v>
      </c>
      <c r="AE110" s="176">
        <f t="shared" si="26"/>
        <v>0</v>
      </c>
      <c r="AF110" s="176">
        <f t="shared" si="27"/>
        <v>0</v>
      </c>
    </row>
    <row r="111" spans="1:32" ht="20.100000000000001" customHeight="1">
      <c r="A111" s="63">
        <v>89</v>
      </c>
      <c r="B111" s="65" t="s">
        <v>85</v>
      </c>
      <c r="C111" s="63" t="s">
        <v>14</v>
      </c>
      <c r="D111" s="63">
        <v>0.64</v>
      </c>
      <c r="E111" s="63" t="s">
        <v>25</v>
      </c>
      <c r="F111" s="63"/>
      <c r="G111" s="60"/>
      <c r="H111" s="176">
        <f t="shared" si="14"/>
        <v>0</v>
      </c>
      <c r="I111" s="60"/>
      <c r="J111" s="176">
        <f t="shared" si="15"/>
        <v>0</v>
      </c>
      <c r="K111" s="60"/>
      <c r="L111" s="176">
        <f t="shared" si="16"/>
        <v>0</v>
      </c>
      <c r="M111" s="60"/>
      <c r="N111" s="176">
        <f t="shared" si="17"/>
        <v>0</v>
      </c>
      <c r="O111" s="60"/>
      <c r="P111" s="176">
        <f t="shared" si="18"/>
        <v>0</v>
      </c>
      <c r="Q111" s="60"/>
      <c r="R111" s="176">
        <f t="shared" si="19"/>
        <v>0</v>
      </c>
      <c r="S111" s="60"/>
      <c r="T111" s="176">
        <f t="shared" si="20"/>
        <v>0</v>
      </c>
      <c r="U111" s="60"/>
      <c r="V111" s="176">
        <f t="shared" si="21"/>
        <v>0</v>
      </c>
      <c r="W111" s="60"/>
      <c r="X111" s="176">
        <f t="shared" si="22"/>
        <v>0</v>
      </c>
      <c r="Y111" s="60"/>
      <c r="Z111" s="176">
        <f t="shared" si="23"/>
        <v>0</v>
      </c>
      <c r="AA111" s="60"/>
      <c r="AB111" s="176">
        <f t="shared" si="24"/>
        <v>0</v>
      </c>
      <c r="AC111" s="60"/>
      <c r="AD111" s="176">
        <f t="shared" si="25"/>
        <v>0</v>
      </c>
      <c r="AE111" s="176">
        <f t="shared" si="26"/>
        <v>0</v>
      </c>
      <c r="AF111" s="176">
        <f t="shared" si="27"/>
        <v>0</v>
      </c>
    </row>
    <row r="112" spans="1:32" ht="20.100000000000001" customHeight="1">
      <c r="A112" s="63"/>
      <c r="B112" s="63"/>
      <c r="C112" s="63"/>
      <c r="D112" s="63"/>
      <c r="E112" s="63"/>
      <c r="F112" s="63"/>
      <c r="G112" s="60"/>
      <c r="H112" s="176">
        <f t="shared" si="14"/>
        <v>0</v>
      </c>
      <c r="I112" s="60"/>
      <c r="J112" s="176">
        <f t="shared" si="15"/>
        <v>0</v>
      </c>
      <c r="K112" s="60"/>
      <c r="L112" s="176">
        <f t="shared" si="16"/>
        <v>0</v>
      </c>
      <c r="M112" s="60"/>
      <c r="N112" s="176">
        <f t="shared" si="17"/>
        <v>0</v>
      </c>
      <c r="O112" s="60"/>
      <c r="P112" s="176">
        <f t="shared" si="18"/>
        <v>0</v>
      </c>
      <c r="Q112" s="60"/>
      <c r="R112" s="176">
        <f t="shared" si="19"/>
        <v>0</v>
      </c>
      <c r="S112" s="60"/>
      <c r="T112" s="176">
        <f t="shared" si="20"/>
        <v>0</v>
      </c>
      <c r="U112" s="60"/>
      <c r="V112" s="176">
        <f t="shared" si="21"/>
        <v>0</v>
      </c>
      <c r="W112" s="60"/>
      <c r="X112" s="176">
        <f t="shared" si="22"/>
        <v>0</v>
      </c>
      <c r="Y112" s="60"/>
      <c r="Z112" s="176">
        <f t="shared" si="23"/>
        <v>0</v>
      </c>
      <c r="AA112" s="60"/>
      <c r="AB112" s="176">
        <f t="shared" si="24"/>
        <v>0</v>
      </c>
      <c r="AC112" s="60"/>
      <c r="AD112" s="176">
        <f t="shared" si="25"/>
        <v>0</v>
      </c>
      <c r="AE112" s="176">
        <f t="shared" si="26"/>
        <v>0</v>
      </c>
      <c r="AF112" s="176">
        <f t="shared" si="27"/>
        <v>0</v>
      </c>
    </row>
    <row r="113" spans="1:32" ht="20.100000000000001" customHeight="1">
      <c r="A113" s="63">
        <v>90</v>
      </c>
      <c r="B113" s="63" t="s">
        <v>86</v>
      </c>
      <c r="C113" s="63" t="s">
        <v>14</v>
      </c>
      <c r="D113" s="63">
        <v>0.7</v>
      </c>
      <c r="E113" s="63" t="s">
        <v>15</v>
      </c>
      <c r="F113" s="63">
        <v>3600</v>
      </c>
      <c r="G113" s="60">
        <v>12</v>
      </c>
      <c r="H113" s="176">
        <f t="shared" si="14"/>
        <v>8.3999999999999986</v>
      </c>
      <c r="I113" s="60"/>
      <c r="J113" s="176">
        <f t="shared" si="15"/>
        <v>0</v>
      </c>
      <c r="K113" s="60">
        <v>4</v>
      </c>
      <c r="L113" s="176">
        <f t="shared" si="16"/>
        <v>2.8</v>
      </c>
      <c r="M113" s="60"/>
      <c r="N113" s="176">
        <f t="shared" si="17"/>
        <v>0</v>
      </c>
      <c r="O113" s="60"/>
      <c r="P113" s="176">
        <f t="shared" si="18"/>
        <v>0</v>
      </c>
      <c r="Q113" s="60">
        <v>1</v>
      </c>
      <c r="R113" s="176">
        <f t="shared" si="19"/>
        <v>0.7</v>
      </c>
      <c r="S113" s="60">
        <v>1</v>
      </c>
      <c r="T113" s="176">
        <f t="shared" si="20"/>
        <v>0.7</v>
      </c>
      <c r="U113" s="60"/>
      <c r="V113" s="176">
        <f t="shared" si="21"/>
        <v>0</v>
      </c>
      <c r="W113" s="60"/>
      <c r="X113" s="176">
        <f t="shared" si="22"/>
        <v>0</v>
      </c>
      <c r="Y113" s="60"/>
      <c r="Z113" s="176">
        <f t="shared" si="23"/>
        <v>0</v>
      </c>
      <c r="AA113" s="60"/>
      <c r="AB113" s="176">
        <f t="shared" si="24"/>
        <v>0</v>
      </c>
      <c r="AC113" s="60"/>
      <c r="AD113" s="176">
        <f t="shared" si="25"/>
        <v>0</v>
      </c>
      <c r="AE113" s="176">
        <f t="shared" si="26"/>
        <v>18</v>
      </c>
      <c r="AF113" s="176">
        <f t="shared" si="27"/>
        <v>12.599999999999998</v>
      </c>
    </row>
    <row r="114" spans="1:32" ht="20.100000000000001" customHeight="1">
      <c r="A114" s="63">
        <v>91</v>
      </c>
      <c r="B114" s="63" t="s">
        <v>87</v>
      </c>
      <c r="C114" s="63" t="s">
        <v>14</v>
      </c>
      <c r="D114" s="63">
        <v>0.35</v>
      </c>
      <c r="E114" s="63" t="s">
        <v>24</v>
      </c>
      <c r="F114" s="63">
        <v>2100</v>
      </c>
      <c r="G114" s="60"/>
      <c r="H114" s="176">
        <f t="shared" si="14"/>
        <v>0</v>
      </c>
      <c r="I114" s="60"/>
      <c r="J114" s="176">
        <f t="shared" si="15"/>
        <v>0</v>
      </c>
      <c r="K114" s="60">
        <v>3</v>
      </c>
      <c r="L114" s="176">
        <f t="shared" si="16"/>
        <v>1.0499999999999998</v>
      </c>
      <c r="M114" s="60"/>
      <c r="N114" s="176">
        <f t="shared" si="17"/>
        <v>0</v>
      </c>
      <c r="O114" s="60"/>
      <c r="P114" s="176">
        <f t="shared" si="18"/>
        <v>0</v>
      </c>
      <c r="Q114" s="60">
        <v>1</v>
      </c>
      <c r="R114" s="176">
        <f t="shared" si="19"/>
        <v>0.35</v>
      </c>
      <c r="S114" s="60">
        <v>2</v>
      </c>
      <c r="T114" s="176">
        <f t="shared" si="20"/>
        <v>0.7</v>
      </c>
      <c r="U114" s="60"/>
      <c r="V114" s="176">
        <f t="shared" si="21"/>
        <v>0</v>
      </c>
      <c r="W114" s="60"/>
      <c r="X114" s="176">
        <f t="shared" si="22"/>
        <v>0</v>
      </c>
      <c r="Y114" s="60"/>
      <c r="Z114" s="176">
        <f t="shared" si="23"/>
        <v>0</v>
      </c>
      <c r="AA114" s="60"/>
      <c r="AB114" s="176">
        <f t="shared" si="24"/>
        <v>0</v>
      </c>
      <c r="AC114" s="60"/>
      <c r="AD114" s="176">
        <f t="shared" si="25"/>
        <v>0</v>
      </c>
      <c r="AE114" s="176">
        <f t="shared" si="26"/>
        <v>6</v>
      </c>
      <c r="AF114" s="176">
        <f t="shared" si="27"/>
        <v>2.0999999999999996</v>
      </c>
    </row>
    <row r="115" spans="1:32" ht="20.100000000000001" customHeight="1">
      <c r="A115" s="63"/>
      <c r="B115" s="63"/>
      <c r="C115" s="63"/>
      <c r="D115" s="63"/>
      <c r="E115" s="63"/>
      <c r="F115" s="63"/>
      <c r="G115" s="60"/>
      <c r="H115" s="176">
        <f t="shared" si="14"/>
        <v>0</v>
      </c>
      <c r="I115" s="60"/>
      <c r="J115" s="176">
        <f t="shared" si="15"/>
        <v>0</v>
      </c>
      <c r="K115" s="60"/>
      <c r="L115" s="176">
        <f t="shared" si="16"/>
        <v>0</v>
      </c>
      <c r="M115" s="60"/>
      <c r="N115" s="176">
        <f t="shared" si="17"/>
        <v>0</v>
      </c>
      <c r="O115" s="60"/>
      <c r="P115" s="176">
        <f t="shared" si="18"/>
        <v>0</v>
      </c>
      <c r="Q115" s="60"/>
      <c r="R115" s="176">
        <f t="shared" si="19"/>
        <v>0</v>
      </c>
      <c r="S115" s="60"/>
      <c r="T115" s="176">
        <f t="shared" si="20"/>
        <v>0</v>
      </c>
      <c r="U115" s="60"/>
      <c r="V115" s="176">
        <f t="shared" si="21"/>
        <v>0</v>
      </c>
      <c r="W115" s="60"/>
      <c r="X115" s="176">
        <f t="shared" si="22"/>
        <v>0</v>
      </c>
      <c r="Y115" s="60"/>
      <c r="Z115" s="176">
        <f t="shared" si="23"/>
        <v>0</v>
      </c>
      <c r="AA115" s="60"/>
      <c r="AB115" s="176">
        <f t="shared" si="24"/>
        <v>0</v>
      </c>
      <c r="AC115" s="60"/>
      <c r="AD115" s="176">
        <f t="shared" si="25"/>
        <v>0</v>
      </c>
      <c r="AE115" s="176">
        <f t="shared" si="26"/>
        <v>0</v>
      </c>
      <c r="AF115" s="176">
        <f t="shared" si="27"/>
        <v>0</v>
      </c>
    </row>
    <row r="116" spans="1:32" ht="20.100000000000001" customHeight="1">
      <c r="A116" s="63">
        <v>92</v>
      </c>
      <c r="B116" s="63" t="s">
        <v>198</v>
      </c>
      <c r="C116" s="63" t="s">
        <v>197</v>
      </c>
      <c r="D116" s="63">
        <v>0.75</v>
      </c>
      <c r="E116" s="63" t="s">
        <v>15</v>
      </c>
      <c r="F116" s="63"/>
      <c r="G116" s="164"/>
      <c r="H116" s="176">
        <f t="shared" si="14"/>
        <v>0</v>
      </c>
      <c r="I116" s="164"/>
      <c r="J116" s="176">
        <f t="shared" si="15"/>
        <v>0</v>
      </c>
      <c r="K116" s="164"/>
      <c r="L116" s="176">
        <f t="shared" si="16"/>
        <v>0</v>
      </c>
      <c r="M116" s="164"/>
      <c r="N116" s="176">
        <f t="shared" si="17"/>
        <v>0</v>
      </c>
      <c r="O116" s="164"/>
      <c r="P116" s="176">
        <f t="shared" si="18"/>
        <v>0</v>
      </c>
      <c r="Q116" s="164"/>
      <c r="R116" s="176">
        <f t="shared" si="19"/>
        <v>0</v>
      </c>
      <c r="S116" s="164"/>
      <c r="T116" s="176">
        <f t="shared" si="20"/>
        <v>0</v>
      </c>
      <c r="U116" s="164"/>
      <c r="V116" s="176">
        <f t="shared" si="21"/>
        <v>0</v>
      </c>
      <c r="W116" s="164"/>
      <c r="X116" s="176">
        <f t="shared" si="22"/>
        <v>0</v>
      </c>
      <c r="Y116" s="164"/>
      <c r="Z116" s="176">
        <f t="shared" si="23"/>
        <v>0</v>
      </c>
      <c r="AA116" s="164"/>
      <c r="AB116" s="176">
        <f t="shared" si="24"/>
        <v>0</v>
      </c>
      <c r="AC116" s="164"/>
      <c r="AD116" s="176">
        <f t="shared" si="25"/>
        <v>0</v>
      </c>
      <c r="AE116" s="176">
        <f t="shared" si="26"/>
        <v>0</v>
      </c>
      <c r="AF116" s="176">
        <f t="shared" si="27"/>
        <v>0</v>
      </c>
    </row>
    <row r="117" spans="1:32" ht="20.100000000000001" customHeight="1">
      <c r="A117" s="63">
        <v>93</v>
      </c>
      <c r="B117" s="63" t="s">
        <v>198</v>
      </c>
      <c r="C117" s="63" t="s">
        <v>197</v>
      </c>
      <c r="D117" s="63">
        <v>0.6</v>
      </c>
      <c r="E117" s="63" t="s">
        <v>15</v>
      </c>
      <c r="F117" s="63">
        <v>800</v>
      </c>
      <c r="G117" s="164"/>
      <c r="H117" s="176">
        <f t="shared" si="14"/>
        <v>0</v>
      </c>
      <c r="I117" s="164"/>
      <c r="J117" s="176">
        <f t="shared" si="15"/>
        <v>0</v>
      </c>
      <c r="K117" s="164"/>
      <c r="L117" s="176">
        <f t="shared" si="16"/>
        <v>0</v>
      </c>
      <c r="M117" s="164"/>
      <c r="N117" s="176">
        <f t="shared" si="17"/>
        <v>0</v>
      </c>
      <c r="O117" s="164"/>
      <c r="P117" s="176">
        <f t="shared" si="18"/>
        <v>0</v>
      </c>
      <c r="Q117" s="164">
        <v>647</v>
      </c>
      <c r="R117" s="176">
        <f t="shared" si="19"/>
        <v>388.2</v>
      </c>
      <c r="S117" s="164">
        <v>360</v>
      </c>
      <c r="T117" s="176">
        <f t="shared" si="20"/>
        <v>216</v>
      </c>
      <c r="U117" s="164">
        <v>99</v>
      </c>
      <c r="V117" s="176">
        <f t="shared" si="21"/>
        <v>59.4</v>
      </c>
      <c r="W117" s="164">
        <v>194</v>
      </c>
      <c r="X117" s="176">
        <f t="shared" si="22"/>
        <v>116.39999999999999</v>
      </c>
      <c r="Y117" s="164">
        <v>24</v>
      </c>
      <c r="Z117" s="176">
        <f t="shared" si="23"/>
        <v>14.399999999999999</v>
      </c>
      <c r="AA117" s="164">
        <v>109</v>
      </c>
      <c r="AB117" s="176">
        <f t="shared" si="24"/>
        <v>65.399999999999991</v>
      </c>
      <c r="AC117" s="164">
        <v>76</v>
      </c>
      <c r="AD117" s="176">
        <f t="shared" si="25"/>
        <v>45.6</v>
      </c>
      <c r="AE117" s="176">
        <f t="shared" si="26"/>
        <v>1509</v>
      </c>
      <c r="AF117" s="176">
        <f t="shared" si="27"/>
        <v>905.4</v>
      </c>
    </row>
    <row r="118" spans="1:32" ht="20.100000000000001" customHeight="1">
      <c r="A118" s="63">
        <v>94</v>
      </c>
      <c r="B118" s="64" t="s">
        <v>198</v>
      </c>
      <c r="C118" s="63" t="s">
        <v>14</v>
      </c>
      <c r="D118" s="63">
        <v>0.64</v>
      </c>
      <c r="E118" s="63" t="s">
        <v>25</v>
      </c>
      <c r="F118" s="63">
        <v>830</v>
      </c>
      <c r="G118" s="164"/>
      <c r="H118" s="176">
        <f t="shared" si="14"/>
        <v>0</v>
      </c>
      <c r="I118" s="164"/>
      <c r="J118" s="176">
        <f t="shared" si="15"/>
        <v>0</v>
      </c>
      <c r="K118" s="164"/>
      <c r="L118" s="176">
        <f t="shared" si="16"/>
        <v>0</v>
      </c>
      <c r="M118" s="164">
        <v>55</v>
      </c>
      <c r="N118" s="176">
        <f t="shared" si="17"/>
        <v>35.200000000000003</v>
      </c>
      <c r="O118" s="164">
        <v>69</v>
      </c>
      <c r="P118" s="176">
        <f t="shared" si="18"/>
        <v>44.160000000000004</v>
      </c>
      <c r="Q118" s="164">
        <v>74</v>
      </c>
      <c r="R118" s="176">
        <f t="shared" si="19"/>
        <v>47.36</v>
      </c>
      <c r="S118" s="164">
        <v>31</v>
      </c>
      <c r="T118" s="176">
        <f t="shared" si="20"/>
        <v>19.84</v>
      </c>
      <c r="U118" s="164">
        <v>57</v>
      </c>
      <c r="V118" s="176">
        <f t="shared" si="21"/>
        <v>36.480000000000004</v>
      </c>
      <c r="W118" s="164">
        <v>7</v>
      </c>
      <c r="X118" s="176">
        <f t="shared" si="22"/>
        <v>4.4800000000000004</v>
      </c>
      <c r="Y118" s="164">
        <v>8</v>
      </c>
      <c r="Z118" s="176">
        <f t="shared" si="23"/>
        <v>5.12</v>
      </c>
      <c r="AA118" s="164">
        <v>13</v>
      </c>
      <c r="AB118" s="176">
        <f t="shared" si="24"/>
        <v>8.32</v>
      </c>
      <c r="AC118" s="164">
        <v>12</v>
      </c>
      <c r="AD118" s="176">
        <f t="shared" si="25"/>
        <v>7.68</v>
      </c>
      <c r="AE118" s="176">
        <f t="shared" si="26"/>
        <v>326</v>
      </c>
      <c r="AF118" s="176">
        <f t="shared" si="27"/>
        <v>208.64000000000001</v>
      </c>
    </row>
    <row r="119" spans="1:32" ht="20.100000000000001" customHeight="1">
      <c r="A119" s="63"/>
      <c r="B119" s="63"/>
      <c r="C119" s="63"/>
      <c r="D119" s="63"/>
      <c r="E119" s="63"/>
      <c r="F119" s="63"/>
      <c r="G119" s="164"/>
      <c r="H119" s="176">
        <f t="shared" si="14"/>
        <v>0</v>
      </c>
      <c r="I119" s="164"/>
      <c r="J119" s="176">
        <f t="shared" si="15"/>
        <v>0</v>
      </c>
      <c r="K119" s="164"/>
      <c r="L119" s="176">
        <f t="shared" si="16"/>
        <v>0</v>
      </c>
      <c r="M119" s="164"/>
      <c r="N119" s="176">
        <f t="shared" si="17"/>
        <v>0</v>
      </c>
      <c r="O119" s="164"/>
      <c r="P119" s="176">
        <f t="shared" si="18"/>
        <v>0</v>
      </c>
      <c r="Q119" s="164"/>
      <c r="R119" s="176">
        <f t="shared" si="19"/>
        <v>0</v>
      </c>
      <c r="S119" s="164"/>
      <c r="T119" s="176">
        <f t="shared" si="20"/>
        <v>0</v>
      </c>
      <c r="U119" s="164"/>
      <c r="V119" s="176">
        <f t="shared" si="21"/>
        <v>0</v>
      </c>
      <c r="W119" s="164"/>
      <c r="X119" s="176">
        <f t="shared" si="22"/>
        <v>0</v>
      </c>
      <c r="Y119" s="164"/>
      <c r="Z119" s="176">
        <f t="shared" si="23"/>
        <v>0</v>
      </c>
      <c r="AA119" s="164"/>
      <c r="AB119" s="176">
        <f t="shared" si="24"/>
        <v>0</v>
      </c>
      <c r="AC119" s="164"/>
      <c r="AD119" s="176">
        <f t="shared" si="25"/>
        <v>0</v>
      </c>
      <c r="AE119" s="176">
        <f t="shared" si="26"/>
        <v>0</v>
      </c>
      <c r="AF119" s="176">
        <f t="shared" si="27"/>
        <v>0</v>
      </c>
    </row>
    <row r="120" spans="1:32" ht="20.100000000000001" customHeight="1">
      <c r="A120" s="63">
        <v>95</v>
      </c>
      <c r="B120" s="63" t="s">
        <v>210</v>
      </c>
      <c r="C120" s="63" t="s">
        <v>197</v>
      </c>
      <c r="D120" s="63">
        <v>1</v>
      </c>
      <c r="E120" s="63" t="s">
        <v>212</v>
      </c>
      <c r="F120" s="63"/>
      <c r="G120" s="164"/>
      <c r="H120" s="177"/>
      <c r="I120" s="164"/>
      <c r="J120" s="177"/>
      <c r="K120" s="164"/>
      <c r="L120" s="177"/>
      <c r="M120" s="164"/>
      <c r="N120" s="177"/>
      <c r="O120" s="164"/>
      <c r="P120" s="177"/>
      <c r="Q120" s="164"/>
      <c r="R120" s="177"/>
      <c r="S120" s="164"/>
      <c r="T120" s="177"/>
      <c r="U120" s="164"/>
      <c r="V120" s="176">
        <f t="shared" si="21"/>
        <v>0</v>
      </c>
      <c r="W120" s="164"/>
      <c r="X120" s="176">
        <f t="shared" si="22"/>
        <v>0</v>
      </c>
      <c r="Y120" s="164"/>
      <c r="Z120" s="176">
        <f t="shared" si="23"/>
        <v>0</v>
      </c>
      <c r="AA120" s="164"/>
      <c r="AB120" s="176">
        <f t="shared" si="24"/>
        <v>0</v>
      </c>
      <c r="AC120" s="164"/>
      <c r="AD120" s="176">
        <f t="shared" si="25"/>
        <v>0</v>
      </c>
      <c r="AE120" s="177"/>
      <c r="AF120" s="176">
        <f t="shared" si="27"/>
        <v>0</v>
      </c>
    </row>
    <row r="121" spans="1:32" ht="20.100000000000001" customHeight="1">
      <c r="A121" s="63">
        <v>96</v>
      </c>
      <c r="B121" s="63" t="s">
        <v>210</v>
      </c>
      <c r="C121" s="63" t="s">
        <v>197</v>
      </c>
      <c r="D121" s="63">
        <v>1</v>
      </c>
      <c r="E121" s="63" t="s">
        <v>215</v>
      </c>
      <c r="F121" s="63"/>
      <c r="G121" s="164"/>
      <c r="H121" s="177"/>
      <c r="I121" s="164"/>
      <c r="J121" s="177"/>
      <c r="K121" s="164"/>
      <c r="L121" s="177"/>
      <c r="M121" s="164"/>
      <c r="N121" s="177"/>
      <c r="O121" s="164"/>
      <c r="P121" s="177"/>
      <c r="Q121" s="164"/>
      <c r="R121" s="177"/>
      <c r="S121" s="164"/>
      <c r="T121" s="177"/>
      <c r="U121" s="164"/>
      <c r="V121" s="176">
        <f t="shared" si="21"/>
        <v>0</v>
      </c>
      <c r="W121" s="164"/>
      <c r="X121" s="176">
        <f t="shared" si="22"/>
        <v>0</v>
      </c>
      <c r="Y121" s="164"/>
      <c r="Z121" s="176">
        <f t="shared" si="23"/>
        <v>0</v>
      </c>
      <c r="AA121" s="164"/>
      <c r="AB121" s="176">
        <f t="shared" si="24"/>
        <v>0</v>
      </c>
      <c r="AC121" s="164"/>
      <c r="AD121" s="176">
        <f t="shared" si="25"/>
        <v>0</v>
      </c>
      <c r="AE121" s="177"/>
      <c r="AF121" s="176">
        <f t="shared" si="27"/>
        <v>0</v>
      </c>
    </row>
    <row r="122" spans="1:32" ht="20.100000000000001" customHeight="1">
      <c r="A122" s="63">
        <v>97</v>
      </c>
      <c r="B122" s="63" t="s">
        <v>211</v>
      </c>
      <c r="C122" s="63" t="s">
        <v>197</v>
      </c>
      <c r="D122" s="63">
        <v>1</v>
      </c>
      <c r="E122" s="63" t="s">
        <v>38</v>
      </c>
      <c r="F122" s="63">
        <v>1600</v>
      </c>
      <c r="G122" s="164"/>
      <c r="H122" s="177"/>
      <c r="I122" s="164"/>
      <c r="J122" s="177"/>
      <c r="K122" s="164"/>
      <c r="L122" s="177"/>
      <c r="M122" s="164"/>
      <c r="N122" s="177"/>
      <c r="O122" s="164"/>
      <c r="P122" s="177"/>
      <c r="Q122" s="164"/>
      <c r="R122" s="177"/>
      <c r="S122" s="164"/>
      <c r="T122" s="177"/>
      <c r="U122" s="164"/>
      <c r="V122" s="176">
        <f t="shared" si="21"/>
        <v>0</v>
      </c>
      <c r="W122" s="164"/>
      <c r="X122" s="176">
        <f t="shared" si="22"/>
        <v>0</v>
      </c>
      <c r="Y122" s="164">
        <v>25</v>
      </c>
      <c r="Z122" s="176">
        <f t="shared" si="23"/>
        <v>25</v>
      </c>
      <c r="AA122" s="164">
        <v>119</v>
      </c>
      <c r="AB122" s="176">
        <f t="shared" si="24"/>
        <v>119</v>
      </c>
      <c r="AC122" s="164">
        <v>17</v>
      </c>
      <c r="AD122" s="176">
        <f t="shared" si="25"/>
        <v>17</v>
      </c>
      <c r="AE122" s="177"/>
      <c r="AF122" s="176">
        <f t="shared" si="27"/>
        <v>161</v>
      </c>
    </row>
    <row r="123" spans="1:32" ht="20.100000000000001" customHeight="1">
      <c r="A123" s="63">
        <v>98</v>
      </c>
      <c r="B123" s="63" t="s">
        <v>211</v>
      </c>
      <c r="C123" s="63" t="s">
        <v>14</v>
      </c>
      <c r="D123" s="63">
        <v>0.68</v>
      </c>
      <c r="E123" s="63" t="s">
        <v>15</v>
      </c>
      <c r="F123" s="63"/>
      <c r="G123" s="164"/>
      <c r="H123" s="177"/>
      <c r="I123" s="164"/>
      <c r="J123" s="177"/>
      <c r="K123" s="164"/>
      <c r="L123" s="177"/>
      <c r="M123" s="164"/>
      <c r="N123" s="177"/>
      <c r="O123" s="164"/>
      <c r="P123" s="177"/>
      <c r="Q123" s="164"/>
      <c r="R123" s="177"/>
      <c r="S123" s="164"/>
      <c r="T123" s="177"/>
      <c r="U123" s="164"/>
      <c r="V123" s="176">
        <f t="shared" si="21"/>
        <v>0</v>
      </c>
      <c r="W123" s="164"/>
      <c r="X123" s="176">
        <f t="shared" si="22"/>
        <v>0</v>
      </c>
      <c r="Y123" s="164"/>
      <c r="Z123" s="176">
        <f t="shared" si="23"/>
        <v>0</v>
      </c>
      <c r="AA123" s="164"/>
      <c r="AB123" s="176">
        <f t="shared" si="24"/>
        <v>0</v>
      </c>
      <c r="AC123" s="164"/>
      <c r="AD123" s="176">
        <f t="shared" si="25"/>
        <v>0</v>
      </c>
      <c r="AE123" s="177"/>
      <c r="AF123" s="176">
        <f t="shared" si="27"/>
        <v>0</v>
      </c>
    </row>
    <row r="124" spans="1:32" ht="20.100000000000001" customHeight="1">
      <c r="A124" s="63">
        <v>99</v>
      </c>
      <c r="B124" s="63" t="s">
        <v>211</v>
      </c>
      <c r="C124" s="63" t="s">
        <v>14</v>
      </c>
      <c r="D124" s="63">
        <v>0.64</v>
      </c>
      <c r="E124" s="63" t="s">
        <v>25</v>
      </c>
      <c r="F124" s="63">
        <v>1500</v>
      </c>
      <c r="G124" s="164"/>
      <c r="H124" s="177"/>
      <c r="I124" s="164"/>
      <c r="J124" s="177"/>
      <c r="K124" s="164"/>
      <c r="L124" s="177"/>
      <c r="M124" s="164"/>
      <c r="N124" s="177"/>
      <c r="O124" s="164"/>
      <c r="P124" s="177"/>
      <c r="Q124" s="164"/>
      <c r="R124" s="177"/>
      <c r="S124" s="164"/>
      <c r="T124" s="177"/>
      <c r="U124" s="164"/>
      <c r="V124" s="177"/>
      <c r="W124" s="164"/>
      <c r="X124" s="177"/>
      <c r="Y124" s="164">
        <v>5</v>
      </c>
      <c r="Z124" s="176">
        <f t="shared" si="23"/>
        <v>3.2</v>
      </c>
      <c r="AA124" s="164">
        <v>4</v>
      </c>
      <c r="AB124" s="176">
        <f t="shared" si="24"/>
        <v>2.56</v>
      </c>
      <c r="AC124" s="164">
        <v>1</v>
      </c>
      <c r="AD124" s="176">
        <f t="shared" si="25"/>
        <v>0.64</v>
      </c>
      <c r="AE124" s="177"/>
      <c r="AF124" s="176">
        <f t="shared" si="27"/>
        <v>6.3999999999999995</v>
      </c>
    </row>
    <row r="125" spans="1:32" ht="20.100000000000001" customHeight="1">
      <c r="A125" s="63">
        <v>100</v>
      </c>
      <c r="B125" s="63" t="s">
        <v>89</v>
      </c>
      <c r="C125" s="63" t="s">
        <v>17</v>
      </c>
      <c r="D125" s="63">
        <v>1</v>
      </c>
      <c r="E125" s="63" t="s">
        <v>90</v>
      </c>
      <c r="F125" s="63"/>
      <c r="G125" s="60"/>
      <c r="H125" s="176">
        <f t="shared" si="14"/>
        <v>0</v>
      </c>
      <c r="I125" s="60"/>
      <c r="J125" s="176">
        <f t="shared" si="15"/>
        <v>0</v>
      </c>
      <c r="K125" s="60"/>
      <c r="L125" s="176">
        <f t="shared" si="16"/>
        <v>0</v>
      </c>
      <c r="M125" s="60"/>
      <c r="N125" s="176">
        <f t="shared" si="17"/>
        <v>0</v>
      </c>
      <c r="O125" s="60"/>
      <c r="P125" s="176">
        <f t="shared" si="18"/>
        <v>0</v>
      </c>
      <c r="Q125" s="60"/>
      <c r="R125" s="176">
        <f t="shared" si="19"/>
        <v>0</v>
      </c>
      <c r="S125" s="60"/>
      <c r="T125" s="176">
        <f t="shared" si="20"/>
        <v>0</v>
      </c>
      <c r="U125" s="60"/>
      <c r="V125" s="176">
        <f t="shared" si="21"/>
        <v>0</v>
      </c>
      <c r="W125" s="60"/>
      <c r="X125" s="176">
        <f t="shared" si="22"/>
        <v>0</v>
      </c>
      <c r="Y125" s="60"/>
      <c r="Z125" s="176">
        <f t="shared" si="23"/>
        <v>0</v>
      </c>
      <c r="AA125" s="60"/>
      <c r="AB125" s="176">
        <f t="shared" si="24"/>
        <v>0</v>
      </c>
      <c r="AC125" s="60"/>
      <c r="AD125" s="176">
        <f t="shared" si="25"/>
        <v>0</v>
      </c>
      <c r="AE125" s="176">
        <f t="shared" si="26"/>
        <v>0</v>
      </c>
      <c r="AF125" s="176">
        <f t="shared" si="27"/>
        <v>0</v>
      </c>
    </row>
    <row r="126" spans="1:32" ht="20.100000000000001" customHeight="1">
      <c r="A126" s="63">
        <v>101</v>
      </c>
      <c r="B126" s="63" t="s">
        <v>91</v>
      </c>
      <c r="C126" s="63" t="s">
        <v>17</v>
      </c>
      <c r="D126" s="63">
        <v>1</v>
      </c>
      <c r="E126" s="63" t="s">
        <v>24</v>
      </c>
      <c r="F126" s="63"/>
      <c r="G126" s="60"/>
      <c r="H126" s="176">
        <f t="shared" si="14"/>
        <v>0</v>
      </c>
      <c r="I126" s="60"/>
      <c r="J126" s="176">
        <f t="shared" si="15"/>
        <v>0</v>
      </c>
      <c r="K126" s="60"/>
      <c r="L126" s="176">
        <f t="shared" si="16"/>
        <v>0</v>
      </c>
      <c r="M126" s="60"/>
      <c r="N126" s="176">
        <f t="shared" si="17"/>
        <v>0</v>
      </c>
      <c r="O126" s="60"/>
      <c r="P126" s="176">
        <f t="shared" si="18"/>
        <v>0</v>
      </c>
      <c r="Q126" s="60"/>
      <c r="R126" s="176">
        <f t="shared" si="19"/>
        <v>0</v>
      </c>
      <c r="S126" s="60"/>
      <c r="T126" s="176">
        <f t="shared" si="20"/>
        <v>0</v>
      </c>
      <c r="U126" s="60"/>
      <c r="V126" s="176">
        <f t="shared" si="21"/>
        <v>0</v>
      </c>
      <c r="W126" s="60"/>
      <c r="X126" s="176">
        <f t="shared" si="22"/>
        <v>0</v>
      </c>
      <c r="Y126" s="60"/>
      <c r="Z126" s="176">
        <f t="shared" si="23"/>
        <v>0</v>
      </c>
      <c r="AA126" s="60"/>
      <c r="AB126" s="176">
        <f t="shared" si="24"/>
        <v>0</v>
      </c>
      <c r="AC126" s="60"/>
      <c r="AD126" s="176">
        <f t="shared" si="25"/>
        <v>0</v>
      </c>
      <c r="AE126" s="176">
        <f t="shared" si="26"/>
        <v>0</v>
      </c>
      <c r="AF126" s="176">
        <f t="shared" si="27"/>
        <v>0</v>
      </c>
    </row>
    <row r="127" spans="1:32" ht="20.100000000000001" customHeight="1">
      <c r="A127" s="63">
        <v>102</v>
      </c>
      <c r="B127" s="63" t="s">
        <v>92</v>
      </c>
      <c r="C127" s="63" t="s">
        <v>14</v>
      </c>
      <c r="D127" s="63">
        <v>0.64</v>
      </c>
      <c r="E127" s="63" t="s">
        <v>24</v>
      </c>
      <c r="F127" s="63">
        <v>1330</v>
      </c>
      <c r="G127" s="60">
        <v>455</v>
      </c>
      <c r="H127" s="176">
        <f t="shared" si="14"/>
        <v>291.2</v>
      </c>
      <c r="I127" s="60">
        <v>416</v>
      </c>
      <c r="J127" s="176">
        <f t="shared" si="15"/>
        <v>266.24</v>
      </c>
      <c r="K127" s="60">
        <v>453</v>
      </c>
      <c r="L127" s="176">
        <f t="shared" si="16"/>
        <v>289.92</v>
      </c>
      <c r="M127" s="60">
        <v>412</v>
      </c>
      <c r="N127" s="176">
        <f t="shared" si="17"/>
        <v>263.68</v>
      </c>
      <c r="O127" s="60">
        <v>1703</v>
      </c>
      <c r="P127" s="176">
        <f t="shared" si="18"/>
        <v>1089.92</v>
      </c>
      <c r="Q127" s="60">
        <v>558</v>
      </c>
      <c r="R127" s="176">
        <f t="shared" si="19"/>
        <v>357.12</v>
      </c>
      <c r="S127" s="60">
        <v>552</v>
      </c>
      <c r="T127" s="176">
        <f t="shared" si="20"/>
        <v>353.28000000000003</v>
      </c>
      <c r="U127" s="60">
        <v>642</v>
      </c>
      <c r="V127" s="176">
        <f t="shared" si="21"/>
        <v>410.88</v>
      </c>
      <c r="W127" s="60">
        <v>485</v>
      </c>
      <c r="X127" s="176">
        <f t="shared" si="22"/>
        <v>310.40000000000003</v>
      </c>
      <c r="Y127" s="60">
        <v>442</v>
      </c>
      <c r="Z127" s="176">
        <f t="shared" si="23"/>
        <v>282.88</v>
      </c>
      <c r="AA127" s="60">
        <v>536</v>
      </c>
      <c r="AB127" s="176">
        <f t="shared" si="24"/>
        <v>343.04</v>
      </c>
      <c r="AC127" s="60">
        <v>572</v>
      </c>
      <c r="AD127" s="176">
        <f t="shared" si="25"/>
        <v>366.08</v>
      </c>
      <c r="AE127" s="176">
        <f t="shared" si="26"/>
        <v>7226</v>
      </c>
      <c r="AF127" s="176">
        <f t="shared" si="27"/>
        <v>4624.6400000000003</v>
      </c>
    </row>
    <row r="128" spans="1:32" ht="20.100000000000001" customHeight="1">
      <c r="A128" s="63">
        <v>103</v>
      </c>
      <c r="B128" s="63" t="s">
        <v>93</v>
      </c>
      <c r="C128" s="63" t="s">
        <v>14</v>
      </c>
      <c r="D128" s="63">
        <v>0.64</v>
      </c>
      <c r="E128" s="63" t="s">
        <v>25</v>
      </c>
      <c r="F128" s="63">
        <v>1330</v>
      </c>
      <c r="G128" s="60">
        <v>1</v>
      </c>
      <c r="H128" s="176">
        <f t="shared" si="14"/>
        <v>0.64</v>
      </c>
      <c r="I128" s="60">
        <v>11</v>
      </c>
      <c r="J128" s="176">
        <f t="shared" si="15"/>
        <v>7.04</v>
      </c>
      <c r="K128" s="60">
        <v>2</v>
      </c>
      <c r="L128" s="176">
        <f t="shared" si="16"/>
        <v>1.28</v>
      </c>
      <c r="M128" s="60">
        <v>2</v>
      </c>
      <c r="N128" s="176">
        <f t="shared" si="17"/>
        <v>1.28</v>
      </c>
      <c r="O128" s="60">
        <v>3</v>
      </c>
      <c r="P128" s="176">
        <f t="shared" si="18"/>
        <v>1.92</v>
      </c>
      <c r="Q128" s="60">
        <v>5</v>
      </c>
      <c r="R128" s="176">
        <f t="shared" si="19"/>
        <v>3.2</v>
      </c>
      <c r="S128" s="60">
        <v>7</v>
      </c>
      <c r="T128" s="176">
        <f t="shared" si="20"/>
        <v>4.4800000000000004</v>
      </c>
      <c r="U128" s="60">
        <v>5</v>
      </c>
      <c r="V128" s="176">
        <f t="shared" si="21"/>
        <v>3.2</v>
      </c>
      <c r="W128" s="60">
        <v>1</v>
      </c>
      <c r="X128" s="176">
        <f t="shared" si="22"/>
        <v>0.64</v>
      </c>
      <c r="Y128" s="60">
        <v>1</v>
      </c>
      <c r="Z128" s="176">
        <f t="shared" si="23"/>
        <v>0.64</v>
      </c>
      <c r="AA128" s="60"/>
      <c r="AB128" s="176">
        <f t="shared" si="24"/>
        <v>0</v>
      </c>
      <c r="AC128" s="60">
        <v>3</v>
      </c>
      <c r="AD128" s="176">
        <f t="shared" si="25"/>
        <v>1.92</v>
      </c>
      <c r="AE128" s="176">
        <f t="shared" si="26"/>
        <v>41</v>
      </c>
      <c r="AF128" s="176">
        <f t="shared" si="27"/>
        <v>26.240000000000002</v>
      </c>
    </row>
    <row r="129" spans="1:32" ht="20.100000000000001" customHeight="1">
      <c r="A129" s="63">
        <v>104</v>
      </c>
      <c r="B129" s="63" t="s">
        <v>94</v>
      </c>
      <c r="C129" s="63" t="s">
        <v>14</v>
      </c>
      <c r="D129" s="63">
        <v>0.64</v>
      </c>
      <c r="E129" s="63" t="s">
        <v>24</v>
      </c>
      <c r="F129" s="63">
        <v>1330</v>
      </c>
      <c r="G129" s="60"/>
      <c r="H129" s="176">
        <f t="shared" si="14"/>
        <v>0</v>
      </c>
      <c r="I129" s="60">
        <v>1</v>
      </c>
      <c r="J129" s="176">
        <f t="shared" si="15"/>
        <v>0.64</v>
      </c>
      <c r="K129" s="60"/>
      <c r="L129" s="176">
        <f t="shared" si="16"/>
        <v>0</v>
      </c>
      <c r="M129" s="60"/>
      <c r="N129" s="176">
        <f t="shared" si="17"/>
        <v>0</v>
      </c>
      <c r="O129" s="60"/>
      <c r="P129" s="176">
        <f t="shared" si="18"/>
        <v>0</v>
      </c>
      <c r="Q129" s="60">
        <v>4</v>
      </c>
      <c r="R129" s="176">
        <f t="shared" si="19"/>
        <v>2.56</v>
      </c>
      <c r="S129" s="60">
        <v>5</v>
      </c>
      <c r="T129" s="176">
        <f t="shared" si="20"/>
        <v>3.2</v>
      </c>
      <c r="U129" s="60">
        <v>3</v>
      </c>
      <c r="V129" s="176">
        <f t="shared" si="21"/>
        <v>1.92</v>
      </c>
      <c r="W129" s="60">
        <v>2</v>
      </c>
      <c r="X129" s="176">
        <f t="shared" si="22"/>
        <v>1.28</v>
      </c>
      <c r="Y129" s="60"/>
      <c r="Z129" s="176">
        <f t="shared" si="23"/>
        <v>0</v>
      </c>
      <c r="AA129" s="60">
        <v>1</v>
      </c>
      <c r="AB129" s="176">
        <f t="shared" si="24"/>
        <v>0.64</v>
      </c>
      <c r="AC129" s="60"/>
      <c r="AD129" s="176">
        <f t="shared" si="25"/>
        <v>0</v>
      </c>
      <c r="AE129" s="176">
        <f t="shared" si="26"/>
        <v>16</v>
      </c>
      <c r="AF129" s="176">
        <f t="shared" si="27"/>
        <v>10.24</v>
      </c>
    </row>
    <row r="130" spans="1:32" ht="20.100000000000001" customHeight="1">
      <c r="A130" s="63">
        <v>105</v>
      </c>
      <c r="B130" s="63" t="s">
        <v>95</v>
      </c>
      <c r="C130" s="63" t="s">
        <v>14</v>
      </c>
      <c r="D130" s="63">
        <v>0.64</v>
      </c>
      <c r="E130" s="63" t="s">
        <v>25</v>
      </c>
      <c r="F130" s="63">
        <v>1330</v>
      </c>
      <c r="G130" s="60"/>
      <c r="H130" s="176">
        <f t="shared" si="14"/>
        <v>0</v>
      </c>
      <c r="I130" s="60"/>
      <c r="J130" s="176">
        <f t="shared" si="15"/>
        <v>0</v>
      </c>
      <c r="K130" s="60">
        <v>9</v>
      </c>
      <c r="L130" s="176">
        <f t="shared" si="16"/>
        <v>5.76</v>
      </c>
      <c r="M130" s="60"/>
      <c r="N130" s="176">
        <f t="shared" si="17"/>
        <v>0</v>
      </c>
      <c r="O130" s="60"/>
      <c r="P130" s="176">
        <f t="shared" si="18"/>
        <v>0</v>
      </c>
      <c r="Q130" s="60">
        <v>2</v>
      </c>
      <c r="R130" s="176">
        <f t="shared" si="19"/>
        <v>1.28</v>
      </c>
      <c r="S130" s="60">
        <v>6</v>
      </c>
      <c r="T130" s="176">
        <f t="shared" si="20"/>
        <v>3.84</v>
      </c>
      <c r="U130" s="60"/>
      <c r="V130" s="176">
        <f t="shared" si="21"/>
        <v>0</v>
      </c>
      <c r="W130" s="60"/>
      <c r="X130" s="176">
        <f t="shared" si="22"/>
        <v>0</v>
      </c>
      <c r="Y130" s="60"/>
      <c r="Z130" s="176">
        <f t="shared" si="23"/>
        <v>0</v>
      </c>
      <c r="AA130" s="60">
        <v>2</v>
      </c>
      <c r="AB130" s="176">
        <f t="shared" si="24"/>
        <v>1.28</v>
      </c>
      <c r="AC130" s="60"/>
      <c r="AD130" s="176">
        <f t="shared" si="25"/>
        <v>0</v>
      </c>
      <c r="AE130" s="176">
        <f t="shared" si="26"/>
        <v>19</v>
      </c>
      <c r="AF130" s="176">
        <f t="shared" si="27"/>
        <v>12.159999999999998</v>
      </c>
    </row>
    <row r="131" spans="1:32" ht="20.100000000000001" customHeight="1">
      <c r="A131" s="63">
        <v>106</v>
      </c>
      <c r="B131" s="63" t="s">
        <v>96</v>
      </c>
      <c r="C131" s="63" t="s">
        <v>14</v>
      </c>
      <c r="D131" s="63">
        <v>0.64</v>
      </c>
      <c r="E131" s="63" t="s">
        <v>25</v>
      </c>
      <c r="F131" s="63"/>
      <c r="G131" s="60"/>
      <c r="H131" s="176">
        <f t="shared" si="14"/>
        <v>0</v>
      </c>
      <c r="I131" s="60"/>
      <c r="J131" s="176">
        <f t="shared" si="15"/>
        <v>0</v>
      </c>
      <c r="K131" s="60"/>
      <c r="L131" s="176">
        <f t="shared" si="16"/>
        <v>0</v>
      </c>
      <c r="M131" s="60"/>
      <c r="N131" s="176">
        <f t="shared" si="17"/>
        <v>0</v>
      </c>
      <c r="O131" s="60"/>
      <c r="P131" s="176">
        <f t="shared" si="18"/>
        <v>0</v>
      </c>
      <c r="Q131" s="60"/>
      <c r="R131" s="176">
        <f t="shared" si="19"/>
        <v>0</v>
      </c>
      <c r="S131" s="60"/>
      <c r="T131" s="60"/>
      <c r="U131" s="60"/>
      <c r="V131" s="176">
        <f t="shared" si="21"/>
        <v>0</v>
      </c>
      <c r="W131" s="60"/>
      <c r="X131" s="176">
        <f t="shared" si="22"/>
        <v>0</v>
      </c>
      <c r="Y131" s="60"/>
      <c r="Z131" s="176">
        <f t="shared" si="23"/>
        <v>0</v>
      </c>
      <c r="AA131" s="60"/>
      <c r="AB131" s="176">
        <f t="shared" si="24"/>
        <v>0</v>
      </c>
      <c r="AC131" s="60"/>
      <c r="AD131" s="176">
        <f t="shared" si="25"/>
        <v>0</v>
      </c>
      <c r="AE131" s="176">
        <f t="shared" si="26"/>
        <v>0</v>
      </c>
      <c r="AF131" s="176">
        <f t="shared" si="27"/>
        <v>0</v>
      </c>
    </row>
    <row r="132" spans="1:32" ht="20.100000000000001" customHeight="1">
      <c r="A132" s="63">
        <v>107</v>
      </c>
      <c r="B132" s="63" t="s">
        <v>97</v>
      </c>
      <c r="C132" s="63" t="s">
        <v>14</v>
      </c>
      <c r="D132" s="63">
        <v>0.64</v>
      </c>
      <c r="E132" s="63" t="s">
        <v>25</v>
      </c>
      <c r="F132" s="63"/>
      <c r="G132" s="60"/>
      <c r="H132" s="176">
        <f t="shared" si="14"/>
        <v>0</v>
      </c>
      <c r="I132" s="60"/>
      <c r="J132" s="176">
        <f t="shared" si="15"/>
        <v>0</v>
      </c>
      <c r="K132" s="60"/>
      <c r="L132" s="176">
        <f t="shared" si="16"/>
        <v>0</v>
      </c>
      <c r="M132" s="60"/>
      <c r="N132" s="176">
        <f t="shared" si="17"/>
        <v>0</v>
      </c>
      <c r="O132" s="60"/>
      <c r="P132" s="176">
        <f t="shared" si="18"/>
        <v>0</v>
      </c>
      <c r="Q132" s="60"/>
      <c r="R132" s="176">
        <f t="shared" si="19"/>
        <v>0</v>
      </c>
      <c r="S132" s="60"/>
      <c r="T132" s="60"/>
      <c r="U132" s="60"/>
      <c r="V132" s="176">
        <f t="shared" si="21"/>
        <v>0</v>
      </c>
      <c r="W132" s="60"/>
      <c r="X132" s="176">
        <f t="shared" si="22"/>
        <v>0</v>
      </c>
      <c r="Y132" s="60"/>
      <c r="Z132" s="176">
        <f t="shared" si="23"/>
        <v>0</v>
      </c>
      <c r="AA132" s="60"/>
      <c r="AB132" s="176">
        <f t="shared" si="24"/>
        <v>0</v>
      </c>
      <c r="AC132" s="60"/>
      <c r="AD132" s="176">
        <f t="shared" si="25"/>
        <v>0</v>
      </c>
      <c r="AE132" s="176">
        <f t="shared" si="26"/>
        <v>0</v>
      </c>
      <c r="AF132" s="176">
        <f t="shared" si="27"/>
        <v>0</v>
      </c>
    </row>
    <row r="133" spans="1:32" ht="20.100000000000001" customHeight="1">
      <c r="A133" s="63">
        <v>108</v>
      </c>
      <c r="B133" s="63" t="s">
        <v>98</v>
      </c>
      <c r="C133" s="63" t="s">
        <v>14</v>
      </c>
      <c r="D133" s="63">
        <v>0.64</v>
      </c>
      <c r="E133" s="63" t="s">
        <v>24</v>
      </c>
      <c r="F133" s="63"/>
      <c r="G133" s="60"/>
      <c r="H133" s="176">
        <f t="shared" si="14"/>
        <v>0</v>
      </c>
      <c r="I133" s="60"/>
      <c r="J133" s="176">
        <f t="shared" si="15"/>
        <v>0</v>
      </c>
      <c r="K133" s="60"/>
      <c r="L133" s="176">
        <f t="shared" si="16"/>
        <v>0</v>
      </c>
      <c r="M133" s="60"/>
      <c r="N133" s="176">
        <f t="shared" si="17"/>
        <v>0</v>
      </c>
      <c r="O133" s="60"/>
      <c r="P133" s="176">
        <f t="shared" si="18"/>
        <v>0</v>
      </c>
      <c r="Q133" s="60"/>
      <c r="R133" s="176">
        <f t="shared" si="19"/>
        <v>0</v>
      </c>
      <c r="S133" s="60"/>
      <c r="T133" s="60"/>
      <c r="U133" s="60"/>
      <c r="V133" s="176">
        <f t="shared" si="21"/>
        <v>0</v>
      </c>
      <c r="W133" s="60"/>
      <c r="X133" s="176">
        <f t="shared" si="22"/>
        <v>0</v>
      </c>
      <c r="Y133" s="60"/>
      <c r="Z133" s="176">
        <f t="shared" ref="Z133:Z138" si="28">Y133*D133</f>
        <v>0</v>
      </c>
      <c r="AA133" s="60"/>
      <c r="AB133" s="176">
        <f t="shared" ref="AB133:AB138" si="29">AA133*D133</f>
        <v>0</v>
      </c>
      <c r="AC133" s="60"/>
      <c r="AD133" s="176">
        <f t="shared" ref="AD133:AD138" si="30">AC133*D133</f>
        <v>0</v>
      </c>
      <c r="AE133" s="176">
        <f t="shared" si="26"/>
        <v>0</v>
      </c>
      <c r="AF133" s="176">
        <f t="shared" si="27"/>
        <v>0</v>
      </c>
    </row>
    <row r="134" spans="1:32" ht="20.100000000000001" customHeight="1">
      <c r="A134" s="63">
        <v>109</v>
      </c>
      <c r="B134" s="63" t="s">
        <v>99</v>
      </c>
      <c r="C134" s="63"/>
      <c r="D134" s="63">
        <v>0.64</v>
      </c>
      <c r="E134" s="63"/>
      <c r="F134" s="63"/>
      <c r="G134" s="60"/>
      <c r="H134" s="176">
        <f t="shared" si="14"/>
        <v>0</v>
      </c>
      <c r="I134" s="60"/>
      <c r="J134" s="176">
        <f t="shared" si="15"/>
        <v>0</v>
      </c>
      <c r="K134" s="60"/>
      <c r="L134" s="176">
        <f t="shared" si="16"/>
        <v>0</v>
      </c>
      <c r="M134" s="60"/>
      <c r="N134" s="176">
        <f t="shared" si="17"/>
        <v>0</v>
      </c>
      <c r="O134" s="60"/>
      <c r="P134" s="176">
        <f t="shared" si="18"/>
        <v>0</v>
      </c>
      <c r="Q134" s="60"/>
      <c r="R134" s="176">
        <f t="shared" si="19"/>
        <v>0</v>
      </c>
      <c r="S134" s="60"/>
      <c r="T134" s="60"/>
      <c r="U134" s="60"/>
      <c r="V134" s="176">
        <f t="shared" ref="V134:V138" si="31">U134*D134</f>
        <v>0</v>
      </c>
      <c r="W134" s="60"/>
      <c r="X134" s="176">
        <f t="shared" ref="X134:X138" si="32">W134*D134</f>
        <v>0</v>
      </c>
      <c r="Y134" s="60"/>
      <c r="Z134" s="176">
        <f t="shared" si="28"/>
        <v>0</v>
      </c>
      <c r="AA134" s="60"/>
      <c r="AB134" s="176">
        <f t="shared" si="29"/>
        <v>0</v>
      </c>
      <c r="AC134" s="60"/>
      <c r="AD134" s="176">
        <f t="shared" si="30"/>
        <v>0</v>
      </c>
      <c r="AE134" s="176">
        <f t="shared" si="26"/>
        <v>0</v>
      </c>
      <c r="AF134" s="176">
        <f t="shared" si="27"/>
        <v>0</v>
      </c>
    </row>
    <row r="135" spans="1:32" ht="20.100000000000001" customHeight="1">
      <c r="A135" s="63">
        <v>110</v>
      </c>
      <c r="B135" s="63" t="s">
        <v>100</v>
      </c>
      <c r="C135" s="63"/>
      <c r="D135" s="63">
        <v>0.64</v>
      </c>
      <c r="E135" s="63" t="s">
        <v>101</v>
      </c>
      <c r="F135" s="63"/>
      <c r="G135" s="60"/>
      <c r="H135" s="176">
        <f t="shared" si="14"/>
        <v>0</v>
      </c>
      <c r="I135" s="60"/>
      <c r="J135" s="176">
        <f t="shared" si="15"/>
        <v>0</v>
      </c>
      <c r="K135" s="60"/>
      <c r="L135" s="176">
        <f t="shared" si="16"/>
        <v>0</v>
      </c>
      <c r="M135" s="60"/>
      <c r="N135" s="176">
        <f t="shared" si="17"/>
        <v>0</v>
      </c>
      <c r="O135" s="60"/>
      <c r="P135" s="176">
        <f t="shared" si="18"/>
        <v>0</v>
      </c>
      <c r="Q135" s="60"/>
      <c r="R135" s="176">
        <f t="shared" si="19"/>
        <v>0</v>
      </c>
      <c r="S135" s="60"/>
      <c r="T135" s="60"/>
      <c r="U135" s="60"/>
      <c r="V135" s="176">
        <f t="shared" si="31"/>
        <v>0</v>
      </c>
      <c r="W135" s="60"/>
      <c r="X135" s="176">
        <f t="shared" si="32"/>
        <v>0</v>
      </c>
      <c r="Y135" s="60"/>
      <c r="Z135" s="176">
        <f t="shared" si="28"/>
        <v>0</v>
      </c>
      <c r="AA135" s="60"/>
      <c r="AB135" s="176">
        <f t="shared" si="29"/>
        <v>0</v>
      </c>
      <c r="AC135" s="60"/>
      <c r="AD135" s="176">
        <f t="shared" si="30"/>
        <v>0</v>
      </c>
      <c r="AE135" s="176">
        <f t="shared" si="26"/>
        <v>0</v>
      </c>
      <c r="AF135" s="176">
        <f t="shared" si="27"/>
        <v>0</v>
      </c>
    </row>
    <row r="136" spans="1:32" ht="20.100000000000001" customHeight="1">
      <c r="A136" s="63"/>
      <c r="B136" s="63"/>
      <c r="C136" s="63"/>
      <c r="D136" s="63"/>
      <c r="E136" s="62"/>
      <c r="F136" s="62"/>
      <c r="G136" s="60"/>
      <c r="H136" s="176">
        <f t="shared" si="14"/>
        <v>0</v>
      </c>
      <c r="I136" s="60"/>
      <c r="J136" s="176">
        <f t="shared" si="15"/>
        <v>0</v>
      </c>
      <c r="K136" s="60"/>
      <c r="L136" s="176">
        <f t="shared" si="16"/>
        <v>0</v>
      </c>
      <c r="M136" s="60"/>
      <c r="N136" s="176">
        <f t="shared" si="17"/>
        <v>0</v>
      </c>
      <c r="O136" s="60"/>
      <c r="P136" s="176">
        <f t="shared" si="18"/>
        <v>0</v>
      </c>
      <c r="Q136" s="60"/>
      <c r="R136" s="176">
        <f t="shared" si="19"/>
        <v>0</v>
      </c>
      <c r="S136" s="60"/>
      <c r="T136" s="60"/>
      <c r="U136" s="60"/>
      <c r="V136" s="176">
        <f t="shared" si="31"/>
        <v>0</v>
      </c>
      <c r="W136" s="60"/>
      <c r="X136" s="176">
        <f t="shared" si="32"/>
        <v>0</v>
      </c>
      <c r="Y136" s="60"/>
      <c r="Z136" s="176">
        <f t="shared" si="28"/>
        <v>0</v>
      </c>
      <c r="AA136" s="60"/>
      <c r="AB136" s="176">
        <f t="shared" si="29"/>
        <v>0</v>
      </c>
      <c r="AC136" s="60"/>
      <c r="AD136" s="176">
        <f t="shared" si="30"/>
        <v>0</v>
      </c>
      <c r="AE136" s="176">
        <f t="shared" si="26"/>
        <v>0</v>
      </c>
      <c r="AF136" s="176">
        <f t="shared" si="27"/>
        <v>0</v>
      </c>
    </row>
    <row r="137" spans="1:32" ht="20.100000000000001" customHeight="1">
      <c r="A137" s="63">
        <v>111</v>
      </c>
      <c r="B137" s="63" t="s">
        <v>102</v>
      </c>
      <c r="C137" s="63" t="s">
        <v>14</v>
      </c>
      <c r="D137" s="63">
        <v>0.7</v>
      </c>
      <c r="E137" s="63" t="s">
        <v>15</v>
      </c>
      <c r="F137" s="63"/>
      <c r="G137" s="60"/>
      <c r="H137" s="176">
        <f t="shared" si="14"/>
        <v>0</v>
      </c>
      <c r="I137" s="60"/>
      <c r="J137" s="176">
        <f t="shared" si="15"/>
        <v>0</v>
      </c>
      <c r="K137" s="60"/>
      <c r="L137" s="176">
        <f t="shared" si="16"/>
        <v>0</v>
      </c>
      <c r="M137" s="60"/>
      <c r="N137" s="176">
        <f t="shared" si="17"/>
        <v>0</v>
      </c>
      <c r="O137" s="60"/>
      <c r="P137" s="176">
        <f t="shared" si="18"/>
        <v>0</v>
      </c>
      <c r="Q137" s="60"/>
      <c r="R137" s="176">
        <f t="shared" si="19"/>
        <v>0</v>
      </c>
      <c r="S137" s="60"/>
      <c r="T137" s="60"/>
      <c r="U137" s="60"/>
      <c r="V137" s="176">
        <f t="shared" si="31"/>
        <v>0</v>
      </c>
      <c r="W137" s="60"/>
      <c r="X137" s="176">
        <f t="shared" si="32"/>
        <v>0</v>
      </c>
      <c r="Y137" s="60"/>
      <c r="Z137" s="176">
        <f t="shared" si="28"/>
        <v>0</v>
      </c>
      <c r="AA137" s="60"/>
      <c r="AB137" s="176">
        <f t="shared" si="29"/>
        <v>0</v>
      </c>
      <c r="AC137" s="60"/>
      <c r="AD137" s="176">
        <f t="shared" si="30"/>
        <v>0</v>
      </c>
      <c r="AE137" s="176">
        <f t="shared" si="26"/>
        <v>0</v>
      </c>
      <c r="AF137" s="176">
        <f t="shared" si="27"/>
        <v>0</v>
      </c>
    </row>
    <row r="138" spans="1:32" ht="20.100000000000001" customHeight="1">
      <c r="A138" s="63">
        <v>112</v>
      </c>
      <c r="B138" s="63" t="s">
        <v>103</v>
      </c>
      <c r="C138" s="63"/>
      <c r="D138" s="63">
        <v>20</v>
      </c>
      <c r="E138" s="63">
        <v>1</v>
      </c>
      <c r="F138" s="63"/>
      <c r="G138" s="60"/>
      <c r="H138" s="176">
        <f t="shared" ref="H138" si="33">G138*$D138</f>
        <v>0</v>
      </c>
      <c r="I138" s="60"/>
      <c r="J138" s="176">
        <f t="shared" ref="J138" si="34">I138*$D138</f>
        <v>0</v>
      </c>
      <c r="K138" s="60"/>
      <c r="L138" s="176">
        <f t="shared" ref="L138" si="35">K138*$D138</f>
        <v>0</v>
      </c>
      <c r="M138" s="60"/>
      <c r="N138" s="176">
        <f t="shared" ref="N138" si="36">M138*$D138</f>
        <v>0</v>
      </c>
      <c r="O138" s="60"/>
      <c r="P138" s="176">
        <f t="shared" ref="P138" si="37">O138*$D138</f>
        <v>0</v>
      </c>
      <c r="Q138" s="60"/>
      <c r="R138" s="176">
        <f t="shared" ref="R138" si="38">Q138*$D138</f>
        <v>0</v>
      </c>
      <c r="S138" s="60"/>
      <c r="T138" s="60"/>
      <c r="U138" s="60"/>
      <c r="V138" s="176">
        <f t="shared" si="31"/>
        <v>0</v>
      </c>
      <c r="W138" s="60"/>
      <c r="X138" s="176">
        <f t="shared" si="32"/>
        <v>0</v>
      </c>
      <c r="Y138" s="60"/>
      <c r="Z138" s="176">
        <f t="shared" si="28"/>
        <v>0</v>
      </c>
      <c r="AA138" s="60"/>
      <c r="AB138" s="176">
        <f t="shared" si="29"/>
        <v>0</v>
      </c>
      <c r="AC138" s="60"/>
      <c r="AD138" s="176">
        <f t="shared" si="30"/>
        <v>0</v>
      </c>
      <c r="AE138" s="176">
        <f t="shared" ref="AE138:AE141" si="39">G138+I138+K138+M138+O138+Q138+S138+U138+W138+Y138+AA138+AC138</f>
        <v>0</v>
      </c>
      <c r="AF138" s="176">
        <f t="shared" ref="AF138:AF141" si="40">H138+J138+L138+N138+P138+R138+T138+V138+X138+Z138+AB138+AD138</f>
        <v>0</v>
      </c>
    </row>
    <row r="139" spans="1:32" ht="20.100000000000001" customHeight="1">
      <c r="A139" s="63"/>
      <c r="B139" s="63"/>
      <c r="C139" s="63"/>
      <c r="D139" s="63"/>
      <c r="E139" s="63"/>
      <c r="F139" s="63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176">
        <f t="shared" si="39"/>
        <v>0</v>
      </c>
      <c r="AF139" s="176">
        <f t="shared" si="40"/>
        <v>0</v>
      </c>
    </row>
    <row r="140" spans="1:32" ht="20.100000000000001" customHeight="1">
      <c r="A140" s="63"/>
      <c r="B140" s="63"/>
      <c r="C140" s="63"/>
      <c r="D140" s="63"/>
      <c r="E140" s="63"/>
      <c r="F140" s="63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176">
        <f t="shared" si="39"/>
        <v>0</v>
      </c>
      <c r="AF140" s="176">
        <f t="shared" si="40"/>
        <v>0</v>
      </c>
    </row>
    <row r="141" spans="1:32" ht="20.100000000000001" customHeight="1">
      <c r="A141" s="63"/>
      <c r="B141" s="8"/>
      <c r="C141" s="8"/>
      <c r="D141" s="8"/>
      <c r="E141" s="62"/>
      <c r="F141" s="62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176">
        <f t="shared" si="39"/>
        <v>0</v>
      </c>
      <c r="AF141" s="176">
        <f t="shared" si="40"/>
        <v>0</v>
      </c>
    </row>
    <row r="142" spans="1:32" ht="20.100000000000001" customHeight="1">
      <c r="A142" s="66"/>
      <c r="B142" s="11" t="s">
        <v>104</v>
      </c>
      <c r="C142" s="11"/>
      <c r="D142" s="12"/>
      <c r="E142" s="67"/>
      <c r="F142" s="67"/>
      <c r="G142" s="60">
        <f t="shared" ref="G142:L142" si="41">SUM(G4:G138)</f>
        <v>2973</v>
      </c>
      <c r="H142" s="60">
        <f t="shared" si="41"/>
        <v>2698.2999999999997</v>
      </c>
      <c r="I142" s="60">
        <f t="shared" si="41"/>
        <v>2339</v>
      </c>
      <c r="J142" s="60">
        <f t="shared" si="41"/>
        <v>1972.3799999999999</v>
      </c>
      <c r="K142" s="60">
        <f t="shared" si="41"/>
        <v>2883</v>
      </c>
      <c r="L142" s="60">
        <f t="shared" si="41"/>
        <v>1848.9299999999996</v>
      </c>
      <c r="M142" s="60">
        <f t="shared" ref="M142" si="42">SUM(M4:M138)</f>
        <v>1489</v>
      </c>
      <c r="N142" s="60">
        <f>SUM(N4:N138)</f>
        <v>1051.44</v>
      </c>
      <c r="O142" s="60">
        <f t="shared" ref="O142:AC142" si="43">SUM(O4:O138)</f>
        <v>10484</v>
      </c>
      <c r="P142" s="60">
        <f t="shared" si="43"/>
        <v>7667.7999999999993</v>
      </c>
      <c r="Q142" s="60">
        <f t="shared" si="43"/>
        <v>2622</v>
      </c>
      <c r="R142" s="60">
        <f t="shared" si="43"/>
        <v>1646.69</v>
      </c>
      <c r="S142" s="60">
        <f t="shared" si="43"/>
        <v>1486</v>
      </c>
      <c r="T142" s="60">
        <f t="shared" si="43"/>
        <v>940.1600000000002</v>
      </c>
      <c r="U142" s="60">
        <f t="shared" si="43"/>
        <v>1096</v>
      </c>
      <c r="V142" s="60">
        <f t="shared" si="43"/>
        <v>698.95999999999992</v>
      </c>
      <c r="W142" s="60">
        <f t="shared" si="43"/>
        <v>3678</v>
      </c>
      <c r="X142" s="60">
        <f t="shared" si="43"/>
        <v>3355.4599999999996</v>
      </c>
      <c r="Y142" s="60">
        <f t="shared" si="43"/>
        <v>3928</v>
      </c>
      <c r="Z142" s="60">
        <f t="shared" si="43"/>
        <v>3734.2000000000003</v>
      </c>
      <c r="AA142" s="60">
        <f t="shared" si="43"/>
        <v>882</v>
      </c>
      <c r="AB142" s="60">
        <f t="shared" si="43"/>
        <v>602.79999999999995</v>
      </c>
      <c r="AC142" s="60">
        <f t="shared" si="43"/>
        <v>844</v>
      </c>
      <c r="AD142" s="60">
        <f>SUM(AD4:AD138)</f>
        <v>543.04</v>
      </c>
      <c r="AE142" s="60">
        <f t="shared" ref="AE142:AF142" si="44">SUM(AE4:AE138)</f>
        <v>34533</v>
      </c>
      <c r="AF142" s="60">
        <f t="shared" si="44"/>
        <v>26760.160000000003</v>
      </c>
    </row>
    <row r="143" spans="1:32" ht="20.100000000000001" customHeight="1">
      <c r="A143" s="68"/>
      <c r="B143" s="8"/>
      <c r="C143" s="8"/>
      <c r="D143" s="8"/>
      <c r="E143" s="62"/>
      <c r="F143" s="62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 spans="1:32" ht="20.100000000000001" customHeight="1">
      <c r="A144" s="63">
        <v>113</v>
      </c>
      <c r="B144" s="63" t="s">
        <v>105</v>
      </c>
      <c r="C144" s="63" t="s">
        <v>14</v>
      </c>
      <c r="D144" s="63">
        <v>0.7</v>
      </c>
      <c r="E144" s="63" t="s">
        <v>15</v>
      </c>
      <c r="F144" s="63">
        <v>4500</v>
      </c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>
        <v>1</v>
      </c>
      <c r="T144" s="176">
        <f>S144*D144</f>
        <v>0.7</v>
      </c>
      <c r="U144" s="60"/>
      <c r="V144" s="176">
        <f>U144*D144</f>
        <v>0</v>
      </c>
      <c r="W144" s="60"/>
      <c r="X144" s="176">
        <f>W144*D144</f>
        <v>0</v>
      </c>
      <c r="Y144" s="60"/>
      <c r="Z144" s="176">
        <f>Y144*D144</f>
        <v>0</v>
      </c>
      <c r="AA144" s="60"/>
      <c r="AB144" s="176">
        <f>AA144*D144</f>
        <v>0</v>
      </c>
      <c r="AC144" s="60"/>
      <c r="AD144" s="176">
        <f>AC144*D144</f>
        <v>0</v>
      </c>
      <c r="AE144" s="176">
        <f>G144+I144+K144+M144+O144+Q144+S144+U144+W144+Y144+AA144+AC144</f>
        <v>1</v>
      </c>
      <c r="AF144" s="178">
        <f>H144+J144+L144+N144+P144+R144+T144+V144+X144+Z144+AB144+AD144</f>
        <v>0.7</v>
      </c>
    </row>
    <row r="145" spans="1:32" ht="20.100000000000001" customHeight="1">
      <c r="A145" s="63">
        <v>114</v>
      </c>
      <c r="B145" s="63" t="s">
        <v>106</v>
      </c>
      <c r="C145" s="63" t="s">
        <v>14</v>
      </c>
      <c r="D145" s="63">
        <v>0.35</v>
      </c>
      <c r="E145" s="63" t="s">
        <v>24</v>
      </c>
      <c r="F145" s="63">
        <v>2300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>
        <v>13</v>
      </c>
      <c r="T145" s="176">
        <f t="shared" ref="T145:T152" si="45">S145*D145</f>
        <v>4.55</v>
      </c>
      <c r="U145" s="60"/>
      <c r="V145" s="176">
        <f t="shared" ref="V145:V159" si="46">U145*D145</f>
        <v>0</v>
      </c>
      <c r="W145" s="60"/>
      <c r="X145" s="176">
        <f t="shared" ref="X145:X159" si="47">W145*D145</f>
        <v>0</v>
      </c>
      <c r="Y145" s="60"/>
      <c r="Z145" s="176">
        <f t="shared" ref="Z145:Z159" si="48">Y145*D145</f>
        <v>0</v>
      </c>
      <c r="AA145" s="60"/>
      <c r="AB145" s="176">
        <f t="shared" ref="AB145:AB159" si="49">AA145*D145</f>
        <v>0</v>
      </c>
      <c r="AC145" s="60"/>
      <c r="AD145" s="176">
        <f t="shared" ref="AD145:AD159" si="50">AC145*D145</f>
        <v>0</v>
      </c>
      <c r="AE145" s="176">
        <f t="shared" ref="AE145:AE159" si="51">G145+I145+K145+M145+O145+Q145+S145+U145+W145+Y145+AA145+AC145</f>
        <v>13</v>
      </c>
      <c r="AF145" s="178">
        <f t="shared" ref="AF145:AF159" si="52">H145+J145+L145+N145+P145+R145+T145+V145+X145+Z145+AB145+AD145</f>
        <v>4.55</v>
      </c>
    </row>
    <row r="146" spans="1:32" ht="20.100000000000001" customHeight="1">
      <c r="A146" s="63">
        <v>115</v>
      </c>
      <c r="B146" s="63" t="s">
        <v>107</v>
      </c>
      <c r="C146" s="63" t="s">
        <v>14</v>
      </c>
      <c r="D146" s="63">
        <v>0.17499999999999999</v>
      </c>
      <c r="E146" s="63" t="s">
        <v>108</v>
      </c>
      <c r="F146" s="63">
        <v>1300</v>
      </c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176">
        <f t="shared" si="45"/>
        <v>0</v>
      </c>
      <c r="U146" s="60"/>
      <c r="V146" s="176">
        <f t="shared" si="46"/>
        <v>0</v>
      </c>
      <c r="W146" s="60"/>
      <c r="X146" s="176">
        <f t="shared" si="47"/>
        <v>0</v>
      </c>
      <c r="Y146" s="60"/>
      <c r="Z146" s="176">
        <f t="shared" si="48"/>
        <v>0</v>
      </c>
      <c r="AA146" s="60"/>
      <c r="AB146" s="176">
        <f t="shared" si="49"/>
        <v>0</v>
      </c>
      <c r="AC146" s="60"/>
      <c r="AD146" s="176">
        <f t="shared" si="50"/>
        <v>0</v>
      </c>
      <c r="AE146" s="176">
        <f t="shared" si="51"/>
        <v>0</v>
      </c>
      <c r="AF146" s="178">
        <f t="shared" si="52"/>
        <v>0</v>
      </c>
    </row>
    <row r="147" spans="1:32" ht="20.100000000000001" customHeight="1">
      <c r="A147" s="63">
        <v>116</v>
      </c>
      <c r="B147" s="63" t="s">
        <v>109</v>
      </c>
      <c r="C147" s="63" t="s">
        <v>14</v>
      </c>
      <c r="D147" s="63">
        <v>0.7</v>
      </c>
      <c r="E147" s="63" t="s">
        <v>15</v>
      </c>
      <c r="F147" s="63">
        <v>5200</v>
      </c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>
        <v>4</v>
      </c>
      <c r="T147" s="176">
        <f t="shared" si="45"/>
        <v>2.8</v>
      </c>
      <c r="U147" s="60"/>
      <c r="V147" s="176">
        <f t="shared" si="46"/>
        <v>0</v>
      </c>
      <c r="W147" s="60"/>
      <c r="X147" s="176">
        <f t="shared" si="47"/>
        <v>0</v>
      </c>
      <c r="Y147" s="60"/>
      <c r="Z147" s="176">
        <f t="shared" si="48"/>
        <v>0</v>
      </c>
      <c r="AA147" s="60"/>
      <c r="AB147" s="176">
        <f t="shared" si="49"/>
        <v>0</v>
      </c>
      <c r="AC147" s="60"/>
      <c r="AD147" s="176">
        <f t="shared" si="50"/>
        <v>0</v>
      </c>
      <c r="AE147" s="176">
        <f t="shared" si="51"/>
        <v>4</v>
      </c>
      <c r="AF147" s="178">
        <f t="shared" si="52"/>
        <v>2.8</v>
      </c>
    </row>
    <row r="148" spans="1:32" ht="20.100000000000001" customHeight="1">
      <c r="A148" s="63">
        <v>117</v>
      </c>
      <c r="B148" s="63" t="s">
        <v>110</v>
      </c>
      <c r="C148" s="63" t="s">
        <v>14</v>
      </c>
      <c r="D148" s="63">
        <v>0.35</v>
      </c>
      <c r="E148" s="63" t="s">
        <v>24</v>
      </c>
      <c r="F148" s="63">
        <v>2600</v>
      </c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>
        <v>1</v>
      </c>
      <c r="R148" s="176">
        <f>Q148*$D148</f>
        <v>0.35</v>
      </c>
      <c r="S148" s="60">
        <v>11</v>
      </c>
      <c r="T148" s="176">
        <f t="shared" si="45"/>
        <v>3.8499999999999996</v>
      </c>
      <c r="U148" s="60"/>
      <c r="V148" s="176">
        <f t="shared" si="46"/>
        <v>0</v>
      </c>
      <c r="W148" s="60"/>
      <c r="X148" s="176">
        <f t="shared" si="47"/>
        <v>0</v>
      </c>
      <c r="Y148" s="60"/>
      <c r="Z148" s="176">
        <f t="shared" si="48"/>
        <v>0</v>
      </c>
      <c r="AA148" s="60"/>
      <c r="AB148" s="176">
        <f t="shared" si="49"/>
        <v>0</v>
      </c>
      <c r="AC148" s="60"/>
      <c r="AD148" s="176">
        <f t="shared" si="50"/>
        <v>0</v>
      </c>
      <c r="AE148" s="176">
        <f t="shared" si="51"/>
        <v>12</v>
      </c>
      <c r="AF148" s="178">
        <f t="shared" si="52"/>
        <v>4.1999999999999993</v>
      </c>
    </row>
    <row r="149" spans="1:32" ht="20.100000000000001" customHeight="1">
      <c r="A149" s="63">
        <v>118</v>
      </c>
      <c r="B149" s="63" t="s">
        <v>111</v>
      </c>
      <c r="C149" s="63" t="s">
        <v>14</v>
      </c>
      <c r="D149" s="63">
        <v>0.17499999999999999</v>
      </c>
      <c r="E149" s="63" t="s">
        <v>108</v>
      </c>
      <c r="F149" s="63">
        <v>1450</v>
      </c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>
        <v>1</v>
      </c>
      <c r="R149" s="176">
        <f t="shared" ref="R149:R159" si="53">Q149*$D149</f>
        <v>0.17499999999999999</v>
      </c>
      <c r="S149" s="60"/>
      <c r="T149" s="176">
        <f t="shared" si="45"/>
        <v>0</v>
      </c>
      <c r="U149" s="60"/>
      <c r="V149" s="176">
        <f t="shared" si="46"/>
        <v>0</v>
      </c>
      <c r="W149" s="60"/>
      <c r="X149" s="176">
        <f t="shared" si="47"/>
        <v>0</v>
      </c>
      <c r="Y149" s="60"/>
      <c r="Z149" s="176">
        <f t="shared" si="48"/>
        <v>0</v>
      </c>
      <c r="AA149" s="60"/>
      <c r="AB149" s="176">
        <f t="shared" si="49"/>
        <v>0</v>
      </c>
      <c r="AC149" s="60"/>
      <c r="AD149" s="176">
        <f t="shared" si="50"/>
        <v>0</v>
      </c>
      <c r="AE149" s="176">
        <f t="shared" si="51"/>
        <v>1</v>
      </c>
      <c r="AF149" s="178">
        <f t="shared" si="52"/>
        <v>0.17499999999999999</v>
      </c>
    </row>
    <row r="150" spans="1:32" ht="20.100000000000001" customHeight="1">
      <c r="A150" s="63">
        <v>119</v>
      </c>
      <c r="B150" s="63" t="s">
        <v>112</v>
      </c>
      <c r="C150" s="63" t="s">
        <v>14</v>
      </c>
      <c r="D150" s="63">
        <v>0.7</v>
      </c>
      <c r="E150" s="63" t="s">
        <v>15</v>
      </c>
      <c r="F150" s="63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176">
        <f t="shared" si="53"/>
        <v>0</v>
      </c>
      <c r="S150" s="60"/>
      <c r="T150" s="176">
        <f t="shared" si="45"/>
        <v>0</v>
      </c>
      <c r="U150" s="60"/>
      <c r="V150" s="176">
        <f t="shared" si="46"/>
        <v>0</v>
      </c>
      <c r="W150" s="60"/>
      <c r="X150" s="176">
        <f t="shared" si="47"/>
        <v>0</v>
      </c>
      <c r="Y150" s="60">
        <v>2</v>
      </c>
      <c r="Z150" s="176">
        <f t="shared" si="48"/>
        <v>1.4</v>
      </c>
      <c r="AA150" s="60"/>
      <c r="AB150" s="176">
        <f t="shared" si="49"/>
        <v>0</v>
      </c>
      <c r="AC150" s="60">
        <v>6</v>
      </c>
      <c r="AD150" s="176">
        <f t="shared" si="50"/>
        <v>4.1999999999999993</v>
      </c>
      <c r="AE150" s="176">
        <f t="shared" si="51"/>
        <v>8</v>
      </c>
      <c r="AF150" s="178">
        <f t="shared" si="52"/>
        <v>5.6</v>
      </c>
    </row>
    <row r="151" spans="1:32" ht="20.100000000000001" customHeight="1">
      <c r="A151" s="63">
        <v>120</v>
      </c>
      <c r="B151" s="63" t="s">
        <v>216</v>
      </c>
      <c r="C151" s="63" t="s">
        <v>14</v>
      </c>
      <c r="D151" s="63">
        <v>0.7</v>
      </c>
      <c r="E151" s="63" t="s">
        <v>15</v>
      </c>
      <c r="F151" s="63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77"/>
      <c r="S151" s="164"/>
      <c r="T151" s="177"/>
      <c r="U151" s="164"/>
      <c r="V151" s="177"/>
      <c r="W151" s="164">
        <v>43</v>
      </c>
      <c r="X151" s="176">
        <f t="shared" si="47"/>
        <v>30.099999999999998</v>
      </c>
      <c r="Y151" s="164">
        <v>44</v>
      </c>
      <c r="Z151" s="176">
        <f t="shared" si="48"/>
        <v>30.799999999999997</v>
      </c>
      <c r="AA151" s="164">
        <v>35</v>
      </c>
      <c r="AB151" s="176">
        <f t="shared" si="49"/>
        <v>24.5</v>
      </c>
      <c r="AC151" s="164">
        <v>46</v>
      </c>
      <c r="AD151" s="176">
        <f t="shared" si="50"/>
        <v>32.199999999999996</v>
      </c>
      <c r="AE151" s="176">
        <f t="shared" si="51"/>
        <v>168</v>
      </c>
      <c r="AF151" s="178">
        <f t="shared" si="52"/>
        <v>117.6</v>
      </c>
    </row>
    <row r="152" spans="1:32" ht="20.100000000000001" customHeight="1">
      <c r="A152" s="63">
        <v>121</v>
      </c>
      <c r="B152" s="63" t="s">
        <v>213</v>
      </c>
      <c r="C152" s="63" t="s">
        <v>14</v>
      </c>
      <c r="D152" s="63">
        <v>0.7</v>
      </c>
      <c r="E152" s="63" t="s">
        <v>15</v>
      </c>
      <c r="F152" s="63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77"/>
      <c r="S152" s="164"/>
      <c r="T152" s="176">
        <f t="shared" si="45"/>
        <v>0</v>
      </c>
      <c r="U152" s="164">
        <v>80</v>
      </c>
      <c r="V152" s="176">
        <f t="shared" si="46"/>
        <v>56</v>
      </c>
      <c r="W152" s="164">
        <v>13</v>
      </c>
      <c r="X152" s="176">
        <f t="shared" si="47"/>
        <v>9.1</v>
      </c>
      <c r="Y152" s="164"/>
      <c r="Z152" s="176">
        <f t="shared" si="48"/>
        <v>0</v>
      </c>
      <c r="AA152" s="164"/>
      <c r="AB152" s="176">
        <f t="shared" si="49"/>
        <v>0</v>
      </c>
      <c r="AC152" s="164"/>
      <c r="AD152" s="176">
        <f t="shared" si="50"/>
        <v>0</v>
      </c>
      <c r="AE152" s="176">
        <f t="shared" si="51"/>
        <v>93</v>
      </c>
      <c r="AF152" s="178">
        <f t="shared" si="52"/>
        <v>65.099999999999994</v>
      </c>
    </row>
    <row r="153" spans="1:32" ht="20.100000000000001" customHeight="1">
      <c r="A153" s="63">
        <v>122</v>
      </c>
      <c r="B153" s="63" t="s">
        <v>214</v>
      </c>
      <c r="C153" s="63"/>
      <c r="D153" s="63"/>
      <c r="E153" s="63"/>
      <c r="F153" s="63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77"/>
      <c r="S153" s="164"/>
      <c r="T153" s="177"/>
      <c r="U153" s="164"/>
      <c r="V153" s="176">
        <f t="shared" si="46"/>
        <v>0</v>
      </c>
      <c r="W153" s="164"/>
      <c r="X153" s="176">
        <f t="shared" si="47"/>
        <v>0</v>
      </c>
      <c r="Y153" s="164"/>
      <c r="Z153" s="176">
        <f t="shared" si="48"/>
        <v>0</v>
      </c>
      <c r="AA153" s="164"/>
      <c r="AB153" s="176">
        <f t="shared" si="49"/>
        <v>0</v>
      </c>
      <c r="AC153" s="164"/>
      <c r="AD153" s="176">
        <f t="shared" si="50"/>
        <v>0</v>
      </c>
      <c r="AE153" s="176">
        <f t="shared" si="51"/>
        <v>0</v>
      </c>
      <c r="AF153" s="178">
        <f t="shared" si="52"/>
        <v>0</v>
      </c>
    </row>
    <row r="154" spans="1:32" ht="20.100000000000001" customHeight="1">
      <c r="A154" s="63">
        <v>123</v>
      </c>
      <c r="B154" s="63" t="s">
        <v>113</v>
      </c>
      <c r="C154" s="63" t="s">
        <v>14</v>
      </c>
      <c r="D154" s="63">
        <v>0.7</v>
      </c>
      <c r="E154" s="63" t="s">
        <v>15</v>
      </c>
      <c r="F154" s="63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176">
        <f t="shared" si="53"/>
        <v>0</v>
      </c>
      <c r="S154" s="60"/>
      <c r="T154" s="60"/>
      <c r="U154" s="60"/>
      <c r="V154" s="176">
        <f t="shared" si="46"/>
        <v>0</v>
      </c>
      <c r="W154" s="60"/>
      <c r="X154" s="176">
        <f t="shared" si="47"/>
        <v>0</v>
      </c>
      <c r="Y154" s="60"/>
      <c r="Z154" s="176">
        <f t="shared" si="48"/>
        <v>0</v>
      </c>
      <c r="AA154" s="60"/>
      <c r="AB154" s="176">
        <f t="shared" si="49"/>
        <v>0</v>
      </c>
      <c r="AC154" s="60"/>
      <c r="AD154" s="176">
        <f t="shared" si="50"/>
        <v>0</v>
      </c>
      <c r="AE154" s="176">
        <f t="shared" si="51"/>
        <v>0</v>
      </c>
      <c r="AF154" s="178">
        <f t="shared" si="52"/>
        <v>0</v>
      </c>
    </row>
    <row r="155" spans="1:32" ht="20.100000000000001" customHeight="1">
      <c r="A155" s="63">
        <v>124</v>
      </c>
      <c r="B155" s="63" t="s">
        <v>114</v>
      </c>
      <c r="C155" s="63" t="s">
        <v>14</v>
      </c>
      <c r="D155" s="63">
        <v>0.35</v>
      </c>
      <c r="E155" s="63" t="s">
        <v>24</v>
      </c>
      <c r="F155" s="63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176">
        <f t="shared" si="53"/>
        <v>0</v>
      </c>
      <c r="S155" s="60"/>
      <c r="T155" s="60"/>
      <c r="U155" s="60"/>
      <c r="V155" s="176">
        <f t="shared" si="46"/>
        <v>0</v>
      </c>
      <c r="W155" s="60"/>
      <c r="X155" s="176">
        <f t="shared" si="47"/>
        <v>0</v>
      </c>
      <c r="Y155" s="60"/>
      <c r="Z155" s="176">
        <f t="shared" si="48"/>
        <v>0</v>
      </c>
      <c r="AA155" s="60"/>
      <c r="AB155" s="176">
        <f t="shared" si="49"/>
        <v>0</v>
      </c>
      <c r="AC155" s="60"/>
      <c r="AD155" s="176">
        <f t="shared" si="50"/>
        <v>0</v>
      </c>
      <c r="AE155" s="176">
        <f t="shared" si="51"/>
        <v>0</v>
      </c>
      <c r="AF155" s="178">
        <f t="shared" si="52"/>
        <v>0</v>
      </c>
    </row>
    <row r="156" spans="1:32" ht="20.100000000000001" customHeight="1">
      <c r="A156" s="63">
        <v>125</v>
      </c>
      <c r="B156" s="63" t="s">
        <v>115</v>
      </c>
      <c r="C156" s="63" t="s">
        <v>14</v>
      </c>
      <c r="D156" s="63">
        <v>0.7</v>
      </c>
      <c r="E156" s="63" t="s">
        <v>15</v>
      </c>
      <c r="F156" s="63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176">
        <f t="shared" si="53"/>
        <v>0</v>
      </c>
      <c r="S156" s="60"/>
      <c r="T156" s="60"/>
      <c r="U156" s="60"/>
      <c r="V156" s="176">
        <f t="shared" si="46"/>
        <v>0</v>
      </c>
      <c r="W156" s="60"/>
      <c r="X156" s="176">
        <f t="shared" si="47"/>
        <v>0</v>
      </c>
      <c r="Y156" s="60"/>
      <c r="Z156" s="176">
        <f t="shared" si="48"/>
        <v>0</v>
      </c>
      <c r="AA156" s="60">
        <v>8</v>
      </c>
      <c r="AB156" s="176">
        <f t="shared" si="49"/>
        <v>5.6</v>
      </c>
      <c r="AC156" s="60"/>
      <c r="AD156" s="176">
        <f t="shared" si="50"/>
        <v>0</v>
      </c>
      <c r="AE156" s="176">
        <f t="shared" si="51"/>
        <v>8</v>
      </c>
      <c r="AF156" s="178">
        <f t="shared" si="52"/>
        <v>5.6</v>
      </c>
    </row>
    <row r="157" spans="1:32" ht="20.100000000000001" customHeight="1">
      <c r="A157" s="63">
        <v>126</v>
      </c>
      <c r="B157" s="63" t="s">
        <v>116</v>
      </c>
      <c r="C157" s="63" t="s">
        <v>14</v>
      </c>
      <c r="D157" s="63">
        <v>0.35</v>
      </c>
      <c r="E157" s="63" t="s">
        <v>24</v>
      </c>
      <c r="F157" s="63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176">
        <f t="shared" si="53"/>
        <v>0</v>
      </c>
      <c r="S157" s="60"/>
      <c r="T157" s="60"/>
      <c r="U157" s="60"/>
      <c r="V157" s="176">
        <f t="shared" si="46"/>
        <v>0</v>
      </c>
      <c r="W157" s="60"/>
      <c r="X157" s="176">
        <f t="shared" si="47"/>
        <v>0</v>
      </c>
      <c r="Y157" s="60"/>
      <c r="Z157" s="176">
        <f t="shared" si="48"/>
        <v>0</v>
      </c>
      <c r="AA157" s="60"/>
      <c r="AB157" s="176">
        <f t="shared" si="49"/>
        <v>0</v>
      </c>
      <c r="AC157" s="60"/>
      <c r="AD157" s="176">
        <f t="shared" si="50"/>
        <v>0</v>
      </c>
      <c r="AE157" s="176">
        <f t="shared" si="51"/>
        <v>0</v>
      </c>
      <c r="AF157" s="178">
        <f t="shared" si="52"/>
        <v>0</v>
      </c>
    </row>
    <row r="158" spans="1:32" ht="20.100000000000001" customHeight="1">
      <c r="A158" s="63">
        <v>127</v>
      </c>
      <c r="B158" s="8" t="s">
        <v>117</v>
      </c>
      <c r="C158" s="8" t="s">
        <v>14</v>
      </c>
      <c r="D158" s="63">
        <v>0.7</v>
      </c>
      <c r="E158" s="69" t="s">
        <v>118</v>
      </c>
      <c r="F158" s="62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176">
        <f t="shared" si="53"/>
        <v>0</v>
      </c>
      <c r="S158" s="60"/>
      <c r="T158" s="60"/>
      <c r="U158" s="60"/>
      <c r="V158" s="176">
        <f t="shared" si="46"/>
        <v>0</v>
      </c>
      <c r="W158" s="60"/>
      <c r="X158" s="176">
        <f t="shared" si="47"/>
        <v>0</v>
      </c>
      <c r="Y158" s="60"/>
      <c r="Z158" s="176">
        <f t="shared" si="48"/>
        <v>0</v>
      </c>
      <c r="AA158" s="60"/>
      <c r="AB158" s="176">
        <f t="shared" si="49"/>
        <v>0</v>
      </c>
      <c r="AC158" s="60"/>
      <c r="AD158" s="176">
        <f t="shared" si="50"/>
        <v>0</v>
      </c>
      <c r="AE158" s="176">
        <f t="shared" si="51"/>
        <v>0</v>
      </c>
      <c r="AF158" s="178">
        <f t="shared" si="52"/>
        <v>0</v>
      </c>
    </row>
    <row r="159" spans="1:32" ht="20.100000000000001" customHeight="1">
      <c r="A159" s="8"/>
      <c r="B159" s="8"/>
      <c r="C159" s="8"/>
      <c r="D159" s="8"/>
      <c r="E159" s="62"/>
      <c r="F159" s="62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176">
        <f t="shared" si="53"/>
        <v>0</v>
      </c>
      <c r="S159" s="60"/>
      <c r="T159" s="60"/>
      <c r="U159" s="60"/>
      <c r="V159" s="176">
        <f t="shared" si="46"/>
        <v>0</v>
      </c>
      <c r="W159" s="60"/>
      <c r="X159" s="176">
        <f t="shared" si="47"/>
        <v>0</v>
      </c>
      <c r="Y159" s="60"/>
      <c r="Z159" s="176">
        <f t="shared" si="48"/>
        <v>0</v>
      </c>
      <c r="AA159" s="60"/>
      <c r="AB159" s="176">
        <f t="shared" si="49"/>
        <v>0</v>
      </c>
      <c r="AC159" s="60"/>
      <c r="AD159" s="176">
        <f t="shared" si="50"/>
        <v>0</v>
      </c>
      <c r="AE159" s="176">
        <f t="shared" si="51"/>
        <v>0</v>
      </c>
      <c r="AF159" s="178">
        <f t="shared" si="52"/>
        <v>0</v>
      </c>
    </row>
    <row r="160" spans="1:32" ht="20.100000000000001" customHeight="1">
      <c r="A160" s="70"/>
      <c r="B160" s="11" t="s">
        <v>119</v>
      </c>
      <c r="C160" s="11"/>
      <c r="D160" s="11"/>
      <c r="E160" s="67"/>
      <c r="F160" s="67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>
        <f t="shared" ref="Q160:AF160" si="54">SUM(Q144:Q159)</f>
        <v>2</v>
      </c>
      <c r="R160" s="60">
        <f t="shared" si="54"/>
        <v>0.52499999999999991</v>
      </c>
      <c r="S160" s="60">
        <f t="shared" si="54"/>
        <v>29</v>
      </c>
      <c r="T160" s="60">
        <f t="shared" si="54"/>
        <v>11.9</v>
      </c>
      <c r="U160" s="60">
        <f t="shared" si="54"/>
        <v>80</v>
      </c>
      <c r="V160" s="60">
        <f t="shared" si="54"/>
        <v>56</v>
      </c>
      <c r="W160" s="60">
        <f t="shared" si="54"/>
        <v>56</v>
      </c>
      <c r="X160" s="60">
        <f t="shared" si="54"/>
        <v>39.199999999999996</v>
      </c>
      <c r="Y160" s="60">
        <f t="shared" si="54"/>
        <v>46</v>
      </c>
      <c r="Z160" s="60">
        <f t="shared" si="54"/>
        <v>32.199999999999996</v>
      </c>
      <c r="AA160" s="60">
        <f t="shared" si="54"/>
        <v>43</v>
      </c>
      <c r="AB160" s="60">
        <f t="shared" si="54"/>
        <v>30.1</v>
      </c>
      <c r="AC160" s="60">
        <f t="shared" si="54"/>
        <v>52</v>
      </c>
      <c r="AD160" s="60">
        <f t="shared" si="54"/>
        <v>36.399999999999991</v>
      </c>
      <c r="AE160" s="60">
        <f t="shared" si="54"/>
        <v>308</v>
      </c>
      <c r="AF160" s="60">
        <f t="shared" si="54"/>
        <v>206.32499999999999</v>
      </c>
    </row>
    <row r="161" spans="1:32" ht="20.100000000000001" customHeight="1">
      <c r="A161" s="18"/>
      <c r="B161" s="12" t="s">
        <v>120</v>
      </c>
      <c r="C161" s="12"/>
      <c r="D161" s="12"/>
      <c r="E161" s="12"/>
      <c r="F161" s="12"/>
      <c r="G161" s="60">
        <f>G142+G160</f>
        <v>2973</v>
      </c>
      <c r="H161" s="60">
        <f t="shared" ref="H161:AF161" si="55">H142+H160</f>
        <v>2698.2999999999997</v>
      </c>
      <c r="I161" s="60">
        <f t="shared" si="55"/>
        <v>2339</v>
      </c>
      <c r="J161" s="60">
        <f t="shared" si="55"/>
        <v>1972.3799999999999</v>
      </c>
      <c r="K161" s="60">
        <f t="shared" si="55"/>
        <v>2883</v>
      </c>
      <c r="L161" s="60">
        <f t="shared" si="55"/>
        <v>1848.9299999999996</v>
      </c>
      <c r="M161" s="60">
        <f t="shared" si="55"/>
        <v>1489</v>
      </c>
      <c r="N161" s="60">
        <f t="shared" si="55"/>
        <v>1051.44</v>
      </c>
      <c r="O161" s="60">
        <f t="shared" si="55"/>
        <v>10484</v>
      </c>
      <c r="P161" s="60">
        <f t="shared" si="55"/>
        <v>7667.7999999999993</v>
      </c>
      <c r="Q161" s="60">
        <f t="shared" si="55"/>
        <v>2624</v>
      </c>
      <c r="R161" s="60">
        <f t="shared" si="55"/>
        <v>1647.2150000000001</v>
      </c>
      <c r="S161" s="60">
        <f t="shared" si="55"/>
        <v>1515</v>
      </c>
      <c r="T161" s="60">
        <f t="shared" si="55"/>
        <v>952.06000000000017</v>
      </c>
      <c r="U161" s="60">
        <f t="shared" si="55"/>
        <v>1176</v>
      </c>
      <c r="V161" s="60">
        <f t="shared" si="55"/>
        <v>754.95999999999992</v>
      </c>
      <c r="W161" s="60">
        <f t="shared" si="55"/>
        <v>3734</v>
      </c>
      <c r="X161" s="60">
        <f t="shared" si="55"/>
        <v>3394.6599999999994</v>
      </c>
      <c r="Y161" s="60">
        <f t="shared" si="55"/>
        <v>3974</v>
      </c>
      <c r="Z161" s="60">
        <f t="shared" si="55"/>
        <v>3766.4</v>
      </c>
      <c r="AA161" s="60">
        <f t="shared" si="55"/>
        <v>925</v>
      </c>
      <c r="AB161" s="60">
        <f t="shared" si="55"/>
        <v>632.9</v>
      </c>
      <c r="AC161" s="60">
        <f t="shared" si="55"/>
        <v>896</v>
      </c>
      <c r="AD161" s="60">
        <f t="shared" si="55"/>
        <v>579.43999999999994</v>
      </c>
      <c r="AE161" s="60">
        <f t="shared" si="55"/>
        <v>34841</v>
      </c>
      <c r="AF161" s="60">
        <f t="shared" si="55"/>
        <v>26966.485000000004</v>
      </c>
    </row>
  </sheetData>
  <mergeCells count="19">
    <mergeCell ref="Q2:R2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O2:P2"/>
    <mergeCell ref="AE2:AF2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7"/>
  <sheetViews>
    <sheetView tabSelected="1" workbookViewId="0">
      <pane xSplit="5" ySplit="3" topLeftCell="F137" activePane="bottomRight" state="frozen"/>
      <selection pane="topRight" activeCell="F1" sqref="F1"/>
      <selection pane="bottomLeft" activeCell="A4" sqref="A4"/>
      <selection pane="bottomRight" activeCell="Y145" sqref="Y145"/>
    </sheetView>
  </sheetViews>
  <sheetFormatPr defaultRowHeight="21"/>
  <cols>
    <col min="1" max="1" width="5.5703125" customWidth="1"/>
    <col min="2" max="2" width="24.42578125" customWidth="1"/>
  </cols>
  <sheetData>
    <row r="1" spans="1:32" ht="24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179" t="s">
        <v>1</v>
      </c>
      <c r="B2" s="179" t="s">
        <v>2</v>
      </c>
      <c r="C2" s="179"/>
      <c r="D2" s="179" t="s">
        <v>4</v>
      </c>
      <c r="E2" s="179" t="s">
        <v>5</v>
      </c>
      <c r="F2" s="179" t="s">
        <v>6</v>
      </c>
      <c r="G2" s="266">
        <v>46023</v>
      </c>
      <c r="H2" s="267"/>
      <c r="I2" s="266">
        <v>46054</v>
      </c>
      <c r="J2" s="267"/>
      <c r="K2" s="266">
        <v>46082</v>
      </c>
      <c r="L2" s="267"/>
      <c r="M2" s="266">
        <v>46113</v>
      </c>
      <c r="N2" s="267"/>
      <c r="O2" s="266">
        <v>46143</v>
      </c>
      <c r="P2" s="267"/>
      <c r="Q2" s="266">
        <v>46174</v>
      </c>
      <c r="R2" s="267"/>
      <c r="S2" s="266">
        <v>46204</v>
      </c>
      <c r="T2" s="267"/>
      <c r="U2" s="266">
        <v>46235</v>
      </c>
      <c r="V2" s="267"/>
      <c r="W2" s="266">
        <v>46266</v>
      </c>
      <c r="X2" s="267"/>
      <c r="Y2" s="266">
        <v>46296</v>
      </c>
      <c r="Z2" s="267"/>
      <c r="AA2" s="266">
        <v>46327</v>
      </c>
      <c r="AB2" s="267"/>
      <c r="AC2" s="266">
        <v>46357</v>
      </c>
      <c r="AD2" s="267"/>
      <c r="AE2" s="264" t="s">
        <v>231</v>
      </c>
      <c r="AF2" s="265"/>
    </row>
    <row r="3" spans="1:32">
      <c r="A3" s="180"/>
      <c r="B3" s="180"/>
      <c r="C3" s="180"/>
      <c r="D3" s="180"/>
      <c r="E3" s="180"/>
      <c r="F3" s="180"/>
      <c r="G3" s="181" t="s">
        <v>11</v>
      </c>
      <c r="H3" s="182" t="s">
        <v>12</v>
      </c>
      <c r="I3" s="181" t="s">
        <v>11</v>
      </c>
      <c r="J3" s="183" t="s">
        <v>12</v>
      </c>
      <c r="K3" s="181" t="s">
        <v>11</v>
      </c>
      <c r="L3" s="183" t="s">
        <v>12</v>
      </c>
      <c r="M3" s="181" t="s">
        <v>11</v>
      </c>
      <c r="N3" s="183" t="s">
        <v>12</v>
      </c>
      <c r="O3" s="181" t="s">
        <v>11</v>
      </c>
      <c r="P3" s="183" t="s">
        <v>12</v>
      </c>
      <c r="Q3" s="181" t="s">
        <v>11</v>
      </c>
      <c r="R3" s="183" t="s">
        <v>12</v>
      </c>
      <c r="S3" s="181" t="s">
        <v>11</v>
      </c>
      <c r="T3" s="183" t="s">
        <v>12</v>
      </c>
      <c r="U3" s="181" t="s">
        <v>11</v>
      </c>
      <c r="V3" s="183" t="s">
        <v>12</v>
      </c>
      <c r="W3" s="181" t="s">
        <v>11</v>
      </c>
      <c r="X3" s="183" t="s">
        <v>12</v>
      </c>
      <c r="Y3" s="181" t="s">
        <v>11</v>
      </c>
      <c r="Z3" s="183" t="s">
        <v>12</v>
      </c>
      <c r="AA3" s="181" t="s">
        <v>11</v>
      </c>
      <c r="AB3" s="183" t="s">
        <v>12</v>
      </c>
      <c r="AC3" s="181" t="s">
        <v>11</v>
      </c>
      <c r="AD3" s="183" t="s">
        <v>12</v>
      </c>
      <c r="AE3" s="181" t="s">
        <v>11</v>
      </c>
      <c r="AF3" s="183" t="s">
        <v>12</v>
      </c>
    </row>
    <row r="4" spans="1:32" ht="20.100000000000001" customHeight="1">
      <c r="A4" s="163">
        <v>1</v>
      </c>
      <c r="B4" s="163" t="s">
        <v>13</v>
      </c>
      <c r="C4" s="163" t="s">
        <v>14</v>
      </c>
      <c r="D4" s="163">
        <v>0.7</v>
      </c>
      <c r="E4" s="163" t="s">
        <v>15</v>
      </c>
      <c r="F4" s="79">
        <v>2020</v>
      </c>
      <c r="G4" s="79"/>
      <c r="H4" s="79">
        <f>G4*D4</f>
        <v>0</v>
      </c>
      <c r="I4" s="164"/>
      <c r="J4" s="273">
        <f>I4*D4</f>
        <v>0</v>
      </c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5">
        <f>SUM(G4,I4,K4,M4,O4,Q4,S4,U4,W4,Y4,AA4,AC4)</f>
        <v>0</v>
      </c>
      <c r="AF4" s="165">
        <f>SUM(H4,J4,L4,N4,P4,R4,T4,V4,X4,Z4,AB4,AD4)</f>
        <v>0</v>
      </c>
    </row>
    <row r="5" spans="1:32" ht="20.100000000000001" customHeight="1">
      <c r="A5" s="163"/>
      <c r="B5" s="163"/>
      <c r="C5" s="163"/>
      <c r="D5" s="163"/>
      <c r="E5" s="163"/>
      <c r="F5" s="79"/>
      <c r="G5" s="79"/>
      <c r="H5" s="79">
        <f t="shared" ref="H5:H68" si="0">G5*D5</f>
        <v>0</v>
      </c>
      <c r="I5" s="164"/>
      <c r="J5" s="273">
        <f t="shared" ref="J5:J68" si="1">I5*D5</f>
        <v>0</v>
      </c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5">
        <f t="shared" ref="AE5:AE68" si="2">SUM(G5,I5,K5,M5,O5,Q5,S5,U5,W5,Y5,AA5,AC5)</f>
        <v>0</v>
      </c>
      <c r="AF5" s="165">
        <f t="shared" ref="AF5:AF68" si="3">SUM(H5,J5,L5,N5,P5,R5,T5,V5,X5,Z5,AB5,AD5)</f>
        <v>0</v>
      </c>
    </row>
    <row r="6" spans="1:32" ht="20.100000000000001" customHeight="1">
      <c r="A6" s="163">
        <v>2</v>
      </c>
      <c r="B6" s="163" t="s">
        <v>16</v>
      </c>
      <c r="C6" s="163" t="s">
        <v>17</v>
      </c>
      <c r="D6" s="163">
        <v>1</v>
      </c>
      <c r="E6" s="163" t="s">
        <v>15</v>
      </c>
      <c r="F6" s="79"/>
      <c r="G6" s="79"/>
      <c r="H6" s="79">
        <f t="shared" si="0"/>
        <v>0</v>
      </c>
      <c r="I6" s="164"/>
      <c r="J6" s="273">
        <f t="shared" si="1"/>
        <v>0</v>
      </c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5">
        <f t="shared" si="2"/>
        <v>0</v>
      </c>
      <c r="AF6" s="165">
        <f t="shared" si="3"/>
        <v>0</v>
      </c>
    </row>
    <row r="7" spans="1:32" ht="20.100000000000001" customHeight="1">
      <c r="A7" s="163">
        <v>3</v>
      </c>
      <c r="B7" s="163" t="s">
        <v>18</v>
      </c>
      <c r="C7" s="163" t="s">
        <v>17</v>
      </c>
      <c r="D7" s="163">
        <v>1</v>
      </c>
      <c r="E7" s="163" t="s">
        <v>15</v>
      </c>
      <c r="F7" s="79">
        <v>1680</v>
      </c>
      <c r="G7" s="79"/>
      <c r="H7" s="79">
        <f t="shared" si="0"/>
        <v>0</v>
      </c>
      <c r="I7" s="164"/>
      <c r="J7" s="273">
        <f t="shared" si="1"/>
        <v>0</v>
      </c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5">
        <f t="shared" si="2"/>
        <v>0</v>
      </c>
      <c r="AF7" s="165">
        <f t="shared" si="3"/>
        <v>0</v>
      </c>
    </row>
    <row r="8" spans="1:32" ht="20.100000000000001" customHeight="1">
      <c r="A8" s="163">
        <v>4</v>
      </c>
      <c r="B8" s="163" t="s">
        <v>19</v>
      </c>
      <c r="C8" s="163" t="s">
        <v>17</v>
      </c>
      <c r="D8" s="163">
        <v>0.6</v>
      </c>
      <c r="E8" s="163" t="s">
        <v>15</v>
      </c>
      <c r="F8" s="79">
        <v>1130</v>
      </c>
      <c r="G8" s="79"/>
      <c r="H8" s="79">
        <f t="shared" si="0"/>
        <v>0</v>
      </c>
      <c r="I8" s="164"/>
      <c r="J8" s="273">
        <f t="shared" si="1"/>
        <v>0</v>
      </c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5">
        <f t="shared" si="2"/>
        <v>0</v>
      </c>
      <c r="AF8" s="165">
        <f t="shared" si="3"/>
        <v>0</v>
      </c>
    </row>
    <row r="9" spans="1:32" ht="20.100000000000001" customHeight="1">
      <c r="A9" s="163">
        <v>5</v>
      </c>
      <c r="B9" s="163" t="s">
        <v>20</v>
      </c>
      <c r="C9" s="163" t="s">
        <v>17</v>
      </c>
      <c r="D9" s="163">
        <v>0.35</v>
      </c>
      <c r="E9" s="163" t="s">
        <v>21</v>
      </c>
      <c r="F9" s="79"/>
      <c r="G9" s="79"/>
      <c r="H9" s="79">
        <f t="shared" si="0"/>
        <v>0</v>
      </c>
      <c r="I9" s="164"/>
      <c r="J9" s="273">
        <f t="shared" si="1"/>
        <v>0</v>
      </c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5">
        <f t="shared" si="2"/>
        <v>0</v>
      </c>
      <c r="AF9" s="165">
        <f t="shared" si="3"/>
        <v>0</v>
      </c>
    </row>
    <row r="10" spans="1:32" ht="20.100000000000001" customHeight="1">
      <c r="A10" s="163">
        <v>6</v>
      </c>
      <c r="B10" s="163" t="s">
        <v>22</v>
      </c>
      <c r="C10" s="163" t="s">
        <v>14</v>
      </c>
      <c r="D10" s="163">
        <v>0.7</v>
      </c>
      <c r="E10" s="163" t="s">
        <v>24</v>
      </c>
      <c r="F10" s="79"/>
      <c r="G10" s="79"/>
      <c r="H10" s="79">
        <f t="shared" si="0"/>
        <v>0</v>
      </c>
      <c r="I10" s="164"/>
      <c r="J10" s="273">
        <f t="shared" si="1"/>
        <v>0</v>
      </c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5">
        <f t="shared" si="2"/>
        <v>0</v>
      </c>
      <c r="AF10" s="165">
        <f t="shared" si="3"/>
        <v>0</v>
      </c>
    </row>
    <row r="11" spans="1:32" ht="20.100000000000001" customHeight="1">
      <c r="A11" s="163">
        <v>7</v>
      </c>
      <c r="B11" s="163" t="s">
        <v>23</v>
      </c>
      <c r="C11" s="163" t="s">
        <v>14</v>
      </c>
      <c r="D11" s="163">
        <v>0.64</v>
      </c>
      <c r="E11" s="163" t="s">
        <v>24</v>
      </c>
      <c r="F11" s="79"/>
      <c r="G11" s="79"/>
      <c r="H11" s="79">
        <f t="shared" si="0"/>
        <v>0</v>
      </c>
      <c r="I11" s="164"/>
      <c r="J11" s="273">
        <f t="shared" si="1"/>
        <v>0</v>
      </c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5">
        <f t="shared" si="2"/>
        <v>0</v>
      </c>
      <c r="AF11" s="165">
        <f t="shared" si="3"/>
        <v>0</v>
      </c>
    </row>
    <row r="12" spans="1:32" ht="20.100000000000001" customHeight="1">
      <c r="A12" s="163">
        <v>8</v>
      </c>
      <c r="B12" s="163" t="s">
        <v>23</v>
      </c>
      <c r="C12" s="163" t="s">
        <v>14</v>
      </c>
      <c r="D12" s="163">
        <v>0.64</v>
      </c>
      <c r="E12" s="163" t="s">
        <v>25</v>
      </c>
      <c r="F12" s="79">
        <v>1380</v>
      </c>
      <c r="G12" s="79">
        <v>7</v>
      </c>
      <c r="H12" s="79">
        <f t="shared" si="0"/>
        <v>4.4800000000000004</v>
      </c>
      <c r="I12" s="164">
        <v>20</v>
      </c>
      <c r="J12" s="273">
        <f t="shared" si="1"/>
        <v>12.8</v>
      </c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5">
        <f t="shared" si="2"/>
        <v>27</v>
      </c>
      <c r="AF12" s="165">
        <f t="shared" si="3"/>
        <v>17.28</v>
      </c>
    </row>
    <row r="13" spans="1:32" ht="20.100000000000001" customHeight="1">
      <c r="A13" s="163">
        <v>9</v>
      </c>
      <c r="B13" s="163" t="s">
        <v>23</v>
      </c>
      <c r="C13" s="163" t="s">
        <v>14</v>
      </c>
      <c r="D13" s="163">
        <v>0.64</v>
      </c>
      <c r="E13" s="163" t="s">
        <v>15</v>
      </c>
      <c r="F13" s="79"/>
      <c r="G13" s="79"/>
      <c r="H13" s="79">
        <f t="shared" si="0"/>
        <v>0</v>
      </c>
      <c r="I13" s="164"/>
      <c r="J13" s="273">
        <f t="shared" si="1"/>
        <v>0</v>
      </c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5">
        <f t="shared" si="2"/>
        <v>0</v>
      </c>
      <c r="AF13" s="165">
        <f t="shared" si="3"/>
        <v>0</v>
      </c>
    </row>
    <row r="14" spans="1:32" ht="20.100000000000001" customHeight="1">
      <c r="A14" s="163">
        <v>10</v>
      </c>
      <c r="B14" s="163" t="s">
        <v>26</v>
      </c>
      <c r="C14" s="163" t="s">
        <v>14</v>
      </c>
      <c r="D14" s="163">
        <v>0.64</v>
      </c>
      <c r="E14" s="163" t="s">
        <v>25</v>
      </c>
      <c r="F14" s="79"/>
      <c r="G14" s="79"/>
      <c r="H14" s="79">
        <f t="shared" si="0"/>
        <v>0</v>
      </c>
      <c r="I14" s="164"/>
      <c r="J14" s="273">
        <f t="shared" si="1"/>
        <v>0</v>
      </c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5">
        <f t="shared" si="2"/>
        <v>0</v>
      </c>
      <c r="AF14" s="165">
        <f t="shared" si="3"/>
        <v>0</v>
      </c>
    </row>
    <row r="15" spans="1:32" ht="20.100000000000001" customHeight="1">
      <c r="A15" s="163"/>
      <c r="B15" s="163"/>
      <c r="C15" s="163"/>
      <c r="D15" s="163"/>
      <c r="E15" s="163"/>
      <c r="F15" s="79"/>
      <c r="G15" s="79"/>
      <c r="H15" s="79">
        <f t="shared" si="0"/>
        <v>0</v>
      </c>
      <c r="I15" s="164"/>
      <c r="J15" s="273">
        <f t="shared" si="1"/>
        <v>0</v>
      </c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5">
        <f t="shared" si="2"/>
        <v>0</v>
      </c>
      <c r="AF15" s="165">
        <f t="shared" si="3"/>
        <v>0</v>
      </c>
    </row>
    <row r="16" spans="1:32" ht="20.100000000000001" customHeight="1">
      <c r="A16" s="163">
        <v>11</v>
      </c>
      <c r="B16" s="163" t="s">
        <v>27</v>
      </c>
      <c r="C16" s="163" t="s">
        <v>17</v>
      </c>
      <c r="D16" s="163">
        <v>1</v>
      </c>
      <c r="E16" s="163" t="s">
        <v>15</v>
      </c>
      <c r="F16" s="79">
        <v>1530</v>
      </c>
      <c r="G16" s="79">
        <v>7</v>
      </c>
      <c r="H16" s="79">
        <f t="shared" si="0"/>
        <v>7</v>
      </c>
      <c r="I16" s="164">
        <v>1</v>
      </c>
      <c r="J16" s="273">
        <f t="shared" si="1"/>
        <v>1</v>
      </c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5">
        <f t="shared" si="2"/>
        <v>8</v>
      </c>
      <c r="AF16" s="165">
        <f t="shared" si="3"/>
        <v>8</v>
      </c>
    </row>
    <row r="17" spans="1:32" ht="20.100000000000001" customHeight="1">
      <c r="A17" s="163">
        <v>12</v>
      </c>
      <c r="B17" s="163" t="s">
        <v>28</v>
      </c>
      <c r="C17" s="163" t="s">
        <v>17</v>
      </c>
      <c r="D17" s="163">
        <v>1</v>
      </c>
      <c r="E17" s="163" t="s">
        <v>15</v>
      </c>
      <c r="F17" s="79"/>
      <c r="G17" s="79"/>
      <c r="H17" s="79">
        <f t="shared" si="0"/>
        <v>0</v>
      </c>
      <c r="I17" s="164"/>
      <c r="J17" s="273">
        <f t="shared" si="1"/>
        <v>0</v>
      </c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5">
        <f t="shared" si="2"/>
        <v>0</v>
      </c>
      <c r="AF17" s="165">
        <f t="shared" si="3"/>
        <v>0</v>
      </c>
    </row>
    <row r="18" spans="1:32" ht="20.100000000000001" customHeight="1">
      <c r="A18" s="163">
        <v>13</v>
      </c>
      <c r="B18" s="163" t="s">
        <v>29</v>
      </c>
      <c r="C18" s="163" t="s">
        <v>17</v>
      </c>
      <c r="D18" s="163">
        <v>0.6</v>
      </c>
      <c r="E18" s="163" t="s">
        <v>15</v>
      </c>
      <c r="F18" s="79">
        <v>1090</v>
      </c>
      <c r="G18" s="79"/>
      <c r="H18" s="79">
        <f t="shared" si="0"/>
        <v>0</v>
      </c>
      <c r="I18" s="164"/>
      <c r="J18" s="273">
        <f t="shared" si="1"/>
        <v>0</v>
      </c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5">
        <f t="shared" si="2"/>
        <v>0</v>
      </c>
      <c r="AF18" s="165">
        <f t="shared" si="3"/>
        <v>0</v>
      </c>
    </row>
    <row r="19" spans="1:32" ht="20.100000000000001" customHeight="1">
      <c r="A19" s="163">
        <v>14</v>
      </c>
      <c r="B19" s="163" t="s">
        <v>30</v>
      </c>
      <c r="C19" s="163" t="s">
        <v>17</v>
      </c>
      <c r="D19" s="163">
        <v>0.6</v>
      </c>
      <c r="E19" s="163" t="s">
        <v>15</v>
      </c>
      <c r="F19" s="79"/>
      <c r="G19" s="79"/>
      <c r="H19" s="79">
        <f t="shared" si="0"/>
        <v>0</v>
      </c>
      <c r="I19" s="164"/>
      <c r="J19" s="273">
        <f t="shared" si="1"/>
        <v>0</v>
      </c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5">
        <f t="shared" si="2"/>
        <v>0</v>
      </c>
      <c r="AF19" s="165">
        <f t="shared" si="3"/>
        <v>0</v>
      </c>
    </row>
    <row r="20" spans="1:32" ht="20.100000000000001" customHeight="1">
      <c r="A20" s="163">
        <v>15</v>
      </c>
      <c r="B20" s="163" t="s">
        <v>31</v>
      </c>
      <c r="C20" s="163" t="s">
        <v>17</v>
      </c>
      <c r="D20" s="163">
        <v>0.35</v>
      </c>
      <c r="E20" s="163" t="s">
        <v>21</v>
      </c>
      <c r="F20" s="79"/>
      <c r="G20" s="79"/>
      <c r="H20" s="79">
        <f t="shared" si="0"/>
        <v>0</v>
      </c>
      <c r="I20" s="164"/>
      <c r="J20" s="273">
        <f t="shared" si="1"/>
        <v>0</v>
      </c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5">
        <f t="shared" si="2"/>
        <v>0</v>
      </c>
      <c r="AF20" s="165">
        <f t="shared" si="3"/>
        <v>0</v>
      </c>
    </row>
    <row r="21" spans="1:32" ht="20.100000000000001" customHeight="1">
      <c r="A21" s="163">
        <v>16</v>
      </c>
      <c r="B21" s="163" t="s">
        <v>32</v>
      </c>
      <c r="C21" s="163" t="s">
        <v>17</v>
      </c>
      <c r="D21" s="163">
        <v>0.35</v>
      </c>
      <c r="E21" s="163" t="s">
        <v>21</v>
      </c>
      <c r="F21" s="79"/>
      <c r="G21" s="79"/>
      <c r="H21" s="79">
        <f t="shared" si="0"/>
        <v>0</v>
      </c>
      <c r="I21" s="164"/>
      <c r="J21" s="273">
        <f t="shared" si="1"/>
        <v>0</v>
      </c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5">
        <f t="shared" si="2"/>
        <v>0</v>
      </c>
      <c r="AF21" s="165">
        <f t="shared" si="3"/>
        <v>0</v>
      </c>
    </row>
    <row r="22" spans="1:32" ht="20.100000000000001" customHeight="1">
      <c r="A22" s="163">
        <v>17</v>
      </c>
      <c r="B22" s="163" t="s">
        <v>33</v>
      </c>
      <c r="C22" s="163" t="s">
        <v>14</v>
      </c>
      <c r="D22" s="163">
        <v>0.64</v>
      </c>
      <c r="E22" s="163" t="s">
        <v>25</v>
      </c>
      <c r="F22" s="79">
        <v>1330</v>
      </c>
      <c r="G22" s="79">
        <v>5</v>
      </c>
      <c r="H22" s="79">
        <f t="shared" si="0"/>
        <v>3.2</v>
      </c>
      <c r="I22" s="164">
        <v>2</v>
      </c>
      <c r="J22" s="273">
        <f t="shared" si="1"/>
        <v>1.28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5">
        <f t="shared" si="2"/>
        <v>7</v>
      </c>
      <c r="AF22" s="165">
        <f t="shared" si="3"/>
        <v>4.4800000000000004</v>
      </c>
    </row>
    <row r="23" spans="1:32" ht="20.100000000000001" customHeight="1">
      <c r="A23" s="163">
        <v>18</v>
      </c>
      <c r="B23" s="163" t="s">
        <v>34</v>
      </c>
      <c r="C23" s="163" t="s">
        <v>14</v>
      </c>
      <c r="D23" s="163">
        <v>0.64</v>
      </c>
      <c r="E23" s="163" t="s">
        <v>25</v>
      </c>
      <c r="F23" s="79"/>
      <c r="G23" s="79"/>
      <c r="H23" s="79">
        <f t="shared" si="0"/>
        <v>0</v>
      </c>
      <c r="I23" s="164"/>
      <c r="J23" s="273">
        <f t="shared" si="1"/>
        <v>0</v>
      </c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5">
        <f t="shared" si="2"/>
        <v>0</v>
      </c>
      <c r="AF23" s="165">
        <f t="shared" si="3"/>
        <v>0</v>
      </c>
    </row>
    <row r="24" spans="1:32" ht="20.100000000000001" customHeight="1">
      <c r="A24" s="163">
        <v>19</v>
      </c>
      <c r="B24" s="163" t="s">
        <v>35</v>
      </c>
      <c r="C24" s="163" t="s">
        <v>14</v>
      </c>
      <c r="D24" s="163">
        <v>0.64</v>
      </c>
      <c r="E24" s="163" t="s">
        <v>25</v>
      </c>
      <c r="F24" s="79"/>
      <c r="G24" s="79"/>
      <c r="H24" s="79">
        <f t="shared" si="0"/>
        <v>0</v>
      </c>
      <c r="I24" s="164"/>
      <c r="J24" s="273">
        <f t="shared" si="1"/>
        <v>0</v>
      </c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5">
        <f t="shared" si="2"/>
        <v>0</v>
      </c>
      <c r="AF24" s="165">
        <f t="shared" si="3"/>
        <v>0</v>
      </c>
    </row>
    <row r="25" spans="1:32" ht="20.100000000000001" customHeight="1">
      <c r="A25" s="163"/>
      <c r="B25" s="163"/>
      <c r="C25" s="163"/>
      <c r="D25" s="163"/>
      <c r="E25" s="163"/>
      <c r="F25" s="79"/>
      <c r="G25" s="79"/>
      <c r="H25" s="79">
        <f t="shared" si="0"/>
        <v>0</v>
      </c>
      <c r="I25" s="164"/>
      <c r="J25" s="273">
        <f t="shared" si="1"/>
        <v>0</v>
      </c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5">
        <f t="shared" si="2"/>
        <v>0</v>
      </c>
      <c r="AF25" s="165">
        <f t="shared" si="3"/>
        <v>0</v>
      </c>
    </row>
    <row r="26" spans="1:32" ht="20.100000000000001" customHeight="1">
      <c r="A26" s="163">
        <v>20</v>
      </c>
      <c r="B26" s="163" t="s">
        <v>36</v>
      </c>
      <c r="C26" s="163" t="s">
        <v>17</v>
      </c>
      <c r="D26" s="163">
        <v>1</v>
      </c>
      <c r="E26" s="163" t="s">
        <v>15</v>
      </c>
      <c r="F26" s="79">
        <v>2100</v>
      </c>
      <c r="G26" s="79">
        <v>84</v>
      </c>
      <c r="H26" s="79">
        <f t="shared" si="0"/>
        <v>84</v>
      </c>
      <c r="I26" s="164"/>
      <c r="J26" s="273">
        <f t="shared" si="1"/>
        <v>0</v>
      </c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5">
        <f t="shared" si="2"/>
        <v>84</v>
      </c>
      <c r="AF26" s="165">
        <f t="shared" si="3"/>
        <v>84</v>
      </c>
    </row>
    <row r="27" spans="1:32" ht="20.100000000000001" customHeight="1">
      <c r="A27" s="163">
        <v>21</v>
      </c>
      <c r="B27" s="163" t="s">
        <v>37</v>
      </c>
      <c r="C27" s="163" t="s">
        <v>17</v>
      </c>
      <c r="D27" s="163">
        <v>0.6</v>
      </c>
      <c r="E27" s="163" t="s">
        <v>38</v>
      </c>
      <c r="F27" s="79"/>
      <c r="G27" s="79"/>
      <c r="H27" s="79">
        <f t="shared" si="0"/>
        <v>0</v>
      </c>
      <c r="I27" s="164"/>
      <c r="J27" s="273">
        <f t="shared" si="1"/>
        <v>0</v>
      </c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5">
        <f t="shared" si="2"/>
        <v>0</v>
      </c>
      <c r="AF27" s="165">
        <f t="shared" si="3"/>
        <v>0</v>
      </c>
    </row>
    <row r="28" spans="1:32" ht="20.100000000000001" customHeight="1">
      <c r="A28" s="163">
        <v>22</v>
      </c>
      <c r="B28" s="163" t="s">
        <v>39</v>
      </c>
      <c r="C28" s="163" t="s">
        <v>14</v>
      </c>
      <c r="D28" s="163">
        <v>0.64</v>
      </c>
      <c r="E28" s="163" t="s">
        <v>25</v>
      </c>
      <c r="F28" s="79">
        <v>1700</v>
      </c>
      <c r="G28" s="79">
        <v>9</v>
      </c>
      <c r="H28" s="79">
        <f t="shared" si="0"/>
        <v>5.76</v>
      </c>
      <c r="I28" s="164">
        <v>7</v>
      </c>
      <c r="J28" s="273">
        <f t="shared" si="1"/>
        <v>4.4800000000000004</v>
      </c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5">
        <f t="shared" si="2"/>
        <v>16</v>
      </c>
      <c r="AF28" s="165">
        <f t="shared" si="3"/>
        <v>10.24</v>
      </c>
    </row>
    <row r="29" spans="1:32" ht="20.100000000000001" customHeight="1">
      <c r="A29" s="163">
        <v>23</v>
      </c>
      <c r="B29" s="163" t="s">
        <v>40</v>
      </c>
      <c r="C29" s="163" t="s">
        <v>14</v>
      </c>
      <c r="D29" s="163">
        <v>0.64</v>
      </c>
      <c r="E29" s="163" t="s">
        <v>25</v>
      </c>
      <c r="F29" s="79"/>
      <c r="G29" s="79"/>
      <c r="H29" s="79">
        <f t="shared" si="0"/>
        <v>0</v>
      </c>
      <c r="I29" s="164"/>
      <c r="J29" s="273">
        <f t="shared" si="1"/>
        <v>0</v>
      </c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5">
        <f t="shared" si="2"/>
        <v>0</v>
      </c>
      <c r="AF29" s="165">
        <f t="shared" si="3"/>
        <v>0</v>
      </c>
    </row>
    <row r="30" spans="1:32" ht="20.100000000000001" customHeight="1">
      <c r="A30" s="163"/>
      <c r="B30" s="163"/>
      <c r="C30" s="163"/>
      <c r="D30" s="163"/>
      <c r="E30" s="163"/>
      <c r="F30" s="79"/>
      <c r="G30" s="79"/>
      <c r="H30" s="79">
        <f t="shared" si="0"/>
        <v>0</v>
      </c>
      <c r="I30" s="164"/>
      <c r="J30" s="273">
        <f t="shared" si="1"/>
        <v>0</v>
      </c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5">
        <f t="shared" si="2"/>
        <v>0</v>
      </c>
      <c r="AF30" s="165">
        <f t="shared" si="3"/>
        <v>0</v>
      </c>
    </row>
    <row r="31" spans="1:32" ht="20.100000000000001" customHeight="1">
      <c r="A31" s="163">
        <v>24</v>
      </c>
      <c r="B31" s="163" t="s">
        <v>41</v>
      </c>
      <c r="C31" s="163" t="s">
        <v>17</v>
      </c>
      <c r="D31" s="163">
        <v>1</v>
      </c>
      <c r="E31" s="163" t="s">
        <v>15</v>
      </c>
      <c r="F31" s="79">
        <v>1580</v>
      </c>
      <c r="G31" s="79"/>
      <c r="H31" s="79">
        <f t="shared" si="0"/>
        <v>0</v>
      </c>
      <c r="I31" s="164"/>
      <c r="J31" s="273">
        <f t="shared" si="1"/>
        <v>0</v>
      </c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5">
        <f t="shared" si="2"/>
        <v>0</v>
      </c>
      <c r="AF31" s="165">
        <f t="shared" si="3"/>
        <v>0</v>
      </c>
    </row>
    <row r="32" spans="1:32" ht="20.100000000000001" customHeight="1">
      <c r="A32" s="163">
        <v>25</v>
      </c>
      <c r="B32" s="163" t="s">
        <v>42</v>
      </c>
      <c r="C32" s="163" t="s">
        <v>17</v>
      </c>
      <c r="D32" s="163">
        <v>1</v>
      </c>
      <c r="E32" s="163" t="s">
        <v>15</v>
      </c>
      <c r="F32" s="79"/>
      <c r="G32" s="79"/>
      <c r="H32" s="79">
        <f t="shared" si="0"/>
        <v>0</v>
      </c>
      <c r="I32" s="164"/>
      <c r="J32" s="273">
        <f t="shared" si="1"/>
        <v>0</v>
      </c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5">
        <f t="shared" si="2"/>
        <v>0</v>
      </c>
      <c r="AF32" s="165">
        <f t="shared" si="3"/>
        <v>0</v>
      </c>
    </row>
    <row r="33" spans="1:32" ht="20.100000000000001" customHeight="1">
      <c r="A33" s="163">
        <v>26</v>
      </c>
      <c r="B33" s="163" t="s">
        <v>43</v>
      </c>
      <c r="C33" s="163" t="s">
        <v>17</v>
      </c>
      <c r="D33" s="163">
        <v>0.6</v>
      </c>
      <c r="E33" s="163" t="s">
        <v>15</v>
      </c>
      <c r="F33" s="79"/>
      <c r="G33" s="79"/>
      <c r="H33" s="79">
        <f t="shared" si="0"/>
        <v>0</v>
      </c>
      <c r="I33" s="164"/>
      <c r="J33" s="273">
        <f t="shared" si="1"/>
        <v>0</v>
      </c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5">
        <f t="shared" si="2"/>
        <v>0</v>
      </c>
      <c r="AF33" s="165">
        <f t="shared" si="3"/>
        <v>0</v>
      </c>
    </row>
    <row r="34" spans="1:32" ht="20.100000000000001" customHeight="1">
      <c r="A34" s="163">
        <v>27</v>
      </c>
      <c r="B34" s="163" t="s">
        <v>44</v>
      </c>
      <c r="C34" s="163" t="s">
        <v>17</v>
      </c>
      <c r="D34" s="163">
        <v>0.6</v>
      </c>
      <c r="E34" s="163" t="s">
        <v>15</v>
      </c>
      <c r="F34" s="79"/>
      <c r="G34" s="79"/>
      <c r="H34" s="79">
        <f t="shared" si="0"/>
        <v>0</v>
      </c>
      <c r="I34" s="164"/>
      <c r="J34" s="273">
        <f t="shared" si="1"/>
        <v>0</v>
      </c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5">
        <f t="shared" si="2"/>
        <v>0</v>
      </c>
      <c r="AF34" s="165">
        <f t="shared" si="3"/>
        <v>0</v>
      </c>
    </row>
    <row r="35" spans="1:32" ht="20.100000000000001" customHeight="1">
      <c r="A35" s="163">
        <v>28</v>
      </c>
      <c r="B35" s="163" t="s">
        <v>45</v>
      </c>
      <c r="C35" s="163" t="s">
        <v>17</v>
      </c>
      <c r="D35" s="163">
        <v>0.35</v>
      </c>
      <c r="E35" s="163" t="s">
        <v>21</v>
      </c>
      <c r="F35" s="79"/>
      <c r="G35" s="79"/>
      <c r="H35" s="79">
        <f t="shared" si="0"/>
        <v>0</v>
      </c>
      <c r="I35" s="164"/>
      <c r="J35" s="273">
        <f t="shared" si="1"/>
        <v>0</v>
      </c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5">
        <f t="shared" si="2"/>
        <v>0</v>
      </c>
      <c r="AF35" s="165">
        <f t="shared" si="3"/>
        <v>0</v>
      </c>
    </row>
    <row r="36" spans="1:32" ht="20.100000000000001" customHeight="1">
      <c r="A36" s="163">
        <v>29</v>
      </c>
      <c r="B36" s="163" t="s">
        <v>46</v>
      </c>
      <c r="C36" s="163" t="s">
        <v>14</v>
      </c>
      <c r="D36" s="163">
        <v>0.7</v>
      </c>
      <c r="E36" s="163" t="s">
        <v>15</v>
      </c>
      <c r="F36" s="79"/>
      <c r="G36" s="79"/>
      <c r="H36" s="79">
        <f t="shared" si="0"/>
        <v>0</v>
      </c>
      <c r="I36" s="164"/>
      <c r="J36" s="273">
        <f t="shared" si="1"/>
        <v>0</v>
      </c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5">
        <f t="shared" si="2"/>
        <v>0</v>
      </c>
      <c r="AF36" s="165">
        <f t="shared" si="3"/>
        <v>0</v>
      </c>
    </row>
    <row r="37" spans="1:32" ht="20.100000000000001" customHeight="1">
      <c r="A37" s="163">
        <v>30</v>
      </c>
      <c r="B37" s="163" t="s">
        <v>47</v>
      </c>
      <c r="C37" s="163" t="s">
        <v>14</v>
      </c>
      <c r="D37" s="163">
        <v>0.7</v>
      </c>
      <c r="E37" s="163" t="s">
        <v>15</v>
      </c>
      <c r="F37" s="79">
        <v>1800</v>
      </c>
      <c r="G37" s="79"/>
      <c r="H37" s="79">
        <f t="shared" si="0"/>
        <v>0</v>
      </c>
      <c r="I37" s="164"/>
      <c r="J37" s="273">
        <f t="shared" si="1"/>
        <v>0</v>
      </c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5">
        <f t="shared" si="2"/>
        <v>0</v>
      </c>
      <c r="AF37" s="165">
        <f t="shared" si="3"/>
        <v>0</v>
      </c>
    </row>
    <row r="38" spans="1:32" ht="20.100000000000001" customHeight="1">
      <c r="A38" s="163">
        <v>31</v>
      </c>
      <c r="B38" s="163" t="s">
        <v>48</v>
      </c>
      <c r="C38" s="163" t="s">
        <v>14</v>
      </c>
      <c r="D38" s="163">
        <v>0.68</v>
      </c>
      <c r="E38" s="163" t="s">
        <v>15</v>
      </c>
      <c r="F38" s="79">
        <v>1550</v>
      </c>
      <c r="G38" s="79"/>
      <c r="H38" s="79">
        <f t="shared" si="0"/>
        <v>0</v>
      </c>
      <c r="I38" s="164"/>
      <c r="J38" s="273">
        <f t="shared" si="1"/>
        <v>0</v>
      </c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5">
        <f t="shared" si="2"/>
        <v>0</v>
      </c>
      <c r="AF38" s="165">
        <f t="shared" si="3"/>
        <v>0</v>
      </c>
    </row>
    <row r="39" spans="1:32" ht="20.100000000000001" customHeight="1">
      <c r="A39" s="163">
        <v>32</v>
      </c>
      <c r="B39" s="163" t="s">
        <v>48</v>
      </c>
      <c r="C39" s="163" t="s">
        <v>14</v>
      </c>
      <c r="D39" s="163">
        <v>0.64</v>
      </c>
      <c r="E39" s="163" t="s">
        <v>15</v>
      </c>
      <c r="F39" s="79"/>
      <c r="G39" s="79"/>
      <c r="H39" s="79">
        <f t="shared" si="0"/>
        <v>0</v>
      </c>
      <c r="I39" s="164"/>
      <c r="J39" s="273">
        <f t="shared" si="1"/>
        <v>0</v>
      </c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5">
        <f t="shared" si="2"/>
        <v>0</v>
      </c>
      <c r="AF39" s="165">
        <f t="shared" si="3"/>
        <v>0</v>
      </c>
    </row>
    <row r="40" spans="1:32" ht="20.100000000000001" customHeight="1">
      <c r="A40" s="163">
        <v>33</v>
      </c>
      <c r="B40" s="163" t="s">
        <v>49</v>
      </c>
      <c r="C40" s="163" t="s">
        <v>14</v>
      </c>
      <c r="D40" s="163">
        <v>0.64</v>
      </c>
      <c r="E40" s="163" t="s">
        <v>25</v>
      </c>
      <c r="F40" s="79"/>
      <c r="G40" s="79"/>
      <c r="H40" s="79">
        <f t="shared" si="0"/>
        <v>0</v>
      </c>
      <c r="I40" s="164"/>
      <c r="J40" s="273">
        <f t="shared" si="1"/>
        <v>0</v>
      </c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5">
        <f t="shared" si="2"/>
        <v>0</v>
      </c>
      <c r="AF40" s="165">
        <f t="shared" si="3"/>
        <v>0</v>
      </c>
    </row>
    <row r="41" spans="1:32" ht="20.100000000000001" customHeight="1">
      <c r="A41" s="163">
        <v>34</v>
      </c>
      <c r="B41" s="163" t="s">
        <v>47</v>
      </c>
      <c r="C41" s="163" t="s">
        <v>14</v>
      </c>
      <c r="D41" s="163">
        <v>0.64</v>
      </c>
      <c r="E41" s="163" t="s">
        <v>25</v>
      </c>
      <c r="F41" s="79">
        <v>1330</v>
      </c>
      <c r="G41" s="79">
        <v>2</v>
      </c>
      <c r="H41" s="79">
        <f t="shared" si="0"/>
        <v>1.28</v>
      </c>
      <c r="I41" s="164">
        <v>3</v>
      </c>
      <c r="J41" s="273">
        <f t="shared" si="1"/>
        <v>1.92</v>
      </c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5">
        <f t="shared" si="2"/>
        <v>5</v>
      </c>
      <c r="AF41" s="165">
        <f t="shared" si="3"/>
        <v>3.2</v>
      </c>
    </row>
    <row r="42" spans="1:32" ht="20.100000000000001" customHeight="1">
      <c r="A42" s="163">
        <v>35</v>
      </c>
      <c r="B42" s="163" t="s">
        <v>47</v>
      </c>
      <c r="C42" s="163" t="s">
        <v>14</v>
      </c>
      <c r="D42" s="163">
        <v>0.64</v>
      </c>
      <c r="E42" s="163" t="s">
        <v>24</v>
      </c>
      <c r="F42" s="79"/>
      <c r="G42" s="79"/>
      <c r="H42" s="79">
        <f t="shared" si="0"/>
        <v>0</v>
      </c>
      <c r="I42" s="164"/>
      <c r="J42" s="273">
        <f t="shared" si="1"/>
        <v>0</v>
      </c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5">
        <f t="shared" si="2"/>
        <v>0</v>
      </c>
      <c r="AF42" s="165">
        <f t="shared" si="3"/>
        <v>0</v>
      </c>
    </row>
    <row r="43" spans="1:32" ht="20.100000000000001" customHeight="1">
      <c r="A43" s="163">
        <v>36</v>
      </c>
      <c r="B43" s="163" t="s">
        <v>50</v>
      </c>
      <c r="C43" s="163" t="s">
        <v>14</v>
      </c>
      <c r="D43" s="163">
        <v>0.68</v>
      </c>
      <c r="E43" s="163" t="s">
        <v>25</v>
      </c>
      <c r="F43" s="79"/>
      <c r="G43" s="79"/>
      <c r="H43" s="79">
        <f t="shared" si="0"/>
        <v>0</v>
      </c>
      <c r="I43" s="164"/>
      <c r="J43" s="273">
        <f t="shared" si="1"/>
        <v>0</v>
      </c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5">
        <f t="shared" si="2"/>
        <v>0</v>
      </c>
      <c r="AF43" s="165">
        <f t="shared" si="3"/>
        <v>0</v>
      </c>
    </row>
    <row r="44" spans="1:32" ht="20.100000000000001" customHeight="1">
      <c r="A44" s="163">
        <v>37</v>
      </c>
      <c r="B44" s="163" t="s">
        <v>50</v>
      </c>
      <c r="C44" s="163" t="s">
        <v>14</v>
      </c>
      <c r="D44" s="163">
        <v>0.64</v>
      </c>
      <c r="E44" s="163" t="s">
        <v>25</v>
      </c>
      <c r="F44" s="79">
        <v>1600</v>
      </c>
      <c r="G44" s="79"/>
      <c r="H44" s="79">
        <f t="shared" si="0"/>
        <v>0</v>
      </c>
      <c r="I44" s="164"/>
      <c r="J44" s="273">
        <f t="shared" si="1"/>
        <v>0</v>
      </c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5">
        <f t="shared" si="2"/>
        <v>0</v>
      </c>
      <c r="AF44" s="165">
        <f t="shared" si="3"/>
        <v>0</v>
      </c>
    </row>
    <row r="45" spans="1:32" ht="20.100000000000001" customHeight="1">
      <c r="A45" s="163">
        <v>38</v>
      </c>
      <c r="B45" s="163" t="s">
        <v>51</v>
      </c>
      <c r="C45" s="163" t="s">
        <v>14</v>
      </c>
      <c r="D45" s="163">
        <v>0.64</v>
      </c>
      <c r="E45" s="163" t="s">
        <v>25</v>
      </c>
      <c r="F45" s="79"/>
      <c r="G45" s="79"/>
      <c r="H45" s="79">
        <f t="shared" si="0"/>
        <v>0</v>
      </c>
      <c r="I45" s="164"/>
      <c r="J45" s="273">
        <f t="shared" si="1"/>
        <v>0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5">
        <f t="shared" si="2"/>
        <v>0</v>
      </c>
      <c r="AF45" s="165">
        <f t="shared" si="3"/>
        <v>0</v>
      </c>
    </row>
    <row r="46" spans="1:32" ht="20.100000000000001" customHeight="1">
      <c r="A46" s="163">
        <v>39</v>
      </c>
      <c r="B46" s="163" t="s">
        <v>51</v>
      </c>
      <c r="C46" s="163" t="s">
        <v>14</v>
      </c>
      <c r="D46" s="163">
        <v>0.64</v>
      </c>
      <c r="E46" s="163" t="s">
        <v>25</v>
      </c>
      <c r="F46" s="79"/>
      <c r="G46" s="79"/>
      <c r="H46" s="79">
        <f t="shared" si="0"/>
        <v>0</v>
      </c>
      <c r="I46" s="164"/>
      <c r="J46" s="273">
        <f t="shared" si="1"/>
        <v>0</v>
      </c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5">
        <f t="shared" si="2"/>
        <v>0</v>
      </c>
      <c r="AF46" s="165">
        <f t="shared" si="3"/>
        <v>0</v>
      </c>
    </row>
    <row r="47" spans="1:32" ht="20.100000000000001" customHeight="1">
      <c r="A47" s="163">
        <v>40</v>
      </c>
      <c r="B47" s="163" t="s">
        <v>51</v>
      </c>
      <c r="C47" s="163" t="s">
        <v>14</v>
      </c>
      <c r="D47" s="163">
        <v>0.64</v>
      </c>
      <c r="E47" s="163" t="s">
        <v>25</v>
      </c>
      <c r="F47" s="79"/>
      <c r="G47" s="79"/>
      <c r="H47" s="79">
        <f t="shared" si="0"/>
        <v>0</v>
      </c>
      <c r="I47" s="164"/>
      <c r="J47" s="273">
        <f t="shared" si="1"/>
        <v>0</v>
      </c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5">
        <f t="shared" si="2"/>
        <v>0</v>
      </c>
      <c r="AF47" s="165">
        <f t="shared" si="3"/>
        <v>0</v>
      </c>
    </row>
    <row r="48" spans="1:32" ht="20.100000000000001" customHeight="1">
      <c r="A48" s="163"/>
      <c r="B48" s="163"/>
      <c r="C48" s="163"/>
      <c r="D48" s="163"/>
      <c r="E48" s="163"/>
      <c r="F48" s="79"/>
      <c r="G48" s="79"/>
      <c r="H48" s="79">
        <f t="shared" si="0"/>
        <v>0</v>
      </c>
      <c r="I48" s="164"/>
      <c r="J48" s="273">
        <f t="shared" si="1"/>
        <v>0</v>
      </c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5">
        <f t="shared" si="2"/>
        <v>0</v>
      </c>
      <c r="AF48" s="165">
        <f t="shared" si="3"/>
        <v>0</v>
      </c>
    </row>
    <row r="49" spans="1:32" ht="20.100000000000001" customHeight="1">
      <c r="A49" s="163">
        <v>41</v>
      </c>
      <c r="B49" s="163" t="s">
        <v>52</v>
      </c>
      <c r="C49" s="163" t="s">
        <v>17</v>
      </c>
      <c r="D49" s="163">
        <v>1</v>
      </c>
      <c r="E49" s="163" t="s">
        <v>15</v>
      </c>
      <c r="F49" s="79"/>
      <c r="G49" s="79"/>
      <c r="H49" s="79">
        <f t="shared" si="0"/>
        <v>0</v>
      </c>
      <c r="I49" s="164">
        <v>49</v>
      </c>
      <c r="J49" s="273">
        <f t="shared" si="1"/>
        <v>49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5">
        <f t="shared" si="2"/>
        <v>49</v>
      </c>
      <c r="AF49" s="165">
        <f t="shared" si="3"/>
        <v>49</v>
      </c>
    </row>
    <row r="50" spans="1:32" ht="20.100000000000001" customHeight="1">
      <c r="A50" s="163">
        <v>42</v>
      </c>
      <c r="B50" s="163" t="s">
        <v>52</v>
      </c>
      <c r="C50" s="163" t="s">
        <v>17</v>
      </c>
      <c r="D50" s="163">
        <v>1</v>
      </c>
      <c r="E50" s="163" t="s">
        <v>24</v>
      </c>
      <c r="F50" s="79"/>
      <c r="G50" s="79"/>
      <c r="H50" s="79">
        <f t="shared" si="0"/>
        <v>0</v>
      </c>
      <c r="I50" s="164"/>
      <c r="J50" s="273">
        <f t="shared" si="1"/>
        <v>0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5">
        <f t="shared" si="2"/>
        <v>0</v>
      </c>
      <c r="AF50" s="165">
        <f t="shared" si="3"/>
        <v>0</v>
      </c>
    </row>
    <row r="51" spans="1:32" ht="20.100000000000001" customHeight="1">
      <c r="A51" s="163">
        <v>43</v>
      </c>
      <c r="B51" s="163" t="s">
        <v>53</v>
      </c>
      <c r="C51" s="163" t="s">
        <v>14</v>
      </c>
      <c r="D51" s="163">
        <v>0.64</v>
      </c>
      <c r="E51" s="163" t="s">
        <v>25</v>
      </c>
      <c r="F51" s="79">
        <v>1370</v>
      </c>
      <c r="G51" s="79">
        <v>1</v>
      </c>
      <c r="H51" s="79">
        <f t="shared" si="0"/>
        <v>0.64</v>
      </c>
      <c r="I51" s="164">
        <v>4</v>
      </c>
      <c r="J51" s="273">
        <f t="shared" si="1"/>
        <v>2.56</v>
      </c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5">
        <f t="shared" si="2"/>
        <v>5</v>
      </c>
      <c r="AF51" s="165">
        <f t="shared" si="3"/>
        <v>3.2</v>
      </c>
    </row>
    <row r="52" spans="1:32" ht="20.100000000000001" customHeight="1">
      <c r="A52" s="163">
        <v>44</v>
      </c>
      <c r="B52" s="163" t="s">
        <v>53</v>
      </c>
      <c r="C52" s="163" t="s">
        <v>14</v>
      </c>
      <c r="D52" s="163">
        <v>0.64</v>
      </c>
      <c r="E52" s="163" t="s">
        <v>24</v>
      </c>
      <c r="F52" s="79"/>
      <c r="G52" s="79"/>
      <c r="H52" s="79">
        <f t="shared" si="0"/>
        <v>0</v>
      </c>
      <c r="I52" s="164"/>
      <c r="J52" s="273">
        <f t="shared" si="1"/>
        <v>0</v>
      </c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5">
        <f t="shared" si="2"/>
        <v>0</v>
      </c>
      <c r="AF52" s="165">
        <f t="shared" si="3"/>
        <v>0</v>
      </c>
    </row>
    <row r="53" spans="1:32" ht="20.100000000000001" customHeight="1">
      <c r="A53" s="163"/>
      <c r="B53" s="163"/>
      <c r="C53" s="163"/>
      <c r="D53" s="163"/>
      <c r="E53" s="163"/>
      <c r="F53" s="79"/>
      <c r="G53" s="79"/>
      <c r="H53" s="79">
        <f t="shared" si="0"/>
        <v>0</v>
      </c>
      <c r="I53" s="164"/>
      <c r="J53" s="273">
        <f t="shared" si="1"/>
        <v>0</v>
      </c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5">
        <f t="shared" si="2"/>
        <v>0</v>
      </c>
      <c r="AF53" s="165">
        <f t="shared" si="3"/>
        <v>0</v>
      </c>
    </row>
    <row r="54" spans="1:32" ht="20.100000000000001" customHeight="1">
      <c r="A54" s="163"/>
      <c r="B54" s="163"/>
      <c r="C54" s="163"/>
      <c r="D54" s="163"/>
      <c r="E54" s="163"/>
      <c r="F54" s="79"/>
      <c r="G54" s="79"/>
      <c r="H54" s="79">
        <f t="shared" si="0"/>
        <v>0</v>
      </c>
      <c r="I54" s="164"/>
      <c r="J54" s="273">
        <f t="shared" si="1"/>
        <v>0</v>
      </c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5">
        <f t="shared" si="2"/>
        <v>0</v>
      </c>
      <c r="AF54" s="165">
        <f t="shared" si="3"/>
        <v>0</v>
      </c>
    </row>
    <row r="55" spans="1:32" ht="20.100000000000001" customHeight="1">
      <c r="A55" s="163">
        <v>45</v>
      </c>
      <c r="B55" s="163" t="s">
        <v>54</v>
      </c>
      <c r="C55" s="163" t="s">
        <v>17</v>
      </c>
      <c r="D55" s="163">
        <v>1</v>
      </c>
      <c r="E55" s="163" t="s">
        <v>15</v>
      </c>
      <c r="F55" s="79"/>
      <c r="G55" s="79"/>
      <c r="H55" s="79">
        <f t="shared" si="0"/>
        <v>0</v>
      </c>
      <c r="I55" s="164"/>
      <c r="J55" s="273">
        <f t="shared" si="1"/>
        <v>0</v>
      </c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5">
        <f t="shared" si="2"/>
        <v>0</v>
      </c>
      <c r="AF55" s="165">
        <f t="shared" si="3"/>
        <v>0</v>
      </c>
    </row>
    <row r="56" spans="1:32" ht="20.100000000000001" customHeight="1">
      <c r="A56" s="163">
        <v>46</v>
      </c>
      <c r="B56" s="163" t="s">
        <v>55</v>
      </c>
      <c r="C56" s="163" t="s">
        <v>17</v>
      </c>
      <c r="D56" s="163">
        <v>0.6</v>
      </c>
      <c r="E56" s="163" t="s">
        <v>15</v>
      </c>
      <c r="F56" s="79"/>
      <c r="G56" s="79"/>
      <c r="H56" s="79">
        <f t="shared" si="0"/>
        <v>0</v>
      </c>
      <c r="I56" s="164"/>
      <c r="J56" s="273">
        <f t="shared" si="1"/>
        <v>0</v>
      </c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5">
        <f t="shared" si="2"/>
        <v>0</v>
      </c>
      <c r="AF56" s="165">
        <f t="shared" si="3"/>
        <v>0</v>
      </c>
    </row>
    <row r="57" spans="1:32" ht="20.100000000000001" customHeight="1">
      <c r="A57" s="163">
        <v>47</v>
      </c>
      <c r="B57" s="163" t="s">
        <v>170</v>
      </c>
      <c r="C57" s="163" t="s">
        <v>14</v>
      </c>
      <c r="D57" s="163">
        <v>0.64</v>
      </c>
      <c r="E57" s="163" t="s">
        <v>25</v>
      </c>
      <c r="F57" s="79">
        <v>1330</v>
      </c>
      <c r="G57" s="79">
        <v>5</v>
      </c>
      <c r="H57" s="79">
        <f t="shared" si="0"/>
        <v>3.2</v>
      </c>
      <c r="I57" s="164"/>
      <c r="J57" s="273">
        <f t="shared" si="1"/>
        <v>0</v>
      </c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5">
        <f t="shared" si="2"/>
        <v>5</v>
      </c>
      <c r="AF57" s="165">
        <f t="shared" si="3"/>
        <v>3.2</v>
      </c>
    </row>
    <row r="58" spans="1:32" ht="20.100000000000001" customHeight="1">
      <c r="A58" s="163">
        <v>48</v>
      </c>
      <c r="B58" s="163" t="s">
        <v>170</v>
      </c>
      <c r="C58" s="163" t="s">
        <v>14</v>
      </c>
      <c r="D58" s="163">
        <v>0.64</v>
      </c>
      <c r="E58" s="163" t="s">
        <v>24</v>
      </c>
      <c r="F58" s="79"/>
      <c r="G58" s="79"/>
      <c r="H58" s="79">
        <f t="shared" si="0"/>
        <v>0</v>
      </c>
      <c r="I58" s="164"/>
      <c r="J58" s="273">
        <f t="shared" si="1"/>
        <v>0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5">
        <f t="shared" si="2"/>
        <v>0</v>
      </c>
      <c r="AF58" s="165">
        <f t="shared" si="3"/>
        <v>0</v>
      </c>
    </row>
    <row r="59" spans="1:32" ht="20.100000000000001" customHeight="1">
      <c r="A59" s="163"/>
      <c r="B59" s="163"/>
      <c r="C59" s="163"/>
      <c r="D59" s="163"/>
      <c r="E59" s="163"/>
      <c r="F59" s="79"/>
      <c r="G59" s="79"/>
      <c r="H59" s="79">
        <f t="shared" si="0"/>
        <v>0</v>
      </c>
      <c r="I59" s="164"/>
      <c r="J59" s="273">
        <f t="shared" si="1"/>
        <v>0</v>
      </c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5">
        <f t="shared" si="2"/>
        <v>0</v>
      </c>
      <c r="AF59" s="165">
        <f t="shared" si="3"/>
        <v>0</v>
      </c>
    </row>
    <row r="60" spans="1:32" ht="20.100000000000001" customHeight="1">
      <c r="A60" s="163">
        <v>49</v>
      </c>
      <c r="B60" s="163" t="s">
        <v>57</v>
      </c>
      <c r="C60" s="163" t="s">
        <v>17</v>
      </c>
      <c r="D60" s="163">
        <v>1</v>
      </c>
      <c r="E60" s="163" t="s">
        <v>15</v>
      </c>
      <c r="F60" s="79"/>
      <c r="G60" s="79"/>
      <c r="H60" s="79">
        <f t="shared" si="0"/>
        <v>0</v>
      </c>
      <c r="I60" s="164"/>
      <c r="J60" s="273">
        <f t="shared" si="1"/>
        <v>0</v>
      </c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5">
        <f t="shared" si="2"/>
        <v>0</v>
      </c>
      <c r="AF60" s="165">
        <f t="shared" si="3"/>
        <v>0</v>
      </c>
    </row>
    <row r="61" spans="1:32" ht="20.100000000000001" customHeight="1">
      <c r="A61" s="163">
        <v>50</v>
      </c>
      <c r="B61" s="163" t="s">
        <v>221</v>
      </c>
      <c r="C61" s="163"/>
      <c r="D61" s="163">
        <v>0.6</v>
      </c>
      <c r="E61" s="163"/>
      <c r="F61" s="79"/>
      <c r="G61" s="79"/>
      <c r="H61" s="79">
        <f t="shared" si="0"/>
        <v>0</v>
      </c>
      <c r="I61" s="164"/>
      <c r="J61" s="273">
        <f t="shared" si="1"/>
        <v>0</v>
      </c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5">
        <f t="shared" si="2"/>
        <v>0</v>
      </c>
      <c r="AF61" s="165">
        <f t="shared" si="3"/>
        <v>0</v>
      </c>
    </row>
    <row r="62" spans="1:32" ht="20.100000000000001" customHeight="1">
      <c r="A62" s="163">
        <v>51</v>
      </c>
      <c r="B62" s="163" t="s">
        <v>59</v>
      </c>
      <c r="C62" s="163" t="s">
        <v>17</v>
      </c>
      <c r="D62" s="163">
        <v>0.35</v>
      </c>
      <c r="E62" s="163" t="s">
        <v>21</v>
      </c>
      <c r="F62" s="79"/>
      <c r="G62" s="79"/>
      <c r="H62" s="79">
        <f t="shared" si="0"/>
        <v>0</v>
      </c>
      <c r="I62" s="164"/>
      <c r="J62" s="273">
        <f t="shared" si="1"/>
        <v>0</v>
      </c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5">
        <f t="shared" si="2"/>
        <v>0</v>
      </c>
      <c r="AF62" s="165">
        <f t="shared" si="3"/>
        <v>0</v>
      </c>
    </row>
    <row r="63" spans="1:32" ht="20.100000000000001" customHeight="1">
      <c r="A63" s="163">
        <v>52</v>
      </c>
      <c r="B63" s="163" t="s">
        <v>60</v>
      </c>
      <c r="C63" s="163" t="s">
        <v>14</v>
      </c>
      <c r="D63" s="163">
        <v>0.64</v>
      </c>
      <c r="E63" s="163" t="s">
        <v>25</v>
      </c>
      <c r="F63" s="79">
        <v>1350</v>
      </c>
      <c r="G63" s="79"/>
      <c r="H63" s="79">
        <f t="shared" si="0"/>
        <v>0</v>
      </c>
      <c r="I63" s="164"/>
      <c r="J63" s="273">
        <f t="shared" si="1"/>
        <v>0</v>
      </c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5">
        <f t="shared" si="2"/>
        <v>0</v>
      </c>
      <c r="AF63" s="165">
        <f t="shared" si="3"/>
        <v>0</v>
      </c>
    </row>
    <row r="64" spans="1:32" ht="20.100000000000001" customHeight="1">
      <c r="A64" s="163">
        <v>53</v>
      </c>
      <c r="B64" s="163" t="s">
        <v>61</v>
      </c>
      <c r="C64" s="163" t="s">
        <v>14</v>
      </c>
      <c r="D64" s="163">
        <v>0.64</v>
      </c>
      <c r="E64" s="163" t="s">
        <v>25</v>
      </c>
      <c r="F64" s="79">
        <v>1280</v>
      </c>
      <c r="G64" s="79"/>
      <c r="H64" s="79">
        <f t="shared" si="0"/>
        <v>0</v>
      </c>
      <c r="I64" s="164"/>
      <c r="J64" s="273">
        <f t="shared" si="1"/>
        <v>0</v>
      </c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5">
        <f t="shared" si="2"/>
        <v>0</v>
      </c>
      <c r="AF64" s="165">
        <f t="shared" si="3"/>
        <v>0</v>
      </c>
    </row>
    <row r="65" spans="1:32" ht="20.100000000000001" customHeight="1">
      <c r="A65" s="163"/>
      <c r="B65" s="163"/>
      <c r="C65" s="163"/>
      <c r="D65" s="163"/>
      <c r="E65" s="163"/>
      <c r="F65" s="79"/>
      <c r="G65" s="79"/>
      <c r="H65" s="79">
        <f t="shared" si="0"/>
        <v>0</v>
      </c>
      <c r="I65" s="164"/>
      <c r="J65" s="273">
        <f t="shared" si="1"/>
        <v>0</v>
      </c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5">
        <f t="shared" si="2"/>
        <v>0</v>
      </c>
      <c r="AF65" s="165">
        <f t="shared" si="3"/>
        <v>0</v>
      </c>
    </row>
    <row r="66" spans="1:32" ht="20.100000000000001" customHeight="1">
      <c r="A66" s="163">
        <v>54</v>
      </c>
      <c r="B66" s="163" t="s">
        <v>62</v>
      </c>
      <c r="C66" s="163" t="s">
        <v>17</v>
      </c>
      <c r="D66" s="163">
        <v>1</v>
      </c>
      <c r="E66" s="163" t="s">
        <v>15</v>
      </c>
      <c r="F66" s="79"/>
      <c r="G66" s="79"/>
      <c r="H66" s="79">
        <f t="shared" si="0"/>
        <v>0</v>
      </c>
      <c r="I66" s="164"/>
      <c r="J66" s="273">
        <f t="shared" si="1"/>
        <v>0</v>
      </c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5">
        <f t="shared" si="2"/>
        <v>0</v>
      </c>
      <c r="AF66" s="165">
        <f t="shared" si="3"/>
        <v>0</v>
      </c>
    </row>
    <row r="67" spans="1:32" ht="20.100000000000001" customHeight="1">
      <c r="A67" s="163">
        <v>55</v>
      </c>
      <c r="B67" s="163" t="s">
        <v>63</v>
      </c>
      <c r="C67" s="163" t="s">
        <v>17</v>
      </c>
      <c r="D67" s="163">
        <v>0.6</v>
      </c>
      <c r="E67" s="163" t="s">
        <v>15</v>
      </c>
      <c r="F67" s="79"/>
      <c r="G67" s="79"/>
      <c r="H67" s="79">
        <f t="shared" si="0"/>
        <v>0</v>
      </c>
      <c r="I67" s="164"/>
      <c r="J67" s="273">
        <f t="shared" si="1"/>
        <v>0</v>
      </c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5">
        <f t="shared" si="2"/>
        <v>0</v>
      </c>
      <c r="AF67" s="165">
        <f t="shared" si="3"/>
        <v>0</v>
      </c>
    </row>
    <row r="68" spans="1:32" ht="20.100000000000001" customHeight="1">
      <c r="A68" s="163">
        <v>56</v>
      </c>
      <c r="B68" s="163" t="s">
        <v>64</v>
      </c>
      <c r="C68" s="163" t="s">
        <v>14</v>
      </c>
      <c r="D68" s="163">
        <v>0.64</v>
      </c>
      <c r="E68" s="163" t="s">
        <v>25</v>
      </c>
      <c r="F68" s="79"/>
      <c r="G68" s="79"/>
      <c r="H68" s="79">
        <f t="shared" si="0"/>
        <v>0</v>
      </c>
      <c r="I68" s="164"/>
      <c r="J68" s="273">
        <f t="shared" si="1"/>
        <v>0</v>
      </c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5">
        <f t="shared" si="2"/>
        <v>0</v>
      </c>
      <c r="AF68" s="165">
        <f t="shared" si="3"/>
        <v>0</v>
      </c>
    </row>
    <row r="69" spans="1:32" ht="20.100000000000001" customHeight="1">
      <c r="A69" s="163"/>
      <c r="B69" s="163"/>
      <c r="C69" s="163"/>
      <c r="D69" s="163"/>
      <c r="E69" s="163"/>
      <c r="F69" s="79"/>
      <c r="G69" s="79"/>
      <c r="H69" s="79">
        <f t="shared" ref="H69:H134" si="4">G69*D69</f>
        <v>0</v>
      </c>
      <c r="I69" s="164"/>
      <c r="J69" s="273">
        <f t="shared" ref="J69:J132" si="5">I69*D69</f>
        <v>0</v>
      </c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5">
        <f t="shared" ref="AE69:AE134" si="6">SUM(G69,I69,K69,M69,O69,Q69,S69,U69,W69,Y69,AA69,AC69)</f>
        <v>0</v>
      </c>
      <c r="AF69" s="165">
        <f t="shared" ref="AF69:AF134" si="7">SUM(H69,J69,L69,N69,P69,R69,T69,V69,X69,Z69,AB69,AD69)</f>
        <v>0</v>
      </c>
    </row>
    <row r="70" spans="1:32" ht="20.100000000000001" customHeight="1">
      <c r="A70" s="163">
        <v>57</v>
      </c>
      <c r="B70" s="163" t="s">
        <v>65</v>
      </c>
      <c r="C70" s="163" t="s">
        <v>17</v>
      </c>
      <c r="D70" s="163">
        <v>1</v>
      </c>
      <c r="E70" s="163" t="s">
        <v>15</v>
      </c>
      <c r="F70" s="79"/>
      <c r="G70" s="79"/>
      <c r="H70" s="79">
        <f t="shared" si="4"/>
        <v>0</v>
      </c>
      <c r="I70" s="164"/>
      <c r="J70" s="273">
        <f t="shared" si="5"/>
        <v>0</v>
      </c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5">
        <f t="shared" si="6"/>
        <v>0</v>
      </c>
      <c r="AF70" s="165">
        <f t="shared" si="7"/>
        <v>0</v>
      </c>
    </row>
    <row r="71" spans="1:32" ht="20.100000000000001" customHeight="1">
      <c r="A71" s="163">
        <v>58</v>
      </c>
      <c r="B71" s="163" t="s">
        <v>66</v>
      </c>
      <c r="C71" s="163" t="s">
        <v>17</v>
      </c>
      <c r="D71" s="163">
        <v>0.6</v>
      </c>
      <c r="E71" s="163" t="s">
        <v>15</v>
      </c>
      <c r="F71" s="79"/>
      <c r="G71" s="79"/>
      <c r="H71" s="79">
        <f t="shared" si="4"/>
        <v>0</v>
      </c>
      <c r="I71" s="164"/>
      <c r="J71" s="273">
        <f t="shared" si="5"/>
        <v>0</v>
      </c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5">
        <f t="shared" si="6"/>
        <v>0</v>
      </c>
      <c r="AF71" s="165">
        <f t="shared" si="7"/>
        <v>0</v>
      </c>
    </row>
    <row r="72" spans="1:32" ht="20.100000000000001" customHeight="1">
      <c r="A72" s="163">
        <v>59</v>
      </c>
      <c r="B72" s="163" t="s">
        <v>67</v>
      </c>
      <c r="C72" s="163" t="s">
        <v>14</v>
      </c>
      <c r="D72" s="163">
        <v>0.64</v>
      </c>
      <c r="E72" s="163" t="s">
        <v>25</v>
      </c>
      <c r="F72" s="79"/>
      <c r="G72" s="79"/>
      <c r="H72" s="79">
        <f t="shared" si="4"/>
        <v>0</v>
      </c>
      <c r="I72" s="164"/>
      <c r="J72" s="273">
        <f t="shared" si="5"/>
        <v>0</v>
      </c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5">
        <f t="shared" si="6"/>
        <v>0</v>
      </c>
      <c r="AF72" s="165">
        <f t="shared" si="7"/>
        <v>0</v>
      </c>
    </row>
    <row r="73" spans="1:32" ht="20.100000000000001" customHeight="1">
      <c r="A73" s="163"/>
      <c r="B73" s="163"/>
      <c r="C73" s="163"/>
      <c r="D73" s="163"/>
      <c r="E73" s="163"/>
      <c r="F73" s="79"/>
      <c r="G73" s="79"/>
      <c r="H73" s="79">
        <f t="shared" si="4"/>
        <v>0</v>
      </c>
      <c r="I73" s="164"/>
      <c r="J73" s="273">
        <f t="shared" si="5"/>
        <v>0</v>
      </c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5">
        <f t="shared" si="6"/>
        <v>0</v>
      </c>
      <c r="AF73" s="165">
        <f t="shared" si="7"/>
        <v>0</v>
      </c>
    </row>
    <row r="74" spans="1:32" ht="20.100000000000001" customHeight="1">
      <c r="A74" s="163">
        <v>60</v>
      </c>
      <c r="B74" s="163" t="s">
        <v>68</v>
      </c>
      <c r="C74" s="163" t="s">
        <v>14</v>
      </c>
      <c r="D74" s="163">
        <v>0.64</v>
      </c>
      <c r="E74" s="163" t="s">
        <v>25</v>
      </c>
      <c r="F74" s="79"/>
      <c r="G74" s="79"/>
      <c r="H74" s="79">
        <f t="shared" si="4"/>
        <v>0</v>
      </c>
      <c r="I74" s="164"/>
      <c r="J74" s="273">
        <f t="shared" si="5"/>
        <v>0</v>
      </c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5">
        <f t="shared" si="6"/>
        <v>0</v>
      </c>
      <c r="AF74" s="165">
        <f t="shared" si="7"/>
        <v>0</v>
      </c>
    </row>
    <row r="75" spans="1:32" ht="20.100000000000001" customHeight="1">
      <c r="A75" s="163">
        <v>61</v>
      </c>
      <c r="B75" s="163" t="s">
        <v>68</v>
      </c>
      <c r="C75" s="163" t="s">
        <v>14</v>
      </c>
      <c r="D75" s="163">
        <v>0.64</v>
      </c>
      <c r="E75" s="163" t="s">
        <v>24</v>
      </c>
      <c r="F75" s="79">
        <v>1330</v>
      </c>
      <c r="G75" s="79"/>
      <c r="H75" s="79">
        <f t="shared" si="4"/>
        <v>0</v>
      </c>
      <c r="I75" s="164"/>
      <c r="J75" s="273">
        <f t="shared" si="5"/>
        <v>0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5">
        <f t="shared" si="6"/>
        <v>0</v>
      </c>
      <c r="AF75" s="165">
        <f t="shared" si="7"/>
        <v>0</v>
      </c>
    </row>
    <row r="76" spans="1:32" ht="20.100000000000001" customHeight="1">
      <c r="A76" s="163"/>
      <c r="B76" s="163"/>
      <c r="C76" s="163"/>
      <c r="D76" s="163"/>
      <c r="E76" s="163"/>
      <c r="F76" s="79"/>
      <c r="G76" s="79"/>
      <c r="H76" s="79">
        <f t="shared" si="4"/>
        <v>0</v>
      </c>
      <c r="I76" s="164"/>
      <c r="J76" s="273">
        <f t="shared" si="5"/>
        <v>0</v>
      </c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5">
        <f t="shared" si="6"/>
        <v>0</v>
      </c>
      <c r="AF76" s="165">
        <f t="shared" si="7"/>
        <v>0</v>
      </c>
    </row>
    <row r="77" spans="1:32" ht="20.100000000000001" customHeight="1">
      <c r="A77" s="163">
        <v>62</v>
      </c>
      <c r="B77" s="163" t="s">
        <v>69</v>
      </c>
      <c r="C77" s="163" t="s">
        <v>14</v>
      </c>
      <c r="D77" s="163">
        <v>0.64</v>
      </c>
      <c r="E77" s="163" t="s">
        <v>25</v>
      </c>
      <c r="F77" s="79"/>
      <c r="G77" s="79"/>
      <c r="H77" s="79">
        <f t="shared" si="4"/>
        <v>0</v>
      </c>
      <c r="I77" s="164"/>
      <c r="J77" s="273">
        <f t="shared" si="5"/>
        <v>0</v>
      </c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5">
        <f t="shared" si="6"/>
        <v>0</v>
      </c>
      <c r="AF77" s="165">
        <f t="shared" si="7"/>
        <v>0</v>
      </c>
    </row>
    <row r="78" spans="1:32" ht="20.100000000000001" customHeight="1">
      <c r="A78" s="163">
        <v>63</v>
      </c>
      <c r="B78" s="163" t="s">
        <v>69</v>
      </c>
      <c r="C78" s="163" t="s">
        <v>14</v>
      </c>
      <c r="D78" s="163">
        <v>0.64</v>
      </c>
      <c r="E78" s="163" t="s">
        <v>24</v>
      </c>
      <c r="F78" s="79"/>
      <c r="G78" s="79"/>
      <c r="H78" s="79">
        <f t="shared" si="4"/>
        <v>0</v>
      </c>
      <c r="I78" s="164"/>
      <c r="J78" s="273">
        <f t="shared" si="5"/>
        <v>0</v>
      </c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5">
        <f t="shared" si="6"/>
        <v>0</v>
      </c>
      <c r="AF78" s="165">
        <f t="shared" si="7"/>
        <v>0</v>
      </c>
    </row>
    <row r="79" spans="1:32" ht="20.100000000000001" customHeight="1">
      <c r="A79" s="163"/>
      <c r="B79" s="163"/>
      <c r="C79" s="163"/>
      <c r="D79" s="163"/>
      <c r="E79" s="163"/>
      <c r="F79" s="79"/>
      <c r="G79" s="79"/>
      <c r="H79" s="79">
        <f t="shared" si="4"/>
        <v>0</v>
      </c>
      <c r="I79" s="164"/>
      <c r="J79" s="273">
        <f t="shared" si="5"/>
        <v>0</v>
      </c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5">
        <f t="shared" si="6"/>
        <v>0</v>
      </c>
      <c r="AF79" s="165">
        <f t="shared" si="7"/>
        <v>0</v>
      </c>
    </row>
    <row r="80" spans="1:32" ht="20.100000000000001" customHeight="1">
      <c r="A80" s="163">
        <v>64</v>
      </c>
      <c r="B80" s="163" t="s">
        <v>70</v>
      </c>
      <c r="C80" s="163" t="s">
        <v>14</v>
      </c>
      <c r="D80" s="163">
        <v>0.64</v>
      </c>
      <c r="E80" s="163" t="s">
        <v>24</v>
      </c>
      <c r="F80" s="79"/>
      <c r="G80" s="79"/>
      <c r="H80" s="79">
        <f t="shared" si="4"/>
        <v>0</v>
      </c>
      <c r="I80" s="164"/>
      <c r="J80" s="273">
        <f t="shared" si="5"/>
        <v>0</v>
      </c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5">
        <f t="shared" si="6"/>
        <v>0</v>
      </c>
      <c r="AF80" s="165">
        <f t="shared" si="7"/>
        <v>0</v>
      </c>
    </row>
    <row r="81" spans="1:32" ht="20.100000000000001" customHeight="1">
      <c r="A81" s="163">
        <v>65</v>
      </c>
      <c r="B81" s="163" t="s">
        <v>71</v>
      </c>
      <c r="C81" s="163" t="s">
        <v>14</v>
      </c>
      <c r="D81" s="163">
        <v>0.64</v>
      </c>
      <c r="E81" s="163" t="s">
        <v>15</v>
      </c>
      <c r="F81" s="79"/>
      <c r="G81" s="79"/>
      <c r="H81" s="79">
        <f t="shared" si="4"/>
        <v>0</v>
      </c>
      <c r="I81" s="164"/>
      <c r="J81" s="273">
        <f t="shared" si="5"/>
        <v>0</v>
      </c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5">
        <f t="shared" si="6"/>
        <v>0</v>
      </c>
      <c r="AF81" s="165">
        <f t="shared" si="7"/>
        <v>0</v>
      </c>
    </row>
    <row r="82" spans="1:32" ht="20.100000000000001" customHeight="1">
      <c r="A82" s="163">
        <v>66</v>
      </c>
      <c r="B82" s="163" t="s">
        <v>201</v>
      </c>
      <c r="C82" s="163" t="s">
        <v>14</v>
      </c>
      <c r="D82" s="163">
        <v>0.64</v>
      </c>
      <c r="E82" s="163" t="s">
        <v>222</v>
      </c>
      <c r="F82" s="79"/>
      <c r="G82" s="79"/>
      <c r="H82" s="79">
        <f t="shared" si="4"/>
        <v>0</v>
      </c>
      <c r="I82" s="164"/>
      <c r="J82" s="273">
        <f t="shared" si="5"/>
        <v>0</v>
      </c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5">
        <f t="shared" si="6"/>
        <v>0</v>
      </c>
      <c r="AF82" s="165">
        <f t="shared" si="7"/>
        <v>0</v>
      </c>
    </row>
    <row r="83" spans="1:32" ht="20.100000000000001" customHeight="1">
      <c r="A83" s="163">
        <v>67</v>
      </c>
      <c r="B83" s="163" t="s">
        <v>201</v>
      </c>
      <c r="C83" s="163" t="s">
        <v>197</v>
      </c>
      <c r="D83" s="163">
        <v>1</v>
      </c>
      <c r="E83" s="163" t="s">
        <v>223</v>
      </c>
      <c r="F83" s="79"/>
      <c r="G83" s="79"/>
      <c r="H83" s="79">
        <f t="shared" si="4"/>
        <v>0</v>
      </c>
      <c r="I83" s="164"/>
      <c r="J83" s="273">
        <f t="shared" si="5"/>
        <v>0</v>
      </c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5">
        <f t="shared" si="6"/>
        <v>0</v>
      </c>
      <c r="AF83" s="165">
        <f t="shared" si="7"/>
        <v>0</v>
      </c>
    </row>
    <row r="84" spans="1:32" ht="20.100000000000001" customHeight="1">
      <c r="A84" s="163">
        <v>68</v>
      </c>
      <c r="B84" s="163" t="s">
        <v>202</v>
      </c>
      <c r="C84" s="163" t="s">
        <v>197</v>
      </c>
      <c r="D84" s="163">
        <v>1</v>
      </c>
      <c r="E84" s="163" t="s">
        <v>223</v>
      </c>
      <c r="F84" s="79"/>
      <c r="G84" s="79"/>
      <c r="H84" s="79">
        <f t="shared" si="4"/>
        <v>0</v>
      </c>
      <c r="I84" s="164"/>
      <c r="J84" s="273">
        <f t="shared" si="5"/>
        <v>0</v>
      </c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5">
        <f t="shared" si="6"/>
        <v>0</v>
      </c>
      <c r="AF84" s="165">
        <f t="shared" si="7"/>
        <v>0</v>
      </c>
    </row>
    <row r="85" spans="1:32" ht="20.100000000000001" customHeight="1">
      <c r="A85" s="163"/>
      <c r="B85" s="163"/>
      <c r="C85" s="163"/>
      <c r="D85" s="163"/>
      <c r="E85" s="163"/>
      <c r="F85" s="79"/>
      <c r="G85" s="79"/>
      <c r="H85" s="79">
        <f t="shared" si="4"/>
        <v>0</v>
      </c>
      <c r="I85" s="164"/>
      <c r="J85" s="273">
        <f t="shared" si="5"/>
        <v>0</v>
      </c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5">
        <f t="shared" si="6"/>
        <v>0</v>
      </c>
      <c r="AF85" s="165">
        <f t="shared" si="7"/>
        <v>0</v>
      </c>
    </row>
    <row r="86" spans="1:32" ht="20.100000000000001" customHeight="1">
      <c r="A86" s="163">
        <v>69</v>
      </c>
      <c r="B86" s="163" t="s">
        <v>72</v>
      </c>
      <c r="C86" s="163" t="s">
        <v>17</v>
      </c>
      <c r="D86" s="163">
        <v>1</v>
      </c>
      <c r="E86" s="163" t="s">
        <v>24</v>
      </c>
      <c r="F86" s="79"/>
      <c r="G86" s="79"/>
      <c r="H86" s="79">
        <f t="shared" si="4"/>
        <v>0</v>
      </c>
      <c r="I86" s="164"/>
      <c r="J86" s="273">
        <f t="shared" si="5"/>
        <v>0</v>
      </c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5">
        <f t="shared" si="6"/>
        <v>0</v>
      </c>
      <c r="AF86" s="165">
        <f t="shared" si="7"/>
        <v>0</v>
      </c>
    </row>
    <row r="87" spans="1:32" ht="20.100000000000001" customHeight="1">
      <c r="A87" s="163">
        <v>70</v>
      </c>
      <c r="B87" s="163" t="s">
        <v>73</v>
      </c>
      <c r="C87" s="163" t="s">
        <v>17</v>
      </c>
      <c r="D87" s="163">
        <v>1</v>
      </c>
      <c r="E87" s="163" t="s">
        <v>24</v>
      </c>
      <c r="F87" s="79"/>
      <c r="G87" s="79"/>
      <c r="H87" s="79">
        <f t="shared" si="4"/>
        <v>0</v>
      </c>
      <c r="I87" s="164"/>
      <c r="J87" s="273">
        <f t="shared" si="5"/>
        <v>0</v>
      </c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5">
        <f t="shared" si="6"/>
        <v>0</v>
      </c>
      <c r="AF87" s="165">
        <f t="shared" si="7"/>
        <v>0</v>
      </c>
    </row>
    <row r="88" spans="1:32" ht="20.100000000000001" customHeight="1">
      <c r="A88" s="163">
        <v>71</v>
      </c>
      <c r="B88" s="163" t="s">
        <v>74</v>
      </c>
      <c r="C88" s="163" t="s">
        <v>17</v>
      </c>
      <c r="D88" s="163">
        <v>1</v>
      </c>
      <c r="E88" s="163" t="s">
        <v>15</v>
      </c>
      <c r="F88" s="79"/>
      <c r="G88" s="79"/>
      <c r="H88" s="79">
        <f t="shared" si="4"/>
        <v>0</v>
      </c>
      <c r="I88" s="164"/>
      <c r="J88" s="273">
        <f t="shared" si="5"/>
        <v>0</v>
      </c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5">
        <f t="shared" si="6"/>
        <v>0</v>
      </c>
      <c r="AF88" s="165">
        <f t="shared" si="7"/>
        <v>0</v>
      </c>
    </row>
    <row r="89" spans="1:32" ht="20.100000000000001" customHeight="1">
      <c r="A89" s="163">
        <v>72</v>
      </c>
      <c r="B89" s="163" t="s">
        <v>75</v>
      </c>
      <c r="C89" s="163" t="s">
        <v>17</v>
      </c>
      <c r="D89" s="163">
        <v>0.6</v>
      </c>
      <c r="E89" s="163" t="s">
        <v>24</v>
      </c>
      <c r="F89" s="79">
        <v>875</v>
      </c>
      <c r="G89" s="79"/>
      <c r="H89" s="79">
        <f t="shared" si="4"/>
        <v>0</v>
      </c>
      <c r="I89" s="164">
        <v>6</v>
      </c>
      <c r="J89" s="273">
        <f t="shared" si="5"/>
        <v>3.5999999999999996</v>
      </c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5">
        <f t="shared" si="6"/>
        <v>6</v>
      </c>
      <c r="AF89" s="165">
        <f t="shared" si="7"/>
        <v>3.5999999999999996</v>
      </c>
    </row>
    <row r="90" spans="1:32" ht="20.100000000000001" customHeight="1">
      <c r="A90" s="163">
        <v>73</v>
      </c>
      <c r="B90" s="163" t="s">
        <v>76</v>
      </c>
      <c r="C90" s="163" t="s">
        <v>14</v>
      </c>
      <c r="D90" s="163">
        <v>0.64</v>
      </c>
      <c r="E90" s="163" t="s">
        <v>25</v>
      </c>
      <c r="F90" s="79">
        <v>1330</v>
      </c>
      <c r="G90" s="79"/>
      <c r="H90" s="79">
        <f t="shared" si="4"/>
        <v>0</v>
      </c>
      <c r="I90" s="164"/>
      <c r="J90" s="273">
        <f t="shared" si="5"/>
        <v>0</v>
      </c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5">
        <f t="shared" si="6"/>
        <v>0</v>
      </c>
      <c r="AF90" s="165">
        <f t="shared" si="7"/>
        <v>0</v>
      </c>
    </row>
    <row r="91" spans="1:32" ht="20.100000000000001" customHeight="1">
      <c r="A91" s="163"/>
      <c r="B91" s="163"/>
      <c r="C91" s="163"/>
      <c r="D91" s="163"/>
      <c r="E91" s="163"/>
      <c r="F91" s="79"/>
      <c r="G91" s="79"/>
      <c r="H91" s="79">
        <f t="shared" si="4"/>
        <v>0</v>
      </c>
      <c r="I91" s="164"/>
      <c r="J91" s="273">
        <f t="shared" si="5"/>
        <v>0</v>
      </c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5">
        <f t="shared" si="6"/>
        <v>0</v>
      </c>
      <c r="AF91" s="165">
        <f t="shared" si="7"/>
        <v>0</v>
      </c>
    </row>
    <row r="92" spans="1:32" ht="20.100000000000001" customHeight="1">
      <c r="A92" s="163">
        <v>74</v>
      </c>
      <c r="B92" s="163" t="s">
        <v>77</v>
      </c>
      <c r="C92" s="163" t="s">
        <v>17</v>
      </c>
      <c r="D92" s="163">
        <v>1</v>
      </c>
      <c r="E92" s="163" t="s">
        <v>24</v>
      </c>
      <c r="F92" s="79"/>
      <c r="G92" s="79"/>
      <c r="H92" s="79">
        <f t="shared" si="4"/>
        <v>0</v>
      </c>
      <c r="I92" s="164"/>
      <c r="J92" s="273">
        <f t="shared" si="5"/>
        <v>0</v>
      </c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5">
        <f t="shared" si="6"/>
        <v>0</v>
      </c>
      <c r="AF92" s="165">
        <f t="shared" si="7"/>
        <v>0</v>
      </c>
    </row>
    <row r="93" spans="1:32" ht="20.100000000000001" customHeight="1">
      <c r="A93" s="163">
        <v>75</v>
      </c>
      <c r="B93" s="163" t="s">
        <v>77</v>
      </c>
      <c r="C93" s="163" t="s">
        <v>17</v>
      </c>
      <c r="D93" s="163">
        <v>1</v>
      </c>
      <c r="E93" s="163" t="s">
        <v>15</v>
      </c>
      <c r="F93" s="79">
        <v>1260</v>
      </c>
      <c r="G93" s="79">
        <v>38</v>
      </c>
      <c r="H93" s="79">
        <f t="shared" si="4"/>
        <v>38</v>
      </c>
      <c r="I93" s="164">
        <v>25</v>
      </c>
      <c r="J93" s="273">
        <f t="shared" si="5"/>
        <v>25</v>
      </c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5">
        <f t="shared" si="6"/>
        <v>63</v>
      </c>
      <c r="AF93" s="165">
        <f t="shared" si="7"/>
        <v>63</v>
      </c>
    </row>
    <row r="94" spans="1:32" ht="20.100000000000001" customHeight="1">
      <c r="A94" s="163">
        <v>76</v>
      </c>
      <c r="B94" s="163" t="s">
        <v>78</v>
      </c>
      <c r="C94" s="163" t="s">
        <v>17</v>
      </c>
      <c r="D94" s="163">
        <v>0.6</v>
      </c>
      <c r="E94" s="163" t="s">
        <v>24</v>
      </c>
      <c r="F94" s="79">
        <v>915</v>
      </c>
      <c r="G94" s="79">
        <v>3</v>
      </c>
      <c r="H94" s="79">
        <f t="shared" si="4"/>
        <v>1.7999999999999998</v>
      </c>
      <c r="I94" s="164"/>
      <c r="J94" s="273">
        <f t="shared" si="5"/>
        <v>0</v>
      </c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5">
        <f t="shared" si="6"/>
        <v>3</v>
      </c>
      <c r="AF94" s="165">
        <f t="shared" si="7"/>
        <v>1.7999999999999998</v>
      </c>
    </row>
    <row r="95" spans="1:32" ht="20.100000000000001" customHeight="1">
      <c r="A95" s="163">
        <v>77</v>
      </c>
      <c r="B95" s="163" t="s">
        <v>79</v>
      </c>
      <c r="C95" s="163" t="s">
        <v>14</v>
      </c>
      <c r="D95" s="163">
        <v>0.64</v>
      </c>
      <c r="E95" s="163" t="s">
        <v>25</v>
      </c>
      <c r="F95" s="79"/>
      <c r="G95" s="79"/>
      <c r="H95" s="79">
        <f t="shared" si="4"/>
        <v>0</v>
      </c>
      <c r="I95" s="164"/>
      <c r="J95" s="273">
        <f t="shared" si="5"/>
        <v>0</v>
      </c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5">
        <f t="shared" si="6"/>
        <v>0</v>
      </c>
      <c r="AF95" s="165">
        <f t="shared" si="7"/>
        <v>0</v>
      </c>
    </row>
    <row r="96" spans="1:32" ht="20.100000000000001" customHeight="1">
      <c r="A96" s="163"/>
      <c r="B96" s="163"/>
      <c r="C96" s="163"/>
      <c r="D96" s="163"/>
      <c r="E96" s="163"/>
      <c r="F96" s="79"/>
      <c r="G96" s="79"/>
      <c r="H96" s="79">
        <f t="shared" si="4"/>
        <v>0</v>
      </c>
      <c r="I96" s="164"/>
      <c r="J96" s="273">
        <f t="shared" si="5"/>
        <v>0</v>
      </c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5">
        <f t="shared" si="6"/>
        <v>0</v>
      </c>
      <c r="AF96" s="165">
        <f t="shared" si="7"/>
        <v>0</v>
      </c>
    </row>
    <row r="97" spans="1:32" ht="20.100000000000001" customHeight="1">
      <c r="A97" s="163">
        <v>78</v>
      </c>
      <c r="B97" s="163" t="s">
        <v>80</v>
      </c>
      <c r="C97" s="163" t="s">
        <v>197</v>
      </c>
      <c r="D97" s="163">
        <v>0.75</v>
      </c>
      <c r="E97" s="163" t="s">
        <v>15</v>
      </c>
      <c r="F97" s="79"/>
      <c r="G97" s="79"/>
      <c r="H97" s="79">
        <f t="shared" si="4"/>
        <v>0</v>
      </c>
      <c r="I97" s="164"/>
      <c r="J97" s="273">
        <f t="shared" si="5"/>
        <v>0</v>
      </c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5">
        <f t="shared" si="6"/>
        <v>0</v>
      </c>
      <c r="AF97" s="165">
        <f t="shared" si="7"/>
        <v>0</v>
      </c>
    </row>
    <row r="98" spans="1:32" ht="20.100000000000001" customHeight="1">
      <c r="A98" s="163">
        <v>79</v>
      </c>
      <c r="B98" s="163" t="s">
        <v>80</v>
      </c>
      <c r="C98" s="163" t="s">
        <v>197</v>
      </c>
      <c r="D98" s="163">
        <v>0.6</v>
      </c>
      <c r="E98" s="163" t="s">
        <v>15</v>
      </c>
      <c r="F98" s="79">
        <v>800</v>
      </c>
      <c r="G98" s="79">
        <v>37</v>
      </c>
      <c r="H98" s="79">
        <f t="shared" si="4"/>
        <v>22.2</v>
      </c>
      <c r="I98" s="164">
        <v>85</v>
      </c>
      <c r="J98" s="273">
        <f t="shared" si="5"/>
        <v>51</v>
      </c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5">
        <f t="shared" si="6"/>
        <v>122</v>
      </c>
      <c r="AF98" s="165">
        <f t="shared" si="7"/>
        <v>73.2</v>
      </c>
    </row>
    <row r="99" spans="1:32" ht="20.100000000000001" customHeight="1">
      <c r="A99" s="163">
        <v>80</v>
      </c>
      <c r="B99" s="163" t="s">
        <v>80</v>
      </c>
      <c r="C99" s="163" t="s">
        <v>14</v>
      </c>
      <c r="D99" s="163">
        <v>0.64</v>
      </c>
      <c r="E99" s="163" t="s">
        <v>24</v>
      </c>
      <c r="F99" s="79">
        <v>800</v>
      </c>
      <c r="G99" s="79">
        <v>10</v>
      </c>
      <c r="H99" s="79">
        <f t="shared" si="4"/>
        <v>6.4</v>
      </c>
      <c r="I99" s="164">
        <v>15</v>
      </c>
      <c r="J99" s="273">
        <f t="shared" si="5"/>
        <v>9.6</v>
      </c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5">
        <f t="shared" si="6"/>
        <v>25</v>
      </c>
      <c r="AF99" s="165">
        <f t="shared" si="7"/>
        <v>16</v>
      </c>
    </row>
    <row r="100" spans="1:32" ht="20.100000000000001" customHeight="1">
      <c r="A100" s="163"/>
      <c r="B100" s="163"/>
      <c r="C100" s="163"/>
      <c r="D100" s="163"/>
      <c r="E100" s="163"/>
      <c r="F100" s="79"/>
      <c r="G100" s="79"/>
      <c r="H100" s="79">
        <f t="shared" si="4"/>
        <v>0</v>
      </c>
      <c r="I100" s="164"/>
      <c r="J100" s="273">
        <f t="shared" si="5"/>
        <v>0</v>
      </c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5">
        <f t="shared" si="6"/>
        <v>0</v>
      </c>
      <c r="AF100" s="165">
        <f t="shared" si="7"/>
        <v>0</v>
      </c>
    </row>
    <row r="101" spans="1:32" ht="20.100000000000001" customHeight="1">
      <c r="A101" s="163">
        <v>81</v>
      </c>
      <c r="B101" s="163" t="s">
        <v>81</v>
      </c>
      <c r="C101" s="163" t="s">
        <v>14</v>
      </c>
      <c r="D101" s="163">
        <v>0.64</v>
      </c>
      <c r="E101" s="163" t="s">
        <v>224</v>
      </c>
      <c r="F101" s="79"/>
      <c r="G101" s="79"/>
      <c r="H101" s="79">
        <f t="shared" si="4"/>
        <v>0</v>
      </c>
      <c r="I101" s="164"/>
      <c r="J101" s="273">
        <f t="shared" si="5"/>
        <v>0</v>
      </c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5">
        <f t="shared" si="6"/>
        <v>0</v>
      </c>
      <c r="AF101" s="165">
        <f t="shared" si="7"/>
        <v>0</v>
      </c>
    </row>
    <row r="102" spans="1:32" ht="20.100000000000001" customHeight="1">
      <c r="A102" s="163">
        <v>82</v>
      </c>
      <c r="B102" s="163" t="s">
        <v>83</v>
      </c>
      <c r="C102" s="163" t="s">
        <v>197</v>
      </c>
      <c r="D102" s="163">
        <v>1</v>
      </c>
      <c r="E102" s="163" t="s">
        <v>223</v>
      </c>
      <c r="F102" s="79"/>
      <c r="G102" s="79"/>
      <c r="H102" s="79">
        <f t="shared" si="4"/>
        <v>0</v>
      </c>
      <c r="I102" s="164"/>
      <c r="J102" s="273">
        <f t="shared" si="5"/>
        <v>0</v>
      </c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5">
        <f t="shared" si="6"/>
        <v>0</v>
      </c>
      <c r="AF102" s="165">
        <f t="shared" si="7"/>
        <v>0</v>
      </c>
    </row>
    <row r="103" spans="1:32" ht="20.100000000000001" customHeight="1">
      <c r="A103" s="163">
        <v>83</v>
      </c>
      <c r="B103" s="163" t="s">
        <v>83</v>
      </c>
      <c r="C103" s="163" t="s">
        <v>197</v>
      </c>
      <c r="D103" s="163">
        <v>0.6</v>
      </c>
      <c r="E103" s="163" t="s">
        <v>223</v>
      </c>
      <c r="F103" s="79"/>
      <c r="G103" s="79"/>
      <c r="H103" s="79">
        <f t="shared" si="4"/>
        <v>0</v>
      </c>
      <c r="I103" s="164"/>
      <c r="J103" s="273">
        <f t="shared" si="5"/>
        <v>0</v>
      </c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5">
        <f t="shared" si="6"/>
        <v>0</v>
      </c>
      <c r="AF103" s="165">
        <f t="shared" si="7"/>
        <v>0</v>
      </c>
    </row>
    <row r="104" spans="1:32" ht="20.100000000000001" customHeight="1">
      <c r="A104" s="163"/>
      <c r="B104" s="163"/>
      <c r="C104" s="163"/>
      <c r="D104" s="163"/>
      <c r="E104" s="163"/>
      <c r="F104" s="79"/>
      <c r="G104" s="79"/>
      <c r="H104" s="79">
        <f t="shared" si="4"/>
        <v>0</v>
      </c>
      <c r="I104" s="164"/>
      <c r="J104" s="273">
        <f t="shared" si="5"/>
        <v>0</v>
      </c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5">
        <f t="shared" si="6"/>
        <v>0</v>
      </c>
      <c r="AF104" s="165">
        <f t="shared" si="7"/>
        <v>0</v>
      </c>
    </row>
    <row r="105" spans="1:32" ht="20.100000000000001" customHeight="1">
      <c r="A105" s="163">
        <v>84</v>
      </c>
      <c r="B105" s="163" t="s">
        <v>84</v>
      </c>
      <c r="C105" s="163" t="s">
        <v>197</v>
      </c>
      <c r="D105" s="163">
        <v>1</v>
      </c>
      <c r="E105" s="163" t="s">
        <v>223</v>
      </c>
      <c r="F105" s="79"/>
      <c r="G105" s="79"/>
      <c r="H105" s="79">
        <f t="shared" si="4"/>
        <v>0</v>
      </c>
      <c r="I105" s="164"/>
      <c r="J105" s="273">
        <f t="shared" si="5"/>
        <v>0</v>
      </c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5">
        <f t="shared" si="6"/>
        <v>0</v>
      </c>
      <c r="AF105" s="165">
        <f t="shared" si="7"/>
        <v>0</v>
      </c>
    </row>
    <row r="106" spans="1:32" ht="20.100000000000001" customHeight="1">
      <c r="A106" s="163">
        <v>85</v>
      </c>
      <c r="B106" s="163" t="s">
        <v>84</v>
      </c>
      <c r="C106" s="163" t="s">
        <v>14</v>
      </c>
      <c r="D106" s="163">
        <v>0.64</v>
      </c>
      <c r="E106" s="163" t="s">
        <v>222</v>
      </c>
      <c r="F106" s="79"/>
      <c r="G106" s="79"/>
      <c r="H106" s="79">
        <f t="shared" si="4"/>
        <v>0</v>
      </c>
      <c r="I106" s="164"/>
      <c r="J106" s="273">
        <f t="shared" si="5"/>
        <v>0</v>
      </c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5">
        <f t="shared" si="6"/>
        <v>0</v>
      </c>
      <c r="AF106" s="165">
        <f t="shared" si="7"/>
        <v>0</v>
      </c>
    </row>
    <row r="107" spans="1:32" ht="20.100000000000001" customHeight="1">
      <c r="A107" s="163">
        <v>86</v>
      </c>
      <c r="B107" s="163" t="s">
        <v>84</v>
      </c>
      <c r="C107" s="163" t="s">
        <v>197</v>
      </c>
      <c r="D107" s="163">
        <v>0.64</v>
      </c>
      <c r="E107" s="163" t="s">
        <v>223</v>
      </c>
      <c r="F107" s="79"/>
      <c r="G107" s="79"/>
      <c r="H107" s="79">
        <f t="shared" si="4"/>
        <v>0</v>
      </c>
      <c r="I107" s="164"/>
      <c r="J107" s="273">
        <f t="shared" si="5"/>
        <v>0</v>
      </c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5">
        <f t="shared" si="6"/>
        <v>0</v>
      </c>
      <c r="AF107" s="165">
        <f t="shared" si="7"/>
        <v>0</v>
      </c>
    </row>
    <row r="108" spans="1:32" ht="20.100000000000001" customHeight="1">
      <c r="A108" s="163"/>
      <c r="B108" s="163"/>
      <c r="C108" s="163"/>
      <c r="D108" s="163"/>
      <c r="E108" s="163"/>
      <c r="F108" s="79"/>
      <c r="G108" s="79"/>
      <c r="H108" s="79">
        <f t="shared" si="4"/>
        <v>0</v>
      </c>
      <c r="I108" s="164"/>
      <c r="J108" s="273">
        <f t="shared" si="5"/>
        <v>0</v>
      </c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5">
        <f t="shared" si="6"/>
        <v>0</v>
      </c>
      <c r="AF108" s="165">
        <f t="shared" si="7"/>
        <v>0</v>
      </c>
    </row>
    <row r="109" spans="1:32" ht="20.100000000000001" customHeight="1">
      <c r="A109" s="163">
        <v>87</v>
      </c>
      <c r="B109" s="163" t="s">
        <v>85</v>
      </c>
      <c r="C109" s="163" t="s">
        <v>197</v>
      </c>
      <c r="D109" s="163">
        <v>0.6</v>
      </c>
      <c r="E109" s="163" t="s">
        <v>223</v>
      </c>
      <c r="F109" s="79"/>
      <c r="G109" s="79"/>
      <c r="H109" s="79">
        <f t="shared" si="4"/>
        <v>0</v>
      </c>
      <c r="I109" s="164"/>
      <c r="J109" s="273">
        <f t="shared" si="5"/>
        <v>0</v>
      </c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5">
        <f t="shared" si="6"/>
        <v>0</v>
      </c>
      <c r="AF109" s="165">
        <f t="shared" si="7"/>
        <v>0</v>
      </c>
    </row>
    <row r="110" spans="1:32" ht="20.100000000000001" customHeight="1">
      <c r="A110" s="163">
        <v>88</v>
      </c>
      <c r="B110" s="163" t="s">
        <v>85</v>
      </c>
      <c r="C110" s="163" t="s">
        <v>197</v>
      </c>
      <c r="D110" s="163">
        <v>1</v>
      </c>
      <c r="E110" s="163" t="s">
        <v>225</v>
      </c>
      <c r="F110" s="79"/>
      <c r="G110" s="79"/>
      <c r="H110" s="79">
        <f t="shared" si="4"/>
        <v>0</v>
      </c>
      <c r="I110" s="164"/>
      <c r="J110" s="273">
        <f t="shared" si="5"/>
        <v>0</v>
      </c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5">
        <f t="shared" si="6"/>
        <v>0</v>
      </c>
      <c r="AF110" s="165">
        <f t="shared" si="7"/>
        <v>0</v>
      </c>
    </row>
    <row r="111" spans="1:32" ht="20.100000000000001" customHeight="1">
      <c r="A111" s="163">
        <v>89</v>
      </c>
      <c r="B111" s="163" t="s">
        <v>85</v>
      </c>
      <c r="C111" s="163" t="s">
        <v>14</v>
      </c>
      <c r="D111" s="163">
        <v>0.64</v>
      </c>
      <c r="E111" s="163" t="s">
        <v>222</v>
      </c>
      <c r="F111" s="79"/>
      <c r="G111" s="79"/>
      <c r="H111" s="79">
        <f t="shared" si="4"/>
        <v>0</v>
      </c>
      <c r="I111" s="164"/>
      <c r="J111" s="273">
        <f t="shared" si="5"/>
        <v>0</v>
      </c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5">
        <f t="shared" si="6"/>
        <v>0</v>
      </c>
      <c r="AF111" s="165">
        <f t="shared" si="7"/>
        <v>0</v>
      </c>
    </row>
    <row r="112" spans="1:32" ht="20.100000000000001" customHeight="1">
      <c r="A112" s="163"/>
      <c r="B112" s="163"/>
      <c r="C112" s="163"/>
      <c r="D112" s="163"/>
      <c r="E112" s="163"/>
      <c r="F112" s="79"/>
      <c r="G112" s="79"/>
      <c r="H112" s="79">
        <f t="shared" si="4"/>
        <v>0</v>
      </c>
      <c r="I112" s="164"/>
      <c r="J112" s="273">
        <f t="shared" si="5"/>
        <v>0</v>
      </c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5">
        <f t="shared" si="6"/>
        <v>0</v>
      </c>
      <c r="AF112" s="165">
        <f t="shared" si="7"/>
        <v>0</v>
      </c>
    </row>
    <row r="113" spans="1:32" ht="20.100000000000001" customHeight="1">
      <c r="A113" s="163">
        <v>90</v>
      </c>
      <c r="B113" s="163" t="s">
        <v>86</v>
      </c>
      <c r="C113" s="163" t="s">
        <v>14</v>
      </c>
      <c r="D113" s="163">
        <v>0.7</v>
      </c>
      <c r="E113" s="163" t="s">
        <v>15</v>
      </c>
      <c r="F113" s="79">
        <v>3600</v>
      </c>
      <c r="G113" s="79"/>
      <c r="H113" s="79">
        <f t="shared" si="4"/>
        <v>0</v>
      </c>
      <c r="I113" s="164"/>
      <c r="J113" s="273">
        <f t="shared" si="5"/>
        <v>0</v>
      </c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5">
        <f t="shared" si="6"/>
        <v>0</v>
      </c>
      <c r="AF113" s="165">
        <f t="shared" si="7"/>
        <v>0</v>
      </c>
    </row>
    <row r="114" spans="1:32" ht="20.100000000000001" customHeight="1">
      <c r="A114" s="163">
        <v>91</v>
      </c>
      <c r="B114" s="163" t="s">
        <v>87</v>
      </c>
      <c r="C114" s="163" t="s">
        <v>14</v>
      </c>
      <c r="D114" s="163">
        <v>0.35</v>
      </c>
      <c r="E114" s="163" t="s">
        <v>24</v>
      </c>
      <c r="F114" s="79">
        <v>2100</v>
      </c>
      <c r="G114" s="79"/>
      <c r="H114" s="79">
        <f t="shared" si="4"/>
        <v>0</v>
      </c>
      <c r="I114" s="164"/>
      <c r="J114" s="273">
        <f t="shared" si="5"/>
        <v>0</v>
      </c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5">
        <f t="shared" si="6"/>
        <v>0</v>
      </c>
      <c r="AF114" s="165">
        <f t="shared" si="7"/>
        <v>0</v>
      </c>
    </row>
    <row r="115" spans="1:32" ht="20.100000000000001" customHeight="1">
      <c r="A115" s="163"/>
      <c r="B115" s="163"/>
      <c r="C115" s="163"/>
      <c r="D115" s="163"/>
      <c r="E115" s="163"/>
      <c r="F115" s="79"/>
      <c r="G115" s="79"/>
      <c r="H115" s="79">
        <f t="shared" si="4"/>
        <v>0</v>
      </c>
      <c r="I115" s="164"/>
      <c r="J115" s="273">
        <f t="shared" si="5"/>
        <v>0</v>
      </c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5">
        <f t="shared" si="6"/>
        <v>0</v>
      </c>
      <c r="AF115" s="165">
        <f t="shared" si="7"/>
        <v>0</v>
      </c>
    </row>
    <row r="116" spans="1:32" ht="20.100000000000001" customHeight="1">
      <c r="A116" s="163">
        <v>92</v>
      </c>
      <c r="B116" s="163" t="s">
        <v>198</v>
      </c>
      <c r="C116" s="163" t="s">
        <v>197</v>
      </c>
      <c r="D116" s="163">
        <v>0.75</v>
      </c>
      <c r="E116" s="163" t="s">
        <v>15</v>
      </c>
      <c r="F116" s="79"/>
      <c r="G116" s="79"/>
      <c r="H116" s="79">
        <f t="shared" si="4"/>
        <v>0</v>
      </c>
      <c r="I116" s="164"/>
      <c r="J116" s="273">
        <f t="shared" si="5"/>
        <v>0</v>
      </c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5">
        <f t="shared" si="6"/>
        <v>0</v>
      </c>
      <c r="AF116" s="165">
        <f t="shared" si="7"/>
        <v>0</v>
      </c>
    </row>
    <row r="117" spans="1:32" ht="20.100000000000001" customHeight="1">
      <c r="A117" s="163">
        <v>93</v>
      </c>
      <c r="B117" s="163" t="s">
        <v>198</v>
      </c>
      <c r="C117" s="163" t="s">
        <v>197</v>
      </c>
      <c r="D117" s="163">
        <v>0.6</v>
      </c>
      <c r="E117" s="163" t="s">
        <v>15</v>
      </c>
      <c r="F117" s="79">
        <v>800</v>
      </c>
      <c r="G117" s="79">
        <v>108</v>
      </c>
      <c r="H117" s="79">
        <f t="shared" si="4"/>
        <v>64.8</v>
      </c>
      <c r="I117" s="164">
        <v>109</v>
      </c>
      <c r="J117" s="273">
        <f t="shared" si="5"/>
        <v>65.399999999999991</v>
      </c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5">
        <f t="shared" si="6"/>
        <v>217</v>
      </c>
      <c r="AF117" s="165">
        <f t="shared" si="7"/>
        <v>130.19999999999999</v>
      </c>
    </row>
    <row r="118" spans="1:32" ht="20.100000000000001" customHeight="1">
      <c r="A118" s="163">
        <v>94</v>
      </c>
      <c r="B118" s="163" t="s">
        <v>198</v>
      </c>
      <c r="C118" s="163" t="s">
        <v>14</v>
      </c>
      <c r="D118" s="163">
        <v>0.64</v>
      </c>
      <c r="E118" s="163" t="s">
        <v>25</v>
      </c>
      <c r="F118" s="79">
        <v>830</v>
      </c>
      <c r="G118" s="79">
        <v>19</v>
      </c>
      <c r="H118" s="79">
        <f t="shared" si="4"/>
        <v>12.16</v>
      </c>
      <c r="I118" s="164">
        <v>6</v>
      </c>
      <c r="J118" s="273">
        <f t="shared" si="5"/>
        <v>3.84</v>
      </c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5">
        <f t="shared" si="6"/>
        <v>25</v>
      </c>
      <c r="AF118" s="165">
        <f t="shared" si="7"/>
        <v>16</v>
      </c>
    </row>
    <row r="119" spans="1:32" ht="20.100000000000001" customHeight="1">
      <c r="A119" s="163"/>
      <c r="B119" s="163"/>
      <c r="C119" s="163"/>
      <c r="D119" s="163"/>
      <c r="E119" s="163"/>
      <c r="F119" s="79"/>
      <c r="G119" s="79"/>
      <c r="H119" s="79">
        <f t="shared" si="4"/>
        <v>0</v>
      </c>
      <c r="I119" s="164"/>
      <c r="J119" s="273">
        <f t="shared" si="5"/>
        <v>0</v>
      </c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5">
        <f t="shared" si="6"/>
        <v>0</v>
      </c>
      <c r="AF119" s="165">
        <f t="shared" si="7"/>
        <v>0</v>
      </c>
    </row>
    <row r="120" spans="1:32" ht="20.100000000000001" customHeight="1">
      <c r="A120" s="163">
        <v>95</v>
      </c>
      <c r="B120" s="163" t="s">
        <v>93</v>
      </c>
      <c r="C120" s="163" t="s">
        <v>14</v>
      </c>
      <c r="D120" s="163">
        <v>0.64</v>
      </c>
      <c r="E120" s="163" t="s">
        <v>25</v>
      </c>
      <c r="F120" s="79">
        <v>1330</v>
      </c>
      <c r="G120" s="79">
        <v>2</v>
      </c>
      <c r="H120" s="79">
        <f t="shared" si="4"/>
        <v>1.28</v>
      </c>
      <c r="I120" s="164">
        <v>3</v>
      </c>
      <c r="J120" s="273">
        <f t="shared" si="5"/>
        <v>1.92</v>
      </c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5">
        <f t="shared" si="6"/>
        <v>5</v>
      </c>
      <c r="AF120" s="165">
        <f t="shared" si="7"/>
        <v>3.2</v>
      </c>
    </row>
    <row r="121" spans="1:32" ht="20.100000000000001" customHeight="1">
      <c r="A121" s="163">
        <v>96</v>
      </c>
      <c r="B121" s="163" t="s">
        <v>93</v>
      </c>
      <c r="C121" s="163" t="s">
        <v>197</v>
      </c>
      <c r="D121" s="163">
        <v>1</v>
      </c>
      <c r="E121" s="163"/>
      <c r="F121" s="79"/>
      <c r="G121" s="79"/>
      <c r="H121" s="79">
        <f t="shared" si="4"/>
        <v>0</v>
      </c>
      <c r="I121" s="164"/>
      <c r="J121" s="273">
        <f t="shared" si="5"/>
        <v>0</v>
      </c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5">
        <f t="shared" si="6"/>
        <v>0</v>
      </c>
      <c r="AF121" s="165">
        <f t="shared" si="7"/>
        <v>0</v>
      </c>
    </row>
    <row r="122" spans="1:32" ht="20.100000000000001" customHeight="1">
      <c r="A122" s="163"/>
      <c r="B122" s="163"/>
      <c r="C122" s="163"/>
      <c r="D122" s="163"/>
      <c r="E122" s="163"/>
      <c r="F122" s="79"/>
      <c r="G122" s="79"/>
      <c r="H122" s="79">
        <f t="shared" si="4"/>
        <v>0</v>
      </c>
      <c r="I122" s="164"/>
      <c r="J122" s="273">
        <f t="shared" si="5"/>
        <v>0</v>
      </c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5">
        <f t="shared" si="6"/>
        <v>0</v>
      </c>
      <c r="AF122" s="165">
        <f t="shared" si="7"/>
        <v>0</v>
      </c>
    </row>
    <row r="123" spans="1:32" ht="20.100000000000001" customHeight="1">
      <c r="A123" s="163">
        <v>97</v>
      </c>
      <c r="B123" s="163" t="s">
        <v>226</v>
      </c>
      <c r="C123" s="163" t="s">
        <v>197</v>
      </c>
      <c r="D123" s="163"/>
      <c r="E123" s="163" t="s">
        <v>215</v>
      </c>
      <c r="F123" s="79"/>
      <c r="G123" s="79"/>
      <c r="H123" s="79">
        <f t="shared" si="4"/>
        <v>0</v>
      </c>
      <c r="I123" s="164"/>
      <c r="J123" s="273">
        <f t="shared" si="5"/>
        <v>0</v>
      </c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5">
        <f t="shared" si="6"/>
        <v>0</v>
      </c>
      <c r="AF123" s="165">
        <f t="shared" si="7"/>
        <v>0</v>
      </c>
    </row>
    <row r="124" spans="1:32" ht="20.100000000000001" customHeight="1">
      <c r="A124" s="163">
        <v>98</v>
      </c>
      <c r="B124" s="163" t="s">
        <v>227</v>
      </c>
      <c r="C124" s="163" t="s">
        <v>197</v>
      </c>
      <c r="D124" s="163"/>
      <c r="E124" s="163" t="s">
        <v>215</v>
      </c>
      <c r="F124" s="79"/>
      <c r="G124" s="79"/>
      <c r="H124" s="79">
        <f t="shared" si="4"/>
        <v>0</v>
      </c>
      <c r="I124" s="164"/>
      <c r="J124" s="273">
        <f t="shared" si="5"/>
        <v>0</v>
      </c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5">
        <f t="shared" si="6"/>
        <v>0</v>
      </c>
      <c r="AF124" s="165">
        <f t="shared" si="7"/>
        <v>0</v>
      </c>
    </row>
    <row r="125" spans="1:32" ht="20.100000000000001" customHeight="1">
      <c r="A125" s="163">
        <v>99</v>
      </c>
      <c r="B125" s="63" t="s">
        <v>238</v>
      </c>
      <c r="C125" s="163"/>
      <c r="D125" s="163"/>
      <c r="E125" s="163"/>
      <c r="F125" s="79"/>
      <c r="G125" s="79"/>
      <c r="H125" s="79"/>
      <c r="I125" s="164"/>
      <c r="J125" s="273">
        <f t="shared" si="5"/>
        <v>0</v>
      </c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5"/>
      <c r="AF125" s="165"/>
    </row>
    <row r="126" spans="1:32" ht="20.100000000000001" customHeight="1">
      <c r="A126" s="163">
        <v>100</v>
      </c>
      <c r="B126" s="63" t="s">
        <v>239</v>
      </c>
      <c r="C126" s="163"/>
      <c r="D126" s="163"/>
      <c r="E126" s="163"/>
      <c r="F126" s="79"/>
      <c r="G126" s="79"/>
      <c r="H126" s="79"/>
      <c r="I126" s="164"/>
      <c r="J126" s="273">
        <f t="shared" si="5"/>
        <v>0</v>
      </c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5"/>
      <c r="AF126" s="165"/>
    </row>
    <row r="127" spans="1:32" ht="20.100000000000001" customHeight="1">
      <c r="A127" s="163">
        <v>101</v>
      </c>
      <c r="B127" s="163" t="s">
        <v>228</v>
      </c>
      <c r="C127" s="163" t="s">
        <v>197</v>
      </c>
      <c r="D127" s="163">
        <v>1</v>
      </c>
      <c r="E127" s="163" t="s">
        <v>38</v>
      </c>
      <c r="F127" s="79">
        <v>1600</v>
      </c>
      <c r="G127" s="79">
        <v>51</v>
      </c>
      <c r="H127" s="79">
        <f t="shared" si="4"/>
        <v>51</v>
      </c>
      <c r="I127" s="164">
        <v>12</v>
      </c>
      <c r="J127" s="273">
        <f t="shared" si="5"/>
        <v>12</v>
      </c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5">
        <f t="shared" si="6"/>
        <v>63</v>
      </c>
      <c r="AF127" s="165">
        <f t="shared" si="7"/>
        <v>63</v>
      </c>
    </row>
    <row r="128" spans="1:32" ht="20.100000000000001" customHeight="1">
      <c r="A128" s="163">
        <v>102</v>
      </c>
      <c r="B128" s="163" t="s">
        <v>228</v>
      </c>
      <c r="C128" s="163" t="s">
        <v>14</v>
      </c>
      <c r="D128" s="163">
        <v>0.68</v>
      </c>
      <c r="E128" s="163" t="s">
        <v>38</v>
      </c>
      <c r="F128" s="79"/>
      <c r="G128" s="79"/>
      <c r="H128" s="79">
        <f t="shared" si="4"/>
        <v>0</v>
      </c>
      <c r="I128" s="164"/>
      <c r="J128" s="273">
        <f t="shared" si="5"/>
        <v>0</v>
      </c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5">
        <f t="shared" si="6"/>
        <v>0</v>
      </c>
      <c r="AF128" s="165">
        <f t="shared" si="7"/>
        <v>0</v>
      </c>
    </row>
    <row r="129" spans="1:32" ht="20.100000000000001" customHeight="1">
      <c r="A129" s="163">
        <v>103</v>
      </c>
      <c r="B129" s="163" t="s">
        <v>228</v>
      </c>
      <c r="C129" s="163" t="s">
        <v>14</v>
      </c>
      <c r="D129" s="163">
        <v>0.64</v>
      </c>
      <c r="E129" s="163" t="s">
        <v>229</v>
      </c>
      <c r="F129" s="79">
        <v>1500</v>
      </c>
      <c r="G129" s="79"/>
      <c r="H129" s="79">
        <f t="shared" si="4"/>
        <v>0</v>
      </c>
      <c r="I129" s="164"/>
      <c r="J129" s="273">
        <f t="shared" si="5"/>
        <v>0</v>
      </c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5">
        <f t="shared" si="6"/>
        <v>0</v>
      </c>
      <c r="AF129" s="165">
        <f t="shared" si="7"/>
        <v>0</v>
      </c>
    </row>
    <row r="130" spans="1:32" ht="20.100000000000001" customHeight="1">
      <c r="A130" s="163">
        <v>104</v>
      </c>
      <c r="B130" s="163" t="s">
        <v>89</v>
      </c>
      <c r="C130" s="163" t="s">
        <v>17</v>
      </c>
      <c r="D130" s="163">
        <v>1</v>
      </c>
      <c r="E130" s="163" t="s">
        <v>90</v>
      </c>
      <c r="F130" s="79"/>
      <c r="G130" s="79"/>
      <c r="H130" s="79">
        <f t="shared" si="4"/>
        <v>0</v>
      </c>
      <c r="I130" s="164"/>
      <c r="J130" s="273">
        <f t="shared" si="5"/>
        <v>0</v>
      </c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5">
        <f t="shared" si="6"/>
        <v>0</v>
      </c>
      <c r="AF130" s="165">
        <f t="shared" si="7"/>
        <v>0</v>
      </c>
    </row>
    <row r="131" spans="1:32" ht="20.100000000000001" customHeight="1">
      <c r="A131" s="163">
        <v>105</v>
      </c>
      <c r="B131" s="163" t="s">
        <v>91</v>
      </c>
      <c r="C131" s="163" t="s">
        <v>17</v>
      </c>
      <c r="D131" s="163">
        <v>1</v>
      </c>
      <c r="E131" s="163" t="s">
        <v>24</v>
      </c>
      <c r="F131" s="79"/>
      <c r="G131" s="79"/>
      <c r="H131" s="79">
        <f t="shared" si="4"/>
        <v>0</v>
      </c>
      <c r="I131" s="164"/>
      <c r="J131" s="273">
        <f t="shared" si="5"/>
        <v>0</v>
      </c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5">
        <f t="shared" si="6"/>
        <v>0</v>
      </c>
      <c r="AF131" s="165">
        <f t="shared" si="7"/>
        <v>0</v>
      </c>
    </row>
    <row r="132" spans="1:32" ht="20.100000000000001" customHeight="1">
      <c r="A132" s="163">
        <v>106</v>
      </c>
      <c r="B132" s="163" t="s">
        <v>92</v>
      </c>
      <c r="C132" s="163" t="s">
        <v>14</v>
      </c>
      <c r="D132" s="163">
        <v>0.64</v>
      </c>
      <c r="E132" s="163" t="s">
        <v>24</v>
      </c>
      <c r="F132" s="79">
        <v>1330</v>
      </c>
      <c r="G132" s="79">
        <v>459</v>
      </c>
      <c r="H132" s="79">
        <f t="shared" si="4"/>
        <v>293.76</v>
      </c>
      <c r="I132" s="164">
        <v>444</v>
      </c>
      <c r="J132" s="273">
        <f t="shared" si="5"/>
        <v>284.16000000000003</v>
      </c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5">
        <f t="shared" si="6"/>
        <v>903</v>
      </c>
      <c r="AF132" s="165">
        <f t="shared" si="7"/>
        <v>577.92000000000007</v>
      </c>
    </row>
    <row r="133" spans="1:32" ht="20.100000000000001" customHeight="1">
      <c r="A133" s="163">
        <v>107</v>
      </c>
      <c r="B133" s="163" t="s">
        <v>94</v>
      </c>
      <c r="C133" s="163" t="s">
        <v>14</v>
      </c>
      <c r="D133" s="163">
        <v>0.64</v>
      </c>
      <c r="E133" s="163" t="s">
        <v>24</v>
      </c>
      <c r="F133" s="79">
        <v>1330</v>
      </c>
      <c r="G133" s="79"/>
      <c r="H133" s="79">
        <f t="shared" si="4"/>
        <v>0</v>
      </c>
      <c r="I133" s="164"/>
      <c r="J133" s="273">
        <f t="shared" ref="J133:J145" si="8">I133*D133</f>
        <v>0</v>
      </c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5">
        <f t="shared" si="6"/>
        <v>0</v>
      </c>
      <c r="AF133" s="165">
        <f t="shared" si="7"/>
        <v>0</v>
      </c>
    </row>
    <row r="134" spans="1:32" ht="20.100000000000001" customHeight="1">
      <c r="A134" s="163">
        <v>108</v>
      </c>
      <c r="B134" s="163" t="s">
        <v>95</v>
      </c>
      <c r="C134" s="163" t="s">
        <v>14</v>
      </c>
      <c r="D134" s="163">
        <v>0.64</v>
      </c>
      <c r="E134" s="163" t="s">
        <v>25</v>
      </c>
      <c r="F134" s="79">
        <v>1330</v>
      </c>
      <c r="G134" s="79"/>
      <c r="H134" s="79">
        <f t="shared" si="4"/>
        <v>0</v>
      </c>
      <c r="I134" s="164">
        <v>1</v>
      </c>
      <c r="J134" s="273">
        <f>I134*D134</f>
        <v>0.64</v>
      </c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5">
        <f t="shared" si="6"/>
        <v>1</v>
      </c>
      <c r="AF134" s="165">
        <f t="shared" si="7"/>
        <v>0.64</v>
      </c>
    </row>
    <row r="135" spans="1:32" ht="20.100000000000001" customHeight="1">
      <c r="A135" s="163">
        <v>109</v>
      </c>
      <c r="B135" s="163" t="s">
        <v>96</v>
      </c>
      <c r="C135" s="163" t="s">
        <v>14</v>
      </c>
      <c r="D135" s="163">
        <v>0.64</v>
      </c>
      <c r="E135" s="163" t="s">
        <v>25</v>
      </c>
      <c r="F135" s="79"/>
      <c r="G135" s="79"/>
      <c r="H135" s="79">
        <f t="shared" ref="H135:H145" si="9">G135*D135</f>
        <v>0</v>
      </c>
      <c r="I135" s="164"/>
      <c r="J135" s="273">
        <f t="shared" si="8"/>
        <v>0</v>
      </c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5">
        <f t="shared" ref="AE135:AE147" si="10">SUM(G135,I135,K135,M135,O135,Q135,S135,U135,W135,Y135,AA135,AC135)</f>
        <v>0</v>
      </c>
      <c r="AF135" s="165">
        <f t="shared" ref="AF135:AF147" si="11">SUM(H135,J135,L135,N135,P135,R135,T135,V135,X135,Z135,AB135,AD135)</f>
        <v>0</v>
      </c>
    </row>
    <row r="136" spans="1:32" ht="20.100000000000001" customHeight="1">
      <c r="A136" s="163">
        <v>110</v>
      </c>
      <c r="B136" s="163" t="s">
        <v>97</v>
      </c>
      <c r="C136" s="163" t="s">
        <v>14</v>
      </c>
      <c r="D136" s="163">
        <v>0.64</v>
      </c>
      <c r="E136" s="163" t="s">
        <v>25</v>
      </c>
      <c r="F136" s="79"/>
      <c r="G136" s="79"/>
      <c r="H136" s="79">
        <f t="shared" si="9"/>
        <v>0</v>
      </c>
      <c r="I136" s="164"/>
      <c r="J136" s="273">
        <f t="shared" si="8"/>
        <v>0</v>
      </c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5">
        <f t="shared" si="10"/>
        <v>0</v>
      </c>
      <c r="AF136" s="165">
        <f t="shared" si="11"/>
        <v>0</v>
      </c>
    </row>
    <row r="137" spans="1:32" ht="20.100000000000001" customHeight="1">
      <c r="A137" s="163">
        <v>111</v>
      </c>
      <c r="B137" s="163" t="s">
        <v>98</v>
      </c>
      <c r="C137" s="163" t="s">
        <v>14</v>
      </c>
      <c r="D137" s="163">
        <v>0.64</v>
      </c>
      <c r="E137" s="163" t="s">
        <v>24</v>
      </c>
      <c r="F137" s="79"/>
      <c r="G137" s="79"/>
      <c r="H137" s="79">
        <f t="shared" si="9"/>
        <v>0</v>
      </c>
      <c r="I137" s="164"/>
      <c r="J137" s="273">
        <f t="shared" si="8"/>
        <v>0</v>
      </c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5">
        <f t="shared" si="10"/>
        <v>0</v>
      </c>
      <c r="AF137" s="165">
        <f t="shared" si="11"/>
        <v>0</v>
      </c>
    </row>
    <row r="138" spans="1:32" ht="20.100000000000001" customHeight="1">
      <c r="A138" s="163">
        <v>112</v>
      </c>
      <c r="B138" s="163" t="s">
        <v>99</v>
      </c>
      <c r="C138" s="163"/>
      <c r="D138" s="163">
        <v>0.64</v>
      </c>
      <c r="E138" s="163"/>
      <c r="F138" s="79"/>
      <c r="G138" s="79"/>
      <c r="H138" s="79">
        <f t="shared" si="9"/>
        <v>0</v>
      </c>
      <c r="I138" s="164"/>
      <c r="J138" s="273">
        <f t="shared" si="8"/>
        <v>0</v>
      </c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5">
        <f t="shared" si="10"/>
        <v>0</v>
      </c>
      <c r="AF138" s="165">
        <f t="shared" si="11"/>
        <v>0</v>
      </c>
    </row>
    <row r="139" spans="1:32" ht="20.100000000000001" customHeight="1">
      <c r="A139" s="163">
        <v>113</v>
      </c>
      <c r="B139" s="163" t="s">
        <v>100</v>
      </c>
      <c r="C139" s="163"/>
      <c r="D139" s="163">
        <v>0.64</v>
      </c>
      <c r="E139" s="163" t="s">
        <v>101</v>
      </c>
      <c r="F139" s="79"/>
      <c r="G139" s="79"/>
      <c r="H139" s="79">
        <f t="shared" si="9"/>
        <v>0</v>
      </c>
      <c r="I139" s="164"/>
      <c r="J139" s="273">
        <f t="shared" si="8"/>
        <v>0</v>
      </c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5">
        <f t="shared" si="10"/>
        <v>0</v>
      </c>
      <c r="AF139" s="165">
        <f t="shared" si="11"/>
        <v>0</v>
      </c>
    </row>
    <row r="140" spans="1:32" ht="20.100000000000001" customHeight="1">
      <c r="A140" s="163">
        <v>114</v>
      </c>
      <c r="B140" s="163" t="s">
        <v>236</v>
      </c>
      <c r="C140" s="163"/>
      <c r="D140" s="163"/>
      <c r="E140" s="163"/>
      <c r="F140" s="79"/>
      <c r="G140" s="79"/>
      <c r="H140" s="79"/>
      <c r="I140" s="164"/>
      <c r="J140" s="273">
        <f t="shared" si="8"/>
        <v>0</v>
      </c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5"/>
      <c r="AF140" s="165"/>
    </row>
    <row r="141" spans="1:32" ht="20.100000000000001" customHeight="1">
      <c r="A141" s="163">
        <v>115</v>
      </c>
      <c r="B141" s="163" t="s">
        <v>237</v>
      </c>
      <c r="C141" s="163"/>
      <c r="D141" s="163"/>
      <c r="E141" s="163"/>
      <c r="F141" s="79"/>
      <c r="G141" s="79"/>
      <c r="H141" s="79">
        <f t="shared" si="9"/>
        <v>0</v>
      </c>
      <c r="I141" s="164"/>
      <c r="J141" s="273">
        <f t="shared" si="8"/>
        <v>0</v>
      </c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5">
        <f t="shared" si="10"/>
        <v>0</v>
      </c>
      <c r="AF141" s="165">
        <f t="shared" si="11"/>
        <v>0</v>
      </c>
    </row>
    <row r="142" spans="1:32" ht="20.100000000000001" customHeight="1">
      <c r="A142" s="163">
        <v>116</v>
      </c>
      <c r="B142" s="163" t="s">
        <v>92</v>
      </c>
      <c r="C142" s="163" t="s">
        <v>197</v>
      </c>
      <c r="D142" s="163">
        <v>1</v>
      </c>
      <c r="E142" s="163" t="s">
        <v>15</v>
      </c>
      <c r="F142" s="79"/>
      <c r="G142" s="79"/>
      <c r="H142" s="79"/>
      <c r="I142" s="164">
        <v>14</v>
      </c>
      <c r="J142" s="273">
        <f t="shared" si="8"/>
        <v>14</v>
      </c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5">
        <f t="shared" si="10"/>
        <v>14</v>
      </c>
      <c r="AF142" s="165">
        <f t="shared" si="11"/>
        <v>14</v>
      </c>
    </row>
    <row r="143" spans="1:32" ht="20.100000000000001" customHeight="1">
      <c r="A143" s="163">
        <v>117</v>
      </c>
      <c r="B143" s="163" t="s">
        <v>102</v>
      </c>
      <c r="C143" s="163" t="s">
        <v>14</v>
      </c>
      <c r="D143" s="163">
        <v>0.7</v>
      </c>
      <c r="E143" s="163" t="s">
        <v>15</v>
      </c>
      <c r="F143" s="79"/>
      <c r="G143" s="79"/>
      <c r="H143" s="79">
        <f t="shared" si="9"/>
        <v>0</v>
      </c>
      <c r="I143" s="164"/>
      <c r="J143" s="273">
        <f t="shared" si="8"/>
        <v>0</v>
      </c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5">
        <f t="shared" si="10"/>
        <v>0</v>
      </c>
      <c r="AF143" s="165">
        <f t="shared" si="11"/>
        <v>0</v>
      </c>
    </row>
    <row r="144" spans="1:32" ht="20.100000000000001" customHeight="1">
      <c r="A144" s="163">
        <v>118</v>
      </c>
      <c r="B144" s="163" t="s">
        <v>103</v>
      </c>
      <c r="C144" s="163"/>
      <c r="D144" s="163">
        <v>20</v>
      </c>
      <c r="E144" s="163">
        <v>1</v>
      </c>
      <c r="F144" s="79"/>
      <c r="G144" s="79"/>
      <c r="H144" s="79">
        <f t="shared" si="9"/>
        <v>0</v>
      </c>
      <c r="I144" s="164"/>
      <c r="J144" s="273">
        <f t="shared" si="8"/>
        <v>0</v>
      </c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5">
        <f t="shared" si="10"/>
        <v>0</v>
      </c>
      <c r="AF144" s="165">
        <f t="shared" si="11"/>
        <v>0</v>
      </c>
    </row>
    <row r="145" spans="1:32" ht="20.100000000000001" customHeight="1">
      <c r="A145" s="163">
        <v>119</v>
      </c>
      <c r="B145" s="163" t="s">
        <v>230</v>
      </c>
      <c r="C145" s="163"/>
      <c r="D145" s="163"/>
      <c r="E145" s="163"/>
      <c r="F145" s="79"/>
      <c r="G145" s="79"/>
      <c r="H145" s="79">
        <f t="shared" si="9"/>
        <v>0</v>
      </c>
      <c r="I145" s="164"/>
      <c r="J145" s="273">
        <f t="shared" si="8"/>
        <v>0</v>
      </c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5">
        <f t="shared" si="10"/>
        <v>0</v>
      </c>
      <c r="AF145" s="165">
        <f t="shared" si="11"/>
        <v>0</v>
      </c>
    </row>
    <row r="146" spans="1:32" ht="20.100000000000001" customHeight="1">
      <c r="A146" s="163"/>
      <c r="B146" s="163"/>
      <c r="C146" s="163"/>
      <c r="D146" s="163"/>
      <c r="E146" s="163"/>
      <c r="F146" s="79"/>
      <c r="G146" s="79"/>
      <c r="H146" s="79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5">
        <f t="shared" si="10"/>
        <v>0</v>
      </c>
      <c r="AF146" s="165">
        <f t="shared" si="11"/>
        <v>0</v>
      </c>
    </row>
    <row r="147" spans="1:32" ht="20.100000000000001" customHeight="1">
      <c r="A147" s="163"/>
      <c r="B147" s="163"/>
      <c r="C147" s="163"/>
      <c r="D147" s="163"/>
      <c r="E147" s="163"/>
      <c r="F147" s="79"/>
      <c r="G147" s="79"/>
      <c r="H147" s="79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5">
        <f t="shared" si="10"/>
        <v>0</v>
      </c>
      <c r="AF147" s="165">
        <f t="shared" si="11"/>
        <v>0</v>
      </c>
    </row>
    <row r="148" spans="1:32" ht="20.100000000000001" customHeight="1">
      <c r="A148" s="163"/>
      <c r="B148" s="163" t="s">
        <v>104</v>
      </c>
      <c r="C148" s="163"/>
      <c r="D148" s="163"/>
      <c r="E148" s="163"/>
      <c r="F148" s="79"/>
      <c r="G148" s="79">
        <f>SUM(G4:G147)</f>
        <v>847</v>
      </c>
      <c r="H148" s="79">
        <f>SUM(H4:H147)</f>
        <v>600.96</v>
      </c>
      <c r="I148" s="79">
        <f t="shared" ref="I148:J148" si="12">SUM(I4:I147)</f>
        <v>806</v>
      </c>
      <c r="J148" s="79">
        <f t="shared" si="12"/>
        <v>544.19999999999993</v>
      </c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5">
        <f>SUM(AE4:AE147)</f>
        <v>1653</v>
      </c>
      <c r="AF148" s="165">
        <f>SUM(AF4:AF147)</f>
        <v>1145.1600000000001</v>
      </c>
    </row>
    <row r="149" spans="1:32" ht="20.100000000000001" customHeight="1">
      <c r="A149" s="163"/>
      <c r="B149" s="163"/>
      <c r="C149" s="163"/>
      <c r="D149" s="163"/>
      <c r="E149" s="163"/>
      <c r="F149" s="79"/>
      <c r="G149" s="163"/>
      <c r="H149" s="163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</row>
    <row r="150" spans="1:32" ht="20.100000000000001" customHeight="1">
      <c r="A150" s="163">
        <v>120</v>
      </c>
      <c r="B150" s="163" t="s">
        <v>105</v>
      </c>
      <c r="C150" s="163" t="s">
        <v>14</v>
      </c>
      <c r="D150" s="163">
        <v>0.7</v>
      </c>
      <c r="E150" s="163" t="s">
        <v>15</v>
      </c>
      <c r="F150" s="79">
        <v>4500</v>
      </c>
      <c r="G150" s="79"/>
      <c r="H150" s="79">
        <f>G150*D150</f>
        <v>0</v>
      </c>
      <c r="I150" s="164"/>
      <c r="J150" s="273">
        <f>I150*D150</f>
        <v>0</v>
      </c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5">
        <f>SUM(G150,I150,K150,M150,O150,Q150,S150,U150,W150,Y150,AA150,AC150)</f>
        <v>0</v>
      </c>
      <c r="AF150" s="165">
        <f>SUM(H150,J150,L150,N150,P150,R150,T150,V150,X150,Z150,AB150,AD150)</f>
        <v>0</v>
      </c>
    </row>
    <row r="151" spans="1:32" ht="20.100000000000001" customHeight="1">
      <c r="A151" s="163">
        <v>121</v>
      </c>
      <c r="B151" s="163" t="s">
        <v>106</v>
      </c>
      <c r="C151" s="163" t="s">
        <v>14</v>
      </c>
      <c r="D151" s="163">
        <v>0.35</v>
      </c>
      <c r="E151" s="163" t="s">
        <v>24</v>
      </c>
      <c r="F151" s="79">
        <v>2300</v>
      </c>
      <c r="G151" s="79"/>
      <c r="H151" s="79">
        <f t="shared" ref="H151:H164" si="13">G151*D151</f>
        <v>0</v>
      </c>
      <c r="I151" s="164"/>
      <c r="J151" s="273">
        <f t="shared" ref="J151:J164" si="14">I151*D151</f>
        <v>0</v>
      </c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5">
        <f t="shared" ref="AE151:AE165" si="15">SUM(G151,I151,K151,M151,O151,Q151,S151,U151,W151,Y151,AA151,AC151)</f>
        <v>0</v>
      </c>
      <c r="AF151" s="165">
        <f t="shared" ref="AF151:AF164" si="16">SUM(H151,J151,L151,N151,P151,R151,T151,V151,X151,Z151,AB151,AD151)</f>
        <v>0</v>
      </c>
    </row>
    <row r="152" spans="1:32" ht="20.100000000000001" customHeight="1">
      <c r="A152" s="163">
        <v>122</v>
      </c>
      <c r="B152" s="163" t="s">
        <v>107</v>
      </c>
      <c r="C152" s="163" t="s">
        <v>14</v>
      </c>
      <c r="D152" s="163">
        <v>0.17499999999999999</v>
      </c>
      <c r="E152" s="163" t="s">
        <v>108</v>
      </c>
      <c r="F152" s="79">
        <v>1300</v>
      </c>
      <c r="G152" s="79"/>
      <c r="H152" s="79">
        <f t="shared" si="13"/>
        <v>0</v>
      </c>
      <c r="I152" s="164"/>
      <c r="J152" s="273">
        <f t="shared" si="14"/>
        <v>0</v>
      </c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5">
        <f t="shared" si="15"/>
        <v>0</v>
      </c>
      <c r="AF152" s="165">
        <f t="shared" si="16"/>
        <v>0</v>
      </c>
    </row>
    <row r="153" spans="1:32" ht="20.100000000000001" customHeight="1">
      <c r="A153" s="163">
        <v>123</v>
      </c>
      <c r="B153" s="163" t="s">
        <v>109</v>
      </c>
      <c r="C153" s="163" t="s">
        <v>14</v>
      </c>
      <c r="D153" s="163">
        <v>0.7</v>
      </c>
      <c r="E153" s="163" t="s">
        <v>15</v>
      </c>
      <c r="F153" s="79">
        <v>5200</v>
      </c>
      <c r="G153" s="79"/>
      <c r="H153" s="79">
        <f t="shared" si="13"/>
        <v>0</v>
      </c>
      <c r="I153" s="164"/>
      <c r="J153" s="273">
        <f t="shared" si="14"/>
        <v>0</v>
      </c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5">
        <f t="shared" si="15"/>
        <v>0</v>
      </c>
      <c r="AF153" s="165">
        <f t="shared" si="16"/>
        <v>0</v>
      </c>
    </row>
    <row r="154" spans="1:32" ht="20.100000000000001" customHeight="1">
      <c r="A154" s="163">
        <v>124</v>
      </c>
      <c r="B154" s="163" t="s">
        <v>110</v>
      </c>
      <c r="C154" s="163" t="s">
        <v>14</v>
      </c>
      <c r="D154" s="163">
        <v>0.35</v>
      </c>
      <c r="E154" s="163" t="s">
        <v>24</v>
      </c>
      <c r="F154" s="79">
        <v>2600</v>
      </c>
      <c r="G154" s="79"/>
      <c r="H154" s="79">
        <f t="shared" si="13"/>
        <v>0</v>
      </c>
      <c r="I154" s="164"/>
      <c r="J154" s="273">
        <f t="shared" si="14"/>
        <v>0</v>
      </c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5">
        <f t="shared" si="15"/>
        <v>0</v>
      </c>
      <c r="AF154" s="165">
        <f t="shared" si="16"/>
        <v>0</v>
      </c>
    </row>
    <row r="155" spans="1:32" ht="20.100000000000001" customHeight="1">
      <c r="A155" s="163">
        <v>125</v>
      </c>
      <c r="B155" s="163" t="s">
        <v>111</v>
      </c>
      <c r="C155" s="163" t="s">
        <v>14</v>
      </c>
      <c r="D155" s="163">
        <v>0.17499999999999999</v>
      </c>
      <c r="E155" s="163" t="s">
        <v>108</v>
      </c>
      <c r="F155" s="79">
        <v>1450</v>
      </c>
      <c r="G155" s="79"/>
      <c r="H155" s="79">
        <f t="shared" si="13"/>
        <v>0</v>
      </c>
      <c r="I155" s="164"/>
      <c r="J155" s="273">
        <f t="shared" si="14"/>
        <v>0</v>
      </c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5">
        <f t="shared" si="15"/>
        <v>0</v>
      </c>
      <c r="AF155" s="165">
        <f t="shared" si="16"/>
        <v>0</v>
      </c>
    </row>
    <row r="156" spans="1:32" ht="20.100000000000001" customHeight="1">
      <c r="A156" s="163">
        <v>126</v>
      </c>
      <c r="B156" s="163" t="s">
        <v>112</v>
      </c>
      <c r="C156" s="163" t="s">
        <v>14</v>
      </c>
      <c r="D156" s="163">
        <v>0.7</v>
      </c>
      <c r="E156" s="163" t="s">
        <v>15</v>
      </c>
      <c r="F156" s="79"/>
      <c r="G156" s="79"/>
      <c r="H156" s="79">
        <f t="shared" si="13"/>
        <v>0</v>
      </c>
      <c r="I156" s="164"/>
      <c r="J156" s="273">
        <f t="shared" si="14"/>
        <v>0</v>
      </c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5">
        <f t="shared" si="15"/>
        <v>0</v>
      </c>
      <c r="AF156" s="165">
        <f t="shared" si="16"/>
        <v>0</v>
      </c>
    </row>
    <row r="157" spans="1:32" ht="20.100000000000001" customHeight="1">
      <c r="A157" s="163">
        <v>127</v>
      </c>
      <c r="B157" s="163" t="s">
        <v>234</v>
      </c>
      <c r="C157" s="163" t="s">
        <v>14</v>
      </c>
      <c r="D157" s="163">
        <v>0.7</v>
      </c>
      <c r="E157" s="163" t="s">
        <v>209</v>
      </c>
      <c r="F157" s="79">
        <v>4700</v>
      </c>
      <c r="G157" s="79">
        <v>43</v>
      </c>
      <c r="H157" s="79">
        <f t="shared" si="13"/>
        <v>30.099999999999998</v>
      </c>
      <c r="I157" s="164">
        <v>39</v>
      </c>
      <c r="J157" s="273">
        <f t="shared" si="14"/>
        <v>27.299999999999997</v>
      </c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5">
        <f t="shared" si="15"/>
        <v>82</v>
      </c>
      <c r="AF157" s="165">
        <f t="shared" si="16"/>
        <v>57.399999999999991</v>
      </c>
    </row>
    <row r="158" spans="1:32" ht="20.100000000000001" customHeight="1">
      <c r="A158" s="163">
        <v>128</v>
      </c>
      <c r="B158" s="163" t="s">
        <v>213</v>
      </c>
      <c r="C158" s="163" t="s">
        <v>14</v>
      </c>
      <c r="D158" s="163">
        <v>0.7</v>
      </c>
      <c r="E158" s="163" t="s">
        <v>15</v>
      </c>
      <c r="F158" s="79">
        <v>4700</v>
      </c>
      <c r="G158" s="79"/>
      <c r="H158" s="79">
        <f t="shared" si="13"/>
        <v>0</v>
      </c>
      <c r="I158" s="164"/>
      <c r="J158" s="273">
        <f t="shared" si="14"/>
        <v>0</v>
      </c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5">
        <f t="shared" si="15"/>
        <v>0</v>
      </c>
      <c r="AF158" s="165">
        <f t="shared" si="16"/>
        <v>0</v>
      </c>
    </row>
    <row r="159" spans="1:32" ht="20.100000000000001" customHeight="1">
      <c r="A159" s="163">
        <v>129</v>
      </c>
      <c r="B159" s="163" t="s">
        <v>214</v>
      </c>
      <c r="C159" s="163" t="s">
        <v>14</v>
      </c>
      <c r="D159" s="163">
        <v>0.7</v>
      </c>
      <c r="E159" s="163" t="s">
        <v>15</v>
      </c>
      <c r="F159" s="79"/>
      <c r="G159" s="79"/>
      <c r="H159" s="79">
        <f t="shared" si="13"/>
        <v>0</v>
      </c>
      <c r="I159" s="164"/>
      <c r="J159" s="273">
        <f t="shared" si="14"/>
        <v>0</v>
      </c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5">
        <f t="shared" si="15"/>
        <v>0</v>
      </c>
      <c r="AF159" s="165">
        <f t="shared" si="16"/>
        <v>0</v>
      </c>
    </row>
    <row r="160" spans="1:32" ht="20.100000000000001" customHeight="1">
      <c r="A160" s="163">
        <v>130</v>
      </c>
      <c r="B160" s="163" t="s">
        <v>113</v>
      </c>
      <c r="C160" s="163" t="s">
        <v>14</v>
      </c>
      <c r="D160" s="163">
        <v>0.7</v>
      </c>
      <c r="E160" s="163" t="s">
        <v>15</v>
      </c>
      <c r="F160" s="79"/>
      <c r="G160" s="79"/>
      <c r="H160" s="79">
        <f t="shared" si="13"/>
        <v>0</v>
      </c>
      <c r="I160" s="164"/>
      <c r="J160" s="273">
        <f t="shared" si="14"/>
        <v>0</v>
      </c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5">
        <f t="shared" si="15"/>
        <v>0</v>
      </c>
      <c r="AF160" s="165">
        <f t="shared" si="16"/>
        <v>0</v>
      </c>
    </row>
    <row r="161" spans="1:32" ht="20.100000000000001" customHeight="1">
      <c r="A161" s="163">
        <v>131</v>
      </c>
      <c r="B161" s="163" t="s">
        <v>114</v>
      </c>
      <c r="C161" s="163" t="s">
        <v>14</v>
      </c>
      <c r="D161" s="163">
        <v>0.35</v>
      </c>
      <c r="E161" s="163" t="s">
        <v>24</v>
      </c>
      <c r="F161" s="79"/>
      <c r="G161" s="79"/>
      <c r="H161" s="79">
        <f t="shared" si="13"/>
        <v>0</v>
      </c>
      <c r="I161" s="164"/>
      <c r="J161" s="273">
        <f t="shared" si="14"/>
        <v>0</v>
      </c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5">
        <f t="shared" si="15"/>
        <v>0</v>
      </c>
      <c r="AF161" s="165">
        <f t="shared" si="16"/>
        <v>0</v>
      </c>
    </row>
    <row r="162" spans="1:32" ht="20.100000000000001" customHeight="1">
      <c r="A162" s="163">
        <v>132</v>
      </c>
      <c r="B162" s="163" t="s">
        <v>115</v>
      </c>
      <c r="C162" s="163" t="s">
        <v>14</v>
      </c>
      <c r="D162" s="163">
        <v>0.7</v>
      </c>
      <c r="E162" s="163" t="s">
        <v>15</v>
      </c>
      <c r="F162" s="79"/>
      <c r="G162" s="79"/>
      <c r="H162" s="79">
        <f t="shared" si="13"/>
        <v>0</v>
      </c>
      <c r="I162" s="164"/>
      <c r="J162" s="273">
        <f t="shared" si="14"/>
        <v>0</v>
      </c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5">
        <f t="shared" si="15"/>
        <v>0</v>
      </c>
      <c r="AF162" s="165">
        <f t="shared" si="16"/>
        <v>0</v>
      </c>
    </row>
    <row r="163" spans="1:32" ht="20.100000000000001" customHeight="1">
      <c r="A163" s="163">
        <v>133</v>
      </c>
      <c r="B163" s="163" t="s">
        <v>116</v>
      </c>
      <c r="C163" s="163" t="s">
        <v>14</v>
      </c>
      <c r="D163" s="163">
        <v>0.35</v>
      </c>
      <c r="E163" s="163" t="s">
        <v>24</v>
      </c>
      <c r="F163" s="79"/>
      <c r="G163" s="79"/>
      <c r="H163" s="79">
        <f t="shared" si="13"/>
        <v>0</v>
      </c>
      <c r="I163" s="164"/>
      <c r="J163" s="273">
        <f t="shared" si="14"/>
        <v>0</v>
      </c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5">
        <f t="shared" si="15"/>
        <v>0</v>
      </c>
      <c r="AF163" s="165">
        <f t="shared" si="16"/>
        <v>0</v>
      </c>
    </row>
    <row r="164" spans="1:32" ht="20.100000000000001" customHeight="1">
      <c r="A164" s="163">
        <v>134</v>
      </c>
      <c r="B164" s="163" t="s">
        <v>117</v>
      </c>
      <c r="C164" s="163" t="s">
        <v>14</v>
      </c>
      <c r="D164" s="163">
        <v>0.7</v>
      </c>
      <c r="E164" s="163" t="s">
        <v>118</v>
      </c>
      <c r="F164" s="79"/>
      <c r="G164" s="79"/>
      <c r="H164" s="79">
        <f t="shared" si="13"/>
        <v>0</v>
      </c>
      <c r="I164" s="164"/>
      <c r="J164" s="273">
        <f t="shared" si="14"/>
        <v>0</v>
      </c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5">
        <f t="shared" si="15"/>
        <v>0</v>
      </c>
      <c r="AF164" s="165">
        <f t="shared" si="16"/>
        <v>0</v>
      </c>
    </row>
    <row r="165" spans="1:32" ht="20.100000000000001" customHeight="1">
      <c r="A165" s="163"/>
      <c r="B165" s="163"/>
      <c r="C165" s="163"/>
      <c r="D165" s="163"/>
      <c r="E165" s="163"/>
      <c r="F165" s="79"/>
      <c r="G165" s="79"/>
      <c r="H165" s="79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5">
        <f t="shared" si="15"/>
        <v>0</v>
      </c>
      <c r="AF165" s="164"/>
    </row>
    <row r="166" spans="1:32" ht="20.100000000000001" customHeight="1">
      <c r="A166" s="163"/>
      <c r="B166" s="163" t="s">
        <v>119</v>
      </c>
      <c r="C166" s="163"/>
      <c r="D166" s="163"/>
      <c r="E166" s="163"/>
      <c r="F166" s="79"/>
      <c r="G166" s="79">
        <f>SUM(G150:G165)</f>
        <v>43</v>
      </c>
      <c r="H166" s="79">
        <f>SUM(H150:H165)</f>
        <v>30.099999999999998</v>
      </c>
      <c r="I166" s="79">
        <f t="shared" ref="I166:J166" si="17">SUM(I150:I165)</f>
        <v>39</v>
      </c>
      <c r="J166" s="79">
        <f t="shared" si="17"/>
        <v>27.299999999999997</v>
      </c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5">
        <f>SUM(AE150:AE165)</f>
        <v>82</v>
      </c>
      <c r="AF166" s="165">
        <f>SUM(AF150:AF165)</f>
        <v>57.399999999999991</v>
      </c>
    </row>
    <row r="167" spans="1:32" ht="20.100000000000001" customHeight="1">
      <c r="A167" s="163"/>
      <c r="B167" s="163" t="s">
        <v>120</v>
      </c>
      <c r="C167" s="163"/>
      <c r="D167" s="163"/>
      <c r="E167" s="163"/>
      <c r="F167" s="79"/>
      <c r="G167" s="163">
        <f>G148+G166</f>
        <v>890</v>
      </c>
      <c r="H167" s="79">
        <f>H148+H166</f>
        <v>631.06000000000006</v>
      </c>
      <c r="I167" s="79">
        <f t="shared" ref="I167" si="18">I148+I166</f>
        <v>845</v>
      </c>
      <c r="J167" s="79">
        <f>J148+J166</f>
        <v>571.49999999999989</v>
      </c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5">
        <f>AE148+AE166</f>
        <v>1735</v>
      </c>
      <c r="AF167" s="165">
        <f>AF148+AF166</f>
        <v>1202.5600000000002</v>
      </c>
    </row>
  </sheetData>
  <mergeCells count="13">
    <mergeCell ref="Q2:R2"/>
    <mergeCell ref="G2:H2"/>
    <mergeCell ref="I2:J2"/>
    <mergeCell ref="K2:L2"/>
    <mergeCell ref="M2:N2"/>
    <mergeCell ref="O2:P2"/>
    <mergeCell ref="AE2:AF2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I27" sqref="I27"/>
    </sheetView>
  </sheetViews>
  <sheetFormatPr defaultRowHeight="21.75"/>
  <cols>
    <col min="1" max="1" width="5.140625" style="26" customWidth="1"/>
    <col min="2" max="2" width="17.85546875" style="26" customWidth="1"/>
    <col min="3" max="3" width="14.7109375" style="26" customWidth="1"/>
    <col min="4" max="4" width="13" style="26" customWidth="1"/>
    <col min="5" max="6" width="12.5703125" style="26" customWidth="1"/>
    <col min="7" max="7" width="12.28515625" style="26" customWidth="1"/>
    <col min="8" max="8" width="12.85546875" style="26" customWidth="1"/>
    <col min="9" max="9" width="13.5703125" style="26" customWidth="1"/>
    <col min="10" max="10" width="12.85546875" style="26" customWidth="1"/>
    <col min="11" max="11" width="13.5703125" style="26" customWidth="1"/>
    <col min="12" max="12" width="10.85546875" style="26" customWidth="1"/>
    <col min="13" max="13" width="13.85546875" style="26" customWidth="1"/>
    <col min="14" max="14" width="11.28515625" style="26" customWidth="1"/>
    <col min="15" max="16384" width="9.140625" style="26"/>
  </cols>
  <sheetData>
    <row r="1" spans="1:14" ht="27" customHeight="1">
      <c r="A1" s="245" t="s">
        <v>121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14">
      <c r="A2" s="271" t="s">
        <v>122</v>
      </c>
      <c r="B2" s="271" t="s">
        <v>123</v>
      </c>
      <c r="C2" s="268" t="s">
        <v>124</v>
      </c>
      <c r="D2" s="269"/>
      <c r="E2" s="268" t="s">
        <v>125</v>
      </c>
      <c r="F2" s="269"/>
      <c r="G2" s="268" t="s">
        <v>126</v>
      </c>
      <c r="H2" s="269"/>
      <c r="I2" s="268" t="s">
        <v>127</v>
      </c>
      <c r="J2" s="269"/>
      <c r="K2" s="268" t="s">
        <v>232</v>
      </c>
      <c r="L2" s="269"/>
      <c r="M2" s="270" t="s">
        <v>128</v>
      </c>
      <c r="N2" s="270"/>
    </row>
    <row r="3" spans="1:14">
      <c r="A3" s="247"/>
      <c r="B3" s="247"/>
      <c r="C3" s="184" t="s">
        <v>129</v>
      </c>
      <c r="D3" s="185" t="s">
        <v>130</v>
      </c>
      <c r="E3" s="184" t="s">
        <v>129</v>
      </c>
      <c r="F3" s="185" t="s">
        <v>130</v>
      </c>
      <c r="G3" s="184" t="s">
        <v>129</v>
      </c>
      <c r="H3" s="185" t="s">
        <v>130</v>
      </c>
      <c r="I3" s="184" t="s">
        <v>129</v>
      </c>
      <c r="J3" s="185" t="s">
        <v>130</v>
      </c>
      <c r="K3" s="184" t="s">
        <v>129</v>
      </c>
      <c r="L3" s="185" t="s">
        <v>130</v>
      </c>
      <c r="M3" s="184" t="s">
        <v>129</v>
      </c>
      <c r="N3" s="185" t="s">
        <v>130</v>
      </c>
    </row>
    <row r="4" spans="1:14" ht="20.100000000000001" customHeight="1">
      <c r="A4" s="189">
        <v>1</v>
      </c>
      <c r="B4" s="189" t="s">
        <v>131</v>
      </c>
      <c r="C4" s="79">
        <f>[3]KK22!D8</f>
        <v>80957</v>
      </c>
      <c r="D4" s="186">
        <f>[3]KK22!E8</f>
        <v>54790.520000000004</v>
      </c>
      <c r="E4" s="79">
        <f>[3]KK23!D8</f>
        <v>81462</v>
      </c>
      <c r="F4" s="186">
        <f>[3]KK23!E8</f>
        <v>56508.479999999996</v>
      </c>
      <c r="G4" s="79">
        <f>[3]KK24!D8</f>
        <v>92135</v>
      </c>
      <c r="H4" s="186">
        <f>[3]KK24!E8</f>
        <v>64438.400000000001</v>
      </c>
      <c r="I4" s="190">
        <f>[3]KK25!D8</f>
        <v>113379</v>
      </c>
      <c r="J4" s="186">
        <f>[3]KK25!E8</f>
        <v>84700.799999999988</v>
      </c>
      <c r="K4" s="191">
        <f>'KK-26'!F7</f>
        <v>110122</v>
      </c>
      <c r="L4" s="186">
        <f>'KK-26'!G7</f>
        <v>88897.84</v>
      </c>
      <c r="M4" s="192">
        <f>C4+E4+G4+I4</f>
        <v>367933</v>
      </c>
      <c r="N4" s="193">
        <f>D4+F4+H4+J4</f>
        <v>260438.19999999998</v>
      </c>
    </row>
    <row r="5" spans="1:14" ht="20.100000000000001" customHeight="1">
      <c r="A5" s="189">
        <v>2</v>
      </c>
      <c r="B5" s="189" t="s">
        <v>132</v>
      </c>
      <c r="C5" s="79">
        <f>[3]KK22!F8</f>
        <v>75224</v>
      </c>
      <c r="D5" s="186">
        <f>[3]KK22!G8</f>
        <v>50728.639999999999</v>
      </c>
      <c r="E5" s="79">
        <f>[3]KK23!F8</f>
        <v>66098</v>
      </c>
      <c r="F5" s="186">
        <f>[3]KK23!G8</f>
        <v>44689.279999999999</v>
      </c>
      <c r="G5" s="79">
        <f>[3]KK24!F8</f>
        <v>78426</v>
      </c>
      <c r="H5" s="186">
        <f>[3]KK24!G8</f>
        <v>54973.920000000006</v>
      </c>
      <c r="I5" s="79">
        <f>[3]KK25!F8</f>
        <v>78954</v>
      </c>
      <c r="J5" s="186">
        <f>[3]KK25!G8</f>
        <v>57786</v>
      </c>
      <c r="K5" s="191">
        <f>'KK-26'!H7</f>
        <v>97902</v>
      </c>
      <c r="L5" s="186">
        <f>'KK-26'!I7</f>
        <v>78089.760000000009</v>
      </c>
      <c r="M5" s="192">
        <f t="shared" ref="M5:N15" si="0">C5+E5+G5+I5</f>
        <v>298702</v>
      </c>
      <c r="N5" s="193">
        <f t="shared" si="0"/>
        <v>208177.84</v>
      </c>
    </row>
    <row r="6" spans="1:14" ht="20.100000000000001" customHeight="1">
      <c r="A6" s="189">
        <v>3</v>
      </c>
      <c r="B6" s="189" t="s">
        <v>133</v>
      </c>
      <c r="C6" s="79">
        <f>[3]KK22!H8</f>
        <v>91908</v>
      </c>
      <c r="D6" s="186">
        <f>[3]KK22!I8</f>
        <v>63741.120000000003</v>
      </c>
      <c r="E6" s="79">
        <f>[3]KK23!H8</f>
        <v>74318</v>
      </c>
      <c r="F6" s="186">
        <f>[3]KK23!I8</f>
        <v>52016.960000000006</v>
      </c>
      <c r="G6" s="79">
        <f>[3]KK24!H8</f>
        <v>81740</v>
      </c>
      <c r="H6" s="186">
        <f>[3]KK24!I8</f>
        <v>56504.480000000003</v>
      </c>
      <c r="I6" s="79">
        <f>'KK-25'!J7</f>
        <v>116504</v>
      </c>
      <c r="J6" s="186">
        <f>'KK-25'!K7</f>
        <v>92015.360000000001</v>
      </c>
      <c r="K6" s="191"/>
      <c r="L6" s="186"/>
      <c r="M6" s="192">
        <f t="shared" si="0"/>
        <v>364470</v>
      </c>
      <c r="N6" s="193">
        <f t="shared" si="0"/>
        <v>264277.92000000004</v>
      </c>
    </row>
    <row r="7" spans="1:14" ht="20.100000000000001" customHeight="1">
      <c r="A7" s="189">
        <v>4</v>
      </c>
      <c r="B7" s="189" t="s">
        <v>134</v>
      </c>
      <c r="C7" s="79">
        <f>[3]KK22!J8</f>
        <v>68560</v>
      </c>
      <c r="D7" s="186">
        <f>[3]KK22!K8</f>
        <v>47632.480000000003</v>
      </c>
      <c r="E7" s="79">
        <f>[3]KK23!J8</f>
        <v>72502</v>
      </c>
      <c r="F7" s="186">
        <f>[3]KK23!K8</f>
        <v>50736.160000000003</v>
      </c>
      <c r="G7" s="79">
        <f>[3]KK24!J8</f>
        <v>79178</v>
      </c>
      <c r="H7" s="186">
        <f>[3]KK24!K8</f>
        <v>57488</v>
      </c>
      <c r="I7" s="79">
        <f>'KK-25'!L7</f>
        <v>82628</v>
      </c>
      <c r="J7" s="186">
        <f>'KK-25'!M7</f>
        <v>61046.720000000001</v>
      </c>
      <c r="K7" s="191"/>
      <c r="L7" s="186"/>
      <c r="M7" s="192">
        <f t="shared" si="0"/>
        <v>302868</v>
      </c>
      <c r="N7" s="193">
        <f t="shared" si="0"/>
        <v>216903.36000000002</v>
      </c>
    </row>
    <row r="8" spans="1:14" ht="20.100000000000001" customHeight="1">
      <c r="A8" s="189">
        <v>5</v>
      </c>
      <c r="B8" s="189" t="s">
        <v>135</v>
      </c>
      <c r="C8" s="79">
        <f>[3]KK22!L8</f>
        <v>64296</v>
      </c>
      <c r="D8" s="186">
        <f>[3]KK22!M8</f>
        <v>43226.879999999997</v>
      </c>
      <c r="E8" s="79">
        <f>[3]KK23!L8</f>
        <v>58764</v>
      </c>
      <c r="F8" s="186">
        <f>[3]KK23!M8</f>
        <v>42061.919999999998</v>
      </c>
      <c r="G8" s="79">
        <f>[3]KK24!L8</f>
        <v>74948</v>
      </c>
      <c r="H8" s="186">
        <f>[3]KK24!M8</f>
        <v>51288.320000000007</v>
      </c>
      <c r="I8" s="79">
        <f>'KK-25'!N7</f>
        <v>90315</v>
      </c>
      <c r="J8" s="186">
        <f>'KK-25'!O7</f>
        <v>67436.639999999999</v>
      </c>
      <c r="K8" s="191"/>
      <c r="L8" s="186"/>
      <c r="M8" s="192">
        <f t="shared" si="0"/>
        <v>288323</v>
      </c>
      <c r="N8" s="193">
        <f t="shared" si="0"/>
        <v>204013.76</v>
      </c>
    </row>
    <row r="9" spans="1:14" ht="20.100000000000001" customHeight="1">
      <c r="A9" s="189">
        <v>6</v>
      </c>
      <c r="B9" s="189" t="s">
        <v>136</v>
      </c>
      <c r="C9" s="79">
        <f>[3]KK22!N8</f>
        <v>72224</v>
      </c>
      <c r="D9" s="186">
        <f>[3]KK22!O8</f>
        <v>48752</v>
      </c>
      <c r="E9" s="79">
        <f>[3]KK23!N8</f>
        <v>72738</v>
      </c>
      <c r="F9" s="186">
        <f>[3]KK23!O8</f>
        <v>51260.399999999994</v>
      </c>
      <c r="G9" s="79">
        <f>[3]KK24!N8</f>
        <v>80104</v>
      </c>
      <c r="H9" s="186">
        <f>[3]KK24!O8</f>
        <v>56039.68</v>
      </c>
      <c r="I9" s="79">
        <f>'KK-25'!P7</f>
        <v>94933</v>
      </c>
      <c r="J9" s="186">
        <f>'KK-25'!Q7</f>
        <v>72968.800000000003</v>
      </c>
      <c r="K9" s="191"/>
      <c r="L9" s="186"/>
      <c r="M9" s="192">
        <f t="shared" si="0"/>
        <v>319999</v>
      </c>
      <c r="N9" s="193">
        <f t="shared" si="0"/>
        <v>229020.88</v>
      </c>
    </row>
    <row r="10" spans="1:14" ht="20.100000000000001" customHeight="1">
      <c r="A10" s="189">
        <v>7</v>
      </c>
      <c r="B10" s="189" t="s">
        <v>137</v>
      </c>
      <c r="C10" s="79">
        <f>[3]KK22!P8</f>
        <v>71933</v>
      </c>
      <c r="D10" s="186">
        <f>[3]KK22!Q8</f>
        <v>49611.8</v>
      </c>
      <c r="E10" s="79">
        <f>[3]KK23!P8</f>
        <v>84484</v>
      </c>
      <c r="F10" s="186">
        <f>[3]KK23!Q8</f>
        <v>59576.08</v>
      </c>
      <c r="G10" s="79">
        <f>[3]KK24!P8</f>
        <v>90428</v>
      </c>
      <c r="H10" s="186">
        <f>[3]KK24!Q8</f>
        <v>64519.039999999994</v>
      </c>
      <c r="I10" s="79">
        <f>'KK-25'!R7</f>
        <v>104149</v>
      </c>
      <c r="J10" s="186">
        <f>'KK-25'!S7</f>
        <v>81252.640000000014</v>
      </c>
      <c r="K10" s="191"/>
      <c r="L10" s="186"/>
      <c r="M10" s="192">
        <f t="shared" si="0"/>
        <v>350994</v>
      </c>
      <c r="N10" s="193">
        <f t="shared" si="0"/>
        <v>254959.56</v>
      </c>
    </row>
    <row r="11" spans="1:14" ht="20.100000000000001" customHeight="1">
      <c r="A11" s="189">
        <v>8</v>
      </c>
      <c r="B11" s="189" t="s">
        <v>138</v>
      </c>
      <c r="C11" s="79">
        <f>[3]KK22!R8</f>
        <v>78552</v>
      </c>
      <c r="D11" s="186">
        <f>[3]KK22!S8</f>
        <v>54868.32</v>
      </c>
      <c r="E11" s="79">
        <f>[3]KK23!R8</f>
        <v>73347</v>
      </c>
      <c r="F11" s="186">
        <f>[3]KK23!S8</f>
        <v>50543.64</v>
      </c>
      <c r="G11" s="79">
        <f>[3]KK24!R8</f>
        <v>81676</v>
      </c>
      <c r="H11" s="186">
        <f>[3]KK24!S8</f>
        <v>60121.599999999999</v>
      </c>
      <c r="I11" s="79">
        <f>'KK-25'!T7</f>
        <v>99272</v>
      </c>
      <c r="J11" s="186">
        <f>'KK-25'!U7</f>
        <v>76683.679999999993</v>
      </c>
      <c r="K11" s="191"/>
      <c r="L11" s="186"/>
      <c r="M11" s="192">
        <f t="shared" si="0"/>
        <v>332847</v>
      </c>
      <c r="N11" s="193">
        <f t="shared" si="0"/>
        <v>242217.24</v>
      </c>
    </row>
    <row r="12" spans="1:14" ht="20.100000000000001" customHeight="1">
      <c r="A12" s="189">
        <v>9</v>
      </c>
      <c r="B12" s="189" t="s">
        <v>139</v>
      </c>
      <c r="C12" s="79">
        <f>[3]KK22!T8</f>
        <v>67801</v>
      </c>
      <c r="D12" s="186">
        <f>[3]KK22!U8</f>
        <v>46326.400000000009</v>
      </c>
      <c r="E12" s="79">
        <f>[3]KK23!T8</f>
        <v>80246</v>
      </c>
      <c r="F12" s="186">
        <f>[3]KK23!U8</f>
        <v>56019.92</v>
      </c>
      <c r="G12" s="79">
        <f>[3]KK24!T8</f>
        <v>87376</v>
      </c>
      <c r="H12" s="186">
        <f>[3]KK24!U8</f>
        <v>63049.599999999999</v>
      </c>
      <c r="I12" s="79">
        <f>'KK-25'!V7</f>
        <v>120664</v>
      </c>
      <c r="J12" s="186">
        <f>'KK-25'!W7</f>
        <v>97964.800000000003</v>
      </c>
      <c r="K12" s="191"/>
      <c r="L12" s="186"/>
      <c r="M12" s="192">
        <f t="shared" si="0"/>
        <v>356087</v>
      </c>
      <c r="N12" s="193">
        <f t="shared" si="0"/>
        <v>263360.72000000003</v>
      </c>
    </row>
    <row r="13" spans="1:14" ht="20.100000000000001" customHeight="1">
      <c r="A13" s="189">
        <v>10</v>
      </c>
      <c r="B13" s="189" t="s">
        <v>140</v>
      </c>
      <c r="C13" s="79">
        <f>[3]KK22!V8</f>
        <v>71984</v>
      </c>
      <c r="D13" s="186">
        <f>[3]KK22!W8</f>
        <v>49333.760000000002</v>
      </c>
      <c r="E13" s="79">
        <f>[3]KK23!V8</f>
        <v>78502</v>
      </c>
      <c r="F13" s="186">
        <f>[3]KK23!W8</f>
        <v>53934.400000000001</v>
      </c>
      <c r="G13" s="79">
        <f>[3]KK24!V8</f>
        <v>106510</v>
      </c>
      <c r="H13" s="186">
        <f>[3]KK24!W8</f>
        <v>78505.600000000006</v>
      </c>
      <c r="I13" s="79">
        <f>'KK-25'!X7</f>
        <v>129593</v>
      </c>
      <c r="J13" s="186">
        <f>'KK-25'!Y7</f>
        <v>107283.68</v>
      </c>
      <c r="K13" s="191"/>
      <c r="L13" s="186"/>
      <c r="M13" s="192">
        <f t="shared" si="0"/>
        <v>386589</v>
      </c>
      <c r="N13" s="193">
        <f t="shared" si="0"/>
        <v>289057.44</v>
      </c>
    </row>
    <row r="14" spans="1:14" ht="20.100000000000001" customHeight="1">
      <c r="A14" s="189">
        <v>11</v>
      </c>
      <c r="B14" s="189" t="s">
        <v>141</v>
      </c>
      <c r="C14" s="79">
        <f>[3]KK22!X8</f>
        <v>81306</v>
      </c>
      <c r="D14" s="186">
        <f>[3]KK22!Y8</f>
        <v>56771.040000000001</v>
      </c>
      <c r="E14" s="79">
        <f>[3]KK23!X8</f>
        <v>83376</v>
      </c>
      <c r="F14" s="186">
        <f>[3]KK23!Y8</f>
        <v>59379.840000000004</v>
      </c>
      <c r="G14" s="79">
        <f>[3]KK24!X8</f>
        <v>94270</v>
      </c>
      <c r="H14" s="186">
        <f>[3]KK24!Y8</f>
        <v>69463.360000000001</v>
      </c>
      <c r="I14" s="79">
        <f>'KK-25'!Z7</f>
        <v>101440</v>
      </c>
      <c r="J14" s="186">
        <f>'KK-25'!AA7</f>
        <v>76632.160000000003</v>
      </c>
      <c r="K14" s="191"/>
      <c r="L14" s="186"/>
      <c r="M14" s="192">
        <f t="shared" si="0"/>
        <v>360392</v>
      </c>
      <c r="N14" s="193">
        <f t="shared" si="0"/>
        <v>262246.40000000002</v>
      </c>
    </row>
    <row r="15" spans="1:14" ht="20.100000000000001" customHeight="1">
      <c r="A15" s="189">
        <v>12</v>
      </c>
      <c r="B15" s="189" t="s">
        <v>142</v>
      </c>
      <c r="C15" s="79">
        <f>[3]KK22!Z8</f>
        <v>95010</v>
      </c>
      <c r="D15" s="186">
        <f>[3]KK22!AA8</f>
        <v>64569.600000000006</v>
      </c>
      <c r="E15" s="79">
        <f>[3]KK23!Z8</f>
        <v>105170</v>
      </c>
      <c r="F15" s="186">
        <f>[3]KK23!AA8</f>
        <v>73364</v>
      </c>
      <c r="G15" s="79">
        <f>[3]KK24!Z8</f>
        <v>116576</v>
      </c>
      <c r="H15" s="186">
        <f>[3]KK24!AA8</f>
        <v>87648.320000000007</v>
      </c>
      <c r="I15" s="79">
        <f>'KK-25'!AB7</f>
        <v>116216</v>
      </c>
      <c r="J15" s="186">
        <f>'KK-25'!AC7</f>
        <v>93460.64</v>
      </c>
      <c r="K15" s="191"/>
      <c r="L15" s="186"/>
      <c r="M15" s="192">
        <f t="shared" si="0"/>
        <v>432972</v>
      </c>
      <c r="N15" s="193">
        <f t="shared" si="0"/>
        <v>319042.56</v>
      </c>
    </row>
    <row r="16" spans="1:14" ht="20.100000000000001" customHeight="1">
      <c r="A16" s="194"/>
      <c r="B16" s="195" t="s">
        <v>143</v>
      </c>
      <c r="C16" s="94">
        <f>[3]KK22!AB14</f>
        <v>416</v>
      </c>
      <c r="D16" s="95">
        <f>[3]KK22!AC14</f>
        <v>312.15999999999997</v>
      </c>
      <c r="E16" s="94">
        <f>[3]KK23!AB14</f>
        <v>352</v>
      </c>
      <c r="F16" s="95">
        <f>[3]KK23!AC14</f>
        <v>268.32</v>
      </c>
      <c r="G16" s="94">
        <f>[3]KK24!AB14</f>
        <v>1506</v>
      </c>
      <c r="H16" s="95">
        <f>[3]KK24!AC14</f>
        <v>1400.28</v>
      </c>
      <c r="I16" s="196">
        <f>'KK-25'!AD13</f>
        <v>10869</v>
      </c>
      <c r="J16" s="95">
        <f>'KK-25'!AE13</f>
        <v>10529.8</v>
      </c>
      <c r="K16" s="196">
        <f>'KK-26'!AD13</f>
        <v>15</v>
      </c>
      <c r="L16" s="95">
        <f>'KK-26'!AE13</f>
        <v>12.48</v>
      </c>
      <c r="M16" s="107">
        <f t="shared" ref="M16:N17" si="1">C16+E16+G16</f>
        <v>2274</v>
      </c>
      <c r="N16" s="104">
        <f t="shared" si="1"/>
        <v>1980.76</v>
      </c>
    </row>
    <row r="17" spans="1:14" ht="20.100000000000001" customHeight="1">
      <c r="A17" s="189"/>
      <c r="B17" s="189"/>
      <c r="C17" s="79"/>
      <c r="D17" s="186"/>
      <c r="E17" s="79"/>
      <c r="F17" s="186"/>
      <c r="G17" s="79"/>
      <c r="H17" s="186"/>
      <c r="I17" s="186"/>
      <c r="J17" s="186"/>
      <c r="K17" s="186"/>
      <c r="L17" s="186"/>
      <c r="M17" s="192">
        <f t="shared" si="1"/>
        <v>0</v>
      </c>
      <c r="N17" s="193">
        <f t="shared" si="1"/>
        <v>0</v>
      </c>
    </row>
    <row r="18" spans="1:14" ht="20.100000000000001" customHeight="1">
      <c r="A18" s="197"/>
      <c r="B18" s="198" t="s">
        <v>128</v>
      </c>
      <c r="C18" s="199">
        <f>SUM(C4:C15)</f>
        <v>919755</v>
      </c>
      <c r="D18" s="187">
        <f>[3]KK22!AC8</f>
        <v>630352.55999999994</v>
      </c>
      <c r="E18" s="199">
        <f>SUM(E4:E15)</f>
        <v>931007</v>
      </c>
      <c r="F18" s="187">
        <f>SUM(F4:F15)</f>
        <v>650091.07999999996</v>
      </c>
      <c r="G18" s="199">
        <f>SUM(G4:G15)</f>
        <v>1063367</v>
      </c>
      <c r="H18" s="187">
        <f>SUM(H4:H15)</f>
        <v>764040.31999999983</v>
      </c>
      <c r="I18" s="188">
        <f t="shared" ref="I18:L18" si="2">SUM(I4:I15)</f>
        <v>1248047</v>
      </c>
      <c r="J18" s="187">
        <f t="shared" si="2"/>
        <v>969231.92000000016</v>
      </c>
      <c r="K18" s="187">
        <f t="shared" si="2"/>
        <v>208024</v>
      </c>
      <c r="L18" s="187">
        <f t="shared" si="2"/>
        <v>166987.6</v>
      </c>
      <c r="M18" s="200">
        <f>C18+E18+G18</f>
        <v>2914129</v>
      </c>
      <c r="N18" s="187">
        <f>D18+F18+H18</f>
        <v>2044483.9599999997</v>
      </c>
    </row>
  </sheetData>
  <mergeCells count="9">
    <mergeCell ref="I2:J2"/>
    <mergeCell ref="M2:N2"/>
    <mergeCell ref="K2:L2"/>
    <mergeCell ref="A1:N1"/>
    <mergeCell ref="A2:A3"/>
    <mergeCell ref="B2:B3"/>
    <mergeCell ref="C2:D2"/>
    <mergeCell ref="E2:F2"/>
    <mergeCell ref="G2:H2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"/>
  <sheetViews>
    <sheetView workbookViewId="0">
      <selection activeCell="O25" sqref="N25:O25"/>
    </sheetView>
  </sheetViews>
  <sheetFormatPr defaultRowHeight="21"/>
  <cols>
    <col min="1" max="1" width="7.28515625" customWidth="1"/>
    <col min="2" max="2" width="21.5703125" customWidth="1"/>
    <col min="6" max="6" width="0" hidden="1" customWidth="1"/>
  </cols>
  <sheetData>
    <row r="1" spans="1:32" ht="24.75">
      <c r="A1" s="140" t="s">
        <v>235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5" t="s">
        <v>6</v>
      </c>
      <c r="G2" s="252">
        <v>44562</v>
      </c>
      <c r="H2" s="253"/>
      <c r="I2" s="252">
        <v>44593</v>
      </c>
      <c r="J2" s="253"/>
      <c r="K2" s="252">
        <v>44621</v>
      </c>
      <c r="L2" s="253"/>
      <c r="M2" s="252">
        <v>44652</v>
      </c>
      <c r="N2" s="253"/>
      <c r="O2" s="252">
        <v>44682</v>
      </c>
      <c r="P2" s="253"/>
      <c r="Q2" s="252">
        <v>44713</v>
      </c>
      <c r="R2" s="253"/>
      <c r="S2" s="252">
        <v>44743</v>
      </c>
      <c r="T2" s="253"/>
      <c r="U2" s="252">
        <v>44774</v>
      </c>
      <c r="V2" s="253"/>
      <c r="W2" s="252">
        <v>44805</v>
      </c>
      <c r="X2" s="253"/>
      <c r="Y2" s="252">
        <v>44835</v>
      </c>
      <c r="Z2" s="253"/>
      <c r="AA2" s="252">
        <v>44866</v>
      </c>
      <c r="AB2" s="253"/>
      <c r="AC2" s="252">
        <v>44896</v>
      </c>
      <c r="AD2" s="253"/>
      <c r="AE2" s="261" t="s">
        <v>128</v>
      </c>
      <c r="AF2" s="262"/>
    </row>
    <row r="3" spans="1:32">
      <c r="A3" s="238"/>
      <c r="B3" s="238"/>
      <c r="C3" s="238"/>
      <c r="D3" s="240"/>
      <c r="E3" s="240"/>
      <c r="F3" s="240"/>
      <c r="G3" s="55" t="s">
        <v>11</v>
      </c>
      <c r="H3" s="56" t="s">
        <v>12</v>
      </c>
      <c r="I3" s="55" t="s">
        <v>11</v>
      </c>
      <c r="J3" s="56" t="s">
        <v>12</v>
      </c>
      <c r="K3" s="55" t="s">
        <v>11</v>
      </c>
      <c r="L3" s="56" t="s">
        <v>12</v>
      </c>
      <c r="M3" s="55" t="s">
        <v>11</v>
      </c>
      <c r="N3" s="56" t="s">
        <v>12</v>
      </c>
      <c r="O3" s="55" t="s">
        <v>11</v>
      </c>
      <c r="P3" s="56" t="s">
        <v>12</v>
      </c>
      <c r="Q3" s="55" t="s">
        <v>11</v>
      </c>
      <c r="R3" s="56" t="s">
        <v>12</v>
      </c>
      <c r="S3" s="55" t="s">
        <v>11</v>
      </c>
      <c r="T3" s="56" t="s">
        <v>12</v>
      </c>
      <c r="U3" s="55" t="s">
        <v>11</v>
      </c>
      <c r="V3" s="56" t="s">
        <v>12</v>
      </c>
      <c r="W3" s="55" t="s">
        <v>11</v>
      </c>
      <c r="X3" s="56" t="s">
        <v>12</v>
      </c>
      <c r="Y3" s="55" t="s">
        <v>11</v>
      </c>
      <c r="Z3" s="56" t="s">
        <v>12</v>
      </c>
      <c r="AA3" s="55" t="s">
        <v>11</v>
      </c>
      <c r="AB3" s="56" t="s">
        <v>12</v>
      </c>
      <c r="AC3" s="55" t="s">
        <v>11</v>
      </c>
      <c r="AD3" s="56" t="s">
        <v>12</v>
      </c>
      <c r="AE3" s="57" t="s">
        <v>11</v>
      </c>
      <c r="AF3" s="58" t="s">
        <v>12</v>
      </c>
    </row>
    <row r="4" spans="1:32" ht="20.100000000000001" customHeight="1">
      <c r="A4" s="63">
        <v>1</v>
      </c>
      <c r="B4" s="63" t="s">
        <v>27</v>
      </c>
      <c r="C4" s="63" t="s">
        <v>17</v>
      </c>
      <c r="D4" s="63">
        <v>1</v>
      </c>
      <c r="E4" s="63" t="s">
        <v>15</v>
      </c>
      <c r="F4" s="63">
        <v>1530</v>
      </c>
      <c r="G4" s="92">
        <v>8475</v>
      </c>
      <c r="H4" s="93">
        <f t="shared" ref="H4:J6" si="0">G4*$D4</f>
        <v>8475</v>
      </c>
      <c r="I4" s="92">
        <v>7344</v>
      </c>
      <c r="J4" s="93">
        <f t="shared" si="0"/>
        <v>7344</v>
      </c>
      <c r="K4" s="92">
        <v>14040</v>
      </c>
      <c r="L4" s="93">
        <f t="shared" ref="L4:L6" si="1">K4*$D4</f>
        <v>14040</v>
      </c>
      <c r="M4" s="92">
        <v>10788</v>
      </c>
      <c r="N4" s="93">
        <f t="shared" ref="N4:N6" si="2">M4*$D4</f>
        <v>10788</v>
      </c>
      <c r="O4" s="92">
        <v>5844</v>
      </c>
      <c r="P4" s="93">
        <f t="shared" ref="P4:P6" si="3">O4*$D4</f>
        <v>5844</v>
      </c>
      <c r="Q4" s="92">
        <v>7104</v>
      </c>
      <c r="R4" s="93">
        <f t="shared" ref="R4:R6" si="4">Q4*$D4</f>
        <v>7104</v>
      </c>
      <c r="S4" s="92">
        <v>10047</v>
      </c>
      <c r="T4" s="93">
        <f t="shared" ref="T4:T6" si="5">S4*$D4</f>
        <v>10047</v>
      </c>
      <c r="U4" s="92">
        <v>12900</v>
      </c>
      <c r="V4" s="93">
        <f t="shared" ref="V4:V6" si="6">U4*$D4</f>
        <v>12900</v>
      </c>
      <c r="W4" s="92">
        <v>8244</v>
      </c>
      <c r="X4" s="93">
        <f t="shared" ref="X4:X6" si="7">W4*$D4</f>
        <v>8244</v>
      </c>
      <c r="Y4" s="92">
        <v>9120</v>
      </c>
      <c r="Z4" s="93">
        <f t="shared" ref="Z4:Z6" si="8">Y4*$D4</f>
        <v>9120</v>
      </c>
      <c r="AA4" s="92">
        <v>13236</v>
      </c>
      <c r="AB4" s="93">
        <f t="shared" ref="AB4:AB6" si="9">AA4*$D4</f>
        <v>13236</v>
      </c>
      <c r="AC4" s="92">
        <v>10632</v>
      </c>
      <c r="AD4" s="93">
        <f t="shared" ref="AD4:AD6" si="10">AC4*$D4</f>
        <v>10632</v>
      </c>
      <c r="AE4" s="94">
        <f t="shared" ref="AE4:AE6" si="11">(AC4+AA4+Y4+W4+U4+S4+Q4+O4+M4+K4+I4+G4)</f>
        <v>117774</v>
      </c>
      <c r="AF4" s="95">
        <f t="shared" ref="AF4:AF6" si="12">AE4*$D4</f>
        <v>117774</v>
      </c>
    </row>
    <row r="5" spans="1:32" ht="20.100000000000001" customHeight="1">
      <c r="A5" s="63">
        <v>2</v>
      </c>
      <c r="B5" s="63" t="s">
        <v>29</v>
      </c>
      <c r="C5" s="63" t="s">
        <v>17</v>
      </c>
      <c r="D5" s="63">
        <v>0.6</v>
      </c>
      <c r="E5" s="63" t="s">
        <v>15</v>
      </c>
      <c r="F5" s="63">
        <v>1090</v>
      </c>
      <c r="G5" s="92">
        <v>1824</v>
      </c>
      <c r="H5" s="93">
        <f t="shared" si="0"/>
        <v>1094.3999999999999</v>
      </c>
      <c r="I5" s="92">
        <v>1464</v>
      </c>
      <c r="J5" s="93">
        <f t="shared" si="0"/>
        <v>878.4</v>
      </c>
      <c r="K5" s="92">
        <v>3360</v>
      </c>
      <c r="L5" s="93">
        <f t="shared" si="1"/>
        <v>2016</v>
      </c>
      <c r="M5" s="92">
        <v>3240</v>
      </c>
      <c r="N5" s="93">
        <f t="shared" si="2"/>
        <v>1944</v>
      </c>
      <c r="O5" s="92">
        <v>660</v>
      </c>
      <c r="P5" s="93">
        <f t="shared" si="3"/>
        <v>396</v>
      </c>
      <c r="Q5" s="92">
        <v>720</v>
      </c>
      <c r="R5" s="93">
        <f t="shared" si="4"/>
        <v>432</v>
      </c>
      <c r="S5" s="92">
        <v>1056</v>
      </c>
      <c r="T5" s="93">
        <f t="shared" si="5"/>
        <v>633.6</v>
      </c>
      <c r="U5" s="92">
        <v>1224</v>
      </c>
      <c r="V5" s="93">
        <f t="shared" si="6"/>
        <v>734.4</v>
      </c>
      <c r="W5" s="92">
        <v>852</v>
      </c>
      <c r="X5" s="93">
        <f t="shared" si="7"/>
        <v>511.2</v>
      </c>
      <c r="Y5" s="92">
        <v>480</v>
      </c>
      <c r="Z5" s="93">
        <f t="shared" si="8"/>
        <v>288</v>
      </c>
      <c r="AA5" s="92">
        <v>744</v>
      </c>
      <c r="AB5" s="93">
        <f t="shared" si="9"/>
        <v>446.4</v>
      </c>
      <c r="AC5" s="92">
        <v>1608</v>
      </c>
      <c r="AD5" s="93">
        <f t="shared" si="10"/>
        <v>964.8</v>
      </c>
      <c r="AE5" s="94">
        <f t="shared" si="11"/>
        <v>17232</v>
      </c>
      <c r="AF5" s="95">
        <f t="shared" si="12"/>
        <v>10339.199999999999</v>
      </c>
    </row>
    <row r="6" spans="1:32" ht="20.100000000000001" customHeight="1">
      <c r="A6" s="63">
        <v>3</v>
      </c>
      <c r="B6" s="63" t="s">
        <v>33</v>
      </c>
      <c r="C6" s="63" t="s">
        <v>14</v>
      </c>
      <c r="D6" s="63">
        <v>0.64</v>
      </c>
      <c r="E6" s="63" t="s">
        <v>25</v>
      </c>
      <c r="F6" s="63">
        <v>1230</v>
      </c>
      <c r="G6" s="92">
        <v>70658</v>
      </c>
      <c r="H6" s="93">
        <f t="shared" si="0"/>
        <v>45221.120000000003</v>
      </c>
      <c r="I6" s="92">
        <v>66416</v>
      </c>
      <c r="J6" s="93">
        <f t="shared" si="0"/>
        <v>42506.239999999998</v>
      </c>
      <c r="K6" s="92">
        <v>74508</v>
      </c>
      <c r="L6" s="93">
        <f t="shared" si="1"/>
        <v>47685.120000000003</v>
      </c>
      <c r="M6" s="92">
        <v>54532</v>
      </c>
      <c r="N6" s="93">
        <f t="shared" si="2"/>
        <v>34900.480000000003</v>
      </c>
      <c r="O6" s="92">
        <v>57792</v>
      </c>
      <c r="P6" s="93">
        <f t="shared" si="3"/>
        <v>36986.879999999997</v>
      </c>
      <c r="Q6" s="92">
        <v>64400</v>
      </c>
      <c r="R6" s="93">
        <f t="shared" si="4"/>
        <v>41216</v>
      </c>
      <c r="S6" s="92">
        <v>60830</v>
      </c>
      <c r="T6" s="93">
        <f t="shared" si="5"/>
        <v>38931.200000000004</v>
      </c>
      <c r="U6" s="92">
        <v>64428</v>
      </c>
      <c r="V6" s="93">
        <f t="shared" si="6"/>
        <v>41233.919999999998</v>
      </c>
      <c r="W6" s="92">
        <v>58705</v>
      </c>
      <c r="X6" s="93">
        <f t="shared" si="7"/>
        <v>37571.200000000004</v>
      </c>
      <c r="Y6" s="92">
        <v>62384</v>
      </c>
      <c r="Z6" s="93">
        <f t="shared" si="8"/>
        <v>39925.760000000002</v>
      </c>
      <c r="AA6" s="92">
        <v>67326</v>
      </c>
      <c r="AB6" s="93">
        <f t="shared" si="9"/>
        <v>43088.639999999999</v>
      </c>
      <c r="AC6" s="92">
        <v>82770</v>
      </c>
      <c r="AD6" s="93">
        <f t="shared" si="10"/>
        <v>52972.800000000003</v>
      </c>
      <c r="AE6" s="94">
        <f t="shared" si="11"/>
        <v>784749</v>
      </c>
      <c r="AF6" s="95">
        <f t="shared" si="12"/>
        <v>502239.36</v>
      </c>
    </row>
    <row r="7" spans="1:32" ht="20.100000000000001" customHeight="1">
      <c r="A7" s="202"/>
      <c r="B7" s="11" t="s">
        <v>104</v>
      </c>
      <c r="C7" s="11"/>
      <c r="D7" s="12"/>
      <c r="E7" s="67"/>
      <c r="F7" s="67"/>
      <c r="G7" s="165">
        <f>SUM(G4:G6)</f>
        <v>80957</v>
      </c>
      <c r="H7" s="165">
        <f t="shared" ref="H7:AF7" si="13">SUM(H4:H6)</f>
        <v>54790.520000000004</v>
      </c>
      <c r="I7" s="165">
        <f t="shared" si="13"/>
        <v>75224</v>
      </c>
      <c r="J7" s="165">
        <f t="shared" si="13"/>
        <v>50728.639999999999</v>
      </c>
      <c r="K7" s="165">
        <f t="shared" si="13"/>
        <v>91908</v>
      </c>
      <c r="L7" s="165">
        <f t="shared" si="13"/>
        <v>63741.120000000003</v>
      </c>
      <c r="M7" s="165">
        <f t="shared" si="13"/>
        <v>68560</v>
      </c>
      <c r="N7" s="165">
        <f t="shared" si="13"/>
        <v>47632.480000000003</v>
      </c>
      <c r="O7" s="165">
        <f t="shared" si="13"/>
        <v>64296</v>
      </c>
      <c r="P7" s="165">
        <f t="shared" si="13"/>
        <v>43226.879999999997</v>
      </c>
      <c r="Q7" s="165">
        <f t="shared" si="13"/>
        <v>72224</v>
      </c>
      <c r="R7" s="165">
        <f t="shared" si="13"/>
        <v>48752</v>
      </c>
      <c r="S7" s="165">
        <f t="shared" si="13"/>
        <v>71933</v>
      </c>
      <c r="T7" s="165">
        <f t="shared" si="13"/>
        <v>49611.8</v>
      </c>
      <c r="U7" s="165">
        <f t="shared" si="13"/>
        <v>78552</v>
      </c>
      <c r="V7" s="165">
        <f t="shared" si="13"/>
        <v>54868.32</v>
      </c>
      <c r="W7" s="165">
        <f t="shared" si="13"/>
        <v>67801</v>
      </c>
      <c r="X7" s="165">
        <f t="shared" si="13"/>
        <v>46326.400000000009</v>
      </c>
      <c r="Y7" s="165">
        <f t="shared" si="13"/>
        <v>71984</v>
      </c>
      <c r="Z7" s="165">
        <f t="shared" si="13"/>
        <v>49333.760000000002</v>
      </c>
      <c r="AA7" s="165">
        <f t="shared" si="13"/>
        <v>81306</v>
      </c>
      <c r="AB7" s="165">
        <f t="shared" si="13"/>
        <v>56771.040000000001</v>
      </c>
      <c r="AC7" s="165">
        <f t="shared" si="13"/>
        <v>95010</v>
      </c>
      <c r="AD7" s="165">
        <f t="shared" si="13"/>
        <v>64569.600000000006</v>
      </c>
      <c r="AE7" s="165">
        <f t="shared" si="13"/>
        <v>919755</v>
      </c>
      <c r="AF7" s="165">
        <f t="shared" si="13"/>
        <v>630352.55999999994</v>
      </c>
    </row>
    <row r="8" spans="1:32" ht="20.100000000000001" customHeight="1">
      <c r="A8" s="13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</row>
    <row r="9" spans="1:32" ht="20.100000000000001" customHeight="1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</row>
    <row r="10" spans="1:32" ht="20.100000000000001" customHeight="1">
      <c r="A10" s="63">
        <v>1</v>
      </c>
      <c r="B10" s="63" t="s">
        <v>27</v>
      </c>
      <c r="C10" s="63" t="s">
        <v>17</v>
      </c>
      <c r="D10" s="63">
        <v>1</v>
      </c>
      <c r="E10" s="63" t="s">
        <v>15</v>
      </c>
      <c r="F10" s="63">
        <v>1530</v>
      </c>
      <c r="G10" s="60">
        <v>32</v>
      </c>
      <c r="H10" s="60">
        <f t="shared" ref="H10:H12" si="14">G10*D10</f>
        <v>32</v>
      </c>
      <c r="I10" s="60">
        <v>1</v>
      </c>
      <c r="J10" s="60">
        <f t="shared" ref="J10:J12" si="15">I10*D10</f>
        <v>1</v>
      </c>
      <c r="K10" s="60">
        <v>35</v>
      </c>
      <c r="L10" s="60">
        <f t="shared" ref="L10:L11" si="16">K10*D10</f>
        <v>35</v>
      </c>
      <c r="M10" s="60">
        <v>35</v>
      </c>
      <c r="N10" s="60">
        <f t="shared" ref="N10:N12" si="17">M10*D10</f>
        <v>35</v>
      </c>
      <c r="O10" s="60">
        <v>13</v>
      </c>
      <c r="P10" s="60">
        <f t="shared" ref="P10:P12" si="18">O10*D10</f>
        <v>13</v>
      </c>
      <c r="Q10" s="60"/>
      <c r="R10" s="60"/>
      <c r="S10" s="60"/>
      <c r="T10" s="60"/>
      <c r="U10" s="60">
        <v>7</v>
      </c>
      <c r="V10" s="60">
        <f t="shared" ref="V10:V12" si="19">U10*D10</f>
        <v>7</v>
      </c>
      <c r="W10" s="60">
        <v>4</v>
      </c>
      <c r="X10" s="60">
        <f t="shared" ref="X10:X12" si="20">W10*D10</f>
        <v>4</v>
      </c>
      <c r="Y10" s="60">
        <v>10</v>
      </c>
      <c r="Z10" s="60">
        <f t="shared" ref="Z10" si="21">Y10*D10</f>
        <v>10</v>
      </c>
      <c r="AA10" s="60">
        <v>9</v>
      </c>
      <c r="AB10" s="60">
        <f t="shared" ref="AB10" si="22">AA10*D10</f>
        <v>9</v>
      </c>
      <c r="AC10" s="60">
        <v>2</v>
      </c>
      <c r="AD10" s="60">
        <f t="shared" ref="AD10:AD12" si="23">AC10*D10</f>
        <v>2</v>
      </c>
      <c r="AE10" s="60">
        <f t="shared" ref="AE10:AE12" si="24">G10+I10+K10+M10+O10+Q10+S10+U10+W10+Y10+AA10+AC10</f>
        <v>148</v>
      </c>
      <c r="AF10" s="61">
        <f t="shared" ref="AF10:AF12" si="25">AE10*D10</f>
        <v>148</v>
      </c>
    </row>
    <row r="11" spans="1:32" ht="20.100000000000001" customHeight="1">
      <c r="A11" s="63">
        <v>2</v>
      </c>
      <c r="B11" s="63" t="s">
        <v>29</v>
      </c>
      <c r="C11" s="63" t="s">
        <v>17</v>
      </c>
      <c r="D11" s="63">
        <v>0.6</v>
      </c>
      <c r="E11" s="63" t="s">
        <v>15</v>
      </c>
      <c r="F11" s="63">
        <v>1090</v>
      </c>
      <c r="G11" s="60">
        <v>30</v>
      </c>
      <c r="H11" s="60">
        <f t="shared" si="14"/>
        <v>18</v>
      </c>
      <c r="I11" s="60">
        <v>6</v>
      </c>
      <c r="J11" s="60">
        <f t="shared" si="15"/>
        <v>3.5999999999999996</v>
      </c>
      <c r="K11" s="60">
        <v>116</v>
      </c>
      <c r="L11" s="60">
        <f t="shared" si="16"/>
        <v>69.599999999999994</v>
      </c>
      <c r="M11" s="60">
        <v>4</v>
      </c>
      <c r="N11" s="60">
        <f t="shared" si="17"/>
        <v>2.4</v>
      </c>
      <c r="O11" s="60">
        <v>11</v>
      </c>
      <c r="P11" s="60">
        <f t="shared" si="18"/>
        <v>6.6</v>
      </c>
      <c r="Q11" s="60">
        <v>4</v>
      </c>
      <c r="R11" s="60">
        <f t="shared" ref="R11:R12" si="26">Q11*D11</f>
        <v>2.4</v>
      </c>
      <c r="S11" s="60"/>
      <c r="T11" s="60"/>
      <c r="U11" s="60">
        <v>1</v>
      </c>
      <c r="V11" s="60">
        <f t="shared" si="19"/>
        <v>0.6</v>
      </c>
      <c r="W11" s="60">
        <v>10</v>
      </c>
      <c r="X11" s="60">
        <f t="shared" si="20"/>
        <v>6</v>
      </c>
      <c r="Y11" s="60"/>
      <c r="Z11" s="60"/>
      <c r="AA11" s="60"/>
      <c r="AB11" s="60"/>
      <c r="AC11" s="60">
        <v>2</v>
      </c>
      <c r="AD11" s="60">
        <f t="shared" si="23"/>
        <v>1.2</v>
      </c>
      <c r="AE11" s="60">
        <f t="shared" si="24"/>
        <v>184</v>
      </c>
      <c r="AF11" s="61">
        <f t="shared" si="25"/>
        <v>110.39999999999999</v>
      </c>
    </row>
    <row r="12" spans="1:32" ht="20.100000000000001" customHeight="1">
      <c r="A12" s="63">
        <v>3</v>
      </c>
      <c r="B12" s="63" t="s">
        <v>33</v>
      </c>
      <c r="C12" s="63" t="s">
        <v>14</v>
      </c>
      <c r="D12" s="63">
        <v>0.64</v>
      </c>
      <c r="E12" s="63" t="s">
        <v>25</v>
      </c>
      <c r="F12" s="63">
        <v>1230</v>
      </c>
      <c r="G12" s="60">
        <v>6</v>
      </c>
      <c r="H12" s="60">
        <f t="shared" si="14"/>
        <v>3.84</v>
      </c>
      <c r="I12" s="60">
        <v>1</v>
      </c>
      <c r="J12" s="60">
        <f t="shared" si="15"/>
        <v>0.64</v>
      </c>
      <c r="K12" s="60"/>
      <c r="L12" s="60"/>
      <c r="M12" s="60">
        <v>9</v>
      </c>
      <c r="N12" s="60">
        <f t="shared" si="17"/>
        <v>5.76</v>
      </c>
      <c r="O12" s="60">
        <v>19</v>
      </c>
      <c r="P12" s="60">
        <f t="shared" si="18"/>
        <v>12.16</v>
      </c>
      <c r="Q12" s="60">
        <v>3</v>
      </c>
      <c r="R12" s="60">
        <f t="shared" si="26"/>
        <v>1.92</v>
      </c>
      <c r="S12" s="60"/>
      <c r="T12" s="60"/>
      <c r="U12" s="60">
        <v>5</v>
      </c>
      <c r="V12" s="60">
        <f t="shared" si="19"/>
        <v>3.2</v>
      </c>
      <c r="W12" s="60">
        <v>2</v>
      </c>
      <c r="X12" s="60">
        <f t="shared" si="20"/>
        <v>1.28</v>
      </c>
      <c r="Y12" s="60">
        <v>16</v>
      </c>
      <c r="Z12" s="60">
        <f t="shared" ref="Z12" si="27">Y12*D12</f>
        <v>10.24</v>
      </c>
      <c r="AA12" s="60">
        <v>12</v>
      </c>
      <c r="AB12" s="60">
        <f t="shared" ref="AB12" si="28">AA12*D12</f>
        <v>7.68</v>
      </c>
      <c r="AC12" s="60">
        <v>11</v>
      </c>
      <c r="AD12" s="60">
        <f t="shared" si="23"/>
        <v>7.04</v>
      </c>
      <c r="AE12" s="60">
        <f t="shared" si="24"/>
        <v>84</v>
      </c>
      <c r="AF12" s="61">
        <f t="shared" si="25"/>
        <v>53.76</v>
      </c>
    </row>
    <row r="13" spans="1:32" ht="20.100000000000001" customHeight="1">
      <c r="A13" s="202"/>
      <c r="B13" s="11" t="s">
        <v>143</v>
      </c>
      <c r="C13" s="11"/>
      <c r="D13" s="12"/>
      <c r="E13" s="67"/>
      <c r="F13" s="67"/>
      <c r="G13" s="164">
        <f>SUM(G10:G12)</f>
        <v>68</v>
      </c>
      <c r="H13" s="164">
        <f t="shared" ref="H13:AF13" si="29">SUM(H10:H12)</f>
        <v>53.84</v>
      </c>
      <c r="I13" s="164">
        <f t="shared" si="29"/>
        <v>8</v>
      </c>
      <c r="J13" s="164">
        <f t="shared" si="29"/>
        <v>5.2399999999999993</v>
      </c>
      <c r="K13" s="164">
        <f t="shared" si="29"/>
        <v>151</v>
      </c>
      <c r="L13" s="164">
        <f t="shared" si="29"/>
        <v>104.6</v>
      </c>
      <c r="M13" s="164">
        <f t="shared" si="29"/>
        <v>48</v>
      </c>
      <c r="N13" s="164">
        <f t="shared" si="29"/>
        <v>43.16</v>
      </c>
      <c r="O13" s="164">
        <f t="shared" si="29"/>
        <v>43</v>
      </c>
      <c r="P13" s="164">
        <f t="shared" si="29"/>
        <v>31.76</v>
      </c>
      <c r="Q13" s="164">
        <f t="shared" si="29"/>
        <v>7</v>
      </c>
      <c r="R13" s="164">
        <f t="shared" si="29"/>
        <v>4.32</v>
      </c>
      <c r="S13" s="164">
        <f t="shared" si="29"/>
        <v>0</v>
      </c>
      <c r="T13" s="164">
        <f t="shared" si="29"/>
        <v>0</v>
      </c>
      <c r="U13" s="164">
        <f t="shared" si="29"/>
        <v>13</v>
      </c>
      <c r="V13" s="164">
        <f t="shared" si="29"/>
        <v>10.8</v>
      </c>
      <c r="W13" s="164">
        <f t="shared" si="29"/>
        <v>16</v>
      </c>
      <c r="X13" s="164">
        <f t="shared" si="29"/>
        <v>11.28</v>
      </c>
      <c r="Y13" s="164">
        <f t="shared" si="29"/>
        <v>26</v>
      </c>
      <c r="Z13" s="164">
        <f t="shared" si="29"/>
        <v>20.240000000000002</v>
      </c>
      <c r="AA13" s="164">
        <f t="shared" si="29"/>
        <v>21</v>
      </c>
      <c r="AB13" s="164">
        <f t="shared" si="29"/>
        <v>16.68</v>
      </c>
      <c r="AC13" s="164">
        <f t="shared" si="29"/>
        <v>15</v>
      </c>
      <c r="AD13" s="164">
        <f t="shared" si="29"/>
        <v>10.24</v>
      </c>
      <c r="AE13" s="164">
        <f t="shared" si="29"/>
        <v>416</v>
      </c>
      <c r="AF13" s="164">
        <f t="shared" si="29"/>
        <v>312.15999999999997</v>
      </c>
    </row>
  </sheetData>
  <mergeCells count="19">
    <mergeCell ref="Y2:Z2"/>
    <mergeCell ref="AA2:AB2"/>
    <mergeCell ref="AC2:AD2"/>
    <mergeCell ref="AE2:AF2"/>
    <mergeCell ref="O2:P2"/>
    <mergeCell ref="Q2:R2"/>
    <mergeCell ref="S2:T2"/>
    <mergeCell ref="U2:V2"/>
    <mergeCell ref="W2:X2"/>
    <mergeCell ref="G2:H2"/>
    <mergeCell ref="I2:J2"/>
    <mergeCell ref="K2:L2"/>
    <mergeCell ref="M2:N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E11" sqref="E11"/>
    </sheetView>
  </sheetViews>
  <sheetFormatPr defaultRowHeight="21"/>
  <cols>
    <col min="1" max="1" width="5.5703125" customWidth="1"/>
    <col min="2" max="2" width="22" customWidth="1"/>
    <col min="31" max="31" width="11.28515625" customWidth="1"/>
  </cols>
  <sheetData>
    <row r="1" spans="1:31" ht="24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44927</v>
      </c>
      <c r="G2" s="253"/>
      <c r="H2" s="252">
        <v>44958</v>
      </c>
      <c r="I2" s="253"/>
      <c r="J2" s="252">
        <v>44986</v>
      </c>
      <c r="K2" s="253"/>
      <c r="L2" s="252">
        <v>45017</v>
      </c>
      <c r="M2" s="253"/>
      <c r="N2" s="252">
        <v>45047</v>
      </c>
      <c r="O2" s="253"/>
      <c r="P2" s="252">
        <v>45078</v>
      </c>
      <c r="Q2" s="253"/>
      <c r="R2" s="252">
        <v>45108</v>
      </c>
      <c r="S2" s="253"/>
      <c r="T2" s="252">
        <v>45139</v>
      </c>
      <c r="U2" s="253"/>
      <c r="V2" s="252">
        <v>45170</v>
      </c>
      <c r="W2" s="253"/>
      <c r="X2" s="252">
        <v>45200</v>
      </c>
      <c r="Y2" s="253"/>
      <c r="Z2" s="252">
        <v>45231</v>
      </c>
      <c r="AA2" s="253"/>
      <c r="AB2" s="252">
        <v>45261</v>
      </c>
      <c r="AC2" s="253"/>
      <c r="AD2" s="263" t="s">
        <v>128</v>
      </c>
      <c r="AE2" s="263"/>
    </row>
    <row r="3" spans="1:31">
      <c r="A3" s="238"/>
      <c r="B3" s="238"/>
      <c r="C3" s="238"/>
      <c r="D3" s="240"/>
      <c r="E3" s="240"/>
      <c r="F3" s="170" t="s">
        <v>11</v>
      </c>
      <c r="G3" s="171" t="s">
        <v>12</v>
      </c>
      <c r="H3" s="170" t="s">
        <v>11</v>
      </c>
      <c r="I3" s="171" t="s">
        <v>12</v>
      </c>
      <c r="J3" s="170" t="s">
        <v>11</v>
      </c>
      <c r="K3" s="171" t="s">
        <v>12</v>
      </c>
      <c r="L3" s="170" t="s">
        <v>11</v>
      </c>
      <c r="M3" s="171" t="s">
        <v>12</v>
      </c>
      <c r="N3" s="170" t="s">
        <v>11</v>
      </c>
      <c r="O3" s="171" t="s">
        <v>12</v>
      </c>
      <c r="P3" s="170" t="s">
        <v>11</v>
      </c>
      <c r="Q3" s="171" t="s">
        <v>12</v>
      </c>
      <c r="R3" s="170" t="s">
        <v>11</v>
      </c>
      <c r="S3" s="171" t="s">
        <v>12</v>
      </c>
      <c r="T3" s="170" t="s">
        <v>11</v>
      </c>
      <c r="U3" s="171" t="s">
        <v>12</v>
      </c>
      <c r="V3" s="170" t="s">
        <v>11</v>
      </c>
      <c r="W3" s="171" t="s">
        <v>12</v>
      </c>
      <c r="X3" s="170" t="s">
        <v>11</v>
      </c>
      <c r="Y3" s="171" t="s">
        <v>12</v>
      </c>
      <c r="Z3" s="170" t="s">
        <v>11</v>
      </c>
      <c r="AA3" s="171" t="s">
        <v>12</v>
      </c>
      <c r="AB3" s="170" t="s">
        <v>11</v>
      </c>
      <c r="AC3" s="171" t="s">
        <v>12</v>
      </c>
      <c r="AD3" s="57" t="s">
        <v>11</v>
      </c>
      <c r="AE3" s="34" t="s">
        <v>12</v>
      </c>
    </row>
    <row r="4" spans="1:31" ht="20.100000000000001" customHeight="1">
      <c r="A4" s="63">
        <v>1</v>
      </c>
      <c r="B4" s="63" t="s">
        <v>27</v>
      </c>
      <c r="C4" s="63" t="s">
        <v>17</v>
      </c>
      <c r="D4" s="63">
        <v>1</v>
      </c>
      <c r="E4" s="63" t="s">
        <v>15</v>
      </c>
      <c r="F4" s="88">
        <v>12312</v>
      </c>
      <c r="G4" s="89">
        <f t="shared" ref="G4:G6" si="0">F4*$D4</f>
        <v>12312</v>
      </c>
      <c r="H4" s="88">
        <v>6684</v>
      </c>
      <c r="I4" s="89">
        <f t="shared" ref="I4:I6" si="1">H4*$D4</f>
        <v>6684</v>
      </c>
      <c r="J4" s="88">
        <v>12432</v>
      </c>
      <c r="K4" s="141">
        <f t="shared" ref="K4:K6" si="2">J4*$D4</f>
        <v>12432</v>
      </c>
      <c r="L4" s="88">
        <v>12108</v>
      </c>
      <c r="M4" s="141">
        <f t="shared" ref="M4:M6" si="3">L4*$D4</f>
        <v>12108</v>
      </c>
      <c r="N4" s="88">
        <v>12456</v>
      </c>
      <c r="O4" s="141">
        <f t="shared" ref="O4:O6" si="4">N4*$D4</f>
        <v>12456</v>
      </c>
      <c r="P4" s="88">
        <v>13150</v>
      </c>
      <c r="Q4" s="89">
        <f t="shared" ref="Q4:Q6" si="5">P4*$D4</f>
        <v>13150</v>
      </c>
      <c r="R4" s="88">
        <v>15358</v>
      </c>
      <c r="S4" s="141">
        <f t="shared" ref="S4:S6" si="6">R4*$D4</f>
        <v>15358</v>
      </c>
      <c r="T4" s="88">
        <v>10075</v>
      </c>
      <c r="U4" s="141">
        <f t="shared" ref="U4:U6" si="7">T4*$D4</f>
        <v>10075</v>
      </c>
      <c r="V4" s="88">
        <v>13018</v>
      </c>
      <c r="W4" s="141">
        <f t="shared" ref="W4:W6" si="8">V4*$D4</f>
        <v>13018</v>
      </c>
      <c r="X4" s="88">
        <v>10356</v>
      </c>
      <c r="Y4" s="141">
        <f t="shared" ref="Y4:Y6" si="9">X4*$D4</f>
        <v>10356</v>
      </c>
      <c r="Z4" s="88">
        <v>16800</v>
      </c>
      <c r="AA4" s="141">
        <f t="shared" ref="AA4:AA6" si="10">Z4*$D4</f>
        <v>16800</v>
      </c>
      <c r="AB4" s="88">
        <v>16884</v>
      </c>
      <c r="AC4" s="141">
        <f t="shared" ref="AC4:AC6" si="11">AB4*$D4</f>
        <v>16884</v>
      </c>
      <c r="AD4" s="90">
        <f t="shared" ref="AD4:AD5" si="12">(AB4+Z4+X4+V4+T4+R4+P4+N4+L4+J4+H4+F4)</f>
        <v>151633</v>
      </c>
      <c r="AE4" s="142">
        <f t="shared" ref="AE4:AE6" si="13">AD4*$D4</f>
        <v>151633</v>
      </c>
    </row>
    <row r="5" spans="1:31" ht="20.100000000000001" customHeight="1">
      <c r="A5" s="63">
        <v>2</v>
      </c>
      <c r="B5" s="63" t="s">
        <v>29</v>
      </c>
      <c r="C5" s="63" t="s">
        <v>17</v>
      </c>
      <c r="D5" s="63">
        <v>0.6</v>
      </c>
      <c r="E5" s="63" t="s">
        <v>15</v>
      </c>
      <c r="F5" s="88">
        <v>1488</v>
      </c>
      <c r="G5" s="89">
        <f t="shared" si="0"/>
        <v>892.8</v>
      </c>
      <c r="H5" s="88">
        <v>492</v>
      </c>
      <c r="I5" s="89">
        <f t="shared" si="1"/>
        <v>295.2</v>
      </c>
      <c r="J5" s="88">
        <v>552</v>
      </c>
      <c r="K5" s="141">
        <f t="shared" si="2"/>
        <v>331.2</v>
      </c>
      <c r="L5" s="88">
        <v>600</v>
      </c>
      <c r="M5" s="141">
        <f t="shared" si="3"/>
        <v>360</v>
      </c>
      <c r="N5" s="88">
        <v>780</v>
      </c>
      <c r="O5" s="141">
        <f t="shared" si="4"/>
        <v>468</v>
      </c>
      <c r="P5" s="88">
        <v>648</v>
      </c>
      <c r="Q5" s="89">
        <f t="shared" si="5"/>
        <v>388.8</v>
      </c>
      <c r="R5" s="88">
        <v>564</v>
      </c>
      <c r="S5" s="141">
        <f t="shared" si="6"/>
        <v>338.4</v>
      </c>
      <c r="T5" s="88">
        <v>636</v>
      </c>
      <c r="U5" s="141">
        <f t="shared" si="7"/>
        <v>381.59999999999997</v>
      </c>
      <c r="V5" s="88">
        <v>600</v>
      </c>
      <c r="W5" s="141">
        <f t="shared" si="8"/>
        <v>360</v>
      </c>
      <c r="X5" s="88">
        <v>876</v>
      </c>
      <c r="Y5" s="141">
        <f t="shared" si="9"/>
        <v>525.6</v>
      </c>
      <c r="Z5" s="88">
        <v>720</v>
      </c>
      <c r="AA5" s="141">
        <f t="shared" si="10"/>
        <v>432</v>
      </c>
      <c r="AB5" s="88">
        <v>576</v>
      </c>
      <c r="AC5" s="141">
        <f t="shared" si="11"/>
        <v>345.59999999999997</v>
      </c>
      <c r="AD5" s="90">
        <f t="shared" si="12"/>
        <v>8532</v>
      </c>
      <c r="AE5" s="142">
        <f t="shared" si="13"/>
        <v>5119.2</v>
      </c>
    </row>
    <row r="6" spans="1:31" ht="20.100000000000001" customHeight="1">
      <c r="A6" s="63">
        <v>3</v>
      </c>
      <c r="B6" s="63" t="s">
        <v>33</v>
      </c>
      <c r="C6" s="63" t="s">
        <v>14</v>
      </c>
      <c r="D6" s="63">
        <v>0.64</v>
      </c>
      <c r="E6" s="63" t="s">
        <v>25</v>
      </c>
      <c r="F6" s="88">
        <v>67662</v>
      </c>
      <c r="G6" s="89">
        <f t="shared" si="0"/>
        <v>43303.68</v>
      </c>
      <c r="H6" s="88">
        <v>58922</v>
      </c>
      <c r="I6" s="89">
        <f t="shared" si="1"/>
        <v>37710.080000000002</v>
      </c>
      <c r="J6" s="88">
        <v>61334</v>
      </c>
      <c r="K6" s="141">
        <f t="shared" si="2"/>
        <v>39253.760000000002</v>
      </c>
      <c r="L6" s="88">
        <v>59794</v>
      </c>
      <c r="M6" s="141">
        <f t="shared" si="3"/>
        <v>38268.160000000003</v>
      </c>
      <c r="N6" s="88">
        <v>45528</v>
      </c>
      <c r="O6" s="141">
        <f t="shared" si="4"/>
        <v>29137.920000000002</v>
      </c>
      <c r="P6" s="88">
        <v>58940</v>
      </c>
      <c r="Q6" s="89">
        <f t="shared" si="5"/>
        <v>37721.599999999999</v>
      </c>
      <c r="R6" s="88">
        <v>68562</v>
      </c>
      <c r="S6" s="141">
        <f t="shared" si="6"/>
        <v>43879.68</v>
      </c>
      <c r="T6" s="88">
        <v>62636</v>
      </c>
      <c r="U6" s="141">
        <f t="shared" si="7"/>
        <v>40087.040000000001</v>
      </c>
      <c r="V6" s="88">
        <v>66628</v>
      </c>
      <c r="W6" s="141">
        <f t="shared" si="8"/>
        <v>42641.919999999998</v>
      </c>
      <c r="X6" s="88">
        <v>67270</v>
      </c>
      <c r="Y6" s="141">
        <f t="shared" si="9"/>
        <v>43052.800000000003</v>
      </c>
      <c r="Z6" s="88">
        <v>65856</v>
      </c>
      <c r="AA6" s="141">
        <f t="shared" si="10"/>
        <v>42147.840000000004</v>
      </c>
      <c r="AB6" s="88">
        <v>87710</v>
      </c>
      <c r="AC6" s="141">
        <f t="shared" si="11"/>
        <v>56134.400000000001</v>
      </c>
      <c r="AD6" s="90">
        <f>(AB6+Z6+X6+V6+T6+R6+P6+N6+L6+J6+H6+F6)</f>
        <v>770842</v>
      </c>
      <c r="AE6" s="142">
        <f t="shared" si="13"/>
        <v>493338.88</v>
      </c>
    </row>
    <row r="7" spans="1:31" ht="20.100000000000001" customHeight="1">
      <c r="A7" s="202"/>
      <c r="B7" s="11" t="s">
        <v>104</v>
      </c>
      <c r="C7" s="11"/>
      <c r="D7" s="12"/>
      <c r="E7" s="67"/>
      <c r="F7" s="201">
        <f>SUM(F4:F6)</f>
        <v>81462</v>
      </c>
      <c r="G7" s="201">
        <f t="shared" ref="G7:AC7" si="14">SUM(G4:G6)</f>
        <v>56508.479999999996</v>
      </c>
      <c r="H7" s="201">
        <f t="shared" si="14"/>
        <v>66098</v>
      </c>
      <c r="I7" s="201">
        <f t="shared" si="14"/>
        <v>44689.279999999999</v>
      </c>
      <c r="J7" s="201">
        <f t="shared" si="14"/>
        <v>74318</v>
      </c>
      <c r="K7" s="201">
        <f t="shared" si="14"/>
        <v>52016.960000000006</v>
      </c>
      <c r="L7" s="201">
        <f t="shared" si="14"/>
        <v>72502</v>
      </c>
      <c r="M7" s="201">
        <f t="shared" si="14"/>
        <v>50736.160000000003</v>
      </c>
      <c r="N7" s="201">
        <f t="shared" si="14"/>
        <v>58764</v>
      </c>
      <c r="O7" s="201">
        <f t="shared" si="14"/>
        <v>42061.919999999998</v>
      </c>
      <c r="P7" s="201">
        <f t="shared" si="14"/>
        <v>72738</v>
      </c>
      <c r="Q7" s="201">
        <f t="shared" si="14"/>
        <v>51260.399999999994</v>
      </c>
      <c r="R7" s="201">
        <f t="shared" si="14"/>
        <v>84484</v>
      </c>
      <c r="S7" s="201">
        <f t="shared" si="14"/>
        <v>59576.08</v>
      </c>
      <c r="T7" s="201">
        <f t="shared" si="14"/>
        <v>73347</v>
      </c>
      <c r="U7" s="201">
        <f t="shared" si="14"/>
        <v>50543.64</v>
      </c>
      <c r="V7" s="201">
        <f t="shared" si="14"/>
        <v>80246</v>
      </c>
      <c r="W7" s="201">
        <f t="shared" si="14"/>
        <v>56019.92</v>
      </c>
      <c r="X7" s="201">
        <f t="shared" si="14"/>
        <v>78502</v>
      </c>
      <c r="Y7" s="201">
        <f t="shared" si="14"/>
        <v>53934.400000000001</v>
      </c>
      <c r="Z7" s="201">
        <f t="shared" si="14"/>
        <v>83376</v>
      </c>
      <c r="AA7" s="201">
        <f t="shared" si="14"/>
        <v>59379.840000000004</v>
      </c>
      <c r="AB7" s="201">
        <f t="shared" si="14"/>
        <v>105170</v>
      </c>
      <c r="AC7" s="201">
        <f t="shared" si="14"/>
        <v>73364</v>
      </c>
      <c r="AD7" s="201">
        <f>SUM(AD4:AD6)</f>
        <v>931007</v>
      </c>
      <c r="AE7" s="201">
        <f>SUM(AE4:AE6)</f>
        <v>650091.08000000007</v>
      </c>
    </row>
    <row r="8" spans="1:31" ht="20.100000000000001" customHeight="1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</row>
    <row r="9" spans="1:31" ht="20.100000000000001" customHeight="1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</row>
    <row r="10" spans="1:31" ht="20.100000000000001" customHeight="1">
      <c r="A10" s="63">
        <v>1</v>
      </c>
      <c r="B10" s="63" t="s">
        <v>27</v>
      </c>
      <c r="C10" s="63" t="s">
        <v>17</v>
      </c>
      <c r="D10" s="63">
        <v>1</v>
      </c>
      <c r="E10" s="63" t="s">
        <v>15</v>
      </c>
      <c r="F10" s="173"/>
      <c r="G10" s="173"/>
      <c r="H10" s="173">
        <v>5</v>
      </c>
      <c r="I10" s="173">
        <v>5</v>
      </c>
      <c r="J10" s="173">
        <v>1</v>
      </c>
      <c r="K10" s="173">
        <v>1</v>
      </c>
      <c r="L10" s="173">
        <v>12</v>
      </c>
      <c r="M10" s="173">
        <v>12</v>
      </c>
      <c r="N10" s="173">
        <v>31</v>
      </c>
      <c r="O10" s="173">
        <v>31</v>
      </c>
      <c r="P10" s="173">
        <v>12</v>
      </c>
      <c r="Q10" s="173">
        <v>12</v>
      </c>
      <c r="R10" s="173">
        <v>15</v>
      </c>
      <c r="S10" s="173">
        <v>15</v>
      </c>
      <c r="T10" s="173">
        <v>8</v>
      </c>
      <c r="U10" s="173">
        <v>8</v>
      </c>
      <c r="V10" s="173">
        <v>10</v>
      </c>
      <c r="W10" s="173">
        <v>10</v>
      </c>
      <c r="X10" s="173">
        <v>5</v>
      </c>
      <c r="Y10" s="173">
        <v>5</v>
      </c>
      <c r="Z10" s="173">
        <v>19</v>
      </c>
      <c r="AA10" s="173">
        <v>19</v>
      </c>
      <c r="AB10" s="173">
        <v>6</v>
      </c>
      <c r="AC10" s="173">
        <v>6</v>
      </c>
      <c r="AD10" s="173">
        <v>124</v>
      </c>
      <c r="AE10" s="173">
        <v>124</v>
      </c>
    </row>
    <row r="11" spans="1:31" ht="20.100000000000001" customHeight="1">
      <c r="A11" s="63">
        <v>2</v>
      </c>
      <c r="B11" s="63" t="s">
        <v>29</v>
      </c>
      <c r="C11" s="63" t="s">
        <v>17</v>
      </c>
      <c r="D11" s="63">
        <v>0.6</v>
      </c>
      <c r="E11" s="63" t="s">
        <v>15</v>
      </c>
      <c r="F11" s="173">
        <v>36</v>
      </c>
      <c r="G11" s="173">
        <v>21.599999999999998</v>
      </c>
      <c r="H11" s="173">
        <v>1</v>
      </c>
      <c r="I11" s="173">
        <v>0.6</v>
      </c>
      <c r="J11" s="173"/>
      <c r="K11" s="173"/>
      <c r="L11" s="173"/>
      <c r="M11" s="173"/>
      <c r="N11" s="173">
        <v>1</v>
      </c>
      <c r="O11" s="173">
        <v>0.6</v>
      </c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>
        <v>2</v>
      </c>
      <c r="AA11" s="173">
        <v>1.2</v>
      </c>
      <c r="AB11" s="173"/>
      <c r="AC11" s="173"/>
      <c r="AD11" s="173">
        <v>40</v>
      </c>
      <c r="AE11" s="173">
        <v>24</v>
      </c>
    </row>
    <row r="12" spans="1:31" ht="20.100000000000001" customHeight="1">
      <c r="A12" s="63">
        <v>3</v>
      </c>
      <c r="B12" s="63" t="s">
        <v>33</v>
      </c>
      <c r="C12" s="63" t="s">
        <v>14</v>
      </c>
      <c r="D12" s="63">
        <v>0.64</v>
      </c>
      <c r="E12" s="63" t="s">
        <v>25</v>
      </c>
      <c r="F12" s="173">
        <v>17</v>
      </c>
      <c r="G12" s="173">
        <v>10.88</v>
      </c>
      <c r="H12" s="173">
        <v>11</v>
      </c>
      <c r="I12" s="173">
        <v>7.04</v>
      </c>
      <c r="J12" s="173"/>
      <c r="K12" s="173"/>
      <c r="L12" s="173">
        <v>16</v>
      </c>
      <c r="M12" s="173">
        <v>10.24</v>
      </c>
      <c r="N12" s="173"/>
      <c r="O12" s="173"/>
      <c r="P12" s="173">
        <v>23</v>
      </c>
      <c r="Q12" s="173">
        <v>14.72</v>
      </c>
      <c r="R12" s="173">
        <v>24</v>
      </c>
      <c r="S12" s="173">
        <v>15.36</v>
      </c>
      <c r="T12" s="173">
        <v>17</v>
      </c>
      <c r="U12" s="173">
        <v>10.88</v>
      </c>
      <c r="V12" s="173">
        <v>21</v>
      </c>
      <c r="W12" s="173">
        <v>13.44</v>
      </c>
      <c r="X12" s="173">
        <v>21</v>
      </c>
      <c r="Y12" s="173">
        <v>13.44</v>
      </c>
      <c r="Z12" s="173">
        <v>26</v>
      </c>
      <c r="AA12" s="173">
        <v>16.64</v>
      </c>
      <c r="AB12" s="173">
        <v>12</v>
      </c>
      <c r="AC12" s="173">
        <v>7.68</v>
      </c>
      <c r="AD12" s="173">
        <v>188</v>
      </c>
      <c r="AE12" s="173">
        <v>120.32000000000001</v>
      </c>
    </row>
    <row r="13" spans="1:31" ht="20.100000000000001" customHeight="1">
      <c r="A13" s="202"/>
      <c r="B13" s="11" t="s">
        <v>143</v>
      </c>
      <c r="C13" s="11"/>
      <c r="D13" s="12"/>
      <c r="E13" s="67"/>
      <c r="F13" s="173">
        <f>SUM(F10:F12)</f>
        <v>53</v>
      </c>
      <c r="G13" s="173">
        <f t="shared" ref="G13:AE13" si="15">SUM(G10:G12)</f>
        <v>32.479999999999997</v>
      </c>
      <c r="H13" s="173">
        <f t="shared" si="15"/>
        <v>17</v>
      </c>
      <c r="I13" s="173">
        <f t="shared" si="15"/>
        <v>12.64</v>
      </c>
      <c r="J13" s="173">
        <f t="shared" si="15"/>
        <v>1</v>
      </c>
      <c r="K13" s="173">
        <f t="shared" si="15"/>
        <v>1</v>
      </c>
      <c r="L13" s="173">
        <f t="shared" si="15"/>
        <v>28</v>
      </c>
      <c r="M13" s="173">
        <f t="shared" si="15"/>
        <v>22.240000000000002</v>
      </c>
      <c r="N13" s="173">
        <f t="shared" si="15"/>
        <v>32</v>
      </c>
      <c r="O13" s="173">
        <f t="shared" si="15"/>
        <v>31.6</v>
      </c>
      <c r="P13" s="173">
        <f t="shared" si="15"/>
        <v>35</v>
      </c>
      <c r="Q13" s="173">
        <f t="shared" si="15"/>
        <v>26.72</v>
      </c>
      <c r="R13" s="173">
        <f t="shared" si="15"/>
        <v>39</v>
      </c>
      <c r="S13" s="173">
        <f t="shared" si="15"/>
        <v>30.36</v>
      </c>
      <c r="T13" s="173">
        <f t="shared" si="15"/>
        <v>25</v>
      </c>
      <c r="U13" s="173">
        <f t="shared" si="15"/>
        <v>18.880000000000003</v>
      </c>
      <c r="V13" s="173">
        <f t="shared" si="15"/>
        <v>31</v>
      </c>
      <c r="W13" s="173">
        <f t="shared" si="15"/>
        <v>23.439999999999998</v>
      </c>
      <c r="X13" s="173">
        <f t="shared" si="15"/>
        <v>26</v>
      </c>
      <c r="Y13" s="173">
        <f t="shared" si="15"/>
        <v>18.439999999999998</v>
      </c>
      <c r="Z13" s="173">
        <f t="shared" si="15"/>
        <v>47</v>
      </c>
      <c r="AA13" s="173">
        <f t="shared" si="15"/>
        <v>36.840000000000003</v>
      </c>
      <c r="AB13" s="173">
        <f t="shared" si="15"/>
        <v>18</v>
      </c>
      <c r="AC13" s="173">
        <f t="shared" si="15"/>
        <v>13.68</v>
      </c>
      <c r="AD13" s="173">
        <f t="shared" si="15"/>
        <v>352</v>
      </c>
      <c r="AE13" s="173">
        <f t="shared" si="15"/>
        <v>268.32</v>
      </c>
    </row>
  </sheetData>
  <mergeCells count="18">
    <mergeCell ref="AD2:AE2"/>
    <mergeCell ref="R2:S2"/>
    <mergeCell ref="T2:U2"/>
    <mergeCell ref="V2:W2"/>
    <mergeCell ref="X2:Y2"/>
    <mergeCell ref="Z2:AA2"/>
    <mergeCell ref="AB2:AC2"/>
    <mergeCell ref="P2:Q2"/>
    <mergeCell ref="A2:A3"/>
    <mergeCell ref="B2:B3"/>
    <mergeCell ref="C2:C3"/>
    <mergeCell ref="D2:D3"/>
    <mergeCell ref="E2:E3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B4" sqref="B4"/>
    </sheetView>
  </sheetViews>
  <sheetFormatPr defaultRowHeight="21"/>
  <cols>
    <col min="1" max="1" width="6.7109375" customWidth="1"/>
    <col min="2" max="2" width="23" customWidth="1"/>
    <col min="30" max="30" width="10.5703125" bestFit="1" customWidth="1"/>
    <col min="31" max="31" width="11.42578125" customWidth="1"/>
  </cols>
  <sheetData>
    <row r="1" spans="1:31" ht="24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45292</v>
      </c>
      <c r="G2" s="253"/>
      <c r="H2" s="252">
        <v>45323</v>
      </c>
      <c r="I2" s="253"/>
      <c r="J2" s="252">
        <v>45352</v>
      </c>
      <c r="K2" s="253"/>
      <c r="L2" s="252">
        <v>45383</v>
      </c>
      <c r="M2" s="253"/>
      <c r="N2" s="252">
        <v>45413</v>
      </c>
      <c r="O2" s="253"/>
      <c r="P2" s="252">
        <v>45444</v>
      </c>
      <c r="Q2" s="253"/>
      <c r="R2" s="252">
        <v>45474</v>
      </c>
      <c r="S2" s="253"/>
      <c r="T2" s="252">
        <v>45505</v>
      </c>
      <c r="U2" s="253"/>
      <c r="V2" s="252">
        <v>45536</v>
      </c>
      <c r="W2" s="253"/>
      <c r="X2" s="252">
        <v>45566</v>
      </c>
      <c r="Y2" s="253"/>
      <c r="Z2" s="252">
        <v>45597</v>
      </c>
      <c r="AA2" s="253"/>
      <c r="AB2" s="252">
        <v>45627</v>
      </c>
      <c r="AC2" s="253"/>
      <c r="AD2" s="272" t="s">
        <v>128</v>
      </c>
      <c r="AE2" s="272"/>
    </row>
    <row r="3" spans="1:31">
      <c r="A3" s="238"/>
      <c r="B3" s="238"/>
      <c r="C3" s="238"/>
      <c r="D3" s="240"/>
      <c r="E3" s="240"/>
      <c r="F3" s="55" t="s">
        <v>11</v>
      </c>
      <c r="G3" s="56" t="s">
        <v>12</v>
      </c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55" t="s">
        <v>11</v>
      </c>
      <c r="AE3" s="56" t="s">
        <v>12</v>
      </c>
    </row>
    <row r="4" spans="1:31" ht="20.100000000000001" customHeight="1">
      <c r="A4" s="63">
        <v>1</v>
      </c>
      <c r="B4" s="63" t="s">
        <v>27</v>
      </c>
      <c r="C4" s="63" t="s">
        <v>17</v>
      </c>
      <c r="D4" s="63">
        <v>1</v>
      </c>
      <c r="E4" s="63" t="s">
        <v>15</v>
      </c>
      <c r="F4" s="145">
        <v>15300</v>
      </c>
      <c r="G4" s="141">
        <f t="shared" ref="G4:G6" si="0">F4*$D4</f>
        <v>15300</v>
      </c>
      <c r="H4" s="88">
        <v>13344</v>
      </c>
      <c r="I4" s="141">
        <f t="shared" ref="I4:I6" si="1">H4*$D4</f>
        <v>13344</v>
      </c>
      <c r="J4" s="88">
        <v>11724</v>
      </c>
      <c r="K4" s="141">
        <f t="shared" ref="K4:K6" si="2">J4*$D4</f>
        <v>11724</v>
      </c>
      <c r="L4" s="88">
        <v>18996</v>
      </c>
      <c r="M4" s="141">
        <f t="shared" ref="M4:M6" si="3">L4*$D4</f>
        <v>18996</v>
      </c>
      <c r="N4" s="88">
        <v>9228</v>
      </c>
      <c r="O4" s="141">
        <f t="shared" ref="O4:O6" si="4">N4*$D4</f>
        <v>9228</v>
      </c>
      <c r="P4" s="88">
        <v>13296</v>
      </c>
      <c r="Q4" s="141">
        <f t="shared" ref="Q4:Q6" si="5">P4*$D4</f>
        <v>13296</v>
      </c>
      <c r="R4" s="88">
        <v>18504</v>
      </c>
      <c r="S4" s="141">
        <f t="shared" ref="S4:S6" si="6">R4*$D4</f>
        <v>18504</v>
      </c>
      <c r="T4" s="88">
        <v>21840</v>
      </c>
      <c r="U4" s="141">
        <f t="shared" ref="U4:U6" si="7">T4*$D4</f>
        <v>21840</v>
      </c>
      <c r="V4" s="88">
        <v>19896</v>
      </c>
      <c r="W4" s="141">
        <f t="shared" ref="W4:W6" si="8">V4*$D4</f>
        <v>19896</v>
      </c>
      <c r="X4" s="88">
        <v>28848</v>
      </c>
      <c r="Y4" s="141">
        <f t="shared" ref="Y4:Y6" si="9">X4*$D4</f>
        <v>28848</v>
      </c>
      <c r="Z4" s="88">
        <v>25560</v>
      </c>
      <c r="AA4" s="141">
        <f t="shared" ref="AA4:AA6" si="10">Z4*$D4</f>
        <v>25560</v>
      </c>
      <c r="AB4" s="91">
        <v>36288</v>
      </c>
      <c r="AC4" s="141">
        <f t="shared" ref="AC4:AC6" si="11">AB4*$D4</f>
        <v>36288</v>
      </c>
      <c r="AD4" s="90">
        <f t="shared" ref="AD4:AD6" si="12">(AB4+Z4+X4+V4+T4+R4+P4+N4+L4+J4+H4+F4)</f>
        <v>232824</v>
      </c>
      <c r="AE4" s="142">
        <f t="shared" ref="AE4:AE6" si="13">AD4*$D4</f>
        <v>232824</v>
      </c>
    </row>
    <row r="5" spans="1:31" ht="20.100000000000001" customHeight="1">
      <c r="A5" s="63">
        <v>2</v>
      </c>
      <c r="B5" s="63" t="s">
        <v>29</v>
      </c>
      <c r="C5" s="63" t="s">
        <v>17</v>
      </c>
      <c r="D5" s="63">
        <v>0.6</v>
      </c>
      <c r="E5" s="63" t="s">
        <v>15</v>
      </c>
      <c r="F5" s="145">
        <v>900</v>
      </c>
      <c r="G5" s="141">
        <f t="shared" si="0"/>
        <v>540</v>
      </c>
      <c r="H5" s="88">
        <v>564</v>
      </c>
      <c r="I5" s="141">
        <f t="shared" si="1"/>
        <v>338.4</v>
      </c>
      <c r="J5" s="88">
        <v>744</v>
      </c>
      <c r="K5" s="141">
        <f t="shared" si="2"/>
        <v>446.4</v>
      </c>
      <c r="L5" s="88">
        <v>612</v>
      </c>
      <c r="M5" s="141">
        <f t="shared" si="3"/>
        <v>367.2</v>
      </c>
      <c r="N5" s="88">
        <v>12</v>
      </c>
      <c r="O5" s="141">
        <f t="shared" si="4"/>
        <v>7.1999999999999993</v>
      </c>
      <c r="P5" s="88">
        <v>336</v>
      </c>
      <c r="Q5" s="141">
        <f t="shared" si="5"/>
        <v>201.6</v>
      </c>
      <c r="R5" s="88">
        <v>408</v>
      </c>
      <c r="S5" s="141">
        <f t="shared" si="6"/>
        <v>244.79999999999998</v>
      </c>
      <c r="T5" s="88">
        <v>336</v>
      </c>
      <c r="U5" s="141">
        <f t="shared" si="7"/>
        <v>201.6</v>
      </c>
      <c r="V5" s="88">
        <v>840</v>
      </c>
      <c r="W5" s="141">
        <f t="shared" si="8"/>
        <v>504</v>
      </c>
      <c r="X5" s="88">
        <v>1152</v>
      </c>
      <c r="Y5" s="141">
        <f t="shared" si="9"/>
        <v>691.19999999999993</v>
      </c>
      <c r="Z5" s="88">
        <v>1776</v>
      </c>
      <c r="AA5" s="141">
        <f t="shared" si="10"/>
        <v>1065.5999999999999</v>
      </c>
      <c r="AB5" s="91">
        <v>600</v>
      </c>
      <c r="AC5" s="141">
        <f t="shared" si="11"/>
        <v>360</v>
      </c>
      <c r="AD5" s="90">
        <f t="shared" si="12"/>
        <v>8280</v>
      </c>
      <c r="AE5" s="142">
        <f t="shared" si="13"/>
        <v>4968</v>
      </c>
    </row>
    <row r="6" spans="1:31" ht="20.100000000000001" customHeight="1">
      <c r="A6" s="63">
        <v>3</v>
      </c>
      <c r="B6" s="63" t="s">
        <v>33</v>
      </c>
      <c r="C6" s="63" t="s">
        <v>14</v>
      </c>
      <c r="D6" s="63">
        <v>0.64</v>
      </c>
      <c r="E6" s="63" t="s">
        <v>25</v>
      </c>
      <c r="F6" s="145">
        <v>75935</v>
      </c>
      <c r="G6" s="141">
        <f t="shared" si="0"/>
        <v>48598.400000000001</v>
      </c>
      <c r="H6" s="88">
        <v>64518</v>
      </c>
      <c r="I6" s="141">
        <f t="shared" si="1"/>
        <v>41291.520000000004</v>
      </c>
      <c r="J6" s="88">
        <v>69272</v>
      </c>
      <c r="K6" s="141">
        <f t="shared" si="2"/>
        <v>44334.080000000002</v>
      </c>
      <c r="L6" s="88">
        <v>59570</v>
      </c>
      <c r="M6" s="141">
        <f t="shared" si="3"/>
        <v>38124.800000000003</v>
      </c>
      <c r="N6" s="88">
        <v>65708</v>
      </c>
      <c r="O6" s="141">
        <f t="shared" si="4"/>
        <v>42053.120000000003</v>
      </c>
      <c r="P6" s="88">
        <v>66472</v>
      </c>
      <c r="Q6" s="141">
        <f t="shared" si="5"/>
        <v>42542.080000000002</v>
      </c>
      <c r="R6" s="88">
        <v>71516</v>
      </c>
      <c r="S6" s="141">
        <f t="shared" si="6"/>
        <v>45770.239999999998</v>
      </c>
      <c r="T6" s="88">
        <v>59500</v>
      </c>
      <c r="U6" s="141">
        <f t="shared" si="7"/>
        <v>38080</v>
      </c>
      <c r="V6" s="88">
        <v>66640</v>
      </c>
      <c r="W6" s="141">
        <f t="shared" si="8"/>
        <v>42649.599999999999</v>
      </c>
      <c r="X6" s="88">
        <v>76510</v>
      </c>
      <c r="Y6" s="141">
        <f t="shared" si="9"/>
        <v>48966.400000000001</v>
      </c>
      <c r="Z6" s="88">
        <v>66934</v>
      </c>
      <c r="AA6" s="141">
        <f t="shared" si="10"/>
        <v>42837.760000000002</v>
      </c>
      <c r="AB6" s="91">
        <v>79688</v>
      </c>
      <c r="AC6" s="141">
        <f t="shared" si="11"/>
        <v>51000.32</v>
      </c>
      <c r="AD6" s="90">
        <f t="shared" si="12"/>
        <v>822263</v>
      </c>
      <c r="AE6" s="142">
        <f t="shared" si="13"/>
        <v>526248.32000000007</v>
      </c>
    </row>
    <row r="7" spans="1:31" ht="20.100000000000001" customHeight="1">
      <c r="A7" s="66"/>
      <c r="B7" s="11" t="s">
        <v>104</v>
      </c>
      <c r="C7" s="11"/>
      <c r="D7" s="12"/>
      <c r="E7" s="67"/>
      <c r="F7" s="201">
        <f>SUM(F4:F6)</f>
        <v>92135</v>
      </c>
      <c r="G7" s="201">
        <f t="shared" ref="G7:AE7" si="14">SUM(G4:G6)</f>
        <v>64438.400000000001</v>
      </c>
      <c r="H7" s="201">
        <f t="shared" si="14"/>
        <v>78426</v>
      </c>
      <c r="I7" s="201">
        <f t="shared" si="14"/>
        <v>54973.920000000006</v>
      </c>
      <c r="J7" s="201">
        <f t="shared" si="14"/>
        <v>81740</v>
      </c>
      <c r="K7" s="201">
        <f t="shared" si="14"/>
        <v>56504.480000000003</v>
      </c>
      <c r="L7" s="201">
        <f t="shared" si="14"/>
        <v>79178</v>
      </c>
      <c r="M7" s="201">
        <f t="shared" si="14"/>
        <v>57488</v>
      </c>
      <c r="N7" s="201">
        <f t="shared" si="14"/>
        <v>74948</v>
      </c>
      <c r="O7" s="201">
        <f t="shared" si="14"/>
        <v>51288.320000000007</v>
      </c>
      <c r="P7" s="201">
        <f t="shared" si="14"/>
        <v>80104</v>
      </c>
      <c r="Q7" s="201">
        <f t="shared" si="14"/>
        <v>56039.68</v>
      </c>
      <c r="R7" s="201">
        <f t="shared" si="14"/>
        <v>90428</v>
      </c>
      <c r="S7" s="201">
        <f t="shared" si="14"/>
        <v>64519.039999999994</v>
      </c>
      <c r="T7" s="201">
        <f t="shared" si="14"/>
        <v>81676</v>
      </c>
      <c r="U7" s="201">
        <f t="shared" si="14"/>
        <v>60121.599999999999</v>
      </c>
      <c r="V7" s="201">
        <f t="shared" si="14"/>
        <v>87376</v>
      </c>
      <c r="W7" s="201">
        <f t="shared" si="14"/>
        <v>63049.599999999999</v>
      </c>
      <c r="X7" s="201">
        <f t="shared" si="14"/>
        <v>106510</v>
      </c>
      <c r="Y7" s="201">
        <f t="shared" si="14"/>
        <v>78505.600000000006</v>
      </c>
      <c r="Z7" s="201">
        <f t="shared" si="14"/>
        <v>94270</v>
      </c>
      <c r="AA7" s="201">
        <f t="shared" si="14"/>
        <v>69463.360000000001</v>
      </c>
      <c r="AB7" s="201">
        <f t="shared" si="14"/>
        <v>116576</v>
      </c>
      <c r="AC7" s="201">
        <f t="shared" si="14"/>
        <v>87648.320000000007</v>
      </c>
      <c r="AD7" s="201">
        <f t="shared" si="14"/>
        <v>1063367</v>
      </c>
      <c r="AE7" s="201">
        <f t="shared" si="14"/>
        <v>764040.32000000007</v>
      </c>
    </row>
    <row r="8" spans="1:31" ht="20.100000000000001" customHeight="1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</row>
    <row r="9" spans="1:31" ht="20.100000000000001" customHeight="1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</row>
    <row r="10" spans="1:31" ht="20.100000000000001" customHeight="1">
      <c r="A10" s="63">
        <v>1</v>
      </c>
      <c r="B10" s="63" t="s">
        <v>27</v>
      </c>
      <c r="C10" s="63" t="s">
        <v>17</v>
      </c>
      <c r="D10" s="63">
        <v>1</v>
      </c>
      <c r="E10" s="63" t="s">
        <v>15</v>
      </c>
      <c r="F10" s="173">
        <v>29</v>
      </c>
      <c r="G10" s="173">
        <v>29</v>
      </c>
      <c r="H10" s="173">
        <v>1082</v>
      </c>
      <c r="I10" s="173">
        <v>1082</v>
      </c>
      <c r="J10" s="173"/>
      <c r="K10" s="173"/>
      <c r="L10" s="173"/>
      <c r="M10" s="173"/>
      <c r="N10" s="173">
        <v>15</v>
      </c>
      <c r="O10" s="173">
        <v>15</v>
      </c>
      <c r="P10" s="173">
        <v>5</v>
      </c>
      <c r="Q10" s="173">
        <v>5</v>
      </c>
      <c r="R10" s="173">
        <v>31</v>
      </c>
      <c r="S10" s="173">
        <v>31</v>
      </c>
      <c r="T10" s="173">
        <v>12</v>
      </c>
      <c r="U10" s="173">
        <v>12</v>
      </c>
      <c r="V10" s="173">
        <v>2</v>
      </c>
      <c r="W10" s="173">
        <v>2</v>
      </c>
      <c r="X10" s="173">
        <v>24</v>
      </c>
      <c r="Y10" s="173">
        <v>24</v>
      </c>
      <c r="Z10" s="173">
        <v>9</v>
      </c>
      <c r="AA10" s="173">
        <v>9</v>
      </c>
      <c r="AB10" s="173">
        <v>7</v>
      </c>
      <c r="AC10" s="173">
        <v>7</v>
      </c>
      <c r="AD10" s="173">
        <v>1216</v>
      </c>
      <c r="AE10" s="203">
        <v>1216</v>
      </c>
    </row>
    <row r="11" spans="1:31" ht="20.100000000000001" customHeight="1">
      <c r="A11" s="63">
        <v>2</v>
      </c>
      <c r="B11" s="63" t="s">
        <v>29</v>
      </c>
      <c r="C11" s="63" t="s">
        <v>17</v>
      </c>
      <c r="D11" s="63">
        <v>0.6</v>
      </c>
      <c r="E11" s="63" t="s">
        <v>15</v>
      </c>
      <c r="F11" s="173">
        <v>6</v>
      </c>
      <c r="G11" s="173">
        <v>3.5999999999999996</v>
      </c>
      <c r="H11" s="173">
        <v>8</v>
      </c>
      <c r="I11" s="173">
        <v>4.8</v>
      </c>
      <c r="J11" s="173"/>
      <c r="K11" s="173"/>
      <c r="L11" s="173"/>
      <c r="M11" s="173"/>
      <c r="N11" s="173">
        <v>7</v>
      </c>
      <c r="O11" s="173">
        <v>4.2</v>
      </c>
      <c r="P11" s="173">
        <v>1</v>
      </c>
      <c r="Q11" s="173">
        <v>0.6</v>
      </c>
      <c r="R11" s="173"/>
      <c r="S11" s="173"/>
      <c r="T11" s="173"/>
      <c r="U11" s="173"/>
      <c r="V11" s="173"/>
      <c r="W11" s="173"/>
      <c r="X11" s="173">
        <v>10</v>
      </c>
      <c r="Y11" s="173">
        <v>6</v>
      </c>
      <c r="Z11" s="173"/>
      <c r="AA11" s="173"/>
      <c r="AB11" s="173">
        <v>1</v>
      </c>
      <c r="AC11" s="173">
        <v>0.6</v>
      </c>
      <c r="AD11" s="173">
        <v>33</v>
      </c>
      <c r="AE11" s="173">
        <v>19.8</v>
      </c>
    </row>
    <row r="12" spans="1:31" ht="20.100000000000001" customHeight="1">
      <c r="A12" s="63">
        <v>3</v>
      </c>
      <c r="B12" s="63" t="s">
        <v>33</v>
      </c>
      <c r="C12" s="63" t="s">
        <v>14</v>
      </c>
      <c r="D12" s="63">
        <v>0.64</v>
      </c>
      <c r="E12" s="63" t="s">
        <v>25</v>
      </c>
      <c r="F12" s="173">
        <v>13</v>
      </c>
      <c r="G12" s="173">
        <v>8.32</v>
      </c>
      <c r="H12" s="173">
        <v>27</v>
      </c>
      <c r="I12" s="173">
        <v>17.28</v>
      </c>
      <c r="J12" s="173">
        <v>17</v>
      </c>
      <c r="K12" s="173">
        <v>10.88</v>
      </c>
      <c r="L12" s="173">
        <v>7</v>
      </c>
      <c r="M12" s="173">
        <v>4.4800000000000004</v>
      </c>
      <c r="N12" s="173">
        <v>22</v>
      </c>
      <c r="O12" s="173">
        <v>14.08</v>
      </c>
      <c r="P12" s="173">
        <v>22</v>
      </c>
      <c r="Q12" s="173">
        <v>14.08</v>
      </c>
      <c r="R12" s="173">
        <v>40</v>
      </c>
      <c r="S12" s="173">
        <v>25.6</v>
      </c>
      <c r="T12" s="173">
        <v>17</v>
      </c>
      <c r="U12" s="173">
        <v>10.88</v>
      </c>
      <c r="V12" s="173">
        <v>25</v>
      </c>
      <c r="W12" s="173">
        <v>16</v>
      </c>
      <c r="X12" s="173">
        <v>26</v>
      </c>
      <c r="Y12" s="173">
        <v>16.64</v>
      </c>
      <c r="Z12" s="173">
        <v>10</v>
      </c>
      <c r="AA12" s="173">
        <v>6.4</v>
      </c>
      <c r="AB12" s="173">
        <v>31</v>
      </c>
      <c r="AC12" s="173">
        <v>19.84</v>
      </c>
      <c r="AD12" s="173">
        <v>257</v>
      </c>
      <c r="AE12" s="173">
        <v>164.48</v>
      </c>
    </row>
    <row r="13" spans="1:31" ht="20.100000000000001" customHeight="1">
      <c r="A13" s="66"/>
      <c r="B13" s="11" t="s">
        <v>143</v>
      </c>
      <c r="C13" s="11"/>
      <c r="D13" s="12"/>
      <c r="E13" s="67"/>
      <c r="F13" s="173">
        <f>SUM(F10:F12)</f>
        <v>48</v>
      </c>
      <c r="G13" s="173">
        <f t="shared" ref="G13:AE13" si="15">SUM(G10:G12)</f>
        <v>40.92</v>
      </c>
      <c r="H13" s="173">
        <f t="shared" si="15"/>
        <v>1117</v>
      </c>
      <c r="I13" s="173">
        <f t="shared" si="15"/>
        <v>1104.08</v>
      </c>
      <c r="J13" s="173">
        <f t="shared" si="15"/>
        <v>17</v>
      </c>
      <c r="K13" s="173">
        <f t="shared" si="15"/>
        <v>10.88</v>
      </c>
      <c r="L13" s="173">
        <f t="shared" si="15"/>
        <v>7</v>
      </c>
      <c r="M13" s="173">
        <f t="shared" si="15"/>
        <v>4.4800000000000004</v>
      </c>
      <c r="N13" s="173">
        <f t="shared" si="15"/>
        <v>44</v>
      </c>
      <c r="O13" s="173">
        <f t="shared" si="15"/>
        <v>33.28</v>
      </c>
      <c r="P13" s="173">
        <f t="shared" si="15"/>
        <v>28</v>
      </c>
      <c r="Q13" s="173">
        <f t="shared" si="15"/>
        <v>19.68</v>
      </c>
      <c r="R13" s="173">
        <f t="shared" si="15"/>
        <v>71</v>
      </c>
      <c r="S13" s="173">
        <f t="shared" si="15"/>
        <v>56.6</v>
      </c>
      <c r="T13" s="173">
        <f t="shared" si="15"/>
        <v>29</v>
      </c>
      <c r="U13" s="173">
        <f t="shared" si="15"/>
        <v>22.880000000000003</v>
      </c>
      <c r="V13" s="173">
        <f t="shared" si="15"/>
        <v>27</v>
      </c>
      <c r="W13" s="173">
        <f t="shared" si="15"/>
        <v>18</v>
      </c>
      <c r="X13" s="173">
        <f t="shared" si="15"/>
        <v>60</v>
      </c>
      <c r="Y13" s="173">
        <f t="shared" si="15"/>
        <v>46.64</v>
      </c>
      <c r="Z13" s="173">
        <f t="shared" si="15"/>
        <v>19</v>
      </c>
      <c r="AA13" s="173">
        <f t="shared" si="15"/>
        <v>15.4</v>
      </c>
      <c r="AB13" s="173">
        <f t="shared" si="15"/>
        <v>39</v>
      </c>
      <c r="AC13" s="173">
        <f t="shared" si="15"/>
        <v>27.439999999999998</v>
      </c>
      <c r="AD13" s="173">
        <f t="shared" si="15"/>
        <v>1506</v>
      </c>
      <c r="AE13" s="173">
        <f t="shared" si="15"/>
        <v>1400.28</v>
      </c>
    </row>
  </sheetData>
  <mergeCells count="18">
    <mergeCell ref="AD2:AE2"/>
    <mergeCell ref="AB2:AC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B4" sqref="B4"/>
    </sheetView>
  </sheetViews>
  <sheetFormatPr defaultRowHeight="21"/>
  <cols>
    <col min="1" max="1" width="4.7109375" customWidth="1"/>
    <col min="2" max="2" width="22" bestFit="1" customWidth="1"/>
    <col min="3" max="3" width="7.42578125" bestFit="1" customWidth="1"/>
    <col min="4" max="4" width="4.42578125" bestFit="1" customWidth="1"/>
    <col min="5" max="5" width="7.7109375" bestFit="1" customWidth="1"/>
    <col min="6" max="6" width="9.42578125" customWidth="1"/>
    <col min="7" max="7" width="9.5703125" bestFit="1" customWidth="1"/>
    <col min="8" max="8" width="9.5703125" customWidth="1"/>
    <col min="9" max="9" width="9.5703125" bestFit="1" customWidth="1"/>
    <col min="10" max="10" width="9.7109375" customWidth="1"/>
    <col min="11" max="11" width="9.42578125" bestFit="1" customWidth="1"/>
    <col min="12" max="12" width="8.42578125" customWidth="1"/>
    <col min="13" max="13" width="9" customWidth="1"/>
    <col min="14" max="14" width="8.7109375" customWidth="1"/>
    <col min="15" max="15" width="9.7109375" customWidth="1"/>
    <col min="16" max="16" width="8.5703125" customWidth="1"/>
    <col min="17" max="17" width="9.140625" customWidth="1"/>
    <col min="18" max="18" width="9.28515625" customWidth="1"/>
    <col min="19" max="19" width="9.42578125" customWidth="1"/>
    <col min="20" max="20" width="8.85546875" customWidth="1"/>
    <col min="21" max="22" width="10" customWidth="1"/>
    <col min="23" max="23" width="10.5703125" customWidth="1"/>
    <col min="24" max="24" width="12.28515625" customWidth="1"/>
    <col min="25" max="25" width="11" customWidth="1"/>
    <col min="26" max="26" width="12.85546875" customWidth="1"/>
    <col min="27" max="27" width="11" customWidth="1"/>
    <col min="28" max="28" width="10.42578125" customWidth="1"/>
    <col min="29" max="29" width="10.85546875" customWidth="1"/>
    <col min="30" max="30" width="12" customWidth="1"/>
    <col min="31" max="31" width="11.5703125" customWidth="1"/>
  </cols>
  <sheetData>
    <row r="1" spans="1:31" ht="24.7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45658</v>
      </c>
      <c r="G2" s="253"/>
      <c r="H2" s="252">
        <v>45689</v>
      </c>
      <c r="I2" s="253"/>
      <c r="J2" s="252">
        <v>45717</v>
      </c>
      <c r="K2" s="253"/>
      <c r="L2" s="252">
        <v>45748</v>
      </c>
      <c r="M2" s="253"/>
      <c r="N2" s="252">
        <v>45778</v>
      </c>
      <c r="O2" s="253"/>
      <c r="P2" s="252">
        <v>45809</v>
      </c>
      <c r="Q2" s="253"/>
      <c r="R2" s="252">
        <v>45839</v>
      </c>
      <c r="S2" s="253"/>
      <c r="T2" s="252">
        <v>45870</v>
      </c>
      <c r="U2" s="253"/>
      <c r="V2" s="252">
        <v>45901</v>
      </c>
      <c r="W2" s="253"/>
      <c r="X2" s="252">
        <v>45931</v>
      </c>
      <c r="Y2" s="253"/>
      <c r="Z2" s="252">
        <v>45962</v>
      </c>
      <c r="AA2" s="253"/>
      <c r="AB2" s="252">
        <v>45992</v>
      </c>
      <c r="AC2" s="253"/>
      <c r="AD2" s="259" t="s">
        <v>10</v>
      </c>
      <c r="AE2" s="260"/>
    </row>
    <row r="3" spans="1:31">
      <c r="A3" s="238"/>
      <c r="B3" s="238"/>
      <c r="C3" s="238"/>
      <c r="D3" s="240"/>
      <c r="E3" s="240"/>
      <c r="F3" s="55" t="s">
        <v>11</v>
      </c>
      <c r="G3" s="87" t="s">
        <v>12</v>
      </c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55" t="s">
        <v>11</v>
      </c>
      <c r="AE3" s="56" t="s">
        <v>12</v>
      </c>
    </row>
    <row r="4" spans="1:31" ht="20.100000000000001" customHeight="1">
      <c r="A4" s="63">
        <v>1</v>
      </c>
      <c r="B4" s="63" t="s">
        <v>27</v>
      </c>
      <c r="C4" s="63" t="s">
        <v>17</v>
      </c>
      <c r="D4" s="63">
        <v>1</v>
      </c>
      <c r="E4" s="63" t="s">
        <v>15</v>
      </c>
      <c r="F4" s="149">
        <v>33792</v>
      </c>
      <c r="G4" s="141">
        <f t="shared" ref="G4:G6" si="0">F4*$D4</f>
        <v>33792</v>
      </c>
      <c r="H4" s="149">
        <v>20238</v>
      </c>
      <c r="I4" s="150">
        <f t="shared" ref="I4:I6" si="1">H4*$D4</f>
        <v>20238</v>
      </c>
      <c r="J4" s="149">
        <v>48540</v>
      </c>
      <c r="K4" s="150">
        <f t="shared" ref="K4:K6" si="2">J4*$D4</f>
        <v>48540</v>
      </c>
      <c r="L4" s="149">
        <v>22764</v>
      </c>
      <c r="M4" s="150">
        <f t="shared" ref="M4:M6" si="3">L4*$D4</f>
        <v>22764</v>
      </c>
      <c r="N4" s="149">
        <v>26844</v>
      </c>
      <c r="O4" s="150">
        <f t="shared" ref="O4:O6" si="4">N4*$D4</f>
        <v>26844</v>
      </c>
      <c r="P4" s="149">
        <v>33972</v>
      </c>
      <c r="Q4" s="150">
        <f t="shared" ref="Q4:Q6" si="5">P4*$D4</f>
        <v>33972</v>
      </c>
      <c r="R4" s="149">
        <v>40620</v>
      </c>
      <c r="S4" s="150">
        <f t="shared" ref="S4:S6" si="6">R4*$D4</f>
        <v>40620</v>
      </c>
      <c r="T4" s="149">
        <v>36588</v>
      </c>
      <c r="U4" s="150">
        <f t="shared" ref="U4:U6" si="7">T4*$D4</f>
        <v>36588</v>
      </c>
      <c r="V4" s="149">
        <v>57684</v>
      </c>
      <c r="W4" s="150">
        <f t="shared" ref="W4:W6" si="8">V4*$D4</f>
        <v>57684</v>
      </c>
      <c r="X4" s="149">
        <v>67716</v>
      </c>
      <c r="Y4" s="150">
        <f t="shared" ref="Y4:Y6" si="9">X4*$D4</f>
        <v>67716</v>
      </c>
      <c r="Z4" s="149">
        <v>32580</v>
      </c>
      <c r="AA4" s="150">
        <f t="shared" ref="AA4:AA6" si="10">Z4*$D4</f>
        <v>32580</v>
      </c>
      <c r="AB4" s="149">
        <v>53064</v>
      </c>
      <c r="AC4" s="150">
        <f t="shared" ref="AC4:AC6" si="11">AB4*$D4</f>
        <v>53064</v>
      </c>
      <c r="AD4" s="151">
        <f t="shared" ref="AD4:AE6" si="12">SUM(F4,H4,J4,L4,N4,P4,R4,T4,V4,X4,Z4,AB4)</f>
        <v>474402</v>
      </c>
      <c r="AE4" s="152">
        <f t="shared" si="12"/>
        <v>474402</v>
      </c>
    </row>
    <row r="5" spans="1:31" ht="20.100000000000001" customHeight="1">
      <c r="A5" s="63">
        <v>2</v>
      </c>
      <c r="B5" s="63" t="s">
        <v>29</v>
      </c>
      <c r="C5" s="63" t="s">
        <v>17</v>
      </c>
      <c r="D5" s="63">
        <v>0.6</v>
      </c>
      <c r="E5" s="63" t="s">
        <v>15</v>
      </c>
      <c r="F5" s="149">
        <v>672</v>
      </c>
      <c r="G5" s="141">
        <f t="shared" si="0"/>
        <v>403.2</v>
      </c>
      <c r="H5" s="149">
        <v>756</v>
      </c>
      <c r="I5" s="150">
        <f t="shared" si="1"/>
        <v>453.59999999999997</v>
      </c>
      <c r="J5" s="149">
        <v>540</v>
      </c>
      <c r="K5" s="150">
        <f t="shared" si="2"/>
        <v>324</v>
      </c>
      <c r="L5" s="149">
        <v>756</v>
      </c>
      <c r="M5" s="150">
        <f t="shared" si="3"/>
        <v>453.59999999999997</v>
      </c>
      <c r="N5" s="149">
        <v>720</v>
      </c>
      <c r="O5" s="150">
        <f t="shared" si="4"/>
        <v>432</v>
      </c>
      <c r="P5" s="149">
        <v>456</v>
      </c>
      <c r="Q5" s="150">
        <f t="shared" si="5"/>
        <v>273.59999999999997</v>
      </c>
      <c r="R5" s="149">
        <v>648</v>
      </c>
      <c r="S5" s="150">
        <f t="shared" si="6"/>
        <v>388.8</v>
      </c>
      <c r="T5" s="149">
        <v>552</v>
      </c>
      <c r="U5" s="150">
        <f t="shared" si="7"/>
        <v>331.2</v>
      </c>
      <c r="V5" s="149">
        <v>660</v>
      </c>
      <c r="W5" s="150">
        <f t="shared" si="8"/>
        <v>396</v>
      </c>
      <c r="X5" s="149">
        <v>840</v>
      </c>
      <c r="Y5" s="150">
        <f t="shared" si="9"/>
        <v>504</v>
      </c>
      <c r="Z5" s="149">
        <v>456</v>
      </c>
      <c r="AA5" s="150">
        <f t="shared" si="10"/>
        <v>273.59999999999997</v>
      </c>
      <c r="AB5" s="149">
        <v>516</v>
      </c>
      <c r="AC5" s="150">
        <f t="shared" si="11"/>
        <v>309.59999999999997</v>
      </c>
      <c r="AD5" s="151">
        <f t="shared" si="12"/>
        <v>7572</v>
      </c>
      <c r="AE5" s="152">
        <f t="shared" si="12"/>
        <v>4543.2</v>
      </c>
    </row>
    <row r="6" spans="1:31" ht="20.100000000000001" customHeight="1">
      <c r="A6" s="63">
        <v>3</v>
      </c>
      <c r="B6" s="63" t="s">
        <v>33</v>
      </c>
      <c r="C6" s="63" t="s">
        <v>14</v>
      </c>
      <c r="D6" s="63">
        <v>0.64</v>
      </c>
      <c r="E6" s="63" t="s">
        <v>25</v>
      </c>
      <c r="F6" s="149">
        <v>78915</v>
      </c>
      <c r="G6" s="141">
        <f t="shared" si="0"/>
        <v>50505.599999999999</v>
      </c>
      <c r="H6" s="149">
        <v>57960</v>
      </c>
      <c r="I6" s="150">
        <f t="shared" si="1"/>
        <v>37094.400000000001</v>
      </c>
      <c r="J6" s="149">
        <v>67424</v>
      </c>
      <c r="K6" s="150">
        <f t="shared" si="2"/>
        <v>43151.360000000001</v>
      </c>
      <c r="L6" s="149">
        <v>59108</v>
      </c>
      <c r="M6" s="150">
        <f t="shared" si="3"/>
        <v>37829.120000000003</v>
      </c>
      <c r="N6" s="149">
        <v>62751</v>
      </c>
      <c r="O6" s="150">
        <f t="shared" si="4"/>
        <v>40160.639999999999</v>
      </c>
      <c r="P6" s="149">
        <v>60505</v>
      </c>
      <c r="Q6" s="150">
        <f t="shared" si="5"/>
        <v>38723.200000000004</v>
      </c>
      <c r="R6" s="149">
        <v>62881</v>
      </c>
      <c r="S6" s="150">
        <f t="shared" si="6"/>
        <v>40243.840000000004</v>
      </c>
      <c r="T6" s="149">
        <v>62132</v>
      </c>
      <c r="U6" s="150">
        <f t="shared" si="7"/>
        <v>39764.480000000003</v>
      </c>
      <c r="V6" s="149">
        <v>62320</v>
      </c>
      <c r="W6" s="150">
        <f t="shared" si="8"/>
        <v>39884.800000000003</v>
      </c>
      <c r="X6" s="149">
        <v>61037</v>
      </c>
      <c r="Y6" s="150">
        <f t="shared" si="9"/>
        <v>39063.68</v>
      </c>
      <c r="Z6" s="149">
        <v>68404</v>
      </c>
      <c r="AA6" s="150">
        <f t="shared" si="10"/>
        <v>43778.559999999998</v>
      </c>
      <c r="AB6" s="149">
        <v>62636</v>
      </c>
      <c r="AC6" s="150">
        <f t="shared" si="11"/>
        <v>40087.040000000001</v>
      </c>
      <c r="AD6" s="151">
        <f t="shared" si="12"/>
        <v>766073</v>
      </c>
      <c r="AE6" s="152">
        <f t="shared" si="12"/>
        <v>490286.72</v>
      </c>
    </row>
    <row r="7" spans="1:31" ht="20.100000000000001" customHeight="1">
      <c r="A7" s="202"/>
      <c r="B7" s="11" t="s">
        <v>104</v>
      </c>
      <c r="C7" s="11"/>
      <c r="D7" s="12"/>
      <c r="E7" s="67"/>
      <c r="F7" s="201">
        <f>SUM(F4:F6)</f>
        <v>113379</v>
      </c>
      <c r="G7" s="204">
        <f t="shared" ref="G7:AE7" si="13">SUM(G4:G6)</f>
        <v>84700.799999999988</v>
      </c>
      <c r="H7" s="201">
        <f t="shared" si="13"/>
        <v>78954</v>
      </c>
      <c r="I7" s="204">
        <f t="shared" si="13"/>
        <v>57786</v>
      </c>
      <c r="J7" s="201">
        <f t="shared" si="13"/>
        <v>116504</v>
      </c>
      <c r="K7" s="204">
        <f t="shared" si="13"/>
        <v>92015.360000000001</v>
      </c>
      <c r="L7" s="201">
        <f t="shared" si="13"/>
        <v>82628</v>
      </c>
      <c r="M7" s="204">
        <f t="shared" si="13"/>
        <v>61046.720000000001</v>
      </c>
      <c r="N7" s="201">
        <f t="shared" si="13"/>
        <v>90315</v>
      </c>
      <c r="O7" s="204">
        <f t="shared" si="13"/>
        <v>67436.639999999999</v>
      </c>
      <c r="P7" s="201">
        <f t="shared" si="13"/>
        <v>94933</v>
      </c>
      <c r="Q7" s="204">
        <f t="shared" si="13"/>
        <v>72968.800000000003</v>
      </c>
      <c r="R7" s="201">
        <f t="shared" si="13"/>
        <v>104149</v>
      </c>
      <c r="S7" s="204">
        <f t="shared" si="13"/>
        <v>81252.640000000014</v>
      </c>
      <c r="T7" s="201">
        <f t="shared" si="13"/>
        <v>99272</v>
      </c>
      <c r="U7" s="204">
        <f t="shared" si="13"/>
        <v>76683.679999999993</v>
      </c>
      <c r="V7" s="201">
        <f t="shared" si="13"/>
        <v>120664</v>
      </c>
      <c r="W7" s="204">
        <f t="shared" si="13"/>
        <v>97964.800000000003</v>
      </c>
      <c r="X7" s="201">
        <f t="shared" si="13"/>
        <v>129593</v>
      </c>
      <c r="Y7" s="204">
        <f t="shared" si="13"/>
        <v>107283.68</v>
      </c>
      <c r="Z7" s="201">
        <f t="shared" si="13"/>
        <v>101440</v>
      </c>
      <c r="AA7" s="201">
        <f t="shared" si="13"/>
        <v>76632.160000000003</v>
      </c>
      <c r="AB7" s="201">
        <f t="shared" si="13"/>
        <v>116216</v>
      </c>
      <c r="AC7" s="201">
        <f t="shared" si="13"/>
        <v>93460.64</v>
      </c>
      <c r="AD7" s="201">
        <f t="shared" si="13"/>
        <v>1248047</v>
      </c>
      <c r="AE7" s="204">
        <f t="shared" si="13"/>
        <v>969231.91999999993</v>
      </c>
    </row>
    <row r="8" spans="1:31" ht="20.100000000000001" customHeight="1">
      <c r="A8" s="211"/>
      <c r="B8" s="35"/>
      <c r="C8" s="35"/>
      <c r="D8" s="36"/>
      <c r="E8" s="205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</row>
    <row r="9" spans="1:31" ht="20.100000000000001" customHeight="1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</row>
    <row r="10" spans="1:31" ht="20.100000000000001" customHeight="1">
      <c r="A10" s="63">
        <v>1</v>
      </c>
      <c r="B10" s="63" t="s">
        <v>27</v>
      </c>
      <c r="C10" s="63" t="s">
        <v>17</v>
      </c>
      <c r="D10" s="63">
        <v>1</v>
      </c>
      <c r="E10" s="63" t="s">
        <v>15</v>
      </c>
      <c r="F10" s="173">
        <v>2128</v>
      </c>
      <c r="G10" s="207">
        <v>2128</v>
      </c>
      <c r="H10" s="173">
        <v>1310</v>
      </c>
      <c r="I10" s="207">
        <v>1310</v>
      </c>
      <c r="J10" s="173">
        <v>6</v>
      </c>
      <c r="K10" s="207">
        <v>6</v>
      </c>
      <c r="L10" s="173">
        <v>252</v>
      </c>
      <c r="M10" s="207">
        <v>252</v>
      </c>
      <c r="N10" s="173">
        <v>12</v>
      </c>
      <c r="O10" s="207">
        <v>12</v>
      </c>
      <c r="P10" s="173">
        <v>15</v>
      </c>
      <c r="Q10" s="173">
        <v>15</v>
      </c>
      <c r="R10" s="59">
        <v>14</v>
      </c>
      <c r="S10" s="174">
        <v>14</v>
      </c>
      <c r="T10" s="173">
        <v>10</v>
      </c>
      <c r="U10" s="173">
        <f>T10*D10</f>
        <v>10</v>
      </c>
      <c r="V10" s="173">
        <v>2815</v>
      </c>
      <c r="W10" s="175">
        <f>V10*D10</f>
        <v>2815</v>
      </c>
      <c r="X10" s="173">
        <v>3363</v>
      </c>
      <c r="Y10" s="173">
        <v>3363</v>
      </c>
      <c r="Z10" s="173"/>
      <c r="AA10" s="173"/>
      <c r="AB10" s="173">
        <v>4</v>
      </c>
      <c r="AC10" s="173">
        <f>AB10*D10</f>
        <v>4</v>
      </c>
      <c r="AD10" s="173">
        <f>F10+H10+J10+L10+N10+P10+R10+T10+V10+X10+Z10+AB10</f>
        <v>9929</v>
      </c>
      <c r="AE10" s="207">
        <f>G10+I10+K10+M10+O10+Q10+S10+U10+W10+Y10+AA10+AC10</f>
        <v>9929</v>
      </c>
    </row>
    <row r="11" spans="1:31" ht="20.100000000000001" customHeight="1">
      <c r="A11" s="63">
        <v>2</v>
      </c>
      <c r="B11" s="63" t="s">
        <v>29</v>
      </c>
      <c r="C11" s="63" t="s">
        <v>17</v>
      </c>
      <c r="D11" s="63">
        <v>0.6</v>
      </c>
      <c r="E11" s="63" t="s">
        <v>15</v>
      </c>
      <c r="F11" s="173">
        <v>2</v>
      </c>
      <c r="G11" s="207">
        <v>1.2</v>
      </c>
      <c r="H11" s="173"/>
      <c r="I11" s="173"/>
      <c r="J11" s="173"/>
      <c r="K11" s="173"/>
      <c r="L11" s="173">
        <v>3</v>
      </c>
      <c r="M11" s="207">
        <v>1.7999999999999998</v>
      </c>
      <c r="N11" s="173"/>
      <c r="O11" s="207"/>
      <c r="P11" s="173"/>
      <c r="Q11" s="173"/>
      <c r="R11" s="173"/>
      <c r="S11" s="173"/>
      <c r="T11" s="173">
        <v>12</v>
      </c>
      <c r="U11" s="173">
        <f t="shared" ref="U11:U12" si="14">T11*D11</f>
        <v>7.1999999999999993</v>
      </c>
      <c r="V11" s="173"/>
      <c r="W11" s="175">
        <f t="shared" ref="W11:W12" si="15">V11*D11</f>
        <v>0</v>
      </c>
      <c r="X11" s="173">
        <v>3</v>
      </c>
      <c r="Y11" s="173">
        <v>1.7999999999999998</v>
      </c>
      <c r="Z11" s="173"/>
      <c r="AA11" s="173"/>
      <c r="AB11" s="173"/>
      <c r="AC11" s="173"/>
      <c r="AD11" s="173">
        <f t="shared" ref="AD11:AD12" si="16">F11+H11+J11+L11+N11+P11+R11+T11+V11+X11+Z11+AB11</f>
        <v>20</v>
      </c>
      <c r="AE11" s="207">
        <f t="shared" ref="AE11:AE12" si="17">G11+I11+K11+M11+O11+Q11+S11+U11+W11+Y11+AA11+AC11</f>
        <v>12</v>
      </c>
    </row>
    <row r="12" spans="1:31" ht="20.100000000000001" customHeight="1">
      <c r="A12" s="63">
        <v>3</v>
      </c>
      <c r="B12" s="63" t="s">
        <v>33</v>
      </c>
      <c r="C12" s="63" t="s">
        <v>14</v>
      </c>
      <c r="D12" s="63">
        <v>0.64</v>
      </c>
      <c r="E12" s="63" t="s">
        <v>25</v>
      </c>
      <c r="F12" s="173">
        <v>32</v>
      </c>
      <c r="G12" s="207">
        <v>20.48</v>
      </c>
      <c r="H12" s="173">
        <v>12</v>
      </c>
      <c r="I12" s="207">
        <v>7.68</v>
      </c>
      <c r="J12" s="173">
        <v>643</v>
      </c>
      <c r="K12" s="207">
        <v>411.52</v>
      </c>
      <c r="L12" s="173">
        <v>12</v>
      </c>
      <c r="M12" s="207">
        <v>7.68</v>
      </c>
      <c r="N12" s="173">
        <v>158</v>
      </c>
      <c r="O12" s="207">
        <v>101.12</v>
      </c>
      <c r="P12" s="173">
        <v>23</v>
      </c>
      <c r="Q12" s="173">
        <v>14.72</v>
      </c>
      <c r="R12" s="173">
        <v>13</v>
      </c>
      <c r="S12" s="173">
        <v>8.32</v>
      </c>
      <c r="T12" s="173">
        <v>6</v>
      </c>
      <c r="U12" s="173">
        <f t="shared" si="14"/>
        <v>3.84</v>
      </c>
      <c r="V12" s="173">
        <v>8</v>
      </c>
      <c r="W12" s="175">
        <f t="shared" si="15"/>
        <v>5.12</v>
      </c>
      <c r="X12" s="173">
        <v>3</v>
      </c>
      <c r="Y12" s="173">
        <v>1.92</v>
      </c>
      <c r="Z12" s="173">
        <v>5</v>
      </c>
      <c r="AA12" s="173">
        <f>Z12*D12</f>
        <v>3.2</v>
      </c>
      <c r="AB12" s="173">
        <v>5</v>
      </c>
      <c r="AC12" s="173">
        <f>AB12*D12</f>
        <v>3.2</v>
      </c>
      <c r="AD12" s="173">
        <f t="shared" si="16"/>
        <v>920</v>
      </c>
      <c r="AE12" s="207">
        <f t="shared" si="17"/>
        <v>588.80000000000018</v>
      </c>
    </row>
    <row r="13" spans="1:31" ht="20.100000000000001" customHeight="1">
      <c r="A13" s="202"/>
      <c r="B13" s="11" t="s">
        <v>143</v>
      </c>
      <c r="C13" s="11"/>
      <c r="D13" s="12"/>
      <c r="E13" s="67"/>
      <c r="F13" s="175">
        <f>SUM(F10:F12)</f>
        <v>2162</v>
      </c>
      <c r="G13" s="208">
        <f t="shared" ref="G13:AE13" si="18">SUM(G10:G12)</f>
        <v>2149.6799999999998</v>
      </c>
      <c r="H13" s="175">
        <f t="shared" si="18"/>
        <v>1322</v>
      </c>
      <c r="I13" s="208">
        <f>SUM(I10:I12)</f>
        <v>1317.68</v>
      </c>
      <c r="J13" s="175">
        <f t="shared" si="18"/>
        <v>649</v>
      </c>
      <c r="K13" s="208">
        <f t="shared" si="18"/>
        <v>417.52</v>
      </c>
      <c r="L13" s="175">
        <f t="shared" si="18"/>
        <v>267</v>
      </c>
      <c r="M13" s="208">
        <f t="shared" si="18"/>
        <v>261.48</v>
      </c>
      <c r="N13" s="175">
        <f t="shared" si="18"/>
        <v>170</v>
      </c>
      <c r="O13" s="208">
        <f t="shared" si="18"/>
        <v>113.12</v>
      </c>
      <c r="P13" s="175">
        <f t="shared" si="18"/>
        <v>38</v>
      </c>
      <c r="Q13" s="175">
        <f t="shared" si="18"/>
        <v>29.72</v>
      </c>
      <c r="R13" s="175">
        <f t="shared" si="18"/>
        <v>27</v>
      </c>
      <c r="S13" s="175">
        <f t="shared" si="18"/>
        <v>22.32</v>
      </c>
      <c r="T13" s="175">
        <f t="shared" si="18"/>
        <v>28</v>
      </c>
      <c r="U13" s="175">
        <f t="shared" si="18"/>
        <v>21.04</v>
      </c>
      <c r="V13" s="175">
        <f t="shared" si="18"/>
        <v>2823</v>
      </c>
      <c r="W13" s="175">
        <f t="shared" si="18"/>
        <v>2820.12</v>
      </c>
      <c r="X13" s="175">
        <f t="shared" si="18"/>
        <v>3369</v>
      </c>
      <c r="Y13" s="175">
        <f t="shared" si="18"/>
        <v>3366.7200000000003</v>
      </c>
      <c r="Z13" s="175">
        <f t="shared" si="18"/>
        <v>5</v>
      </c>
      <c r="AA13" s="175">
        <f t="shared" si="18"/>
        <v>3.2</v>
      </c>
      <c r="AB13" s="175">
        <f t="shared" si="18"/>
        <v>9</v>
      </c>
      <c r="AC13" s="175">
        <f t="shared" si="18"/>
        <v>7.2</v>
      </c>
      <c r="AD13" s="209">
        <f t="shared" si="18"/>
        <v>10869</v>
      </c>
      <c r="AE13" s="210">
        <f t="shared" si="18"/>
        <v>10529.8</v>
      </c>
    </row>
  </sheetData>
  <mergeCells count="18">
    <mergeCell ref="AD2:AE2"/>
    <mergeCell ref="R2:S2"/>
    <mergeCell ref="T2:U2"/>
    <mergeCell ref="V2:W2"/>
    <mergeCell ref="X2:Y2"/>
    <mergeCell ref="Z2:AA2"/>
    <mergeCell ref="AB2:AC2"/>
    <mergeCell ref="P2:Q2"/>
    <mergeCell ref="A2:A3"/>
    <mergeCell ref="B2:B3"/>
    <mergeCell ref="C2:C3"/>
    <mergeCell ref="D2:D3"/>
    <mergeCell ref="E2:E3"/>
    <mergeCell ref="F2:G2"/>
    <mergeCell ref="H2:I2"/>
    <mergeCell ref="J2:K2"/>
    <mergeCell ref="L2:M2"/>
    <mergeCell ref="N2:O2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workbookViewId="0">
      <selection activeCell="H20" sqref="H20"/>
    </sheetView>
  </sheetViews>
  <sheetFormatPr defaultRowHeight="21"/>
  <cols>
    <col min="1" max="1" width="4.7109375" customWidth="1"/>
    <col min="2" max="2" width="20.5703125" customWidth="1"/>
    <col min="3" max="3" width="7.140625" customWidth="1"/>
    <col min="4" max="4" width="5" customWidth="1"/>
    <col min="5" max="5" width="7.140625" customWidth="1"/>
    <col min="6" max="6" width="8.42578125" customWidth="1"/>
    <col min="7" max="7" width="8" customWidth="1"/>
  </cols>
  <sheetData>
    <row r="1" spans="1:31" ht="24.75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>
      <c r="A2" s="254" t="s">
        <v>1</v>
      </c>
      <c r="B2" s="254" t="s">
        <v>2</v>
      </c>
      <c r="C2" s="254"/>
      <c r="D2" s="255" t="s">
        <v>4</v>
      </c>
      <c r="E2" s="255" t="s">
        <v>5</v>
      </c>
      <c r="F2" s="252">
        <v>46023</v>
      </c>
      <c r="G2" s="253"/>
      <c r="H2" s="252">
        <v>46054</v>
      </c>
      <c r="I2" s="253"/>
      <c r="J2" s="252">
        <v>46082</v>
      </c>
      <c r="K2" s="253"/>
      <c r="L2" s="252">
        <v>46113</v>
      </c>
      <c r="M2" s="253"/>
      <c r="N2" s="252">
        <v>46143</v>
      </c>
      <c r="O2" s="253"/>
      <c r="P2" s="252">
        <v>46174</v>
      </c>
      <c r="Q2" s="253"/>
      <c r="R2" s="252">
        <v>46204</v>
      </c>
      <c r="S2" s="253"/>
      <c r="T2" s="252">
        <v>46235</v>
      </c>
      <c r="U2" s="253"/>
      <c r="V2" s="252">
        <v>46266</v>
      </c>
      <c r="W2" s="253"/>
      <c r="X2" s="252">
        <v>46296</v>
      </c>
      <c r="Y2" s="253"/>
      <c r="Z2" s="252">
        <v>46327</v>
      </c>
      <c r="AA2" s="253"/>
      <c r="AB2" s="252">
        <v>46357</v>
      </c>
      <c r="AC2" s="253"/>
      <c r="AD2" s="259" t="s">
        <v>231</v>
      </c>
      <c r="AE2" s="260"/>
    </row>
    <row r="3" spans="1:31">
      <c r="A3" s="238"/>
      <c r="B3" s="238"/>
      <c r="C3" s="238"/>
      <c r="D3" s="240"/>
      <c r="E3" s="240"/>
      <c r="F3" s="55" t="s">
        <v>11</v>
      </c>
      <c r="G3" s="87" t="s">
        <v>12</v>
      </c>
      <c r="H3" s="55" t="s">
        <v>11</v>
      </c>
      <c r="I3" s="56" t="s">
        <v>12</v>
      </c>
      <c r="J3" s="55" t="s">
        <v>11</v>
      </c>
      <c r="K3" s="56" t="s">
        <v>12</v>
      </c>
      <c r="L3" s="55" t="s">
        <v>11</v>
      </c>
      <c r="M3" s="56" t="s">
        <v>12</v>
      </c>
      <c r="N3" s="55" t="s">
        <v>11</v>
      </c>
      <c r="O3" s="56" t="s">
        <v>12</v>
      </c>
      <c r="P3" s="55" t="s">
        <v>11</v>
      </c>
      <c r="Q3" s="56" t="s">
        <v>12</v>
      </c>
      <c r="R3" s="55" t="s">
        <v>11</v>
      </c>
      <c r="S3" s="56" t="s">
        <v>12</v>
      </c>
      <c r="T3" s="55" t="s">
        <v>11</v>
      </c>
      <c r="U3" s="56" t="s">
        <v>12</v>
      </c>
      <c r="V3" s="55" t="s">
        <v>11</v>
      </c>
      <c r="W3" s="56" t="s">
        <v>12</v>
      </c>
      <c r="X3" s="55" t="s">
        <v>11</v>
      </c>
      <c r="Y3" s="56" t="s">
        <v>12</v>
      </c>
      <c r="Z3" s="55" t="s">
        <v>11</v>
      </c>
      <c r="AA3" s="56" t="s">
        <v>12</v>
      </c>
      <c r="AB3" s="55" t="s">
        <v>11</v>
      </c>
      <c r="AC3" s="56" t="s">
        <v>12</v>
      </c>
      <c r="AD3" s="55" t="s">
        <v>11</v>
      </c>
      <c r="AE3" s="56" t="s">
        <v>12</v>
      </c>
    </row>
    <row r="4" spans="1:31" ht="20.100000000000001" customHeight="1">
      <c r="A4" s="63">
        <v>1</v>
      </c>
      <c r="B4" s="63" t="s">
        <v>27</v>
      </c>
      <c r="C4" s="63" t="s">
        <v>17</v>
      </c>
      <c r="D4" s="63">
        <v>1</v>
      </c>
      <c r="E4" s="63" t="s">
        <v>15</v>
      </c>
      <c r="F4" s="215">
        <v>51190</v>
      </c>
      <c r="G4" s="216">
        <f>F4*D4</f>
        <v>51190</v>
      </c>
      <c r="H4" s="215">
        <v>42868</v>
      </c>
      <c r="I4" s="216">
        <f>H4*D4</f>
        <v>42868</v>
      </c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18">
        <f>SUM(F4,H4,J4,L4,N4,P4,R4,T4,V4,X4,Z4,AB4)</f>
        <v>94058</v>
      </c>
      <c r="AE4" s="219">
        <f>SUM(G4,I4,K4,M4,O4,Q4,S4,U4,W4,Y4,AA4,AC4)</f>
        <v>94058</v>
      </c>
    </row>
    <row r="5" spans="1:31" ht="20.100000000000001" customHeight="1">
      <c r="A5" s="63">
        <v>2</v>
      </c>
      <c r="B5" s="63" t="s">
        <v>29</v>
      </c>
      <c r="C5" s="63" t="s">
        <v>17</v>
      </c>
      <c r="D5" s="63">
        <v>0.6</v>
      </c>
      <c r="E5" s="63" t="s">
        <v>15</v>
      </c>
      <c r="F5" s="215">
        <v>216</v>
      </c>
      <c r="G5" s="216">
        <f t="shared" ref="G5:G6" si="0">F5*D5</f>
        <v>129.6</v>
      </c>
      <c r="H5" s="215"/>
      <c r="I5" s="216">
        <f t="shared" ref="I5:I6" si="1">H5*D5</f>
        <v>0</v>
      </c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18">
        <f t="shared" ref="AD5:AD6" si="2">SUM(F5,H5,J5,L5,N5,P5,R5,T5,V5,X5,Z5,AB5)</f>
        <v>216</v>
      </c>
      <c r="AE5" s="219">
        <f t="shared" ref="AE5:AE6" si="3">SUM(G5,I5,K5,M5,O5,Q5,S5,U5,W5,Y5,AA5,AC5)</f>
        <v>129.6</v>
      </c>
    </row>
    <row r="6" spans="1:31" ht="20.100000000000001" customHeight="1">
      <c r="A6" s="63">
        <v>3</v>
      </c>
      <c r="B6" s="63" t="s">
        <v>33</v>
      </c>
      <c r="C6" s="63" t="s">
        <v>14</v>
      </c>
      <c r="D6" s="63">
        <v>0.64</v>
      </c>
      <c r="E6" s="63" t="s">
        <v>25</v>
      </c>
      <c r="F6" s="215">
        <v>58716</v>
      </c>
      <c r="G6" s="216">
        <f t="shared" si="0"/>
        <v>37578.239999999998</v>
      </c>
      <c r="H6" s="215">
        <v>55034</v>
      </c>
      <c r="I6" s="216">
        <f t="shared" si="1"/>
        <v>35221.760000000002</v>
      </c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18">
        <f t="shared" si="2"/>
        <v>113750</v>
      </c>
      <c r="AE6" s="219">
        <f t="shared" si="3"/>
        <v>72800</v>
      </c>
    </row>
    <row r="7" spans="1:31" ht="20.100000000000001" customHeight="1">
      <c r="A7" s="202"/>
      <c r="B7" s="11" t="s">
        <v>104</v>
      </c>
      <c r="C7" s="11"/>
      <c r="D7" s="12"/>
      <c r="E7" s="67"/>
      <c r="F7" s="215">
        <f>SUM(F4:F6)</f>
        <v>110122</v>
      </c>
      <c r="G7" s="216">
        <f>SUM(G4:G6)</f>
        <v>88897.84</v>
      </c>
      <c r="H7" s="215">
        <f t="shared" ref="H7:I7" si="4">SUM(H4:H6)</f>
        <v>97902</v>
      </c>
      <c r="I7" s="216">
        <f t="shared" si="4"/>
        <v>78089.760000000009</v>
      </c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18">
        <f>SUM(AD4:AD6)</f>
        <v>208024</v>
      </c>
      <c r="AE7" s="219">
        <f>SUM(AE4:AE6)</f>
        <v>166987.6</v>
      </c>
    </row>
    <row r="8" spans="1:31" ht="20.100000000000001" customHeight="1">
      <c r="A8" s="211"/>
      <c r="B8" s="35"/>
      <c r="C8" s="35"/>
      <c r="D8" s="36"/>
      <c r="E8" s="205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</row>
    <row r="9" spans="1:31" ht="20.100000000000001" customHeight="1">
      <c r="A9" s="153"/>
      <c r="B9" s="153"/>
      <c r="C9" s="153"/>
      <c r="D9" s="153"/>
      <c r="E9" s="153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</row>
    <row r="10" spans="1:31" ht="20.100000000000001" customHeight="1">
      <c r="A10" s="63">
        <v>1</v>
      </c>
      <c r="B10" s="63" t="s">
        <v>27</v>
      </c>
      <c r="C10" s="63" t="s">
        <v>17</v>
      </c>
      <c r="D10" s="63">
        <v>1</v>
      </c>
      <c r="E10" s="63" t="s">
        <v>15</v>
      </c>
      <c r="F10" s="215">
        <v>7</v>
      </c>
      <c r="G10" s="216">
        <f>F10*D10</f>
        <v>7</v>
      </c>
      <c r="H10" s="215">
        <v>1</v>
      </c>
      <c r="I10" s="216">
        <f>H10*D10</f>
        <v>1</v>
      </c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18">
        <f>SUM(F10,H10,J10,L10,N10,P10,R10,T10,V10,X10,Z10,AB10)</f>
        <v>8</v>
      </c>
      <c r="AE10" s="219">
        <f>SUM(G10,I10,K10,M10,O10,Q10,S10,U10,W10,Y10,AA10,AC10)</f>
        <v>8</v>
      </c>
    </row>
    <row r="11" spans="1:31" ht="20.100000000000001" customHeight="1">
      <c r="A11" s="63">
        <v>2</v>
      </c>
      <c r="B11" s="63" t="s">
        <v>29</v>
      </c>
      <c r="C11" s="63" t="s">
        <v>17</v>
      </c>
      <c r="D11" s="63">
        <v>0.6</v>
      </c>
      <c r="E11" s="63" t="s">
        <v>15</v>
      </c>
      <c r="F11" s="215"/>
      <c r="G11" s="216">
        <f t="shared" ref="G11:G12" si="5">F11*D11</f>
        <v>0</v>
      </c>
      <c r="H11" s="215"/>
      <c r="I11" s="216">
        <f t="shared" ref="I11:I12" si="6">H11*D11</f>
        <v>0</v>
      </c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18">
        <f t="shared" ref="AD11:AE12" si="7">SUM(F11,H11,J11,L11,N11,P11,R11,T11,V11,X11,Z11,AB11)</f>
        <v>0</v>
      </c>
      <c r="AE11" s="219">
        <f t="shared" si="7"/>
        <v>0</v>
      </c>
    </row>
    <row r="12" spans="1:31" ht="20.100000000000001" customHeight="1">
      <c r="A12" s="63">
        <v>3</v>
      </c>
      <c r="B12" s="63" t="s">
        <v>33</v>
      </c>
      <c r="C12" s="63" t="s">
        <v>14</v>
      </c>
      <c r="D12" s="63">
        <v>0.64</v>
      </c>
      <c r="E12" s="63" t="s">
        <v>25</v>
      </c>
      <c r="F12" s="215">
        <v>5</v>
      </c>
      <c r="G12" s="216">
        <f t="shared" si="5"/>
        <v>3.2</v>
      </c>
      <c r="H12" s="215">
        <v>2</v>
      </c>
      <c r="I12" s="216">
        <f t="shared" si="6"/>
        <v>1.28</v>
      </c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18">
        <f t="shared" si="7"/>
        <v>7</v>
      </c>
      <c r="AE12" s="219">
        <f t="shared" si="7"/>
        <v>4.4800000000000004</v>
      </c>
    </row>
    <row r="13" spans="1:31" ht="20.100000000000001" customHeight="1">
      <c r="A13" s="202"/>
      <c r="B13" s="11" t="s">
        <v>143</v>
      </c>
      <c r="C13" s="11"/>
      <c r="D13" s="12"/>
      <c r="E13" s="67"/>
      <c r="F13" s="218">
        <f>SUM(F10:F12)</f>
        <v>12</v>
      </c>
      <c r="G13" s="219">
        <f>SUM(G10:G12)</f>
        <v>10.199999999999999</v>
      </c>
      <c r="H13" s="218">
        <f t="shared" ref="H13:I13" si="8">SUM(H10:H12)</f>
        <v>3</v>
      </c>
      <c r="I13" s="219">
        <f t="shared" si="8"/>
        <v>2.2800000000000002</v>
      </c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18">
        <f>SUM(AD10:AD12)</f>
        <v>15</v>
      </c>
      <c r="AE13" s="219">
        <f>SUM(AE10:AE12)</f>
        <v>12.48</v>
      </c>
    </row>
  </sheetData>
  <mergeCells count="18">
    <mergeCell ref="F2:G2"/>
    <mergeCell ref="A2:A3"/>
    <mergeCell ref="B2:B3"/>
    <mergeCell ref="C2:C3"/>
    <mergeCell ref="D2:D3"/>
    <mergeCell ref="E2:E3"/>
    <mergeCell ref="AD2:AE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Price</vt:lpstr>
      <vt:lpstr>7-MTL</vt:lpstr>
      <vt:lpstr>Compare for MTL</vt:lpstr>
      <vt:lpstr>MTL-22</vt:lpstr>
      <vt:lpstr>MTL-23</vt:lpstr>
      <vt:lpstr>MTL-24</vt:lpstr>
      <vt:lpstr>MTL-25</vt:lpstr>
      <vt:lpstr>MTL-26</vt:lpstr>
      <vt:lpstr>MTL-22FOC</vt:lpstr>
      <vt:lpstr>MTL-23FOC</vt:lpstr>
      <vt:lpstr>MTL-24FOC</vt:lpstr>
      <vt:lpstr>MTL-25FOC</vt:lpstr>
      <vt:lpstr>MTL-26FOC</vt:lpstr>
      <vt:lpstr>CopareforKK</vt:lpstr>
      <vt:lpstr>KK-22</vt:lpstr>
      <vt:lpstr>KK-23</vt:lpstr>
      <vt:lpstr>KK-24</vt:lpstr>
      <vt:lpstr>KK-25</vt:lpstr>
      <vt:lpstr>KK-26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*</cp:lastModifiedBy>
  <cp:lastPrinted>2025-12-20T09:23:44Z</cp:lastPrinted>
  <dcterms:created xsi:type="dcterms:W3CDTF">2025-03-21T03:18:28Z</dcterms:created>
  <dcterms:modified xsi:type="dcterms:W3CDTF">2026-03-03T10:31:36Z</dcterms:modified>
</cp:coreProperties>
</file>