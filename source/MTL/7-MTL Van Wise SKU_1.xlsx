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840"/>
  </bookViews>
  <sheets>
    <sheet name="Jan -2026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4" i="1" l="1"/>
  <c r="DS73" i="1"/>
  <c r="DR73" i="1"/>
  <c r="DQ73" i="1"/>
  <c r="DN73" i="1"/>
  <c r="DK73" i="1"/>
  <c r="DI73" i="1"/>
  <c r="DH73" i="1"/>
  <c r="DE73" i="1"/>
  <c r="DB73" i="1"/>
  <c r="CY73" i="1"/>
  <c r="CV73" i="1"/>
  <c r="CS73" i="1"/>
  <c r="CP73" i="1"/>
  <c r="CM73" i="1"/>
  <c r="CK73" i="1"/>
  <c r="CJ73" i="1"/>
  <c r="CG73" i="1"/>
  <c r="CD73" i="1"/>
  <c r="CA73" i="1"/>
  <c r="BX73" i="1"/>
  <c r="BU73" i="1"/>
  <c r="BR73" i="1"/>
  <c r="BO73" i="1"/>
  <c r="BM73" i="1"/>
  <c r="BL73" i="1"/>
  <c r="BI73" i="1"/>
  <c r="BF73" i="1"/>
  <c r="BC73" i="1"/>
  <c r="AZ73" i="1"/>
  <c r="AW73" i="1"/>
  <c r="AT73" i="1"/>
  <c r="AQ73" i="1"/>
  <c r="AO73" i="1"/>
  <c r="AN73" i="1"/>
  <c r="AK73" i="1"/>
  <c r="AH73" i="1"/>
  <c r="AE73" i="1"/>
  <c r="AB73" i="1"/>
  <c r="Y73" i="1"/>
  <c r="V73" i="1"/>
  <c r="S73" i="1"/>
  <c r="Q73" i="1"/>
  <c r="P73" i="1"/>
  <c r="M73" i="1"/>
  <c r="J73" i="1"/>
  <c r="G73" i="1"/>
  <c r="D73" i="1"/>
  <c r="DT72" i="1"/>
  <c r="DO72" i="1"/>
  <c r="DP72" i="1" s="1"/>
  <c r="DL72" i="1"/>
  <c r="DM72" i="1" s="1"/>
  <c r="DI72" i="1"/>
  <c r="DJ72" i="1" s="1"/>
  <c r="DF72" i="1"/>
  <c r="DG72" i="1" s="1"/>
  <c r="DC72" i="1"/>
  <c r="DD72" i="1" s="1"/>
  <c r="CZ72" i="1"/>
  <c r="DA72" i="1" s="1"/>
  <c r="CW72" i="1"/>
  <c r="CX72" i="1" s="1"/>
  <c r="CT72" i="1"/>
  <c r="CU72" i="1" s="1"/>
  <c r="CQ72" i="1"/>
  <c r="CR72" i="1" s="1"/>
  <c r="CN72" i="1"/>
  <c r="CO72" i="1" s="1"/>
  <c r="CK72" i="1"/>
  <c r="CL72" i="1" s="1"/>
  <c r="CH72" i="1"/>
  <c r="CI72" i="1" s="1"/>
  <c r="CE72" i="1"/>
  <c r="CF72" i="1" s="1"/>
  <c r="CB72" i="1"/>
  <c r="CC72" i="1" s="1"/>
  <c r="BY72" i="1"/>
  <c r="BZ72" i="1" s="1"/>
  <c r="BV72" i="1"/>
  <c r="BW72" i="1" s="1"/>
  <c r="BS72" i="1"/>
  <c r="BT72" i="1" s="1"/>
  <c r="BP72" i="1"/>
  <c r="BQ72" i="1" s="1"/>
  <c r="BM72" i="1"/>
  <c r="BN72" i="1" s="1"/>
  <c r="BJ72" i="1"/>
  <c r="BK72" i="1" s="1"/>
  <c r="BG72" i="1"/>
  <c r="BH72" i="1" s="1"/>
  <c r="BD72" i="1"/>
  <c r="BE72" i="1" s="1"/>
  <c r="BA72" i="1"/>
  <c r="BB72" i="1" s="1"/>
  <c r="AX72" i="1"/>
  <c r="AY72" i="1" s="1"/>
  <c r="AU72" i="1"/>
  <c r="AV72" i="1" s="1"/>
  <c r="AR72" i="1"/>
  <c r="AS72" i="1" s="1"/>
  <c r="AO72" i="1"/>
  <c r="AP72" i="1" s="1"/>
  <c r="AL72" i="1"/>
  <c r="AM72" i="1" s="1"/>
  <c r="AI72" i="1"/>
  <c r="AJ72" i="1" s="1"/>
  <c r="AF72" i="1"/>
  <c r="AG72" i="1" s="1"/>
  <c r="AC72" i="1"/>
  <c r="AD72" i="1" s="1"/>
  <c r="Z72" i="1"/>
  <c r="AA72" i="1" s="1"/>
  <c r="W72" i="1"/>
  <c r="X72" i="1" s="1"/>
  <c r="T72" i="1"/>
  <c r="U72" i="1" s="1"/>
  <c r="Q72" i="1"/>
  <c r="R72" i="1" s="1"/>
  <c r="N72" i="1"/>
  <c r="O72" i="1" s="1"/>
  <c r="K72" i="1"/>
  <c r="L72" i="1" s="1"/>
  <c r="H72" i="1"/>
  <c r="I72" i="1" s="1"/>
  <c r="E72" i="1"/>
  <c r="DU71" i="1"/>
  <c r="DT71" i="1"/>
  <c r="DP71" i="1"/>
  <c r="DO71" i="1"/>
  <c r="DM71" i="1"/>
  <c r="DL71" i="1"/>
  <c r="DJ71" i="1"/>
  <c r="DI71" i="1"/>
  <c r="DG71" i="1"/>
  <c r="DF71" i="1"/>
  <c r="DD71" i="1"/>
  <c r="DC71" i="1"/>
  <c r="DA71" i="1"/>
  <c r="CZ71" i="1"/>
  <c r="CX71" i="1"/>
  <c r="CW71" i="1"/>
  <c r="CU71" i="1"/>
  <c r="CT71" i="1"/>
  <c r="CR71" i="1"/>
  <c r="CQ71" i="1"/>
  <c r="CO71" i="1"/>
  <c r="CN71" i="1"/>
  <c r="CL71" i="1"/>
  <c r="CK71" i="1"/>
  <c r="CI71" i="1"/>
  <c r="CH71" i="1"/>
  <c r="CF71" i="1"/>
  <c r="CE71" i="1"/>
  <c r="CC71" i="1"/>
  <c r="CB71" i="1"/>
  <c r="BZ71" i="1"/>
  <c r="BY71" i="1"/>
  <c r="BW71" i="1"/>
  <c r="BV71" i="1"/>
  <c r="BT71" i="1"/>
  <c r="BS71" i="1"/>
  <c r="BQ71" i="1"/>
  <c r="BP71" i="1"/>
  <c r="BN71" i="1"/>
  <c r="BM71" i="1"/>
  <c r="BK71" i="1"/>
  <c r="BJ71" i="1"/>
  <c r="BH71" i="1"/>
  <c r="BG71" i="1"/>
  <c r="BE71" i="1"/>
  <c r="BD71" i="1"/>
  <c r="BB71" i="1"/>
  <c r="BA71" i="1"/>
  <c r="AY71" i="1"/>
  <c r="AX71" i="1"/>
  <c r="AV71" i="1"/>
  <c r="AU71" i="1"/>
  <c r="AS71" i="1"/>
  <c r="AR71" i="1"/>
  <c r="AP71" i="1"/>
  <c r="AO71" i="1"/>
  <c r="AM71" i="1"/>
  <c r="AL71" i="1"/>
  <c r="AJ71" i="1"/>
  <c r="AI71" i="1"/>
  <c r="AG71" i="1"/>
  <c r="AF71" i="1"/>
  <c r="AD71" i="1"/>
  <c r="AC71" i="1"/>
  <c r="AA71" i="1"/>
  <c r="Z71" i="1"/>
  <c r="X71" i="1"/>
  <c r="W71" i="1"/>
  <c r="U71" i="1"/>
  <c r="T71" i="1"/>
  <c r="R71" i="1"/>
  <c r="Q71" i="1"/>
  <c r="O71" i="1"/>
  <c r="N71" i="1"/>
  <c r="L71" i="1"/>
  <c r="K71" i="1"/>
  <c r="I71" i="1"/>
  <c r="H71" i="1"/>
  <c r="F71" i="1"/>
  <c r="E71" i="1"/>
  <c r="DT70" i="1"/>
  <c r="DO70" i="1"/>
  <c r="DP70" i="1" s="1"/>
  <c r="DL70" i="1"/>
  <c r="DM70" i="1" s="1"/>
  <c r="DI70" i="1"/>
  <c r="DJ70" i="1" s="1"/>
  <c r="DF70" i="1"/>
  <c r="DG70" i="1" s="1"/>
  <c r="DC70" i="1"/>
  <c r="DD70" i="1" s="1"/>
  <c r="CZ70" i="1"/>
  <c r="DA70" i="1" s="1"/>
  <c r="CW70" i="1"/>
  <c r="CX70" i="1" s="1"/>
  <c r="CT70" i="1"/>
  <c r="CU70" i="1" s="1"/>
  <c r="CQ70" i="1"/>
  <c r="CR70" i="1" s="1"/>
  <c r="CN70" i="1"/>
  <c r="CO70" i="1" s="1"/>
  <c r="CK70" i="1"/>
  <c r="CL70" i="1" s="1"/>
  <c r="CH70" i="1"/>
  <c r="CI70" i="1" s="1"/>
  <c r="CE70" i="1"/>
  <c r="CF70" i="1" s="1"/>
  <c r="CB70" i="1"/>
  <c r="CC70" i="1" s="1"/>
  <c r="BY70" i="1"/>
  <c r="BZ70" i="1" s="1"/>
  <c r="BV70" i="1"/>
  <c r="BW70" i="1" s="1"/>
  <c r="BS70" i="1"/>
  <c r="BT70" i="1" s="1"/>
  <c r="BP70" i="1"/>
  <c r="BQ70" i="1" s="1"/>
  <c r="BM70" i="1"/>
  <c r="BN70" i="1" s="1"/>
  <c r="BJ70" i="1"/>
  <c r="BK70" i="1" s="1"/>
  <c r="BG70" i="1"/>
  <c r="BH70" i="1" s="1"/>
  <c r="BD70" i="1"/>
  <c r="BE70" i="1" s="1"/>
  <c r="BA70" i="1"/>
  <c r="BB70" i="1" s="1"/>
  <c r="AX70" i="1"/>
  <c r="AY70" i="1" s="1"/>
  <c r="AU70" i="1"/>
  <c r="AV70" i="1" s="1"/>
  <c r="AR70" i="1"/>
  <c r="AS70" i="1" s="1"/>
  <c r="AP70" i="1"/>
  <c r="AO70" i="1"/>
  <c r="AL70" i="1"/>
  <c r="AM70" i="1" s="1"/>
  <c r="AJ70" i="1"/>
  <c r="AI70" i="1"/>
  <c r="AF70" i="1"/>
  <c r="AG70" i="1" s="1"/>
  <c r="AD70" i="1"/>
  <c r="AC70" i="1"/>
  <c r="Z70" i="1"/>
  <c r="AA70" i="1" s="1"/>
  <c r="X70" i="1"/>
  <c r="W70" i="1"/>
  <c r="T70" i="1"/>
  <c r="U70" i="1" s="1"/>
  <c r="R70" i="1"/>
  <c r="Q70" i="1"/>
  <c r="N70" i="1"/>
  <c r="O70" i="1" s="1"/>
  <c r="L70" i="1"/>
  <c r="K70" i="1"/>
  <c r="H70" i="1"/>
  <c r="I70" i="1" s="1"/>
  <c r="F70" i="1"/>
  <c r="E70" i="1"/>
  <c r="DT69" i="1"/>
  <c r="DO69" i="1"/>
  <c r="DP69" i="1" s="1"/>
  <c r="DL69" i="1"/>
  <c r="DM69" i="1" s="1"/>
  <c r="DI69" i="1"/>
  <c r="DJ69" i="1" s="1"/>
  <c r="DF69" i="1"/>
  <c r="DG69" i="1" s="1"/>
  <c r="DC69" i="1"/>
  <c r="DD69" i="1" s="1"/>
  <c r="CZ69" i="1"/>
  <c r="DA69" i="1" s="1"/>
  <c r="CW69" i="1"/>
  <c r="CX69" i="1" s="1"/>
  <c r="CT69" i="1"/>
  <c r="CU69" i="1" s="1"/>
  <c r="CQ69" i="1"/>
  <c r="CR69" i="1" s="1"/>
  <c r="CN69" i="1"/>
  <c r="CO69" i="1" s="1"/>
  <c r="CK69" i="1"/>
  <c r="CL69" i="1" s="1"/>
  <c r="CH69" i="1"/>
  <c r="CI69" i="1" s="1"/>
  <c r="CE69" i="1"/>
  <c r="CF69" i="1" s="1"/>
  <c r="CB69" i="1"/>
  <c r="CC69" i="1" s="1"/>
  <c r="BY69" i="1"/>
  <c r="BZ69" i="1" s="1"/>
  <c r="BV69" i="1"/>
  <c r="BW69" i="1" s="1"/>
  <c r="BS69" i="1"/>
  <c r="BT69" i="1" s="1"/>
  <c r="BP69" i="1"/>
  <c r="BQ69" i="1" s="1"/>
  <c r="BM69" i="1"/>
  <c r="BN69" i="1" s="1"/>
  <c r="BJ69" i="1"/>
  <c r="BK69" i="1" s="1"/>
  <c r="BG69" i="1"/>
  <c r="BH69" i="1" s="1"/>
  <c r="BD69" i="1"/>
  <c r="BE69" i="1" s="1"/>
  <c r="BA69" i="1"/>
  <c r="BB69" i="1" s="1"/>
  <c r="AX69" i="1"/>
  <c r="AY69" i="1" s="1"/>
  <c r="AU69" i="1"/>
  <c r="AV69" i="1" s="1"/>
  <c r="AR69" i="1"/>
  <c r="AS69" i="1" s="1"/>
  <c r="AO69" i="1"/>
  <c r="AP69" i="1" s="1"/>
  <c r="AL69" i="1"/>
  <c r="AM69" i="1" s="1"/>
  <c r="AI69" i="1"/>
  <c r="AJ69" i="1" s="1"/>
  <c r="AF69" i="1"/>
  <c r="AG69" i="1" s="1"/>
  <c r="AC69" i="1"/>
  <c r="AD69" i="1" s="1"/>
  <c r="Z69" i="1"/>
  <c r="AA69" i="1" s="1"/>
  <c r="W69" i="1"/>
  <c r="X69" i="1" s="1"/>
  <c r="T69" i="1"/>
  <c r="U69" i="1" s="1"/>
  <c r="Q69" i="1"/>
  <c r="R69" i="1" s="1"/>
  <c r="N69" i="1"/>
  <c r="O69" i="1" s="1"/>
  <c r="K69" i="1"/>
  <c r="L69" i="1" s="1"/>
  <c r="H69" i="1"/>
  <c r="I69" i="1" s="1"/>
  <c r="E69" i="1"/>
  <c r="F69" i="1" s="1"/>
  <c r="DU68" i="1"/>
  <c r="DT68" i="1"/>
  <c r="DP68" i="1"/>
  <c r="DO68" i="1"/>
  <c r="DM68" i="1"/>
  <c r="DL68" i="1"/>
  <c r="DJ68" i="1"/>
  <c r="DI68" i="1"/>
  <c r="DG68" i="1"/>
  <c r="DF68" i="1"/>
  <c r="DD68" i="1"/>
  <c r="DC68" i="1"/>
  <c r="DA68" i="1"/>
  <c r="CZ68" i="1"/>
  <c r="CX68" i="1"/>
  <c r="CW68" i="1"/>
  <c r="CU68" i="1"/>
  <c r="CT68" i="1"/>
  <c r="CR68" i="1"/>
  <c r="CQ68" i="1"/>
  <c r="CO68" i="1"/>
  <c r="CN68" i="1"/>
  <c r="CL68" i="1"/>
  <c r="CK68" i="1"/>
  <c r="CI68" i="1"/>
  <c r="CH68" i="1"/>
  <c r="CF68" i="1"/>
  <c r="CE68" i="1"/>
  <c r="CC68" i="1"/>
  <c r="CB68" i="1"/>
  <c r="BZ68" i="1"/>
  <c r="BY68" i="1"/>
  <c r="BW68" i="1"/>
  <c r="BV68" i="1"/>
  <c r="BT68" i="1"/>
  <c r="BS68" i="1"/>
  <c r="BQ68" i="1"/>
  <c r="BP68" i="1"/>
  <c r="BN68" i="1"/>
  <c r="BM68" i="1"/>
  <c r="BK68" i="1"/>
  <c r="BJ68" i="1"/>
  <c r="BH68" i="1"/>
  <c r="BG68" i="1"/>
  <c r="BE68" i="1"/>
  <c r="BD68" i="1"/>
  <c r="BB68" i="1"/>
  <c r="BA68" i="1"/>
  <c r="AY68" i="1"/>
  <c r="AX68" i="1"/>
  <c r="AV68" i="1"/>
  <c r="AU68" i="1"/>
  <c r="AS68" i="1"/>
  <c r="AR68" i="1"/>
  <c r="AP68" i="1"/>
  <c r="AO68" i="1"/>
  <c r="AM68" i="1"/>
  <c r="AL68" i="1"/>
  <c r="AJ68" i="1"/>
  <c r="AI68" i="1"/>
  <c r="AG68" i="1"/>
  <c r="AF68" i="1"/>
  <c r="AD68" i="1"/>
  <c r="AC68" i="1"/>
  <c r="AA68" i="1"/>
  <c r="Z68" i="1"/>
  <c r="X68" i="1"/>
  <c r="W68" i="1"/>
  <c r="U68" i="1"/>
  <c r="T68" i="1"/>
  <c r="R68" i="1"/>
  <c r="Q68" i="1"/>
  <c r="O68" i="1"/>
  <c r="N68" i="1"/>
  <c r="L68" i="1"/>
  <c r="K68" i="1"/>
  <c r="I68" i="1"/>
  <c r="H68" i="1"/>
  <c r="F68" i="1"/>
  <c r="E68" i="1"/>
  <c r="DT67" i="1"/>
  <c r="DO67" i="1"/>
  <c r="DP67" i="1" s="1"/>
  <c r="DL67" i="1"/>
  <c r="DM67" i="1" s="1"/>
  <c r="DI67" i="1"/>
  <c r="DJ67" i="1" s="1"/>
  <c r="DF67" i="1"/>
  <c r="DG67" i="1" s="1"/>
  <c r="DC67" i="1"/>
  <c r="DD67" i="1" s="1"/>
  <c r="CZ67" i="1"/>
  <c r="DA67" i="1" s="1"/>
  <c r="CW67" i="1"/>
  <c r="CX67" i="1" s="1"/>
  <c r="CT67" i="1"/>
  <c r="CU67" i="1" s="1"/>
  <c r="CQ67" i="1"/>
  <c r="CR67" i="1" s="1"/>
  <c r="CN67" i="1"/>
  <c r="CO67" i="1" s="1"/>
  <c r="CK67" i="1"/>
  <c r="CL67" i="1" s="1"/>
  <c r="CH67" i="1"/>
  <c r="CI67" i="1" s="1"/>
  <c r="CE67" i="1"/>
  <c r="CF67" i="1" s="1"/>
  <c r="CB67" i="1"/>
  <c r="CC67" i="1" s="1"/>
  <c r="BY67" i="1"/>
  <c r="BZ67" i="1" s="1"/>
  <c r="BV67" i="1"/>
  <c r="BW67" i="1" s="1"/>
  <c r="BS67" i="1"/>
  <c r="BT67" i="1" s="1"/>
  <c r="BP67" i="1"/>
  <c r="BQ67" i="1" s="1"/>
  <c r="BM67" i="1"/>
  <c r="BN67" i="1" s="1"/>
  <c r="BJ67" i="1"/>
  <c r="BK67" i="1" s="1"/>
  <c r="BG67" i="1"/>
  <c r="BH67" i="1" s="1"/>
  <c r="BD67" i="1"/>
  <c r="BE67" i="1" s="1"/>
  <c r="BA67" i="1"/>
  <c r="BB67" i="1" s="1"/>
  <c r="AX67" i="1"/>
  <c r="AY67" i="1" s="1"/>
  <c r="AU67" i="1"/>
  <c r="AV67" i="1" s="1"/>
  <c r="AR67" i="1"/>
  <c r="AS67" i="1" s="1"/>
  <c r="AO67" i="1"/>
  <c r="AP67" i="1" s="1"/>
  <c r="AL67" i="1"/>
  <c r="AM67" i="1" s="1"/>
  <c r="AI67" i="1"/>
  <c r="AJ67" i="1" s="1"/>
  <c r="AF67" i="1"/>
  <c r="AG67" i="1" s="1"/>
  <c r="AC67" i="1"/>
  <c r="AD67" i="1" s="1"/>
  <c r="Z67" i="1"/>
  <c r="AA67" i="1" s="1"/>
  <c r="W67" i="1"/>
  <c r="X67" i="1" s="1"/>
  <c r="T67" i="1"/>
  <c r="U67" i="1" s="1"/>
  <c r="Q67" i="1"/>
  <c r="R67" i="1" s="1"/>
  <c r="N67" i="1"/>
  <c r="O67" i="1" s="1"/>
  <c r="K67" i="1"/>
  <c r="L67" i="1" s="1"/>
  <c r="H67" i="1"/>
  <c r="I67" i="1" s="1"/>
  <c r="E67" i="1"/>
  <c r="DU66" i="1"/>
  <c r="DT66" i="1"/>
  <c r="DP66" i="1"/>
  <c r="DO66" i="1"/>
  <c r="DM66" i="1"/>
  <c r="DM73" i="1" s="1"/>
  <c r="DL66" i="1"/>
  <c r="DJ66" i="1"/>
  <c r="DI66" i="1"/>
  <c r="DG66" i="1"/>
  <c r="DF66" i="1"/>
  <c r="DD66" i="1"/>
  <c r="DC66" i="1"/>
  <c r="DA66" i="1"/>
  <c r="DA73" i="1" s="1"/>
  <c r="CZ66" i="1"/>
  <c r="CX66" i="1"/>
  <c r="CX73" i="1" s="1"/>
  <c r="CW66" i="1"/>
  <c r="CU66" i="1"/>
  <c r="CT66" i="1"/>
  <c r="CR66" i="1"/>
  <c r="CQ66" i="1"/>
  <c r="CO66" i="1"/>
  <c r="CO73" i="1" s="1"/>
  <c r="CN66" i="1"/>
  <c r="CL66" i="1"/>
  <c r="CL73" i="1" s="1"/>
  <c r="CK66" i="1"/>
  <c r="CI66" i="1"/>
  <c r="CH66" i="1"/>
  <c r="CF66" i="1"/>
  <c r="CE66" i="1"/>
  <c r="CC66" i="1"/>
  <c r="CC73" i="1" s="1"/>
  <c r="CB66" i="1"/>
  <c r="BZ66" i="1"/>
  <c r="BZ73" i="1" s="1"/>
  <c r="BY66" i="1"/>
  <c r="BW66" i="1"/>
  <c r="BV66" i="1"/>
  <c r="BT66" i="1"/>
  <c r="BS66" i="1"/>
  <c r="BQ66" i="1"/>
  <c r="BQ73" i="1" s="1"/>
  <c r="BP66" i="1"/>
  <c r="BN66" i="1"/>
  <c r="BN73" i="1" s="1"/>
  <c r="BM66" i="1"/>
  <c r="BK66" i="1"/>
  <c r="BJ66" i="1"/>
  <c r="BH66" i="1"/>
  <c r="BG66" i="1"/>
  <c r="BE66" i="1"/>
  <c r="BE73" i="1" s="1"/>
  <c r="BD66" i="1"/>
  <c r="BB66" i="1"/>
  <c r="BB73" i="1" s="1"/>
  <c r="BA66" i="1"/>
  <c r="AY66" i="1"/>
  <c r="AX66" i="1"/>
  <c r="AV66" i="1"/>
  <c r="AU66" i="1"/>
  <c r="AS66" i="1"/>
  <c r="AS73" i="1" s="1"/>
  <c r="AR66" i="1"/>
  <c r="AP66" i="1"/>
  <c r="AP73" i="1" s="1"/>
  <c r="AO66" i="1"/>
  <c r="AM66" i="1"/>
  <c r="AM73" i="1" s="1"/>
  <c r="AL66" i="1"/>
  <c r="AJ66" i="1"/>
  <c r="AI66" i="1"/>
  <c r="AG66" i="1"/>
  <c r="AF66" i="1"/>
  <c r="AD66" i="1"/>
  <c r="AD73" i="1" s="1"/>
  <c r="AC66" i="1"/>
  <c r="AA66" i="1"/>
  <c r="AA73" i="1" s="1"/>
  <c r="Z66" i="1"/>
  <c r="X66" i="1"/>
  <c r="W66" i="1"/>
  <c r="U66" i="1"/>
  <c r="U73" i="1" s="1"/>
  <c r="T66" i="1"/>
  <c r="R66" i="1"/>
  <c r="R73" i="1" s="1"/>
  <c r="Q66" i="1"/>
  <c r="O66" i="1"/>
  <c r="O73" i="1" s="1"/>
  <c r="N66" i="1"/>
  <c r="L66" i="1"/>
  <c r="K66" i="1"/>
  <c r="I66" i="1"/>
  <c r="H66" i="1"/>
  <c r="F66" i="1"/>
  <c r="E66" i="1"/>
  <c r="DS65" i="1"/>
  <c r="DS74" i="1" s="1"/>
  <c r="DR65" i="1"/>
  <c r="DR74" i="1" s="1"/>
  <c r="DQ65" i="1"/>
  <c r="DQ74" i="1" s="1"/>
  <c r="DN65" i="1"/>
  <c r="DN74" i="1" s="1"/>
  <c r="DK65" i="1"/>
  <c r="DK74" i="1" s="1"/>
  <c r="DH65" i="1"/>
  <c r="DH74" i="1" s="1"/>
  <c r="DE65" i="1"/>
  <c r="DE74" i="1" s="1"/>
  <c r="DB65" i="1"/>
  <c r="DB74" i="1" s="1"/>
  <c r="CY65" i="1"/>
  <c r="CY74" i="1" s="1"/>
  <c r="CV65" i="1"/>
  <c r="CV74" i="1" s="1"/>
  <c r="CS65" i="1"/>
  <c r="CS74" i="1" s="1"/>
  <c r="CP65" i="1"/>
  <c r="CP74" i="1" s="1"/>
  <c r="CM65" i="1"/>
  <c r="CM74" i="1" s="1"/>
  <c r="CJ65" i="1"/>
  <c r="CJ74" i="1" s="1"/>
  <c r="CG65" i="1"/>
  <c r="CG74" i="1" s="1"/>
  <c r="CD65" i="1"/>
  <c r="CD74" i="1" s="1"/>
  <c r="CA65" i="1"/>
  <c r="CA74" i="1" s="1"/>
  <c r="BX65" i="1"/>
  <c r="BX74" i="1" s="1"/>
  <c r="BU65" i="1"/>
  <c r="BU74" i="1" s="1"/>
  <c r="BR65" i="1"/>
  <c r="BR74" i="1" s="1"/>
  <c r="BO65" i="1"/>
  <c r="BO74" i="1" s="1"/>
  <c r="BL65" i="1"/>
  <c r="BL74" i="1" s="1"/>
  <c r="BI65" i="1"/>
  <c r="BI74" i="1" s="1"/>
  <c r="BF65" i="1"/>
  <c r="BF74" i="1" s="1"/>
  <c r="BC65" i="1"/>
  <c r="BC74" i="1" s="1"/>
  <c r="AZ65" i="1"/>
  <c r="AZ74" i="1" s="1"/>
  <c r="AW65" i="1"/>
  <c r="AW74" i="1" s="1"/>
  <c r="AT65" i="1"/>
  <c r="AT74" i="1" s="1"/>
  <c r="AQ65" i="1"/>
  <c r="AQ74" i="1" s="1"/>
  <c r="AN65" i="1"/>
  <c r="AN74" i="1" s="1"/>
  <c r="AK65" i="1"/>
  <c r="AK74" i="1" s="1"/>
  <c r="AH65" i="1"/>
  <c r="AH74" i="1" s="1"/>
  <c r="AE65" i="1"/>
  <c r="AE74" i="1" s="1"/>
  <c r="AB65" i="1"/>
  <c r="AB74" i="1" s="1"/>
  <c r="Y65" i="1"/>
  <c r="Y74" i="1" s="1"/>
  <c r="V65" i="1"/>
  <c r="V74" i="1" s="1"/>
  <c r="S65" i="1"/>
  <c r="S74" i="1" s="1"/>
  <c r="P65" i="1"/>
  <c r="P74" i="1" s="1"/>
  <c r="M65" i="1"/>
  <c r="M74" i="1" s="1"/>
  <c r="J65" i="1"/>
  <c r="G65" i="1"/>
  <c r="G74" i="1" s="1"/>
  <c r="D65" i="1"/>
  <c r="D74" i="1" s="1"/>
  <c r="DT64" i="1"/>
  <c r="DO64" i="1"/>
  <c r="DP64" i="1" s="1"/>
  <c r="DL64" i="1"/>
  <c r="DM64" i="1" s="1"/>
  <c r="DI64" i="1"/>
  <c r="DJ64" i="1" s="1"/>
  <c r="DF64" i="1"/>
  <c r="DG64" i="1" s="1"/>
  <c r="DC64" i="1"/>
  <c r="DD64" i="1" s="1"/>
  <c r="CZ64" i="1"/>
  <c r="DA64" i="1" s="1"/>
  <c r="CW64" i="1"/>
  <c r="CX64" i="1" s="1"/>
  <c r="CT64" i="1"/>
  <c r="CU64" i="1" s="1"/>
  <c r="CQ64" i="1"/>
  <c r="CR64" i="1" s="1"/>
  <c r="CN64" i="1"/>
  <c r="CO64" i="1" s="1"/>
  <c r="CK64" i="1"/>
  <c r="CL64" i="1" s="1"/>
  <c r="CH64" i="1"/>
  <c r="CI64" i="1" s="1"/>
  <c r="CE64" i="1"/>
  <c r="CF64" i="1" s="1"/>
  <c r="CB64" i="1"/>
  <c r="CC64" i="1" s="1"/>
  <c r="BY64" i="1"/>
  <c r="BZ64" i="1" s="1"/>
  <c r="BV64" i="1"/>
  <c r="BW64" i="1" s="1"/>
  <c r="BS64" i="1"/>
  <c r="BT64" i="1" s="1"/>
  <c r="BP64" i="1"/>
  <c r="BQ64" i="1" s="1"/>
  <c r="BM64" i="1"/>
  <c r="BN64" i="1" s="1"/>
  <c r="BJ64" i="1"/>
  <c r="BK64" i="1" s="1"/>
  <c r="BG64" i="1"/>
  <c r="BH64" i="1" s="1"/>
  <c r="BD64" i="1"/>
  <c r="BE64" i="1" s="1"/>
  <c r="BA64" i="1"/>
  <c r="BB64" i="1" s="1"/>
  <c r="AX64" i="1"/>
  <c r="AY64" i="1" s="1"/>
  <c r="AU64" i="1"/>
  <c r="AV64" i="1" s="1"/>
  <c r="AR64" i="1"/>
  <c r="AS64" i="1" s="1"/>
  <c r="AO64" i="1"/>
  <c r="AP64" i="1" s="1"/>
  <c r="AL64" i="1"/>
  <c r="AM64" i="1" s="1"/>
  <c r="AI64" i="1"/>
  <c r="AJ64" i="1" s="1"/>
  <c r="AF64" i="1"/>
  <c r="AG64" i="1" s="1"/>
  <c r="AC64" i="1"/>
  <c r="AD64" i="1" s="1"/>
  <c r="Z64" i="1"/>
  <c r="AA64" i="1" s="1"/>
  <c r="W64" i="1"/>
  <c r="X64" i="1" s="1"/>
  <c r="T64" i="1"/>
  <c r="U64" i="1" s="1"/>
  <c r="Q64" i="1"/>
  <c r="R64" i="1" s="1"/>
  <c r="N64" i="1"/>
  <c r="O64" i="1" s="1"/>
  <c r="K64" i="1"/>
  <c r="L64" i="1" s="1"/>
  <c r="H64" i="1"/>
  <c r="I64" i="1" s="1"/>
  <c r="E64" i="1"/>
  <c r="F64" i="1" s="1"/>
  <c r="DU63" i="1"/>
  <c r="DT63" i="1"/>
  <c r="DP63" i="1"/>
  <c r="DO63" i="1"/>
  <c r="DM63" i="1"/>
  <c r="DL63" i="1"/>
  <c r="DJ63" i="1"/>
  <c r="DI63" i="1"/>
  <c r="DG63" i="1"/>
  <c r="DF63" i="1"/>
  <c r="DD63" i="1"/>
  <c r="DC63" i="1"/>
  <c r="DA63" i="1"/>
  <c r="CZ63" i="1"/>
  <c r="CX63" i="1"/>
  <c r="CW63" i="1"/>
  <c r="CU63" i="1"/>
  <c r="CT63" i="1"/>
  <c r="CR63" i="1"/>
  <c r="CQ63" i="1"/>
  <c r="CO63" i="1"/>
  <c r="CN63" i="1"/>
  <c r="CL63" i="1"/>
  <c r="CK63" i="1"/>
  <c r="CI63" i="1"/>
  <c r="CH63" i="1"/>
  <c r="CF63" i="1"/>
  <c r="CE63" i="1"/>
  <c r="CC63" i="1"/>
  <c r="CB63" i="1"/>
  <c r="BZ63" i="1"/>
  <c r="BY63" i="1"/>
  <c r="BW63" i="1"/>
  <c r="BV63" i="1"/>
  <c r="BT63" i="1"/>
  <c r="BS63" i="1"/>
  <c r="BQ63" i="1"/>
  <c r="BP63" i="1"/>
  <c r="BN63" i="1"/>
  <c r="BM63" i="1"/>
  <c r="BK63" i="1"/>
  <c r="BJ63" i="1"/>
  <c r="BH63" i="1"/>
  <c r="BG63" i="1"/>
  <c r="BE63" i="1"/>
  <c r="BD63" i="1"/>
  <c r="BB63" i="1"/>
  <c r="BA63" i="1"/>
  <c r="AY63" i="1"/>
  <c r="AX63" i="1"/>
  <c r="AV63" i="1"/>
  <c r="AU63" i="1"/>
  <c r="AS63" i="1"/>
  <c r="AR63" i="1"/>
  <c r="AP63" i="1"/>
  <c r="AO63" i="1"/>
  <c r="AM63" i="1"/>
  <c r="AL63" i="1"/>
  <c r="AJ63" i="1"/>
  <c r="AI63" i="1"/>
  <c r="AG63" i="1"/>
  <c r="AF63" i="1"/>
  <c r="AD63" i="1"/>
  <c r="AC63" i="1"/>
  <c r="AA63" i="1"/>
  <c r="Z63" i="1"/>
  <c r="X63" i="1"/>
  <c r="W63" i="1"/>
  <c r="U63" i="1"/>
  <c r="T63" i="1"/>
  <c r="R63" i="1"/>
  <c r="Q63" i="1"/>
  <c r="O63" i="1"/>
  <c r="N63" i="1"/>
  <c r="L63" i="1"/>
  <c r="K63" i="1"/>
  <c r="I63" i="1"/>
  <c r="H63" i="1"/>
  <c r="F63" i="1"/>
  <c r="E63" i="1"/>
  <c r="DT62" i="1"/>
  <c r="DO62" i="1"/>
  <c r="DP62" i="1" s="1"/>
  <c r="DL62" i="1"/>
  <c r="DM62" i="1" s="1"/>
  <c r="DI62" i="1"/>
  <c r="DJ62" i="1" s="1"/>
  <c r="DF62" i="1"/>
  <c r="DG62" i="1" s="1"/>
  <c r="DC62" i="1"/>
  <c r="DD62" i="1" s="1"/>
  <c r="CZ62" i="1"/>
  <c r="DA62" i="1" s="1"/>
  <c r="CW62" i="1"/>
  <c r="CX62" i="1" s="1"/>
  <c r="CT62" i="1"/>
  <c r="CU62" i="1" s="1"/>
  <c r="CQ62" i="1"/>
  <c r="CR62" i="1" s="1"/>
  <c r="CN62" i="1"/>
  <c r="CO62" i="1" s="1"/>
  <c r="CK62" i="1"/>
  <c r="CL62" i="1" s="1"/>
  <c r="CH62" i="1"/>
  <c r="CI62" i="1" s="1"/>
  <c r="CE62" i="1"/>
  <c r="CF62" i="1" s="1"/>
  <c r="CB62" i="1"/>
  <c r="CC62" i="1" s="1"/>
  <c r="BY62" i="1"/>
  <c r="BZ62" i="1" s="1"/>
  <c r="BV62" i="1"/>
  <c r="BW62" i="1" s="1"/>
  <c r="BS62" i="1"/>
  <c r="BT62" i="1" s="1"/>
  <c r="BP62" i="1"/>
  <c r="BQ62" i="1" s="1"/>
  <c r="BM62" i="1"/>
  <c r="BN62" i="1" s="1"/>
  <c r="BJ62" i="1"/>
  <c r="BK62" i="1" s="1"/>
  <c r="BG62" i="1"/>
  <c r="BH62" i="1" s="1"/>
  <c r="BD62" i="1"/>
  <c r="BE62" i="1" s="1"/>
  <c r="BA62" i="1"/>
  <c r="BB62" i="1" s="1"/>
  <c r="AX62" i="1"/>
  <c r="AY62" i="1" s="1"/>
  <c r="AU62" i="1"/>
  <c r="AV62" i="1" s="1"/>
  <c r="AR62" i="1"/>
  <c r="AS62" i="1" s="1"/>
  <c r="AO62" i="1"/>
  <c r="AP62" i="1" s="1"/>
  <c r="AL62" i="1"/>
  <c r="AM62" i="1" s="1"/>
  <c r="AI62" i="1"/>
  <c r="AJ62" i="1" s="1"/>
  <c r="AF62" i="1"/>
  <c r="AG62" i="1" s="1"/>
  <c r="AC62" i="1"/>
  <c r="AD62" i="1" s="1"/>
  <c r="Z62" i="1"/>
  <c r="AA62" i="1" s="1"/>
  <c r="W62" i="1"/>
  <c r="X62" i="1" s="1"/>
  <c r="T62" i="1"/>
  <c r="U62" i="1" s="1"/>
  <c r="Q62" i="1"/>
  <c r="R62" i="1" s="1"/>
  <c r="N62" i="1"/>
  <c r="O62" i="1" s="1"/>
  <c r="K62" i="1"/>
  <c r="L62" i="1" s="1"/>
  <c r="H62" i="1"/>
  <c r="I62" i="1" s="1"/>
  <c r="E62" i="1"/>
  <c r="DU61" i="1"/>
  <c r="DT61" i="1"/>
  <c r="DP61" i="1"/>
  <c r="DO61" i="1"/>
  <c r="DM61" i="1"/>
  <c r="DL61" i="1"/>
  <c r="DJ61" i="1"/>
  <c r="DI61" i="1"/>
  <c r="DG61" i="1"/>
  <c r="DF61" i="1"/>
  <c r="DD61" i="1"/>
  <c r="DC61" i="1"/>
  <c r="DA61" i="1"/>
  <c r="CZ61" i="1"/>
  <c r="CX61" i="1"/>
  <c r="CW61" i="1"/>
  <c r="CU61" i="1"/>
  <c r="CT61" i="1"/>
  <c r="CR61" i="1"/>
  <c r="CQ61" i="1"/>
  <c r="CO61" i="1"/>
  <c r="CN61" i="1"/>
  <c r="CL61" i="1"/>
  <c r="CK61" i="1"/>
  <c r="CI61" i="1"/>
  <c r="CH61" i="1"/>
  <c r="CF61" i="1"/>
  <c r="CE61" i="1"/>
  <c r="CC61" i="1"/>
  <c r="CB61" i="1"/>
  <c r="BZ61" i="1"/>
  <c r="BY61" i="1"/>
  <c r="BW61" i="1"/>
  <c r="BV61" i="1"/>
  <c r="BT61" i="1"/>
  <c r="BS61" i="1"/>
  <c r="BQ61" i="1"/>
  <c r="BP61" i="1"/>
  <c r="BN61" i="1"/>
  <c r="BM61" i="1"/>
  <c r="BK61" i="1"/>
  <c r="BJ61" i="1"/>
  <c r="BH61" i="1"/>
  <c r="BG61" i="1"/>
  <c r="BE61" i="1"/>
  <c r="BD61" i="1"/>
  <c r="BB61" i="1"/>
  <c r="BA61" i="1"/>
  <c r="AY61" i="1"/>
  <c r="AX61" i="1"/>
  <c r="AV61" i="1"/>
  <c r="AU61" i="1"/>
  <c r="AS61" i="1"/>
  <c r="AR61" i="1"/>
  <c r="AP61" i="1"/>
  <c r="AO61" i="1"/>
  <c r="AM61" i="1"/>
  <c r="AL61" i="1"/>
  <c r="AJ61" i="1"/>
  <c r="AI61" i="1"/>
  <c r="AG61" i="1"/>
  <c r="AF61" i="1"/>
  <c r="AD61" i="1"/>
  <c r="AC61" i="1"/>
  <c r="AA61" i="1"/>
  <c r="Z61" i="1"/>
  <c r="X61" i="1"/>
  <c r="W61" i="1"/>
  <c r="U61" i="1"/>
  <c r="T61" i="1"/>
  <c r="R61" i="1"/>
  <c r="Q61" i="1"/>
  <c r="O61" i="1"/>
  <c r="N61" i="1"/>
  <c r="L61" i="1"/>
  <c r="K61" i="1"/>
  <c r="I61" i="1"/>
  <c r="H61" i="1"/>
  <c r="F61" i="1"/>
  <c r="E61" i="1"/>
  <c r="DT60" i="1"/>
  <c r="DO60" i="1"/>
  <c r="DP60" i="1" s="1"/>
  <c r="DL60" i="1"/>
  <c r="DM60" i="1" s="1"/>
  <c r="DI60" i="1"/>
  <c r="DJ60" i="1" s="1"/>
  <c r="DF60" i="1"/>
  <c r="DG60" i="1" s="1"/>
  <c r="DC60" i="1"/>
  <c r="DD60" i="1" s="1"/>
  <c r="CZ60" i="1"/>
  <c r="DA60" i="1" s="1"/>
  <c r="CW60" i="1"/>
  <c r="CX60" i="1" s="1"/>
  <c r="CT60" i="1"/>
  <c r="CU60" i="1" s="1"/>
  <c r="CQ60" i="1"/>
  <c r="CR60" i="1" s="1"/>
  <c r="CN60" i="1"/>
  <c r="CO60" i="1" s="1"/>
  <c r="CK60" i="1"/>
  <c r="CL60" i="1" s="1"/>
  <c r="CH60" i="1"/>
  <c r="CI60" i="1" s="1"/>
  <c r="CE60" i="1"/>
  <c r="CF60" i="1" s="1"/>
  <c r="CB60" i="1"/>
  <c r="CC60" i="1" s="1"/>
  <c r="BY60" i="1"/>
  <c r="BZ60" i="1" s="1"/>
  <c r="BV60" i="1"/>
  <c r="BW60" i="1" s="1"/>
  <c r="BS60" i="1"/>
  <c r="BT60" i="1" s="1"/>
  <c r="BP60" i="1"/>
  <c r="BQ60" i="1" s="1"/>
  <c r="BM60" i="1"/>
  <c r="BN60" i="1" s="1"/>
  <c r="BJ60" i="1"/>
  <c r="BK60" i="1" s="1"/>
  <c r="BG60" i="1"/>
  <c r="BH60" i="1" s="1"/>
  <c r="BD60" i="1"/>
  <c r="BE60" i="1" s="1"/>
  <c r="BA60" i="1"/>
  <c r="BB60" i="1" s="1"/>
  <c r="AX60" i="1"/>
  <c r="AY60" i="1" s="1"/>
  <c r="AU60" i="1"/>
  <c r="AV60" i="1" s="1"/>
  <c r="AR60" i="1"/>
  <c r="AS60" i="1" s="1"/>
  <c r="AO60" i="1"/>
  <c r="AP60" i="1" s="1"/>
  <c r="AL60" i="1"/>
  <c r="AM60" i="1" s="1"/>
  <c r="AI60" i="1"/>
  <c r="AJ60" i="1" s="1"/>
  <c r="AG60" i="1"/>
  <c r="AF60" i="1"/>
  <c r="AC60" i="1"/>
  <c r="AD60" i="1" s="1"/>
  <c r="Z60" i="1"/>
  <c r="AA60" i="1" s="1"/>
  <c r="W60" i="1"/>
  <c r="X60" i="1" s="1"/>
  <c r="T60" i="1"/>
  <c r="U60" i="1" s="1"/>
  <c r="Q60" i="1"/>
  <c r="R60" i="1" s="1"/>
  <c r="N60" i="1"/>
  <c r="O60" i="1" s="1"/>
  <c r="K60" i="1"/>
  <c r="L60" i="1" s="1"/>
  <c r="H60" i="1"/>
  <c r="I60" i="1" s="1"/>
  <c r="E60" i="1"/>
  <c r="DU59" i="1"/>
  <c r="DT59" i="1"/>
  <c r="DO59" i="1"/>
  <c r="DP59" i="1" s="1"/>
  <c r="DM59" i="1"/>
  <c r="DL59" i="1"/>
  <c r="DI59" i="1"/>
  <c r="DJ59" i="1" s="1"/>
  <c r="DG59" i="1"/>
  <c r="DF59" i="1"/>
  <c r="DC59" i="1"/>
  <c r="DD59" i="1" s="1"/>
  <c r="DA59" i="1"/>
  <c r="CZ59" i="1"/>
  <c r="CW59" i="1"/>
  <c r="CX59" i="1" s="1"/>
  <c r="CU59" i="1"/>
  <c r="CT59" i="1"/>
  <c r="CQ59" i="1"/>
  <c r="CR59" i="1" s="1"/>
  <c r="CO59" i="1"/>
  <c r="CN59" i="1"/>
  <c r="CK59" i="1"/>
  <c r="CL59" i="1" s="1"/>
  <c r="CI59" i="1"/>
  <c r="CH59" i="1"/>
  <c r="CE59" i="1"/>
  <c r="CF59" i="1" s="1"/>
  <c r="CC59" i="1"/>
  <c r="CB59" i="1"/>
  <c r="BY59" i="1"/>
  <c r="BZ59" i="1" s="1"/>
  <c r="BW59" i="1"/>
  <c r="BV59" i="1"/>
  <c r="BS59" i="1"/>
  <c r="BT59" i="1" s="1"/>
  <c r="BQ59" i="1"/>
  <c r="BP59" i="1"/>
  <c r="BM59" i="1"/>
  <c r="BN59" i="1" s="1"/>
  <c r="BK59" i="1"/>
  <c r="BJ59" i="1"/>
  <c r="BG59" i="1"/>
  <c r="BH59" i="1" s="1"/>
  <c r="BE59" i="1"/>
  <c r="BD59" i="1"/>
  <c r="BA59" i="1"/>
  <c r="BB59" i="1" s="1"/>
  <c r="AY59" i="1"/>
  <c r="AX59" i="1"/>
  <c r="AU59" i="1"/>
  <c r="AV59" i="1" s="1"/>
  <c r="AS59" i="1"/>
  <c r="AR59" i="1"/>
  <c r="AO59" i="1"/>
  <c r="AP59" i="1" s="1"/>
  <c r="AM59" i="1"/>
  <c r="AL59" i="1"/>
  <c r="AI59" i="1"/>
  <c r="AJ59" i="1" s="1"/>
  <c r="AG59" i="1"/>
  <c r="AF59" i="1"/>
  <c r="AC59" i="1"/>
  <c r="AD59" i="1" s="1"/>
  <c r="AA59" i="1"/>
  <c r="Z59" i="1"/>
  <c r="W59" i="1"/>
  <c r="X59" i="1" s="1"/>
  <c r="U59" i="1"/>
  <c r="T59" i="1"/>
  <c r="Q59" i="1"/>
  <c r="R59" i="1" s="1"/>
  <c r="O59" i="1"/>
  <c r="N59" i="1"/>
  <c r="K59" i="1"/>
  <c r="L59" i="1" s="1"/>
  <c r="I59" i="1"/>
  <c r="H59" i="1"/>
  <c r="E59" i="1"/>
  <c r="F59" i="1" s="1"/>
  <c r="DT58" i="1"/>
  <c r="DO58" i="1"/>
  <c r="DP58" i="1" s="1"/>
  <c r="DL58" i="1"/>
  <c r="DM58" i="1" s="1"/>
  <c r="DI58" i="1"/>
  <c r="DJ58" i="1" s="1"/>
  <c r="DF58" i="1"/>
  <c r="DG58" i="1" s="1"/>
  <c r="DC58" i="1"/>
  <c r="DD58" i="1" s="1"/>
  <c r="CZ58" i="1"/>
  <c r="DA58" i="1" s="1"/>
  <c r="CW58" i="1"/>
  <c r="CX58" i="1" s="1"/>
  <c r="CT58" i="1"/>
  <c r="CU58" i="1" s="1"/>
  <c r="CQ58" i="1"/>
  <c r="CR58" i="1" s="1"/>
  <c r="CN58" i="1"/>
  <c r="CO58" i="1" s="1"/>
  <c r="CK58" i="1"/>
  <c r="CL58" i="1" s="1"/>
  <c r="CH58" i="1"/>
  <c r="CI58" i="1" s="1"/>
  <c r="CE58" i="1"/>
  <c r="CF58" i="1" s="1"/>
  <c r="CB58" i="1"/>
  <c r="CC58" i="1" s="1"/>
  <c r="BY58" i="1"/>
  <c r="BZ58" i="1" s="1"/>
  <c r="BV58" i="1"/>
  <c r="BW58" i="1" s="1"/>
  <c r="BS58" i="1"/>
  <c r="BT58" i="1" s="1"/>
  <c r="BP58" i="1"/>
  <c r="BQ58" i="1" s="1"/>
  <c r="BM58" i="1"/>
  <c r="BN58" i="1" s="1"/>
  <c r="BJ58" i="1"/>
  <c r="BK58" i="1" s="1"/>
  <c r="BG58" i="1"/>
  <c r="BH58" i="1" s="1"/>
  <c r="BD58" i="1"/>
  <c r="BE58" i="1" s="1"/>
  <c r="BA58" i="1"/>
  <c r="BB58" i="1" s="1"/>
  <c r="AX58" i="1"/>
  <c r="AY58" i="1" s="1"/>
  <c r="AU58" i="1"/>
  <c r="AV58" i="1" s="1"/>
  <c r="AR58" i="1"/>
  <c r="AS58" i="1" s="1"/>
  <c r="AO58" i="1"/>
  <c r="AP58" i="1" s="1"/>
  <c r="AL58" i="1"/>
  <c r="AM58" i="1" s="1"/>
  <c r="AI58" i="1"/>
  <c r="AJ58" i="1" s="1"/>
  <c r="AF58" i="1"/>
  <c r="AG58" i="1" s="1"/>
  <c r="AC58" i="1"/>
  <c r="AD58" i="1" s="1"/>
  <c r="Z58" i="1"/>
  <c r="AA58" i="1" s="1"/>
  <c r="W58" i="1"/>
  <c r="X58" i="1" s="1"/>
  <c r="T58" i="1"/>
  <c r="U58" i="1" s="1"/>
  <c r="Q58" i="1"/>
  <c r="R58" i="1" s="1"/>
  <c r="N58" i="1"/>
  <c r="O58" i="1" s="1"/>
  <c r="K58" i="1"/>
  <c r="L58" i="1" s="1"/>
  <c r="H58" i="1"/>
  <c r="I58" i="1" s="1"/>
  <c r="E58" i="1"/>
  <c r="DU58" i="1" s="1"/>
  <c r="DT57" i="1"/>
  <c r="DP57" i="1"/>
  <c r="DO57" i="1"/>
  <c r="DL57" i="1"/>
  <c r="DM57" i="1" s="1"/>
  <c r="DJ57" i="1"/>
  <c r="DI57" i="1"/>
  <c r="DF57" i="1"/>
  <c r="DG57" i="1" s="1"/>
  <c r="DD57" i="1"/>
  <c r="DC57" i="1"/>
  <c r="CZ57" i="1"/>
  <c r="DA57" i="1" s="1"/>
  <c r="CX57" i="1"/>
  <c r="CW57" i="1"/>
  <c r="CT57" i="1"/>
  <c r="CU57" i="1" s="1"/>
  <c r="CR57" i="1"/>
  <c r="CQ57" i="1"/>
  <c r="CN57" i="1"/>
  <c r="CO57" i="1" s="1"/>
  <c r="CL57" i="1"/>
  <c r="CK57" i="1"/>
  <c r="CH57" i="1"/>
  <c r="CI57" i="1" s="1"/>
  <c r="CF57" i="1"/>
  <c r="CE57" i="1"/>
  <c r="CB57" i="1"/>
  <c r="CC57" i="1" s="1"/>
  <c r="BZ57" i="1"/>
  <c r="BY57" i="1"/>
  <c r="BV57" i="1"/>
  <c r="BW57" i="1" s="1"/>
  <c r="BT57" i="1"/>
  <c r="BS57" i="1"/>
  <c r="BP57" i="1"/>
  <c r="BQ57" i="1" s="1"/>
  <c r="BN57" i="1"/>
  <c r="BM57" i="1"/>
  <c r="BJ57" i="1"/>
  <c r="BK57" i="1" s="1"/>
  <c r="BH57" i="1"/>
  <c r="BG57" i="1"/>
  <c r="BD57" i="1"/>
  <c r="BE57" i="1" s="1"/>
  <c r="BB57" i="1"/>
  <c r="BA57" i="1"/>
  <c r="AX57" i="1"/>
  <c r="AY57" i="1" s="1"/>
  <c r="AV57" i="1"/>
  <c r="AU57" i="1"/>
  <c r="AR57" i="1"/>
  <c r="AS57" i="1" s="1"/>
  <c r="AP57" i="1"/>
  <c r="AO57" i="1"/>
  <c r="AL57" i="1"/>
  <c r="AM57" i="1" s="1"/>
  <c r="AJ57" i="1"/>
  <c r="AI57" i="1"/>
  <c r="AF57" i="1"/>
  <c r="AG57" i="1" s="1"/>
  <c r="AD57" i="1"/>
  <c r="AC57" i="1"/>
  <c r="Z57" i="1"/>
  <c r="AA57" i="1" s="1"/>
  <c r="X57" i="1"/>
  <c r="W57" i="1"/>
  <c r="T57" i="1"/>
  <c r="U57" i="1" s="1"/>
  <c r="R57" i="1"/>
  <c r="Q57" i="1"/>
  <c r="N57" i="1"/>
  <c r="O57" i="1" s="1"/>
  <c r="L57" i="1"/>
  <c r="K57" i="1"/>
  <c r="H57" i="1"/>
  <c r="DU57" i="1" s="1"/>
  <c r="F57" i="1"/>
  <c r="E57" i="1"/>
  <c r="DT56" i="1"/>
  <c r="DO56" i="1"/>
  <c r="DP56" i="1" s="1"/>
  <c r="DL56" i="1"/>
  <c r="DM56" i="1" s="1"/>
  <c r="DI56" i="1"/>
  <c r="DJ56" i="1" s="1"/>
  <c r="DF56" i="1"/>
  <c r="DG56" i="1" s="1"/>
  <c r="DC56" i="1"/>
  <c r="DD56" i="1" s="1"/>
  <c r="CZ56" i="1"/>
  <c r="DA56" i="1" s="1"/>
  <c r="CW56" i="1"/>
  <c r="CX56" i="1" s="1"/>
  <c r="CT56" i="1"/>
  <c r="CU56" i="1" s="1"/>
  <c r="CQ56" i="1"/>
  <c r="CR56" i="1" s="1"/>
  <c r="CN56" i="1"/>
  <c r="CO56" i="1" s="1"/>
  <c r="CK56" i="1"/>
  <c r="CL56" i="1" s="1"/>
  <c r="CH56" i="1"/>
  <c r="CI56" i="1" s="1"/>
  <c r="CE56" i="1"/>
  <c r="CF56" i="1" s="1"/>
  <c r="CB56" i="1"/>
  <c r="CC56" i="1" s="1"/>
  <c r="BY56" i="1"/>
  <c r="BZ56" i="1" s="1"/>
  <c r="BV56" i="1"/>
  <c r="BW56" i="1" s="1"/>
  <c r="BS56" i="1"/>
  <c r="BT56" i="1" s="1"/>
  <c r="BP56" i="1"/>
  <c r="BQ56" i="1" s="1"/>
  <c r="BM56" i="1"/>
  <c r="BN56" i="1" s="1"/>
  <c r="BJ56" i="1"/>
  <c r="BK56" i="1" s="1"/>
  <c r="BG56" i="1"/>
  <c r="BH56" i="1" s="1"/>
  <c r="BD56" i="1"/>
  <c r="BE56" i="1" s="1"/>
  <c r="BA56" i="1"/>
  <c r="BB56" i="1" s="1"/>
  <c r="AX56" i="1"/>
  <c r="AY56" i="1" s="1"/>
  <c r="AU56" i="1"/>
  <c r="AV56" i="1" s="1"/>
  <c r="AR56" i="1"/>
  <c r="AS56" i="1" s="1"/>
  <c r="AO56" i="1"/>
  <c r="AP56" i="1" s="1"/>
  <c r="AL56" i="1"/>
  <c r="AL65" i="1" s="1"/>
  <c r="AI56" i="1"/>
  <c r="AJ56" i="1" s="1"/>
  <c r="AF56" i="1"/>
  <c r="AG56" i="1" s="1"/>
  <c r="AC56" i="1"/>
  <c r="AD56" i="1" s="1"/>
  <c r="Z56" i="1"/>
  <c r="AA56" i="1" s="1"/>
  <c r="W56" i="1"/>
  <c r="X56" i="1" s="1"/>
  <c r="T56" i="1"/>
  <c r="U56" i="1" s="1"/>
  <c r="Q56" i="1"/>
  <c r="R56" i="1" s="1"/>
  <c r="N56" i="1"/>
  <c r="N65" i="1" s="1"/>
  <c r="K56" i="1"/>
  <c r="L56" i="1" s="1"/>
  <c r="H56" i="1"/>
  <c r="I56" i="1" s="1"/>
  <c r="E56" i="1"/>
  <c r="F56" i="1" s="1"/>
  <c r="DU55" i="1"/>
  <c r="DT55" i="1"/>
  <c r="DO55" i="1"/>
  <c r="DM55" i="1"/>
  <c r="DL55" i="1"/>
  <c r="DI55" i="1"/>
  <c r="DG55" i="1"/>
  <c r="DF55" i="1"/>
  <c r="DC55" i="1"/>
  <c r="DA55" i="1"/>
  <c r="CZ55" i="1"/>
  <c r="CW55" i="1"/>
  <c r="CU55" i="1"/>
  <c r="CT55" i="1"/>
  <c r="CQ55" i="1"/>
  <c r="CO55" i="1"/>
  <c r="CN55" i="1"/>
  <c r="CK55" i="1"/>
  <c r="CI55" i="1"/>
  <c r="CH55" i="1"/>
  <c r="CE55" i="1"/>
  <c r="CC55" i="1"/>
  <c r="CB55" i="1"/>
  <c r="BY55" i="1"/>
  <c r="BW55" i="1"/>
  <c r="BV55" i="1"/>
  <c r="BS55" i="1"/>
  <c r="BQ55" i="1"/>
  <c r="BP55" i="1"/>
  <c r="BM55" i="1"/>
  <c r="BK55" i="1"/>
  <c r="BJ55" i="1"/>
  <c r="BG55" i="1"/>
  <c r="BE55" i="1"/>
  <c r="BD55" i="1"/>
  <c r="BA55" i="1"/>
  <c r="AY55" i="1"/>
  <c r="AX55" i="1"/>
  <c r="AU55" i="1"/>
  <c r="AS55" i="1"/>
  <c r="AR55" i="1"/>
  <c r="AO55" i="1"/>
  <c r="AM55" i="1"/>
  <c r="AL55" i="1"/>
  <c r="AI55" i="1"/>
  <c r="AG55" i="1"/>
  <c r="AF55" i="1"/>
  <c r="AC55" i="1"/>
  <c r="AC65" i="1" s="1"/>
  <c r="AA55" i="1"/>
  <c r="Z55" i="1"/>
  <c r="W55" i="1"/>
  <c r="U55" i="1"/>
  <c r="T55" i="1"/>
  <c r="Q55" i="1"/>
  <c r="O55" i="1"/>
  <c r="N55" i="1"/>
  <c r="K55" i="1"/>
  <c r="I55" i="1"/>
  <c r="H55" i="1"/>
  <c r="E55" i="1"/>
  <c r="E65" i="1" s="1"/>
  <c r="DV57" i="1" l="1"/>
  <c r="AG65" i="1"/>
  <c r="DV59" i="1"/>
  <c r="AS65" i="1"/>
  <c r="AS74" i="1" s="1"/>
  <c r="BK65" i="1"/>
  <c r="BW65" i="1"/>
  <c r="BW74" i="1" s="1"/>
  <c r="CI65" i="1"/>
  <c r="CU65" i="1"/>
  <c r="CU74" i="1" s="1"/>
  <c r="DA65" i="1"/>
  <c r="DA74" i="1" s="1"/>
  <c r="DM65" i="1"/>
  <c r="DM74" i="1" s="1"/>
  <c r="K65" i="1"/>
  <c r="W65" i="1"/>
  <c r="AI65" i="1"/>
  <c r="AU65" i="1"/>
  <c r="AU74" i="1" s="1"/>
  <c r="BG65" i="1"/>
  <c r="BS65" i="1"/>
  <c r="BY65" i="1"/>
  <c r="CK65" i="1"/>
  <c r="CK74" i="1" s="1"/>
  <c r="CQ65" i="1"/>
  <c r="CW65" i="1"/>
  <c r="CW74" i="1" s="1"/>
  <c r="DC65" i="1"/>
  <c r="DI65" i="1"/>
  <c r="DI74" i="1" s="1"/>
  <c r="DO65" i="1"/>
  <c r="O56" i="1"/>
  <c r="O65" i="1" s="1"/>
  <c r="O74" i="1" s="1"/>
  <c r="AM56" i="1"/>
  <c r="DU56" i="1"/>
  <c r="DU65" i="1" s="1"/>
  <c r="F58" i="1"/>
  <c r="DV58" i="1" s="1"/>
  <c r="DU62" i="1"/>
  <c r="F62" i="1"/>
  <c r="DV62" i="1" s="1"/>
  <c r="AA65" i="1"/>
  <c r="AA74" i="1" s="1"/>
  <c r="AM65" i="1"/>
  <c r="AM74" i="1" s="1"/>
  <c r="BE65" i="1"/>
  <c r="BE74" i="1" s="1"/>
  <c r="Q65" i="1"/>
  <c r="Q74" i="1" s="1"/>
  <c r="AO65" i="1"/>
  <c r="AO74" i="1" s="1"/>
  <c r="BA65" i="1"/>
  <c r="BA74" i="1" s="1"/>
  <c r="BM65" i="1"/>
  <c r="BM74" i="1" s="1"/>
  <c r="CE65" i="1"/>
  <c r="CE74" i="1" s="1"/>
  <c r="F55" i="1"/>
  <c r="L55" i="1"/>
  <c r="L65" i="1" s="1"/>
  <c r="L74" i="1" s="1"/>
  <c r="R55" i="1"/>
  <c r="R65" i="1" s="1"/>
  <c r="R74" i="1" s="1"/>
  <c r="X55" i="1"/>
  <c r="X65" i="1" s="1"/>
  <c r="AD55" i="1"/>
  <c r="AD65" i="1" s="1"/>
  <c r="AD74" i="1" s="1"/>
  <c r="AJ55" i="1"/>
  <c r="AJ65" i="1" s="1"/>
  <c r="AJ74" i="1" s="1"/>
  <c r="AP55" i="1"/>
  <c r="AP65" i="1" s="1"/>
  <c r="AP74" i="1" s="1"/>
  <c r="AV55" i="1"/>
  <c r="AV65" i="1" s="1"/>
  <c r="BB55" i="1"/>
  <c r="BB65" i="1" s="1"/>
  <c r="BB74" i="1" s="1"/>
  <c r="BH55" i="1"/>
  <c r="BH65" i="1" s="1"/>
  <c r="BH74" i="1" s="1"/>
  <c r="BN55" i="1"/>
  <c r="BN65" i="1" s="1"/>
  <c r="BN74" i="1" s="1"/>
  <c r="BT55" i="1"/>
  <c r="BT65" i="1" s="1"/>
  <c r="BZ55" i="1"/>
  <c r="BZ65" i="1" s="1"/>
  <c r="BZ74" i="1" s="1"/>
  <c r="CF55" i="1"/>
  <c r="CF65" i="1" s="1"/>
  <c r="CF74" i="1" s="1"/>
  <c r="CL55" i="1"/>
  <c r="CL65" i="1" s="1"/>
  <c r="CL74" i="1" s="1"/>
  <c r="CR55" i="1"/>
  <c r="CR65" i="1" s="1"/>
  <c r="CX55" i="1"/>
  <c r="CX65" i="1" s="1"/>
  <c r="CX74" i="1" s="1"/>
  <c r="DD55" i="1"/>
  <c r="DD65" i="1" s="1"/>
  <c r="DD74" i="1" s="1"/>
  <c r="DJ55" i="1"/>
  <c r="DJ65" i="1" s="1"/>
  <c r="DP55" i="1"/>
  <c r="DP65" i="1" s="1"/>
  <c r="DP74" i="1" s="1"/>
  <c r="I57" i="1"/>
  <c r="I65" i="1" s="1"/>
  <c r="I74" i="1" s="1"/>
  <c r="DU60" i="1"/>
  <c r="DV61" i="1"/>
  <c r="DV64" i="1"/>
  <c r="U65" i="1"/>
  <c r="U74" i="1" s="1"/>
  <c r="AY65" i="1"/>
  <c r="AY74" i="1" s="1"/>
  <c r="BQ65" i="1"/>
  <c r="BQ74" i="1" s="1"/>
  <c r="CC65" i="1"/>
  <c r="CC74" i="1" s="1"/>
  <c r="CO65" i="1"/>
  <c r="CO74" i="1" s="1"/>
  <c r="DG65" i="1"/>
  <c r="H65" i="1"/>
  <c r="T65" i="1"/>
  <c r="T74" i="1" s="1"/>
  <c r="Z65" i="1"/>
  <c r="AF65" i="1"/>
  <c r="AF74" i="1" s="1"/>
  <c r="AR65" i="1"/>
  <c r="AX65" i="1"/>
  <c r="BD65" i="1"/>
  <c r="BJ65" i="1"/>
  <c r="BP65" i="1"/>
  <c r="BV65" i="1"/>
  <c r="CB65" i="1"/>
  <c r="CH65" i="1"/>
  <c r="CN65" i="1"/>
  <c r="CT65" i="1"/>
  <c r="CZ65" i="1"/>
  <c r="DF65" i="1"/>
  <c r="DL65" i="1"/>
  <c r="DT65" i="1"/>
  <c r="F60" i="1"/>
  <c r="DV60" i="1" s="1"/>
  <c r="DV63" i="1"/>
  <c r="I73" i="1"/>
  <c r="AG73" i="1"/>
  <c r="AY73" i="1"/>
  <c r="BK73" i="1"/>
  <c r="BW73" i="1"/>
  <c r="CI73" i="1"/>
  <c r="CU73" i="1"/>
  <c r="DG73" i="1"/>
  <c r="DU64" i="1"/>
  <c r="DU67" i="1"/>
  <c r="F67" i="1"/>
  <c r="DV67" i="1" s="1"/>
  <c r="K73" i="1"/>
  <c r="AI73" i="1"/>
  <c r="BG73" i="1"/>
  <c r="CE73" i="1"/>
  <c r="DC73" i="1"/>
  <c r="DV66" i="1"/>
  <c r="L73" i="1"/>
  <c r="X73" i="1"/>
  <c r="AJ73" i="1"/>
  <c r="AV73" i="1"/>
  <c r="BH73" i="1"/>
  <c r="BT73" i="1"/>
  <c r="CF73" i="1"/>
  <c r="CR73" i="1"/>
  <c r="DD73" i="1"/>
  <c r="DJ73" i="1"/>
  <c r="DP73" i="1"/>
  <c r="DV69" i="1"/>
  <c r="E73" i="1"/>
  <c r="E74" i="1" s="1"/>
  <c r="AC73" i="1"/>
  <c r="AC74" i="1" s="1"/>
  <c r="BA73" i="1"/>
  <c r="BY73" i="1"/>
  <c r="CW73" i="1"/>
  <c r="DV68" i="1"/>
  <c r="DV70" i="1"/>
  <c r="W73" i="1"/>
  <c r="AU73" i="1"/>
  <c r="BS73" i="1"/>
  <c r="CQ73" i="1"/>
  <c r="DO73" i="1"/>
  <c r="H73" i="1"/>
  <c r="N73" i="1"/>
  <c r="N74" i="1" s="1"/>
  <c r="T73" i="1"/>
  <c r="Z73" i="1"/>
  <c r="AF73" i="1"/>
  <c r="AL73" i="1"/>
  <c r="AL74" i="1" s="1"/>
  <c r="AR73" i="1"/>
  <c r="AX73" i="1"/>
  <c r="BD73" i="1"/>
  <c r="BJ73" i="1"/>
  <c r="BP73" i="1"/>
  <c r="BV73" i="1"/>
  <c r="CB73" i="1"/>
  <c r="CH73" i="1"/>
  <c r="CN73" i="1"/>
  <c r="CT73" i="1"/>
  <c r="CZ73" i="1"/>
  <c r="DF73" i="1"/>
  <c r="DL73" i="1"/>
  <c r="DT73" i="1"/>
  <c r="DU69" i="1"/>
  <c r="F72" i="1"/>
  <c r="DV72" i="1" s="1"/>
  <c r="DU72" i="1"/>
  <c r="DU70" i="1"/>
  <c r="DV71" i="1"/>
  <c r="DS48" i="1"/>
  <c r="DR48" i="1"/>
  <c r="DQ48" i="1"/>
  <c r="DN48" i="1"/>
  <c r="DK48" i="1"/>
  <c r="DH48" i="1"/>
  <c r="DE48" i="1"/>
  <c r="DB48" i="1"/>
  <c r="CY48" i="1"/>
  <c r="CV48" i="1"/>
  <c r="CS48" i="1"/>
  <c r="CP48" i="1"/>
  <c r="CM48" i="1"/>
  <c r="CJ48" i="1"/>
  <c r="CG48" i="1"/>
  <c r="CD48" i="1"/>
  <c r="CA48" i="1"/>
  <c r="BX48" i="1"/>
  <c r="BU48" i="1"/>
  <c r="BR48" i="1"/>
  <c r="BO48" i="1"/>
  <c r="BL48" i="1"/>
  <c r="BI48" i="1"/>
  <c r="BF48" i="1"/>
  <c r="BC48" i="1"/>
  <c r="AZ48" i="1"/>
  <c r="AW48" i="1"/>
  <c r="AT48" i="1"/>
  <c r="AQ48" i="1"/>
  <c r="AN48" i="1"/>
  <c r="AK48" i="1"/>
  <c r="AH48" i="1"/>
  <c r="AE48" i="1"/>
  <c r="AB48" i="1"/>
  <c r="Y48" i="1"/>
  <c r="V48" i="1"/>
  <c r="S48" i="1"/>
  <c r="P48" i="1"/>
  <c r="M48" i="1"/>
  <c r="J48" i="1"/>
  <c r="G48" i="1"/>
  <c r="D48" i="1"/>
  <c r="DT47" i="1"/>
  <c r="DP47" i="1"/>
  <c r="DO47" i="1"/>
  <c r="DL47" i="1"/>
  <c r="DM47" i="1" s="1"/>
  <c r="DJ47" i="1"/>
  <c r="DI47" i="1"/>
  <c r="DF47" i="1"/>
  <c r="DG47" i="1" s="1"/>
  <c r="DD47" i="1"/>
  <c r="DC47" i="1"/>
  <c r="CZ47" i="1"/>
  <c r="DA47" i="1" s="1"/>
  <c r="CX47" i="1"/>
  <c r="CW47" i="1"/>
  <c r="CT47" i="1"/>
  <c r="CU47" i="1" s="1"/>
  <c r="CR47" i="1"/>
  <c r="CQ47" i="1"/>
  <c r="CN47" i="1"/>
  <c r="CO47" i="1" s="1"/>
  <c r="CL47" i="1"/>
  <c r="CK47" i="1"/>
  <c r="CH47" i="1"/>
  <c r="CI47" i="1" s="1"/>
  <c r="CF47" i="1"/>
  <c r="CE47" i="1"/>
  <c r="CB47" i="1"/>
  <c r="CC47" i="1" s="1"/>
  <c r="BZ47" i="1"/>
  <c r="BY47" i="1"/>
  <c r="BV47" i="1"/>
  <c r="BW47" i="1" s="1"/>
  <c r="BT47" i="1"/>
  <c r="BS47" i="1"/>
  <c r="BP47" i="1"/>
  <c r="BQ47" i="1" s="1"/>
  <c r="BN47" i="1"/>
  <c r="BM47" i="1"/>
  <c r="BJ47" i="1"/>
  <c r="BK47" i="1" s="1"/>
  <c r="BH47" i="1"/>
  <c r="BG47" i="1"/>
  <c r="BD47" i="1"/>
  <c r="BE47" i="1" s="1"/>
  <c r="BB47" i="1"/>
  <c r="BA47" i="1"/>
  <c r="AX47" i="1"/>
  <c r="AY47" i="1" s="1"/>
  <c r="AV47" i="1"/>
  <c r="AU47" i="1"/>
  <c r="AR47" i="1"/>
  <c r="AS47" i="1" s="1"/>
  <c r="AP47" i="1"/>
  <c r="AO47" i="1"/>
  <c r="AL47" i="1"/>
  <c r="AM47" i="1" s="1"/>
  <c r="AJ47" i="1"/>
  <c r="AI47" i="1"/>
  <c r="AF47" i="1"/>
  <c r="AG47" i="1" s="1"/>
  <c r="AD47" i="1"/>
  <c r="AC47" i="1"/>
  <c r="Z47" i="1"/>
  <c r="AA47" i="1" s="1"/>
  <c r="X47" i="1"/>
  <c r="W47" i="1"/>
  <c r="T47" i="1"/>
  <c r="U47" i="1" s="1"/>
  <c r="R47" i="1"/>
  <c r="Q47" i="1"/>
  <c r="N47" i="1"/>
  <c r="O47" i="1" s="1"/>
  <c r="L47" i="1"/>
  <c r="K47" i="1"/>
  <c r="H47" i="1"/>
  <c r="I47" i="1" s="1"/>
  <c r="F47" i="1"/>
  <c r="E47" i="1"/>
  <c r="DT46" i="1"/>
  <c r="DP46" i="1"/>
  <c r="DO46" i="1"/>
  <c r="DM46" i="1"/>
  <c r="DL46" i="1"/>
  <c r="DJ46" i="1"/>
  <c r="DI46" i="1"/>
  <c r="DG46" i="1"/>
  <c r="DF46" i="1"/>
  <c r="DD46" i="1"/>
  <c r="DC46" i="1"/>
  <c r="DA46" i="1"/>
  <c r="CZ46" i="1"/>
  <c r="CX46" i="1"/>
  <c r="CW46" i="1"/>
  <c r="CU46" i="1"/>
  <c r="CT46" i="1"/>
  <c r="CR46" i="1"/>
  <c r="CQ46" i="1"/>
  <c r="CO46" i="1"/>
  <c r="CN46" i="1"/>
  <c r="CL46" i="1"/>
  <c r="CK46" i="1"/>
  <c r="CH46" i="1"/>
  <c r="CI46" i="1" s="1"/>
  <c r="CF46" i="1"/>
  <c r="CE46" i="1"/>
  <c r="CC46" i="1"/>
  <c r="CB46" i="1"/>
  <c r="BZ46" i="1"/>
  <c r="BY46" i="1"/>
  <c r="BW46" i="1"/>
  <c r="BV46" i="1"/>
  <c r="BS46" i="1"/>
  <c r="BT46" i="1" s="1"/>
  <c r="BQ46" i="1"/>
  <c r="BP46" i="1"/>
  <c r="BN46" i="1"/>
  <c r="BM46" i="1"/>
  <c r="BK46" i="1"/>
  <c r="BJ46" i="1"/>
  <c r="BH46" i="1"/>
  <c r="BG46" i="1"/>
  <c r="BD46" i="1"/>
  <c r="BE46" i="1" s="1"/>
  <c r="BB46" i="1"/>
  <c r="BA46" i="1"/>
  <c r="AY46" i="1"/>
  <c r="AX46" i="1"/>
  <c r="AV46" i="1"/>
  <c r="AU46" i="1"/>
  <c r="AS46" i="1"/>
  <c r="AR46" i="1"/>
  <c r="AP46" i="1"/>
  <c r="AO46" i="1"/>
  <c r="AM46" i="1"/>
  <c r="AL46" i="1"/>
  <c r="AI46" i="1"/>
  <c r="AJ46" i="1" s="1"/>
  <c r="AG46" i="1"/>
  <c r="AF46" i="1"/>
  <c r="AD46" i="1"/>
  <c r="AC46" i="1"/>
  <c r="AA46" i="1"/>
  <c r="Z46" i="1"/>
  <c r="X46" i="1"/>
  <c r="W46" i="1"/>
  <c r="U46" i="1"/>
  <c r="T46" i="1"/>
  <c r="R46" i="1"/>
  <c r="Q46" i="1"/>
  <c r="O46" i="1"/>
  <c r="N46" i="1"/>
  <c r="L46" i="1"/>
  <c r="K46" i="1"/>
  <c r="I46" i="1"/>
  <c r="H46" i="1"/>
  <c r="E46" i="1"/>
  <c r="DT45" i="1"/>
  <c r="DO45" i="1"/>
  <c r="DP45" i="1" s="1"/>
  <c r="DM45" i="1"/>
  <c r="DL45" i="1"/>
  <c r="DI45" i="1"/>
  <c r="DJ45" i="1" s="1"/>
  <c r="DF45" i="1"/>
  <c r="DG45" i="1" s="1"/>
  <c r="DC45" i="1"/>
  <c r="DD45" i="1" s="1"/>
  <c r="CZ45" i="1"/>
  <c r="DA45" i="1" s="1"/>
  <c r="CW45" i="1"/>
  <c r="CX45" i="1" s="1"/>
  <c r="CT45" i="1"/>
  <c r="CU45" i="1" s="1"/>
  <c r="CQ45" i="1"/>
  <c r="CR45" i="1" s="1"/>
  <c r="CN45" i="1"/>
  <c r="CO45" i="1" s="1"/>
  <c r="CK45" i="1"/>
  <c r="CL45" i="1" s="1"/>
  <c r="CH45" i="1"/>
  <c r="CI45" i="1" s="1"/>
  <c r="CE45" i="1"/>
  <c r="CF45" i="1" s="1"/>
  <c r="CC45" i="1"/>
  <c r="CB45" i="1"/>
  <c r="BY45" i="1"/>
  <c r="BZ45" i="1" s="1"/>
  <c r="BV45" i="1"/>
  <c r="BW45" i="1" s="1"/>
  <c r="BS45" i="1"/>
  <c r="BT45" i="1" s="1"/>
  <c r="BQ45" i="1"/>
  <c r="BP45" i="1"/>
  <c r="BM45" i="1"/>
  <c r="BN45" i="1" s="1"/>
  <c r="BJ45" i="1"/>
  <c r="BK45" i="1" s="1"/>
  <c r="BG45" i="1"/>
  <c r="BH45" i="1" s="1"/>
  <c r="BD45" i="1"/>
  <c r="BE45" i="1" s="1"/>
  <c r="BA45" i="1"/>
  <c r="BB45" i="1" s="1"/>
  <c r="AX45" i="1"/>
  <c r="AY45" i="1" s="1"/>
  <c r="AU45" i="1"/>
  <c r="AV45" i="1" s="1"/>
  <c r="AS45" i="1"/>
  <c r="AR45" i="1"/>
  <c r="AO45" i="1"/>
  <c r="AP45" i="1" s="1"/>
  <c r="AL45" i="1"/>
  <c r="AM45" i="1" s="1"/>
  <c r="AI45" i="1"/>
  <c r="AJ45" i="1" s="1"/>
  <c r="AF45" i="1"/>
  <c r="AG45" i="1" s="1"/>
  <c r="AC45" i="1"/>
  <c r="AD45" i="1" s="1"/>
  <c r="Z45" i="1"/>
  <c r="AA45" i="1" s="1"/>
  <c r="W45" i="1"/>
  <c r="X45" i="1" s="1"/>
  <c r="T45" i="1"/>
  <c r="U45" i="1" s="1"/>
  <c r="Q45" i="1"/>
  <c r="R45" i="1" s="1"/>
  <c r="N45" i="1"/>
  <c r="O45" i="1" s="1"/>
  <c r="K45" i="1"/>
  <c r="L45" i="1" s="1"/>
  <c r="H45" i="1"/>
  <c r="I45" i="1" s="1"/>
  <c r="E45" i="1"/>
  <c r="DU44" i="1"/>
  <c r="DT44" i="1"/>
  <c r="DP44" i="1"/>
  <c r="DO44" i="1"/>
  <c r="DM44" i="1"/>
  <c r="DL44" i="1"/>
  <c r="DJ44" i="1"/>
  <c r="DI44" i="1"/>
  <c r="DG44" i="1"/>
  <c r="DF44" i="1"/>
  <c r="DD44" i="1"/>
  <c r="DC44" i="1"/>
  <c r="DA44" i="1"/>
  <c r="CZ44" i="1"/>
  <c r="CX44" i="1"/>
  <c r="CW44" i="1"/>
  <c r="CU44" i="1"/>
  <c r="CT44" i="1"/>
  <c r="CR44" i="1"/>
  <c r="CQ44" i="1"/>
  <c r="CO44" i="1"/>
  <c r="CN44" i="1"/>
  <c r="CL44" i="1"/>
  <c r="CK44" i="1"/>
  <c r="CI44" i="1"/>
  <c r="CH44" i="1"/>
  <c r="CF44" i="1"/>
  <c r="CE44" i="1"/>
  <c r="CC44" i="1"/>
  <c r="CB44" i="1"/>
  <c r="BZ44" i="1"/>
  <c r="BY44" i="1"/>
  <c r="BW44" i="1"/>
  <c r="BV44" i="1"/>
  <c r="BT44" i="1"/>
  <c r="BS44" i="1"/>
  <c r="BQ44" i="1"/>
  <c r="BP44" i="1"/>
  <c r="BN44" i="1"/>
  <c r="BM44" i="1"/>
  <c r="BK44" i="1"/>
  <c r="BJ44" i="1"/>
  <c r="BH44" i="1"/>
  <c r="BG44" i="1"/>
  <c r="BE44" i="1"/>
  <c r="BD44" i="1"/>
  <c r="BB44" i="1"/>
  <c r="BA44" i="1"/>
  <c r="AY44" i="1"/>
  <c r="AX44" i="1"/>
  <c r="AV44" i="1"/>
  <c r="AU44" i="1"/>
  <c r="AS44" i="1"/>
  <c r="AR44" i="1"/>
  <c r="AP44" i="1"/>
  <c r="AO44" i="1"/>
  <c r="AM44" i="1"/>
  <c r="AL44" i="1"/>
  <c r="AJ44" i="1"/>
  <c r="AI44" i="1"/>
  <c r="AG44" i="1"/>
  <c r="AF44" i="1"/>
  <c r="AD44" i="1"/>
  <c r="AC44" i="1"/>
  <c r="AA44" i="1"/>
  <c r="Z44" i="1"/>
  <c r="X44" i="1"/>
  <c r="W44" i="1"/>
  <c r="U44" i="1"/>
  <c r="T44" i="1"/>
  <c r="R44" i="1"/>
  <c r="Q44" i="1"/>
  <c r="O44" i="1"/>
  <c r="N44" i="1"/>
  <c r="L44" i="1"/>
  <c r="K44" i="1"/>
  <c r="I44" i="1"/>
  <c r="H44" i="1"/>
  <c r="F44" i="1"/>
  <c r="DV44" i="1" s="1"/>
  <c r="E44" i="1"/>
  <c r="DT43" i="1"/>
  <c r="DO43" i="1"/>
  <c r="DP43" i="1" s="1"/>
  <c r="DL43" i="1"/>
  <c r="DM43" i="1" s="1"/>
  <c r="DI43" i="1"/>
  <c r="DJ43" i="1" s="1"/>
  <c r="DF43" i="1"/>
  <c r="DG43" i="1" s="1"/>
  <c r="DC43" i="1"/>
  <c r="DD43" i="1" s="1"/>
  <c r="CZ43" i="1"/>
  <c r="DA43" i="1" s="1"/>
  <c r="CW43" i="1"/>
  <c r="CX43" i="1" s="1"/>
  <c r="CT43" i="1"/>
  <c r="CU43" i="1" s="1"/>
  <c r="CQ43" i="1"/>
  <c r="CR43" i="1" s="1"/>
  <c r="CN43" i="1"/>
  <c r="CO43" i="1" s="1"/>
  <c r="CK43" i="1"/>
  <c r="CL43" i="1" s="1"/>
  <c r="CH43" i="1"/>
  <c r="CI43" i="1" s="1"/>
  <c r="CE43" i="1"/>
  <c r="CF43" i="1" s="1"/>
  <c r="CB43" i="1"/>
  <c r="CC43" i="1" s="1"/>
  <c r="BY43" i="1"/>
  <c r="BZ43" i="1" s="1"/>
  <c r="BV43" i="1"/>
  <c r="BW43" i="1" s="1"/>
  <c r="BS43" i="1"/>
  <c r="BT43" i="1" s="1"/>
  <c r="BP43" i="1"/>
  <c r="BQ43" i="1" s="1"/>
  <c r="BM43" i="1"/>
  <c r="BN43" i="1" s="1"/>
  <c r="BJ43" i="1"/>
  <c r="BK43" i="1" s="1"/>
  <c r="BG43" i="1"/>
  <c r="BH43" i="1" s="1"/>
  <c r="BD43" i="1"/>
  <c r="BE43" i="1" s="1"/>
  <c r="BA43" i="1"/>
  <c r="BB43" i="1" s="1"/>
  <c r="AX43" i="1"/>
  <c r="AY43" i="1" s="1"/>
  <c r="AU43" i="1"/>
  <c r="AV43" i="1" s="1"/>
  <c r="AR43" i="1"/>
  <c r="AS43" i="1" s="1"/>
  <c r="AO43" i="1"/>
  <c r="AP43" i="1" s="1"/>
  <c r="AL43" i="1"/>
  <c r="AM43" i="1" s="1"/>
  <c r="AI43" i="1"/>
  <c r="AJ43" i="1" s="1"/>
  <c r="AF43" i="1"/>
  <c r="AG43" i="1" s="1"/>
  <c r="AC43" i="1"/>
  <c r="AD43" i="1" s="1"/>
  <c r="Z43" i="1"/>
  <c r="AA43" i="1" s="1"/>
  <c r="W43" i="1"/>
  <c r="X43" i="1" s="1"/>
  <c r="T43" i="1"/>
  <c r="U43" i="1" s="1"/>
  <c r="Q43" i="1"/>
  <c r="R43" i="1" s="1"/>
  <c r="N43" i="1"/>
  <c r="O43" i="1" s="1"/>
  <c r="K43" i="1"/>
  <c r="L43" i="1" s="1"/>
  <c r="H43" i="1"/>
  <c r="I43" i="1" s="1"/>
  <c r="E43" i="1"/>
  <c r="DT42" i="1"/>
  <c r="DP42" i="1"/>
  <c r="DO42" i="1"/>
  <c r="DM42" i="1"/>
  <c r="DL42" i="1"/>
  <c r="DJ42" i="1"/>
  <c r="DI42" i="1"/>
  <c r="DG42" i="1"/>
  <c r="DF42" i="1"/>
  <c r="DD42" i="1"/>
  <c r="DC42" i="1"/>
  <c r="CZ42" i="1"/>
  <c r="DA42" i="1" s="1"/>
  <c r="CW42" i="1"/>
  <c r="CX42" i="1" s="1"/>
  <c r="CT42" i="1"/>
  <c r="CU42" i="1" s="1"/>
  <c r="CR42" i="1"/>
  <c r="CQ42" i="1"/>
  <c r="CO42" i="1"/>
  <c r="CN42" i="1"/>
  <c r="CL42" i="1"/>
  <c r="CK42" i="1"/>
  <c r="CI42" i="1"/>
  <c r="CH42" i="1"/>
  <c r="CF42" i="1"/>
  <c r="CE42" i="1"/>
  <c r="CC42" i="1"/>
  <c r="CB42" i="1"/>
  <c r="BZ42" i="1"/>
  <c r="BY42" i="1"/>
  <c r="BV42" i="1"/>
  <c r="BW42" i="1" s="1"/>
  <c r="BT42" i="1"/>
  <c r="BS42" i="1"/>
  <c r="BQ42" i="1"/>
  <c r="BP42" i="1"/>
  <c r="BN42" i="1"/>
  <c r="BM42" i="1"/>
  <c r="BK42" i="1"/>
  <c r="BJ42" i="1"/>
  <c r="BG42" i="1"/>
  <c r="BH42" i="1" s="1"/>
  <c r="BE42" i="1"/>
  <c r="BD42" i="1"/>
  <c r="BB42" i="1"/>
  <c r="BA42" i="1"/>
  <c r="AX42" i="1"/>
  <c r="AY42" i="1" s="1"/>
  <c r="AU42" i="1"/>
  <c r="AV42" i="1" s="1"/>
  <c r="AS42" i="1"/>
  <c r="AR42" i="1"/>
  <c r="AO42" i="1"/>
  <c r="AP42" i="1" s="1"/>
  <c r="AM42" i="1"/>
  <c r="AL42" i="1"/>
  <c r="AI42" i="1"/>
  <c r="AJ42" i="1" s="1"/>
  <c r="AF42" i="1"/>
  <c r="AD42" i="1"/>
  <c r="AC42" i="1"/>
  <c r="AA42" i="1"/>
  <c r="Z42" i="1"/>
  <c r="X42" i="1"/>
  <c r="W42" i="1"/>
  <c r="U42" i="1"/>
  <c r="T42" i="1"/>
  <c r="R42" i="1"/>
  <c r="Q42" i="1"/>
  <c r="O42" i="1"/>
  <c r="N42" i="1"/>
  <c r="L42" i="1"/>
  <c r="K42" i="1"/>
  <c r="I42" i="1"/>
  <c r="H42" i="1"/>
  <c r="F42" i="1"/>
  <c r="E42" i="1"/>
  <c r="DT41" i="1"/>
  <c r="DO41" i="1"/>
  <c r="DL41" i="1"/>
  <c r="DI41" i="1"/>
  <c r="DJ41" i="1" s="1"/>
  <c r="DF41" i="1"/>
  <c r="DC41" i="1"/>
  <c r="CZ41" i="1"/>
  <c r="CW41" i="1"/>
  <c r="CX41" i="1" s="1"/>
  <c r="CT41" i="1"/>
  <c r="CQ41" i="1"/>
  <c r="CN41" i="1"/>
  <c r="CK41" i="1"/>
  <c r="CL41" i="1" s="1"/>
  <c r="CH41" i="1"/>
  <c r="CE41" i="1"/>
  <c r="CB41" i="1"/>
  <c r="BY41" i="1"/>
  <c r="BZ41" i="1" s="1"/>
  <c r="BV41" i="1"/>
  <c r="BS41" i="1"/>
  <c r="BP41" i="1"/>
  <c r="BM41" i="1"/>
  <c r="BN41" i="1" s="1"/>
  <c r="BJ41" i="1"/>
  <c r="BG41" i="1"/>
  <c r="BD41" i="1"/>
  <c r="BA41" i="1"/>
  <c r="BB41" i="1" s="1"/>
  <c r="AX41" i="1"/>
  <c r="AU41" i="1"/>
  <c r="AR41" i="1"/>
  <c r="AO41" i="1"/>
  <c r="AP41" i="1" s="1"/>
  <c r="AL41" i="1"/>
  <c r="AI41" i="1"/>
  <c r="AF41" i="1"/>
  <c r="AC41" i="1"/>
  <c r="AD41" i="1" s="1"/>
  <c r="Z41" i="1"/>
  <c r="W41" i="1"/>
  <c r="T41" i="1"/>
  <c r="Q41" i="1"/>
  <c r="R41" i="1" s="1"/>
  <c r="N41" i="1"/>
  <c r="K41" i="1"/>
  <c r="H41" i="1"/>
  <c r="E41" i="1"/>
  <c r="DS40" i="1"/>
  <c r="DS49" i="1" s="1"/>
  <c r="DR40" i="1"/>
  <c r="DR49" i="1" s="1"/>
  <c r="DQ40" i="1"/>
  <c r="DQ49" i="1" s="1"/>
  <c r="DN40" i="1"/>
  <c r="DN49" i="1" s="1"/>
  <c r="DK40" i="1"/>
  <c r="DK49" i="1" s="1"/>
  <c r="DH40" i="1"/>
  <c r="DH49" i="1" s="1"/>
  <c r="DE40" i="1"/>
  <c r="DE49" i="1" s="1"/>
  <c r="DB40" i="1"/>
  <c r="DB49" i="1" s="1"/>
  <c r="CY40" i="1"/>
  <c r="CY49" i="1" s="1"/>
  <c r="CV40" i="1"/>
  <c r="CV49" i="1" s="1"/>
  <c r="CS40" i="1"/>
  <c r="CS49" i="1" s="1"/>
  <c r="CP40" i="1"/>
  <c r="CP49" i="1" s="1"/>
  <c r="CM40" i="1"/>
  <c r="CJ40" i="1"/>
  <c r="CJ49" i="1" s="1"/>
  <c r="CG40" i="1"/>
  <c r="CG49" i="1" s="1"/>
  <c r="CD40" i="1"/>
  <c r="CD49" i="1" s="1"/>
  <c r="CA40" i="1"/>
  <c r="CA49" i="1" s="1"/>
  <c r="BX40" i="1"/>
  <c r="BX49" i="1" s="1"/>
  <c r="BU40" i="1"/>
  <c r="BU49" i="1" s="1"/>
  <c r="BR40" i="1"/>
  <c r="BO40" i="1"/>
  <c r="BO49" i="1" s="1"/>
  <c r="BL40" i="1"/>
  <c r="BL49" i="1" s="1"/>
  <c r="BI40" i="1"/>
  <c r="BI49" i="1" s="1"/>
  <c r="BF40" i="1"/>
  <c r="BC40" i="1"/>
  <c r="BC49" i="1" s="1"/>
  <c r="AZ40" i="1"/>
  <c r="AZ49" i="1" s="1"/>
  <c r="AW40" i="1"/>
  <c r="AT40" i="1"/>
  <c r="AT49" i="1" s="1"/>
  <c r="AQ40" i="1"/>
  <c r="AQ49" i="1" s="1"/>
  <c r="AN40" i="1"/>
  <c r="AK40" i="1"/>
  <c r="AK49" i="1" s="1"/>
  <c r="AH40" i="1"/>
  <c r="AH49" i="1" s="1"/>
  <c r="AE40" i="1"/>
  <c r="AE49" i="1" s="1"/>
  <c r="AB40" i="1"/>
  <c r="AB49" i="1" s="1"/>
  <c r="Y40" i="1"/>
  <c r="Y49" i="1" s="1"/>
  <c r="V40" i="1"/>
  <c r="V49" i="1" s="1"/>
  <c r="S40" i="1"/>
  <c r="S49" i="1" s="1"/>
  <c r="P40" i="1"/>
  <c r="M40" i="1"/>
  <c r="M49" i="1" s="1"/>
  <c r="J40" i="1"/>
  <c r="J49" i="1" s="1"/>
  <c r="G40" i="1"/>
  <c r="G49" i="1" s="1"/>
  <c r="D40" i="1"/>
  <c r="DT39" i="1"/>
  <c r="DP39" i="1"/>
  <c r="DO39" i="1"/>
  <c r="DL39" i="1"/>
  <c r="DM39" i="1" s="1"/>
  <c r="DJ39" i="1"/>
  <c r="DI39" i="1"/>
  <c r="DF39" i="1"/>
  <c r="DG39" i="1" s="1"/>
  <c r="DD39" i="1"/>
  <c r="DC39" i="1"/>
  <c r="CZ39" i="1"/>
  <c r="DA39" i="1" s="1"/>
  <c r="CX39" i="1"/>
  <c r="CW39" i="1"/>
  <c r="CT39" i="1"/>
  <c r="CU39" i="1" s="1"/>
  <c r="CR39" i="1"/>
  <c r="CQ39" i="1"/>
  <c r="CN39" i="1"/>
  <c r="CO39" i="1" s="1"/>
  <c r="CL39" i="1"/>
  <c r="CK39" i="1"/>
  <c r="CH39" i="1"/>
  <c r="CI39" i="1" s="1"/>
  <c r="CF39" i="1"/>
  <c r="CE39" i="1"/>
  <c r="CB39" i="1"/>
  <c r="CC39" i="1" s="1"/>
  <c r="BZ39" i="1"/>
  <c r="BY39" i="1"/>
  <c r="BV39" i="1"/>
  <c r="BW39" i="1" s="1"/>
  <c r="BT39" i="1"/>
  <c r="BS39" i="1"/>
  <c r="BP39" i="1"/>
  <c r="BQ39" i="1" s="1"/>
  <c r="BN39" i="1"/>
  <c r="BM39" i="1"/>
  <c r="BJ39" i="1"/>
  <c r="BK39" i="1" s="1"/>
  <c r="BH39" i="1"/>
  <c r="BG39" i="1"/>
  <c r="BD39" i="1"/>
  <c r="BE39" i="1" s="1"/>
  <c r="BB39" i="1"/>
  <c r="BA39" i="1"/>
  <c r="AX39" i="1"/>
  <c r="AY39" i="1" s="1"/>
  <c r="AV39" i="1"/>
  <c r="AU39" i="1"/>
  <c r="AR39" i="1"/>
  <c r="AS39" i="1" s="1"/>
  <c r="AP39" i="1"/>
  <c r="AO39" i="1"/>
  <c r="AL39" i="1"/>
  <c r="AM39" i="1" s="1"/>
  <c r="AJ39" i="1"/>
  <c r="AI39" i="1"/>
  <c r="AF39" i="1"/>
  <c r="AG39" i="1" s="1"/>
  <c r="AD39" i="1"/>
  <c r="AC39" i="1"/>
  <c r="Z39" i="1"/>
  <c r="AA39" i="1" s="1"/>
  <c r="X39" i="1"/>
  <c r="W39" i="1"/>
  <c r="T39" i="1"/>
  <c r="U39" i="1" s="1"/>
  <c r="R39" i="1"/>
  <c r="Q39" i="1"/>
  <c r="N39" i="1"/>
  <c r="O39" i="1" s="1"/>
  <c r="L39" i="1"/>
  <c r="K39" i="1"/>
  <c r="H39" i="1"/>
  <c r="F39" i="1"/>
  <c r="E39" i="1"/>
  <c r="DT38" i="1"/>
  <c r="DO38" i="1"/>
  <c r="DP38" i="1" s="1"/>
  <c r="DM38" i="1"/>
  <c r="DL38" i="1"/>
  <c r="DI38" i="1"/>
  <c r="DJ38" i="1" s="1"/>
  <c r="DG38" i="1"/>
  <c r="DF38" i="1"/>
  <c r="DC38" i="1"/>
  <c r="DD38" i="1" s="1"/>
  <c r="DA38" i="1"/>
  <c r="CZ38" i="1"/>
  <c r="CW38" i="1"/>
  <c r="CX38" i="1" s="1"/>
  <c r="CU38" i="1"/>
  <c r="CT38" i="1"/>
  <c r="CQ38" i="1"/>
  <c r="CR38" i="1" s="1"/>
  <c r="CO38" i="1"/>
  <c r="CN38" i="1"/>
  <c r="CK38" i="1"/>
  <c r="CL38" i="1" s="1"/>
  <c r="CI38" i="1"/>
  <c r="CH38" i="1"/>
  <c r="CE38" i="1"/>
  <c r="CF38" i="1" s="1"/>
  <c r="CC38" i="1"/>
  <c r="CB38" i="1"/>
  <c r="BY38" i="1"/>
  <c r="BZ38" i="1" s="1"/>
  <c r="BW38" i="1"/>
  <c r="BV38" i="1"/>
  <c r="BS38" i="1"/>
  <c r="BT38" i="1" s="1"/>
  <c r="BQ38" i="1"/>
  <c r="BP38" i="1"/>
  <c r="BM38" i="1"/>
  <c r="BN38" i="1" s="1"/>
  <c r="BK38" i="1"/>
  <c r="BJ38" i="1"/>
  <c r="BG38" i="1"/>
  <c r="BH38" i="1" s="1"/>
  <c r="BE38" i="1"/>
  <c r="BD38" i="1"/>
  <c r="BA38" i="1"/>
  <c r="BB38" i="1" s="1"/>
  <c r="AY38" i="1"/>
  <c r="AX38" i="1"/>
  <c r="AU38" i="1"/>
  <c r="AV38" i="1" s="1"/>
  <c r="AS38" i="1"/>
  <c r="AR38" i="1"/>
  <c r="AO38" i="1"/>
  <c r="AP38" i="1" s="1"/>
  <c r="AM38" i="1"/>
  <c r="AL38" i="1"/>
  <c r="AI38" i="1"/>
  <c r="AJ38" i="1" s="1"/>
  <c r="AG38" i="1"/>
  <c r="AF38" i="1"/>
  <c r="AC38" i="1"/>
  <c r="AD38" i="1" s="1"/>
  <c r="AA38" i="1"/>
  <c r="Z38" i="1"/>
  <c r="W38" i="1"/>
  <c r="X38" i="1" s="1"/>
  <c r="U38" i="1"/>
  <c r="T38" i="1"/>
  <c r="Q38" i="1"/>
  <c r="R38" i="1" s="1"/>
  <c r="N38" i="1"/>
  <c r="O38" i="1" s="1"/>
  <c r="K38" i="1"/>
  <c r="L38" i="1" s="1"/>
  <c r="I38" i="1"/>
  <c r="H38" i="1"/>
  <c r="E38" i="1"/>
  <c r="F38" i="1" s="1"/>
  <c r="DT37" i="1"/>
  <c r="DO37" i="1"/>
  <c r="DP37" i="1" s="1"/>
  <c r="DM37" i="1"/>
  <c r="DL37" i="1"/>
  <c r="DI37" i="1"/>
  <c r="DJ37" i="1" s="1"/>
  <c r="DG37" i="1"/>
  <c r="DF37" i="1"/>
  <c r="DC37" i="1"/>
  <c r="DD37" i="1" s="1"/>
  <c r="CZ37" i="1"/>
  <c r="DA37" i="1" s="1"/>
  <c r="CW37" i="1"/>
  <c r="CX37" i="1" s="1"/>
  <c r="CT37" i="1"/>
  <c r="CU37" i="1" s="1"/>
  <c r="CQ37" i="1"/>
  <c r="CR37" i="1" s="1"/>
  <c r="CO37" i="1"/>
  <c r="CN37" i="1"/>
  <c r="CK37" i="1"/>
  <c r="CL37" i="1" s="1"/>
  <c r="CI37" i="1"/>
  <c r="CH37" i="1"/>
  <c r="CE37" i="1"/>
  <c r="CF37" i="1" s="1"/>
  <c r="CC37" i="1"/>
  <c r="CB37" i="1"/>
  <c r="BY37" i="1"/>
  <c r="BZ37" i="1" s="1"/>
  <c r="BV37" i="1"/>
  <c r="BW37" i="1" s="1"/>
  <c r="BS37" i="1"/>
  <c r="BT37" i="1" s="1"/>
  <c r="BQ37" i="1"/>
  <c r="BP37" i="1"/>
  <c r="BM37" i="1"/>
  <c r="BN37" i="1" s="1"/>
  <c r="BJ37" i="1"/>
  <c r="BK37" i="1" s="1"/>
  <c r="BG37" i="1"/>
  <c r="BH37" i="1" s="1"/>
  <c r="BE37" i="1"/>
  <c r="BD37" i="1"/>
  <c r="BA37" i="1"/>
  <c r="BB37" i="1" s="1"/>
  <c r="AY37" i="1"/>
  <c r="AX37" i="1"/>
  <c r="AU37" i="1"/>
  <c r="AV37" i="1" s="1"/>
  <c r="AR37" i="1"/>
  <c r="AS37" i="1" s="1"/>
  <c r="AO37" i="1"/>
  <c r="AP37" i="1" s="1"/>
  <c r="AM37" i="1"/>
  <c r="AL37" i="1"/>
  <c r="AI37" i="1"/>
  <c r="AJ37" i="1" s="1"/>
  <c r="AG37" i="1"/>
  <c r="AF37" i="1"/>
  <c r="AC37" i="1"/>
  <c r="AD37" i="1" s="1"/>
  <c r="AA37" i="1"/>
  <c r="Z37" i="1"/>
  <c r="W37" i="1"/>
  <c r="X37" i="1" s="1"/>
  <c r="U37" i="1"/>
  <c r="T37" i="1"/>
  <c r="Q37" i="1"/>
  <c r="R37" i="1" s="1"/>
  <c r="O37" i="1"/>
  <c r="N37" i="1"/>
  <c r="K37" i="1"/>
  <c r="L37" i="1" s="1"/>
  <c r="H37" i="1"/>
  <c r="I37" i="1" s="1"/>
  <c r="E37" i="1"/>
  <c r="DT36" i="1"/>
  <c r="DP36" i="1"/>
  <c r="DO36" i="1"/>
  <c r="DL36" i="1"/>
  <c r="DM36" i="1" s="1"/>
  <c r="DJ36" i="1"/>
  <c r="DI36" i="1"/>
  <c r="DF36" i="1"/>
  <c r="DG36" i="1" s="1"/>
  <c r="DD36" i="1"/>
  <c r="DC36" i="1"/>
  <c r="CZ36" i="1"/>
  <c r="DA36" i="1" s="1"/>
  <c r="CX36" i="1"/>
  <c r="CW36" i="1"/>
  <c r="CT36" i="1"/>
  <c r="CU36" i="1" s="1"/>
  <c r="CR36" i="1"/>
  <c r="CQ36" i="1"/>
  <c r="CN36" i="1"/>
  <c r="CO36" i="1" s="1"/>
  <c r="CL36" i="1"/>
  <c r="CK36" i="1"/>
  <c r="CH36" i="1"/>
  <c r="CI36" i="1" s="1"/>
  <c r="CF36" i="1"/>
  <c r="CE36" i="1"/>
  <c r="CB36" i="1"/>
  <c r="CC36" i="1" s="1"/>
  <c r="BZ36" i="1"/>
  <c r="BY36" i="1"/>
  <c r="BV36" i="1"/>
  <c r="BW36" i="1" s="1"/>
  <c r="BT36" i="1"/>
  <c r="BS36" i="1"/>
  <c r="BP36" i="1"/>
  <c r="BQ36" i="1" s="1"/>
  <c r="BN36" i="1"/>
  <c r="BM36" i="1"/>
  <c r="BJ36" i="1"/>
  <c r="BK36" i="1" s="1"/>
  <c r="BH36" i="1"/>
  <c r="BG36" i="1"/>
  <c r="BD36" i="1"/>
  <c r="BE36" i="1" s="1"/>
  <c r="BB36" i="1"/>
  <c r="BA36" i="1"/>
  <c r="AX36" i="1"/>
  <c r="AY36" i="1" s="1"/>
  <c r="AV36" i="1"/>
  <c r="AU36" i="1"/>
  <c r="AR36" i="1"/>
  <c r="AS36" i="1" s="1"/>
  <c r="AP36" i="1"/>
  <c r="AO36" i="1"/>
  <c r="AL36" i="1"/>
  <c r="AM36" i="1" s="1"/>
  <c r="AJ36" i="1"/>
  <c r="AI36" i="1"/>
  <c r="AF36" i="1"/>
  <c r="AG36" i="1" s="1"/>
  <c r="AD36" i="1"/>
  <c r="AC36" i="1"/>
  <c r="Z36" i="1"/>
  <c r="AA36" i="1" s="1"/>
  <c r="X36" i="1"/>
  <c r="W36" i="1"/>
  <c r="T36" i="1"/>
  <c r="U36" i="1" s="1"/>
  <c r="R36" i="1"/>
  <c r="Q36" i="1"/>
  <c r="N36" i="1"/>
  <c r="O36" i="1" s="1"/>
  <c r="L36" i="1"/>
  <c r="K36" i="1"/>
  <c r="H36" i="1"/>
  <c r="I36" i="1" s="1"/>
  <c r="F36" i="1"/>
  <c r="E36" i="1"/>
  <c r="DT35" i="1"/>
  <c r="DP35" i="1"/>
  <c r="DO35" i="1"/>
  <c r="DM35" i="1"/>
  <c r="DL35" i="1"/>
  <c r="DI35" i="1"/>
  <c r="DJ35" i="1" s="1"/>
  <c r="DF35" i="1"/>
  <c r="DG35" i="1" s="1"/>
  <c r="DD35" i="1"/>
  <c r="DC35" i="1"/>
  <c r="CZ35" i="1"/>
  <c r="DA35" i="1" s="1"/>
  <c r="CX35" i="1"/>
  <c r="CW35" i="1"/>
  <c r="CT35" i="1"/>
  <c r="CU35" i="1" s="1"/>
  <c r="CR35" i="1"/>
  <c r="CQ35" i="1"/>
  <c r="CN35" i="1"/>
  <c r="CO35" i="1" s="1"/>
  <c r="CL35" i="1"/>
  <c r="CK35" i="1"/>
  <c r="CH35" i="1"/>
  <c r="CI35" i="1" s="1"/>
  <c r="CF35" i="1"/>
  <c r="CE35" i="1"/>
  <c r="CB35" i="1"/>
  <c r="CC35" i="1" s="1"/>
  <c r="BZ35" i="1"/>
  <c r="BY35" i="1"/>
  <c r="BV35" i="1"/>
  <c r="BW35" i="1" s="1"/>
  <c r="BT35" i="1"/>
  <c r="BS35" i="1"/>
  <c r="BP35" i="1"/>
  <c r="BQ35" i="1" s="1"/>
  <c r="BN35" i="1"/>
  <c r="BM35" i="1"/>
  <c r="BJ35" i="1"/>
  <c r="BK35" i="1" s="1"/>
  <c r="BH35" i="1"/>
  <c r="BG35" i="1"/>
  <c r="BD35" i="1"/>
  <c r="BE35" i="1" s="1"/>
  <c r="BA35" i="1"/>
  <c r="BB35" i="1" s="1"/>
  <c r="AX35" i="1"/>
  <c r="AY35" i="1" s="1"/>
  <c r="AU35" i="1"/>
  <c r="AV35" i="1" s="1"/>
  <c r="AR35" i="1"/>
  <c r="AS35" i="1" s="1"/>
  <c r="AO35" i="1"/>
  <c r="AP35" i="1" s="1"/>
  <c r="AL35" i="1"/>
  <c r="AM35" i="1" s="1"/>
  <c r="AJ35" i="1"/>
  <c r="AI35" i="1"/>
  <c r="AF35" i="1"/>
  <c r="AG35" i="1" s="1"/>
  <c r="AD35" i="1"/>
  <c r="AC35" i="1"/>
  <c r="Z35" i="1"/>
  <c r="AA35" i="1" s="1"/>
  <c r="X35" i="1"/>
  <c r="W35" i="1"/>
  <c r="T35" i="1"/>
  <c r="U35" i="1" s="1"/>
  <c r="R35" i="1"/>
  <c r="Q35" i="1"/>
  <c r="N35" i="1"/>
  <c r="O35" i="1" s="1"/>
  <c r="L35" i="1"/>
  <c r="K35" i="1"/>
  <c r="H35" i="1"/>
  <c r="F35" i="1"/>
  <c r="E35" i="1"/>
  <c r="DT34" i="1"/>
  <c r="DO34" i="1"/>
  <c r="DP34" i="1" s="1"/>
  <c r="DL34" i="1"/>
  <c r="DM34" i="1" s="1"/>
  <c r="DI34" i="1"/>
  <c r="DJ34" i="1" s="1"/>
  <c r="DF34" i="1"/>
  <c r="DG34" i="1" s="1"/>
  <c r="DC34" i="1"/>
  <c r="DD34" i="1" s="1"/>
  <c r="CZ34" i="1"/>
  <c r="DA34" i="1" s="1"/>
  <c r="CW34" i="1"/>
  <c r="CX34" i="1" s="1"/>
  <c r="CT34" i="1"/>
  <c r="CU34" i="1" s="1"/>
  <c r="CQ34" i="1"/>
  <c r="CR34" i="1" s="1"/>
  <c r="CN34" i="1"/>
  <c r="CO34" i="1" s="1"/>
  <c r="CK34" i="1"/>
  <c r="CL34" i="1" s="1"/>
  <c r="CH34" i="1"/>
  <c r="CI34" i="1" s="1"/>
  <c r="CE34" i="1"/>
  <c r="CF34" i="1" s="1"/>
  <c r="CC34" i="1"/>
  <c r="CB34" i="1"/>
  <c r="BY34" i="1"/>
  <c r="BZ34" i="1" s="1"/>
  <c r="BV34" i="1"/>
  <c r="BW34" i="1" s="1"/>
  <c r="BS34" i="1"/>
  <c r="BT34" i="1" s="1"/>
  <c r="BP34" i="1"/>
  <c r="BQ34" i="1" s="1"/>
  <c r="BM34" i="1"/>
  <c r="BN34" i="1" s="1"/>
  <c r="BJ34" i="1"/>
  <c r="BK34" i="1" s="1"/>
  <c r="BG34" i="1"/>
  <c r="BH34" i="1" s="1"/>
  <c r="BE34" i="1"/>
  <c r="BD34" i="1"/>
  <c r="BA34" i="1"/>
  <c r="BB34" i="1" s="1"/>
  <c r="AX34" i="1"/>
  <c r="AY34" i="1" s="1"/>
  <c r="AU34" i="1"/>
  <c r="AV34" i="1" s="1"/>
  <c r="AR34" i="1"/>
  <c r="AS34" i="1" s="1"/>
  <c r="AO34" i="1"/>
  <c r="AP34" i="1" s="1"/>
  <c r="AL34" i="1"/>
  <c r="AM34" i="1" s="1"/>
  <c r="AI34" i="1"/>
  <c r="AJ34" i="1" s="1"/>
  <c r="AG34" i="1"/>
  <c r="AF34" i="1"/>
  <c r="AC34" i="1"/>
  <c r="AD34" i="1" s="1"/>
  <c r="AA34" i="1"/>
  <c r="Z34" i="1"/>
  <c r="W34" i="1"/>
  <c r="X34" i="1" s="1"/>
  <c r="U34" i="1"/>
  <c r="T34" i="1"/>
  <c r="Q34" i="1"/>
  <c r="R34" i="1" s="1"/>
  <c r="O34" i="1"/>
  <c r="N34" i="1"/>
  <c r="K34" i="1"/>
  <c r="L34" i="1" s="1"/>
  <c r="I34" i="1"/>
  <c r="H34" i="1"/>
  <c r="E34" i="1"/>
  <c r="F34" i="1" s="1"/>
  <c r="DT33" i="1"/>
  <c r="DO33" i="1"/>
  <c r="DP33" i="1" s="1"/>
  <c r="DL33" i="1"/>
  <c r="DM33" i="1" s="1"/>
  <c r="DJ33" i="1"/>
  <c r="DI33" i="1"/>
  <c r="DF33" i="1"/>
  <c r="DG33" i="1" s="1"/>
  <c r="DD33" i="1"/>
  <c r="DC33" i="1"/>
  <c r="CZ33" i="1"/>
  <c r="DA33" i="1" s="1"/>
  <c r="CW33" i="1"/>
  <c r="CX33" i="1" s="1"/>
  <c r="CT33" i="1"/>
  <c r="CU33" i="1" s="1"/>
  <c r="CQ33" i="1"/>
  <c r="CR33" i="1" s="1"/>
  <c r="CN33" i="1"/>
  <c r="CO33" i="1" s="1"/>
  <c r="CK33" i="1"/>
  <c r="CL33" i="1" s="1"/>
  <c r="CH33" i="1"/>
  <c r="CI33" i="1" s="1"/>
  <c r="CE33" i="1"/>
  <c r="CF33" i="1" s="1"/>
  <c r="CB33" i="1"/>
  <c r="CC33" i="1" s="1"/>
  <c r="BY33" i="1"/>
  <c r="BZ33" i="1" s="1"/>
  <c r="BV33" i="1"/>
  <c r="BW33" i="1" s="1"/>
  <c r="BS33" i="1"/>
  <c r="BT33" i="1" s="1"/>
  <c r="BP33" i="1"/>
  <c r="BQ33" i="1" s="1"/>
  <c r="BM33" i="1"/>
  <c r="BN33" i="1" s="1"/>
  <c r="BJ33" i="1"/>
  <c r="BK33" i="1" s="1"/>
  <c r="BG33" i="1"/>
  <c r="BH33" i="1" s="1"/>
  <c r="BD33" i="1"/>
  <c r="BE33" i="1" s="1"/>
  <c r="BA33" i="1"/>
  <c r="BB33" i="1" s="1"/>
  <c r="AX33" i="1"/>
  <c r="AY33" i="1" s="1"/>
  <c r="AU33" i="1"/>
  <c r="AV33" i="1" s="1"/>
  <c r="AR33" i="1"/>
  <c r="AS33" i="1" s="1"/>
  <c r="AO33" i="1"/>
  <c r="AP33" i="1" s="1"/>
  <c r="AL33" i="1"/>
  <c r="AM33" i="1" s="1"/>
  <c r="AI33" i="1"/>
  <c r="AJ33" i="1" s="1"/>
  <c r="AF33" i="1"/>
  <c r="AG33" i="1" s="1"/>
  <c r="AC33" i="1"/>
  <c r="AD33" i="1" s="1"/>
  <c r="Z33" i="1"/>
  <c r="AA33" i="1" s="1"/>
  <c r="W33" i="1"/>
  <c r="X33" i="1" s="1"/>
  <c r="T33" i="1"/>
  <c r="U33" i="1" s="1"/>
  <c r="Q33" i="1"/>
  <c r="R33" i="1" s="1"/>
  <c r="N33" i="1"/>
  <c r="O33" i="1" s="1"/>
  <c r="K33" i="1"/>
  <c r="L33" i="1" s="1"/>
  <c r="H33" i="1"/>
  <c r="I33" i="1" s="1"/>
  <c r="E33" i="1"/>
  <c r="DU33" i="1" s="1"/>
  <c r="DT32" i="1"/>
  <c r="DP32" i="1"/>
  <c r="DO32" i="1"/>
  <c r="DL32" i="1"/>
  <c r="DM32" i="1" s="1"/>
  <c r="DJ32" i="1"/>
  <c r="DI32" i="1"/>
  <c r="DF32" i="1"/>
  <c r="DG32" i="1" s="1"/>
  <c r="DD32" i="1"/>
  <c r="DC32" i="1"/>
  <c r="CZ32" i="1"/>
  <c r="DA32" i="1" s="1"/>
  <c r="CX32" i="1"/>
  <c r="CW32" i="1"/>
  <c r="CT32" i="1"/>
  <c r="CU32" i="1" s="1"/>
  <c r="CR32" i="1"/>
  <c r="CQ32" i="1"/>
  <c r="CN32" i="1"/>
  <c r="CO32" i="1" s="1"/>
  <c r="CL32" i="1"/>
  <c r="CK32" i="1"/>
  <c r="CH32" i="1"/>
  <c r="CI32" i="1" s="1"/>
  <c r="CF32" i="1"/>
  <c r="CE32" i="1"/>
  <c r="CB32" i="1"/>
  <c r="CC32" i="1" s="1"/>
  <c r="BZ32" i="1"/>
  <c r="BY32" i="1"/>
  <c r="BV32" i="1"/>
  <c r="BW32" i="1" s="1"/>
  <c r="BT32" i="1"/>
  <c r="BS32" i="1"/>
  <c r="BP32" i="1"/>
  <c r="BQ32" i="1" s="1"/>
  <c r="BN32" i="1"/>
  <c r="BM32" i="1"/>
  <c r="BJ32" i="1"/>
  <c r="BK32" i="1" s="1"/>
  <c r="BH32" i="1"/>
  <c r="BG32" i="1"/>
  <c r="BD32" i="1"/>
  <c r="BE32" i="1" s="1"/>
  <c r="BA32" i="1"/>
  <c r="BB32" i="1" s="1"/>
  <c r="AX32" i="1"/>
  <c r="AY32" i="1" s="1"/>
  <c r="AV32" i="1"/>
  <c r="AU32" i="1"/>
  <c r="AR32" i="1"/>
  <c r="AS32" i="1" s="1"/>
  <c r="AP32" i="1"/>
  <c r="AO32" i="1"/>
  <c r="AL32" i="1"/>
  <c r="AM32" i="1" s="1"/>
  <c r="AJ32" i="1"/>
  <c r="AI32" i="1"/>
  <c r="AF32" i="1"/>
  <c r="AG32" i="1" s="1"/>
  <c r="AD32" i="1"/>
  <c r="AC32" i="1"/>
  <c r="Z32" i="1"/>
  <c r="AA32" i="1" s="1"/>
  <c r="X32" i="1"/>
  <c r="W32" i="1"/>
  <c r="T32" i="1"/>
  <c r="U32" i="1" s="1"/>
  <c r="R32" i="1"/>
  <c r="Q32" i="1"/>
  <c r="N32" i="1"/>
  <c r="O32" i="1" s="1"/>
  <c r="L32" i="1"/>
  <c r="K32" i="1"/>
  <c r="H32" i="1"/>
  <c r="I32" i="1" s="1"/>
  <c r="E32" i="1"/>
  <c r="DT31" i="1"/>
  <c r="DO31" i="1"/>
  <c r="DP31" i="1" s="1"/>
  <c r="DL31" i="1"/>
  <c r="DM31" i="1" s="1"/>
  <c r="DI31" i="1"/>
  <c r="DJ31" i="1" s="1"/>
  <c r="DF31" i="1"/>
  <c r="DG31" i="1" s="1"/>
  <c r="DC31" i="1"/>
  <c r="DD31" i="1" s="1"/>
  <c r="CZ31" i="1"/>
  <c r="DA31" i="1" s="1"/>
  <c r="CW31" i="1"/>
  <c r="CX31" i="1" s="1"/>
  <c r="CT31" i="1"/>
  <c r="CU31" i="1" s="1"/>
  <c r="CQ31" i="1"/>
  <c r="CR31" i="1" s="1"/>
  <c r="CN31" i="1"/>
  <c r="CO31" i="1" s="1"/>
  <c r="CK31" i="1"/>
  <c r="CL31" i="1" s="1"/>
  <c r="CH31" i="1"/>
  <c r="CI31" i="1" s="1"/>
  <c r="CE31" i="1"/>
  <c r="CF31" i="1" s="1"/>
  <c r="CB31" i="1"/>
  <c r="CC31" i="1" s="1"/>
  <c r="BY31" i="1"/>
  <c r="BZ31" i="1" s="1"/>
  <c r="BV31" i="1"/>
  <c r="BW31" i="1" s="1"/>
  <c r="BS31" i="1"/>
  <c r="BT31" i="1" s="1"/>
  <c r="BP31" i="1"/>
  <c r="BQ31" i="1" s="1"/>
  <c r="BM31" i="1"/>
  <c r="BN31" i="1" s="1"/>
  <c r="BJ31" i="1"/>
  <c r="BK31" i="1" s="1"/>
  <c r="BG31" i="1"/>
  <c r="BH31" i="1" s="1"/>
  <c r="BD31" i="1"/>
  <c r="BE31" i="1" s="1"/>
  <c r="BA31" i="1"/>
  <c r="BB31" i="1" s="1"/>
  <c r="AX31" i="1"/>
  <c r="AY31" i="1" s="1"/>
  <c r="AU31" i="1"/>
  <c r="AV31" i="1" s="1"/>
  <c r="AR31" i="1"/>
  <c r="AS31" i="1" s="1"/>
  <c r="AO31" i="1"/>
  <c r="AP31" i="1" s="1"/>
  <c r="AL31" i="1"/>
  <c r="AM31" i="1" s="1"/>
  <c r="AI31" i="1"/>
  <c r="AJ31" i="1" s="1"/>
  <c r="AF31" i="1"/>
  <c r="AG31" i="1" s="1"/>
  <c r="AC31" i="1"/>
  <c r="AD31" i="1" s="1"/>
  <c r="Z31" i="1"/>
  <c r="AA31" i="1" s="1"/>
  <c r="W31" i="1"/>
  <c r="X31" i="1" s="1"/>
  <c r="T31" i="1"/>
  <c r="U31" i="1" s="1"/>
  <c r="Q31" i="1"/>
  <c r="R31" i="1" s="1"/>
  <c r="N31" i="1"/>
  <c r="O31" i="1" s="1"/>
  <c r="K31" i="1"/>
  <c r="L31" i="1" s="1"/>
  <c r="H31" i="1"/>
  <c r="I31" i="1" s="1"/>
  <c r="E31" i="1"/>
  <c r="F31" i="1" s="1"/>
  <c r="DT30" i="1"/>
  <c r="DO30" i="1"/>
  <c r="DO40" i="1" s="1"/>
  <c r="DL30" i="1"/>
  <c r="DL40" i="1" s="1"/>
  <c r="DI30" i="1"/>
  <c r="DI40" i="1" s="1"/>
  <c r="DF30" i="1"/>
  <c r="DF40" i="1" s="1"/>
  <c r="DC30" i="1"/>
  <c r="DC40" i="1" s="1"/>
  <c r="CZ30" i="1"/>
  <c r="CW30" i="1"/>
  <c r="CW40" i="1" s="1"/>
  <c r="CT30" i="1"/>
  <c r="CQ30" i="1"/>
  <c r="CN30" i="1"/>
  <c r="CN40" i="1" s="1"/>
  <c r="CK30" i="1"/>
  <c r="CK40" i="1" s="1"/>
  <c r="CH30" i="1"/>
  <c r="CH40" i="1" s="1"/>
  <c r="CE30" i="1"/>
  <c r="CE40" i="1" s="1"/>
  <c r="CB30" i="1"/>
  <c r="CB40" i="1" s="1"/>
  <c r="BY30" i="1"/>
  <c r="BY40" i="1" s="1"/>
  <c r="BV30" i="1"/>
  <c r="BV40" i="1" s="1"/>
  <c r="BS30" i="1"/>
  <c r="BS40" i="1" s="1"/>
  <c r="BP30" i="1"/>
  <c r="BP40" i="1" s="1"/>
  <c r="BM30" i="1"/>
  <c r="BM40" i="1" s="1"/>
  <c r="BJ30" i="1"/>
  <c r="BG30" i="1"/>
  <c r="BG40" i="1" s="1"/>
  <c r="BD30" i="1"/>
  <c r="BD40" i="1" s="1"/>
  <c r="BA30" i="1"/>
  <c r="AX30" i="1"/>
  <c r="AU30" i="1"/>
  <c r="AR30" i="1"/>
  <c r="AO30" i="1"/>
  <c r="AO40" i="1" s="1"/>
  <c r="AL30" i="1"/>
  <c r="AL40" i="1" s="1"/>
  <c r="AI30" i="1"/>
  <c r="AF30" i="1"/>
  <c r="AC30" i="1"/>
  <c r="AC40" i="1" s="1"/>
  <c r="Z30" i="1"/>
  <c r="Z40" i="1" s="1"/>
  <c r="W30" i="1"/>
  <c r="W40" i="1" s="1"/>
  <c r="T30" i="1"/>
  <c r="T40" i="1" s="1"/>
  <c r="Q30" i="1"/>
  <c r="N30" i="1"/>
  <c r="K30" i="1"/>
  <c r="H30" i="1"/>
  <c r="E30" i="1"/>
  <c r="CZ40" i="1" l="1"/>
  <c r="CW48" i="1"/>
  <c r="CW49" i="1"/>
  <c r="CT40" i="1"/>
  <c r="CQ40" i="1"/>
  <c r="CM49" i="1"/>
  <c r="BR49" i="1"/>
  <c r="BJ40" i="1"/>
  <c r="BF49" i="1"/>
  <c r="BA48" i="1"/>
  <c r="BA40" i="1"/>
  <c r="BA49" i="1" s="1"/>
  <c r="AW49" i="1"/>
  <c r="AX40" i="1"/>
  <c r="AU40" i="1"/>
  <c r="AR40" i="1"/>
  <c r="AN49" i="1"/>
  <c r="DU46" i="1"/>
  <c r="DU42" i="1"/>
  <c r="AI40" i="1"/>
  <c r="AG42" i="1"/>
  <c r="DV42" i="1" s="1"/>
  <c r="AF40" i="1"/>
  <c r="Q40" i="1"/>
  <c r="P49" i="1"/>
  <c r="N40" i="1"/>
  <c r="DU32" i="1"/>
  <c r="K40" i="1"/>
  <c r="DV31" i="1"/>
  <c r="H40" i="1"/>
  <c r="F46" i="1"/>
  <c r="DV46" i="1" s="1"/>
  <c r="DU38" i="1"/>
  <c r="DT48" i="1"/>
  <c r="D49" i="1"/>
  <c r="DU35" i="1"/>
  <c r="E40" i="1"/>
  <c r="F32" i="1"/>
  <c r="DT40" i="1"/>
  <c r="F73" i="1"/>
  <c r="DL74" i="1"/>
  <c r="CN74" i="1"/>
  <c r="BP74" i="1"/>
  <c r="AR74" i="1"/>
  <c r="H74" i="1"/>
  <c r="DJ74" i="1"/>
  <c r="DC74" i="1"/>
  <c r="BY74" i="1"/>
  <c r="AI74" i="1"/>
  <c r="BK74" i="1"/>
  <c r="DV56" i="1"/>
  <c r="DF74" i="1"/>
  <c r="CH74" i="1"/>
  <c r="BJ74" i="1"/>
  <c r="DG74" i="1"/>
  <c r="BS74" i="1"/>
  <c r="W74" i="1"/>
  <c r="AG74" i="1"/>
  <c r="CZ74" i="1"/>
  <c r="CB74" i="1"/>
  <c r="BD74" i="1"/>
  <c r="Z74" i="1"/>
  <c r="F65" i="1"/>
  <c r="F74" i="1" s="1"/>
  <c r="DV55" i="1"/>
  <c r="DO74" i="1"/>
  <c r="CQ74" i="1"/>
  <c r="BG74" i="1"/>
  <c r="K74" i="1"/>
  <c r="CI74" i="1"/>
  <c r="DV73" i="1"/>
  <c r="DU73" i="1"/>
  <c r="DU74" i="1" s="1"/>
  <c r="DT74" i="1"/>
  <c r="CT74" i="1"/>
  <c r="BV74" i="1"/>
  <c r="AX74" i="1"/>
  <c r="CR74" i="1"/>
  <c r="BT74" i="1"/>
  <c r="AV74" i="1"/>
  <c r="X74" i="1"/>
  <c r="DV36" i="1"/>
  <c r="DV47" i="1"/>
  <c r="DV34" i="1"/>
  <c r="DV32" i="1"/>
  <c r="DU31" i="1"/>
  <c r="F33" i="1"/>
  <c r="DV33" i="1" s="1"/>
  <c r="DU34" i="1"/>
  <c r="DU39" i="1"/>
  <c r="I39" i="1"/>
  <c r="I41" i="1"/>
  <c r="I48" i="1" s="1"/>
  <c r="H48" i="1"/>
  <c r="H49" i="1" s="1"/>
  <c r="U41" i="1"/>
  <c r="U48" i="1" s="1"/>
  <c r="T48" i="1"/>
  <c r="AG41" i="1"/>
  <c r="AG48" i="1" s="1"/>
  <c r="AF48" i="1"/>
  <c r="AF49" i="1" s="1"/>
  <c r="AS41" i="1"/>
  <c r="AS48" i="1" s="1"/>
  <c r="AR48" i="1"/>
  <c r="AR49" i="1" s="1"/>
  <c r="BE41" i="1"/>
  <c r="BE48" i="1" s="1"/>
  <c r="BD48" i="1"/>
  <c r="BD49" i="1" s="1"/>
  <c r="BQ41" i="1"/>
  <c r="BQ48" i="1" s="1"/>
  <c r="BP48" i="1"/>
  <c r="BP49" i="1" s="1"/>
  <c r="CC41" i="1"/>
  <c r="CC48" i="1" s="1"/>
  <c r="CB48" i="1"/>
  <c r="CO41" i="1"/>
  <c r="CO48" i="1" s="1"/>
  <c r="CN48" i="1"/>
  <c r="CN49" i="1" s="1"/>
  <c r="DA41" i="1"/>
  <c r="DA48" i="1" s="1"/>
  <c r="CZ48" i="1"/>
  <c r="DM41" i="1"/>
  <c r="DM48" i="1" s="1"/>
  <c r="DL48" i="1"/>
  <c r="DL49" i="1" s="1"/>
  <c r="F30" i="1"/>
  <c r="L30" i="1"/>
  <c r="L40" i="1" s="1"/>
  <c r="R30" i="1"/>
  <c r="R40" i="1" s="1"/>
  <c r="X30" i="1"/>
  <c r="X40" i="1" s="1"/>
  <c r="AD30" i="1"/>
  <c r="AD40" i="1" s="1"/>
  <c r="AJ30" i="1"/>
  <c r="AJ40" i="1" s="1"/>
  <c r="AP30" i="1"/>
  <c r="AP40" i="1" s="1"/>
  <c r="AV30" i="1"/>
  <c r="AV40" i="1" s="1"/>
  <c r="BB30" i="1"/>
  <c r="BB40" i="1" s="1"/>
  <c r="BH30" i="1"/>
  <c r="BH40" i="1" s="1"/>
  <c r="BN30" i="1"/>
  <c r="BN40" i="1" s="1"/>
  <c r="BT30" i="1"/>
  <c r="BT40" i="1" s="1"/>
  <c r="BZ30" i="1"/>
  <c r="BZ40" i="1" s="1"/>
  <c r="CF30" i="1"/>
  <c r="CF40" i="1" s="1"/>
  <c r="CL30" i="1"/>
  <c r="CL40" i="1" s="1"/>
  <c r="CR30" i="1"/>
  <c r="CR40" i="1" s="1"/>
  <c r="CX30" i="1"/>
  <c r="CX40" i="1" s="1"/>
  <c r="DD30" i="1"/>
  <c r="DD40" i="1" s="1"/>
  <c r="DJ30" i="1"/>
  <c r="DJ40" i="1" s="1"/>
  <c r="DP30" i="1"/>
  <c r="DP40" i="1" s="1"/>
  <c r="I35" i="1"/>
  <c r="CB49" i="1"/>
  <c r="DU36" i="1"/>
  <c r="DU37" i="1"/>
  <c r="F37" i="1"/>
  <c r="DV37" i="1" s="1"/>
  <c r="DV38" i="1"/>
  <c r="T49" i="1"/>
  <c r="I30" i="1"/>
  <c r="I40" i="1" s="1"/>
  <c r="I49" i="1" s="1"/>
  <c r="O30" i="1"/>
  <c r="O40" i="1" s="1"/>
  <c r="U30" i="1"/>
  <c r="U40" i="1" s="1"/>
  <c r="AA30" i="1"/>
  <c r="AA40" i="1" s="1"/>
  <c r="AA49" i="1" s="1"/>
  <c r="AG30" i="1"/>
  <c r="AG40" i="1" s="1"/>
  <c r="AM30" i="1"/>
  <c r="AM40" i="1" s="1"/>
  <c r="AS30" i="1"/>
  <c r="AS40" i="1" s="1"/>
  <c r="AY30" i="1"/>
  <c r="AY40" i="1" s="1"/>
  <c r="BE30" i="1"/>
  <c r="BE40" i="1" s="1"/>
  <c r="BE49" i="1" s="1"/>
  <c r="BK30" i="1"/>
  <c r="BK40" i="1" s="1"/>
  <c r="BQ30" i="1"/>
  <c r="BQ40" i="1" s="1"/>
  <c r="BW30" i="1"/>
  <c r="BW40" i="1" s="1"/>
  <c r="CC30" i="1"/>
  <c r="CC40" i="1" s="1"/>
  <c r="CC49" i="1" s="1"/>
  <c r="CI30" i="1"/>
  <c r="CI40" i="1" s="1"/>
  <c r="CO30" i="1"/>
  <c r="CO40" i="1" s="1"/>
  <c r="CU30" i="1"/>
  <c r="CU40" i="1" s="1"/>
  <c r="DA30" i="1"/>
  <c r="DA40" i="1" s="1"/>
  <c r="DG30" i="1"/>
  <c r="DG40" i="1" s="1"/>
  <c r="DM30" i="1"/>
  <c r="DM40" i="1" s="1"/>
  <c r="DU30" i="1"/>
  <c r="DV35" i="1"/>
  <c r="DV39" i="1"/>
  <c r="F43" i="1"/>
  <c r="DV43" i="1" s="1"/>
  <c r="DU43" i="1"/>
  <c r="DU45" i="1"/>
  <c r="F45" i="1"/>
  <c r="DV45" i="1" s="1"/>
  <c r="E48" i="1"/>
  <c r="K48" i="1"/>
  <c r="K49" i="1" s="1"/>
  <c r="L41" i="1"/>
  <c r="L48" i="1" s="1"/>
  <c r="W48" i="1"/>
  <c r="W49" i="1" s="1"/>
  <c r="X41" i="1"/>
  <c r="X48" i="1" s="1"/>
  <c r="AI48" i="1"/>
  <c r="AJ41" i="1"/>
  <c r="AJ48" i="1" s="1"/>
  <c r="AU48" i="1"/>
  <c r="AV41" i="1"/>
  <c r="AV48" i="1" s="1"/>
  <c r="BG48" i="1"/>
  <c r="BG49" i="1" s="1"/>
  <c r="BH41" i="1"/>
  <c r="BH48" i="1" s="1"/>
  <c r="BS48" i="1"/>
  <c r="BS49" i="1" s="1"/>
  <c r="BT41" i="1"/>
  <c r="BT48" i="1" s="1"/>
  <c r="CE48" i="1"/>
  <c r="CE49" i="1" s="1"/>
  <c r="CF41" i="1"/>
  <c r="CF48" i="1" s="1"/>
  <c r="CQ48" i="1"/>
  <c r="CR41" i="1"/>
  <c r="CR48" i="1" s="1"/>
  <c r="DC48" i="1"/>
  <c r="DC49" i="1" s="1"/>
  <c r="DD41" i="1"/>
  <c r="DD48" i="1" s="1"/>
  <c r="DO48" i="1"/>
  <c r="DO49" i="1" s="1"/>
  <c r="DP41" i="1"/>
  <c r="DP48" i="1" s="1"/>
  <c r="Q48" i="1"/>
  <c r="Q49" i="1" s="1"/>
  <c r="BM48" i="1"/>
  <c r="BM49" i="1" s="1"/>
  <c r="DI48" i="1"/>
  <c r="DI49" i="1" s="1"/>
  <c r="N48" i="1"/>
  <c r="N49" i="1" s="1"/>
  <c r="O41" i="1"/>
  <c r="O48" i="1" s="1"/>
  <c r="Z48" i="1"/>
  <c r="Z49" i="1" s="1"/>
  <c r="AA41" i="1"/>
  <c r="AA48" i="1" s="1"/>
  <c r="AL48" i="1"/>
  <c r="AL49" i="1" s="1"/>
  <c r="AM41" i="1"/>
  <c r="AM48" i="1" s="1"/>
  <c r="AX48" i="1"/>
  <c r="AX49" i="1" s="1"/>
  <c r="AY41" i="1"/>
  <c r="AY48" i="1" s="1"/>
  <c r="BJ48" i="1"/>
  <c r="BJ49" i="1" s="1"/>
  <c r="BK41" i="1"/>
  <c r="BK48" i="1" s="1"/>
  <c r="BV48" i="1"/>
  <c r="BV49" i="1" s="1"/>
  <c r="BW41" i="1"/>
  <c r="BW48" i="1" s="1"/>
  <c r="CH48" i="1"/>
  <c r="CH49" i="1" s="1"/>
  <c r="CI41" i="1"/>
  <c r="CI48" i="1" s="1"/>
  <c r="CT48" i="1"/>
  <c r="CU41" i="1"/>
  <c r="CU48" i="1" s="1"/>
  <c r="DF48" i="1"/>
  <c r="DF49" i="1" s="1"/>
  <c r="DG41" i="1"/>
  <c r="DG48" i="1" s="1"/>
  <c r="AC48" i="1"/>
  <c r="AC49" i="1" s="1"/>
  <c r="BY48" i="1"/>
  <c r="BY49" i="1" s="1"/>
  <c r="DU41" i="1"/>
  <c r="F41" i="1"/>
  <c r="R48" i="1"/>
  <c r="AD48" i="1"/>
  <c r="AP48" i="1"/>
  <c r="BB48" i="1"/>
  <c r="BN48" i="1"/>
  <c r="BZ48" i="1"/>
  <c r="CL48" i="1"/>
  <c r="CX48" i="1"/>
  <c r="DJ48" i="1"/>
  <c r="AO48" i="1"/>
  <c r="AO49" i="1" s="1"/>
  <c r="CK48" i="1"/>
  <c r="CK49" i="1" s="1"/>
  <c r="DU47" i="1"/>
  <c r="CZ49" i="1" l="1"/>
  <c r="DA49" i="1"/>
  <c r="CU49" i="1"/>
  <c r="CT49" i="1"/>
  <c r="CQ49" i="1"/>
  <c r="BW49" i="1"/>
  <c r="AY49" i="1"/>
  <c r="AU49" i="1"/>
  <c r="AI49" i="1"/>
  <c r="AG49" i="1"/>
  <c r="DU40" i="1"/>
  <c r="DT49" i="1"/>
  <c r="E49" i="1"/>
  <c r="DV65" i="1"/>
  <c r="DV74" i="1" s="1"/>
  <c r="F48" i="1"/>
  <c r="DV41" i="1"/>
  <c r="DV48" i="1" s="1"/>
  <c r="DU48" i="1"/>
  <c r="DM49" i="1"/>
  <c r="CO49" i="1"/>
  <c r="BQ49" i="1"/>
  <c r="AS49" i="1"/>
  <c r="U49" i="1"/>
  <c r="DP49" i="1"/>
  <c r="CR49" i="1"/>
  <c r="BT49" i="1"/>
  <c r="AV49" i="1"/>
  <c r="X49" i="1"/>
  <c r="DG49" i="1"/>
  <c r="CI49" i="1"/>
  <c r="BK49" i="1"/>
  <c r="AM49" i="1"/>
  <c r="O49" i="1"/>
  <c r="DJ49" i="1"/>
  <c r="CL49" i="1"/>
  <c r="BN49" i="1"/>
  <c r="AP49" i="1"/>
  <c r="R49" i="1"/>
  <c r="DD49" i="1"/>
  <c r="CF49" i="1"/>
  <c r="BH49" i="1"/>
  <c r="AJ49" i="1"/>
  <c r="L49" i="1"/>
  <c r="CX49" i="1"/>
  <c r="BZ49" i="1"/>
  <c r="BB49" i="1"/>
  <c r="AD49" i="1"/>
  <c r="F40" i="1"/>
  <c r="DV30" i="1"/>
  <c r="DV40" i="1" s="1"/>
  <c r="DU49" i="1" l="1"/>
  <c r="F49" i="1"/>
  <c r="DV49" i="1"/>
  <c r="V24" i="1"/>
  <c r="W24" i="1"/>
  <c r="X24" i="1"/>
  <c r="Y24" i="1"/>
  <c r="Z24" i="1"/>
  <c r="AA24" i="1"/>
  <c r="AB24" i="1"/>
  <c r="AC24" i="1"/>
  <c r="AD24" i="1"/>
  <c r="BX24" i="1"/>
  <c r="BY24" i="1"/>
  <c r="BZ24" i="1"/>
  <c r="CA24" i="1"/>
  <c r="CB24" i="1"/>
  <c r="CC24" i="1"/>
  <c r="CP24" i="1"/>
  <c r="CQ24" i="1"/>
  <c r="CR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G15" i="1" l="1"/>
  <c r="G23" i="1"/>
  <c r="J15" i="1"/>
  <c r="J23" i="1"/>
  <c r="M15" i="1"/>
  <c r="M23" i="1"/>
  <c r="P15" i="1"/>
  <c r="P23" i="1"/>
  <c r="S15" i="1"/>
  <c r="S24" i="1" s="1"/>
  <c r="S23" i="1"/>
  <c r="V15" i="1"/>
  <c r="V23" i="1"/>
  <c r="Y15" i="1"/>
  <c r="Y23" i="1"/>
  <c r="AB15" i="1"/>
  <c r="AB23" i="1"/>
  <c r="AE15" i="1"/>
  <c r="AE23" i="1"/>
  <c r="AH15" i="1"/>
  <c r="AH23" i="1"/>
  <c r="AK15" i="1"/>
  <c r="AK23" i="1"/>
  <c r="AK24" i="1" s="1"/>
  <c r="AN15" i="1"/>
  <c r="AN23" i="1"/>
  <c r="AQ15" i="1"/>
  <c r="AQ23" i="1"/>
  <c r="AT15" i="1"/>
  <c r="AT23" i="1"/>
  <c r="AW15" i="1"/>
  <c r="AW24" i="1" s="1"/>
  <c r="AW23" i="1"/>
  <c r="AZ15" i="1"/>
  <c r="AZ24" i="1" s="1"/>
  <c r="AZ23" i="1"/>
  <c r="BC15" i="1"/>
  <c r="BC23" i="1"/>
  <c r="BF15" i="1"/>
  <c r="BF23" i="1"/>
  <c r="BI15" i="1"/>
  <c r="BI23" i="1"/>
  <c r="BL15" i="1"/>
  <c r="BL23" i="1"/>
  <c r="BL24" i="1" s="1"/>
  <c r="BO15" i="1"/>
  <c r="BO23" i="1"/>
  <c r="BO24" i="1" s="1"/>
  <c r="BR15" i="1"/>
  <c r="BR23" i="1"/>
  <c r="BR24" i="1" s="1"/>
  <c r="BU15" i="1"/>
  <c r="BU23" i="1"/>
  <c r="BX15" i="1"/>
  <c r="BX23" i="1"/>
  <c r="CA15" i="1"/>
  <c r="CA23" i="1"/>
  <c r="CD15" i="1"/>
  <c r="CD23" i="1"/>
  <c r="CD24" i="1" s="1"/>
  <c r="CG15" i="1"/>
  <c r="CG23" i="1"/>
  <c r="CJ15" i="1"/>
  <c r="CJ23" i="1"/>
  <c r="CM15" i="1"/>
  <c r="CM23" i="1"/>
  <c r="CM24" i="1" s="1"/>
  <c r="CP15" i="1"/>
  <c r="CP23" i="1"/>
  <c r="CS15" i="1"/>
  <c r="CS23" i="1"/>
  <c r="CV15" i="1"/>
  <c r="CV23" i="1"/>
  <c r="CY15" i="1"/>
  <c r="CY23" i="1"/>
  <c r="DB15" i="1"/>
  <c r="DB23" i="1"/>
  <c r="DE15" i="1"/>
  <c r="DE23" i="1"/>
  <c r="DH15" i="1"/>
  <c r="DH23" i="1"/>
  <c r="DK15" i="1"/>
  <c r="DK23" i="1"/>
  <c r="DN15" i="1"/>
  <c r="DN23" i="1"/>
  <c r="DS23" i="1"/>
  <c r="DR23" i="1"/>
  <c r="DQ23" i="1"/>
  <c r="DS15" i="1"/>
  <c r="DR15" i="1"/>
  <c r="DQ15" i="1"/>
  <c r="DT22" i="1"/>
  <c r="DO22" i="1"/>
  <c r="DP22" i="1" s="1"/>
  <c r="DL22" i="1"/>
  <c r="DM22" i="1" s="1"/>
  <c r="DI22" i="1"/>
  <c r="DJ22" i="1" s="1"/>
  <c r="DF22" i="1"/>
  <c r="DG22" i="1" s="1"/>
  <c r="DC22" i="1"/>
  <c r="DD22" i="1" s="1"/>
  <c r="CZ22" i="1"/>
  <c r="DA22" i="1" s="1"/>
  <c r="CW22" i="1"/>
  <c r="CX22" i="1" s="1"/>
  <c r="CT22" i="1"/>
  <c r="CU22" i="1" s="1"/>
  <c r="CQ22" i="1"/>
  <c r="CR22" i="1" s="1"/>
  <c r="CN22" i="1"/>
  <c r="CO22" i="1" s="1"/>
  <c r="CK22" i="1"/>
  <c r="CL22" i="1" s="1"/>
  <c r="CH22" i="1"/>
  <c r="CI22" i="1" s="1"/>
  <c r="CE22" i="1"/>
  <c r="CF22" i="1" s="1"/>
  <c r="CB22" i="1"/>
  <c r="CC22" i="1" s="1"/>
  <c r="BY22" i="1"/>
  <c r="BZ22" i="1" s="1"/>
  <c r="BV22" i="1"/>
  <c r="BW22" i="1" s="1"/>
  <c r="BS22" i="1"/>
  <c r="BT22" i="1" s="1"/>
  <c r="BP22" i="1"/>
  <c r="BQ22" i="1" s="1"/>
  <c r="BM22" i="1"/>
  <c r="BN22" i="1" s="1"/>
  <c r="BJ22" i="1"/>
  <c r="BK22" i="1" s="1"/>
  <c r="BG22" i="1"/>
  <c r="BH22" i="1" s="1"/>
  <c r="BD22" i="1"/>
  <c r="BE22" i="1" s="1"/>
  <c r="BA22" i="1"/>
  <c r="BB22" i="1" s="1"/>
  <c r="AX22" i="1"/>
  <c r="AY22" i="1" s="1"/>
  <c r="AU22" i="1"/>
  <c r="AV22" i="1" s="1"/>
  <c r="AR22" i="1"/>
  <c r="AS22" i="1" s="1"/>
  <c r="AO22" i="1"/>
  <c r="AP22" i="1" s="1"/>
  <c r="AL22" i="1"/>
  <c r="AM22" i="1" s="1"/>
  <c r="AI22" i="1"/>
  <c r="AJ22" i="1" s="1"/>
  <c r="AF22" i="1"/>
  <c r="AG22" i="1" s="1"/>
  <c r="AC22" i="1"/>
  <c r="AD22" i="1" s="1"/>
  <c r="Z22" i="1"/>
  <c r="AA22" i="1" s="1"/>
  <c r="W22" i="1"/>
  <c r="X22" i="1" s="1"/>
  <c r="T22" i="1"/>
  <c r="U22" i="1" s="1"/>
  <c r="Q22" i="1"/>
  <c r="R22" i="1" s="1"/>
  <c r="N22" i="1"/>
  <c r="O22" i="1" s="1"/>
  <c r="K22" i="1"/>
  <c r="L22" i="1" s="1"/>
  <c r="H22" i="1"/>
  <c r="I22" i="1" s="1"/>
  <c r="E22" i="1"/>
  <c r="F22" i="1" s="1"/>
  <c r="DT21" i="1"/>
  <c r="DO21" i="1"/>
  <c r="DP21" i="1" s="1"/>
  <c r="DL21" i="1"/>
  <c r="DM21" i="1" s="1"/>
  <c r="DI21" i="1"/>
  <c r="DJ21" i="1" s="1"/>
  <c r="DF21" i="1"/>
  <c r="DG21" i="1" s="1"/>
  <c r="DC21" i="1"/>
  <c r="DD21" i="1" s="1"/>
  <c r="CZ21" i="1"/>
  <c r="DA21" i="1" s="1"/>
  <c r="CW21" i="1"/>
  <c r="CX21" i="1" s="1"/>
  <c r="CT21" i="1"/>
  <c r="CU21" i="1" s="1"/>
  <c r="CQ21" i="1"/>
  <c r="CR21" i="1" s="1"/>
  <c r="CN21" i="1"/>
  <c r="CO21" i="1" s="1"/>
  <c r="CK21" i="1"/>
  <c r="CL21" i="1" s="1"/>
  <c r="CH21" i="1"/>
  <c r="CI21" i="1" s="1"/>
  <c r="CE21" i="1"/>
  <c r="CF21" i="1" s="1"/>
  <c r="CB21" i="1"/>
  <c r="CC21" i="1" s="1"/>
  <c r="BY21" i="1"/>
  <c r="BZ21" i="1" s="1"/>
  <c r="BV21" i="1"/>
  <c r="BW21" i="1" s="1"/>
  <c r="BS21" i="1"/>
  <c r="BT21" i="1" s="1"/>
  <c r="BP21" i="1"/>
  <c r="BQ21" i="1" s="1"/>
  <c r="BM21" i="1"/>
  <c r="BN21" i="1" s="1"/>
  <c r="BJ21" i="1"/>
  <c r="BK21" i="1" s="1"/>
  <c r="BG21" i="1"/>
  <c r="BH21" i="1" s="1"/>
  <c r="BD21" i="1"/>
  <c r="BE21" i="1" s="1"/>
  <c r="BA21" i="1"/>
  <c r="BB21" i="1" s="1"/>
  <c r="AX21" i="1"/>
  <c r="AY21" i="1" s="1"/>
  <c r="AU21" i="1"/>
  <c r="AV21" i="1" s="1"/>
  <c r="AR21" i="1"/>
  <c r="AS21" i="1" s="1"/>
  <c r="AO21" i="1"/>
  <c r="AP21" i="1" s="1"/>
  <c r="AL21" i="1"/>
  <c r="AM21" i="1" s="1"/>
  <c r="AI21" i="1"/>
  <c r="AJ21" i="1" s="1"/>
  <c r="AF21" i="1"/>
  <c r="AG21" i="1" s="1"/>
  <c r="AC21" i="1"/>
  <c r="AD21" i="1" s="1"/>
  <c r="Z21" i="1"/>
  <c r="AA21" i="1" s="1"/>
  <c r="W21" i="1"/>
  <c r="X21" i="1" s="1"/>
  <c r="T21" i="1"/>
  <c r="U21" i="1" s="1"/>
  <c r="Q21" i="1"/>
  <c r="R21" i="1" s="1"/>
  <c r="N21" i="1"/>
  <c r="O21" i="1" s="1"/>
  <c r="K21" i="1"/>
  <c r="L21" i="1" s="1"/>
  <c r="H21" i="1"/>
  <c r="I21" i="1" s="1"/>
  <c r="E21" i="1"/>
  <c r="DT20" i="1"/>
  <c r="DO20" i="1"/>
  <c r="DP20" i="1" s="1"/>
  <c r="DL20" i="1"/>
  <c r="DM20" i="1" s="1"/>
  <c r="DI20" i="1"/>
  <c r="DJ20" i="1" s="1"/>
  <c r="DF20" i="1"/>
  <c r="DG20" i="1" s="1"/>
  <c r="DC20" i="1"/>
  <c r="DD20" i="1" s="1"/>
  <c r="CZ20" i="1"/>
  <c r="DA20" i="1" s="1"/>
  <c r="CW20" i="1"/>
  <c r="CX20" i="1" s="1"/>
  <c r="CT20" i="1"/>
  <c r="CU20" i="1" s="1"/>
  <c r="CQ20" i="1"/>
  <c r="CR20" i="1" s="1"/>
  <c r="CN20" i="1"/>
  <c r="CO20" i="1" s="1"/>
  <c r="CK20" i="1"/>
  <c r="CL20" i="1" s="1"/>
  <c r="CH20" i="1"/>
  <c r="CI20" i="1" s="1"/>
  <c r="CE20" i="1"/>
  <c r="CF20" i="1" s="1"/>
  <c r="CB20" i="1"/>
  <c r="CC20" i="1" s="1"/>
  <c r="BY20" i="1"/>
  <c r="BZ20" i="1" s="1"/>
  <c r="BV20" i="1"/>
  <c r="BW20" i="1" s="1"/>
  <c r="BS20" i="1"/>
  <c r="BT20" i="1" s="1"/>
  <c r="BP20" i="1"/>
  <c r="BQ20" i="1" s="1"/>
  <c r="BM20" i="1"/>
  <c r="BN20" i="1" s="1"/>
  <c r="BJ20" i="1"/>
  <c r="BK20" i="1" s="1"/>
  <c r="BG20" i="1"/>
  <c r="BH20" i="1" s="1"/>
  <c r="BD20" i="1"/>
  <c r="BE20" i="1" s="1"/>
  <c r="BA20" i="1"/>
  <c r="BB20" i="1" s="1"/>
  <c r="AX20" i="1"/>
  <c r="AY20" i="1" s="1"/>
  <c r="AU20" i="1"/>
  <c r="AV20" i="1" s="1"/>
  <c r="AR20" i="1"/>
  <c r="AS20" i="1" s="1"/>
  <c r="AO20" i="1"/>
  <c r="AP20" i="1" s="1"/>
  <c r="AL20" i="1"/>
  <c r="AM20" i="1" s="1"/>
  <c r="AI20" i="1"/>
  <c r="AJ20" i="1" s="1"/>
  <c r="AF20" i="1"/>
  <c r="AG20" i="1" s="1"/>
  <c r="AC20" i="1"/>
  <c r="AD20" i="1" s="1"/>
  <c r="Z20" i="1"/>
  <c r="W20" i="1"/>
  <c r="X20" i="1" s="1"/>
  <c r="T20" i="1"/>
  <c r="U20" i="1" s="1"/>
  <c r="Q20" i="1"/>
  <c r="R20" i="1" s="1"/>
  <c r="N20" i="1"/>
  <c r="O20" i="1" s="1"/>
  <c r="K20" i="1"/>
  <c r="L20" i="1" s="1"/>
  <c r="H20" i="1"/>
  <c r="I20" i="1" s="1"/>
  <c r="E20" i="1"/>
  <c r="F20" i="1" s="1"/>
  <c r="DT19" i="1"/>
  <c r="DO19" i="1"/>
  <c r="DP19" i="1" s="1"/>
  <c r="DL19" i="1"/>
  <c r="DM19" i="1" s="1"/>
  <c r="DI19" i="1"/>
  <c r="DJ19" i="1" s="1"/>
  <c r="DF19" i="1"/>
  <c r="DG19" i="1" s="1"/>
  <c r="DC19" i="1"/>
  <c r="DD19" i="1" s="1"/>
  <c r="CZ19" i="1"/>
  <c r="DA19" i="1" s="1"/>
  <c r="CW19" i="1"/>
  <c r="CX19" i="1" s="1"/>
  <c r="CT19" i="1"/>
  <c r="CU19" i="1" s="1"/>
  <c r="CQ19" i="1"/>
  <c r="CR19" i="1" s="1"/>
  <c r="CN19" i="1"/>
  <c r="CO19" i="1" s="1"/>
  <c r="CK19" i="1"/>
  <c r="CL19" i="1" s="1"/>
  <c r="CH19" i="1"/>
  <c r="CI19" i="1" s="1"/>
  <c r="CE19" i="1"/>
  <c r="CF19" i="1" s="1"/>
  <c r="CB19" i="1"/>
  <c r="CC19" i="1" s="1"/>
  <c r="BY19" i="1"/>
  <c r="BZ19" i="1" s="1"/>
  <c r="BV19" i="1"/>
  <c r="BW19" i="1" s="1"/>
  <c r="BS19" i="1"/>
  <c r="BT19" i="1" s="1"/>
  <c r="BP19" i="1"/>
  <c r="BQ19" i="1" s="1"/>
  <c r="BM19" i="1"/>
  <c r="BN19" i="1" s="1"/>
  <c r="BJ19" i="1"/>
  <c r="BK19" i="1" s="1"/>
  <c r="BG19" i="1"/>
  <c r="BH19" i="1" s="1"/>
  <c r="BD19" i="1"/>
  <c r="BE19" i="1" s="1"/>
  <c r="BA19" i="1"/>
  <c r="BB19" i="1" s="1"/>
  <c r="AX19" i="1"/>
  <c r="AY19" i="1" s="1"/>
  <c r="AU19" i="1"/>
  <c r="AV19" i="1" s="1"/>
  <c r="AR19" i="1"/>
  <c r="AS19" i="1" s="1"/>
  <c r="AO19" i="1"/>
  <c r="AP19" i="1" s="1"/>
  <c r="AL19" i="1"/>
  <c r="AM19" i="1" s="1"/>
  <c r="AI19" i="1"/>
  <c r="AJ19" i="1" s="1"/>
  <c r="AF19" i="1"/>
  <c r="AG19" i="1" s="1"/>
  <c r="AC19" i="1"/>
  <c r="AD19" i="1" s="1"/>
  <c r="Z19" i="1"/>
  <c r="AA19" i="1" s="1"/>
  <c r="W19" i="1"/>
  <c r="X19" i="1" s="1"/>
  <c r="T19" i="1"/>
  <c r="U19" i="1" s="1"/>
  <c r="Q19" i="1"/>
  <c r="R19" i="1" s="1"/>
  <c r="N19" i="1"/>
  <c r="O19" i="1" s="1"/>
  <c r="K19" i="1"/>
  <c r="L19" i="1" s="1"/>
  <c r="H19" i="1"/>
  <c r="I19" i="1" s="1"/>
  <c r="E19" i="1"/>
  <c r="DT18" i="1"/>
  <c r="DO18" i="1"/>
  <c r="DP18" i="1" s="1"/>
  <c r="DL18" i="1"/>
  <c r="DM18" i="1" s="1"/>
  <c r="DI18" i="1"/>
  <c r="DJ18" i="1" s="1"/>
  <c r="DF18" i="1"/>
  <c r="DG18" i="1" s="1"/>
  <c r="DC18" i="1"/>
  <c r="DD18" i="1" s="1"/>
  <c r="CZ18" i="1"/>
  <c r="DA18" i="1" s="1"/>
  <c r="CW18" i="1"/>
  <c r="CX18" i="1" s="1"/>
  <c r="CT18" i="1"/>
  <c r="CU18" i="1" s="1"/>
  <c r="CQ18" i="1"/>
  <c r="CR18" i="1" s="1"/>
  <c r="CN18" i="1"/>
  <c r="CO18" i="1" s="1"/>
  <c r="CK18" i="1"/>
  <c r="CL18" i="1" s="1"/>
  <c r="CH18" i="1"/>
  <c r="CI18" i="1" s="1"/>
  <c r="CE18" i="1"/>
  <c r="CF18" i="1" s="1"/>
  <c r="CB18" i="1"/>
  <c r="CC18" i="1" s="1"/>
  <c r="BY18" i="1"/>
  <c r="BZ18" i="1" s="1"/>
  <c r="BV18" i="1"/>
  <c r="BW18" i="1" s="1"/>
  <c r="BS18" i="1"/>
  <c r="BT18" i="1" s="1"/>
  <c r="BP18" i="1"/>
  <c r="BQ18" i="1" s="1"/>
  <c r="BM18" i="1"/>
  <c r="BN18" i="1" s="1"/>
  <c r="BJ18" i="1"/>
  <c r="BG18" i="1"/>
  <c r="BH18" i="1" s="1"/>
  <c r="BD18" i="1"/>
  <c r="BE18" i="1" s="1"/>
  <c r="BA18" i="1"/>
  <c r="BB18" i="1" s="1"/>
  <c r="AX18" i="1"/>
  <c r="AY18" i="1" s="1"/>
  <c r="AU18" i="1"/>
  <c r="AV18" i="1" s="1"/>
  <c r="AR18" i="1"/>
  <c r="AS18" i="1" s="1"/>
  <c r="AO18" i="1"/>
  <c r="AP18" i="1" s="1"/>
  <c r="AL18" i="1"/>
  <c r="AM18" i="1" s="1"/>
  <c r="AI18" i="1"/>
  <c r="AJ18" i="1" s="1"/>
  <c r="AF18" i="1"/>
  <c r="AG18" i="1" s="1"/>
  <c r="AC18" i="1"/>
  <c r="AD18" i="1" s="1"/>
  <c r="Z18" i="1"/>
  <c r="AA18" i="1" s="1"/>
  <c r="W18" i="1"/>
  <c r="X18" i="1" s="1"/>
  <c r="T18" i="1"/>
  <c r="U18" i="1" s="1"/>
  <c r="Q18" i="1"/>
  <c r="R18" i="1" s="1"/>
  <c r="N18" i="1"/>
  <c r="O18" i="1" s="1"/>
  <c r="K18" i="1"/>
  <c r="L18" i="1" s="1"/>
  <c r="H18" i="1"/>
  <c r="I18" i="1" s="1"/>
  <c r="E18" i="1"/>
  <c r="F18" i="1" s="1"/>
  <c r="DT17" i="1"/>
  <c r="DO17" i="1"/>
  <c r="DP17" i="1" s="1"/>
  <c r="DL17" i="1"/>
  <c r="DM17" i="1" s="1"/>
  <c r="DI17" i="1"/>
  <c r="DJ17" i="1" s="1"/>
  <c r="DF17" i="1"/>
  <c r="DG17" i="1" s="1"/>
  <c r="DC17" i="1"/>
  <c r="DD17" i="1" s="1"/>
  <c r="CZ17" i="1"/>
  <c r="DA17" i="1" s="1"/>
  <c r="CW17" i="1"/>
  <c r="CX17" i="1" s="1"/>
  <c r="CT17" i="1"/>
  <c r="CU17" i="1" s="1"/>
  <c r="CQ17" i="1"/>
  <c r="CR17" i="1" s="1"/>
  <c r="CN17" i="1"/>
  <c r="CO17" i="1" s="1"/>
  <c r="CK17" i="1"/>
  <c r="CL17" i="1" s="1"/>
  <c r="CH17" i="1"/>
  <c r="CI17" i="1" s="1"/>
  <c r="CE17" i="1"/>
  <c r="CF17" i="1" s="1"/>
  <c r="CB17" i="1"/>
  <c r="CC17" i="1" s="1"/>
  <c r="BY17" i="1"/>
  <c r="BZ17" i="1" s="1"/>
  <c r="BV17" i="1"/>
  <c r="BW17" i="1" s="1"/>
  <c r="BS17" i="1"/>
  <c r="BT17" i="1" s="1"/>
  <c r="BP17" i="1"/>
  <c r="BQ17" i="1" s="1"/>
  <c r="BM17" i="1"/>
  <c r="BN17" i="1" s="1"/>
  <c r="BJ17" i="1"/>
  <c r="BK17" i="1" s="1"/>
  <c r="BG17" i="1"/>
  <c r="BD17" i="1"/>
  <c r="BE17" i="1" s="1"/>
  <c r="BA17" i="1"/>
  <c r="BB17" i="1" s="1"/>
  <c r="AX17" i="1"/>
  <c r="AY17" i="1" s="1"/>
  <c r="AU17" i="1"/>
  <c r="AR17" i="1"/>
  <c r="AS17" i="1" s="1"/>
  <c r="AO17" i="1"/>
  <c r="AP17" i="1" s="1"/>
  <c r="AL17" i="1"/>
  <c r="AI17" i="1"/>
  <c r="AJ17" i="1" s="1"/>
  <c r="AF17" i="1"/>
  <c r="AG17" i="1" s="1"/>
  <c r="AC17" i="1"/>
  <c r="AD17" i="1" s="1"/>
  <c r="Z17" i="1"/>
  <c r="AA17" i="1" s="1"/>
  <c r="W17" i="1"/>
  <c r="X17" i="1" s="1"/>
  <c r="T17" i="1"/>
  <c r="U17" i="1" s="1"/>
  <c r="Q17" i="1"/>
  <c r="R17" i="1" s="1"/>
  <c r="N17" i="1"/>
  <c r="O17" i="1" s="1"/>
  <c r="K17" i="1"/>
  <c r="L17" i="1" s="1"/>
  <c r="H17" i="1"/>
  <c r="I17" i="1" s="1"/>
  <c r="E17" i="1"/>
  <c r="F17" i="1" s="1"/>
  <c r="DT16" i="1"/>
  <c r="DO16" i="1"/>
  <c r="DL16" i="1"/>
  <c r="DM16" i="1" s="1"/>
  <c r="DI16" i="1"/>
  <c r="DJ16" i="1" s="1"/>
  <c r="DF16" i="1"/>
  <c r="DG16" i="1" s="1"/>
  <c r="DC16" i="1"/>
  <c r="DD16" i="1" s="1"/>
  <c r="CZ16" i="1"/>
  <c r="DA16" i="1" s="1"/>
  <c r="CW16" i="1"/>
  <c r="CX16" i="1" s="1"/>
  <c r="CT16" i="1"/>
  <c r="CU16" i="1" s="1"/>
  <c r="CQ16" i="1"/>
  <c r="CR16" i="1" s="1"/>
  <c r="CN16" i="1"/>
  <c r="CK16" i="1"/>
  <c r="CL16" i="1" s="1"/>
  <c r="CH16" i="1"/>
  <c r="CI16" i="1" s="1"/>
  <c r="CE16" i="1"/>
  <c r="CF16" i="1" s="1"/>
  <c r="CB16" i="1"/>
  <c r="CC16" i="1" s="1"/>
  <c r="BY16" i="1"/>
  <c r="BZ16" i="1" s="1"/>
  <c r="BV16" i="1"/>
  <c r="BS16" i="1"/>
  <c r="BT16" i="1" s="1"/>
  <c r="BP16" i="1"/>
  <c r="BQ16" i="1" s="1"/>
  <c r="BM16" i="1"/>
  <c r="BN16" i="1" s="1"/>
  <c r="BJ16" i="1"/>
  <c r="BK16" i="1" s="1"/>
  <c r="BG16" i="1"/>
  <c r="BH16" i="1" s="1"/>
  <c r="BD16" i="1"/>
  <c r="BE16" i="1" s="1"/>
  <c r="BA16" i="1"/>
  <c r="BB16" i="1" s="1"/>
  <c r="AX16" i="1"/>
  <c r="AY16" i="1" s="1"/>
  <c r="AU16" i="1"/>
  <c r="AV16" i="1" s="1"/>
  <c r="AR16" i="1"/>
  <c r="AS16" i="1" s="1"/>
  <c r="AO16" i="1"/>
  <c r="AP16" i="1" s="1"/>
  <c r="AL16" i="1"/>
  <c r="AM16" i="1" s="1"/>
  <c r="AI16" i="1"/>
  <c r="AJ16" i="1" s="1"/>
  <c r="AF16" i="1"/>
  <c r="AG16" i="1" s="1"/>
  <c r="AC16" i="1"/>
  <c r="AD16" i="1" s="1"/>
  <c r="Z16" i="1"/>
  <c r="AA16" i="1" s="1"/>
  <c r="W16" i="1"/>
  <c r="X16" i="1" s="1"/>
  <c r="T16" i="1"/>
  <c r="Q16" i="1"/>
  <c r="R16" i="1" s="1"/>
  <c r="N16" i="1"/>
  <c r="O16" i="1" s="1"/>
  <c r="K16" i="1"/>
  <c r="H16" i="1"/>
  <c r="I16" i="1" s="1"/>
  <c r="E16" i="1"/>
  <c r="DT5" i="1"/>
  <c r="DT6" i="1"/>
  <c r="DT7" i="1"/>
  <c r="DT8" i="1"/>
  <c r="DT9" i="1"/>
  <c r="DT10" i="1"/>
  <c r="DT11" i="1"/>
  <c r="DT12" i="1"/>
  <c r="DT13" i="1"/>
  <c r="DT14" i="1"/>
  <c r="DO6" i="1"/>
  <c r="DP6" i="1" s="1"/>
  <c r="DO7" i="1"/>
  <c r="DP7" i="1" s="1"/>
  <c r="DO8" i="1"/>
  <c r="DP8" i="1" s="1"/>
  <c r="DO9" i="1"/>
  <c r="DP9" i="1" s="1"/>
  <c r="DO10" i="1"/>
  <c r="DP10" i="1" s="1"/>
  <c r="DO11" i="1"/>
  <c r="DP11" i="1" s="1"/>
  <c r="DO12" i="1"/>
  <c r="DP12" i="1" s="1"/>
  <c r="DO13" i="1"/>
  <c r="DP13" i="1" s="1"/>
  <c r="DO14" i="1"/>
  <c r="DP14" i="1" s="1"/>
  <c r="DO5" i="1"/>
  <c r="DP5" i="1" s="1"/>
  <c r="DL6" i="1"/>
  <c r="DM6" i="1" s="1"/>
  <c r="DL7" i="1"/>
  <c r="DM7" i="1" s="1"/>
  <c r="DL8" i="1"/>
  <c r="DM8" i="1" s="1"/>
  <c r="DL9" i="1"/>
  <c r="DM9" i="1" s="1"/>
  <c r="DL10" i="1"/>
  <c r="DM10" i="1" s="1"/>
  <c r="DL11" i="1"/>
  <c r="DM11" i="1" s="1"/>
  <c r="DL12" i="1"/>
  <c r="DM12" i="1" s="1"/>
  <c r="DL13" i="1"/>
  <c r="DM13" i="1"/>
  <c r="DL14" i="1"/>
  <c r="DM14" i="1" s="1"/>
  <c r="DL5" i="1"/>
  <c r="DM5" i="1" s="1"/>
  <c r="DI6" i="1"/>
  <c r="DJ6" i="1" s="1"/>
  <c r="DI7" i="1"/>
  <c r="DJ7" i="1" s="1"/>
  <c r="DI8" i="1"/>
  <c r="DJ8" i="1" s="1"/>
  <c r="DI9" i="1"/>
  <c r="DJ9" i="1" s="1"/>
  <c r="DI10" i="1"/>
  <c r="DJ10" i="1" s="1"/>
  <c r="DI11" i="1"/>
  <c r="DJ11" i="1" s="1"/>
  <c r="DI12" i="1"/>
  <c r="DJ12" i="1" s="1"/>
  <c r="DI13" i="1"/>
  <c r="DJ13" i="1" s="1"/>
  <c r="DI14" i="1"/>
  <c r="DJ14" i="1" s="1"/>
  <c r="DI5" i="1"/>
  <c r="DF6" i="1"/>
  <c r="DG6" i="1" s="1"/>
  <c r="DF7" i="1"/>
  <c r="DG7" i="1" s="1"/>
  <c r="DF8" i="1"/>
  <c r="DG8" i="1" s="1"/>
  <c r="DF9" i="1"/>
  <c r="DG9" i="1" s="1"/>
  <c r="DF10" i="1"/>
  <c r="DG10" i="1" s="1"/>
  <c r="DF11" i="1"/>
  <c r="DG11" i="1" s="1"/>
  <c r="DF12" i="1"/>
  <c r="DG12" i="1" s="1"/>
  <c r="DF13" i="1"/>
  <c r="DG13" i="1" s="1"/>
  <c r="DF14" i="1"/>
  <c r="DG14" i="1" s="1"/>
  <c r="DF5" i="1"/>
  <c r="DG5" i="1" s="1"/>
  <c r="DC6" i="1"/>
  <c r="DD6" i="1" s="1"/>
  <c r="DC7" i="1"/>
  <c r="DD7" i="1" s="1"/>
  <c r="DC8" i="1"/>
  <c r="DD8" i="1" s="1"/>
  <c r="DC9" i="1"/>
  <c r="DD9" i="1" s="1"/>
  <c r="DC10" i="1"/>
  <c r="DD10" i="1" s="1"/>
  <c r="DC11" i="1"/>
  <c r="DD11" i="1" s="1"/>
  <c r="DC12" i="1"/>
  <c r="DD12" i="1" s="1"/>
  <c r="DC13" i="1"/>
  <c r="DD13" i="1" s="1"/>
  <c r="DC14" i="1"/>
  <c r="DD14" i="1" s="1"/>
  <c r="DC5" i="1"/>
  <c r="CZ6" i="1"/>
  <c r="DA6" i="1" s="1"/>
  <c r="CZ7" i="1"/>
  <c r="DA7" i="1" s="1"/>
  <c r="CZ8" i="1"/>
  <c r="DA8" i="1" s="1"/>
  <c r="CZ9" i="1"/>
  <c r="DA9" i="1" s="1"/>
  <c r="CZ10" i="1"/>
  <c r="DA10" i="1" s="1"/>
  <c r="CZ11" i="1"/>
  <c r="DA11" i="1" s="1"/>
  <c r="CZ12" i="1"/>
  <c r="DA12" i="1" s="1"/>
  <c r="CZ13" i="1"/>
  <c r="DA13" i="1" s="1"/>
  <c r="CZ14" i="1"/>
  <c r="DA14" i="1" s="1"/>
  <c r="CZ5" i="1"/>
  <c r="CW6" i="1"/>
  <c r="CX6" i="1" s="1"/>
  <c r="CW7" i="1"/>
  <c r="CX7" i="1" s="1"/>
  <c r="CW8" i="1"/>
  <c r="CX8" i="1" s="1"/>
  <c r="CW9" i="1"/>
  <c r="CX9" i="1" s="1"/>
  <c r="CW10" i="1"/>
  <c r="CX10" i="1" s="1"/>
  <c r="CW11" i="1"/>
  <c r="CX11" i="1" s="1"/>
  <c r="CW12" i="1"/>
  <c r="CX12" i="1" s="1"/>
  <c r="CW13" i="1"/>
  <c r="CX13" i="1" s="1"/>
  <c r="CW14" i="1"/>
  <c r="CX14" i="1" s="1"/>
  <c r="CW5" i="1"/>
  <c r="CT6" i="1"/>
  <c r="CU6" i="1" s="1"/>
  <c r="CT7" i="1"/>
  <c r="CU7" i="1" s="1"/>
  <c r="CT8" i="1"/>
  <c r="CU8" i="1" s="1"/>
  <c r="CT9" i="1"/>
  <c r="CU9" i="1" s="1"/>
  <c r="CT10" i="1"/>
  <c r="CU10" i="1" s="1"/>
  <c r="CT11" i="1"/>
  <c r="CU11" i="1" s="1"/>
  <c r="CT12" i="1"/>
  <c r="CU12" i="1" s="1"/>
  <c r="CT13" i="1"/>
  <c r="CU13" i="1" s="1"/>
  <c r="CT14" i="1"/>
  <c r="CU14" i="1" s="1"/>
  <c r="CT5" i="1"/>
  <c r="CU5" i="1" s="1"/>
  <c r="CQ6" i="1"/>
  <c r="CR6" i="1" s="1"/>
  <c r="CQ7" i="1"/>
  <c r="CR7" i="1" s="1"/>
  <c r="CQ8" i="1"/>
  <c r="CR8" i="1" s="1"/>
  <c r="CQ9" i="1"/>
  <c r="CR9" i="1" s="1"/>
  <c r="CQ10" i="1"/>
  <c r="CR10" i="1" s="1"/>
  <c r="CQ11" i="1"/>
  <c r="CR11" i="1" s="1"/>
  <c r="CQ12" i="1"/>
  <c r="CR12" i="1" s="1"/>
  <c r="CQ13" i="1"/>
  <c r="CR13" i="1" s="1"/>
  <c r="CQ14" i="1"/>
  <c r="CR14" i="1" s="1"/>
  <c r="CQ5" i="1"/>
  <c r="CR5" i="1" s="1"/>
  <c r="CN6" i="1"/>
  <c r="CO6" i="1" s="1"/>
  <c r="CN7" i="1"/>
  <c r="CO7" i="1" s="1"/>
  <c r="CN8" i="1"/>
  <c r="CO8" i="1" s="1"/>
  <c r="CN9" i="1"/>
  <c r="CO9" i="1" s="1"/>
  <c r="CN10" i="1"/>
  <c r="CO10" i="1" s="1"/>
  <c r="CN11" i="1"/>
  <c r="CO11" i="1" s="1"/>
  <c r="CN12" i="1"/>
  <c r="CO12" i="1" s="1"/>
  <c r="CN13" i="1"/>
  <c r="CO13" i="1" s="1"/>
  <c r="CN14" i="1"/>
  <c r="CO14" i="1" s="1"/>
  <c r="CN5" i="1"/>
  <c r="CO5" i="1" s="1"/>
  <c r="CK6" i="1"/>
  <c r="CL6" i="1" s="1"/>
  <c r="CK7" i="1"/>
  <c r="CL7" i="1" s="1"/>
  <c r="CK8" i="1"/>
  <c r="CL8" i="1" s="1"/>
  <c r="CK9" i="1"/>
  <c r="CL9" i="1" s="1"/>
  <c r="CK10" i="1"/>
  <c r="CL10" i="1" s="1"/>
  <c r="CK11" i="1"/>
  <c r="CL11" i="1" s="1"/>
  <c r="CK12" i="1"/>
  <c r="CL12" i="1" s="1"/>
  <c r="CK13" i="1"/>
  <c r="CL13" i="1" s="1"/>
  <c r="CK14" i="1"/>
  <c r="CL14" i="1" s="1"/>
  <c r="CL5" i="1"/>
  <c r="CK5" i="1"/>
  <c r="CH6" i="1"/>
  <c r="CI6" i="1" s="1"/>
  <c r="CH7" i="1"/>
  <c r="CI7" i="1" s="1"/>
  <c r="CH8" i="1"/>
  <c r="CI8" i="1" s="1"/>
  <c r="CH9" i="1"/>
  <c r="CI9" i="1" s="1"/>
  <c r="CH10" i="1"/>
  <c r="CI10" i="1" s="1"/>
  <c r="CH11" i="1"/>
  <c r="CI11" i="1" s="1"/>
  <c r="CH12" i="1"/>
  <c r="CI12" i="1" s="1"/>
  <c r="CH13" i="1"/>
  <c r="CI13" i="1" s="1"/>
  <c r="CH14" i="1"/>
  <c r="CI14" i="1" s="1"/>
  <c r="CH5" i="1"/>
  <c r="CE6" i="1"/>
  <c r="CF6" i="1" s="1"/>
  <c r="CE7" i="1"/>
  <c r="CF7" i="1" s="1"/>
  <c r="CE8" i="1"/>
  <c r="CF8" i="1" s="1"/>
  <c r="CE9" i="1"/>
  <c r="CF9" i="1" s="1"/>
  <c r="CE10" i="1"/>
  <c r="CF10" i="1" s="1"/>
  <c r="CE11" i="1"/>
  <c r="CF11" i="1" s="1"/>
  <c r="CE12" i="1"/>
  <c r="CF12" i="1" s="1"/>
  <c r="CE13" i="1"/>
  <c r="CF13" i="1" s="1"/>
  <c r="CE14" i="1"/>
  <c r="CF14" i="1" s="1"/>
  <c r="CE5" i="1"/>
  <c r="CB6" i="1"/>
  <c r="CC6" i="1" s="1"/>
  <c r="CB7" i="1"/>
  <c r="CC7" i="1" s="1"/>
  <c r="CB8" i="1"/>
  <c r="CC8" i="1" s="1"/>
  <c r="CB9" i="1"/>
  <c r="CC9" i="1" s="1"/>
  <c r="CB10" i="1"/>
  <c r="CC10" i="1" s="1"/>
  <c r="CB11" i="1"/>
  <c r="CC11" i="1" s="1"/>
  <c r="CB12" i="1"/>
  <c r="CC12" i="1" s="1"/>
  <c r="CB13" i="1"/>
  <c r="CC13" i="1" s="1"/>
  <c r="CB14" i="1"/>
  <c r="CC14" i="1" s="1"/>
  <c r="CB5" i="1"/>
  <c r="BY6" i="1"/>
  <c r="BZ6" i="1" s="1"/>
  <c r="BY7" i="1"/>
  <c r="BZ7" i="1" s="1"/>
  <c r="BY8" i="1"/>
  <c r="BZ8" i="1" s="1"/>
  <c r="BY9" i="1"/>
  <c r="BZ9" i="1" s="1"/>
  <c r="BY10" i="1"/>
  <c r="BZ10" i="1" s="1"/>
  <c r="BY11" i="1"/>
  <c r="BZ11" i="1" s="1"/>
  <c r="BY12" i="1"/>
  <c r="BZ12" i="1" s="1"/>
  <c r="BY13" i="1"/>
  <c r="BZ13" i="1" s="1"/>
  <c r="BY14" i="1"/>
  <c r="BZ14" i="1" s="1"/>
  <c r="BY5" i="1"/>
  <c r="BZ5" i="1" s="1"/>
  <c r="BV6" i="1"/>
  <c r="BW6" i="1" s="1"/>
  <c r="BV7" i="1"/>
  <c r="BW7" i="1" s="1"/>
  <c r="BV8" i="1"/>
  <c r="BW8" i="1" s="1"/>
  <c r="BV9" i="1"/>
  <c r="BW9" i="1" s="1"/>
  <c r="BV10" i="1"/>
  <c r="BW10" i="1" s="1"/>
  <c r="BV11" i="1"/>
  <c r="BW11" i="1" s="1"/>
  <c r="BV12" i="1"/>
  <c r="BW12" i="1" s="1"/>
  <c r="BV13" i="1"/>
  <c r="BW13" i="1" s="1"/>
  <c r="BV14" i="1"/>
  <c r="BW14" i="1" s="1"/>
  <c r="BV5" i="1"/>
  <c r="BW5" i="1" s="1"/>
  <c r="BS6" i="1"/>
  <c r="BT6" i="1" s="1"/>
  <c r="BS7" i="1"/>
  <c r="BT7" i="1" s="1"/>
  <c r="BS8" i="1"/>
  <c r="BT8" i="1" s="1"/>
  <c r="BS9" i="1"/>
  <c r="BT9" i="1" s="1"/>
  <c r="BS10" i="1"/>
  <c r="BT10" i="1" s="1"/>
  <c r="BS11" i="1"/>
  <c r="BT11" i="1" s="1"/>
  <c r="BS12" i="1"/>
  <c r="BT12" i="1" s="1"/>
  <c r="BS13" i="1"/>
  <c r="BT13" i="1" s="1"/>
  <c r="BS14" i="1"/>
  <c r="BT14" i="1" s="1"/>
  <c r="BS5" i="1"/>
  <c r="BT5" i="1" s="1"/>
  <c r="BP6" i="1"/>
  <c r="BQ6" i="1" s="1"/>
  <c r="BP7" i="1"/>
  <c r="BQ7" i="1" s="1"/>
  <c r="BP8" i="1"/>
  <c r="BQ8" i="1" s="1"/>
  <c r="BP9" i="1"/>
  <c r="BQ9" i="1" s="1"/>
  <c r="BP10" i="1"/>
  <c r="BQ10" i="1" s="1"/>
  <c r="BP11" i="1"/>
  <c r="BQ11" i="1" s="1"/>
  <c r="BP12" i="1"/>
  <c r="BQ12" i="1" s="1"/>
  <c r="BP13" i="1"/>
  <c r="BQ13" i="1" s="1"/>
  <c r="BP14" i="1"/>
  <c r="BQ14" i="1" s="1"/>
  <c r="BP5" i="1"/>
  <c r="BQ5" i="1" s="1"/>
  <c r="BM6" i="1"/>
  <c r="BN6" i="1" s="1"/>
  <c r="BM7" i="1"/>
  <c r="BN7" i="1" s="1"/>
  <c r="BM8" i="1"/>
  <c r="BN8" i="1" s="1"/>
  <c r="BM9" i="1"/>
  <c r="BN9" i="1" s="1"/>
  <c r="BM10" i="1"/>
  <c r="BN10" i="1" s="1"/>
  <c r="BM11" i="1"/>
  <c r="BN11" i="1" s="1"/>
  <c r="BM12" i="1"/>
  <c r="BN12" i="1" s="1"/>
  <c r="BM13" i="1"/>
  <c r="BN13" i="1" s="1"/>
  <c r="BM14" i="1"/>
  <c r="BN14" i="1" s="1"/>
  <c r="BM5" i="1"/>
  <c r="BN5" i="1" s="1"/>
  <c r="BJ6" i="1"/>
  <c r="BK6" i="1" s="1"/>
  <c r="BJ7" i="1"/>
  <c r="BK7" i="1" s="1"/>
  <c r="BJ8" i="1"/>
  <c r="BK8" i="1" s="1"/>
  <c r="BJ9" i="1"/>
  <c r="BK9" i="1" s="1"/>
  <c r="BJ10" i="1"/>
  <c r="BK10" i="1" s="1"/>
  <c r="BJ11" i="1"/>
  <c r="BK11" i="1" s="1"/>
  <c r="BJ12" i="1"/>
  <c r="BK12" i="1" s="1"/>
  <c r="BJ13" i="1"/>
  <c r="BK13" i="1" s="1"/>
  <c r="BJ14" i="1"/>
  <c r="BK14" i="1" s="1"/>
  <c r="BJ5" i="1"/>
  <c r="BK5" i="1" s="1"/>
  <c r="BG6" i="1"/>
  <c r="BH6" i="1" s="1"/>
  <c r="BG7" i="1"/>
  <c r="BH7" i="1" s="1"/>
  <c r="BG8" i="1"/>
  <c r="BH8" i="1" s="1"/>
  <c r="BG9" i="1"/>
  <c r="BH9" i="1" s="1"/>
  <c r="BG10" i="1"/>
  <c r="BH10" i="1" s="1"/>
  <c r="BG11" i="1"/>
  <c r="BH11" i="1" s="1"/>
  <c r="BG12" i="1"/>
  <c r="BH12" i="1" s="1"/>
  <c r="BG13" i="1"/>
  <c r="BH13" i="1" s="1"/>
  <c r="BG14" i="1"/>
  <c r="BH14" i="1" s="1"/>
  <c r="BG5" i="1"/>
  <c r="BH5" i="1" s="1"/>
  <c r="BD6" i="1"/>
  <c r="BE6" i="1" s="1"/>
  <c r="BD7" i="1"/>
  <c r="BE7" i="1" s="1"/>
  <c r="BD8" i="1"/>
  <c r="BE8" i="1" s="1"/>
  <c r="BD9" i="1"/>
  <c r="BE9" i="1" s="1"/>
  <c r="BD10" i="1"/>
  <c r="BE10" i="1" s="1"/>
  <c r="BD11" i="1"/>
  <c r="BE11" i="1" s="1"/>
  <c r="BD12" i="1"/>
  <c r="BE12" i="1" s="1"/>
  <c r="BD13" i="1"/>
  <c r="BE13" i="1" s="1"/>
  <c r="BD14" i="1"/>
  <c r="BE14" i="1" s="1"/>
  <c r="BD5" i="1"/>
  <c r="BA6" i="1"/>
  <c r="BB6" i="1" s="1"/>
  <c r="BA7" i="1"/>
  <c r="BB7" i="1" s="1"/>
  <c r="BA8" i="1"/>
  <c r="BB8" i="1" s="1"/>
  <c r="BA9" i="1"/>
  <c r="BB9" i="1" s="1"/>
  <c r="BA10" i="1"/>
  <c r="BB10" i="1" s="1"/>
  <c r="BA11" i="1"/>
  <c r="BB11" i="1" s="1"/>
  <c r="BA12" i="1"/>
  <c r="BB12" i="1" s="1"/>
  <c r="BA13" i="1"/>
  <c r="BB13" i="1" s="1"/>
  <c r="BA14" i="1"/>
  <c r="BB14" i="1" s="1"/>
  <c r="BA5" i="1"/>
  <c r="AX6" i="1"/>
  <c r="AY6" i="1" s="1"/>
  <c r="AX7" i="1"/>
  <c r="AY7" i="1" s="1"/>
  <c r="AX8" i="1"/>
  <c r="AY8" i="1" s="1"/>
  <c r="AX9" i="1"/>
  <c r="AY9" i="1" s="1"/>
  <c r="AX10" i="1"/>
  <c r="AY10" i="1" s="1"/>
  <c r="AX11" i="1"/>
  <c r="AY11" i="1" s="1"/>
  <c r="AX12" i="1"/>
  <c r="AY12" i="1" s="1"/>
  <c r="AX13" i="1"/>
  <c r="AY13" i="1" s="1"/>
  <c r="AX14" i="1"/>
  <c r="AY14" i="1" s="1"/>
  <c r="AX5" i="1"/>
  <c r="AU6" i="1"/>
  <c r="AV6" i="1" s="1"/>
  <c r="AU7" i="1"/>
  <c r="AV7" i="1" s="1"/>
  <c r="AU8" i="1"/>
  <c r="AV8" i="1" s="1"/>
  <c r="AU9" i="1"/>
  <c r="AV9" i="1" s="1"/>
  <c r="AU10" i="1"/>
  <c r="AV10" i="1" s="1"/>
  <c r="AU11" i="1"/>
  <c r="AV11" i="1" s="1"/>
  <c r="AU12" i="1"/>
  <c r="AV12" i="1" s="1"/>
  <c r="AU13" i="1"/>
  <c r="AV13" i="1" s="1"/>
  <c r="AU14" i="1"/>
  <c r="AV14" i="1" s="1"/>
  <c r="AU5" i="1"/>
  <c r="AV5" i="1" s="1"/>
  <c r="AR6" i="1"/>
  <c r="AS6" i="1" s="1"/>
  <c r="AR7" i="1"/>
  <c r="AS7" i="1" s="1"/>
  <c r="AR8" i="1"/>
  <c r="AS8" i="1" s="1"/>
  <c r="AR9" i="1"/>
  <c r="AS9" i="1" s="1"/>
  <c r="AR10" i="1"/>
  <c r="AS10" i="1" s="1"/>
  <c r="AR11" i="1"/>
  <c r="AS11" i="1" s="1"/>
  <c r="AR12" i="1"/>
  <c r="AS12" i="1" s="1"/>
  <c r="AR13" i="1"/>
  <c r="AS13" i="1" s="1"/>
  <c r="AR14" i="1"/>
  <c r="AS14" i="1" s="1"/>
  <c r="AR5" i="1"/>
  <c r="AS5" i="1" s="1"/>
  <c r="AO6" i="1"/>
  <c r="AP6" i="1" s="1"/>
  <c r="AO7" i="1"/>
  <c r="AP7" i="1" s="1"/>
  <c r="AO8" i="1"/>
  <c r="AP8" i="1" s="1"/>
  <c r="AO9" i="1"/>
  <c r="AP9" i="1" s="1"/>
  <c r="AO10" i="1"/>
  <c r="AP10" i="1" s="1"/>
  <c r="AO11" i="1"/>
  <c r="AP11" i="1" s="1"/>
  <c r="AO12" i="1"/>
  <c r="AP12" i="1" s="1"/>
  <c r="AO13" i="1"/>
  <c r="AP13" i="1" s="1"/>
  <c r="AO14" i="1"/>
  <c r="AP14" i="1" s="1"/>
  <c r="AO5" i="1"/>
  <c r="AP5" i="1" s="1"/>
  <c r="AL6" i="1"/>
  <c r="AM6" i="1" s="1"/>
  <c r="AL7" i="1"/>
  <c r="AM7" i="1" s="1"/>
  <c r="AL8" i="1"/>
  <c r="AM8" i="1" s="1"/>
  <c r="AL9" i="1"/>
  <c r="AM9" i="1" s="1"/>
  <c r="AL10" i="1"/>
  <c r="AM10" i="1" s="1"/>
  <c r="AL11" i="1"/>
  <c r="AM11" i="1" s="1"/>
  <c r="AL12" i="1"/>
  <c r="AM12" i="1" s="1"/>
  <c r="AL13" i="1"/>
  <c r="AM13" i="1" s="1"/>
  <c r="AL14" i="1"/>
  <c r="AM14" i="1" s="1"/>
  <c r="AL5" i="1"/>
  <c r="AM5" i="1" s="1"/>
  <c r="AI6" i="1"/>
  <c r="AJ6" i="1" s="1"/>
  <c r="AI7" i="1"/>
  <c r="AJ7" i="1" s="1"/>
  <c r="AI8" i="1"/>
  <c r="AJ8" i="1" s="1"/>
  <c r="AI9" i="1"/>
  <c r="AJ9" i="1" s="1"/>
  <c r="AI10" i="1"/>
  <c r="AJ10" i="1" s="1"/>
  <c r="AI11" i="1"/>
  <c r="AJ11" i="1" s="1"/>
  <c r="AI12" i="1"/>
  <c r="AJ12" i="1" s="1"/>
  <c r="AI13" i="1"/>
  <c r="AJ13" i="1" s="1"/>
  <c r="AI14" i="1"/>
  <c r="AJ14" i="1" s="1"/>
  <c r="AI5" i="1"/>
  <c r="AJ5" i="1" s="1"/>
  <c r="AF6" i="1"/>
  <c r="AG6" i="1" s="1"/>
  <c r="AF7" i="1"/>
  <c r="AG7" i="1" s="1"/>
  <c r="AF8" i="1"/>
  <c r="AG8" i="1" s="1"/>
  <c r="AF9" i="1"/>
  <c r="AG9" i="1" s="1"/>
  <c r="AF10" i="1"/>
  <c r="AG10" i="1" s="1"/>
  <c r="AF11" i="1"/>
  <c r="AG11" i="1" s="1"/>
  <c r="AF12" i="1"/>
  <c r="AG12" i="1" s="1"/>
  <c r="AF13" i="1"/>
  <c r="AG13" i="1" s="1"/>
  <c r="AF14" i="1"/>
  <c r="AG14" i="1" s="1"/>
  <c r="AF5" i="1"/>
  <c r="AG5" i="1" s="1"/>
  <c r="AC6" i="1"/>
  <c r="AD6" i="1" s="1"/>
  <c r="AC7" i="1"/>
  <c r="AD7" i="1" s="1"/>
  <c r="AC8" i="1"/>
  <c r="AD8" i="1" s="1"/>
  <c r="AC9" i="1"/>
  <c r="AD9" i="1" s="1"/>
  <c r="AC10" i="1"/>
  <c r="AD10" i="1" s="1"/>
  <c r="AC11" i="1"/>
  <c r="AD11" i="1" s="1"/>
  <c r="AC12" i="1"/>
  <c r="AD12" i="1" s="1"/>
  <c r="AC13" i="1"/>
  <c r="AD13" i="1" s="1"/>
  <c r="AC14" i="1"/>
  <c r="AD14" i="1" s="1"/>
  <c r="AC5" i="1"/>
  <c r="Z6" i="1"/>
  <c r="AA6" i="1" s="1"/>
  <c r="Z7" i="1"/>
  <c r="AA7" i="1" s="1"/>
  <c r="Z8" i="1"/>
  <c r="AA8" i="1" s="1"/>
  <c r="Z9" i="1"/>
  <c r="AA9" i="1" s="1"/>
  <c r="Z10" i="1"/>
  <c r="AA10" i="1" s="1"/>
  <c r="Z11" i="1"/>
  <c r="AA11" i="1" s="1"/>
  <c r="Z12" i="1"/>
  <c r="AA12" i="1" s="1"/>
  <c r="Z13" i="1"/>
  <c r="AA13" i="1" s="1"/>
  <c r="Z14" i="1"/>
  <c r="AA14" i="1" s="1"/>
  <c r="Z5" i="1"/>
  <c r="AA5" i="1" s="1"/>
  <c r="W6" i="1"/>
  <c r="X6" i="1" s="1"/>
  <c r="W7" i="1"/>
  <c r="X7" i="1" s="1"/>
  <c r="W8" i="1"/>
  <c r="X8" i="1" s="1"/>
  <c r="W9" i="1"/>
  <c r="X9" i="1" s="1"/>
  <c r="W10" i="1"/>
  <c r="X10" i="1" s="1"/>
  <c r="W11" i="1"/>
  <c r="X11" i="1" s="1"/>
  <c r="W12" i="1"/>
  <c r="X12" i="1" s="1"/>
  <c r="W13" i="1"/>
  <c r="X13" i="1" s="1"/>
  <c r="W14" i="1"/>
  <c r="X14" i="1" s="1"/>
  <c r="W5" i="1"/>
  <c r="X5" i="1" s="1"/>
  <c r="T6" i="1"/>
  <c r="U6" i="1" s="1"/>
  <c r="T7" i="1"/>
  <c r="U7" i="1" s="1"/>
  <c r="T8" i="1"/>
  <c r="U8" i="1" s="1"/>
  <c r="T9" i="1"/>
  <c r="U9" i="1" s="1"/>
  <c r="T10" i="1"/>
  <c r="U10" i="1" s="1"/>
  <c r="T11" i="1"/>
  <c r="U11" i="1" s="1"/>
  <c r="T12" i="1"/>
  <c r="U12" i="1" s="1"/>
  <c r="T13" i="1"/>
  <c r="U13" i="1" s="1"/>
  <c r="T14" i="1"/>
  <c r="U14" i="1" s="1"/>
  <c r="T5" i="1"/>
  <c r="U5" i="1" s="1"/>
  <c r="Q6" i="1"/>
  <c r="R6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5" i="1"/>
  <c r="R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5" i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5" i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5" i="1"/>
  <c r="E6" i="1"/>
  <c r="E7" i="1"/>
  <c r="F7" i="1" s="1"/>
  <c r="E8" i="1"/>
  <c r="F8" i="1" s="1"/>
  <c r="E9" i="1"/>
  <c r="E10" i="1"/>
  <c r="E11" i="1"/>
  <c r="F11" i="1" s="1"/>
  <c r="E12" i="1"/>
  <c r="F12" i="1" s="1"/>
  <c r="E13" i="1"/>
  <c r="F13" i="1" s="1"/>
  <c r="E14" i="1"/>
  <c r="F14" i="1" s="1"/>
  <c r="E5" i="1"/>
  <c r="DB24" i="1" l="1"/>
  <c r="CY24" i="1"/>
  <c r="CV24" i="1"/>
  <c r="CS24" i="1"/>
  <c r="CJ24" i="1"/>
  <c r="CG24" i="1"/>
  <c r="BU24" i="1"/>
  <c r="BI24" i="1"/>
  <c r="BF24" i="1"/>
  <c r="BC24" i="1"/>
  <c r="AT24" i="1"/>
  <c r="AQ24" i="1"/>
  <c r="AN24" i="1"/>
  <c r="AH24" i="1"/>
  <c r="AE24" i="1"/>
  <c r="P24" i="1"/>
  <c r="M24" i="1"/>
  <c r="J24" i="1"/>
  <c r="G24" i="1"/>
  <c r="K23" i="1"/>
  <c r="BV23" i="1"/>
  <c r="T23" i="1"/>
  <c r="I23" i="1"/>
  <c r="R23" i="1"/>
  <c r="X23" i="1"/>
  <c r="AD23" i="1"/>
  <c r="AJ23" i="1"/>
  <c r="AL23" i="1"/>
  <c r="AL24" i="1" s="1"/>
  <c r="AP23" i="1"/>
  <c r="AU23" i="1"/>
  <c r="BK15" i="1"/>
  <c r="BJ23" i="1"/>
  <c r="BZ23" i="1"/>
  <c r="CI23" i="1"/>
  <c r="CO15" i="1"/>
  <c r="CN23" i="1"/>
  <c r="CN24" i="1" s="1"/>
  <c r="CO16" i="1"/>
  <c r="CO23" i="1" s="1"/>
  <c r="CO24" i="1" s="1"/>
  <c r="CR23" i="1"/>
  <c r="DD23" i="1"/>
  <c r="DG23" i="1"/>
  <c r="DO23" i="1"/>
  <c r="DP16" i="1"/>
  <c r="DP23" i="1" s="1"/>
  <c r="DM23" i="1"/>
  <c r="DL23" i="1"/>
  <c r="DJ23" i="1"/>
  <c r="DI23" i="1"/>
  <c r="DF23" i="1"/>
  <c r="DC23" i="1"/>
  <c r="DA23" i="1"/>
  <c r="CZ23" i="1"/>
  <c r="CX23" i="1"/>
  <c r="CW23" i="1"/>
  <c r="CU23" i="1"/>
  <c r="CT23" i="1"/>
  <c r="CQ23" i="1"/>
  <c r="CL23" i="1"/>
  <c r="CK23" i="1"/>
  <c r="CH23" i="1"/>
  <c r="CF23" i="1"/>
  <c r="CF24" i="1" s="1"/>
  <c r="CE23" i="1"/>
  <c r="CE24" i="1" s="1"/>
  <c r="CC23" i="1"/>
  <c r="CB23" i="1"/>
  <c r="BZ15" i="1"/>
  <c r="BY23" i="1"/>
  <c r="BW16" i="1"/>
  <c r="BW23" i="1" s="1"/>
  <c r="BT23" i="1"/>
  <c r="BT24" i="1" s="1"/>
  <c r="BS23" i="1"/>
  <c r="BS24" i="1" s="1"/>
  <c r="BQ23" i="1"/>
  <c r="BQ24" i="1" s="1"/>
  <c r="BP23" i="1"/>
  <c r="BP24" i="1" s="1"/>
  <c r="BK18" i="1"/>
  <c r="BK23" i="1" s="1"/>
  <c r="BE23" i="1"/>
  <c r="BB23" i="1"/>
  <c r="AY23" i="1"/>
  <c r="AV17" i="1"/>
  <c r="AV23" i="1" s="1"/>
  <c r="AS23" i="1"/>
  <c r="AR23" i="1"/>
  <c r="AO23" i="1"/>
  <c r="AM17" i="1"/>
  <c r="AM23" i="1" s="1"/>
  <c r="AM24" i="1" s="1"/>
  <c r="AG23" i="1"/>
  <c r="AF23" i="1"/>
  <c r="AC23" i="1"/>
  <c r="Z23" i="1"/>
  <c r="W23" i="1"/>
  <c r="U16" i="1"/>
  <c r="U23" i="1" s="1"/>
  <c r="Q23" i="1"/>
  <c r="O23" i="1"/>
  <c r="N23" i="1"/>
  <c r="L16" i="1"/>
  <c r="L23" i="1" s="1"/>
  <c r="H23" i="1"/>
  <c r="AI23" i="1"/>
  <c r="AX23" i="1"/>
  <c r="BA23" i="1"/>
  <c r="BD23" i="1"/>
  <c r="BG23" i="1"/>
  <c r="DT23" i="1"/>
  <c r="BN23" i="1"/>
  <c r="BN24" i="1" s="1"/>
  <c r="BM23" i="1"/>
  <c r="BM24" i="1" s="1"/>
  <c r="U15" i="1"/>
  <c r="U24" i="1" s="1"/>
  <c r="AJ15" i="1"/>
  <c r="AJ24" i="1" s="1"/>
  <c r="AM15" i="1"/>
  <c r="AG15" i="1"/>
  <c r="AX15" i="1"/>
  <c r="AY5" i="1"/>
  <c r="AY15" i="1" s="1"/>
  <c r="CZ15" i="1"/>
  <c r="CZ24" i="1" s="1"/>
  <c r="DA5" i="1"/>
  <c r="DA15" i="1" s="1"/>
  <c r="DA24" i="1" s="1"/>
  <c r="H15" i="1"/>
  <c r="AC15" i="1"/>
  <c r="DU10" i="1"/>
  <c r="I5" i="1"/>
  <c r="I15" i="1" s="1"/>
  <c r="I24" i="1" s="1"/>
  <c r="O5" i="1"/>
  <c r="O15" i="1" s="1"/>
  <c r="O24" i="1" s="1"/>
  <c r="N15" i="1"/>
  <c r="N24" i="1" s="1"/>
  <c r="AD5" i="1"/>
  <c r="AD15" i="1" s="1"/>
  <c r="AS15" i="1"/>
  <c r="AS24" i="1" s="1"/>
  <c r="BQ15" i="1"/>
  <c r="CR15" i="1"/>
  <c r="CU15" i="1"/>
  <c r="AP15" i="1"/>
  <c r="AP24" i="1" s="1"/>
  <c r="T15" i="1"/>
  <c r="T24" i="1" s="1"/>
  <c r="AL15" i="1"/>
  <c r="BT15" i="1"/>
  <c r="E15" i="1"/>
  <c r="Z15" i="1"/>
  <c r="BD15" i="1"/>
  <c r="BE5" i="1"/>
  <c r="BE15" i="1" s="1"/>
  <c r="BE24" i="1" s="1"/>
  <c r="CW15" i="1"/>
  <c r="CW24" i="1" s="1"/>
  <c r="CX5" i="1"/>
  <c r="CX15" i="1" s="1"/>
  <c r="DU19" i="1"/>
  <c r="R15" i="1"/>
  <c r="R24" i="1" s="1"/>
  <c r="X15" i="1"/>
  <c r="L5" i="1"/>
  <c r="L15" i="1" s="1"/>
  <c r="K15" i="1"/>
  <c r="DU14" i="1"/>
  <c r="AA15" i="1"/>
  <c r="AI15" i="1"/>
  <c r="AI24" i="1" s="1"/>
  <c r="AV15" i="1"/>
  <c r="DV13" i="1"/>
  <c r="Q15" i="1"/>
  <c r="Q24" i="1" s="1"/>
  <c r="W15" i="1"/>
  <c r="AF15" i="1"/>
  <c r="AO15" i="1"/>
  <c r="BN15" i="1"/>
  <c r="CH15" i="1"/>
  <c r="CH24" i="1" s="1"/>
  <c r="CI5" i="1"/>
  <c r="CI15" i="1" s="1"/>
  <c r="CI24" i="1" s="1"/>
  <c r="DM15" i="1"/>
  <c r="BG15" i="1"/>
  <c r="BV15" i="1"/>
  <c r="CB15" i="1"/>
  <c r="DC15" i="1"/>
  <c r="DC24" i="1" s="1"/>
  <c r="DO15" i="1"/>
  <c r="BA15" i="1"/>
  <c r="BA24" i="1" s="1"/>
  <c r="BH15" i="1"/>
  <c r="BW15" i="1"/>
  <c r="CC5" i="1"/>
  <c r="CC15" i="1" s="1"/>
  <c r="CE15" i="1"/>
  <c r="CK15" i="1"/>
  <c r="DD5" i="1"/>
  <c r="DD15" i="1" s="1"/>
  <c r="DF15" i="1"/>
  <c r="DP15" i="1"/>
  <c r="DT15" i="1"/>
  <c r="AR15" i="1"/>
  <c r="AR24" i="1" s="1"/>
  <c r="AU15" i="1"/>
  <c r="BB5" i="1"/>
  <c r="BB15" i="1" s="1"/>
  <c r="BB24" i="1" s="1"/>
  <c r="BM15" i="1"/>
  <c r="BS15" i="1"/>
  <c r="CF5" i="1"/>
  <c r="CF15" i="1" s="1"/>
  <c r="CL15" i="1"/>
  <c r="CN15" i="1"/>
  <c r="CT15" i="1"/>
  <c r="DG15" i="1"/>
  <c r="DI15" i="1"/>
  <c r="DU16" i="1"/>
  <c r="DJ5" i="1"/>
  <c r="DJ15" i="1" s="1"/>
  <c r="DU21" i="1"/>
  <c r="BJ15" i="1"/>
  <c r="BP15" i="1"/>
  <c r="BY15" i="1"/>
  <c r="CQ15" i="1"/>
  <c r="DL15" i="1"/>
  <c r="DU17" i="1"/>
  <c r="E23" i="1"/>
  <c r="F19" i="1"/>
  <c r="DV19" i="1" s="1"/>
  <c r="F21" i="1"/>
  <c r="DV21" i="1" s="1"/>
  <c r="DU20" i="1"/>
  <c r="DV14" i="1"/>
  <c r="DV12" i="1"/>
  <c r="DU12" i="1"/>
  <c r="DV11" i="1"/>
  <c r="DV8" i="1"/>
  <c r="DV7" i="1"/>
  <c r="DU7" i="1"/>
  <c r="DU6" i="1"/>
  <c r="DU8" i="1"/>
  <c r="DU5" i="1"/>
  <c r="DU9" i="1"/>
  <c r="F6" i="1"/>
  <c r="DV6" i="1" s="1"/>
  <c r="DU13" i="1"/>
  <c r="F5" i="1"/>
  <c r="F10" i="1"/>
  <c r="DV10" i="1" s="1"/>
  <c r="DU11" i="1"/>
  <c r="F9" i="1"/>
  <c r="DV9" i="1" s="1"/>
  <c r="DV22" i="1"/>
  <c r="BH17" i="1"/>
  <c r="AA20" i="1"/>
  <c r="DV20" i="1" s="1"/>
  <c r="DU18" i="1"/>
  <c r="DU22" i="1"/>
  <c r="F16" i="1"/>
  <c r="DD24" i="1" l="1"/>
  <c r="CX24" i="1"/>
  <c r="CT24" i="1"/>
  <c r="CU24" i="1"/>
  <c r="CK24" i="1"/>
  <c r="CL24" i="1"/>
  <c r="BV24" i="1"/>
  <c r="BW24" i="1"/>
  <c r="DV18" i="1"/>
  <c r="BK24" i="1"/>
  <c r="BJ24" i="1"/>
  <c r="DT24" i="1"/>
  <c r="BG24" i="1"/>
  <c r="BD24" i="1"/>
  <c r="AY24" i="1"/>
  <c r="AX24" i="1"/>
  <c r="AU24" i="1"/>
  <c r="AV24" i="1"/>
  <c r="AO24" i="1"/>
  <c r="AF24" i="1"/>
  <c r="AG24" i="1"/>
  <c r="L24" i="1"/>
  <c r="K24" i="1"/>
  <c r="H24" i="1"/>
  <c r="E24" i="1"/>
  <c r="DV16" i="1"/>
  <c r="DV17" i="1"/>
  <c r="AA23" i="1"/>
  <c r="BH23" i="1"/>
  <c r="BH24" i="1" s="1"/>
  <c r="DU23" i="1"/>
  <c r="DU15" i="1"/>
  <c r="DV5" i="1"/>
  <c r="DV15" i="1" s="1"/>
  <c r="F15" i="1"/>
  <c r="F23" i="1"/>
  <c r="DU24" i="1" l="1"/>
  <c r="F24" i="1"/>
  <c r="DV23" i="1"/>
  <c r="DV24" i="1" s="1"/>
  <c r="D23" i="1"/>
  <c r="D15" i="1"/>
  <c r="D24" i="1" l="1"/>
</calcChain>
</file>

<file path=xl/sharedStrings.xml><?xml version="1.0" encoding="utf-8"?>
<sst xmlns="http://schemas.openxmlformats.org/spreadsheetml/2006/main" count="416" uniqueCount="64">
  <si>
    <t>Region</t>
  </si>
  <si>
    <t>Township</t>
  </si>
  <si>
    <t>Date</t>
  </si>
  <si>
    <t>Rum
30%
600 ml</t>
  </si>
  <si>
    <t>East  Region</t>
  </si>
  <si>
    <t>Van 2</t>
  </si>
  <si>
    <t>Van 1</t>
  </si>
  <si>
    <t xml:space="preserve">West Region </t>
  </si>
  <si>
    <t>Zay Vodka
(1×14)</t>
  </si>
  <si>
    <t>အလုံးရေ
(Pcs)</t>
  </si>
  <si>
    <t>Liter</t>
  </si>
  <si>
    <t>Bottle</t>
  </si>
  <si>
    <t>Moe Nae
(1×12)</t>
  </si>
  <si>
    <t>Moe Nae
(1x14)</t>
  </si>
  <si>
    <t>Zay Vodka
(1*12)</t>
  </si>
  <si>
    <t>2 in 1  မန်ကျည်း
(1*14)</t>
  </si>
  <si>
    <t>Formula Rum
(1*12</t>
  </si>
  <si>
    <t>Formula Rum
(1*24)</t>
  </si>
  <si>
    <t>Zay
(1*12)</t>
  </si>
  <si>
    <t>KK
(1x14)</t>
  </si>
  <si>
    <t>ဒဂုံနာနတ်
(1*24)</t>
  </si>
  <si>
    <t>သံပုရာ
(1*14)</t>
  </si>
  <si>
    <t>မြန်မာရှောက်ပျား
(1*14)</t>
  </si>
  <si>
    <t>လိမ္မော်ဖြူ
(1*24)</t>
  </si>
  <si>
    <t>ဒဂုံအရက်သန့်
(1*14)</t>
  </si>
  <si>
    <t>ကင်းမြီးကောက်
(1*14)</t>
  </si>
  <si>
    <t>Black Cat
(1*24)</t>
  </si>
  <si>
    <t>ဇေယျဝတီ Red 
(1*14)</t>
  </si>
  <si>
    <t>ဇေယျဝတီ Red
30%
1000 ml</t>
  </si>
  <si>
    <t>ဇေယျဝတီ Red ပု
43%   (680ml)
(1*12)</t>
  </si>
  <si>
    <t>ဇေယျဝတီ Red 
(700ml)
(1*12)</t>
  </si>
  <si>
    <t>ဇေယျဝတီ Red ပု
(640ml)
(1*14)</t>
  </si>
  <si>
    <t>ဒဂုံမန်ကျည်း
(640ml)
(1*14)</t>
  </si>
  <si>
    <t>ချယ်ရီအရက်သန့်
(640ml)
(1*14)</t>
  </si>
  <si>
    <t>Cherry
(600ml)
(1*24)</t>
  </si>
  <si>
    <t>Cherry Lemon
(600ml)
(1*24)</t>
  </si>
  <si>
    <t>Cherry Lemon 
(1000ml)
(1*12)</t>
  </si>
  <si>
    <t>မြန်မာရှောက်ပျား
(1000ml)
(1*12)</t>
  </si>
  <si>
    <t>ရွှေမန်း Rum
(1000ml)
(1*12)</t>
  </si>
  <si>
    <t>ရွှေမန်း Rum
(640ml)
(1*14)</t>
  </si>
  <si>
    <t>လိမ္မော်ဖြူ
(1000ml)
(1*12)</t>
  </si>
  <si>
    <t>Bagan</t>
  </si>
  <si>
    <t>Kyaukpadaung</t>
  </si>
  <si>
    <t>Myingyan</t>
  </si>
  <si>
    <t>Pakokku</t>
  </si>
  <si>
    <t>Pyawbwe</t>
  </si>
  <si>
    <t>Yamethin</t>
  </si>
  <si>
    <t>Taungthar</t>
  </si>
  <si>
    <t>Wholesales</t>
  </si>
  <si>
    <t>Semi Wholesales</t>
  </si>
  <si>
    <t>Meikhtila</t>
  </si>
  <si>
    <t>Tharzi</t>
  </si>
  <si>
    <t>Wundwin</t>
  </si>
  <si>
    <t>Mahlaing</t>
  </si>
  <si>
    <t>KK  25%
1000ml
(1×12)</t>
  </si>
  <si>
    <t>KK  25%
600ml
(1*12)</t>
  </si>
  <si>
    <t>ရွှေမင်းသားခေါင်ရည်
600ml
(1*12)</t>
  </si>
  <si>
    <t>ရွှေမင်းသားခေါင်ရည် 
640ml
(1*24)</t>
  </si>
  <si>
    <t xml:space="preserve">ရွှေမင်းသားမန်ကျည်း
ခေါင်ရည်
600ml
(1*12)
</t>
  </si>
  <si>
    <t>ရွှေမင်းသားမန်ကျည်း
ခေါင်ရည်
640ml
(1*14)</t>
  </si>
  <si>
    <t xml:space="preserve">ရွှေမင်းသားမန်ကျည်း
ခေါင်ရည် 
600ml
(1*12)
</t>
  </si>
  <si>
    <t>ရွှေမင်းသားမန်ကျည်း
ခေါင်ရည် 
640ml
(1*14)</t>
  </si>
  <si>
    <t>February</t>
  </si>
  <si>
    <t>MTL Van Wise Summary January 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</si>
</sst>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Pyidaungsu"/>
      <family val="2"/>
    </font>
    <font>
      <sz val="11"/>
      <color theme="1"/>
      <name val="Pyidaungsu"/>
      <family val="2"/>
    </font>
    <font>
      <sz val="11"/>
      <color rgb="FF9C0006"/>
      <name val="Pyidaungsu"/>
      <family val="2"/>
    </font>
    <font>
      <sz val="11"/>
      <name val="Pyidaungsu"/>
      <family val="2"/>
    </font>
    <font>
      <sz val="10"/>
      <color theme="1"/>
      <name val="Pyidaungsu"/>
      <family val="2"/>
    </font>
    <font>
      <b/>
      <sz val="10"/>
      <color theme="1"/>
      <name val="Pyidaungsu"/>
      <family val="2"/>
    </font>
    <font>
      <sz val="10"/>
      <color rgb="FFFF0000"/>
      <name val="Pyidaungsu"/>
      <family val="2"/>
    </font>
    <font>
      <b/>
      <sz val="10"/>
      <color rgb="FFFF0000"/>
      <name val="Pyidaungsu"/>
      <family val="2"/>
    </font>
    <font>
      <b/>
      <sz val="13"/>
      <color theme="1"/>
      <name val="Pyidaungsu"/>
      <family val="2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61">
    <xf numFmtId="0" fontId="0" fillId="0" borderId="0" xfId="0"/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0" borderId="1" xfId="2" applyFont="1" applyFill="1" applyBorder="1" applyAlignment="1">
      <alignment horizontal="center" vertical="center" wrapText="1"/>
    </xf>
    <xf numFmtId="0" fontId="4" fillId="0" borderId="0" xfId="0" applyFont="1"/>
    <xf numFmtId="0" fontId="4" fillId="4" borderId="0" xfId="0" applyFont="1" applyFill="1"/>
    <xf numFmtId="0" fontId="9" fillId="4" borderId="7" xfId="0" applyFont="1" applyFill="1" applyBorder="1" applyAlignment="1">
      <alignment horizontal="center" vertical="center"/>
    </xf>
    <xf numFmtId="0" fontId="4" fillId="4" borderId="12" xfId="0" applyFont="1" applyFill="1" applyBorder="1"/>
    <xf numFmtId="0" fontId="4" fillId="0" borderId="6" xfId="0" applyFont="1" applyBorder="1"/>
    <xf numFmtId="0" fontId="7" fillId="0" borderId="6" xfId="0" applyFont="1" applyBorder="1"/>
    <xf numFmtId="14" fontId="7" fillId="0" borderId="6" xfId="0" applyNumberFormat="1" applyFont="1" applyBorder="1" applyAlignment="1">
      <alignment horizontal="center" vertical="center"/>
    </xf>
    <xf numFmtId="0" fontId="4" fillId="0" borderId="1" xfId="3" applyFont="1" applyFill="1" applyBorder="1" applyAlignment="1">
      <alignment horizontal="center" vertical="center" wrapText="1"/>
    </xf>
    <xf numFmtId="0" fontId="4" fillId="7" borderId="0" xfId="0" applyFont="1" applyFill="1"/>
    <xf numFmtId="0" fontId="4" fillId="7" borderId="1" xfId="0" applyFont="1" applyFill="1" applyBorder="1"/>
    <xf numFmtId="164" fontId="3" fillId="4" borderId="14" xfId="1" applyNumberFormat="1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vertical="center" wrapText="1"/>
    </xf>
    <xf numFmtId="14" fontId="10" fillId="4" borderId="9" xfId="0" applyNumberFormat="1" applyFont="1" applyFill="1" applyBorder="1" applyAlignment="1">
      <alignment horizontal="center" vertical="center"/>
    </xf>
    <xf numFmtId="0" fontId="10" fillId="4" borderId="8" xfId="0" applyFont="1" applyFill="1" applyBorder="1"/>
    <xf numFmtId="0" fontId="6" fillId="5" borderId="1" xfId="2" applyFont="1" applyFill="1" applyBorder="1" applyAlignment="1">
      <alignment horizontal="center" vertical="center" wrapText="1"/>
    </xf>
    <xf numFmtId="0" fontId="5" fillId="5" borderId="1" xfId="2" applyFont="1" applyFill="1" applyBorder="1" applyAlignment="1">
      <alignment horizontal="center" vertical="center" wrapText="1"/>
    </xf>
    <xf numFmtId="0" fontId="4" fillId="5" borderId="1" xfId="3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" fontId="4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3" fillId="6" borderId="14" xfId="1" applyNumberFormat="1" applyFont="1" applyFill="1" applyBorder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14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64" fontId="3" fillId="7" borderId="14" xfId="1" applyNumberFormat="1" applyFont="1" applyFill="1" applyBorder="1" applyAlignment="1">
      <alignment vertical="center"/>
    </xf>
    <xf numFmtId="164" fontId="8" fillId="4" borderId="1" xfId="1" applyNumberFormat="1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2" applyFont="1" applyFill="1" applyBorder="1" applyAlignment="1">
      <alignment horizontal="center" vertical="center" wrapText="1"/>
    </xf>
    <xf numFmtId="164" fontId="7" fillId="4" borderId="1" xfId="1" applyNumberFormat="1" applyFont="1" applyFill="1" applyBorder="1" applyAlignment="1">
      <alignment horizontal="center" vertical="center"/>
    </xf>
    <xf numFmtId="164" fontId="7" fillId="5" borderId="1" xfId="1" applyNumberFormat="1" applyFont="1" applyFill="1" applyBorder="1" applyAlignment="1">
      <alignment horizontal="center" vertical="center"/>
    </xf>
    <xf numFmtId="164" fontId="7" fillId="4" borderId="5" xfId="1" applyNumberFormat="1" applyFont="1" applyFill="1" applyBorder="1" applyAlignment="1">
      <alignment horizontal="center" vertical="center"/>
    </xf>
    <xf numFmtId="164" fontId="10" fillId="4" borderId="9" xfId="1" applyNumberFormat="1" applyFont="1" applyFill="1" applyBorder="1" applyAlignment="1">
      <alignment horizontal="center" vertical="center"/>
    </xf>
    <xf numFmtId="164" fontId="10" fillId="5" borderId="9" xfId="1" applyNumberFormat="1" applyFont="1" applyFill="1" applyBorder="1" applyAlignment="1">
      <alignment horizontal="center" vertical="center"/>
    </xf>
    <xf numFmtId="164" fontId="8" fillId="0" borderId="6" xfId="1" applyNumberFormat="1" applyFont="1" applyBorder="1" applyAlignment="1">
      <alignment horizontal="center" vertical="center"/>
    </xf>
    <xf numFmtId="0" fontId="3" fillId="0" borderId="0" xfId="0" applyFont="1"/>
    <xf numFmtId="0" fontId="3" fillId="6" borderId="1" xfId="0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7" fillId="4" borderId="6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4" borderId="7" xfId="0" applyFont="1" applyFill="1" applyBorder="1" applyAlignment="1">
      <alignment vertical="center"/>
    </xf>
    <xf numFmtId="0" fontId="10" fillId="4" borderId="8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17" fontId="11" fillId="0" borderId="13" xfId="0" applyNumberFormat="1" applyFont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</cellXfs>
  <cellStyles count="4">
    <cellStyle name="40% - Accent4" xfId="3" builtinId="43"/>
    <cellStyle name="Bad" xfId="2" builtinId="27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74"/>
  <sheetViews>
    <sheetView tabSelected="1" topLeftCell="B1" zoomScale="90" zoomScaleNormal="90" workbookViewId="0">
      <pane xSplit="2" ySplit="3" topLeftCell="D16" activePane="bottomRight" state="frozen"/>
      <selection activeCell="B1" sqref="B1"/>
      <selection pane="topRight" activeCell="D1" sqref="D1"/>
      <selection pane="bottomLeft" activeCell="B4" sqref="B4"/>
      <selection pane="bottomRight" activeCell="B26" sqref="B26"/>
    </sheetView>
  </sheetViews>
  <sheetFormatPr defaultRowHeight="21" x14ac:dyDescent="0.6"/>
  <cols>
    <col min="1" max="1" width="7.28515625" style="7" bestFit="1" customWidth="1"/>
    <col min="2" max="2" width="18.140625" style="7" customWidth="1"/>
    <col min="3" max="3" width="12.5703125" style="7" bestFit="1" customWidth="1"/>
    <col min="4" max="4" width="9.140625" style="7" customWidth="1"/>
    <col min="5" max="5" width="12.28515625" style="7" customWidth="1"/>
    <col min="6" max="6" width="11.140625" style="7" customWidth="1"/>
    <col min="7" max="7" width="9.85546875" style="7" customWidth="1"/>
    <col min="8" max="8" width="13.28515625" style="7" customWidth="1"/>
    <col min="9" max="9" width="12.42578125" style="7" customWidth="1"/>
    <col min="10" max="10" width="12.5703125" style="7" customWidth="1"/>
    <col min="11" max="11" width="12.85546875" style="7" customWidth="1"/>
    <col min="12" max="12" width="12.140625" style="7" customWidth="1"/>
    <col min="13" max="13" width="11.28515625" style="7" customWidth="1"/>
    <col min="14" max="14" width="12.140625" style="7" customWidth="1"/>
    <col min="15" max="15" width="13" style="7" customWidth="1"/>
    <col min="16" max="16" width="10.140625" style="7" customWidth="1"/>
    <col min="17" max="17" width="12.5703125" style="7" customWidth="1"/>
    <col min="18" max="18" width="9.85546875" style="7" customWidth="1"/>
    <col min="19" max="19" width="12.28515625" style="7" customWidth="1"/>
    <col min="20" max="20" width="12.140625" style="7" customWidth="1"/>
    <col min="21" max="21" width="10.42578125" style="7" customWidth="1"/>
    <col min="22" max="22" width="12.5703125" style="7" customWidth="1"/>
    <col min="23" max="23" width="10.5703125" style="7" customWidth="1"/>
    <col min="24" max="24" width="9.28515625" style="7" customWidth="1"/>
    <col min="25" max="25" width="9.42578125" style="7" customWidth="1"/>
    <col min="26" max="26" width="10.5703125" style="7" customWidth="1"/>
    <col min="27" max="27" width="9.85546875" style="7" customWidth="1"/>
    <col min="28" max="28" width="11.28515625" style="7" customWidth="1"/>
    <col min="29" max="29" width="10.85546875" style="7" customWidth="1"/>
    <col min="30" max="30" width="10.28515625" style="7" customWidth="1"/>
    <col min="31" max="31" width="9.5703125" style="7" customWidth="1"/>
    <col min="32" max="32" width="10" style="7" customWidth="1"/>
    <col min="33" max="33" width="12" style="7" customWidth="1"/>
    <col min="34" max="34" width="10.140625" style="7" customWidth="1"/>
    <col min="35" max="35" width="14.5703125" style="7" customWidth="1"/>
    <col min="36" max="36" width="13.5703125" style="7" customWidth="1"/>
    <col min="37" max="37" width="12" style="7" customWidth="1"/>
    <col min="38" max="38" width="11.140625" style="7" customWidth="1"/>
    <col min="39" max="39" width="12.5703125" style="7" customWidth="1"/>
    <col min="40" max="40" width="10.28515625" style="7" customWidth="1"/>
    <col min="41" max="41" width="10.85546875" style="7" customWidth="1"/>
    <col min="42" max="42" width="11.7109375" style="7" customWidth="1"/>
    <col min="43" max="43" width="10" style="7" customWidth="1"/>
    <col min="44" max="44" width="13.28515625" style="7" customWidth="1"/>
    <col min="45" max="45" width="14.7109375" style="7" customWidth="1"/>
    <col min="46" max="46" width="11.140625" style="7" customWidth="1"/>
    <col min="47" max="47" width="12.28515625" style="7" customWidth="1"/>
    <col min="48" max="48" width="12.42578125" style="7" customWidth="1"/>
    <col min="49" max="49" width="10.140625" style="7" customWidth="1"/>
    <col min="50" max="50" width="13.7109375" style="7" customWidth="1"/>
    <col min="51" max="51" width="12.7109375" style="7" customWidth="1"/>
    <col min="52" max="52" width="10.140625" style="7" customWidth="1"/>
    <col min="53" max="53" width="10.42578125" style="7" customWidth="1"/>
    <col min="54" max="54" width="11.140625" style="7" customWidth="1"/>
    <col min="55" max="55" width="10.85546875" style="7" customWidth="1"/>
    <col min="56" max="56" width="11" style="7" customWidth="1"/>
    <col min="57" max="57" width="11.7109375" style="7" customWidth="1"/>
    <col min="58" max="58" width="14.85546875" style="7" customWidth="1"/>
    <col min="59" max="59" width="13.5703125" style="7" customWidth="1"/>
    <col min="60" max="60" width="14" style="7" customWidth="1"/>
    <col min="61" max="61" width="10.7109375" style="7" customWidth="1"/>
    <col min="62" max="62" width="13" style="7" customWidth="1"/>
    <col min="63" max="63" width="15.85546875" style="7" customWidth="1"/>
    <col min="64" max="64" width="14.7109375" style="7" customWidth="1"/>
    <col min="65" max="66" width="12.28515625" style="7" customWidth="1"/>
    <col min="67" max="67" width="14.42578125" style="7" customWidth="1"/>
    <col min="68" max="68" width="13.28515625" style="7" customWidth="1"/>
    <col min="69" max="69" width="12.140625" style="7" customWidth="1"/>
    <col min="70" max="70" width="10.28515625" style="7" customWidth="1"/>
    <col min="71" max="72" width="12.140625" style="7" customWidth="1"/>
    <col min="73" max="73" width="12.7109375" style="7" customWidth="1"/>
    <col min="74" max="74" width="12.5703125" style="7" customWidth="1"/>
    <col min="75" max="75" width="14" style="7" customWidth="1"/>
    <col min="76" max="76" width="15.85546875" style="7" customWidth="1"/>
    <col min="77" max="77" width="10.28515625" style="7" customWidth="1"/>
    <col min="78" max="78" width="12.140625" style="7" customWidth="1"/>
    <col min="79" max="79" width="14" style="7" customWidth="1"/>
    <col min="80" max="80" width="13.7109375" style="7" customWidth="1"/>
    <col min="81" max="81" width="11.85546875" style="7" customWidth="1"/>
    <col min="82" max="82" width="15.28515625" style="7" customWidth="1"/>
    <col min="83" max="83" width="11.5703125" style="7" customWidth="1"/>
    <col min="84" max="84" width="13.140625" style="7" customWidth="1"/>
    <col min="85" max="85" width="14.140625" style="7" customWidth="1"/>
    <col min="86" max="86" width="13.7109375" style="7" customWidth="1"/>
    <col min="87" max="87" width="14" style="7" customWidth="1"/>
    <col min="88" max="88" width="13.42578125" style="7" customWidth="1"/>
    <col min="89" max="89" width="10.140625" style="7" customWidth="1"/>
    <col min="90" max="90" width="9.5703125" style="7" customWidth="1"/>
    <col min="91" max="91" width="12.42578125" style="7" customWidth="1"/>
    <col min="92" max="92" width="11" style="7" customWidth="1"/>
    <col min="93" max="93" width="11.140625" style="7" customWidth="1"/>
    <col min="94" max="94" width="15.7109375" style="7" customWidth="1"/>
    <col min="95" max="95" width="12.140625" style="7" customWidth="1"/>
    <col min="96" max="96" width="12.7109375" style="7" customWidth="1"/>
    <col min="97" max="97" width="10.140625" style="7" customWidth="1"/>
    <col min="98" max="98" width="12" style="7" customWidth="1"/>
    <col min="99" max="100" width="13" style="7" customWidth="1"/>
    <col min="101" max="101" width="11.85546875" style="7" customWidth="1"/>
    <col min="102" max="102" width="11" style="7" customWidth="1"/>
    <col min="103" max="103" width="13.85546875" style="7" customWidth="1"/>
    <col min="104" max="104" width="13.42578125" style="7" customWidth="1"/>
    <col min="105" max="105" width="15.140625" style="7" customWidth="1"/>
    <col min="106" max="106" width="12.140625" style="7" customWidth="1"/>
    <col min="107" max="107" width="12.28515625" style="7" customWidth="1"/>
    <col min="108" max="108" width="13.140625" style="7" customWidth="1"/>
    <col min="109" max="109" width="13" style="7" customWidth="1"/>
    <col min="110" max="110" width="12.7109375" style="7" customWidth="1"/>
    <col min="111" max="111" width="13.5703125" style="7" customWidth="1"/>
    <col min="112" max="112" width="14.85546875" style="7" customWidth="1"/>
    <col min="113" max="113" width="11.7109375" style="7" customWidth="1"/>
    <col min="114" max="114" width="12.7109375" style="7" customWidth="1"/>
    <col min="115" max="115" width="10.28515625" style="7" customWidth="1"/>
    <col min="116" max="116" width="10.7109375" style="7" customWidth="1"/>
    <col min="117" max="117" width="13.28515625" style="7" customWidth="1"/>
    <col min="118" max="118" width="11" style="7" hidden="1" customWidth="1"/>
    <col min="119" max="119" width="13" style="7" hidden="1" customWidth="1"/>
    <col min="120" max="120" width="12.28515625" style="7" hidden="1" customWidth="1"/>
    <col min="121" max="121" width="8.85546875" style="7" hidden="1" customWidth="1"/>
    <col min="122" max="122" width="8.28515625" style="7" hidden="1" customWidth="1"/>
    <col min="123" max="123" width="7.7109375" style="7" hidden="1" customWidth="1"/>
    <col min="124" max="124" width="12.42578125" style="7" customWidth="1"/>
    <col min="125" max="125" width="16.140625" style="7" customWidth="1"/>
    <col min="126" max="126" width="19.28515625" style="7" customWidth="1"/>
    <col min="127" max="16384" width="9.140625" style="7"/>
  </cols>
  <sheetData>
    <row r="1" spans="1:126" ht="24.75" x14ac:dyDescent="0.6">
      <c r="B1" s="57" t="s">
        <v>63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7"/>
      <c r="CV1" s="57"/>
      <c r="CW1" s="57"/>
      <c r="CX1" s="57"/>
      <c r="CY1" s="57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</row>
    <row r="2" spans="1:126" ht="126" x14ac:dyDescent="0.6">
      <c r="A2" s="1" t="s">
        <v>0</v>
      </c>
      <c r="B2" s="2" t="s">
        <v>1</v>
      </c>
      <c r="C2" s="2" t="s">
        <v>2</v>
      </c>
      <c r="D2" s="3" t="s">
        <v>8</v>
      </c>
      <c r="E2" s="3" t="s">
        <v>11</v>
      </c>
      <c r="F2" s="24" t="s">
        <v>10</v>
      </c>
      <c r="G2" s="3" t="s">
        <v>12</v>
      </c>
      <c r="H2" s="3" t="s">
        <v>11</v>
      </c>
      <c r="I2" s="24" t="s">
        <v>10</v>
      </c>
      <c r="J2" s="3" t="s">
        <v>13</v>
      </c>
      <c r="K2" s="3" t="s">
        <v>11</v>
      </c>
      <c r="L2" s="24" t="s">
        <v>10</v>
      </c>
      <c r="M2" s="3" t="s">
        <v>14</v>
      </c>
      <c r="N2" s="3" t="s">
        <v>11</v>
      </c>
      <c r="O2" s="24" t="s">
        <v>10</v>
      </c>
      <c r="P2" s="3" t="s">
        <v>15</v>
      </c>
      <c r="Q2" s="3" t="s">
        <v>11</v>
      </c>
      <c r="R2" s="24" t="s">
        <v>10</v>
      </c>
      <c r="S2" s="3" t="s">
        <v>16</v>
      </c>
      <c r="T2" s="3" t="s">
        <v>11</v>
      </c>
      <c r="U2" s="24" t="s">
        <v>10</v>
      </c>
      <c r="V2" s="3" t="s">
        <v>17</v>
      </c>
      <c r="W2" s="3" t="s">
        <v>11</v>
      </c>
      <c r="X2" s="24" t="s">
        <v>10</v>
      </c>
      <c r="Y2" s="3" t="s">
        <v>18</v>
      </c>
      <c r="Z2" s="3" t="s">
        <v>11</v>
      </c>
      <c r="AA2" s="24" t="s">
        <v>10</v>
      </c>
      <c r="AB2" s="3" t="s">
        <v>18</v>
      </c>
      <c r="AC2" s="3" t="s">
        <v>11</v>
      </c>
      <c r="AD2" s="24" t="s">
        <v>10</v>
      </c>
      <c r="AE2" s="3" t="s">
        <v>19</v>
      </c>
      <c r="AF2" s="3" t="s">
        <v>11</v>
      </c>
      <c r="AG2" s="24" t="s">
        <v>10</v>
      </c>
      <c r="AH2" s="3" t="s">
        <v>54</v>
      </c>
      <c r="AI2" s="3" t="s">
        <v>11</v>
      </c>
      <c r="AJ2" s="24" t="s">
        <v>10</v>
      </c>
      <c r="AK2" s="3" t="s">
        <v>55</v>
      </c>
      <c r="AL2" s="3" t="s">
        <v>11</v>
      </c>
      <c r="AM2" s="24" t="s">
        <v>10</v>
      </c>
      <c r="AN2" s="3" t="s">
        <v>56</v>
      </c>
      <c r="AO2" s="3" t="s">
        <v>11</v>
      </c>
      <c r="AP2" s="24" t="s">
        <v>10</v>
      </c>
      <c r="AQ2" s="3" t="s">
        <v>57</v>
      </c>
      <c r="AR2" s="3" t="s">
        <v>11</v>
      </c>
      <c r="AS2" s="24" t="s">
        <v>10</v>
      </c>
      <c r="AT2" s="3" t="s">
        <v>58</v>
      </c>
      <c r="AU2" s="3" t="s">
        <v>11</v>
      </c>
      <c r="AV2" s="24" t="s">
        <v>10</v>
      </c>
      <c r="AW2" s="3" t="s">
        <v>59</v>
      </c>
      <c r="AX2" s="3" t="s">
        <v>11</v>
      </c>
      <c r="AY2" s="24" t="s">
        <v>10</v>
      </c>
      <c r="AZ2" s="3" t="s">
        <v>20</v>
      </c>
      <c r="BA2" s="3" t="s">
        <v>11</v>
      </c>
      <c r="BB2" s="24" t="s">
        <v>10</v>
      </c>
      <c r="BC2" s="3" t="s">
        <v>21</v>
      </c>
      <c r="BD2" s="3" t="s">
        <v>11</v>
      </c>
      <c r="BE2" s="24" t="s">
        <v>10</v>
      </c>
      <c r="BF2" s="3" t="s">
        <v>22</v>
      </c>
      <c r="BG2" s="3" t="s">
        <v>11</v>
      </c>
      <c r="BH2" s="24" t="s">
        <v>10</v>
      </c>
      <c r="BI2" s="3" t="s">
        <v>23</v>
      </c>
      <c r="BJ2" s="3" t="s">
        <v>11</v>
      </c>
      <c r="BK2" s="24" t="s">
        <v>10</v>
      </c>
      <c r="BL2" s="3" t="s">
        <v>24</v>
      </c>
      <c r="BM2" s="3" t="s">
        <v>11</v>
      </c>
      <c r="BN2" s="24" t="s">
        <v>10</v>
      </c>
      <c r="BO2" s="3" t="s">
        <v>25</v>
      </c>
      <c r="BP2" s="3" t="s">
        <v>11</v>
      </c>
      <c r="BQ2" s="24" t="s">
        <v>10</v>
      </c>
      <c r="BR2" s="3" t="s">
        <v>26</v>
      </c>
      <c r="BS2" s="3" t="s">
        <v>11</v>
      </c>
      <c r="BT2" s="24" t="s">
        <v>10</v>
      </c>
      <c r="BU2" s="3" t="s">
        <v>27</v>
      </c>
      <c r="BV2" s="3" t="s">
        <v>11</v>
      </c>
      <c r="BW2" s="24" t="s">
        <v>10</v>
      </c>
      <c r="BX2" s="14" t="s">
        <v>28</v>
      </c>
      <c r="BY2" s="3" t="s">
        <v>11</v>
      </c>
      <c r="BZ2" s="23" t="s">
        <v>10</v>
      </c>
      <c r="CA2" s="14" t="s">
        <v>3</v>
      </c>
      <c r="CB2" s="3" t="s">
        <v>11</v>
      </c>
      <c r="CC2" s="23" t="s">
        <v>10</v>
      </c>
      <c r="CD2" s="14" t="s">
        <v>29</v>
      </c>
      <c r="CE2" s="3" t="s">
        <v>11</v>
      </c>
      <c r="CF2" s="23" t="s">
        <v>10</v>
      </c>
      <c r="CG2" s="4" t="s">
        <v>30</v>
      </c>
      <c r="CH2" s="3" t="s">
        <v>11</v>
      </c>
      <c r="CI2" s="5" t="s">
        <v>10</v>
      </c>
      <c r="CJ2" s="4" t="s">
        <v>31</v>
      </c>
      <c r="CK2" s="3" t="s">
        <v>11</v>
      </c>
      <c r="CL2" s="5" t="s">
        <v>10</v>
      </c>
      <c r="CM2" s="34" t="s">
        <v>32</v>
      </c>
      <c r="CN2" s="3" t="s">
        <v>11</v>
      </c>
      <c r="CO2" s="5" t="s">
        <v>10</v>
      </c>
      <c r="CP2" s="34" t="s">
        <v>33</v>
      </c>
      <c r="CQ2" s="3" t="s">
        <v>11</v>
      </c>
      <c r="CR2" s="5" t="s">
        <v>10</v>
      </c>
      <c r="CS2" s="34" t="s">
        <v>34</v>
      </c>
      <c r="CT2" s="3" t="s">
        <v>11</v>
      </c>
      <c r="CU2" s="5" t="s">
        <v>10</v>
      </c>
      <c r="CV2" s="35" t="s">
        <v>35</v>
      </c>
      <c r="CW2" s="3" t="s">
        <v>11</v>
      </c>
      <c r="CX2" s="22" t="s">
        <v>10</v>
      </c>
      <c r="CY2" s="35" t="s">
        <v>36</v>
      </c>
      <c r="CZ2" s="3" t="s">
        <v>11</v>
      </c>
      <c r="DA2" s="22" t="s">
        <v>10</v>
      </c>
      <c r="DB2" s="35" t="s">
        <v>38</v>
      </c>
      <c r="DC2" s="3" t="s">
        <v>11</v>
      </c>
      <c r="DD2" s="22" t="s">
        <v>10</v>
      </c>
      <c r="DE2" s="6" t="s">
        <v>39</v>
      </c>
      <c r="DF2" s="3" t="s">
        <v>11</v>
      </c>
      <c r="DG2" s="21" t="s">
        <v>10</v>
      </c>
      <c r="DH2" s="4" t="s">
        <v>37</v>
      </c>
      <c r="DI2" s="3" t="s">
        <v>11</v>
      </c>
      <c r="DJ2" s="5" t="s">
        <v>10</v>
      </c>
      <c r="DK2" s="4" t="s">
        <v>40</v>
      </c>
      <c r="DL2" s="3" t="s">
        <v>11</v>
      </c>
      <c r="DM2" s="5" t="s">
        <v>10</v>
      </c>
      <c r="DN2" s="4"/>
      <c r="DO2" s="3" t="s">
        <v>11</v>
      </c>
      <c r="DP2" s="5" t="s">
        <v>10</v>
      </c>
      <c r="DQ2" s="4"/>
      <c r="DR2" s="4"/>
      <c r="DS2" s="4"/>
      <c r="DT2" s="3"/>
      <c r="DU2" s="17" t="s">
        <v>9</v>
      </c>
      <c r="DV2" s="26" t="s">
        <v>10</v>
      </c>
    </row>
    <row r="3" spans="1:126" s="42" customFormat="1" ht="21.95" customHeight="1" x14ac:dyDescent="0.6">
      <c r="B3" s="43"/>
      <c r="C3" s="44"/>
      <c r="D3" s="43"/>
      <c r="E3" s="43">
        <v>14</v>
      </c>
      <c r="F3" s="45">
        <v>0.64</v>
      </c>
      <c r="G3" s="43"/>
      <c r="H3" s="43">
        <v>12</v>
      </c>
      <c r="I3" s="45">
        <v>1</v>
      </c>
      <c r="J3" s="43"/>
      <c r="K3" s="43">
        <v>14</v>
      </c>
      <c r="L3" s="45">
        <v>0.64</v>
      </c>
      <c r="M3" s="43"/>
      <c r="N3" s="43">
        <v>12</v>
      </c>
      <c r="O3" s="45">
        <v>0.7</v>
      </c>
      <c r="P3" s="43"/>
      <c r="Q3" s="43">
        <v>14</v>
      </c>
      <c r="R3" s="45">
        <v>0.64</v>
      </c>
      <c r="S3" s="43"/>
      <c r="T3" s="43">
        <v>12</v>
      </c>
      <c r="U3" s="45">
        <v>0.7</v>
      </c>
      <c r="V3" s="43"/>
      <c r="W3" s="43">
        <v>24</v>
      </c>
      <c r="X3" s="45">
        <v>0.35</v>
      </c>
      <c r="Y3" s="43"/>
      <c r="Z3" s="43">
        <v>12</v>
      </c>
      <c r="AA3" s="45">
        <v>1</v>
      </c>
      <c r="AB3" s="43"/>
      <c r="AC3" s="43">
        <v>12</v>
      </c>
      <c r="AD3" s="45">
        <v>0.6</v>
      </c>
      <c r="AE3" s="43"/>
      <c r="AF3" s="43">
        <v>14</v>
      </c>
      <c r="AG3" s="45">
        <v>0.64</v>
      </c>
      <c r="AH3" s="43"/>
      <c r="AI3" s="43">
        <v>12</v>
      </c>
      <c r="AJ3" s="45">
        <v>1</v>
      </c>
      <c r="AK3" s="43"/>
      <c r="AL3" s="43">
        <v>12</v>
      </c>
      <c r="AM3" s="45">
        <v>0.6</v>
      </c>
      <c r="AN3" s="43"/>
      <c r="AO3" s="43">
        <v>12</v>
      </c>
      <c r="AP3" s="45">
        <v>0.6</v>
      </c>
      <c r="AQ3" s="43"/>
      <c r="AR3" s="43">
        <v>24</v>
      </c>
      <c r="AS3" s="45">
        <v>0.64</v>
      </c>
      <c r="AT3" s="43"/>
      <c r="AU3" s="43">
        <v>12</v>
      </c>
      <c r="AV3" s="45">
        <v>0.6</v>
      </c>
      <c r="AW3" s="43"/>
      <c r="AX3" s="43">
        <v>14</v>
      </c>
      <c r="AY3" s="45">
        <v>0.64</v>
      </c>
      <c r="AZ3" s="43"/>
      <c r="BA3" s="43">
        <v>24</v>
      </c>
      <c r="BB3" s="45">
        <v>0.64</v>
      </c>
      <c r="BC3" s="43"/>
      <c r="BD3" s="43">
        <v>14</v>
      </c>
      <c r="BE3" s="45">
        <v>0.64</v>
      </c>
      <c r="BF3" s="43"/>
      <c r="BG3" s="43">
        <v>14</v>
      </c>
      <c r="BH3" s="45">
        <v>0.64</v>
      </c>
      <c r="BI3" s="43"/>
      <c r="BJ3" s="43">
        <v>24</v>
      </c>
      <c r="BK3" s="45">
        <v>0.64</v>
      </c>
      <c r="BL3" s="43"/>
      <c r="BM3" s="43">
        <v>14</v>
      </c>
      <c r="BN3" s="45">
        <v>0.64</v>
      </c>
      <c r="BO3" s="43"/>
      <c r="BP3" s="43">
        <v>14</v>
      </c>
      <c r="BQ3" s="45">
        <v>0.64</v>
      </c>
      <c r="BR3" s="43"/>
      <c r="BS3" s="43">
        <v>24</v>
      </c>
      <c r="BT3" s="45">
        <v>0.64</v>
      </c>
      <c r="BU3" s="43"/>
      <c r="BV3" s="43">
        <v>14</v>
      </c>
      <c r="BW3" s="45">
        <v>0.64</v>
      </c>
      <c r="BX3" s="43">
        <v>12</v>
      </c>
      <c r="BY3" s="43">
        <v>12</v>
      </c>
      <c r="BZ3" s="45">
        <v>1</v>
      </c>
      <c r="CA3" s="43"/>
      <c r="CB3" s="43">
        <v>12</v>
      </c>
      <c r="CC3" s="45">
        <v>0.6</v>
      </c>
      <c r="CD3" s="43"/>
      <c r="CE3" s="43">
        <v>12</v>
      </c>
      <c r="CF3" s="45">
        <v>0.68</v>
      </c>
      <c r="CG3" s="43"/>
      <c r="CH3" s="43">
        <v>12</v>
      </c>
      <c r="CI3" s="45">
        <v>0.7</v>
      </c>
      <c r="CJ3" s="43"/>
      <c r="CK3" s="43">
        <v>14</v>
      </c>
      <c r="CL3" s="45">
        <v>0.64</v>
      </c>
      <c r="CM3" s="43"/>
      <c r="CN3" s="43">
        <v>14</v>
      </c>
      <c r="CO3" s="45">
        <v>0.64</v>
      </c>
      <c r="CP3" s="43"/>
      <c r="CQ3" s="43">
        <v>14</v>
      </c>
      <c r="CR3" s="45">
        <v>0.64</v>
      </c>
      <c r="CS3" s="43"/>
      <c r="CT3" s="43">
        <v>24</v>
      </c>
      <c r="CU3" s="45">
        <v>0.6</v>
      </c>
      <c r="CV3" s="43"/>
      <c r="CW3" s="43">
        <v>24</v>
      </c>
      <c r="CX3" s="45">
        <v>0.6</v>
      </c>
      <c r="CY3" s="43"/>
      <c r="CZ3" s="43">
        <v>12</v>
      </c>
      <c r="DA3" s="45">
        <v>1</v>
      </c>
      <c r="DB3" s="43"/>
      <c r="DC3" s="43">
        <v>12</v>
      </c>
      <c r="DD3" s="45">
        <v>1</v>
      </c>
      <c r="DE3" s="43"/>
      <c r="DF3" s="43">
        <v>14</v>
      </c>
      <c r="DG3" s="45">
        <v>0.64</v>
      </c>
      <c r="DH3" s="43"/>
      <c r="DI3" s="43">
        <v>12</v>
      </c>
      <c r="DJ3" s="45">
        <v>1</v>
      </c>
      <c r="DK3" s="43"/>
      <c r="DL3" s="43">
        <v>12</v>
      </c>
      <c r="DM3" s="45">
        <v>1</v>
      </c>
      <c r="DN3" s="43"/>
      <c r="DO3" s="43">
        <v>12</v>
      </c>
      <c r="DP3" s="45">
        <v>1</v>
      </c>
      <c r="DQ3" s="43"/>
      <c r="DR3" s="43"/>
      <c r="DS3" s="43"/>
      <c r="DT3" s="43"/>
      <c r="DU3" s="28"/>
      <c r="DV3" s="46"/>
    </row>
    <row r="4" spans="1:126" s="15" customFormat="1" ht="21.95" customHeight="1" x14ac:dyDescent="0.6">
      <c r="B4" s="29"/>
      <c r="C4" s="30"/>
      <c r="D4" s="31"/>
      <c r="E4" s="31"/>
      <c r="F4" s="27"/>
      <c r="G4" s="31"/>
      <c r="H4" s="31"/>
      <c r="I4" s="27"/>
      <c r="J4" s="31"/>
      <c r="K4" s="31"/>
      <c r="L4" s="27"/>
      <c r="M4" s="31"/>
      <c r="N4" s="31"/>
      <c r="O4" s="27"/>
      <c r="P4" s="31"/>
      <c r="Q4" s="31"/>
      <c r="R4" s="27"/>
      <c r="S4" s="31"/>
      <c r="T4" s="31"/>
      <c r="U4" s="27"/>
      <c r="V4" s="31"/>
      <c r="W4" s="31"/>
      <c r="X4" s="27"/>
      <c r="Y4" s="31"/>
      <c r="Z4" s="31"/>
      <c r="AA4" s="27"/>
      <c r="AB4" s="31"/>
      <c r="AC4" s="31"/>
      <c r="AD4" s="27"/>
      <c r="AE4" s="31"/>
      <c r="AF4" s="31"/>
      <c r="AG4" s="27"/>
      <c r="AH4" s="31"/>
      <c r="AI4" s="31"/>
      <c r="AJ4" s="27"/>
      <c r="AK4" s="31"/>
      <c r="AL4" s="31"/>
      <c r="AM4" s="27"/>
      <c r="AN4" s="31"/>
      <c r="AO4" s="31"/>
      <c r="AP4" s="27"/>
      <c r="AQ4" s="31"/>
      <c r="AR4" s="31"/>
      <c r="AS4" s="27"/>
      <c r="AT4" s="31"/>
      <c r="AU4" s="31"/>
      <c r="AV4" s="27"/>
      <c r="AW4" s="31"/>
      <c r="AX4" s="31"/>
      <c r="AY4" s="27"/>
      <c r="AZ4" s="31"/>
      <c r="BA4" s="31"/>
      <c r="BB4" s="27"/>
      <c r="BC4" s="31"/>
      <c r="BD4" s="31"/>
      <c r="BE4" s="27"/>
      <c r="BF4" s="31"/>
      <c r="BG4" s="31"/>
      <c r="BH4" s="27"/>
      <c r="BI4" s="31"/>
      <c r="BJ4" s="31"/>
      <c r="BK4" s="27"/>
      <c r="BL4" s="31"/>
      <c r="BM4" s="31"/>
      <c r="BN4" s="27"/>
      <c r="BO4" s="31"/>
      <c r="BP4" s="31"/>
      <c r="BQ4" s="27"/>
      <c r="BR4" s="31"/>
      <c r="BS4" s="31"/>
      <c r="BT4" s="27"/>
      <c r="BU4" s="31"/>
      <c r="BV4" s="31"/>
      <c r="BW4" s="27"/>
      <c r="BX4" s="31">
        <v>1</v>
      </c>
      <c r="BY4" s="31"/>
      <c r="BZ4" s="27"/>
      <c r="CA4" s="31"/>
      <c r="CB4" s="31"/>
      <c r="CC4" s="27"/>
      <c r="CD4" s="31"/>
      <c r="CE4" s="31"/>
      <c r="CF4" s="27"/>
      <c r="CG4" s="31"/>
      <c r="CH4" s="31"/>
      <c r="CI4" s="27"/>
      <c r="CJ4" s="31"/>
      <c r="CK4" s="31"/>
      <c r="CL4" s="27"/>
      <c r="CM4" s="31"/>
      <c r="CN4" s="31"/>
      <c r="CO4" s="27"/>
      <c r="CP4" s="31"/>
      <c r="CQ4" s="31"/>
      <c r="CR4" s="27"/>
      <c r="CS4" s="31"/>
      <c r="CT4" s="31"/>
      <c r="CU4" s="27"/>
      <c r="CV4" s="31"/>
      <c r="CW4" s="31"/>
      <c r="CX4" s="27"/>
      <c r="CY4" s="31"/>
      <c r="CZ4" s="31"/>
      <c r="DA4" s="27"/>
      <c r="DB4" s="31"/>
      <c r="DC4" s="31"/>
      <c r="DD4" s="27"/>
      <c r="DE4" s="31"/>
      <c r="DF4" s="31"/>
      <c r="DG4" s="27"/>
      <c r="DH4" s="31"/>
      <c r="DI4" s="31"/>
      <c r="DJ4" s="27"/>
      <c r="DK4" s="31"/>
      <c r="DL4" s="31"/>
      <c r="DM4" s="27"/>
      <c r="DN4" s="31"/>
      <c r="DO4" s="31"/>
      <c r="DP4" s="27"/>
      <c r="DQ4" s="31"/>
      <c r="DR4" s="31"/>
      <c r="DS4" s="31"/>
      <c r="DT4" s="31"/>
      <c r="DU4" s="32"/>
      <c r="DV4" s="16"/>
    </row>
    <row r="5" spans="1:126" s="8" customFormat="1" ht="21.95" customHeight="1" x14ac:dyDescent="0.6">
      <c r="A5" s="58" t="s">
        <v>4</v>
      </c>
      <c r="B5" s="49" t="s">
        <v>41</v>
      </c>
      <c r="C5" s="55" t="s">
        <v>6</v>
      </c>
      <c r="D5" s="36">
        <v>185</v>
      </c>
      <c r="E5" s="36">
        <f>+D5*$E$3</f>
        <v>2590</v>
      </c>
      <c r="F5" s="37">
        <f>+E5*$F$3</f>
        <v>1657.6000000000001</v>
      </c>
      <c r="G5" s="36"/>
      <c r="H5" s="36">
        <f>+G5*$H$3</f>
        <v>0</v>
      </c>
      <c r="I5" s="37">
        <f>+H5*$I$3</f>
        <v>0</v>
      </c>
      <c r="J5" s="36"/>
      <c r="K5" s="36">
        <f>+J5*$K$3</f>
        <v>0</v>
      </c>
      <c r="L5" s="37">
        <f>+K5*$L$3</f>
        <v>0</v>
      </c>
      <c r="M5" s="36"/>
      <c r="N5" s="36">
        <f>+M5*$N$3</f>
        <v>0</v>
      </c>
      <c r="O5" s="37">
        <f>+N5*$O$3</f>
        <v>0</v>
      </c>
      <c r="P5" s="36">
        <v>20</v>
      </c>
      <c r="Q5" s="36">
        <f>+P5*$Q$3</f>
        <v>280</v>
      </c>
      <c r="R5" s="37">
        <f>+Q5*$R$3</f>
        <v>179.20000000000002</v>
      </c>
      <c r="S5" s="36"/>
      <c r="T5" s="36">
        <f>+S5*$T$3</f>
        <v>0</v>
      </c>
      <c r="U5" s="37">
        <f>+T5*$U$3</f>
        <v>0</v>
      </c>
      <c r="V5" s="36"/>
      <c r="W5" s="36">
        <f>+V5*$W$3</f>
        <v>0</v>
      </c>
      <c r="X5" s="37">
        <f>+W5*$X$3</f>
        <v>0</v>
      </c>
      <c r="Y5" s="36"/>
      <c r="Z5" s="36">
        <f>+Y5*$Z$3</f>
        <v>0</v>
      </c>
      <c r="AA5" s="37">
        <f>+Z5*$AA$3</f>
        <v>0</v>
      </c>
      <c r="AB5" s="36"/>
      <c r="AC5" s="36">
        <f>+AB5*$AC$3</f>
        <v>0</v>
      </c>
      <c r="AD5" s="37">
        <f>+AC5*$AD$3</f>
        <v>0</v>
      </c>
      <c r="AE5" s="36"/>
      <c r="AF5" s="36">
        <f>+AE5*$AF$3</f>
        <v>0</v>
      </c>
      <c r="AG5" s="37">
        <f>+AF5*$AG$3</f>
        <v>0</v>
      </c>
      <c r="AH5" s="36">
        <v>55</v>
      </c>
      <c r="AI5" s="36">
        <f>+AH5*$AI$3</f>
        <v>660</v>
      </c>
      <c r="AJ5" s="37">
        <f>+AI5*$AJ$3</f>
        <v>660</v>
      </c>
      <c r="AK5" s="36"/>
      <c r="AL5" s="36">
        <f>+AK5*$AL$3</f>
        <v>0</v>
      </c>
      <c r="AM5" s="37">
        <f>+AL5*$AM$3</f>
        <v>0</v>
      </c>
      <c r="AN5" s="36"/>
      <c r="AO5" s="36">
        <f>+AN5*$AO$3</f>
        <v>0</v>
      </c>
      <c r="AP5" s="37">
        <f>+AO5*$AP$3</f>
        <v>0</v>
      </c>
      <c r="AQ5" s="36">
        <v>25</v>
      </c>
      <c r="AR5" s="36">
        <f>+AQ5*$AR$3</f>
        <v>600</v>
      </c>
      <c r="AS5" s="37">
        <f>+AR5*$AS$3</f>
        <v>384</v>
      </c>
      <c r="AT5" s="36"/>
      <c r="AU5" s="36">
        <f>+AT5*$AU$3</f>
        <v>0</v>
      </c>
      <c r="AV5" s="37">
        <f>+AU5*$AV$3</f>
        <v>0</v>
      </c>
      <c r="AW5" s="36"/>
      <c r="AX5" s="36">
        <f>+AW5*$AX$3</f>
        <v>0</v>
      </c>
      <c r="AY5" s="37">
        <f>+AX5*$AY$3</f>
        <v>0</v>
      </c>
      <c r="AZ5" s="36"/>
      <c r="BA5" s="36">
        <f>+AZ5*$BA$3</f>
        <v>0</v>
      </c>
      <c r="BB5" s="37">
        <f>+BA5*$BB$3</f>
        <v>0</v>
      </c>
      <c r="BC5" s="36"/>
      <c r="BD5" s="36">
        <f>+BC5*$BD$3</f>
        <v>0</v>
      </c>
      <c r="BE5" s="37">
        <f>+BD5*$BE$3</f>
        <v>0</v>
      </c>
      <c r="BF5" s="36"/>
      <c r="BG5" s="36">
        <f>+BF5*$BG$3</f>
        <v>0</v>
      </c>
      <c r="BH5" s="37">
        <f>+BG5*$BH$3</f>
        <v>0</v>
      </c>
      <c r="BI5" s="36"/>
      <c r="BJ5" s="36">
        <f>+BI5*$BJ$3</f>
        <v>0</v>
      </c>
      <c r="BK5" s="37">
        <f>+BJ5*$BK$3</f>
        <v>0</v>
      </c>
      <c r="BL5" s="36"/>
      <c r="BM5" s="36">
        <f>+BL5*$BM$3</f>
        <v>0</v>
      </c>
      <c r="BN5" s="37">
        <f>+BM5*$BN$3</f>
        <v>0</v>
      </c>
      <c r="BO5" s="36"/>
      <c r="BP5" s="36">
        <f>+BO5*$BP$3</f>
        <v>0</v>
      </c>
      <c r="BQ5" s="37">
        <f>+BP5*$BQ$3</f>
        <v>0</v>
      </c>
      <c r="BR5" s="36"/>
      <c r="BS5" s="36">
        <f>+BR5*$BS$3</f>
        <v>0</v>
      </c>
      <c r="BT5" s="37">
        <f>+BS5*$BT$3</f>
        <v>0</v>
      </c>
      <c r="BU5" s="36"/>
      <c r="BV5" s="36">
        <f>+BU5*$BV$3</f>
        <v>0</v>
      </c>
      <c r="BW5" s="37">
        <f>+BV5*$BW$3</f>
        <v>0</v>
      </c>
      <c r="BX5" s="36"/>
      <c r="BY5" s="36">
        <f>+BX5*$BY$3</f>
        <v>0</v>
      </c>
      <c r="BZ5" s="37">
        <f>+BY5*$BZ$3</f>
        <v>0</v>
      </c>
      <c r="CA5" s="36"/>
      <c r="CB5" s="36">
        <f>+CA5*$CB$3</f>
        <v>0</v>
      </c>
      <c r="CC5" s="37">
        <f>+CB5*$CC$3</f>
        <v>0</v>
      </c>
      <c r="CD5" s="36"/>
      <c r="CE5" s="36">
        <f>+CD5*$CE$3</f>
        <v>0</v>
      </c>
      <c r="CF5" s="37">
        <f>+CE5*$CF$3</f>
        <v>0</v>
      </c>
      <c r="CG5" s="36"/>
      <c r="CH5" s="36">
        <f>+CG5*$CH$3</f>
        <v>0</v>
      </c>
      <c r="CI5" s="37">
        <f>+CH5*$CI$3</f>
        <v>0</v>
      </c>
      <c r="CJ5" s="36"/>
      <c r="CK5" s="36">
        <f>+CJ5*$CK$3</f>
        <v>0</v>
      </c>
      <c r="CL5" s="37">
        <f>+CK5*$CL$3</f>
        <v>0</v>
      </c>
      <c r="CM5" s="36"/>
      <c r="CN5" s="36">
        <f>+CM5*$CN$3</f>
        <v>0</v>
      </c>
      <c r="CO5" s="37">
        <f>+CN5*$CO$3</f>
        <v>0</v>
      </c>
      <c r="CP5" s="36"/>
      <c r="CQ5" s="36">
        <f>+CP5*$CQ$3</f>
        <v>0</v>
      </c>
      <c r="CR5" s="37">
        <f>+CQ5*$CR$3</f>
        <v>0</v>
      </c>
      <c r="CS5" s="36"/>
      <c r="CT5" s="36">
        <f>+CS5*$CT$3</f>
        <v>0</v>
      </c>
      <c r="CU5" s="37">
        <f>+CT5*$CU$3</f>
        <v>0</v>
      </c>
      <c r="CV5" s="36"/>
      <c r="CW5" s="36">
        <f>+CV5*$CW$3</f>
        <v>0</v>
      </c>
      <c r="CX5" s="37">
        <f>+CW5*$CX$3</f>
        <v>0</v>
      </c>
      <c r="CY5" s="36">
        <v>100</v>
      </c>
      <c r="CZ5" s="36">
        <f>+CY5*$CZ$3</f>
        <v>1200</v>
      </c>
      <c r="DA5" s="37">
        <f>+CZ5*$DA$3</f>
        <v>1200</v>
      </c>
      <c r="DB5" s="36">
        <v>35</v>
      </c>
      <c r="DC5" s="36">
        <f>+DB5*$DC$3</f>
        <v>420</v>
      </c>
      <c r="DD5" s="37">
        <f>+DC5*$DD$3</f>
        <v>420</v>
      </c>
      <c r="DE5" s="36"/>
      <c r="DF5" s="36">
        <f>+DE5*$DF$3</f>
        <v>0</v>
      </c>
      <c r="DG5" s="37">
        <f>+DF5*$DG$3</f>
        <v>0</v>
      </c>
      <c r="DH5" s="36"/>
      <c r="DI5" s="36">
        <f>+DH5*$DI$3</f>
        <v>0</v>
      </c>
      <c r="DJ5" s="37">
        <f>+DI5*$DJ$3</f>
        <v>0</v>
      </c>
      <c r="DK5" s="36"/>
      <c r="DL5" s="36">
        <f>+DK5*$DL$3</f>
        <v>0</v>
      </c>
      <c r="DM5" s="37">
        <f>+DL5*$DM$3</f>
        <v>0</v>
      </c>
      <c r="DN5" s="36"/>
      <c r="DO5" s="36">
        <f>+DN5*$DO$3</f>
        <v>0</v>
      </c>
      <c r="DP5" s="37">
        <f>+DO5*$DP$3</f>
        <v>0</v>
      </c>
      <c r="DQ5" s="36"/>
      <c r="DR5" s="36"/>
      <c r="DS5" s="36"/>
      <c r="DT5" s="33">
        <f>D5+G5+J5+M5+P5+S5+V5+Y5+AB5+AE5+AH5+AK5+AN5+AQ5+AT5+AW5+AZ5+BC5+BF5+BI5+BL5+BO5+BR5+BU5+BX5+CA5+CD5+CG5+CJ5+CM5+CP5+CS5+CV5+CY5+DB5+DE5+DH5+DK5+DN5</f>
        <v>420</v>
      </c>
      <c r="DU5" s="33">
        <f>E5+H5+K5+N5+Q5+T5+W5+Z5+AC5+AF5+AI5+AL5+AO5+AR5+AU5+AX5+BA5+BD5+BG5+BJ5+BM5+BP5+BS5+BV5+BY5+CB5+CE5+CH5+CK5+CN5+CQ5+CT5+CW5+CZ5+DC5+DF5+DI5+DL5+DO5</f>
        <v>5750</v>
      </c>
      <c r="DV5" s="33">
        <f>F5+I5+L5+O5+R5+U5+X5+AA5+AD5+AG5+AJ5+AM5+AP5+AS5+AV5+AY5+BB5+BE5+BH5+BK5+BN5+BQ5+BT5+BW5+BZ5+CC5+CF5+CI5+CL5+CO5+CR5+CU5+CX5+DA5+DD5+DG5+DJ5+DM5+DP5</f>
        <v>4500.8</v>
      </c>
    </row>
    <row r="6" spans="1:126" s="8" customFormat="1" ht="21.95" customHeight="1" x14ac:dyDescent="0.6">
      <c r="A6" s="59"/>
      <c r="B6" s="49" t="s">
        <v>42</v>
      </c>
      <c r="C6" s="54"/>
      <c r="D6" s="36"/>
      <c r="E6" s="36">
        <f t="shared" ref="E6:E22" si="0">+D6*$E$3</f>
        <v>0</v>
      </c>
      <c r="F6" s="37">
        <f t="shared" ref="F6:F22" si="1">+E6*$F$3</f>
        <v>0</v>
      </c>
      <c r="G6" s="36"/>
      <c r="H6" s="36">
        <f t="shared" ref="H6:H22" si="2">+G6*$H$3</f>
        <v>0</v>
      </c>
      <c r="I6" s="37">
        <f t="shared" ref="I6:I22" si="3">+H6*$I$3</f>
        <v>0</v>
      </c>
      <c r="J6" s="36">
        <v>62</v>
      </c>
      <c r="K6" s="36">
        <f t="shared" ref="K6:K22" si="4">+J6*$K$3</f>
        <v>868</v>
      </c>
      <c r="L6" s="37">
        <f t="shared" ref="L6:L22" si="5">+K6*$L$3</f>
        <v>555.52</v>
      </c>
      <c r="M6" s="36"/>
      <c r="N6" s="36">
        <f t="shared" ref="N6:N22" si="6">+M6*$N$3</f>
        <v>0</v>
      </c>
      <c r="O6" s="37">
        <f t="shared" ref="O6:O22" si="7">+N6*$O$3</f>
        <v>0</v>
      </c>
      <c r="P6" s="36"/>
      <c r="Q6" s="36">
        <f t="shared" ref="Q6:Q22" si="8">+P6*$Q$3</f>
        <v>0</v>
      </c>
      <c r="R6" s="37">
        <f t="shared" ref="R6:R22" si="9">+Q6*$R$3</f>
        <v>0</v>
      </c>
      <c r="S6" s="36"/>
      <c r="T6" s="36">
        <f t="shared" ref="T6:T22" si="10">+S6*$T$3</f>
        <v>0</v>
      </c>
      <c r="U6" s="37">
        <f t="shared" ref="U6:U22" si="11">+T6*$U$3</f>
        <v>0</v>
      </c>
      <c r="V6" s="36"/>
      <c r="W6" s="36">
        <f t="shared" ref="W6:W22" si="12">+V6*$W$3</f>
        <v>0</v>
      </c>
      <c r="X6" s="37">
        <f t="shared" ref="X6:X22" si="13">+W6*$X$3</f>
        <v>0</v>
      </c>
      <c r="Y6" s="36"/>
      <c r="Z6" s="36">
        <f t="shared" ref="Z6:Z22" si="14">+Y6*$Z$3</f>
        <v>0</v>
      </c>
      <c r="AA6" s="37">
        <f t="shared" ref="AA6:AA22" si="15">+Z6*$AA$3</f>
        <v>0</v>
      </c>
      <c r="AB6" s="36"/>
      <c r="AC6" s="36">
        <f t="shared" ref="AC6:AC22" si="16">+AB6*$AC$3</f>
        <v>0</v>
      </c>
      <c r="AD6" s="37">
        <f t="shared" ref="AD6:AD22" si="17">+AC6*$AD$3</f>
        <v>0</v>
      </c>
      <c r="AE6" s="36"/>
      <c r="AF6" s="36">
        <f t="shared" ref="AF6:AF22" si="18">+AE6*$AF$3</f>
        <v>0</v>
      </c>
      <c r="AG6" s="37">
        <f t="shared" ref="AG6:AG22" si="19">+AF6*$AG$3</f>
        <v>0</v>
      </c>
      <c r="AH6" s="36">
        <v>518</v>
      </c>
      <c r="AI6" s="36">
        <f t="shared" ref="AI6:AI22" si="20">+AH6*$AI$3</f>
        <v>6216</v>
      </c>
      <c r="AJ6" s="37">
        <f t="shared" ref="AJ6:AJ22" si="21">+AI6*$AJ$3</f>
        <v>6216</v>
      </c>
      <c r="AK6" s="36"/>
      <c r="AL6" s="36">
        <f t="shared" ref="AL6:AL22" si="22">+AK6*$AL$3</f>
        <v>0</v>
      </c>
      <c r="AM6" s="37">
        <f t="shared" ref="AM6:AM22" si="23">+AL6*$AM$3</f>
        <v>0</v>
      </c>
      <c r="AN6" s="36"/>
      <c r="AO6" s="36">
        <f t="shared" ref="AO6:AO22" si="24">+AN6*$AO$3</f>
        <v>0</v>
      </c>
      <c r="AP6" s="37">
        <f t="shared" ref="AP6:AP22" si="25">+AO6*$AP$3</f>
        <v>0</v>
      </c>
      <c r="AQ6" s="36">
        <v>55</v>
      </c>
      <c r="AR6" s="36">
        <f t="shared" ref="AR6:AR22" si="26">+AQ6*$AR$3</f>
        <v>1320</v>
      </c>
      <c r="AS6" s="37">
        <f t="shared" ref="AS6:AS22" si="27">+AR6*$AS$3</f>
        <v>844.80000000000007</v>
      </c>
      <c r="AT6" s="36">
        <v>5</v>
      </c>
      <c r="AU6" s="36">
        <f t="shared" ref="AU6:AU22" si="28">+AT6*$AU$3</f>
        <v>60</v>
      </c>
      <c r="AV6" s="37">
        <f t="shared" ref="AV6:AV22" si="29">+AU6*$AV$3</f>
        <v>36</v>
      </c>
      <c r="AW6" s="36">
        <v>5</v>
      </c>
      <c r="AX6" s="36">
        <f t="shared" ref="AX6:AX22" si="30">+AW6*$AX$3</f>
        <v>70</v>
      </c>
      <c r="AY6" s="37">
        <f t="shared" ref="AY6:AY22" si="31">+AX6*$AY$3</f>
        <v>44.800000000000004</v>
      </c>
      <c r="AZ6" s="36"/>
      <c r="BA6" s="36">
        <f t="shared" ref="BA6:BA22" si="32">+AZ6*$BA$3</f>
        <v>0</v>
      </c>
      <c r="BB6" s="37">
        <f t="shared" ref="BB6:BB22" si="33">+BA6*$BB$3</f>
        <v>0</v>
      </c>
      <c r="BC6" s="36"/>
      <c r="BD6" s="36">
        <f t="shared" ref="BD6:BD22" si="34">+BC6*$BD$3</f>
        <v>0</v>
      </c>
      <c r="BE6" s="37">
        <f t="shared" ref="BE6:BE22" si="35">+BD6*$BE$3</f>
        <v>0</v>
      </c>
      <c r="BF6" s="36"/>
      <c r="BG6" s="36">
        <f t="shared" ref="BG6:BG22" si="36">+BF6*$BG$3</f>
        <v>0</v>
      </c>
      <c r="BH6" s="37">
        <f t="shared" ref="BH6:BH22" si="37">+BG6*$BH$3</f>
        <v>0</v>
      </c>
      <c r="BI6" s="36">
        <v>92</v>
      </c>
      <c r="BJ6" s="36">
        <f t="shared" ref="BJ6:BJ22" si="38">+BI6*$BJ$3</f>
        <v>2208</v>
      </c>
      <c r="BK6" s="37">
        <f t="shared" ref="BK6:BK22" si="39">+BJ6*$BK$3</f>
        <v>1413.1200000000001</v>
      </c>
      <c r="BL6" s="36"/>
      <c r="BM6" s="36">
        <f t="shared" ref="BM6:BM22" si="40">+BL6*$BM$3</f>
        <v>0</v>
      </c>
      <c r="BN6" s="37">
        <f t="shared" ref="BN6:BN22" si="41">+BM6*$BN$3</f>
        <v>0</v>
      </c>
      <c r="BO6" s="36"/>
      <c r="BP6" s="36">
        <f t="shared" ref="BP6:BP22" si="42">+BO6*$BP$3</f>
        <v>0</v>
      </c>
      <c r="BQ6" s="37">
        <f t="shared" ref="BQ6:BQ22" si="43">+BP6*$BQ$3</f>
        <v>0</v>
      </c>
      <c r="BR6" s="36"/>
      <c r="BS6" s="36">
        <f t="shared" ref="BS6:BS22" si="44">+BR6*$BS$3</f>
        <v>0</v>
      </c>
      <c r="BT6" s="37">
        <f t="shared" ref="BT6:BT22" si="45">+BS6*$BT$3</f>
        <v>0</v>
      </c>
      <c r="BU6" s="36"/>
      <c r="BV6" s="36">
        <f t="shared" ref="BV6:BV22" si="46">+BU6*$BV$3</f>
        <v>0</v>
      </c>
      <c r="BW6" s="37">
        <f t="shared" ref="BW6:BW22" si="47">+BV6*$BW$3</f>
        <v>0</v>
      </c>
      <c r="BX6" s="36"/>
      <c r="BY6" s="36">
        <f t="shared" ref="BY6:BY22" si="48">+BX6*$BY$3</f>
        <v>0</v>
      </c>
      <c r="BZ6" s="37">
        <f t="shared" ref="BZ6:BZ22" si="49">+BY6*$BZ$3</f>
        <v>0</v>
      </c>
      <c r="CA6" s="36"/>
      <c r="CB6" s="36">
        <f t="shared" ref="CB6:CB22" si="50">+CA6*$CB$3</f>
        <v>0</v>
      </c>
      <c r="CC6" s="37">
        <f t="shared" ref="CC6:CC22" si="51">+CB6*$CC$3</f>
        <v>0</v>
      </c>
      <c r="CD6" s="36"/>
      <c r="CE6" s="36">
        <f t="shared" ref="CE6:CE22" si="52">+CD6*$CE$3</f>
        <v>0</v>
      </c>
      <c r="CF6" s="37">
        <f t="shared" ref="CF6:CF22" si="53">+CE6*$CF$3</f>
        <v>0</v>
      </c>
      <c r="CG6" s="36"/>
      <c r="CH6" s="36">
        <f t="shared" ref="CH6:CH22" si="54">+CG6*$CH$3</f>
        <v>0</v>
      </c>
      <c r="CI6" s="37">
        <f t="shared" ref="CI6:CI22" si="55">+CH6*$CI$3</f>
        <v>0</v>
      </c>
      <c r="CJ6" s="36"/>
      <c r="CK6" s="36">
        <f t="shared" ref="CK6:CK22" si="56">+CJ6*$CK$3</f>
        <v>0</v>
      </c>
      <c r="CL6" s="37">
        <f t="shared" ref="CL6:CL22" si="57">+CK6*$CL$3</f>
        <v>0</v>
      </c>
      <c r="CM6" s="36"/>
      <c r="CN6" s="36">
        <f t="shared" ref="CN6:CN22" si="58">+CM6*$CN$3</f>
        <v>0</v>
      </c>
      <c r="CO6" s="37">
        <f t="shared" ref="CO6:CO22" si="59">+CN6*$CO$3</f>
        <v>0</v>
      </c>
      <c r="CP6" s="36"/>
      <c r="CQ6" s="36">
        <f t="shared" ref="CQ6:CQ22" si="60">+CP6*$CQ$3</f>
        <v>0</v>
      </c>
      <c r="CR6" s="37">
        <f t="shared" ref="CR6:CR22" si="61">+CQ6*$CR$3</f>
        <v>0</v>
      </c>
      <c r="CS6" s="36"/>
      <c r="CT6" s="36">
        <f t="shared" ref="CT6:CT22" si="62">+CS6*$CT$3</f>
        <v>0</v>
      </c>
      <c r="CU6" s="37">
        <f t="shared" ref="CU6:CU22" si="63">+CT6*$CU$3</f>
        <v>0</v>
      </c>
      <c r="CV6" s="36"/>
      <c r="CW6" s="36">
        <f t="shared" ref="CW6:CW22" si="64">+CV6*$CW$3</f>
        <v>0</v>
      </c>
      <c r="CX6" s="37">
        <f t="shared" ref="CX6:CX22" si="65">+CW6*$CX$3</f>
        <v>0</v>
      </c>
      <c r="CY6" s="36">
        <v>5</v>
      </c>
      <c r="CZ6" s="36">
        <f t="shared" ref="CZ6:CZ22" si="66">+CY6*$CZ$3</f>
        <v>60</v>
      </c>
      <c r="DA6" s="37">
        <f t="shared" ref="DA6:DA22" si="67">+CZ6*$DA$3</f>
        <v>60</v>
      </c>
      <c r="DB6" s="36"/>
      <c r="DC6" s="36">
        <f t="shared" ref="DC6:DC22" si="68">+DB6*$DC$3</f>
        <v>0</v>
      </c>
      <c r="DD6" s="37">
        <f t="shared" ref="DD6:DD22" si="69">+DC6*$DD$3</f>
        <v>0</v>
      </c>
      <c r="DE6" s="36"/>
      <c r="DF6" s="36">
        <f t="shared" ref="DF6:DF22" si="70">+DE6*$DF$3</f>
        <v>0</v>
      </c>
      <c r="DG6" s="37">
        <f t="shared" ref="DG6:DG22" si="71">+DF6*$DG$3</f>
        <v>0</v>
      </c>
      <c r="DH6" s="36"/>
      <c r="DI6" s="36">
        <f t="shared" ref="DI6:DI22" si="72">+DH6*$DI$3</f>
        <v>0</v>
      </c>
      <c r="DJ6" s="37">
        <f t="shared" ref="DJ6:DJ22" si="73">+DI6*$DJ$3</f>
        <v>0</v>
      </c>
      <c r="DK6" s="36"/>
      <c r="DL6" s="36">
        <f t="shared" ref="DL6:DL22" si="74">+DK6*$DL$3</f>
        <v>0</v>
      </c>
      <c r="DM6" s="37">
        <f t="shared" ref="DM6:DM22" si="75">+DL6*$DM$3</f>
        <v>0</v>
      </c>
      <c r="DN6" s="36"/>
      <c r="DO6" s="36">
        <f t="shared" ref="DO6:DO22" si="76">+DN6*$DO$3</f>
        <v>0</v>
      </c>
      <c r="DP6" s="37">
        <f t="shared" ref="DP6:DP22" si="77">+DO6*$DP$3</f>
        <v>0</v>
      </c>
      <c r="DQ6" s="36"/>
      <c r="DR6" s="36"/>
      <c r="DS6" s="36"/>
      <c r="DT6" s="33">
        <f t="shared" ref="DT6:DV14" si="78">D6+G6+J6+M6+P6+S6+V6+Y6+AB6+AE6+AH6+AK6+AN6+AQ6+AT6+AW6+AZ6+BC6+BF6+BI6+BL6+BO6+BR6+BU6+BX6+CA6+CD6+CG6+CJ6+CM6+CP6+CS6+CV6+CY6+DB6+DE6+DH6+DK6+DN6</f>
        <v>742</v>
      </c>
      <c r="DU6" s="33">
        <f t="shared" si="78"/>
        <v>10802</v>
      </c>
      <c r="DV6" s="33">
        <f t="shared" si="78"/>
        <v>9170.2400000000016</v>
      </c>
    </row>
    <row r="7" spans="1:126" s="8" customFormat="1" ht="21.95" customHeight="1" x14ac:dyDescent="0.6">
      <c r="A7" s="59"/>
      <c r="B7" s="49" t="s">
        <v>43</v>
      </c>
      <c r="C7" s="54"/>
      <c r="D7" s="36">
        <v>125</v>
      </c>
      <c r="E7" s="36">
        <f t="shared" si="0"/>
        <v>1750</v>
      </c>
      <c r="F7" s="37">
        <f t="shared" si="1"/>
        <v>1120</v>
      </c>
      <c r="G7" s="36"/>
      <c r="H7" s="36">
        <f t="shared" si="2"/>
        <v>0</v>
      </c>
      <c r="I7" s="37">
        <f t="shared" si="3"/>
        <v>0</v>
      </c>
      <c r="J7" s="36"/>
      <c r="K7" s="36">
        <f t="shared" si="4"/>
        <v>0</v>
      </c>
      <c r="L7" s="37">
        <f t="shared" si="5"/>
        <v>0</v>
      </c>
      <c r="M7" s="36">
        <v>50</v>
      </c>
      <c r="N7" s="36">
        <f t="shared" si="6"/>
        <v>600</v>
      </c>
      <c r="O7" s="37">
        <f t="shared" si="7"/>
        <v>420</v>
      </c>
      <c r="P7" s="36"/>
      <c r="Q7" s="36">
        <f t="shared" si="8"/>
        <v>0</v>
      </c>
      <c r="R7" s="37">
        <f t="shared" si="9"/>
        <v>0</v>
      </c>
      <c r="S7" s="36"/>
      <c r="T7" s="36">
        <f t="shared" si="10"/>
        <v>0</v>
      </c>
      <c r="U7" s="37">
        <f t="shared" si="11"/>
        <v>0</v>
      </c>
      <c r="V7" s="36"/>
      <c r="W7" s="36">
        <f t="shared" si="12"/>
        <v>0</v>
      </c>
      <c r="X7" s="37">
        <f t="shared" si="13"/>
        <v>0</v>
      </c>
      <c r="Y7" s="36"/>
      <c r="Z7" s="36">
        <f t="shared" si="14"/>
        <v>0</v>
      </c>
      <c r="AA7" s="37">
        <f t="shared" si="15"/>
        <v>0</v>
      </c>
      <c r="AB7" s="36"/>
      <c r="AC7" s="36">
        <f t="shared" si="16"/>
        <v>0</v>
      </c>
      <c r="AD7" s="37">
        <f t="shared" si="17"/>
        <v>0</v>
      </c>
      <c r="AE7" s="36">
        <v>50</v>
      </c>
      <c r="AF7" s="36">
        <f t="shared" si="18"/>
        <v>700</v>
      </c>
      <c r="AG7" s="37">
        <f t="shared" si="19"/>
        <v>448</v>
      </c>
      <c r="AH7" s="36"/>
      <c r="AI7" s="36">
        <f t="shared" si="20"/>
        <v>0</v>
      </c>
      <c r="AJ7" s="37">
        <f t="shared" si="21"/>
        <v>0</v>
      </c>
      <c r="AK7" s="36"/>
      <c r="AL7" s="36">
        <f t="shared" si="22"/>
        <v>0</v>
      </c>
      <c r="AM7" s="37">
        <f t="shared" si="23"/>
        <v>0</v>
      </c>
      <c r="AN7" s="36"/>
      <c r="AO7" s="36">
        <f t="shared" si="24"/>
        <v>0</v>
      </c>
      <c r="AP7" s="37">
        <f t="shared" si="25"/>
        <v>0</v>
      </c>
      <c r="AQ7" s="36"/>
      <c r="AR7" s="36">
        <f t="shared" si="26"/>
        <v>0</v>
      </c>
      <c r="AS7" s="37">
        <f t="shared" si="27"/>
        <v>0</v>
      </c>
      <c r="AT7" s="36"/>
      <c r="AU7" s="36">
        <f t="shared" si="28"/>
        <v>0</v>
      </c>
      <c r="AV7" s="37">
        <f t="shared" si="29"/>
        <v>0</v>
      </c>
      <c r="AW7" s="36"/>
      <c r="AX7" s="36">
        <f t="shared" si="30"/>
        <v>0</v>
      </c>
      <c r="AY7" s="37">
        <f t="shared" si="31"/>
        <v>0</v>
      </c>
      <c r="AZ7" s="36">
        <v>75</v>
      </c>
      <c r="BA7" s="36">
        <f t="shared" si="32"/>
        <v>1800</v>
      </c>
      <c r="BB7" s="37">
        <f t="shared" si="33"/>
        <v>1152</v>
      </c>
      <c r="BC7" s="36"/>
      <c r="BD7" s="36">
        <f t="shared" si="34"/>
        <v>0</v>
      </c>
      <c r="BE7" s="37">
        <f t="shared" si="35"/>
        <v>0</v>
      </c>
      <c r="BF7" s="36"/>
      <c r="BG7" s="36">
        <f t="shared" si="36"/>
        <v>0</v>
      </c>
      <c r="BH7" s="37">
        <f t="shared" si="37"/>
        <v>0</v>
      </c>
      <c r="BI7" s="36"/>
      <c r="BJ7" s="36">
        <f t="shared" si="38"/>
        <v>0</v>
      </c>
      <c r="BK7" s="37">
        <f t="shared" si="39"/>
        <v>0</v>
      </c>
      <c r="BL7" s="36"/>
      <c r="BM7" s="36">
        <f t="shared" si="40"/>
        <v>0</v>
      </c>
      <c r="BN7" s="37">
        <f t="shared" si="41"/>
        <v>0</v>
      </c>
      <c r="BO7" s="36"/>
      <c r="BP7" s="36">
        <f t="shared" si="42"/>
        <v>0</v>
      </c>
      <c r="BQ7" s="37">
        <f t="shared" si="43"/>
        <v>0</v>
      </c>
      <c r="BR7" s="36"/>
      <c r="BS7" s="36">
        <f t="shared" si="44"/>
        <v>0</v>
      </c>
      <c r="BT7" s="37">
        <f t="shared" si="45"/>
        <v>0</v>
      </c>
      <c r="BU7" s="36"/>
      <c r="BV7" s="36">
        <f t="shared" si="46"/>
        <v>0</v>
      </c>
      <c r="BW7" s="37">
        <f t="shared" si="47"/>
        <v>0</v>
      </c>
      <c r="BX7" s="36"/>
      <c r="BY7" s="36">
        <f t="shared" si="48"/>
        <v>0</v>
      </c>
      <c r="BZ7" s="37">
        <f t="shared" si="49"/>
        <v>0</v>
      </c>
      <c r="CA7" s="36"/>
      <c r="CB7" s="36">
        <f t="shared" si="50"/>
        <v>0</v>
      </c>
      <c r="CC7" s="37">
        <f t="shared" si="51"/>
        <v>0</v>
      </c>
      <c r="CD7" s="36"/>
      <c r="CE7" s="36">
        <f t="shared" si="52"/>
        <v>0</v>
      </c>
      <c r="CF7" s="37">
        <f t="shared" si="53"/>
        <v>0</v>
      </c>
      <c r="CG7" s="36"/>
      <c r="CH7" s="36">
        <f t="shared" si="54"/>
        <v>0</v>
      </c>
      <c r="CI7" s="37">
        <f t="shared" si="55"/>
        <v>0</v>
      </c>
      <c r="CJ7" s="36"/>
      <c r="CK7" s="36">
        <f t="shared" si="56"/>
        <v>0</v>
      </c>
      <c r="CL7" s="37">
        <f t="shared" si="57"/>
        <v>0</v>
      </c>
      <c r="CM7" s="36"/>
      <c r="CN7" s="36">
        <f t="shared" si="58"/>
        <v>0</v>
      </c>
      <c r="CO7" s="37">
        <f t="shared" si="59"/>
        <v>0</v>
      </c>
      <c r="CP7" s="36"/>
      <c r="CQ7" s="36">
        <f t="shared" si="60"/>
        <v>0</v>
      </c>
      <c r="CR7" s="37">
        <f t="shared" si="61"/>
        <v>0</v>
      </c>
      <c r="CS7" s="36"/>
      <c r="CT7" s="36">
        <f t="shared" si="62"/>
        <v>0</v>
      </c>
      <c r="CU7" s="37">
        <f t="shared" si="63"/>
        <v>0</v>
      </c>
      <c r="CV7" s="36"/>
      <c r="CW7" s="36">
        <f t="shared" si="64"/>
        <v>0</v>
      </c>
      <c r="CX7" s="37">
        <f t="shared" si="65"/>
        <v>0</v>
      </c>
      <c r="CY7" s="36"/>
      <c r="CZ7" s="36">
        <f t="shared" si="66"/>
        <v>0</v>
      </c>
      <c r="DA7" s="37">
        <f t="shared" si="67"/>
        <v>0</v>
      </c>
      <c r="DB7" s="36"/>
      <c r="DC7" s="36">
        <f t="shared" si="68"/>
        <v>0</v>
      </c>
      <c r="DD7" s="37">
        <f t="shared" si="69"/>
        <v>0</v>
      </c>
      <c r="DE7" s="36"/>
      <c r="DF7" s="36">
        <f t="shared" si="70"/>
        <v>0</v>
      </c>
      <c r="DG7" s="37">
        <f t="shared" si="71"/>
        <v>0</v>
      </c>
      <c r="DH7" s="36"/>
      <c r="DI7" s="36">
        <f t="shared" si="72"/>
        <v>0</v>
      </c>
      <c r="DJ7" s="37">
        <f t="shared" si="73"/>
        <v>0</v>
      </c>
      <c r="DK7" s="36"/>
      <c r="DL7" s="36">
        <f t="shared" si="74"/>
        <v>0</v>
      </c>
      <c r="DM7" s="37">
        <f t="shared" si="75"/>
        <v>0</v>
      </c>
      <c r="DN7" s="36"/>
      <c r="DO7" s="36">
        <f t="shared" si="76"/>
        <v>0</v>
      </c>
      <c r="DP7" s="37">
        <f t="shared" si="77"/>
        <v>0</v>
      </c>
      <c r="DQ7" s="36"/>
      <c r="DR7" s="36"/>
      <c r="DS7" s="36"/>
      <c r="DT7" s="33">
        <f t="shared" si="78"/>
        <v>300</v>
      </c>
      <c r="DU7" s="33">
        <f t="shared" si="78"/>
        <v>4850</v>
      </c>
      <c r="DV7" s="33">
        <f t="shared" si="78"/>
        <v>3140</v>
      </c>
    </row>
    <row r="8" spans="1:126" s="8" customFormat="1" ht="21.95" customHeight="1" x14ac:dyDescent="0.6">
      <c r="A8" s="59"/>
      <c r="B8" s="49" t="s">
        <v>44</v>
      </c>
      <c r="C8" s="54"/>
      <c r="D8" s="36"/>
      <c r="E8" s="36">
        <f t="shared" si="0"/>
        <v>0</v>
      </c>
      <c r="F8" s="37">
        <f t="shared" si="1"/>
        <v>0</v>
      </c>
      <c r="G8" s="36"/>
      <c r="H8" s="36">
        <f t="shared" si="2"/>
        <v>0</v>
      </c>
      <c r="I8" s="37">
        <f t="shared" si="3"/>
        <v>0</v>
      </c>
      <c r="J8" s="36"/>
      <c r="K8" s="36">
        <f t="shared" si="4"/>
        <v>0</v>
      </c>
      <c r="L8" s="37">
        <f t="shared" si="5"/>
        <v>0</v>
      </c>
      <c r="M8" s="36"/>
      <c r="N8" s="36">
        <f t="shared" si="6"/>
        <v>0</v>
      </c>
      <c r="O8" s="37">
        <f t="shared" si="7"/>
        <v>0</v>
      </c>
      <c r="P8" s="36">
        <v>100</v>
      </c>
      <c r="Q8" s="36">
        <f t="shared" si="8"/>
        <v>1400</v>
      </c>
      <c r="R8" s="37">
        <f t="shared" si="9"/>
        <v>896</v>
      </c>
      <c r="S8" s="36"/>
      <c r="T8" s="36">
        <f t="shared" si="10"/>
        <v>0</v>
      </c>
      <c r="U8" s="37">
        <f t="shared" si="11"/>
        <v>0</v>
      </c>
      <c r="V8" s="36"/>
      <c r="W8" s="36">
        <f t="shared" si="12"/>
        <v>0</v>
      </c>
      <c r="X8" s="37">
        <f t="shared" si="13"/>
        <v>0</v>
      </c>
      <c r="Y8" s="36"/>
      <c r="Z8" s="36">
        <f t="shared" si="14"/>
        <v>0</v>
      </c>
      <c r="AA8" s="37">
        <f t="shared" si="15"/>
        <v>0</v>
      </c>
      <c r="AB8" s="36"/>
      <c r="AC8" s="36">
        <f t="shared" si="16"/>
        <v>0</v>
      </c>
      <c r="AD8" s="37">
        <f t="shared" si="17"/>
        <v>0</v>
      </c>
      <c r="AE8" s="36">
        <v>42</v>
      </c>
      <c r="AF8" s="36">
        <f t="shared" si="18"/>
        <v>588</v>
      </c>
      <c r="AG8" s="37">
        <f t="shared" si="19"/>
        <v>376.32</v>
      </c>
      <c r="AH8" s="36"/>
      <c r="AI8" s="36">
        <f t="shared" si="20"/>
        <v>0</v>
      </c>
      <c r="AJ8" s="37">
        <f t="shared" si="21"/>
        <v>0</v>
      </c>
      <c r="AK8" s="36"/>
      <c r="AL8" s="36">
        <f t="shared" si="22"/>
        <v>0</v>
      </c>
      <c r="AM8" s="37">
        <f t="shared" si="23"/>
        <v>0</v>
      </c>
      <c r="AN8" s="36"/>
      <c r="AO8" s="36">
        <f t="shared" si="24"/>
        <v>0</v>
      </c>
      <c r="AP8" s="37">
        <f t="shared" si="25"/>
        <v>0</v>
      </c>
      <c r="AQ8" s="36"/>
      <c r="AR8" s="36">
        <f t="shared" si="26"/>
        <v>0</v>
      </c>
      <c r="AS8" s="37">
        <f t="shared" si="27"/>
        <v>0</v>
      </c>
      <c r="AT8" s="36"/>
      <c r="AU8" s="36">
        <f t="shared" si="28"/>
        <v>0</v>
      </c>
      <c r="AV8" s="37">
        <f t="shared" si="29"/>
        <v>0</v>
      </c>
      <c r="AW8" s="36"/>
      <c r="AX8" s="36">
        <f t="shared" si="30"/>
        <v>0</v>
      </c>
      <c r="AY8" s="37">
        <f t="shared" si="31"/>
        <v>0</v>
      </c>
      <c r="AZ8" s="36"/>
      <c r="BA8" s="36">
        <f t="shared" si="32"/>
        <v>0</v>
      </c>
      <c r="BB8" s="37">
        <f t="shared" si="33"/>
        <v>0</v>
      </c>
      <c r="BC8" s="36"/>
      <c r="BD8" s="36">
        <f t="shared" si="34"/>
        <v>0</v>
      </c>
      <c r="BE8" s="37">
        <f t="shared" si="35"/>
        <v>0</v>
      </c>
      <c r="BF8" s="36"/>
      <c r="BG8" s="36">
        <f t="shared" si="36"/>
        <v>0</v>
      </c>
      <c r="BH8" s="37">
        <f t="shared" si="37"/>
        <v>0</v>
      </c>
      <c r="BI8" s="36"/>
      <c r="BJ8" s="36">
        <f t="shared" si="38"/>
        <v>0</v>
      </c>
      <c r="BK8" s="37">
        <f t="shared" si="39"/>
        <v>0</v>
      </c>
      <c r="BL8" s="36"/>
      <c r="BM8" s="36">
        <f t="shared" si="40"/>
        <v>0</v>
      </c>
      <c r="BN8" s="37">
        <f t="shared" si="41"/>
        <v>0</v>
      </c>
      <c r="BO8" s="36"/>
      <c r="BP8" s="36">
        <f t="shared" si="42"/>
        <v>0</v>
      </c>
      <c r="BQ8" s="37">
        <f t="shared" si="43"/>
        <v>0</v>
      </c>
      <c r="BR8" s="36"/>
      <c r="BS8" s="36">
        <f t="shared" si="44"/>
        <v>0</v>
      </c>
      <c r="BT8" s="37">
        <f t="shared" si="45"/>
        <v>0</v>
      </c>
      <c r="BU8" s="36">
        <v>50</v>
      </c>
      <c r="BV8" s="36">
        <f t="shared" si="46"/>
        <v>700</v>
      </c>
      <c r="BW8" s="37">
        <f t="shared" si="47"/>
        <v>448</v>
      </c>
      <c r="BX8" s="36"/>
      <c r="BY8" s="36">
        <f t="shared" si="48"/>
        <v>0</v>
      </c>
      <c r="BZ8" s="37">
        <f t="shared" si="49"/>
        <v>0</v>
      </c>
      <c r="CA8" s="36"/>
      <c r="CB8" s="36">
        <f t="shared" si="50"/>
        <v>0</v>
      </c>
      <c r="CC8" s="37">
        <f t="shared" si="51"/>
        <v>0</v>
      </c>
      <c r="CD8" s="36"/>
      <c r="CE8" s="36">
        <f t="shared" si="52"/>
        <v>0</v>
      </c>
      <c r="CF8" s="37">
        <f t="shared" si="53"/>
        <v>0</v>
      </c>
      <c r="CG8" s="36"/>
      <c r="CH8" s="36">
        <f t="shared" si="54"/>
        <v>0</v>
      </c>
      <c r="CI8" s="37">
        <f t="shared" si="55"/>
        <v>0</v>
      </c>
      <c r="CJ8" s="36"/>
      <c r="CK8" s="36">
        <f t="shared" si="56"/>
        <v>0</v>
      </c>
      <c r="CL8" s="37">
        <f t="shared" si="57"/>
        <v>0</v>
      </c>
      <c r="CM8" s="36"/>
      <c r="CN8" s="36">
        <f t="shared" si="58"/>
        <v>0</v>
      </c>
      <c r="CO8" s="37">
        <f t="shared" si="59"/>
        <v>0</v>
      </c>
      <c r="CP8" s="36"/>
      <c r="CQ8" s="36">
        <f t="shared" si="60"/>
        <v>0</v>
      </c>
      <c r="CR8" s="37">
        <f t="shared" si="61"/>
        <v>0</v>
      </c>
      <c r="CS8" s="36"/>
      <c r="CT8" s="36">
        <f t="shared" si="62"/>
        <v>0</v>
      </c>
      <c r="CU8" s="37">
        <f t="shared" si="63"/>
        <v>0</v>
      </c>
      <c r="CV8" s="36"/>
      <c r="CW8" s="36">
        <f t="shared" si="64"/>
        <v>0</v>
      </c>
      <c r="CX8" s="37">
        <f t="shared" si="65"/>
        <v>0</v>
      </c>
      <c r="CY8" s="36"/>
      <c r="CZ8" s="36">
        <f t="shared" si="66"/>
        <v>0</v>
      </c>
      <c r="DA8" s="37">
        <f t="shared" si="67"/>
        <v>0</v>
      </c>
      <c r="DB8" s="36"/>
      <c r="DC8" s="36">
        <f t="shared" si="68"/>
        <v>0</v>
      </c>
      <c r="DD8" s="37">
        <f t="shared" si="69"/>
        <v>0</v>
      </c>
      <c r="DE8" s="36"/>
      <c r="DF8" s="36">
        <f t="shared" si="70"/>
        <v>0</v>
      </c>
      <c r="DG8" s="37">
        <f t="shared" si="71"/>
        <v>0</v>
      </c>
      <c r="DH8" s="36"/>
      <c r="DI8" s="36">
        <f t="shared" si="72"/>
        <v>0</v>
      </c>
      <c r="DJ8" s="37">
        <f t="shared" si="73"/>
        <v>0</v>
      </c>
      <c r="DK8" s="36"/>
      <c r="DL8" s="36">
        <f t="shared" si="74"/>
        <v>0</v>
      </c>
      <c r="DM8" s="37">
        <f t="shared" si="75"/>
        <v>0</v>
      </c>
      <c r="DN8" s="36"/>
      <c r="DO8" s="36">
        <f t="shared" si="76"/>
        <v>0</v>
      </c>
      <c r="DP8" s="37">
        <f t="shared" si="77"/>
        <v>0</v>
      </c>
      <c r="DQ8" s="36"/>
      <c r="DR8" s="36"/>
      <c r="DS8" s="36"/>
      <c r="DT8" s="33">
        <f t="shared" si="78"/>
        <v>192</v>
      </c>
      <c r="DU8" s="33">
        <f t="shared" si="78"/>
        <v>2688</v>
      </c>
      <c r="DV8" s="33">
        <f t="shared" si="78"/>
        <v>1720.32</v>
      </c>
    </row>
    <row r="9" spans="1:126" s="8" customFormat="1" ht="21.95" customHeight="1" x14ac:dyDescent="0.6">
      <c r="A9" s="59"/>
      <c r="B9" s="49" t="s">
        <v>45</v>
      </c>
      <c r="C9" s="54"/>
      <c r="D9" s="36"/>
      <c r="E9" s="36">
        <f t="shared" si="0"/>
        <v>0</v>
      </c>
      <c r="F9" s="37">
        <f t="shared" si="1"/>
        <v>0</v>
      </c>
      <c r="G9" s="36">
        <v>3</v>
      </c>
      <c r="H9" s="36">
        <f t="shared" si="2"/>
        <v>36</v>
      </c>
      <c r="I9" s="37">
        <f t="shared" si="3"/>
        <v>36</v>
      </c>
      <c r="J9" s="36">
        <v>29</v>
      </c>
      <c r="K9" s="36">
        <f t="shared" si="4"/>
        <v>406</v>
      </c>
      <c r="L9" s="37">
        <f t="shared" si="5"/>
        <v>259.84000000000003</v>
      </c>
      <c r="M9" s="36"/>
      <c r="N9" s="36">
        <f t="shared" si="6"/>
        <v>0</v>
      </c>
      <c r="O9" s="37">
        <f t="shared" si="7"/>
        <v>0</v>
      </c>
      <c r="P9" s="36"/>
      <c r="Q9" s="36">
        <f t="shared" si="8"/>
        <v>0</v>
      </c>
      <c r="R9" s="37">
        <f t="shared" si="9"/>
        <v>0</v>
      </c>
      <c r="S9" s="36"/>
      <c r="T9" s="36">
        <f t="shared" si="10"/>
        <v>0</v>
      </c>
      <c r="U9" s="37">
        <f t="shared" si="11"/>
        <v>0</v>
      </c>
      <c r="V9" s="36"/>
      <c r="W9" s="36">
        <f t="shared" si="12"/>
        <v>0</v>
      </c>
      <c r="X9" s="37">
        <f t="shared" si="13"/>
        <v>0</v>
      </c>
      <c r="Y9" s="36"/>
      <c r="Z9" s="36">
        <f t="shared" si="14"/>
        <v>0</v>
      </c>
      <c r="AA9" s="37">
        <f t="shared" si="15"/>
        <v>0</v>
      </c>
      <c r="AB9" s="36"/>
      <c r="AC9" s="36">
        <f t="shared" si="16"/>
        <v>0</v>
      </c>
      <c r="AD9" s="37">
        <f t="shared" si="17"/>
        <v>0</v>
      </c>
      <c r="AE9" s="36"/>
      <c r="AF9" s="36">
        <f t="shared" si="18"/>
        <v>0</v>
      </c>
      <c r="AG9" s="37">
        <f t="shared" si="19"/>
        <v>0</v>
      </c>
      <c r="AH9" s="36">
        <v>421</v>
      </c>
      <c r="AI9" s="36">
        <f t="shared" si="20"/>
        <v>5052</v>
      </c>
      <c r="AJ9" s="37">
        <f t="shared" si="21"/>
        <v>5052</v>
      </c>
      <c r="AK9" s="36"/>
      <c r="AL9" s="36">
        <f t="shared" si="22"/>
        <v>0</v>
      </c>
      <c r="AM9" s="37">
        <f t="shared" si="23"/>
        <v>0</v>
      </c>
      <c r="AN9" s="36">
        <v>10</v>
      </c>
      <c r="AO9" s="36">
        <f t="shared" si="24"/>
        <v>120</v>
      </c>
      <c r="AP9" s="37">
        <f t="shared" si="25"/>
        <v>72</v>
      </c>
      <c r="AQ9" s="36">
        <v>65</v>
      </c>
      <c r="AR9" s="36">
        <f t="shared" si="26"/>
        <v>1560</v>
      </c>
      <c r="AS9" s="37">
        <f t="shared" si="27"/>
        <v>998.4</v>
      </c>
      <c r="AT9" s="36"/>
      <c r="AU9" s="36">
        <f t="shared" si="28"/>
        <v>0</v>
      </c>
      <c r="AV9" s="37">
        <f t="shared" si="29"/>
        <v>0</v>
      </c>
      <c r="AW9" s="36">
        <v>30</v>
      </c>
      <c r="AX9" s="36">
        <f t="shared" si="30"/>
        <v>420</v>
      </c>
      <c r="AY9" s="37">
        <f t="shared" si="31"/>
        <v>268.8</v>
      </c>
      <c r="AZ9" s="36"/>
      <c r="BA9" s="36">
        <f t="shared" si="32"/>
        <v>0</v>
      </c>
      <c r="BB9" s="37">
        <f t="shared" si="33"/>
        <v>0</v>
      </c>
      <c r="BC9" s="36"/>
      <c r="BD9" s="36">
        <f t="shared" si="34"/>
        <v>0</v>
      </c>
      <c r="BE9" s="37">
        <f t="shared" si="35"/>
        <v>0</v>
      </c>
      <c r="BF9" s="36">
        <v>63</v>
      </c>
      <c r="BG9" s="36">
        <f t="shared" si="36"/>
        <v>882</v>
      </c>
      <c r="BH9" s="37">
        <f t="shared" si="37"/>
        <v>564.48</v>
      </c>
      <c r="BI9" s="36">
        <v>63</v>
      </c>
      <c r="BJ9" s="36">
        <f t="shared" si="38"/>
        <v>1512</v>
      </c>
      <c r="BK9" s="37">
        <f t="shared" si="39"/>
        <v>967.68000000000006</v>
      </c>
      <c r="BL9" s="36"/>
      <c r="BM9" s="36">
        <f t="shared" si="40"/>
        <v>0</v>
      </c>
      <c r="BN9" s="37">
        <f t="shared" si="41"/>
        <v>0</v>
      </c>
      <c r="BO9" s="36"/>
      <c r="BP9" s="36">
        <f t="shared" si="42"/>
        <v>0</v>
      </c>
      <c r="BQ9" s="37">
        <f t="shared" si="43"/>
        <v>0</v>
      </c>
      <c r="BR9" s="36"/>
      <c r="BS9" s="36">
        <f t="shared" si="44"/>
        <v>0</v>
      </c>
      <c r="BT9" s="37">
        <f t="shared" si="45"/>
        <v>0</v>
      </c>
      <c r="BU9" s="36">
        <v>5</v>
      </c>
      <c r="BV9" s="36">
        <f t="shared" si="46"/>
        <v>70</v>
      </c>
      <c r="BW9" s="37">
        <f t="shared" si="47"/>
        <v>44.800000000000004</v>
      </c>
      <c r="BX9" s="36"/>
      <c r="BY9" s="36">
        <f t="shared" si="48"/>
        <v>0</v>
      </c>
      <c r="BZ9" s="37">
        <f t="shared" si="49"/>
        <v>0</v>
      </c>
      <c r="CA9" s="36"/>
      <c r="CB9" s="36">
        <f t="shared" si="50"/>
        <v>0</v>
      </c>
      <c r="CC9" s="37">
        <f t="shared" si="51"/>
        <v>0</v>
      </c>
      <c r="CD9" s="36"/>
      <c r="CE9" s="36">
        <f t="shared" si="52"/>
        <v>0</v>
      </c>
      <c r="CF9" s="37">
        <f t="shared" si="53"/>
        <v>0</v>
      </c>
      <c r="CG9" s="36">
        <v>80</v>
      </c>
      <c r="CH9" s="36">
        <f t="shared" si="54"/>
        <v>960</v>
      </c>
      <c r="CI9" s="37">
        <f t="shared" si="55"/>
        <v>672</v>
      </c>
      <c r="CJ9" s="36"/>
      <c r="CK9" s="36">
        <f t="shared" si="56"/>
        <v>0</v>
      </c>
      <c r="CL9" s="37">
        <f t="shared" si="57"/>
        <v>0</v>
      </c>
      <c r="CM9" s="36"/>
      <c r="CN9" s="36">
        <f t="shared" si="58"/>
        <v>0</v>
      </c>
      <c r="CO9" s="37">
        <f t="shared" si="59"/>
        <v>0</v>
      </c>
      <c r="CP9" s="36"/>
      <c r="CQ9" s="36">
        <f t="shared" si="60"/>
        <v>0</v>
      </c>
      <c r="CR9" s="37">
        <f t="shared" si="61"/>
        <v>0</v>
      </c>
      <c r="CS9" s="36">
        <v>9.5</v>
      </c>
      <c r="CT9" s="36">
        <f t="shared" si="62"/>
        <v>228</v>
      </c>
      <c r="CU9" s="37">
        <f t="shared" si="63"/>
        <v>136.79999999999998</v>
      </c>
      <c r="CV9" s="36">
        <v>3</v>
      </c>
      <c r="CW9" s="36">
        <f t="shared" si="64"/>
        <v>72</v>
      </c>
      <c r="CX9" s="37">
        <f t="shared" si="65"/>
        <v>43.199999999999996</v>
      </c>
      <c r="CY9" s="36">
        <v>110</v>
      </c>
      <c r="CZ9" s="36">
        <f t="shared" si="66"/>
        <v>1320</v>
      </c>
      <c r="DA9" s="37">
        <f t="shared" si="67"/>
        <v>1320</v>
      </c>
      <c r="DB9" s="36"/>
      <c r="DC9" s="36">
        <f t="shared" si="68"/>
        <v>0</v>
      </c>
      <c r="DD9" s="37">
        <f t="shared" si="69"/>
        <v>0</v>
      </c>
      <c r="DE9" s="36"/>
      <c r="DF9" s="36">
        <f t="shared" si="70"/>
        <v>0</v>
      </c>
      <c r="DG9" s="37">
        <f t="shared" si="71"/>
        <v>0</v>
      </c>
      <c r="DH9" s="36"/>
      <c r="DI9" s="36">
        <f t="shared" si="72"/>
        <v>0</v>
      </c>
      <c r="DJ9" s="37">
        <f t="shared" si="73"/>
        <v>0</v>
      </c>
      <c r="DK9" s="36"/>
      <c r="DL9" s="36">
        <f t="shared" si="74"/>
        <v>0</v>
      </c>
      <c r="DM9" s="37">
        <f t="shared" si="75"/>
        <v>0</v>
      </c>
      <c r="DN9" s="36"/>
      <c r="DO9" s="36">
        <f t="shared" si="76"/>
        <v>0</v>
      </c>
      <c r="DP9" s="37">
        <f t="shared" si="77"/>
        <v>0</v>
      </c>
      <c r="DQ9" s="36"/>
      <c r="DR9" s="36"/>
      <c r="DS9" s="36"/>
      <c r="DT9" s="33">
        <f t="shared" si="78"/>
        <v>891.5</v>
      </c>
      <c r="DU9" s="33">
        <f t="shared" si="78"/>
        <v>12638</v>
      </c>
      <c r="DV9" s="33">
        <f t="shared" si="78"/>
        <v>10436</v>
      </c>
    </row>
    <row r="10" spans="1:126" s="8" customFormat="1" ht="21.95" customHeight="1" x14ac:dyDescent="0.6">
      <c r="A10" s="59"/>
      <c r="B10" s="49" t="s">
        <v>46</v>
      </c>
      <c r="C10" s="54"/>
      <c r="D10" s="38">
        <v>9</v>
      </c>
      <c r="E10" s="36">
        <f t="shared" si="0"/>
        <v>126</v>
      </c>
      <c r="F10" s="37">
        <f t="shared" si="1"/>
        <v>80.64</v>
      </c>
      <c r="G10" s="38">
        <v>8</v>
      </c>
      <c r="H10" s="36">
        <f t="shared" si="2"/>
        <v>96</v>
      </c>
      <c r="I10" s="37">
        <f t="shared" si="3"/>
        <v>96</v>
      </c>
      <c r="J10" s="38">
        <v>1</v>
      </c>
      <c r="K10" s="36">
        <f t="shared" si="4"/>
        <v>14</v>
      </c>
      <c r="L10" s="37">
        <f t="shared" si="5"/>
        <v>8.9600000000000009</v>
      </c>
      <c r="M10" s="38"/>
      <c r="N10" s="36">
        <f t="shared" si="6"/>
        <v>0</v>
      </c>
      <c r="O10" s="37">
        <f t="shared" si="7"/>
        <v>0</v>
      </c>
      <c r="P10" s="38"/>
      <c r="Q10" s="36">
        <f t="shared" si="8"/>
        <v>0</v>
      </c>
      <c r="R10" s="37">
        <f t="shared" si="9"/>
        <v>0</v>
      </c>
      <c r="S10" s="38"/>
      <c r="T10" s="36">
        <f t="shared" si="10"/>
        <v>0</v>
      </c>
      <c r="U10" s="37">
        <f t="shared" si="11"/>
        <v>0</v>
      </c>
      <c r="V10" s="38"/>
      <c r="W10" s="36">
        <f t="shared" si="12"/>
        <v>0</v>
      </c>
      <c r="X10" s="37">
        <f t="shared" si="13"/>
        <v>0</v>
      </c>
      <c r="Y10" s="38"/>
      <c r="Z10" s="36">
        <f t="shared" si="14"/>
        <v>0</v>
      </c>
      <c r="AA10" s="37">
        <f t="shared" si="15"/>
        <v>0</v>
      </c>
      <c r="AB10" s="38"/>
      <c r="AC10" s="36">
        <f t="shared" si="16"/>
        <v>0</v>
      </c>
      <c r="AD10" s="37">
        <f t="shared" si="17"/>
        <v>0</v>
      </c>
      <c r="AE10" s="38"/>
      <c r="AF10" s="36">
        <f t="shared" si="18"/>
        <v>0</v>
      </c>
      <c r="AG10" s="37">
        <f t="shared" si="19"/>
        <v>0</v>
      </c>
      <c r="AH10" s="38">
        <v>29.5</v>
      </c>
      <c r="AI10" s="36">
        <f t="shared" si="20"/>
        <v>354</v>
      </c>
      <c r="AJ10" s="37">
        <f t="shared" si="21"/>
        <v>354</v>
      </c>
      <c r="AK10" s="38"/>
      <c r="AL10" s="36">
        <f t="shared" si="22"/>
        <v>0</v>
      </c>
      <c r="AM10" s="37">
        <f t="shared" si="23"/>
        <v>0</v>
      </c>
      <c r="AN10" s="38">
        <v>36</v>
      </c>
      <c r="AO10" s="36">
        <f t="shared" si="24"/>
        <v>432</v>
      </c>
      <c r="AP10" s="37">
        <f t="shared" si="25"/>
        <v>259.2</v>
      </c>
      <c r="AQ10" s="38"/>
      <c r="AR10" s="36">
        <f t="shared" si="26"/>
        <v>0</v>
      </c>
      <c r="AS10" s="37">
        <f t="shared" si="27"/>
        <v>0</v>
      </c>
      <c r="AT10" s="38">
        <v>50</v>
      </c>
      <c r="AU10" s="36">
        <f t="shared" si="28"/>
        <v>600</v>
      </c>
      <c r="AV10" s="37">
        <f t="shared" si="29"/>
        <v>360</v>
      </c>
      <c r="AW10" s="38">
        <v>1</v>
      </c>
      <c r="AX10" s="36">
        <f t="shared" si="30"/>
        <v>14</v>
      </c>
      <c r="AY10" s="37">
        <f t="shared" si="31"/>
        <v>8.9600000000000009</v>
      </c>
      <c r="AZ10" s="38">
        <v>9</v>
      </c>
      <c r="BA10" s="36">
        <f t="shared" si="32"/>
        <v>216</v>
      </c>
      <c r="BB10" s="37">
        <f t="shared" si="33"/>
        <v>138.24</v>
      </c>
      <c r="BC10" s="38">
        <v>50</v>
      </c>
      <c r="BD10" s="36">
        <f t="shared" si="34"/>
        <v>700</v>
      </c>
      <c r="BE10" s="37">
        <f t="shared" si="35"/>
        <v>448</v>
      </c>
      <c r="BF10" s="38"/>
      <c r="BG10" s="36">
        <f t="shared" si="36"/>
        <v>0</v>
      </c>
      <c r="BH10" s="37">
        <f t="shared" si="37"/>
        <v>0</v>
      </c>
      <c r="BI10" s="38"/>
      <c r="BJ10" s="36">
        <f t="shared" si="38"/>
        <v>0</v>
      </c>
      <c r="BK10" s="37">
        <f t="shared" si="39"/>
        <v>0</v>
      </c>
      <c r="BL10" s="38"/>
      <c r="BM10" s="36">
        <f t="shared" si="40"/>
        <v>0</v>
      </c>
      <c r="BN10" s="37">
        <f t="shared" si="41"/>
        <v>0</v>
      </c>
      <c r="BO10" s="38"/>
      <c r="BP10" s="36">
        <f t="shared" si="42"/>
        <v>0</v>
      </c>
      <c r="BQ10" s="37">
        <f t="shared" si="43"/>
        <v>0</v>
      </c>
      <c r="BR10" s="38"/>
      <c r="BS10" s="36">
        <f t="shared" si="44"/>
        <v>0</v>
      </c>
      <c r="BT10" s="37">
        <f t="shared" si="45"/>
        <v>0</v>
      </c>
      <c r="BU10" s="38"/>
      <c r="BV10" s="36">
        <f t="shared" si="46"/>
        <v>0</v>
      </c>
      <c r="BW10" s="37">
        <f t="shared" si="47"/>
        <v>0</v>
      </c>
      <c r="BX10" s="38"/>
      <c r="BY10" s="36">
        <f t="shared" si="48"/>
        <v>0</v>
      </c>
      <c r="BZ10" s="37">
        <f t="shared" si="49"/>
        <v>0</v>
      </c>
      <c r="CA10" s="38"/>
      <c r="CB10" s="36">
        <f t="shared" si="50"/>
        <v>0</v>
      </c>
      <c r="CC10" s="37">
        <f t="shared" si="51"/>
        <v>0</v>
      </c>
      <c r="CD10" s="38"/>
      <c r="CE10" s="36">
        <f t="shared" si="52"/>
        <v>0</v>
      </c>
      <c r="CF10" s="37">
        <f t="shared" si="53"/>
        <v>0</v>
      </c>
      <c r="CG10" s="38"/>
      <c r="CH10" s="36">
        <f t="shared" si="54"/>
        <v>0</v>
      </c>
      <c r="CI10" s="37">
        <f t="shared" si="55"/>
        <v>0</v>
      </c>
      <c r="CJ10" s="38"/>
      <c r="CK10" s="36">
        <f t="shared" si="56"/>
        <v>0</v>
      </c>
      <c r="CL10" s="37">
        <f t="shared" si="57"/>
        <v>0</v>
      </c>
      <c r="CM10" s="38"/>
      <c r="CN10" s="36">
        <f t="shared" si="58"/>
        <v>0</v>
      </c>
      <c r="CO10" s="37">
        <f t="shared" si="59"/>
        <v>0</v>
      </c>
      <c r="CP10" s="38"/>
      <c r="CQ10" s="36">
        <f t="shared" si="60"/>
        <v>0</v>
      </c>
      <c r="CR10" s="37">
        <f t="shared" si="61"/>
        <v>0</v>
      </c>
      <c r="CS10" s="38">
        <v>12.5</v>
      </c>
      <c r="CT10" s="36">
        <f t="shared" si="62"/>
        <v>300</v>
      </c>
      <c r="CU10" s="37">
        <f t="shared" si="63"/>
        <v>180</v>
      </c>
      <c r="CV10" s="38">
        <v>17</v>
      </c>
      <c r="CW10" s="36">
        <f t="shared" si="64"/>
        <v>408</v>
      </c>
      <c r="CX10" s="37">
        <f t="shared" si="65"/>
        <v>244.79999999999998</v>
      </c>
      <c r="CY10" s="38">
        <v>40.5</v>
      </c>
      <c r="CZ10" s="36">
        <f t="shared" si="66"/>
        <v>486</v>
      </c>
      <c r="DA10" s="37">
        <f t="shared" si="67"/>
        <v>486</v>
      </c>
      <c r="DB10" s="38">
        <v>2</v>
      </c>
      <c r="DC10" s="36">
        <f t="shared" si="68"/>
        <v>24</v>
      </c>
      <c r="DD10" s="37">
        <f t="shared" si="69"/>
        <v>24</v>
      </c>
      <c r="DE10" s="38"/>
      <c r="DF10" s="36">
        <f t="shared" si="70"/>
        <v>0</v>
      </c>
      <c r="DG10" s="37">
        <f t="shared" si="71"/>
        <v>0</v>
      </c>
      <c r="DH10" s="38"/>
      <c r="DI10" s="36">
        <f t="shared" si="72"/>
        <v>0</v>
      </c>
      <c r="DJ10" s="37">
        <f t="shared" si="73"/>
        <v>0</v>
      </c>
      <c r="DK10" s="38"/>
      <c r="DL10" s="36">
        <f t="shared" si="74"/>
        <v>0</v>
      </c>
      <c r="DM10" s="37">
        <f t="shared" si="75"/>
        <v>0</v>
      </c>
      <c r="DN10" s="38"/>
      <c r="DO10" s="36">
        <f t="shared" si="76"/>
        <v>0</v>
      </c>
      <c r="DP10" s="37">
        <f t="shared" si="77"/>
        <v>0</v>
      </c>
      <c r="DQ10" s="38"/>
      <c r="DR10" s="38"/>
      <c r="DS10" s="38"/>
      <c r="DT10" s="33">
        <f t="shared" si="78"/>
        <v>265.5</v>
      </c>
      <c r="DU10" s="33">
        <f t="shared" si="78"/>
        <v>3770</v>
      </c>
      <c r="DV10" s="33">
        <f t="shared" si="78"/>
        <v>2688.8</v>
      </c>
    </row>
    <row r="11" spans="1:126" s="8" customFormat="1" ht="21.95" customHeight="1" x14ac:dyDescent="0.6">
      <c r="A11" s="59"/>
      <c r="B11" s="49" t="s">
        <v>47</v>
      </c>
      <c r="C11" s="54"/>
      <c r="D11" s="38"/>
      <c r="E11" s="36">
        <f t="shared" si="0"/>
        <v>0</v>
      </c>
      <c r="F11" s="37">
        <f t="shared" si="1"/>
        <v>0</v>
      </c>
      <c r="G11" s="38"/>
      <c r="H11" s="36">
        <f t="shared" si="2"/>
        <v>0</v>
      </c>
      <c r="I11" s="37">
        <f t="shared" si="3"/>
        <v>0</v>
      </c>
      <c r="J11" s="38"/>
      <c r="K11" s="36">
        <f t="shared" si="4"/>
        <v>0</v>
      </c>
      <c r="L11" s="37">
        <f t="shared" si="5"/>
        <v>0</v>
      </c>
      <c r="M11" s="38"/>
      <c r="N11" s="36">
        <f t="shared" si="6"/>
        <v>0</v>
      </c>
      <c r="O11" s="37">
        <f t="shared" si="7"/>
        <v>0</v>
      </c>
      <c r="P11" s="38"/>
      <c r="Q11" s="36">
        <f t="shared" si="8"/>
        <v>0</v>
      </c>
      <c r="R11" s="37">
        <f t="shared" si="9"/>
        <v>0</v>
      </c>
      <c r="S11" s="38"/>
      <c r="T11" s="36">
        <f t="shared" si="10"/>
        <v>0</v>
      </c>
      <c r="U11" s="37">
        <f t="shared" si="11"/>
        <v>0</v>
      </c>
      <c r="V11" s="38"/>
      <c r="W11" s="36">
        <f t="shared" si="12"/>
        <v>0</v>
      </c>
      <c r="X11" s="37">
        <f t="shared" si="13"/>
        <v>0</v>
      </c>
      <c r="Y11" s="38"/>
      <c r="Z11" s="36">
        <f t="shared" si="14"/>
        <v>0</v>
      </c>
      <c r="AA11" s="37">
        <f t="shared" si="15"/>
        <v>0</v>
      </c>
      <c r="AB11" s="38"/>
      <c r="AC11" s="36">
        <f t="shared" si="16"/>
        <v>0</v>
      </c>
      <c r="AD11" s="37">
        <f t="shared" si="17"/>
        <v>0</v>
      </c>
      <c r="AE11" s="38"/>
      <c r="AF11" s="36">
        <f t="shared" si="18"/>
        <v>0</v>
      </c>
      <c r="AG11" s="37">
        <f t="shared" si="19"/>
        <v>0</v>
      </c>
      <c r="AH11" s="38"/>
      <c r="AI11" s="36">
        <f t="shared" si="20"/>
        <v>0</v>
      </c>
      <c r="AJ11" s="37">
        <f t="shared" si="21"/>
        <v>0</v>
      </c>
      <c r="AK11" s="38"/>
      <c r="AL11" s="36">
        <f t="shared" si="22"/>
        <v>0</v>
      </c>
      <c r="AM11" s="37">
        <f t="shared" si="23"/>
        <v>0</v>
      </c>
      <c r="AN11" s="38"/>
      <c r="AO11" s="36">
        <f t="shared" si="24"/>
        <v>0</v>
      </c>
      <c r="AP11" s="37">
        <f t="shared" si="25"/>
        <v>0</v>
      </c>
      <c r="AQ11" s="38"/>
      <c r="AR11" s="36">
        <f t="shared" si="26"/>
        <v>0</v>
      </c>
      <c r="AS11" s="37">
        <f t="shared" si="27"/>
        <v>0</v>
      </c>
      <c r="AT11" s="38"/>
      <c r="AU11" s="36">
        <f t="shared" si="28"/>
        <v>0</v>
      </c>
      <c r="AV11" s="37">
        <f t="shared" si="29"/>
        <v>0</v>
      </c>
      <c r="AW11" s="38"/>
      <c r="AX11" s="36">
        <f t="shared" si="30"/>
        <v>0</v>
      </c>
      <c r="AY11" s="37">
        <f t="shared" si="31"/>
        <v>0</v>
      </c>
      <c r="AZ11" s="38"/>
      <c r="BA11" s="36">
        <f t="shared" si="32"/>
        <v>0</v>
      </c>
      <c r="BB11" s="37">
        <f t="shared" si="33"/>
        <v>0</v>
      </c>
      <c r="BC11" s="38"/>
      <c r="BD11" s="36">
        <f t="shared" si="34"/>
        <v>0</v>
      </c>
      <c r="BE11" s="37">
        <f t="shared" si="35"/>
        <v>0</v>
      </c>
      <c r="BF11" s="38"/>
      <c r="BG11" s="36">
        <f t="shared" si="36"/>
        <v>0</v>
      </c>
      <c r="BH11" s="37">
        <f t="shared" si="37"/>
        <v>0</v>
      </c>
      <c r="BI11" s="38"/>
      <c r="BJ11" s="36">
        <f t="shared" si="38"/>
        <v>0</v>
      </c>
      <c r="BK11" s="37">
        <f t="shared" si="39"/>
        <v>0</v>
      </c>
      <c r="BL11" s="38"/>
      <c r="BM11" s="36">
        <f t="shared" si="40"/>
        <v>0</v>
      </c>
      <c r="BN11" s="37">
        <f t="shared" si="41"/>
        <v>0</v>
      </c>
      <c r="BO11" s="38"/>
      <c r="BP11" s="36">
        <f t="shared" si="42"/>
        <v>0</v>
      </c>
      <c r="BQ11" s="37">
        <f t="shared" si="43"/>
        <v>0</v>
      </c>
      <c r="BR11" s="38"/>
      <c r="BS11" s="36">
        <f t="shared" si="44"/>
        <v>0</v>
      </c>
      <c r="BT11" s="37">
        <f t="shared" si="45"/>
        <v>0</v>
      </c>
      <c r="BU11" s="38"/>
      <c r="BV11" s="36">
        <f t="shared" si="46"/>
        <v>0</v>
      </c>
      <c r="BW11" s="37">
        <f t="shared" si="47"/>
        <v>0</v>
      </c>
      <c r="BX11" s="38"/>
      <c r="BY11" s="36">
        <f t="shared" si="48"/>
        <v>0</v>
      </c>
      <c r="BZ11" s="37">
        <f t="shared" si="49"/>
        <v>0</v>
      </c>
      <c r="CA11" s="38"/>
      <c r="CB11" s="36">
        <f t="shared" si="50"/>
        <v>0</v>
      </c>
      <c r="CC11" s="37">
        <f t="shared" si="51"/>
        <v>0</v>
      </c>
      <c r="CD11" s="38"/>
      <c r="CE11" s="36">
        <f t="shared" si="52"/>
        <v>0</v>
      </c>
      <c r="CF11" s="37">
        <f t="shared" si="53"/>
        <v>0</v>
      </c>
      <c r="CG11" s="38"/>
      <c r="CH11" s="36">
        <f t="shared" si="54"/>
        <v>0</v>
      </c>
      <c r="CI11" s="37">
        <f t="shared" si="55"/>
        <v>0</v>
      </c>
      <c r="CJ11" s="38"/>
      <c r="CK11" s="36">
        <f t="shared" si="56"/>
        <v>0</v>
      </c>
      <c r="CL11" s="37">
        <f t="shared" si="57"/>
        <v>0</v>
      </c>
      <c r="CM11" s="38"/>
      <c r="CN11" s="36">
        <f t="shared" si="58"/>
        <v>0</v>
      </c>
      <c r="CO11" s="37">
        <f t="shared" si="59"/>
        <v>0</v>
      </c>
      <c r="CP11" s="38"/>
      <c r="CQ11" s="36">
        <f t="shared" si="60"/>
        <v>0</v>
      </c>
      <c r="CR11" s="37">
        <f t="shared" si="61"/>
        <v>0</v>
      </c>
      <c r="CS11" s="38"/>
      <c r="CT11" s="36">
        <f t="shared" si="62"/>
        <v>0</v>
      </c>
      <c r="CU11" s="37">
        <f t="shared" si="63"/>
        <v>0</v>
      </c>
      <c r="CV11" s="38"/>
      <c r="CW11" s="36">
        <f t="shared" si="64"/>
        <v>0</v>
      </c>
      <c r="CX11" s="37">
        <f t="shared" si="65"/>
        <v>0</v>
      </c>
      <c r="CY11" s="38"/>
      <c r="CZ11" s="36">
        <f t="shared" si="66"/>
        <v>0</v>
      </c>
      <c r="DA11" s="37">
        <f t="shared" si="67"/>
        <v>0</v>
      </c>
      <c r="DB11" s="38"/>
      <c r="DC11" s="36">
        <f t="shared" si="68"/>
        <v>0</v>
      </c>
      <c r="DD11" s="37">
        <f t="shared" si="69"/>
        <v>0</v>
      </c>
      <c r="DE11" s="38"/>
      <c r="DF11" s="36">
        <f t="shared" si="70"/>
        <v>0</v>
      </c>
      <c r="DG11" s="37">
        <f t="shared" si="71"/>
        <v>0</v>
      </c>
      <c r="DH11" s="38"/>
      <c r="DI11" s="36">
        <f t="shared" si="72"/>
        <v>0</v>
      </c>
      <c r="DJ11" s="37">
        <f t="shared" si="73"/>
        <v>0</v>
      </c>
      <c r="DK11" s="38"/>
      <c r="DL11" s="36">
        <f t="shared" si="74"/>
        <v>0</v>
      </c>
      <c r="DM11" s="37">
        <f t="shared" si="75"/>
        <v>0</v>
      </c>
      <c r="DN11" s="38"/>
      <c r="DO11" s="36">
        <f t="shared" si="76"/>
        <v>0</v>
      </c>
      <c r="DP11" s="37">
        <f t="shared" si="77"/>
        <v>0</v>
      </c>
      <c r="DQ11" s="38"/>
      <c r="DR11" s="38"/>
      <c r="DS11" s="38"/>
      <c r="DT11" s="33">
        <f t="shared" si="78"/>
        <v>0</v>
      </c>
      <c r="DU11" s="33">
        <f t="shared" si="78"/>
        <v>0</v>
      </c>
      <c r="DV11" s="33">
        <f t="shared" si="78"/>
        <v>0</v>
      </c>
    </row>
    <row r="12" spans="1:126" s="8" customFormat="1" ht="21.95" customHeight="1" x14ac:dyDescent="0.6">
      <c r="A12" s="59"/>
      <c r="B12" s="50" t="s">
        <v>48</v>
      </c>
      <c r="C12" s="54"/>
      <c r="D12" s="38">
        <v>4610</v>
      </c>
      <c r="E12" s="36">
        <f t="shared" si="0"/>
        <v>64540</v>
      </c>
      <c r="F12" s="37">
        <f t="shared" si="1"/>
        <v>41305.599999999999</v>
      </c>
      <c r="G12" s="38">
        <v>100</v>
      </c>
      <c r="H12" s="36">
        <f t="shared" si="2"/>
        <v>1200</v>
      </c>
      <c r="I12" s="37">
        <f t="shared" si="3"/>
        <v>1200</v>
      </c>
      <c r="J12" s="38">
        <v>2065</v>
      </c>
      <c r="K12" s="36">
        <f t="shared" si="4"/>
        <v>28910</v>
      </c>
      <c r="L12" s="37">
        <f t="shared" si="5"/>
        <v>18502.400000000001</v>
      </c>
      <c r="M12" s="38">
        <v>30</v>
      </c>
      <c r="N12" s="36">
        <f t="shared" si="6"/>
        <v>360</v>
      </c>
      <c r="O12" s="37">
        <f t="shared" si="7"/>
        <v>251.99999999999997</v>
      </c>
      <c r="P12" s="38">
        <v>100</v>
      </c>
      <c r="Q12" s="36">
        <f t="shared" si="8"/>
        <v>1400</v>
      </c>
      <c r="R12" s="37">
        <f t="shared" si="9"/>
        <v>896</v>
      </c>
      <c r="S12" s="38">
        <v>10</v>
      </c>
      <c r="T12" s="36">
        <f t="shared" si="10"/>
        <v>120</v>
      </c>
      <c r="U12" s="37">
        <f t="shared" si="11"/>
        <v>84</v>
      </c>
      <c r="V12" s="38"/>
      <c r="W12" s="36">
        <f t="shared" si="12"/>
        <v>0</v>
      </c>
      <c r="X12" s="37">
        <f t="shared" si="13"/>
        <v>0</v>
      </c>
      <c r="Y12" s="38"/>
      <c r="Z12" s="36">
        <f t="shared" si="14"/>
        <v>0</v>
      </c>
      <c r="AA12" s="37">
        <f t="shared" si="15"/>
        <v>0</v>
      </c>
      <c r="AB12" s="38"/>
      <c r="AC12" s="36">
        <f t="shared" si="16"/>
        <v>0</v>
      </c>
      <c r="AD12" s="37">
        <f t="shared" si="17"/>
        <v>0</v>
      </c>
      <c r="AE12" s="38">
        <v>925</v>
      </c>
      <c r="AF12" s="36">
        <f t="shared" si="18"/>
        <v>12950</v>
      </c>
      <c r="AG12" s="37">
        <f t="shared" si="19"/>
        <v>8288</v>
      </c>
      <c r="AH12" s="38">
        <v>410</v>
      </c>
      <c r="AI12" s="36">
        <f t="shared" si="20"/>
        <v>4920</v>
      </c>
      <c r="AJ12" s="37">
        <f t="shared" si="21"/>
        <v>4920</v>
      </c>
      <c r="AK12" s="38"/>
      <c r="AL12" s="36">
        <f t="shared" si="22"/>
        <v>0</v>
      </c>
      <c r="AM12" s="37">
        <f t="shared" si="23"/>
        <v>0</v>
      </c>
      <c r="AN12" s="38"/>
      <c r="AO12" s="36">
        <f t="shared" si="24"/>
        <v>0</v>
      </c>
      <c r="AP12" s="37">
        <f t="shared" si="25"/>
        <v>0</v>
      </c>
      <c r="AQ12" s="38">
        <v>30</v>
      </c>
      <c r="AR12" s="36">
        <f t="shared" si="26"/>
        <v>720</v>
      </c>
      <c r="AS12" s="37">
        <f t="shared" si="27"/>
        <v>460.8</v>
      </c>
      <c r="AT12" s="38"/>
      <c r="AU12" s="36">
        <f t="shared" si="28"/>
        <v>0</v>
      </c>
      <c r="AV12" s="37">
        <f t="shared" si="29"/>
        <v>0</v>
      </c>
      <c r="AW12" s="38"/>
      <c r="AX12" s="36">
        <f t="shared" si="30"/>
        <v>0</v>
      </c>
      <c r="AY12" s="37">
        <f t="shared" si="31"/>
        <v>0</v>
      </c>
      <c r="AZ12" s="38"/>
      <c r="BA12" s="36">
        <f t="shared" si="32"/>
        <v>0</v>
      </c>
      <c r="BB12" s="37">
        <f t="shared" si="33"/>
        <v>0</v>
      </c>
      <c r="BC12" s="38">
        <v>1050</v>
      </c>
      <c r="BD12" s="36">
        <f t="shared" si="34"/>
        <v>14700</v>
      </c>
      <c r="BE12" s="37">
        <f t="shared" si="35"/>
        <v>9408</v>
      </c>
      <c r="BF12" s="38">
        <v>3920</v>
      </c>
      <c r="BG12" s="36">
        <f t="shared" si="36"/>
        <v>54880</v>
      </c>
      <c r="BH12" s="37">
        <f t="shared" si="37"/>
        <v>35123.200000000004</v>
      </c>
      <c r="BI12" s="38">
        <v>762</v>
      </c>
      <c r="BJ12" s="36">
        <f t="shared" si="38"/>
        <v>18288</v>
      </c>
      <c r="BK12" s="37">
        <f t="shared" si="39"/>
        <v>11704.32</v>
      </c>
      <c r="BL12" s="38"/>
      <c r="BM12" s="36">
        <f t="shared" si="40"/>
        <v>0</v>
      </c>
      <c r="BN12" s="37">
        <f t="shared" si="41"/>
        <v>0</v>
      </c>
      <c r="BO12" s="38"/>
      <c r="BP12" s="36">
        <f t="shared" si="42"/>
        <v>0</v>
      </c>
      <c r="BQ12" s="37">
        <f t="shared" si="43"/>
        <v>0</v>
      </c>
      <c r="BR12" s="38">
        <v>30</v>
      </c>
      <c r="BS12" s="36">
        <f t="shared" si="44"/>
        <v>720</v>
      </c>
      <c r="BT12" s="37">
        <f t="shared" si="45"/>
        <v>460.8</v>
      </c>
      <c r="BU12" s="38">
        <v>1320</v>
      </c>
      <c r="BV12" s="36">
        <f t="shared" si="46"/>
        <v>18480</v>
      </c>
      <c r="BW12" s="37">
        <f t="shared" si="47"/>
        <v>11827.2</v>
      </c>
      <c r="BX12" s="38"/>
      <c r="BY12" s="36">
        <f t="shared" si="48"/>
        <v>0</v>
      </c>
      <c r="BZ12" s="37">
        <f t="shared" si="49"/>
        <v>0</v>
      </c>
      <c r="CA12" s="38"/>
      <c r="CB12" s="36">
        <f t="shared" si="50"/>
        <v>0</v>
      </c>
      <c r="CC12" s="37">
        <f t="shared" si="51"/>
        <v>0</v>
      </c>
      <c r="CD12" s="38"/>
      <c r="CE12" s="36">
        <f t="shared" si="52"/>
        <v>0</v>
      </c>
      <c r="CF12" s="37">
        <f t="shared" si="53"/>
        <v>0</v>
      </c>
      <c r="CG12" s="38">
        <v>155</v>
      </c>
      <c r="CH12" s="36">
        <f t="shared" si="54"/>
        <v>1860</v>
      </c>
      <c r="CI12" s="37">
        <f t="shared" si="55"/>
        <v>1302</v>
      </c>
      <c r="CJ12" s="38">
        <v>25</v>
      </c>
      <c r="CK12" s="36">
        <f t="shared" si="56"/>
        <v>350</v>
      </c>
      <c r="CL12" s="37">
        <f t="shared" si="57"/>
        <v>224</v>
      </c>
      <c r="CM12" s="38"/>
      <c r="CN12" s="36">
        <f t="shared" si="58"/>
        <v>0</v>
      </c>
      <c r="CO12" s="37">
        <f t="shared" si="59"/>
        <v>0</v>
      </c>
      <c r="CP12" s="38"/>
      <c r="CQ12" s="36">
        <f t="shared" si="60"/>
        <v>0</v>
      </c>
      <c r="CR12" s="37">
        <f t="shared" si="61"/>
        <v>0</v>
      </c>
      <c r="CS12" s="38">
        <v>690</v>
      </c>
      <c r="CT12" s="36">
        <f t="shared" si="62"/>
        <v>16560</v>
      </c>
      <c r="CU12" s="37">
        <f t="shared" si="63"/>
        <v>9936</v>
      </c>
      <c r="CV12" s="38"/>
      <c r="CW12" s="36">
        <f t="shared" si="64"/>
        <v>0</v>
      </c>
      <c r="CX12" s="37">
        <f t="shared" si="65"/>
        <v>0</v>
      </c>
      <c r="CY12" s="38">
        <v>150</v>
      </c>
      <c r="CZ12" s="36">
        <f t="shared" si="66"/>
        <v>1800</v>
      </c>
      <c r="DA12" s="37">
        <f t="shared" si="67"/>
        <v>1800</v>
      </c>
      <c r="DB12" s="38"/>
      <c r="DC12" s="36">
        <f t="shared" si="68"/>
        <v>0</v>
      </c>
      <c r="DD12" s="37">
        <f t="shared" si="69"/>
        <v>0</v>
      </c>
      <c r="DE12" s="38"/>
      <c r="DF12" s="36">
        <f t="shared" si="70"/>
        <v>0</v>
      </c>
      <c r="DG12" s="37">
        <f t="shared" si="71"/>
        <v>0</v>
      </c>
      <c r="DH12" s="38"/>
      <c r="DI12" s="36">
        <f t="shared" si="72"/>
        <v>0</v>
      </c>
      <c r="DJ12" s="37">
        <f t="shared" si="73"/>
        <v>0</v>
      </c>
      <c r="DK12" s="38"/>
      <c r="DL12" s="36">
        <f t="shared" si="74"/>
        <v>0</v>
      </c>
      <c r="DM12" s="37">
        <f t="shared" si="75"/>
        <v>0</v>
      </c>
      <c r="DN12" s="38"/>
      <c r="DO12" s="36">
        <f t="shared" si="76"/>
        <v>0</v>
      </c>
      <c r="DP12" s="37">
        <f t="shared" si="77"/>
        <v>0</v>
      </c>
      <c r="DQ12" s="38"/>
      <c r="DR12" s="38"/>
      <c r="DS12" s="38"/>
      <c r="DT12" s="33">
        <f t="shared" si="78"/>
        <v>16382</v>
      </c>
      <c r="DU12" s="33">
        <f t="shared" si="78"/>
        <v>242758</v>
      </c>
      <c r="DV12" s="33">
        <f t="shared" si="78"/>
        <v>157694.32</v>
      </c>
    </row>
    <row r="13" spans="1:126" s="8" customFormat="1" ht="21.95" customHeight="1" x14ac:dyDescent="0.6">
      <c r="A13" s="59"/>
      <c r="B13" s="50" t="s">
        <v>49</v>
      </c>
      <c r="C13" s="56"/>
      <c r="D13" s="38">
        <v>590</v>
      </c>
      <c r="E13" s="36">
        <f t="shared" si="0"/>
        <v>8260</v>
      </c>
      <c r="F13" s="37">
        <f t="shared" si="1"/>
        <v>5286.4000000000005</v>
      </c>
      <c r="G13" s="38"/>
      <c r="H13" s="36">
        <f t="shared" si="2"/>
        <v>0</v>
      </c>
      <c r="I13" s="37">
        <f t="shared" si="3"/>
        <v>0</v>
      </c>
      <c r="J13" s="38"/>
      <c r="K13" s="36">
        <f t="shared" si="4"/>
        <v>0</v>
      </c>
      <c r="L13" s="37">
        <f t="shared" si="5"/>
        <v>0</v>
      </c>
      <c r="M13" s="38"/>
      <c r="N13" s="36">
        <f t="shared" si="6"/>
        <v>0</v>
      </c>
      <c r="O13" s="37">
        <f t="shared" si="7"/>
        <v>0</v>
      </c>
      <c r="P13" s="38">
        <v>130</v>
      </c>
      <c r="Q13" s="36">
        <f t="shared" si="8"/>
        <v>1820</v>
      </c>
      <c r="R13" s="37">
        <f t="shared" si="9"/>
        <v>1164.8</v>
      </c>
      <c r="S13" s="38"/>
      <c r="T13" s="36">
        <f t="shared" si="10"/>
        <v>0</v>
      </c>
      <c r="U13" s="37">
        <f t="shared" si="11"/>
        <v>0</v>
      </c>
      <c r="V13" s="38"/>
      <c r="W13" s="36">
        <f t="shared" si="12"/>
        <v>0</v>
      </c>
      <c r="X13" s="37">
        <f t="shared" si="13"/>
        <v>0</v>
      </c>
      <c r="Y13" s="38"/>
      <c r="Z13" s="36">
        <f t="shared" si="14"/>
        <v>0</v>
      </c>
      <c r="AA13" s="37">
        <f t="shared" si="15"/>
        <v>0</v>
      </c>
      <c r="AB13" s="38"/>
      <c r="AC13" s="36">
        <f t="shared" si="16"/>
        <v>0</v>
      </c>
      <c r="AD13" s="37">
        <f t="shared" si="17"/>
        <v>0</v>
      </c>
      <c r="AE13" s="38">
        <v>30</v>
      </c>
      <c r="AF13" s="36">
        <f t="shared" si="18"/>
        <v>420</v>
      </c>
      <c r="AG13" s="37">
        <f t="shared" si="19"/>
        <v>268.8</v>
      </c>
      <c r="AH13" s="38"/>
      <c r="AI13" s="36">
        <f t="shared" si="20"/>
        <v>0</v>
      </c>
      <c r="AJ13" s="37">
        <f t="shared" si="21"/>
        <v>0</v>
      </c>
      <c r="AK13" s="38"/>
      <c r="AL13" s="36">
        <f t="shared" si="22"/>
        <v>0</v>
      </c>
      <c r="AM13" s="37">
        <f t="shared" si="23"/>
        <v>0</v>
      </c>
      <c r="AN13" s="38"/>
      <c r="AO13" s="36">
        <f t="shared" si="24"/>
        <v>0</v>
      </c>
      <c r="AP13" s="37">
        <f t="shared" si="25"/>
        <v>0</v>
      </c>
      <c r="AQ13" s="38">
        <v>20</v>
      </c>
      <c r="AR13" s="36">
        <f t="shared" si="26"/>
        <v>480</v>
      </c>
      <c r="AS13" s="37">
        <f t="shared" si="27"/>
        <v>307.2</v>
      </c>
      <c r="AT13" s="38">
        <v>20</v>
      </c>
      <c r="AU13" s="36">
        <f t="shared" si="28"/>
        <v>240</v>
      </c>
      <c r="AV13" s="37">
        <f t="shared" si="29"/>
        <v>144</v>
      </c>
      <c r="AW13" s="38"/>
      <c r="AX13" s="36">
        <f t="shared" si="30"/>
        <v>0</v>
      </c>
      <c r="AY13" s="37">
        <f t="shared" si="31"/>
        <v>0</v>
      </c>
      <c r="AZ13" s="38">
        <v>150</v>
      </c>
      <c r="BA13" s="36">
        <f t="shared" si="32"/>
        <v>3600</v>
      </c>
      <c r="BB13" s="37">
        <f t="shared" si="33"/>
        <v>2304</v>
      </c>
      <c r="BC13" s="38"/>
      <c r="BD13" s="36">
        <f t="shared" si="34"/>
        <v>0</v>
      </c>
      <c r="BE13" s="37">
        <f t="shared" si="35"/>
        <v>0</v>
      </c>
      <c r="BF13" s="38"/>
      <c r="BG13" s="36">
        <f t="shared" si="36"/>
        <v>0</v>
      </c>
      <c r="BH13" s="37">
        <f t="shared" si="37"/>
        <v>0</v>
      </c>
      <c r="BI13" s="38"/>
      <c r="BJ13" s="36">
        <f t="shared" si="38"/>
        <v>0</v>
      </c>
      <c r="BK13" s="37">
        <f t="shared" si="39"/>
        <v>0</v>
      </c>
      <c r="BL13" s="38"/>
      <c r="BM13" s="36">
        <f t="shared" si="40"/>
        <v>0</v>
      </c>
      <c r="BN13" s="37">
        <f t="shared" si="41"/>
        <v>0</v>
      </c>
      <c r="BO13" s="38"/>
      <c r="BP13" s="36">
        <f t="shared" si="42"/>
        <v>0</v>
      </c>
      <c r="BQ13" s="37">
        <f t="shared" si="43"/>
        <v>0</v>
      </c>
      <c r="BR13" s="38"/>
      <c r="BS13" s="36">
        <f t="shared" si="44"/>
        <v>0</v>
      </c>
      <c r="BT13" s="37">
        <f t="shared" si="45"/>
        <v>0</v>
      </c>
      <c r="BU13" s="38">
        <v>150</v>
      </c>
      <c r="BV13" s="36">
        <f t="shared" si="46"/>
        <v>2100</v>
      </c>
      <c r="BW13" s="37">
        <f t="shared" si="47"/>
        <v>1344</v>
      </c>
      <c r="BX13" s="38"/>
      <c r="BY13" s="36">
        <f t="shared" si="48"/>
        <v>0</v>
      </c>
      <c r="BZ13" s="37">
        <f t="shared" si="49"/>
        <v>0</v>
      </c>
      <c r="CA13" s="38"/>
      <c r="CB13" s="36">
        <f t="shared" si="50"/>
        <v>0</v>
      </c>
      <c r="CC13" s="37">
        <f t="shared" si="51"/>
        <v>0</v>
      </c>
      <c r="CD13" s="38"/>
      <c r="CE13" s="36">
        <f t="shared" si="52"/>
        <v>0</v>
      </c>
      <c r="CF13" s="37">
        <f t="shared" si="53"/>
        <v>0</v>
      </c>
      <c r="CG13" s="38"/>
      <c r="CH13" s="36">
        <f t="shared" si="54"/>
        <v>0</v>
      </c>
      <c r="CI13" s="37">
        <f t="shared" si="55"/>
        <v>0</v>
      </c>
      <c r="CJ13" s="38"/>
      <c r="CK13" s="36">
        <f t="shared" si="56"/>
        <v>0</v>
      </c>
      <c r="CL13" s="37">
        <f t="shared" si="57"/>
        <v>0</v>
      </c>
      <c r="CM13" s="38"/>
      <c r="CN13" s="36">
        <f t="shared" si="58"/>
        <v>0</v>
      </c>
      <c r="CO13" s="37">
        <f t="shared" si="59"/>
        <v>0</v>
      </c>
      <c r="CP13" s="38"/>
      <c r="CQ13" s="36">
        <f t="shared" si="60"/>
        <v>0</v>
      </c>
      <c r="CR13" s="37">
        <f t="shared" si="61"/>
        <v>0</v>
      </c>
      <c r="CS13" s="38"/>
      <c r="CT13" s="36">
        <f t="shared" si="62"/>
        <v>0</v>
      </c>
      <c r="CU13" s="37">
        <f t="shared" si="63"/>
        <v>0</v>
      </c>
      <c r="CV13" s="38"/>
      <c r="CW13" s="36">
        <f t="shared" si="64"/>
        <v>0</v>
      </c>
      <c r="CX13" s="37">
        <f t="shared" si="65"/>
        <v>0</v>
      </c>
      <c r="CY13" s="38">
        <v>250</v>
      </c>
      <c r="CZ13" s="36">
        <f t="shared" si="66"/>
        <v>3000</v>
      </c>
      <c r="DA13" s="37">
        <f t="shared" si="67"/>
        <v>3000</v>
      </c>
      <c r="DB13" s="38"/>
      <c r="DC13" s="36">
        <f t="shared" si="68"/>
        <v>0</v>
      </c>
      <c r="DD13" s="37">
        <f t="shared" si="69"/>
        <v>0</v>
      </c>
      <c r="DE13" s="38"/>
      <c r="DF13" s="36">
        <f t="shared" si="70"/>
        <v>0</v>
      </c>
      <c r="DG13" s="37">
        <f t="shared" si="71"/>
        <v>0</v>
      </c>
      <c r="DH13" s="38"/>
      <c r="DI13" s="36">
        <f t="shared" si="72"/>
        <v>0</v>
      </c>
      <c r="DJ13" s="37">
        <f t="shared" si="73"/>
        <v>0</v>
      </c>
      <c r="DK13" s="38"/>
      <c r="DL13" s="36">
        <f t="shared" si="74"/>
        <v>0</v>
      </c>
      <c r="DM13" s="37">
        <f t="shared" si="75"/>
        <v>0</v>
      </c>
      <c r="DN13" s="38"/>
      <c r="DO13" s="36">
        <f t="shared" si="76"/>
        <v>0</v>
      </c>
      <c r="DP13" s="37">
        <f t="shared" si="77"/>
        <v>0</v>
      </c>
      <c r="DQ13" s="38"/>
      <c r="DR13" s="38"/>
      <c r="DS13" s="38"/>
      <c r="DT13" s="33">
        <f t="shared" si="78"/>
        <v>1340</v>
      </c>
      <c r="DU13" s="33">
        <f t="shared" si="78"/>
        <v>19920</v>
      </c>
      <c r="DV13" s="33">
        <f t="shared" si="78"/>
        <v>13819.2</v>
      </c>
    </row>
    <row r="14" spans="1:126" s="8" customFormat="1" ht="21.95" customHeight="1" thickBot="1" x14ac:dyDescent="0.65">
      <c r="A14" s="59"/>
      <c r="B14" s="50"/>
      <c r="C14" s="9"/>
      <c r="D14" s="38"/>
      <c r="E14" s="36">
        <f t="shared" si="0"/>
        <v>0</v>
      </c>
      <c r="F14" s="37">
        <f t="shared" si="1"/>
        <v>0</v>
      </c>
      <c r="G14" s="38"/>
      <c r="H14" s="36">
        <f t="shared" si="2"/>
        <v>0</v>
      </c>
      <c r="I14" s="37">
        <f t="shared" si="3"/>
        <v>0</v>
      </c>
      <c r="J14" s="38"/>
      <c r="K14" s="36">
        <f t="shared" si="4"/>
        <v>0</v>
      </c>
      <c r="L14" s="37">
        <f t="shared" si="5"/>
        <v>0</v>
      </c>
      <c r="M14" s="38"/>
      <c r="N14" s="36">
        <f t="shared" si="6"/>
        <v>0</v>
      </c>
      <c r="O14" s="37">
        <f t="shared" si="7"/>
        <v>0</v>
      </c>
      <c r="P14" s="38"/>
      <c r="Q14" s="36">
        <f t="shared" si="8"/>
        <v>0</v>
      </c>
      <c r="R14" s="37">
        <f t="shared" si="9"/>
        <v>0</v>
      </c>
      <c r="S14" s="38"/>
      <c r="T14" s="36">
        <f t="shared" si="10"/>
        <v>0</v>
      </c>
      <c r="U14" s="37">
        <f t="shared" si="11"/>
        <v>0</v>
      </c>
      <c r="V14" s="38"/>
      <c r="W14" s="36">
        <f t="shared" si="12"/>
        <v>0</v>
      </c>
      <c r="X14" s="37">
        <f t="shared" si="13"/>
        <v>0</v>
      </c>
      <c r="Y14" s="38"/>
      <c r="Z14" s="36">
        <f t="shared" si="14"/>
        <v>0</v>
      </c>
      <c r="AA14" s="37">
        <f t="shared" si="15"/>
        <v>0</v>
      </c>
      <c r="AB14" s="38"/>
      <c r="AC14" s="36">
        <f t="shared" si="16"/>
        <v>0</v>
      </c>
      <c r="AD14" s="37">
        <f t="shared" si="17"/>
        <v>0</v>
      </c>
      <c r="AE14" s="38"/>
      <c r="AF14" s="36">
        <f t="shared" si="18"/>
        <v>0</v>
      </c>
      <c r="AG14" s="37">
        <f t="shared" si="19"/>
        <v>0</v>
      </c>
      <c r="AH14" s="38"/>
      <c r="AI14" s="36">
        <f t="shared" si="20"/>
        <v>0</v>
      </c>
      <c r="AJ14" s="37">
        <f t="shared" si="21"/>
        <v>0</v>
      </c>
      <c r="AK14" s="38"/>
      <c r="AL14" s="36">
        <f t="shared" si="22"/>
        <v>0</v>
      </c>
      <c r="AM14" s="37">
        <f t="shared" si="23"/>
        <v>0</v>
      </c>
      <c r="AN14" s="38"/>
      <c r="AO14" s="36">
        <f t="shared" si="24"/>
        <v>0</v>
      </c>
      <c r="AP14" s="37">
        <f t="shared" si="25"/>
        <v>0</v>
      </c>
      <c r="AQ14" s="38"/>
      <c r="AR14" s="36">
        <f t="shared" si="26"/>
        <v>0</v>
      </c>
      <c r="AS14" s="37">
        <f t="shared" si="27"/>
        <v>0</v>
      </c>
      <c r="AT14" s="38"/>
      <c r="AU14" s="36">
        <f t="shared" si="28"/>
        <v>0</v>
      </c>
      <c r="AV14" s="37">
        <f t="shared" si="29"/>
        <v>0</v>
      </c>
      <c r="AW14" s="38"/>
      <c r="AX14" s="36">
        <f t="shared" si="30"/>
        <v>0</v>
      </c>
      <c r="AY14" s="37">
        <f t="shared" si="31"/>
        <v>0</v>
      </c>
      <c r="AZ14" s="38"/>
      <c r="BA14" s="36">
        <f t="shared" si="32"/>
        <v>0</v>
      </c>
      <c r="BB14" s="37">
        <f t="shared" si="33"/>
        <v>0</v>
      </c>
      <c r="BC14" s="38"/>
      <c r="BD14" s="36">
        <f t="shared" si="34"/>
        <v>0</v>
      </c>
      <c r="BE14" s="37">
        <f t="shared" si="35"/>
        <v>0</v>
      </c>
      <c r="BF14" s="38"/>
      <c r="BG14" s="36">
        <f t="shared" si="36"/>
        <v>0</v>
      </c>
      <c r="BH14" s="37">
        <f t="shared" si="37"/>
        <v>0</v>
      </c>
      <c r="BI14" s="38"/>
      <c r="BJ14" s="36">
        <f t="shared" si="38"/>
        <v>0</v>
      </c>
      <c r="BK14" s="37">
        <f t="shared" si="39"/>
        <v>0</v>
      </c>
      <c r="BL14" s="38"/>
      <c r="BM14" s="36">
        <f t="shared" si="40"/>
        <v>0</v>
      </c>
      <c r="BN14" s="37">
        <f t="shared" si="41"/>
        <v>0</v>
      </c>
      <c r="BO14" s="38"/>
      <c r="BP14" s="36">
        <f t="shared" si="42"/>
        <v>0</v>
      </c>
      <c r="BQ14" s="37">
        <f t="shared" si="43"/>
        <v>0</v>
      </c>
      <c r="BR14" s="38"/>
      <c r="BS14" s="36">
        <f t="shared" si="44"/>
        <v>0</v>
      </c>
      <c r="BT14" s="37">
        <f t="shared" si="45"/>
        <v>0</v>
      </c>
      <c r="BU14" s="38"/>
      <c r="BV14" s="36">
        <f t="shared" si="46"/>
        <v>0</v>
      </c>
      <c r="BW14" s="37">
        <f t="shared" si="47"/>
        <v>0</v>
      </c>
      <c r="BX14" s="38"/>
      <c r="BY14" s="36">
        <f t="shared" si="48"/>
        <v>0</v>
      </c>
      <c r="BZ14" s="37">
        <f t="shared" si="49"/>
        <v>0</v>
      </c>
      <c r="CA14" s="38"/>
      <c r="CB14" s="36">
        <f t="shared" si="50"/>
        <v>0</v>
      </c>
      <c r="CC14" s="37">
        <f t="shared" si="51"/>
        <v>0</v>
      </c>
      <c r="CD14" s="38"/>
      <c r="CE14" s="36">
        <f t="shared" si="52"/>
        <v>0</v>
      </c>
      <c r="CF14" s="37">
        <f t="shared" si="53"/>
        <v>0</v>
      </c>
      <c r="CG14" s="38"/>
      <c r="CH14" s="36">
        <f t="shared" si="54"/>
        <v>0</v>
      </c>
      <c r="CI14" s="37">
        <f t="shared" si="55"/>
        <v>0</v>
      </c>
      <c r="CJ14" s="38"/>
      <c r="CK14" s="36">
        <f t="shared" si="56"/>
        <v>0</v>
      </c>
      <c r="CL14" s="37">
        <f t="shared" si="57"/>
        <v>0</v>
      </c>
      <c r="CM14" s="38"/>
      <c r="CN14" s="36">
        <f t="shared" si="58"/>
        <v>0</v>
      </c>
      <c r="CO14" s="37">
        <f t="shared" si="59"/>
        <v>0</v>
      </c>
      <c r="CP14" s="38"/>
      <c r="CQ14" s="36">
        <f t="shared" si="60"/>
        <v>0</v>
      </c>
      <c r="CR14" s="37">
        <f t="shared" si="61"/>
        <v>0</v>
      </c>
      <c r="CS14" s="38"/>
      <c r="CT14" s="36">
        <f t="shared" si="62"/>
        <v>0</v>
      </c>
      <c r="CU14" s="37">
        <f t="shared" si="63"/>
        <v>0</v>
      </c>
      <c r="CV14" s="38"/>
      <c r="CW14" s="36">
        <f t="shared" si="64"/>
        <v>0</v>
      </c>
      <c r="CX14" s="37">
        <f t="shared" si="65"/>
        <v>0</v>
      </c>
      <c r="CY14" s="38"/>
      <c r="CZ14" s="36">
        <f t="shared" si="66"/>
        <v>0</v>
      </c>
      <c r="DA14" s="37">
        <f t="shared" si="67"/>
        <v>0</v>
      </c>
      <c r="DB14" s="38"/>
      <c r="DC14" s="36">
        <f t="shared" si="68"/>
        <v>0</v>
      </c>
      <c r="DD14" s="37">
        <f t="shared" si="69"/>
        <v>0</v>
      </c>
      <c r="DE14" s="38"/>
      <c r="DF14" s="36">
        <f t="shared" si="70"/>
        <v>0</v>
      </c>
      <c r="DG14" s="37">
        <f t="shared" si="71"/>
        <v>0</v>
      </c>
      <c r="DH14" s="38"/>
      <c r="DI14" s="36">
        <f t="shared" si="72"/>
        <v>0</v>
      </c>
      <c r="DJ14" s="37">
        <f t="shared" si="73"/>
        <v>0</v>
      </c>
      <c r="DK14" s="38"/>
      <c r="DL14" s="36">
        <f t="shared" si="74"/>
        <v>0</v>
      </c>
      <c r="DM14" s="37">
        <f t="shared" si="75"/>
        <v>0</v>
      </c>
      <c r="DN14" s="38"/>
      <c r="DO14" s="36">
        <f t="shared" si="76"/>
        <v>0</v>
      </c>
      <c r="DP14" s="37">
        <f t="shared" si="77"/>
        <v>0</v>
      </c>
      <c r="DQ14" s="38"/>
      <c r="DR14" s="38"/>
      <c r="DS14" s="38"/>
      <c r="DT14" s="33">
        <f t="shared" si="78"/>
        <v>0</v>
      </c>
      <c r="DU14" s="33">
        <f t="shared" si="78"/>
        <v>0</v>
      </c>
      <c r="DV14" s="33">
        <f t="shared" si="78"/>
        <v>0</v>
      </c>
    </row>
    <row r="15" spans="1:126" s="8" customFormat="1" ht="21.95" customHeight="1" thickBot="1" x14ac:dyDescent="0.65">
      <c r="A15" s="18"/>
      <c r="B15" s="51"/>
      <c r="C15" s="19"/>
      <c r="D15" s="39">
        <f t="shared" ref="D15:AI15" si="79">SUM(D5:D14)</f>
        <v>5519</v>
      </c>
      <c r="E15" s="39">
        <f t="shared" si="79"/>
        <v>77266</v>
      </c>
      <c r="F15" s="40">
        <f t="shared" si="79"/>
        <v>49450.239999999998</v>
      </c>
      <c r="G15" s="39">
        <f t="shared" si="79"/>
        <v>111</v>
      </c>
      <c r="H15" s="39">
        <f t="shared" si="79"/>
        <v>1332</v>
      </c>
      <c r="I15" s="40">
        <f t="shared" si="79"/>
        <v>1332</v>
      </c>
      <c r="J15" s="39">
        <f t="shared" si="79"/>
        <v>2157</v>
      </c>
      <c r="K15" s="39">
        <f t="shared" si="79"/>
        <v>30198</v>
      </c>
      <c r="L15" s="40">
        <f t="shared" si="79"/>
        <v>19326.72</v>
      </c>
      <c r="M15" s="39">
        <f t="shared" si="79"/>
        <v>80</v>
      </c>
      <c r="N15" s="39">
        <f t="shared" si="79"/>
        <v>960</v>
      </c>
      <c r="O15" s="40">
        <f t="shared" si="79"/>
        <v>672</v>
      </c>
      <c r="P15" s="39">
        <f t="shared" si="79"/>
        <v>350</v>
      </c>
      <c r="Q15" s="39">
        <f t="shared" si="79"/>
        <v>4900</v>
      </c>
      <c r="R15" s="40">
        <f t="shared" si="79"/>
        <v>3136</v>
      </c>
      <c r="S15" s="39">
        <f t="shared" si="79"/>
        <v>10</v>
      </c>
      <c r="T15" s="39">
        <f t="shared" si="79"/>
        <v>120</v>
      </c>
      <c r="U15" s="40">
        <f t="shared" si="79"/>
        <v>84</v>
      </c>
      <c r="V15" s="39">
        <f t="shared" si="79"/>
        <v>0</v>
      </c>
      <c r="W15" s="39">
        <f t="shared" si="79"/>
        <v>0</v>
      </c>
      <c r="X15" s="40">
        <f t="shared" si="79"/>
        <v>0</v>
      </c>
      <c r="Y15" s="39">
        <f t="shared" si="79"/>
        <v>0</v>
      </c>
      <c r="Z15" s="39">
        <f t="shared" si="79"/>
        <v>0</v>
      </c>
      <c r="AA15" s="40">
        <f t="shared" si="79"/>
        <v>0</v>
      </c>
      <c r="AB15" s="39">
        <f t="shared" si="79"/>
        <v>0</v>
      </c>
      <c r="AC15" s="39">
        <f t="shared" si="79"/>
        <v>0</v>
      </c>
      <c r="AD15" s="40">
        <f t="shared" si="79"/>
        <v>0</v>
      </c>
      <c r="AE15" s="39">
        <f t="shared" si="79"/>
        <v>1047</v>
      </c>
      <c r="AF15" s="39">
        <f t="shared" si="79"/>
        <v>14658</v>
      </c>
      <c r="AG15" s="40">
        <f t="shared" si="79"/>
        <v>9381.119999999999</v>
      </c>
      <c r="AH15" s="39">
        <f t="shared" si="79"/>
        <v>1433.5</v>
      </c>
      <c r="AI15" s="39">
        <f t="shared" si="79"/>
        <v>17202</v>
      </c>
      <c r="AJ15" s="40">
        <f t="shared" ref="AJ15:BO15" si="80">SUM(AJ5:AJ14)</f>
        <v>17202</v>
      </c>
      <c r="AK15" s="39">
        <f t="shared" si="80"/>
        <v>0</v>
      </c>
      <c r="AL15" s="39">
        <f t="shared" si="80"/>
        <v>0</v>
      </c>
      <c r="AM15" s="40">
        <f t="shared" si="80"/>
        <v>0</v>
      </c>
      <c r="AN15" s="39">
        <f t="shared" si="80"/>
        <v>46</v>
      </c>
      <c r="AO15" s="39">
        <f t="shared" si="80"/>
        <v>552</v>
      </c>
      <c r="AP15" s="40">
        <f t="shared" si="80"/>
        <v>331.2</v>
      </c>
      <c r="AQ15" s="39">
        <f t="shared" si="80"/>
        <v>195</v>
      </c>
      <c r="AR15" s="39">
        <f t="shared" si="80"/>
        <v>4680</v>
      </c>
      <c r="AS15" s="40">
        <f t="shared" si="80"/>
        <v>2995.2000000000003</v>
      </c>
      <c r="AT15" s="39">
        <f t="shared" si="80"/>
        <v>75</v>
      </c>
      <c r="AU15" s="39">
        <f t="shared" si="80"/>
        <v>900</v>
      </c>
      <c r="AV15" s="40">
        <f t="shared" si="80"/>
        <v>540</v>
      </c>
      <c r="AW15" s="39">
        <f t="shared" si="80"/>
        <v>36</v>
      </c>
      <c r="AX15" s="39">
        <f t="shared" si="80"/>
        <v>504</v>
      </c>
      <c r="AY15" s="40">
        <f t="shared" si="80"/>
        <v>322.56</v>
      </c>
      <c r="AZ15" s="39">
        <f t="shared" si="80"/>
        <v>234</v>
      </c>
      <c r="BA15" s="39">
        <f t="shared" si="80"/>
        <v>5616</v>
      </c>
      <c r="BB15" s="40">
        <f t="shared" si="80"/>
        <v>3594.24</v>
      </c>
      <c r="BC15" s="39">
        <f t="shared" si="80"/>
        <v>1100</v>
      </c>
      <c r="BD15" s="39">
        <f t="shared" si="80"/>
        <v>15400</v>
      </c>
      <c r="BE15" s="40">
        <f t="shared" si="80"/>
        <v>9856</v>
      </c>
      <c r="BF15" s="39">
        <f t="shared" si="80"/>
        <v>3983</v>
      </c>
      <c r="BG15" s="39">
        <f t="shared" si="80"/>
        <v>55762</v>
      </c>
      <c r="BH15" s="40">
        <f t="shared" si="80"/>
        <v>35687.680000000008</v>
      </c>
      <c r="BI15" s="39">
        <f t="shared" si="80"/>
        <v>917</v>
      </c>
      <c r="BJ15" s="39">
        <f t="shared" si="80"/>
        <v>22008</v>
      </c>
      <c r="BK15" s="40">
        <f t="shared" si="80"/>
        <v>14085.119999999999</v>
      </c>
      <c r="BL15" s="39">
        <f t="shared" si="80"/>
        <v>0</v>
      </c>
      <c r="BM15" s="39">
        <f t="shared" si="80"/>
        <v>0</v>
      </c>
      <c r="BN15" s="40">
        <f t="shared" si="80"/>
        <v>0</v>
      </c>
      <c r="BO15" s="39">
        <f t="shared" si="80"/>
        <v>0</v>
      </c>
      <c r="BP15" s="39">
        <f t="shared" ref="BP15:CU15" si="81">SUM(BP5:BP14)</f>
        <v>0</v>
      </c>
      <c r="BQ15" s="40">
        <f t="shared" si="81"/>
        <v>0</v>
      </c>
      <c r="BR15" s="39">
        <f t="shared" si="81"/>
        <v>30</v>
      </c>
      <c r="BS15" s="39">
        <f t="shared" si="81"/>
        <v>720</v>
      </c>
      <c r="BT15" s="40">
        <f t="shared" si="81"/>
        <v>460.8</v>
      </c>
      <c r="BU15" s="39">
        <f t="shared" si="81"/>
        <v>1525</v>
      </c>
      <c r="BV15" s="39">
        <f t="shared" si="81"/>
        <v>21350</v>
      </c>
      <c r="BW15" s="40">
        <f t="shared" si="81"/>
        <v>13664</v>
      </c>
      <c r="BX15" s="39">
        <f t="shared" si="81"/>
        <v>0</v>
      </c>
      <c r="BY15" s="39">
        <f t="shared" si="81"/>
        <v>0</v>
      </c>
      <c r="BZ15" s="40">
        <f t="shared" si="81"/>
        <v>0</v>
      </c>
      <c r="CA15" s="39">
        <f t="shared" si="81"/>
        <v>0</v>
      </c>
      <c r="CB15" s="39">
        <f t="shared" si="81"/>
        <v>0</v>
      </c>
      <c r="CC15" s="40">
        <f t="shared" si="81"/>
        <v>0</v>
      </c>
      <c r="CD15" s="39">
        <f t="shared" si="81"/>
        <v>0</v>
      </c>
      <c r="CE15" s="39">
        <f t="shared" si="81"/>
        <v>0</v>
      </c>
      <c r="CF15" s="40">
        <f t="shared" si="81"/>
        <v>0</v>
      </c>
      <c r="CG15" s="39">
        <f t="shared" si="81"/>
        <v>235</v>
      </c>
      <c r="CH15" s="39">
        <f t="shared" si="81"/>
        <v>2820</v>
      </c>
      <c r="CI15" s="40">
        <f t="shared" si="81"/>
        <v>1974</v>
      </c>
      <c r="CJ15" s="39">
        <f t="shared" si="81"/>
        <v>25</v>
      </c>
      <c r="CK15" s="39">
        <f t="shared" si="81"/>
        <v>350</v>
      </c>
      <c r="CL15" s="40">
        <f t="shared" si="81"/>
        <v>224</v>
      </c>
      <c r="CM15" s="39">
        <f t="shared" si="81"/>
        <v>0</v>
      </c>
      <c r="CN15" s="39">
        <f t="shared" si="81"/>
        <v>0</v>
      </c>
      <c r="CO15" s="40">
        <f t="shared" si="81"/>
        <v>0</v>
      </c>
      <c r="CP15" s="39">
        <f t="shared" si="81"/>
        <v>0</v>
      </c>
      <c r="CQ15" s="39">
        <f t="shared" si="81"/>
        <v>0</v>
      </c>
      <c r="CR15" s="40">
        <f t="shared" si="81"/>
        <v>0</v>
      </c>
      <c r="CS15" s="39">
        <f t="shared" si="81"/>
        <v>712</v>
      </c>
      <c r="CT15" s="39">
        <f t="shared" si="81"/>
        <v>17088</v>
      </c>
      <c r="CU15" s="40">
        <f t="shared" si="81"/>
        <v>10252.799999999999</v>
      </c>
      <c r="CV15" s="39">
        <f t="shared" ref="CV15:DV15" si="82">SUM(CV5:CV14)</f>
        <v>20</v>
      </c>
      <c r="CW15" s="39">
        <f t="shared" si="82"/>
        <v>480</v>
      </c>
      <c r="CX15" s="40">
        <f t="shared" si="82"/>
        <v>288</v>
      </c>
      <c r="CY15" s="39">
        <f t="shared" si="82"/>
        <v>655.5</v>
      </c>
      <c r="CZ15" s="39">
        <f t="shared" si="82"/>
        <v>7866</v>
      </c>
      <c r="DA15" s="40">
        <f t="shared" si="82"/>
        <v>7866</v>
      </c>
      <c r="DB15" s="39">
        <f t="shared" si="82"/>
        <v>37</v>
      </c>
      <c r="DC15" s="39">
        <f t="shared" si="82"/>
        <v>444</v>
      </c>
      <c r="DD15" s="40">
        <f t="shared" si="82"/>
        <v>444</v>
      </c>
      <c r="DE15" s="39">
        <f t="shared" si="82"/>
        <v>0</v>
      </c>
      <c r="DF15" s="39">
        <f t="shared" si="82"/>
        <v>0</v>
      </c>
      <c r="DG15" s="40">
        <f t="shared" si="82"/>
        <v>0</v>
      </c>
      <c r="DH15" s="39">
        <f t="shared" si="82"/>
        <v>0</v>
      </c>
      <c r="DI15" s="39">
        <f t="shared" si="82"/>
        <v>0</v>
      </c>
      <c r="DJ15" s="40">
        <f t="shared" si="82"/>
        <v>0</v>
      </c>
      <c r="DK15" s="39">
        <f t="shared" si="82"/>
        <v>0</v>
      </c>
      <c r="DL15" s="39">
        <f t="shared" si="82"/>
        <v>0</v>
      </c>
      <c r="DM15" s="40">
        <f t="shared" si="82"/>
        <v>0</v>
      </c>
      <c r="DN15" s="39">
        <f t="shared" si="82"/>
        <v>0</v>
      </c>
      <c r="DO15" s="39">
        <f t="shared" si="82"/>
        <v>0</v>
      </c>
      <c r="DP15" s="40">
        <f t="shared" si="82"/>
        <v>0</v>
      </c>
      <c r="DQ15" s="39">
        <f t="shared" si="82"/>
        <v>0</v>
      </c>
      <c r="DR15" s="39">
        <f t="shared" si="82"/>
        <v>0</v>
      </c>
      <c r="DS15" s="39">
        <f t="shared" si="82"/>
        <v>0</v>
      </c>
      <c r="DT15" s="39">
        <f t="shared" si="82"/>
        <v>20533</v>
      </c>
      <c r="DU15" s="39">
        <f t="shared" si="82"/>
        <v>303176</v>
      </c>
      <c r="DV15" s="40">
        <f t="shared" si="82"/>
        <v>203169.68000000002</v>
      </c>
    </row>
    <row r="16" spans="1:126" s="8" customFormat="1" ht="21.95" customHeight="1" x14ac:dyDescent="0.6">
      <c r="A16" s="60" t="s">
        <v>7</v>
      </c>
      <c r="B16" s="49" t="s">
        <v>50</v>
      </c>
      <c r="C16" s="53" t="s">
        <v>5</v>
      </c>
      <c r="D16" s="38">
        <v>37</v>
      </c>
      <c r="E16" s="36">
        <f t="shared" si="0"/>
        <v>518</v>
      </c>
      <c r="F16" s="37">
        <f t="shared" si="1"/>
        <v>331.52</v>
      </c>
      <c r="G16" s="38"/>
      <c r="H16" s="36">
        <f t="shared" si="2"/>
        <v>0</v>
      </c>
      <c r="I16" s="37">
        <f t="shared" si="3"/>
        <v>0</v>
      </c>
      <c r="J16" s="38">
        <v>0.2857142857142857</v>
      </c>
      <c r="K16" s="36">
        <f t="shared" si="4"/>
        <v>4</v>
      </c>
      <c r="L16" s="37">
        <f t="shared" si="5"/>
        <v>2.56</v>
      </c>
      <c r="M16" s="38"/>
      <c r="N16" s="36">
        <f t="shared" si="6"/>
        <v>0</v>
      </c>
      <c r="O16" s="37">
        <f t="shared" si="7"/>
        <v>0</v>
      </c>
      <c r="P16" s="38"/>
      <c r="Q16" s="36">
        <f t="shared" si="8"/>
        <v>0</v>
      </c>
      <c r="R16" s="37">
        <f t="shared" si="9"/>
        <v>0</v>
      </c>
      <c r="S16" s="38"/>
      <c r="T16" s="36">
        <f t="shared" si="10"/>
        <v>0</v>
      </c>
      <c r="U16" s="37">
        <f t="shared" si="11"/>
        <v>0</v>
      </c>
      <c r="V16" s="38"/>
      <c r="W16" s="36">
        <f t="shared" si="12"/>
        <v>0</v>
      </c>
      <c r="X16" s="37">
        <f t="shared" si="13"/>
        <v>0</v>
      </c>
      <c r="Y16" s="38"/>
      <c r="Z16" s="36">
        <f t="shared" si="14"/>
        <v>0</v>
      </c>
      <c r="AA16" s="37">
        <f t="shared" si="15"/>
        <v>0</v>
      </c>
      <c r="AB16" s="38"/>
      <c r="AC16" s="36">
        <f t="shared" si="16"/>
        <v>0</v>
      </c>
      <c r="AD16" s="37">
        <f t="shared" si="17"/>
        <v>0</v>
      </c>
      <c r="AE16" s="38"/>
      <c r="AF16" s="36">
        <f t="shared" si="18"/>
        <v>0</v>
      </c>
      <c r="AG16" s="37">
        <f t="shared" si="19"/>
        <v>0</v>
      </c>
      <c r="AH16" s="38">
        <v>102.33333333333333</v>
      </c>
      <c r="AI16" s="36">
        <f t="shared" si="20"/>
        <v>1228</v>
      </c>
      <c r="AJ16" s="37">
        <f t="shared" si="21"/>
        <v>1228</v>
      </c>
      <c r="AK16" s="38"/>
      <c r="AL16" s="36">
        <f t="shared" si="22"/>
        <v>0</v>
      </c>
      <c r="AM16" s="37">
        <f t="shared" si="23"/>
        <v>0</v>
      </c>
      <c r="AN16" s="38"/>
      <c r="AO16" s="36">
        <f t="shared" si="24"/>
        <v>0</v>
      </c>
      <c r="AP16" s="37">
        <f t="shared" si="25"/>
        <v>0</v>
      </c>
      <c r="AQ16" s="38">
        <v>19.791666666666668</v>
      </c>
      <c r="AR16" s="36">
        <f t="shared" si="26"/>
        <v>475</v>
      </c>
      <c r="AS16" s="37">
        <f t="shared" si="27"/>
        <v>304</v>
      </c>
      <c r="AT16" s="38">
        <v>2</v>
      </c>
      <c r="AU16" s="36">
        <f t="shared" si="28"/>
        <v>24</v>
      </c>
      <c r="AV16" s="37">
        <f t="shared" si="29"/>
        <v>14.399999999999999</v>
      </c>
      <c r="AW16" s="38">
        <v>18</v>
      </c>
      <c r="AX16" s="36">
        <f t="shared" si="30"/>
        <v>252</v>
      </c>
      <c r="AY16" s="37">
        <f t="shared" si="31"/>
        <v>161.28</v>
      </c>
      <c r="AZ16" s="38"/>
      <c r="BA16" s="36">
        <f t="shared" si="32"/>
        <v>0</v>
      </c>
      <c r="BB16" s="37">
        <f t="shared" si="33"/>
        <v>0</v>
      </c>
      <c r="BC16" s="38"/>
      <c r="BD16" s="36">
        <f t="shared" si="34"/>
        <v>0</v>
      </c>
      <c r="BE16" s="37">
        <f t="shared" si="35"/>
        <v>0</v>
      </c>
      <c r="BF16" s="38"/>
      <c r="BG16" s="36">
        <f t="shared" si="36"/>
        <v>0</v>
      </c>
      <c r="BH16" s="37">
        <f t="shared" si="37"/>
        <v>0</v>
      </c>
      <c r="BI16" s="38">
        <v>5</v>
      </c>
      <c r="BJ16" s="36">
        <f t="shared" si="38"/>
        <v>120</v>
      </c>
      <c r="BK16" s="37">
        <f t="shared" si="39"/>
        <v>76.8</v>
      </c>
      <c r="BL16" s="38"/>
      <c r="BM16" s="36">
        <f t="shared" si="40"/>
        <v>0</v>
      </c>
      <c r="BN16" s="37">
        <f t="shared" si="41"/>
        <v>0</v>
      </c>
      <c r="BO16" s="38"/>
      <c r="BP16" s="36">
        <f t="shared" si="42"/>
        <v>0</v>
      </c>
      <c r="BQ16" s="37">
        <f t="shared" si="43"/>
        <v>0</v>
      </c>
      <c r="BR16" s="38"/>
      <c r="BS16" s="36">
        <f t="shared" si="44"/>
        <v>0</v>
      </c>
      <c r="BT16" s="37">
        <f t="shared" si="45"/>
        <v>0</v>
      </c>
      <c r="BU16" s="38"/>
      <c r="BV16" s="36">
        <f t="shared" si="46"/>
        <v>0</v>
      </c>
      <c r="BW16" s="37">
        <f t="shared" si="47"/>
        <v>0</v>
      </c>
      <c r="BX16" s="38"/>
      <c r="BY16" s="36">
        <f t="shared" si="48"/>
        <v>0</v>
      </c>
      <c r="BZ16" s="37">
        <f t="shared" si="49"/>
        <v>0</v>
      </c>
      <c r="CA16" s="38"/>
      <c r="CB16" s="36">
        <f t="shared" si="50"/>
        <v>0</v>
      </c>
      <c r="CC16" s="37">
        <f t="shared" si="51"/>
        <v>0</v>
      </c>
      <c r="CD16" s="38"/>
      <c r="CE16" s="36">
        <f t="shared" si="52"/>
        <v>0</v>
      </c>
      <c r="CF16" s="37">
        <f t="shared" si="53"/>
        <v>0</v>
      </c>
      <c r="CG16" s="38"/>
      <c r="CH16" s="36">
        <f t="shared" si="54"/>
        <v>0</v>
      </c>
      <c r="CI16" s="37">
        <f t="shared" si="55"/>
        <v>0</v>
      </c>
      <c r="CJ16" s="38"/>
      <c r="CK16" s="36">
        <f t="shared" si="56"/>
        <v>0</v>
      </c>
      <c r="CL16" s="37">
        <f t="shared" si="57"/>
        <v>0</v>
      </c>
      <c r="CM16" s="38"/>
      <c r="CN16" s="36">
        <f t="shared" si="58"/>
        <v>0</v>
      </c>
      <c r="CO16" s="37">
        <f t="shared" si="59"/>
        <v>0</v>
      </c>
      <c r="CP16" s="38"/>
      <c r="CQ16" s="36">
        <f t="shared" si="60"/>
        <v>0</v>
      </c>
      <c r="CR16" s="37">
        <f t="shared" si="61"/>
        <v>0</v>
      </c>
      <c r="CS16" s="38">
        <v>8</v>
      </c>
      <c r="CT16" s="36">
        <f t="shared" si="62"/>
        <v>192</v>
      </c>
      <c r="CU16" s="37">
        <f t="shared" si="63"/>
        <v>115.19999999999999</v>
      </c>
      <c r="CV16" s="38">
        <v>3</v>
      </c>
      <c r="CW16" s="36">
        <f t="shared" si="64"/>
        <v>72</v>
      </c>
      <c r="CX16" s="37">
        <f t="shared" si="65"/>
        <v>43.199999999999996</v>
      </c>
      <c r="CY16" s="38">
        <v>2</v>
      </c>
      <c r="CZ16" s="36">
        <f t="shared" si="66"/>
        <v>24</v>
      </c>
      <c r="DA16" s="37">
        <f t="shared" si="67"/>
        <v>24</v>
      </c>
      <c r="DB16" s="38"/>
      <c r="DC16" s="36">
        <f t="shared" si="68"/>
        <v>0</v>
      </c>
      <c r="DD16" s="37">
        <f t="shared" si="69"/>
        <v>0</v>
      </c>
      <c r="DE16" s="38"/>
      <c r="DF16" s="36">
        <f t="shared" si="70"/>
        <v>0</v>
      </c>
      <c r="DG16" s="37">
        <f t="shared" si="71"/>
        <v>0</v>
      </c>
      <c r="DH16" s="38"/>
      <c r="DI16" s="36">
        <f t="shared" si="72"/>
        <v>0</v>
      </c>
      <c r="DJ16" s="37">
        <f t="shared" si="73"/>
        <v>0</v>
      </c>
      <c r="DK16" s="38"/>
      <c r="DL16" s="36">
        <f t="shared" si="74"/>
        <v>0</v>
      </c>
      <c r="DM16" s="37">
        <f t="shared" si="75"/>
        <v>0</v>
      </c>
      <c r="DN16" s="38"/>
      <c r="DO16" s="36">
        <f t="shared" si="76"/>
        <v>0</v>
      </c>
      <c r="DP16" s="37">
        <f t="shared" si="77"/>
        <v>0</v>
      </c>
      <c r="DQ16" s="38"/>
      <c r="DR16" s="38"/>
      <c r="DS16" s="38"/>
      <c r="DT16" s="33">
        <f t="shared" ref="DT16:DT22" si="83">D16+G16+J16+M16+P16+S16+V16+Y16+AB16+AE16+AH16+AK16+AN16+AQ16+AT16+AW16+AZ16+BC16+BF16+BI16+BL16+BO16+BR16+BU16+BX16+CA16+CD16+CG16+CJ16+CM16+CP16+CS16+CV16+CY16+DB16+DE16+DH16+DK16+DN16</f>
        <v>197.41071428571428</v>
      </c>
      <c r="DU16" s="33">
        <f t="shared" ref="DU16:DU22" si="84">E16+H16+K16+N16+Q16+T16+W16+Z16+AC16+AF16+AI16+AL16+AO16+AR16+AU16+AX16+BA16+BD16+BG16+BJ16+BM16+BP16+BS16+BV16+BY16+CB16+CE16+CH16+CK16+CN16+CQ16+CT16+CW16+CZ16+DC16+DF16+DI16+DL16+DO16</f>
        <v>2909</v>
      </c>
      <c r="DV16" s="33">
        <f t="shared" ref="DV16:DV22" si="85">F16+I16+L16+O16+R16+U16+X16+AA16+AD16+AG16+AJ16+AM16+AP16+AS16+AV16+AY16+BB16+BE16+BH16+BK16+BN16+BQ16+BT16+BW16+BZ16+CC16+CF16+CI16+CL16+CO16+CR16+CU16+CX16+DA16+DD16+DG16+DJ16+DM16+DP16</f>
        <v>2300.9599999999996</v>
      </c>
    </row>
    <row r="17" spans="1:126" s="8" customFormat="1" ht="21.95" customHeight="1" x14ac:dyDescent="0.6">
      <c r="A17" s="59"/>
      <c r="B17" s="49" t="s">
        <v>51</v>
      </c>
      <c r="C17" s="54"/>
      <c r="D17" s="38"/>
      <c r="E17" s="36">
        <f t="shared" si="0"/>
        <v>0</v>
      </c>
      <c r="F17" s="37">
        <f t="shared" si="1"/>
        <v>0</v>
      </c>
      <c r="G17" s="38"/>
      <c r="H17" s="36">
        <f t="shared" si="2"/>
        <v>0</v>
      </c>
      <c r="I17" s="37">
        <f t="shared" si="3"/>
        <v>0</v>
      </c>
      <c r="J17" s="38">
        <v>15</v>
      </c>
      <c r="K17" s="36">
        <f t="shared" si="4"/>
        <v>210</v>
      </c>
      <c r="L17" s="37">
        <f t="shared" si="5"/>
        <v>134.4</v>
      </c>
      <c r="M17" s="38"/>
      <c r="N17" s="36">
        <f t="shared" si="6"/>
        <v>0</v>
      </c>
      <c r="O17" s="37">
        <f t="shared" si="7"/>
        <v>0</v>
      </c>
      <c r="P17" s="38"/>
      <c r="Q17" s="36">
        <f t="shared" si="8"/>
        <v>0</v>
      </c>
      <c r="R17" s="37">
        <f t="shared" si="9"/>
        <v>0</v>
      </c>
      <c r="S17" s="38"/>
      <c r="T17" s="36">
        <f t="shared" si="10"/>
        <v>0</v>
      </c>
      <c r="U17" s="37">
        <f t="shared" si="11"/>
        <v>0</v>
      </c>
      <c r="V17" s="38"/>
      <c r="W17" s="36">
        <f t="shared" si="12"/>
        <v>0</v>
      </c>
      <c r="X17" s="37">
        <f t="shared" si="13"/>
        <v>0</v>
      </c>
      <c r="Y17" s="38"/>
      <c r="Z17" s="36">
        <f t="shared" si="14"/>
        <v>0</v>
      </c>
      <c r="AA17" s="37">
        <f t="shared" si="15"/>
        <v>0</v>
      </c>
      <c r="AB17" s="38"/>
      <c r="AC17" s="36">
        <f t="shared" si="16"/>
        <v>0</v>
      </c>
      <c r="AD17" s="37">
        <f t="shared" si="17"/>
        <v>0</v>
      </c>
      <c r="AE17" s="38"/>
      <c r="AF17" s="36">
        <f t="shared" si="18"/>
        <v>0</v>
      </c>
      <c r="AG17" s="37">
        <f t="shared" si="19"/>
        <v>0</v>
      </c>
      <c r="AH17" s="38">
        <v>54</v>
      </c>
      <c r="AI17" s="36">
        <f t="shared" si="20"/>
        <v>648</v>
      </c>
      <c r="AJ17" s="37">
        <f t="shared" si="21"/>
        <v>648</v>
      </c>
      <c r="AK17" s="38"/>
      <c r="AL17" s="36">
        <f t="shared" si="22"/>
        <v>0</v>
      </c>
      <c r="AM17" s="37">
        <f t="shared" si="23"/>
        <v>0</v>
      </c>
      <c r="AN17" s="38">
        <v>3</v>
      </c>
      <c r="AO17" s="36">
        <f t="shared" si="24"/>
        <v>36</v>
      </c>
      <c r="AP17" s="37">
        <f t="shared" si="25"/>
        <v>21.599999999999998</v>
      </c>
      <c r="AQ17" s="38">
        <v>96</v>
      </c>
      <c r="AR17" s="36">
        <f t="shared" si="26"/>
        <v>2304</v>
      </c>
      <c r="AS17" s="37">
        <f t="shared" si="27"/>
        <v>1474.56</v>
      </c>
      <c r="AT17" s="38">
        <v>10</v>
      </c>
      <c r="AU17" s="36">
        <f t="shared" si="28"/>
        <v>120</v>
      </c>
      <c r="AV17" s="37">
        <f t="shared" si="29"/>
        <v>72</v>
      </c>
      <c r="AW17" s="38">
        <v>245</v>
      </c>
      <c r="AX17" s="36">
        <f t="shared" si="30"/>
        <v>3430</v>
      </c>
      <c r="AY17" s="37">
        <f t="shared" si="31"/>
        <v>2195.2000000000003</v>
      </c>
      <c r="AZ17" s="38"/>
      <c r="BA17" s="36">
        <f t="shared" si="32"/>
        <v>0</v>
      </c>
      <c r="BB17" s="37">
        <f t="shared" si="33"/>
        <v>0</v>
      </c>
      <c r="BC17" s="38"/>
      <c r="BD17" s="36">
        <f t="shared" si="34"/>
        <v>0</v>
      </c>
      <c r="BE17" s="37">
        <f t="shared" si="35"/>
        <v>0</v>
      </c>
      <c r="BF17" s="38">
        <v>5</v>
      </c>
      <c r="BG17" s="36">
        <f t="shared" si="36"/>
        <v>70</v>
      </c>
      <c r="BH17" s="37">
        <f t="shared" si="37"/>
        <v>44.800000000000004</v>
      </c>
      <c r="BI17" s="38">
        <v>58</v>
      </c>
      <c r="BJ17" s="36">
        <f t="shared" si="38"/>
        <v>1392</v>
      </c>
      <c r="BK17" s="37">
        <f t="shared" si="39"/>
        <v>890.88</v>
      </c>
      <c r="BL17" s="38"/>
      <c r="BM17" s="36">
        <f t="shared" si="40"/>
        <v>0</v>
      </c>
      <c r="BN17" s="37">
        <f t="shared" si="41"/>
        <v>0</v>
      </c>
      <c r="BO17" s="38"/>
      <c r="BP17" s="36">
        <f t="shared" si="42"/>
        <v>0</v>
      </c>
      <c r="BQ17" s="37">
        <f t="shared" si="43"/>
        <v>0</v>
      </c>
      <c r="BR17" s="38"/>
      <c r="BS17" s="36">
        <f t="shared" si="44"/>
        <v>0</v>
      </c>
      <c r="BT17" s="37">
        <f t="shared" si="45"/>
        <v>0</v>
      </c>
      <c r="BU17" s="38">
        <v>22</v>
      </c>
      <c r="BV17" s="36">
        <f t="shared" si="46"/>
        <v>308</v>
      </c>
      <c r="BW17" s="37">
        <f t="shared" si="47"/>
        <v>197.12</v>
      </c>
      <c r="BX17" s="38"/>
      <c r="BY17" s="36">
        <f t="shared" si="48"/>
        <v>0</v>
      </c>
      <c r="BZ17" s="37">
        <f t="shared" si="49"/>
        <v>0</v>
      </c>
      <c r="CA17" s="38"/>
      <c r="CB17" s="36">
        <f t="shared" si="50"/>
        <v>0</v>
      </c>
      <c r="CC17" s="37">
        <f t="shared" si="51"/>
        <v>0</v>
      </c>
      <c r="CD17" s="38"/>
      <c r="CE17" s="36">
        <f t="shared" si="52"/>
        <v>0</v>
      </c>
      <c r="CF17" s="37">
        <f t="shared" si="53"/>
        <v>0</v>
      </c>
      <c r="CG17" s="38"/>
      <c r="CH17" s="36">
        <f t="shared" si="54"/>
        <v>0</v>
      </c>
      <c r="CI17" s="37">
        <f t="shared" si="55"/>
        <v>0</v>
      </c>
      <c r="CJ17" s="38"/>
      <c r="CK17" s="36">
        <f t="shared" si="56"/>
        <v>0</v>
      </c>
      <c r="CL17" s="37">
        <f t="shared" si="57"/>
        <v>0</v>
      </c>
      <c r="CM17" s="38"/>
      <c r="CN17" s="36">
        <f t="shared" si="58"/>
        <v>0</v>
      </c>
      <c r="CO17" s="37">
        <f t="shared" si="59"/>
        <v>0</v>
      </c>
      <c r="CP17" s="38"/>
      <c r="CQ17" s="36">
        <f t="shared" si="60"/>
        <v>0</v>
      </c>
      <c r="CR17" s="37">
        <f t="shared" si="61"/>
        <v>0</v>
      </c>
      <c r="CS17" s="38">
        <v>6</v>
      </c>
      <c r="CT17" s="36">
        <f t="shared" si="62"/>
        <v>144</v>
      </c>
      <c r="CU17" s="37">
        <f t="shared" si="63"/>
        <v>86.399999999999991</v>
      </c>
      <c r="CV17" s="38"/>
      <c r="CW17" s="36">
        <f t="shared" si="64"/>
        <v>0</v>
      </c>
      <c r="CX17" s="37">
        <f t="shared" si="65"/>
        <v>0</v>
      </c>
      <c r="CY17" s="38">
        <v>38</v>
      </c>
      <c r="CZ17" s="36">
        <f t="shared" si="66"/>
        <v>456</v>
      </c>
      <c r="DA17" s="37">
        <f t="shared" si="67"/>
        <v>456</v>
      </c>
      <c r="DB17" s="38"/>
      <c r="DC17" s="36">
        <f t="shared" si="68"/>
        <v>0</v>
      </c>
      <c r="DD17" s="37">
        <f t="shared" si="69"/>
        <v>0</v>
      </c>
      <c r="DE17" s="38"/>
      <c r="DF17" s="36">
        <f t="shared" si="70"/>
        <v>0</v>
      </c>
      <c r="DG17" s="37">
        <f t="shared" si="71"/>
        <v>0</v>
      </c>
      <c r="DH17" s="38"/>
      <c r="DI17" s="36">
        <f t="shared" si="72"/>
        <v>0</v>
      </c>
      <c r="DJ17" s="37">
        <f t="shared" si="73"/>
        <v>0</v>
      </c>
      <c r="DK17" s="38"/>
      <c r="DL17" s="36">
        <f t="shared" si="74"/>
        <v>0</v>
      </c>
      <c r="DM17" s="37">
        <f t="shared" si="75"/>
        <v>0</v>
      </c>
      <c r="DN17" s="38"/>
      <c r="DO17" s="36">
        <f t="shared" si="76"/>
        <v>0</v>
      </c>
      <c r="DP17" s="37">
        <f t="shared" si="77"/>
        <v>0</v>
      </c>
      <c r="DQ17" s="38"/>
      <c r="DR17" s="38"/>
      <c r="DS17" s="38"/>
      <c r="DT17" s="33">
        <f t="shared" si="83"/>
        <v>552</v>
      </c>
      <c r="DU17" s="33">
        <f t="shared" si="84"/>
        <v>9118</v>
      </c>
      <c r="DV17" s="33">
        <f t="shared" si="85"/>
        <v>6220.96</v>
      </c>
    </row>
    <row r="18" spans="1:126" s="8" customFormat="1" ht="21.95" customHeight="1" x14ac:dyDescent="0.6">
      <c r="A18" s="59"/>
      <c r="B18" s="49" t="s">
        <v>52</v>
      </c>
      <c r="C18" s="54"/>
      <c r="D18" s="38">
        <v>59</v>
      </c>
      <c r="E18" s="36">
        <f t="shared" si="0"/>
        <v>826</v>
      </c>
      <c r="F18" s="37">
        <f t="shared" si="1"/>
        <v>528.64</v>
      </c>
      <c r="G18" s="38">
        <v>2</v>
      </c>
      <c r="H18" s="36">
        <f t="shared" si="2"/>
        <v>24</v>
      </c>
      <c r="I18" s="37">
        <f t="shared" si="3"/>
        <v>24</v>
      </c>
      <c r="J18" s="38"/>
      <c r="K18" s="36">
        <f t="shared" si="4"/>
        <v>0</v>
      </c>
      <c r="L18" s="37">
        <f t="shared" si="5"/>
        <v>0</v>
      </c>
      <c r="M18" s="38"/>
      <c r="N18" s="36">
        <f t="shared" si="6"/>
        <v>0</v>
      </c>
      <c r="O18" s="37">
        <f t="shared" si="7"/>
        <v>0</v>
      </c>
      <c r="P18" s="38"/>
      <c r="Q18" s="36">
        <f t="shared" si="8"/>
        <v>0</v>
      </c>
      <c r="R18" s="37">
        <f t="shared" si="9"/>
        <v>0</v>
      </c>
      <c r="S18" s="38"/>
      <c r="T18" s="36">
        <f t="shared" si="10"/>
        <v>0</v>
      </c>
      <c r="U18" s="37">
        <f t="shared" si="11"/>
        <v>0</v>
      </c>
      <c r="V18" s="38"/>
      <c r="W18" s="36">
        <f t="shared" si="12"/>
        <v>0</v>
      </c>
      <c r="X18" s="37">
        <f t="shared" si="13"/>
        <v>0</v>
      </c>
      <c r="Y18" s="38"/>
      <c r="Z18" s="36">
        <f t="shared" si="14"/>
        <v>0</v>
      </c>
      <c r="AA18" s="37">
        <f t="shared" si="15"/>
        <v>0</v>
      </c>
      <c r="AB18" s="38"/>
      <c r="AC18" s="36">
        <f t="shared" si="16"/>
        <v>0</v>
      </c>
      <c r="AD18" s="37">
        <f t="shared" si="17"/>
        <v>0</v>
      </c>
      <c r="AE18" s="38">
        <v>229</v>
      </c>
      <c r="AF18" s="36">
        <f t="shared" si="18"/>
        <v>3206</v>
      </c>
      <c r="AG18" s="37">
        <f t="shared" si="19"/>
        <v>2051.84</v>
      </c>
      <c r="AH18" s="38">
        <v>80</v>
      </c>
      <c r="AI18" s="36">
        <f t="shared" si="20"/>
        <v>960</v>
      </c>
      <c r="AJ18" s="37">
        <f t="shared" si="21"/>
        <v>960</v>
      </c>
      <c r="AK18" s="38"/>
      <c r="AL18" s="36">
        <f t="shared" si="22"/>
        <v>0</v>
      </c>
      <c r="AM18" s="37">
        <f t="shared" si="23"/>
        <v>0</v>
      </c>
      <c r="AN18" s="38">
        <v>5</v>
      </c>
      <c r="AO18" s="36">
        <f t="shared" si="24"/>
        <v>60</v>
      </c>
      <c r="AP18" s="37">
        <f t="shared" si="25"/>
        <v>36</v>
      </c>
      <c r="AQ18" s="38"/>
      <c r="AR18" s="36">
        <f t="shared" si="26"/>
        <v>0</v>
      </c>
      <c r="AS18" s="37">
        <f t="shared" si="27"/>
        <v>0</v>
      </c>
      <c r="AT18" s="38"/>
      <c r="AU18" s="36">
        <f t="shared" si="28"/>
        <v>0</v>
      </c>
      <c r="AV18" s="37">
        <f t="shared" si="29"/>
        <v>0</v>
      </c>
      <c r="AW18" s="38">
        <v>28</v>
      </c>
      <c r="AX18" s="36">
        <f t="shared" si="30"/>
        <v>392</v>
      </c>
      <c r="AY18" s="37">
        <f t="shared" si="31"/>
        <v>250.88</v>
      </c>
      <c r="AZ18" s="38">
        <v>6</v>
      </c>
      <c r="BA18" s="36">
        <f t="shared" si="32"/>
        <v>144</v>
      </c>
      <c r="BB18" s="37">
        <f t="shared" si="33"/>
        <v>92.16</v>
      </c>
      <c r="BC18" s="38">
        <v>104</v>
      </c>
      <c r="BD18" s="36">
        <f t="shared" si="34"/>
        <v>1456</v>
      </c>
      <c r="BE18" s="37">
        <f t="shared" si="35"/>
        <v>931.84</v>
      </c>
      <c r="BF18" s="38">
        <v>94</v>
      </c>
      <c r="BG18" s="36">
        <f t="shared" si="36"/>
        <v>1316</v>
      </c>
      <c r="BH18" s="37">
        <f t="shared" si="37"/>
        <v>842.24</v>
      </c>
      <c r="BI18" s="38">
        <v>40</v>
      </c>
      <c r="BJ18" s="36">
        <f t="shared" si="38"/>
        <v>960</v>
      </c>
      <c r="BK18" s="37">
        <f t="shared" si="39"/>
        <v>614.4</v>
      </c>
      <c r="BL18" s="38"/>
      <c r="BM18" s="36">
        <f t="shared" si="40"/>
        <v>0</v>
      </c>
      <c r="BN18" s="37">
        <f t="shared" si="41"/>
        <v>0</v>
      </c>
      <c r="BO18" s="38"/>
      <c r="BP18" s="36">
        <f t="shared" si="42"/>
        <v>0</v>
      </c>
      <c r="BQ18" s="37">
        <f t="shared" si="43"/>
        <v>0</v>
      </c>
      <c r="BR18" s="38"/>
      <c r="BS18" s="36">
        <f t="shared" si="44"/>
        <v>0</v>
      </c>
      <c r="BT18" s="37">
        <f t="shared" si="45"/>
        <v>0</v>
      </c>
      <c r="BU18" s="38"/>
      <c r="BV18" s="36">
        <f t="shared" si="46"/>
        <v>0</v>
      </c>
      <c r="BW18" s="37">
        <f t="shared" si="47"/>
        <v>0</v>
      </c>
      <c r="BX18" s="38"/>
      <c r="BY18" s="36">
        <f t="shared" si="48"/>
        <v>0</v>
      </c>
      <c r="BZ18" s="37">
        <f t="shared" si="49"/>
        <v>0</v>
      </c>
      <c r="CA18" s="38"/>
      <c r="CB18" s="36">
        <f t="shared" si="50"/>
        <v>0</v>
      </c>
      <c r="CC18" s="37">
        <f t="shared" si="51"/>
        <v>0</v>
      </c>
      <c r="CD18" s="38"/>
      <c r="CE18" s="36">
        <f t="shared" si="52"/>
        <v>0</v>
      </c>
      <c r="CF18" s="37">
        <f t="shared" si="53"/>
        <v>0</v>
      </c>
      <c r="CG18" s="38"/>
      <c r="CH18" s="36">
        <f t="shared" si="54"/>
        <v>0</v>
      </c>
      <c r="CI18" s="37">
        <f t="shared" si="55"/>
        <v>0</v>
      </c>
      <c r="CJ18" s="38"/>
      <c r="CK18" s="36">
        <f t="shared" si="56"/>
        <v>0</v>
      </c>
      <c r="CL18" s="37">
        <f t="shared" si="57"/>
        <v>0</v>
      </c>
      <c r="CM18" s="38"/>
      <c r="CN18" s="36">
        <f t="shared" si="58"/>
        <v>0</v>
      </c>
      <c r="CO18" s="37">
        <f t="shared" si="59"/>
        <v>0</v>
      </c>
      <c r="CP18" s="38"/>
      <c r="CQ18" s="36">
        <f t="shared" si="60"/>
        <v>0</v>
      </c>
      <c r="CR18" s="37">
        <f t="shared" si="61"/>
        <v>0</v>
      </c>
      <c r="CS18" s="38">
        <v>36</v>
      </c>
      <c r="CT18" s="36">
        <f t="shared" si="62"/>
        <v>864</v>
      </c>
      <c r="CU18" s="37">
        <f t="shared" si="63"/>
        <v>518.4</v>
      </c>
      <c r="CV18" s="38"/>
      <c r="CW18" s="36">
        <f t="shared" si="64"/>
        <v>0</v>
      </c>
      <c r="CX18" s="37">
        <f t="shared" si="65"/>
        <v>0</v>
      </c>
      <c r="CY18" s="38">
        <v>134</v>
      </c>
      <c r="CZ18" s="36">
        <f t="shared" si="66"/>
        <v>1608</v>
      </c>
      <c r="DA18" s="37">
        <f t="shared" si="67"/>
        <v>1608</v>
      </c>
      <c r="DB18" s="38">
        <v>45</v>
      </c>
      <c r="DC18" s="36">
        <f t="shared" si="68"/>
        <v>540</v>
      </c>
      <c r="DD18" s="37">
        <f t="shared" si="69"/>
        <v>540</v>
      </c>
      <c r="DE18" s="38"/>
      <c r="DF18" s="36">
        <f t="shared" si="70"/>
        <v>0</v>
      </c>
      <c r="DG18" s="37">
        <f t="shared" si="71"/>
        <v>0</v>
      </c>
      <c r="DH18" s="38"/>
      <c r="DI18" s="36">
        <f t="shared" si="72"/>
        <v>0</v>
      </c>
      <c r="DJ18" s="37">
        <f t="shared" si="73"/>
        <v>0</v>
      </c>
      <c r="DK18" s="38"/>
      <c r="DL18" s="36">
        <f t="shared" si="74"/>
        <v>0</v>
      </c>
      <c r="DM18" s="37">
        <f t="shared" si="75"/>
        <v>0</v>
      </c>
      <c r="DN18" s="38"/>
      <c r="DO18" s="36">
        <f t="shared" si="76"/>
        <v>0</v>
      </c>
      <c r="DP18" s="37">
        <f t="shared" si="77"/>
        <v>0</v>
      </c>
      <c r="DQ18" s="38"/>
      <c r="DR18" s="38"/>
      <c r="DS18" s="38"/>
      <c r="DT18" s="33">
        <f t="shared" si="83"/>
        <v>862</v>
      </c>
      <c r="DU18" s="33">
        <f t="shared" si="84"/>
        <v>12356</v>
      </c>
      <c r="DV18" s="33">
        <f t="shared" si="85"/>
        <v>8998.3999999999978</v>
      </c>
    </row>
    <row r="19" spans="1:126" s="8" customFormat="1" ht="21.95" customHeight="1" x14ac:dyDescent="0.6">
      <c r="A19" s="59"/>
      <c r="B19" s="49" t="s">
        <v>53</v>
      </c>
      <c r="C19" s="54"/>
      <c r="D19" s="38"/>
      <c r="E19" s="36">
        <f t="shared" si="0"/>
        <v>0</v>
      </c>
      <c r="F19" s="37">
        <f t="shared" si="1"/>
        <v>0</v>
      </c>
      <c r="G19" s="38"/>
      <c r="H19" s="36">
        <f t="shared" si="2"/>
        <v>0</v>
      </c>
      <c r="I19" s="37">
        <f t="shared" si="3"/>
        <v>0</v>
      </c>
      <c r="J19" s="38"/>
      <c r="K19" s="36">
        <f t="shared" si="4"/>
        <v>0</v>
      </c>
      <c r="L19" s="37">
        <f t="shared" si="5"/>
        <v>0</v>
      </c>
      <c r="M19" s="38"/>
      <c r="N19" s="36">
        <f t="shared" si="6"/>
        <v>0</v>
      </c>
      <c r="O19" s="37">
        <f t="shared" si="7"/>
        <v>0</v>
      </c>
      <c r="P19" s="38"/>
      <c r="Q19" s="36">
        <f t="shared" si="8"/>
        <v>0</v>
      </c>
      <c r="R19" s="37">
        <f t="shared" si="9"/>
        <v>0</v>
      </c>
      <c r="S19" s="38"/>
      <c r="T19" s="36">
        <f t="shared" si="10"/>
        <v>0</v>
      </c>
      <c r="U19" s="37">
        <f t="shared" si="11"/>
        <v>0</v>
      </c>
      <c r="V19" s="38"/>
      <c r="W19" s="36">
        <f t="shared" si="12"/>
        <v>0</v>
      </c>
      <c r="X19" s="37">
        <f t="shared" si="13"/>
        <v>0</v>
      </c>
      <c r="Y19" s="38"/>
      <c r="Z19" s="36">
        <f t="shared" si="14"/>
        <v>0</v>
      </c>
      <c r="AA19" s="37">
        <f t="shared" si="15"/>
        <v>0</v>
      </c>
      <c r="AB19" s="38"/>
      <c r="AC19" s="36">
        <f t="shared" si="16"/>
        <v>0</v>
      </c>
      <c r="AD19" s="37">
        <f t="shared" si="17"/>
        <v>0</v>
      </c>
      <c r="AE19" s="38"/>
      <c r="AF19" s="36">
        <f t="shared" si="18"/>
        <v>0</v>
      </c>
      <c r="AG19" s="37">
        <f t="shared" si="19"/>
        <v>0</v>
      </c>
      <c r="AH19" s="38"/>
      <c r="AI19" s="36">
        <f t="shared" si="20"/>
        <v>0</v>
      </c>
      <c r="AJ19" s="37">
        <f t="shared" si="21"/>
        <v>0</v>
      </c>
      <c r="AK19" s="38"/>
      <c r="AL19" s="36">
        <f t="shared" si="22"/>
        <v>0</v>
      </c>
      <c r="AM19" s="37">
        <f t="shared" si="23"/>
        <v>0</v>
      </c>
      <c r="AN19" s="38"/>
      <c r="AO19" s="36">
        <f t="shared" si="24"/>
        <v>0</v>
      </c>
      <c r="AP19" s="37">
        <f t="shared" si="25"/>
        <v>0</v>
      </c>
      <c r="AQ19" s="38"/>
      <c r="AR19" s="36">
        <f t="shared" si="26"/>
        <v>0</v>
      </c>
      <c r="AS19" s="37">
        <f t="shared" si="27"/>
        <v>0</v>
      </c>
      <c r="AT19" s="38"/>
      <c r="AU19" s="36">
        <f t="shared" si="28"/>
        <v>0</v>
      </c>
      <c r="AV19" s="37">
        <f t="shared" si="29"/>
        <v>0</v>
      </c>
      <c r="AW19" s="38"/>
      <c r="AX19" s="36">
        <f t="shared" si="30"/>
        <v>0</v>
      </c>
      <c r="AY19" s="37">
        <f t="shared" si="31"/>
        <v>0</v>
      </c>
      <c r="AZ19" s="38"/>
      <c r="BA19" s="36">
        <f t="shared" si="32"/>
        <v>0</v>
      </c>
      <c r="BB19" s="37">
        <f t="shared" si="33"/>
        <v>0</v>
      </c>
      <c r="BC19" s="38"/>
      <c r="BD19" s="36">
        <f t="shared" si="34"/>
        <v>0</v>
      </c>
      <c r="BE19" s="37">
        <f t="shared" si="35"/>
        <v>0</v>
      </c>
      <c r="BF19" s="38"/>
      <c r="BG19" s="36">
        <f t="shared" si="36"/>
        <v>0</v>
      </c>
      <c r="BH19" s="37">
        <f t="shared" si="37"/>
        <v>0</v>
      </c>
      <c r="BI19" s="38"/>
      <c r="BJ19" s="36">
        <f t="shared" si="38"/>
        <v>0</v>
      </c>
      <c r="BK19" s="37">
        <f t="shared" si="39"/>
        <v>0</v>
      </c>
      <c r="BL19" s="38"/>
      <c r="BM19" s="36">
        <f t="shared" si="40"/>
        <v>0</v>
      </c>
      <c r="BN19" s="37">
        <f t="shared" si="41"/>
        <v>0</v>
      </c>
      <c r="BO19" s="38">
        <v>50</v>
      </c>
      <c r="BP19" s="36">
        <f t="shared" si="42"/>
        <v>700</v>
      </c>
      <c r="BQ19" s="37">
        <f t="shared" si="43"/>
        <v>448</v>
      </c>
      <c r="BR19" s="38"/>
      <c r="BS19" s="36">
        <f t="shared" si="44"/>
        <v>0</v>
      </c>
      <c r="BT19" s="37">
        <f t="shared" si="45"/>
        <v>0</v>
      </c>
      <c r="BU19" s="38"/>
      <c r="BV19" s="36">
        <f t="shared" si="46"/>
        <v>0</v>
      </c>
      <c r="BW19" s="37">
        <f t="shared" si="47"/>
        <v>0</v>
      </c>
      <c r="BX19" s="38"/>
      <c r="BY19" s="36">
        <f t="shared" si="48"/>
        <v>0</v>
      </c>
      <c r="BZ19" s="37">
        <f t="shared" si="49"/>
        <v>0</v>
      </c>
      <c r="CA19" s="38"/>
      <c r="CB19" s="36">
        <f t="shared" si="50"/>
        <v>0</v>
      </c>
      <c r="CC19" s="37">
        <f t="shared" si="51"/>
        <v>0</v>
      </c>
      <c r="CD19" s="38"/>
      <c r="CE19" s="36">
        <f t="shared" si="52"/>
        <v>0</v>
      </c>
      <c r="CF19" s="37">
        <f t="shared" si="53"/>
        <v>0</v>
      </c>
      <c r="CG19" s="38"/>
      <c r="CH19" s="36">
        <f t="shared" si="54"/>
        <v>0</v>
      </c>
      <c r="CI19" s="37">
        <f t="shared" si="55"/>
        <v>0</v>
      </c>
      <c r="CJ19" s="38"/>
      <c r="CK19" s="36">
        <f t="shared" si="56"/>
        <v>0</v>
      </c>
      <c r="CL19" s="37">
        <f t="shared" si="57"/>
        <v>0</v>
      </c>
      <c r="CM19" s="38"/>
      <c r="CN19" s="36">
        <f t="shared" si="58"/>
        <v>0</v>
      </c>
      <c r="CO19" s="37">
        <f t="shared" si="59"/>
        <v>0</v>
      </c>
      <c r="CP19" s="38"/>
      <c r="CQ19" s="36">
        <f t="shared" si="60"/>
        <v>0</v>
      </c>
      <c r="CR19" s="37">
        <f t="shared" si="61"/>
        <v>0</v>
      </c>
      <c r="CS19" s="38"/>
      <c r="CT19" s="36">
        <f t="shared" si="62"/>
        <v>0</v>
      </c>
      <c r="CU19" s="37">
        <f t="shared" si="63"/>
        <v>0</v>
      </c>
      <c r="CV19" s="38"/>
      <c r="CW19" s="36">
        <f t="shared" si="64"/>
        <v>0</v>
      </c>
      <c r="CX19" s="37">
        <f t="shared" si="65"/>
        <v>0</v>
      </c>
      <c r="CY19" s="38"/>
      <c r="CZ19" s="36">
        <f t="shared" si="66"/>
        <v>0</v>
      </c>
      <c r="DA19" s="37">
        <f t="shared" si="67"/>
        <v>0</v>
      </c>
      <c r="DB19" s="38"/>
      <c r="DC19" s="36">
        <f t="shared" si="68"/>
        <v>0</v>
      </c>
      <c r="DD19" s="37">
        <f t="shared" si="69"/>
        <v>0</v>
      </c>
      <c r="DE19" s="38"/>
      <c r="DF19" s="36">
        <f t="shared" si="70"/>
        <v>0</v>
      </c>
      <c r="DG19" s="37">
        <f t="shared" si="71"/>
        <v>0</v>
      </c>
      <c r="DH19" s="38"/>
      <c r="DI19" s="36">
        <f t="shared" si="72"/>
        <v>0</v>
      </c>
      <c r="DJ19" s="37">
        <f t="shared" si="73"/>
        <v>0</v>
      </c>
      <c r="DK19" s="38"/>
      <c r="DL19" s="36">
        <f t="shared" si="74"/>
        <v>0</v>
      </c>
      <c r="DM19" s="37">
        <f t="shared" si="75"/>
        <v>0</v>
      </c>
      <c r="DN19" s="38"/>
      <c r="DO19" s="36">
        <f t="shared" si="76"/>
        <v>0</v>
      </c>
      <c r="DP19" s="37">
        <f t="shared" si="77"/>
        <v>0</v>
      </c>
      <c r="DQ19" s="38"/>
      <c r="DR19" s="38"/>
      <c r="DS19" s="38"/>
      <c r="DT19" s="33">
        <f t="shared" si="83"/>
        <v>50</v>
      </c>
      <c r="DU19" s="33">
        <f t="shared" si="84"/>
        <v>700</v>
      </c>
      <c r="DV19" s="33">
        <f t="shared" si="85"/>
        <v>448</v>
      </c>
    </row>
    <row r="20" spans="1:126" s="8" customFormat="1" ht="21.95" customHeight="1" x14ac:dyDescent="0.6">
      <c r="A20" s="59"/>
      <c r="B20" s="48" t="s">
        <v>48</v>
      </c>
      <c r="C20" s="54"/>
      <c r="D20" s="38">
        <v>3392</v>
      </c>
      <c r="E20" s="36">
        <f t="shared" si="0"/>
        <v>47488</v>
      </c>
      <c r="F20" s="37">
        <f t="shared" si="1"/>
        <v>30392.32</v>
      </c>
      <c r="G20" s="38"/>
      <c r="H20" s="36">
        <f t="shared" si="2"/>
        <v>0</v>
      </c>
      <c r="I20" s="37">
        <f t="shared" si="3"/>
        <v>0</v>
      </c>
      <c r="J20" s="38">
        <v>1412</v>
      </c>
      <c r="K20" s="36">
        <f t="shared" si="4"/>
        <v>19768</v>
      </c>
      <c r="L20" s="37">
        <f t="shared" si="5"/>
        <v>12651.52</v>
      </c>
      <c r="M20" s="38">
        <v>20</v>
      </c>
      <c r="N20" s="36">
        <f t="shared" si="6"/>
        <v>240</v>
      </c>
      <c r="O20" s="37">
        <f t="shared" si="7"/>
        <v>168</v>
      </c>
      <c r="P20" s="38">
        <v>57</v>
      </c>
      <c r="Q20" s="36">
        <f t="shared" si="8"/>
        <v>798</v>
      </c>
      <c r="R20" s="37">
        <f t="shared" si="9"/>
        <v>510.72</v>
      </c>
      <c r="S20" s="38"/>
      <c r="T20" s="36">
        <f t="shared" si="10"/>
        <v>0</v>
      </c>
      <c r="U20" s="37">
        <f t="shared" si="11"/>
        <v>0</v>
      </c>
      <c r="V20" s="38"/>
      <c r="W20" s="36">
        <f t="shared" si="12"/>
        <v>0</v>
      </c>
      <c r="X20" s="37">
        <f t="shared" si="13"/>
        <v>0</v>
      </c>
      <c r="Y20" s="38"/>
      <c r="Z20" s="36">
        <f t="shared" si="14"/>
        <v>0</v>
      </c>
      <c r="AA20" s="37">
        <f t="shared" si="15"/>
        <v>0</v>
      </c>
      <c r="AB20" s="38"/>
      <c r="AC20" s="36">
        <f t="shared" si="16"/>
        <v>0</v>
      </c>
      <c r="AD20" s="37">
        <f t="shared" si="17"/>
        <v>0</v>
      </c>
      <c r="AE20" s="38">
        <v>2913</v>
      </c>
      <c r="AF20" s="36">
        <f t="shared" si="18"/>
        <v>40782</v>
      </c>
      <c r="AG20" s="37">
        <f t="shared" si="19"/>
        <v>26100.48</v>
      </c>
      <c r="AH20" s="38">
        <v>2446</v>
      </c>
      <c r="AI20" s="36">
        <f t="shared" si="20"/>
        <v>29352</v>
      </c>
      <c r="AJ20" s="37">
        <f t="shared" si="21"/>
        <v>29352</v>
      </c>
      <c r="AK20" s="38">
        <v>18</v>
      </c>
      <c r="AL20" s="36">
        <f t="shared" si="22"/>
        <v>216</v>
      </c>
      <c r="AM20" s="37">
        <f t="shared" si="23"/>
        <v>129.6</v>
      </c>
      <c r="AN20" s="38"/>
      <c r="AO20" s="36">
        <f t="shared" si="24"/>
        <v>0</v>
      </c>
      <c r="AP20" s="37">
        <f t="shared" si="25"/>
        <v>0</v>
      </c>
      <c r="AQ20" s="38">
        <v>30</v>
      </c>
      <c r="AR20" s="36">
        <f t="shared" si="26"/>
        <v>720</v>
      </c>
      <c r="AS20" s="37">
        <f t="shared" si="27"/>
        <v>460.8</v>
      </c>
      <c r="AT20" s="38"/>
      <c r="AU20" s="36">
        <f t="shared" si="28"/>
        <v>0</v>
      </c>
      <c r="AV20" s="37">
        <f t="shared" si="29"/>
        <v>0</v>
      </c>
      <c r="AW20" s="38">
        <v>60</v>
      </c>
      <c r="AX20" s="36">
        <f t="shared" si="30"/>
        <v>840</v>
      </c>
      <c r="AY20" s="37">
        <f t="shared" si="31"/>
        <v>537.6</v>
      </c>
      <c r="AZ20" s="38">
        <v>275</v>
      </c>
      <c r="BA20" s="36">
        <f t="shared" si="32"/>
        <v>6600</v>
      </c>
      <c r="BB20" s="37">
        <f t="shared" si="33"/>
        <v>4224</v>
      </c>
      <c r="BC20" s="38">
        <v>2937</v>
      </c>
      <c r="BD20" s="36">
        <f t="shared" si="34"/>
        <v>41118</v>
      </c>
      <c r="BE20" s="37">
        <f t="shared" si="35"/>
        <v>26315.52</v>
      </c>
      <c r="BF20" s="38">
        <v>5127</v>
      </c>
      <c r="BG20" s="36">
        <f t="shared" si="36"/>
        <v>71778</v>
      </c>
      <c r="BH20" s="37">
        <f t="shared" si="37"/>
        <v>45937.919999999998</v>
      </c>
      <c r="BI20" s="38">
        <v>6682</v>
      </c>
      <c r="BJ20" s="36">
        <f t="shared" si="38"/>
        <v>160368</v>
      </c>
      <c r="BK20" s="37">
        <f t="shared" si="39"/>
        <v>102635.52</v>
      </c>
      <c r="BL20" s="38">
        <v>1429</v>
      </c>
      <c r="BM20" s="36">
        <f t="shared" si="40"/>
        <v>20006</v>
      </c>
      <c r="BN20" s="37">
        <f t="shared" si="41"/>
        <v>12803.84</v>
      </c>
      <c r="BO20" s="38">
        <v>209</v>
      </c>
      <c r="BP20" s="36">
        <f t="shared" si="42"/>
        <v>2926</v>
      </c>
      <c r="BQ20" s="37">
        <f t="shared" si="43"/>
        <v>1872.64</v>
      </c>
      <c r="BR20" s="38">
        <v>198</v>
      </c>
      <c r="BS20" s="36">
        <f t="shared" si="44"/>
        <v>4752</v>
      </c>
      <c r="BT20" s="37">
        <f t="shared" si="45"/>
        <v>3041.28</v>
      </c>
      <c r="BU20" s="38">
        <v>1841</v>
      </c>
      <c r="BV20" s="36">
        <f t="shared" si="46"/>
        <v>25774</v>
      </c>
      <c r="BW20" s="37">
        <f t="shared" si="47"/>
        <v>16495.36</v>
      </c>
      <c r="BX20" s="38"/>
      <c r="BY20" s="36">
        <f t="shared" si="48"/>
        <v>0</v>
      </c>
      <c r="BZ20" s="37">
        <f t="shared" si="49"/>
        <v>0</v>
      </c>
      <c r="CA20" s="38"/>
      <c r="CB20" s="36">
        <f t="shared" si="50"/>
        <v>0</v>
      </c>
      <c r="CC20" s="37">
        <f t="shared" si="51"/>
        <v>0</v>
      </c>
      <c r="CD20" s="38">
        <v>8</v>
      </c>
      <c r="CE20" s="36">
        <f t="shared" si="52"/>
        <v>96</v>
      </c>
      <c r="CF20" s="37">
        <f t="shared" si="53"/>
        <v>65.28</v>
      </c>
      <c r="CG20" s="38">
        <v>40</v>
      </c>
      <c r="CH20" s="36">
        <f t="shared" si="54"/>
        <v>480</v>
      </c>
      <c r="CI20" s="37">
        <f t="shared" si="55"/>
        <v>336</v>
      </c>
      <c r="CJ20" s="38">
        <v>105</v>
      </c>
      <c r="CK20" s="36">
        <f t="shared" si="56"/>
        <v>1470</v>
      </c>
      <c r="CL20" s="37">
        <f t="shared" si="57"/>
        <v>940.80000000000007</v>
      </c>
      <c r="CM20" s="38">
        <v>15</v>
      </c>
      <c r="CN20" s="36">
        <f t="shared" si="58"/>
        <v>210</v>
      </c>
      <c r="CO20" s="37">
        <f t="shared" si="59"/>
        <v>134.4</v>
      </c>
      <c r="CP20" s="38"/>
      <c r="CQ20" s="36">
        <f t="shared" si="60"/>
        <v>0</v>
      </c>
      <c r="CR20" s="37">
        <f t="shared" si="61"/>
        <v>0</v>
      </c>
      <c r="CS20" s="38">
        <v>373</v>
      </c>
      <c r="CT20" s="36">
        <f t="shared" si="62"/>
        <v>8952</v>
      </c>
      <c r="CU20" s="37">
        <f t="shared" si="63"/>
        <v>5371.2</v>
      </c>
      <c r="CV20" s="38">
        <v>10</v>
      </c>
      <c r="CW20" s="36">
        <f t="shared" si="64"/>
        <v>240</v>
      </c>
      <c r="CX20" s="37">
        <f t="shared" si="65"/>
        <v>144</v>
      </c>
      <c r="CY20" s="38">
        <v>110</v>
      </c>
      <c r="CZ20" s="36">
        <f t="shared" si="66"/>
        <v>1320</v>
      </c>
      <c r="DA20" s="37">
        <f t="shared" si="67"/>
        <v>1320</v>
      </c>
      <c r="DB20" s="38">
        <v>5</v>
      </c>
      <c r="DC20" s="36">
        <f t="shared" si="68"/>
        <v>60</v>
      </c>
      <c r="DD20" s="37">
        <f t="shared" si="69"/>
        <v>60</v>
      </c>
      <c r="DE20" s="38"/>
      <c r="DF20" s="36">
        <f t="shared" si="70"/>
        <v>0</v>
      </c>
      <c r="DG20" s="37">
        <f t="shared" si="71"/>
        <v>0</v>
      </c>
      <c r="DH20" s="38"/>
      <c r="DI20" s="36">
        <f t="shared" si="72"/>
        <v>0</v>
      </c>
      <c r="DJ20" s="37">
        <f t="shared" si="73"/>
        <v>0</v>
      </c>
      <c r="DK20" s="38"/>
      <c r="DL20" s="36">
        <f t="shared" si="74"/>
        <v>0</v>
      </c>
      <c r="DM20" s="37">
        <f t="shared" si="75"/>
        <v>0</v>
      </c>
      <c r="DN20" s="38"/>
      <c r="DO20" s="36">
        <f t="shared" si="76"/>
        <v>0</v>
      </c>
      <c r="DP20" s="37">
        <f t="shared" si="77"/>
        <v>0</v>
      </c>
      <c r="DQ20" s="38"/>
      <c r="DR20" s="38"/>
      <c r="DS20" s="38"/>
      <c r="DT20" s="33">
        <f t="shared" si="83"/>
        <v>29712</v>
      </c>
      <c r="DU20" s="33">
        <f t="shared" si="84"/>
        <v>486354</v>
      </c>
      <c r="DV20" s="33">
        <f t="shared" si="85"/>
        <v>322000.8000000001</v>
      </c>
    </row>
    <row r="21" spans="1:126" s="8" customFormat="1" ht="21.95" customHeight="1" x14ac:dyDescent="0.6">
      <c r="A21" s="59"/>
      <c r="B21" s="52" t="s">
        <v>49</v>
      </c>
      <c r="C21" s="54"/>
      <c r="D21" s="38">
        <v>200</v>
      </c>
      <c r="E21" s="36">
        <f t="shared" si="0"/>
        <v>2800</v>
      </c>
      <c r="F21" s="37">
        <f t="shared" si="1"/>
        <v>1792</v>
      </c>
      <c r="G21" s="38"/>
      <c r="H21" s="36">
        <f t="shared" si="2"/>
        <v>0</v>
      </c>
      <c r="I21" s="37">
        <f t="shared" si="3"/>
        <v>0</v>
      </c>
      <c r="J21" s="38">
        <v>10</v>
      </c>
      <c r="K21" s="36">
        <f t="shared" si="4"/>
        <v>140</v>
      </c>
      <c r="L21" s="37">
        <f t="shared" si="5"/>
        <v>89.600000000000009</v>
      </c>
      <c r="M21" s="38">
        <v>2</v>
      </c>
      <c r="N21" s="36">
        <f t="shared" si="6"/>
        <v>24</v>
      </c>
      <c r="O21" s="37">
        <f t="shared" si="7"/>
        <v>16.799999999999997</v>
      </c>
      <c r="P21" s="38"/>
      <c r="Q21" s="36">
        <f t="shared" si="8"/>
        <v>0</v>
      </c>
      <c r="R21" s="37">
        <f t="shared" si="9"/>
        <v>0</v>
      </c>
      <c r="S21" s="38"/>
      <c r="T21" s="36">
        <f t="shared" si="10"/>
        <v>0</v>
      </c>
      <c r="U21" s="37">
        <f t="shared" si="11"/>
        <v>0</v>
      </c>
      <c r="V21" s="38"/>
      <c r="W21" s="36">
        <f t="shared" si="12"/>
        <v>0</v>
      </c>
      <c r="X21" s="37">
        <f t="shared" si="13"/>
        <v>0</v>
      </c>
      <c r="Y21" s="38"/>
      <c r="Z21" s="36">
        <f t="shared" si="14"/>
        <v>0</v>
      </c>
      <c r="AA21" s="37">
        <f t="shared" si="15"/>
        <v>0</v>
      </c>
      <c r="AB21" s="38"/>
      <c r="AC21" s="36">
        <f t="shared" si="16"/>
        <v>0</v>
      </c>
      <c r="AD21" s="37">
        <f t="shared" si="17"/>
        <v>0</v>
      </c>
      <c r="AE21" s="38">
        <v>5</v>
      </c>
      <c r="AF21" s="36">
        <f t="shared" si="18"/>
        <v>70</v>
      </c>
      <c r="AG21" s="37">
        <f t="shared" si="19"/>
        <v>44.800000000000004</v>
      </c>
      <c r="AH21" s="38">
        <v>150</v>
      </c>
      <c r="AI21" s="36">
        <f t="shared" si="20"/>
        <v>1800</v>
      </c>
      <c r="AJ21" s="37">
        <f t="shared" si="21"/>
        <v>1800</v>
      </c>
      <c r="AK21" s="38"/>
      <c r="AL21" s="36">
        <f t="shared" si="22"/>
        <v>0</v>
      </c>
      <c r="AM21" s="37">
        <f t="shared" si="23"/>
        <v>0</v>
      </c>
      <c r="AN21" s="38"/>
      <c r="AO21" s="36">
        <f t="shared" si="24"/>
        <v>0</v>
      </c>
      <c r="AP21" s="37">
        <f t="shared" si="25"/>
        <v>0</v>
      </c>
      <c r="AQ21" s="38"/>
      <c r="AR21" s="36">
        <f t="shared" si="26"/>
        <v>0</v>
      </c>
      <c r="AS21" s="37">
        <f t="shared" si="27"/>
        <v>0</v>
      </c>
      <c r="AT21" s="38"/>
      <c r="AU21" s="36">
        <f t="shared" si="28"/>
        <v>0</v>
      </c>
      <c r="AV21" s="37">
        <f t="shared" si="29"/>
        <v>0</v>
      </c>
      <c r="AW21" s="38"/>
      <c r="AX21" s="36">
        <f t="shared" si="30"/>
        <v>0</v>
      </c>
      <c r="AY21" s="37">
        <f t="shared" si="31"/>
        <v>0</v>
      </c>
      <c r="AZ21" s="38"/>
      <c r="BA21" s="36">
        <f t="shared" si="32"/>
        <v>0</v>
      </c>
      <c r="BB21" s="37">
        <f t="shared" si="33"/>
        <v>0</v>
      </c>
      <c r="BC21" s="38">
        <v>50</v>
      </c>
      <c r="BD21" s="36">
        <f t="shared" si="34"/>
        <v>700</v>
      </c>
      <c r="BE21" s="37">
        <f t="shared" si="35"/>
        <v>448</v>
      </c>
      <c r="BF21" s="38">
        <v>40</v>
      </c>
      <c r="BG21" s="36">
        <f t="shared" si="36"/>
        <v>560</v>
      </c>
      <c r="BH21" s="37">
        <f t="shared" si="37"/>
        <v>358.40000000000003</v>
      </c>
      <c r="BI21" s="38">
        <v>30</v>
      </c>
      <c r="BJ21" s="36">
        <f t="shared" si="38"/>
        <v>720</v>
      </c>
      <c r="BK21" s="37">
        <f t="shared" si="39"/>
        <v>460.8</v>
      </c>
      <c r="BL21" s="38"/>
      <c r="BM21" s="36">
        <f t="shared" si="40"/>
        <v>0</v>
      </c>
      <c r="BN21" s="37">
        <f t="shared" si="41"/>
        <v>0</v>
      </c>
      <c r="BO21" s="38"/>
      <c r="BP21" s="36">
        <f t="shared" si="42"/>
        <v>0</v>
      </c>
      <c r="BQ21" s="37">
        <f t="shared" si="43"/>
        <v>0</v>
      </c>
      <c r="BR21" s="38">
        <v>65</v>
      </c>
      <c r="BS21" s="36">
        <f t="shared" si="44"/>
        <v>1560</v>
      </c>
      <c r="BT21" s="37">
        <f t="shared" si="45"/>
        <v>998.4</v>
      </c>
      <c r="BU21" s="38"/>
      <c r="BV21" s="36">
        <f t="shared" si="46"/>
        <v>0</v>
      </c>
      <c r="BW21" s="37">
        <f t="shared" si="47"/>
        <v>0</v>
      </c>
      <c r="BX21" s="38"/>
      <c r="BY21" s="36">
        <f t="shared" si="48"/>
        <v>0</v>
      </c>
      <c r="BZ21" s="37">
        <f t="shared" si="49"/>
        <v>0</v>
      </c>
      <c r="CA21" s="38"/>
      <c r="CB21" s="36">
        <f t="shared" si="50"/>
        <v>0</v>
      </c>
      <c r="CC21" s="37">
        <f t="shared" si="51"/>
        <v>0</v>
      </c>
      <c r="CD21" s="38"/>
      <c r="CE21" s="36">
        <f t="shared" si="52"/>
        <v>0</v>
      </c>
      <c r="CF21" s="37">
        <f t="shared" si="53"/>
        <v>0</v>
      </c>
      <c r="CG21" s="38"/>
      <c r="CH21" s="36">
        <f t="shared" si="54"/>
        <v>0</v>
      </c>
      <c r="CI21" s="37">
        <f t="shared" si="55"/>
        <v>0</v>
      </c>
      <c r="CJ21" s="38"/>
      <c r="CK21" s="36">
        <f t="shared" si="56"/>
        <v>0</v>
      </c>
      <c r="CL21" s="37">
        <f t="shared" si="57"/>
        <v>0</v>
      </c>
      <c r="CM21" s="38"/>
      <c r="CN21" s="36">
        <f t="shared" si="58"/>
        <v>0</v>
      </c>
      <c r="CO21" s="37">
        <f t="shared" si="59"/>
        <v>0</v>
      </c>
      <c r="CP21" s="38"/>
      <c r="CQ21" s="36">
        <f t="shared" si="60"/>
        <v>0</v>
      </c>
      <c r="CR21" s="37">
        <f t="shared" si="61"/>
        <v>0</v>
      </c>
      <c r="CS21" s="38"/>
      <c r="CT21" s="36">
        <f t="shared" si="62"/>
        <v>0</v>
      </c>
      <c r="CU21" s="37">
        <f t="shared" si="63"/>
        <v>0</v>
      </c>
      <c r="CV21" s="38"/>
      <c r="CW21" s="36">
        <f t="shared" si="64"/>
        <v>0</v>
      </c>
      <c r="CX21" s="37">
        <f t="shared" si="65"/>
        <v>0</v>
      </c>
      <c r="CY21" s="38"/>
      <c r="CZ21" s="36">
        <f t="shared" si="66"/>
        <v>0</v>
      </c>
      <c r="DA21" s="37">
        <f t="shared" si="67"/>
        <v>0</v>
      </c>
      <c r="DB21" s="38"/>
      <c r="DC21" s="36">
        <f t="shared" si="68"/>
        <v>0</v>
      </c>
      <c r="DD21" s="37">
        <f t="shared" si="69"/>
        <v>0</v>
      </c>
      <c r="DE21" s="38"/>
      <c r="DF21" s="36">
        <f t="shared" si="70"/>
        <v>0</v>
      </c>
      <c r="DG21" s="37">
        <f t="shared" si="71"/>
        <v>0</v>
      </c>
      <c r="DH21" s="38"/>
      <c r="DI21" s="36">
        <f t="shared" si="72"/>
        <v>0</v>
      </c>
      <c r="DJ21" s="37">
        <f t="shared" si="73"/>
        <v>0</v>
      </c>
      <c r="DK21" s="38"/>
      <c r="DL21" s="36">
        <f t="shared" si="74"/>
        <v>0</v>
      </c>
      <c r="DM21" s="37">
        <f t="shared" si="75"/>
        <v>0</v>
      </c>
      <c r="DN21" s="38"/>
      <c r="DO21" s="36">
        <f t="shared" si="76"/>
        <v>0</v>
      </c>
      <c r="DP21" s="37">
        <f t="shared" si="77"/>
        <v>0</v>
      </c>
      <c r="DQ21" s="38"/>
      <c r="DR21" s="38"/>
      <c r="DS21" s="38"/>
      <c r="DT21" s="33">
        <f t="shared" si="83"/>
        <v>552</v>
      </c>
      <c r="DU21" s="33">
        <f t="shared" si="84"/>
        <v>8374</v>
      </c>
      <c r="DV21" s="33">
        <f t="shared" si="85"/>
        <v>6008.7999999999993</v>
      </c>
    </row>
    <row r="22" spans="1:126" s="8" customFormat="1" ht="21.95" customHeight="1" thickBot="1" x14ac:dyDescent="0.65">
      <c r="A22" s="59"/>
      <c r="B22" s="52"/>
      <c r="C22" s="47"/>
      <c r="D22" s="38"/>
      <c r="E22" s="36">
        <f t="shared" si="0"/>
        <v>0</v>
      </c>
      <c r="F22" s="37">
        <f t="shared" si="1"/>
        <v>0</v>
      </c>
      <c r="G22" s="38"/>
      <c r="H22" s="36">
        <f t="shared" si="2"/>
        <v>0</v>
      </c>
      <c r="I22" s="37">
        <f t="shared" si="3"/>
        <v>0</v>
      </c>
      <c r="J22" s="38"/>
      <c r="K22" s="36">
        <f t="shared" si="4"/>
        <v>0</v>
      </c>
      <c r="L22" s="37">
        <f t="shared" si="5"/>
        <v>0</v>
      </c>
      <c r="M22" s="38"/>
      <c r="N22" s="36">
        <f t="shared" si="6"/>
        <v>0</v>
      </c>
      <c r="O22" s="37">
        <f t="shared" si="7"/>
        <v>0</v>
      </c>
      <c r="P22" s="38"/>
      <c r="Q22" s="36">
        <f t="shared" si="8"/>
        <v>0</v>
      </c>
      <c r="R22" s="37">
        <f t="shared" si="9"/>
        <v>0</v>
      </c>
      <c r="S22" s="38"/>
      <c r="T22" s="36">
        <f t="shared" si="10"/>
        <v>0</v>
      </c>
      <c r="U22" s="37">
        <f t="shared" si="11"/>
        <v>0</v>
      </c>
      <c r="V22" s="38"/>
      <c r="W22" s="36">
        <f t="shared" si="12"/>
        <v>0</v>
      </c>
      <c r="X22" s="37">
        <f t="shared" si="13"/>
        <v>0</v>
      </c>
      <c r="Y22" s="38"/>
      <c r="Z22" s="36">
        <f t="shared" si="14"/>
        <v>0</v>
      </c>
      <c r="AA22" s="37">
        <f t="shared" si="15"/>
        <v>0</v>
      </c>
      <c r="AB22" s="38"/>
      <c r="AC22" s="36">
        <f t="shared" si="16"/>
        <v>0</v>
      </c>
      <c r="AD22" s="37">
        <f t="shared" si="17"/>
        <v>0</v>
      </c>
      <c r="AE22" s="38"/>
      <c r="AF22" s="36">
        <f t="shared" si="18"/>
        <v>0</v>
      </c>
      <c r="AG22" s="37">
        <f t="shared" si="19"/>
        <v>0</v>
      </c>
      <c r="AH22" s="38"/>
      <c r="AI22" s="36">
        <f t="shared" si="20"/>
        <v>0</v>
      </c>
      <c r="AJ22" s="37">
        <f t="shared" si="21"/>
        <v>0</v>
      </c>
      <c r="AK22" s="38"/>
      <c r="AL22" s="36">
        <f t="shared" si="22"/>
        <v>0</v>
      </c>
      <c r="AM22" s="37">
        <f t="shared" si="23"/>
        <v>0</v>
      </c>
      <c r="AN22" s="38"/>
      <c r="AO22" s="36">
        <f t="shared" si="24"/>
        <v>0</v>
      </c>
      <c r="AP22" s="37">
        <f t="shared" si="25"/>
        <v>0</v>
      </c>
      <c r="AQ22" s="38"/>
      <c r="AR22" s="36">
        <f t="shared" si="26"/>
        <v>0</v>
      </c>
      <c r="AS22" s="37">
        <f t="shared" si="27"/>
        <v>0</v>
      </c>
      <c r="AT22" s="38"/>
      <c r="AU22" s="36">
        <f t="shared" si="28"/>
        <v>0</v>
      </c>
      <c r="AV22" s="37">
        <f t="shared" si="29"/>
        <v>0</v>
      </c>
      <c r="AW22" s="38"/>
      <c r="AX22" s="36">
        <f t="shared" si="30"/>
        <v>0</v>
      </c>
      <c r="AY22" s="37">
        <f t="shared" si="31"/>
        <v>0</v>
      </c>
      <c r="AZ22" s="38"/>
      <c r="BA22" s="36">
        <f t="shared" si="32"/>
        <v>0</v>
      </c>
      <c r="BB22" s="37">
        <f t="shared" si="33"/>
        <v>0</v>
      </c>
      <c r="BC22" s="38"/>
      <c r="BD22" s="36">
        <f t="shared" si="34"/>
        <v>0</v>
      </c>
      <c r="BE22" s="37">
        <f t="shared" si="35"/>
        <v>0</v>
      </c>
      <c r="BF22" s="38"/>
      <c r="BG22" s="36">
        <f t="shared" si="36"/>
        <v>0</v>
      </c>
      <c r="BH22" s="37">
        <f t="shared" si="37"/>
        <v>0</v>
      </c>
      <c r="BI22" s="38"/>
      <c r="BJ22" s="36">
        <f t="shared" si="38"/>
        <v>0</v>
      </c>
      <c r="BK22" s="37">
        <f t="shared" si="39"/>
        <v>0</v>
      </c>
      <c r="BL22" s="38"/>
      <c r="BM22" s="36">
        <f t="shared" si="40"/>
        <v>0</v>
      </c>
      <c r="BN22" s="37">
        <f t="shared" si="41"/>
        <v>0</v>
      </c>
      <c r="BO22" s="38"/>
      <c r="BP22" s="36">
        <f t="shared" si="42"/>
        <v>0</v>
      </c>
      <c r="BQ22" s="37">
        <f t="shared" si="43"/>
        <v>0</v>
      </c>
      <c r="BR22" s="38"/>
      <c r="BS22" s="36">
        <f t="shared" si="44"/>
        <v>0</v>
      </c>
      <c r="BT22" s="37">
        <f t="shared" si="45"/>
        <v>0</v>
      </c>
      <c r="BU22" s="38"/>
      <c r="BV22" s="36">
        <f t="shared" si="46"/>
        <v>0</v>
      </c>
      <c r="BW22" s="37">
        <f t="shared" si="47"/>
        <v>0</v>
      </c>
      <c r="BX22" s="38"/>
      <c r="BY22" s="36">
        <f t="shared" si="48"/>
        <v>0</v>
      </c>
      <c r="BZ22" s="37">
        <f t="shared" si="49"/>
        <v>0</v>
      </c>
      <c r="CA22" s="38"/>
      <c r="CB22" s="36">
        <f t="shared" si="50"/>
        <v>0</v>
      </c>
      <c r="CC22" s="37">
        <f t="shared" si="51"/>
        <v>0</v>
      </c>
      <c r="CD22" s="38"/>
      <c r="CE22" s="36">
        <f t="shared" si="52"/>
        <v>0</v>
      </c>
      <c r="CF22" s="37">
        <f t="shared" si="53"/>
        <v>0</v>
      </c>
      <c r="CG22" s="38"/>
      <c r="CH22" s="36">
        <f t="shared" si="54"/>
        <v>0</v>
      </c>
      <c r="CI22" s="37">
        <f t="shared" si="55"/>
        <v>0</v>
      </c>
      <c r="CJ22" s="38"/>
      <c r="CK22" s="36">
        <f t="shared" si="56"/>
        <v>0</v>
      </c>
      <c r="CL22" s="37">
        <f t="shared" si="57"/>
        <v>0</v>
      </c>
      <c r="CM22" s="38"/>
      <c r="CN22" s="36">
        <f t="shared" si="58"/>
        <v>0</v>
      </c>
      <c r="CO22" s="37">
        <f t="shared" si="59"/>
        <v>0</v>
      </c>
      <c r="CP22" s="38"/>
      <c r="CQ22" s="36">
        <f t="shared" si="60"/>
        <v>0</v>
      </c>
      <c r="CR22" s="37">
        <f t="shared" si="61"/>
        <v>0</v>
      </c>
      <c r="CS22" s="38"/>
      <c r="CT22" s="36">
        <f t="shared" si="62"/>
        <v>0</v>
      </c>
      <c r="CU22" s="37">
        <f t="shared" si="63"/>
        <v>0</v>
      </c>
      <c r="CV22" s="38"/>
      <c r="CW22" s="36">
        <f t="shared" si="64"/>
        <v>0</v>
      </c>
      <c r="CX22" s="37">
        <f t="shared" si="65"/>
        <v>0</v>
      </c>
      <c r="CY22" s="38"/>
      <c r="CZ22" s="36">
        <f t="shared" si="66"/>
        <v>0</v>
      </c>
      <c r="DA22" s="37">
        <f t="shared" si="67"/>
        <v>0</v>
      </c>
      <c r="DB22" s="38"/>
      <c r="DC22" s="36">
        <f t="shared" si="68"/>
        <v>0</v>
      </c>
      <c r="DD22" s="37">
        <f t="shared" si="69"/>
        <v>0</v>
      </c>
      <c r="DE22" s="38"/>
      <c r="DF22" s="36">
        <f t="shared" si="70"/>
        <v>0</v>
      </c>
      <c r="DG22" s="37">
        <f t="shared" si="71"/>
        <v>0</v>
      </c>
      <c r="DH22" s="38"/>
      <c r="DI22" s="36">
        <f t="shared" si="72"/>
        <v>0</v>
      </c>
      <c r="DJ22" s="37">
        <f t="shared" si="73"/>
        <v>0</v>
      </c>
      <c r="DK22" s="38"/>
      <c r="DL22" s="36">
        <f t="shared" si="74"/>
        <v>0</v>
      </c>
      <c r="DM22" s="37">
        <f t="shared" si="75"/>
        <v>0</v>
      </c>
      <c r="DN22" s="38"/>
      <c r="DO22" s="36">
        <f t="shared" si="76"/>
        <v>0</v>
      </c>
      <c r="DP22" s="37">
        <f t="shared" si="77"/>
        <v>0</v>
      </c>
      <c r="DQ22" s="38"/>
      <c r="DR22" s="38"/>
      <c r="DS22" s="38"/>
      <c r="DT22" s="33">
        <f t="shared" si="83"/>
        <v>0</v>
      </c>
      <c r="DU22" s="33">
        <f t="shared" si="84"/>
        <v>0</v>
      </c>
      <c r="DV22" s="33">
        <f t="shared" si="85"/>
        <v>0</v>
      </c>
    </row>
    <row r="23" spans="1:126" s="8" customFormat="1" ht="21.95" customHeight="1" thickBot="1" x14ac:dyDescent="0.65">
      <c r="A23" s="10"/>
      <c r="B23" s="20"/>
      <c r="C23" s="19"/>
      <c r="D23" s="39">
        <f t="shared" ref="D23:AI23" si="86">SUM(D16:D22)</f>
        <v>3688</v>
      </c>
      <c r="E23" s="39">
        <f t="shared" si="86"/>
        <v>51632</v>
      </c>
      <c r="F23" s="40">
        <f t="shared" si="86"/>
        <v>33044.479999999996</v>
      </c>
      <c r="G23" s="39">
        <f t="shared" si="86"/>
        <v>2</v>
      </c>
      <c r="H23" s="39">
        <f t="shared" si="86"/>
        <v>24</v>
      </c>
      <c r="I23" s="40">
        <f t="shared" si="86"/>
        <v>24</v>
      </c>
      <c r="J23" s="39">
        <f t="shared" si="86"/>
        <v>1437.2857142857142</v>
      </c>
      <c r="K23" s="39">
        <f t="shared" si="86"/>
        <v>20122</v>
      </c>
      <c r="L23" s="40">
        <f t="shared" si="86"/>
        <v>12878.08</v>
      </c>
      <c r="M23" s="39">
        <f t="shared" si="86"/>
        <v>22</v>
      </c>
      <c r="N23" s="39">
        <f t="shared" si="86"/>
        <v>264</v>
      </c>
      <c r="O23" s="40">
        <f t="shared" si="86"/>
        <v>184.8</v>
      </c>
      <c r="P23" s="39">
        <f t="shared" si="86"/>
        <v>57</v>
      </c>
      <c r="Q23" s="39">
        <f t="shared" si="86"/>
        <v>798</v>
      </c>
      <c r="R23" s="40">
        <f t="shared" si="86"/>
        <v>510.72</v>
      </c>
      <c r="S23" s="39">
        <f t="shared" si="86"/>
        <v>0</v>
      </c>
      <c r="T23" s="39">
        <f t="shared" si="86"/>
        <v>0</v>
      </c>
      <c r="U23" s="40">
        <f t="shared" si="86"/>
        <v>0</v>
      </c>
      <c r="V23" s="39">
        <f t="shared" si="86"/>
        <v>0</v>
      </c>
      <c r="W23" s="39">
        <f t="shared" si="86"/>
        <v>0</v>
      </c>
      <c r="X23" s="40">
        <f t="shared" si="86"/>
        <v>0</v>
      </c>
      <c r="Y23" s="39">
        <f t="shared" si="86"/>
        <v>0</v>
      </c>
      <c r="Z23" s="39">
        <f t="shared" si="86"/>
        <v>0</v>
      </c>
      <c r="AA23" s="40">
        <f t="shared" si="86"/>
        <v>0</v>
      </c>
      <c r="AB23" s="39">
        <f t="shared" si="86"/>
        <v>0</v>
      </c>
      <c r="AC23" s="39">
        <f t="shared" si="86"/>
        <v>0</v>
      </c>
      <c r="AD23" s="40">
        <f t="shared" si="86"/>
        <v>0</v>
      </c>
      <c r="AE23" s="39">
        <f t="shared" si="86"/>
        <v>3147</v>
      </c>
      <c r="AF23" s="39">
        <f t="shared" si="86"/>
        <v>44058</v>
      </c>
      <c r="AG23" s="40">
        <f t="shared" si="86"/>
        <v>28197.119999999999</v>
      </c>
      <c r="AH23" s="39">
        <f t="shared" si="86"/>
        <v>2832.3333333333335</v>
      </c>
      <c r="AI23" s="39">
        <f t="shared" si="86"/>
        <v>33988</v>
      </c>
      <c r="AJ23" s="40">
        <f t="shared" ref="AJ23:BO23" si="87">SUM(AJ16:AJ22)</f>
        <v>33988</v>
      </c>
      <c r="AK23" s="39">
        <f t="shared" si="87"/>
        <v>18</v>
      </c>
      <c r="AL23" s="39">
        <f t="shared" si="87"/>
        <v>216</v>
      </c>
      <c r="AM23" s="40">
        <f t="shared" si="87"/>
        <v>129.6</v>
      </c>
      <c r="AN23" s="39">
        <f t="shared" si="87"/>
        <v>8</v>
      </c>
      <c r="AO23" s="39">
        <f t="shared" si="87"/>
        <v>96</v>
      </c>
      <c r="AP23" s="40">
        <f t="shared" si="87"/>
        <v>57.599999999999994</v>
      </c>
      <c r="AQ23" s="39">
        <f t="shared" si="87"/>
        <v>145.79166666666669</v>
      </c>
      <c r="AR23" s="39">
        <f t="shared" si="87"/>
        <v>3499</v>
      </c>
      <c r="AS23" s="40">
        <f t="shared" si="87"/>
        <v>2239.36</v>
      </c>
      <c r="AT23" s="39">
        <f t="shared" si="87"/>
        <v>12</v>
      </c>
      <c r="AU23" s="39">
        <f t="shared" si="87"/>
        <v>144</v>
      </c>
      <c r="AV23" s="40">
        <f t="shared" si="87"/>
        <v>86.4</v>
      </c>
      <c r="AW23" s="39">
        <f t="shared" si="87"/>
        <v>351</v>
      </c>
      <c r="AX23" s="39">
        <f t="shared" si="87"/>
        <v>4914</v>
      </c>
      <c r="AY23" s="40">
        <f t="shared" si="87"/>
        <v>3144.9600000000005</v>
      </c>
      <c r="AZ23" s="39">
        <f t="shared" si="87"/>
        <v>281</v>
      </c>
      <c r="BA23" s="39">
        <f t="shared" si="87"/>
        <v>6744</v>
      </c>
      <c r="BB23" s="40">
        <f t="shared" si="87"/>
        <v>4316.16</v>
      </c>
      <c r="BC23" s="39">
        <f t="shared" si="87"/>
        <v>3091</v>
      </c>
      <c r="BD23" s="39">
        <f t="shared" si="87"/>
        <v>43274</v>
      </c>
      <c r="BE23" s="40">
        <f t="shared" si="87"/>
        <v>27695.360000000001</v>
      </c>
      <c r="BF23" s="39">
        <f t="shared" si="87"/>
        <v>5266</v>
      </c>
      <c r="BG23" s="39">
        <f t="shared" si="87"/>
        <v>73724</v>
      </c>
      <c r="BH23" s="40">
        <f t="shared" si="87"/>
        <v>47183.360000000001</v>
      </c>
      <c r="BI23" s="39">
        <f t="shared" si="87"/>
        <v>6815</v>
      </c>
      <c r="BJ23" s="39">
        <f t="shared" si="87"/>
        <v>163560</v>
      </c>
      <c r="BK23" s="40">
        <f t="shared" si="87"/>
        <v>104678.40000000001</v>
      </c>
      <c r="BL23" s="39">
        <f t="shared" si="87"/>
        <v>1429</v>
      </c>
      <c r="BM23" s="39">
        <f t="shared" si="87"/>
        <v>20006</v>
      </c>
      <c r="BN23" s="40">
        <f t="shared" si="87"/>
        <v>12803.84</v>
      </c>
      <c r="BO23" s="39">
        <f t="shared" si="87"/>
        <v>259</v>
      </c>
      <c r="BP23" s="39">
        <f t="shared" ref="BP23:CU23" si="88">SUM(BP16:BP22)</f>
        <v>3626</v>
      </c>
      <c r="BQ23" s="40">
        <f t="shared" si="88"/>
        <v>2320.6400000000003</v>
      </c>
      <c r="BR23" s="39">
        <f t="shared" si="88"/>
        <v>263</v>
      </c>
      <c r="BS23" s="39">
        <f t="shared" si="88"/>
        <v>6312</v>
      </c>
      <c r="BT23" s="40">
        <f t="shared" si="88"/>
        <v>4039.6800000000003</v>
      </c>
      <c r="BU23" s="39">
        <f t="shared" si="88"/>
        <v>1863</v>
      </c>
      <c r="BV23" s="39">
        <f t="shared" si="88"/>
        <v>26082</v>
      </c>
      <c r="BW23" s="40">
        <f t="shared" si="88"/>
        <v>16692.48</v>
      </c>
      <c r="BX23" s="39">
        <f t="shared" si="88"/>
        <v>0</v>
      </c>
      <c r="BY23" s="39">
        <f t="shared" si="88"/>
        <v>0</v>
      </c>
      <c r="BZ23" s="40">
        <f t="shared" si="88"/>
        <v>0</v>
      </c>
      <c r="CA23" s="39">
        <f t="shared" si="88"/>
        <v>0</v>
      </c>
      <c r="CB23" s="39">
        <f t="shared" si="88"/>
        <v>0</v>
      </c>
      <c r="CC23" s="40">
        <f t="shared" si="88"/>
        <v>0</v>
      </c>
      <c r="CD23" s="39">
        <f t="shared" si="88"/>
        <v>8</v>
      </c>
      <c r="CE23" s="39">
        <f t="shared" si="88"/>
        <v>96</v>
      </c>
      <c r="CF23" s="40">
        <f t="shared" si="88"/>
        <v>65.28</v>
      </c>
      <c r="CG23" s="39">
        <f t="shared" si="88"/>
        <v>40</v>
      </c>
      <c r="CH23" s="39">
        <f t="shared" si="88"/>
        <v>480</v>
      </c>
      <c r="CI23" s="40">
        <f t="shared" si="88"/>
        <v>336</v>
      </c>
      <c r="CJ23" s="39">
        <f t="shared" si="88"/>
        <v>105</v>
      </c>
      <c r="CK23" s="39">
        <f t="shared" si="88"/>
        <v>1470</v>
      </c>
      <c r="CL23" s="40">
        <f t="shared" si="88"/>
        <v>940.80000000000007</v>
      </c>
      <c r="CM23" s="39">
        <f t="shared" si="88"/>
        <v>15</v>
      </c>
      <c r="CN23" s="39">
        <f t="shared" si="88"/>
        <v>210</v>
      </c>
      <c r="CO23" s="40">
        <f t="shared" si="88"/>
        <v>134.4</v>
      </c>
      <c r="CP23" s="39">
        <f t="shared" si="88"/>
        <v>0</v>
      </c>
      <c r="CQ23" s="39">
        <f t="shared" si="88"/>
        <v>0</v>
      </c>
      <c r="CR23" s="40">
        <f t="shared" si="88"/>
        <v>0</v>
      </c>
      <c r="CS23" s="39">
        <f t="shared" si="88"/>
        <v>423</v>
      </c>
      <c r="CT23" s="39">
        <f t="shared" si="88"/>
        <v>10152</v>
      </c>
      <c r="CU23" s="40">
        <f t="shared" si="88"/>
        <v>6091.2</v>
      </c>
      <c r="CV23" s="39">
        <f t="shared" ref="CV23:DV23" si="89">SUM(CV16:CV22)</f>
        <v>13</v>
      </c>
      <c r="CW23" s="39">
        <f t="shared" si="89"/>
        <v>312</v>
      </c>
      <c r="CX23" s="40">
        <f t="shared" si="89"/>
        <v>187.2</v>
      </c>
      <c r="CY23" s="39">
        <f t="shared" si="89"/>
        <v>284</v>
      </c>
      <c r="CZ23" s="39">
        <f t="shared" si="89"/>
        <v>3408</v>
      </c>
      <c r="DA23" s="40">
        <f t="shared" si="89"/>
        <v>3408</v>
      </c>
      <c r="DB23" s="39">
        <f t="shared" si="89"/>
        <v>50</v>
      </c>
      <c r="DC23" s="39">
        <f t="shared" si="89"/>
        <v>600</v>
      </c>
      <c r="DD23" s="40">
        <f t="shared" si="89"/>
        <v>600</v>
      </c>
      <c r="DE23" s="39">
        <f t="shared" si="89"/>
        <v>0</v>
      </c>
      <c r="DF23" s="39">
        <f t="shared" si="89"/>
        <v>0</v>
      </c>
      <c r="DG23" s="40">
        <f t="shared" si="89"/>
        <v>0</v>
      </c>
      <c r="DH23" s="39">
        <f t="shared" si="89"/>
        <v>0</v>
      </c>
      <c r="DI23" s="39">
        <f t="shared" si="89"/>
        <v>0</v>
      </c>
      <c r="DJ23" s="40">
        <f t="shared" si="89"/>
        <v>0</v>
      </c>
      <c r="DK23" s="39">
        <f t="shared" si="89"/>
        <v>0</v>
      </c>
      <c r="DL23" s="39">
        <f t="shared" si="89"/>
        <v>0</v>
      </c>
      <c r="DM23" s="40">
        <f t="shared" si="89"/>
        <v>0</v>
      </c>
      <c r="DN23" s="39">
        <f t="shared" si="89"/>
        <v>0</v>
      </c>
      <c r="DO23" s="39">
        <f t="shared" si="89"/>
        <v>0</v>
      </c>
      <c r="DP23" s="40">
        <f t="shared" si="89"/>
        <v>0</v>
      </c>
      <c r="DQ23" s="39">
        <f t="shared" si="89"/>
        <v>0</v>
      </c>
      <c r="DR23" s="39">
        <f t="shared" si="89"/>
        <v>0</v>
      </c>
      <c r="DS23" s="39">
        <f t="shared" si="89"/>
        <v>0</v>
      </c>
      <c r="DT23" s="39">
        <f t="shared" si="89"/>
        <v>31925.410714285714</v>
      </c>
      <c r="DU23" s="39">
        <f t="shared" si="89"/>
        <v>519811</v>
      </c>
      <c r="DV23" s="40">
        <f t="shared" si="89"/>
        <v>345977.9200000001</v>
      </c>
    </row>
    <row r="24" spans="1:126" ht="21.95" customHeight="1" x14ac:dyDescent="0.6">
      <c r="A24" s="11"/>
      <c r="B24" s="12"/>
      <c r="C24" s="13"/>
      <c r="D24" s="41">
        <f>(D15+D23)</f>
        <v>9207</v>
      </c>
      <c r="E24" s="41">
        <f t="shared" ref="E24:BP24" si="90">(E15+E23)</f>
        <v>128898</v>
      </c>
      <c r="F24" s="41">
        <f t="shared" si="90"/>
        <v>82494.720000000001</v>
      </c>
      <c r="G24" s="41">
        <f t="shared" si="90"/>
        <v>113</v>
      </c>
      <c r="H24" s="41">
        <f t="shared" si="90"/>
        <v>1356</v>
      </c>
      <c r="I24" s="41">
        <f t="shared" si="90"/>
        <v>1356</v>
      </c>
      <c r="J24" s="41">
        <f t="shared" si="90"/>
        <v>3594.2857142857142</v>
      </c>
      <c r="K24" s="41">
        <f t="shared" si="90"/>
        <v>50320</v>
      </c>
      <c r="L24" s="41">
        <f t="shared" si="90"/>
        <v>32204.800000000003</v>
      </c>
      <c r="M24" s="41">
        <f t="shared" si="90"/>
        <v>102</v>
      </c>
      <c r="N24" s="41">
        <f t="shared" si="90"/>
        <v>1224</v>
      </c>
      <c r="O24" s="41">
        <f t="shared" si="90"/>
        <v>856.8</v>
      </c>
      <c r="P24" s="41">
        <f t="shared" si="90"/>
        <v>407</v>
      </c>
      <c r="Q24" s="41">
        <f t="shared" si="90"/>
        <v>5698</v>
      </c>
      <c r="R24" s="41">
        <f t="shared" si="90"/>
        <v>3646.7200000000003</v>
      </c>
      <c r="S24" s="41">
        <f t="shared" si="90"/>
        <v>10</v>
      </c>
      <c r="T24" s="41">
        <f t="shared" si="90"/>
        <v>120</v>
      </c>
      <c r="U24" s="41">
        <f t="shared" si="90"/>
        <v>84</v>
      </c>
      <c r="V24" s="41">
        <f t="shared" si="90"/>
        <v>0</v>
      </c>
      <c r="W24" s="41">
        <f t="shared" si="90"/>
        <v>0</v>
      </c>
      <c r="X24" s="41">
        <f t="shared" si="90"/>
        <v>0</v>
      </c>
      <c r="Y24" s="41">
        <f t="shared" si="90"/>
        <v>0</v>
      </c>
      <c r="Z24" s="41">
        <f t="shared" si="90"/>
        <v>0</v>
      </c>
      <c r="AA24" s="41">
        <f t="shared" si="90"/>
        <v>0</v>
      </c>
      <c r="AB24" s="41">
        <f t="shared" si="90"/>
        <v>0</v>
      </c>
      <c r="AC24" s="41">
        <f t="shared" si="90"/>
        <v>0</v>
      </c>
      <c r="AD24" s="41">
        <f t="shared" si="90"/>
        <v>0</v>
      </c>
      <c r="AE24" s="41">
        <f t="shared" si="90"/>
        <v>4194</v>
      </c>
      <c r="AF24" s="41">
        <f t="shared" si="90"/>
        <v>58716</v>
      </c>
      <c r="AG24" s="41">
        <f t="shared" si="90"/>
        <v>37578.239999999998</v>
      </c>
      <c r="AH24" s="41">
        <f t="shared" si="90"/>
        <v>4265.8333333333339</v>
      </c>
      <c r="AI24" s="41">
        <f t="shared" si="90"/>
        <v>51190</v>
      </c>
      <c r="AJ24" s="41">
        <f t="shared" si="90"/>
        <v>51190</v>
      </c>
      <c r="AK24" s="41">
        <f t="shared" si="90"/>
        <v>18</v>
      </c>
      <c r="AL24" s="41">
        <f t="shared" si="90"/>
        <v>216</v>
      </c>
      <c r="AM24" s="41">
        <f t="shared" si="90"/>
        <v>129.6</v>
      </c>
      <c r="AN24" s="41">
        <f t="shared" si="90"/>
        <v>54</v>
      </c>
      <c r="AO24" s="41">
        <f t="shared" si="90"/>
        <v>648</v>
      </c>
      <c r="AP24" s="41">
        <f t="shared" si="90"/>
        <v>388.79999999999995</v>
      </c>
      <c r="AQ24" s="41">
        <f t="shared" si="90"/>
        <v>340.79166666666669</v>
      </c>
      <c r="AR24" s="41">
        <f t="shared" si="90"/>
        <v>8179</v>
      </c>
      <c r="AS24" s="41">
        <f t="shared" si="90"/>
        <v>5234.5600000000004</v>
      </c>
      <c r="AT24" s="41">
        <f t="shared" si="90"/>
        <v>87</v>
      </c>
      <c r="AU24" s="41">
        <f t="shared" si="90"/>
        <v>1044</v>
      </c>
      <c r="AV24" s="41">
        <f t="shared" si="90"/>
        <v>626.4</v>
      </c>
      <c r="AW24" s="41">
        <f t="shared" si="90"/>
        <v>387</v>
      </c>
      <c r="AX24" s="41">
        <f t="shared" si="90"/>
        <v>5418</v>
      </c>
      <c r="AY24" s="41">
        <f t="shared" si="90"/>
        <v>3467.5200000000004</v>
      </c>
      <c r="AZ24" s="41">
        <f t="shared" si="90"/>
        <v>515</v>
      </c>
      <c r="BA24" s="41">
        <f t="shared" si="90"/>
        <v>12360</v>
      </c>
      <c r="BB24" s="41">
        <f t="shared" si="90"/>
        <v>7910.4</v>
      </c>
      <c r="BC24" s="41">
        <f t="shared" si="90"/>
        <v>4191</v>
      </c>
      <c r="BD24" s="41">
        <f t="shared" si="90"/>
        <v>58674</v>
      </c>
      <c r="BE24" s="41">
        <f t="shared" si="90"/>
        <v>37551.360000000001</v>
      </c>
      <c r="BF24" s="41">
        <f t="shared" si="90"/>
        <v>9249</v>
      </c>
      <c r="BG24" s="41">
        <f t="shared" si="90"/>
        <v>129486</v>
      </c>
      <c r="BH24" s="41">
        <f t="shared" si="90"/>
        <v>82871.040000000008</v>
      </c>
      <c r="BI24" s="41">
        <f t="shared" si="90"/>
        <v>7732</v>
      </c>
      <c r="BJ24" s="41">
        <f t="shared" si="90"/>
        <v>185568</v>
      </c>
      <c r="BK24" s="41">
        <f t="shared" si="90"/>
        <v>118763.52</v>
      </c>
      <c r="BL24" s="41">
        <f t="shared" si="90"/>
        <v>1429</v>
      </c>
      <c r="BM24" s="41">
        <f t="shared" si="90"/>
        <v>20006</v>
      </c>
      <c r="BN24" s="41">
        <f t="shared" si="90"/>
        <v>12803.84</v>
      </c>
      <c r="BO24" s="41">
        <f t="shared" si="90"/>
        <v>259</v>
      </c>
      <c r="BP24" s="41">
        <f t="shared" si="90"/>
        <v>3626</v>
      </c>
      <c r="BQ24" s="41">
        <f t="shared" ref="BQ24:DV24" si="91">(BQ15+BQ23)</f>
        <v>2320.6400000000003</v>
      </c>
      <c r="BR24" s="41">
        <f t="shared" si="91"/>
        <v>293</v>
      </c>
      <c r="BS24" s="41">
        <f t="shared" si="91"/>
        <v>7032</v>
      </c>
      <c r="BT24" s="41">
        <f t="shared" si="91"/>
        <v>4500.4800000000005</v>
      </c>
      <c r="BU24" s="41">
        <f t="shared" si="91"/>
        <v>3388</v>
      </c>
      <c r="BV24" s="41">
        <f t="shared" si="91"/>
        <v>47432</v>
      </c>
      <c r="BW24" s="41">
        <f t="shared" si="91"/>
        <v>30356.48</v>
      </c>
      <c r="BX24" s="41">
        <f t="shared" si="91"/>
        <v>0</v>
      </c>
      <c r="BY24" s="41">
        <f t="shared" si="91"/>
        <v>0</v>
      </c>
      <c r="BZ24" s="41">
        <f t="shared" si="91"/>
        <v>0</v>
      </c>
      <c r="CA24" s="41">
        <f t="shared" si="91"/>
        <v>0</v>
      </c>
      <c r="CB24" s="41">
        <f t="shared" si="91"/>
        <v>0</v>
      </c>
      <c r="CC24" s="41">
        <f t="shared" si="91"/>
        <v>0</v>
      </c>
      <c r="CD24" s="41">
        <f t="shared" si="91"/>
        <v>8</v>
      </c>
      <c r="CE24" s="41">
        <f t="shared" si="91"/>
        <v>96</v>
      </c>
      <c r="CF24" s="41">
        <f t="shared" si="91"/>
        <v>65.28</v>
      </c>
      <c r="CG24" s="41">
        <f t="shared" si="91"/>
        <v>275</v>
      </c>
      <c r="CH24" s="41">
        <f t="shared" si="91"/>
        <v>3300</v>
      </c>
      <c r="CI24" s="41">
        <f t="shared" si="91"/>
        <v>2310</v>
      </c>
      <c r="CJ24" s="41">
        <f t="shared" si="91"/>
        <v>130</v>
      </c>
      <c r="CK24" s="41">
        <f t="shared" si="91"/>
        <v>1820</v>
      </c>
      <c r="CL24" s="41">
        <f t="shared" si="91"/>
        <v>1164.8000000000002</v>
      </c>
      <c r="CM24" s="41">
        <f t="shared" si="91"/>
        <v>15</v>
      </c>
      <c r="CN24" s="41">
        <f t="shared" si="91"/>
        <v>210</v>
      </c>
      <c r="CO24" s="41">
        <f t="shared" si="91"/>
        <v>134.4</v>
      </c>
      <c r="CP24" s="41">
        <f t="shared" si="91"/>
        <v>0</v>
      </c>
      <c r="CQ24" s="41">
        <f t="shared" si="91"/>
        <v>0</v>
      </c>
      <c r="CR24" s="41">
        <f t="shared" si="91"/>
        <v>0</v>
      </c>
      <c r="CS24" s="41">
        <f t="shared" si="91"/>
        <v>1135</v>
      </c>
      <c r="CT24" s="41">
        <f t="shared" si="91"/>
        <v>27240</v>
      </c>
      <c r="CU24" s="41">
        <f t="shared" si="91"/>
        <v>16344</v>
      </c>
      <c r="CV24" s="41">
        <f t="shared" si="91"/>
        <v>33</v>
      </c>
      <c r="CW24" s="41">
        <f t="shared" si="91"/>
        <v>792</v>
      </c>
      <c r="CX24" s="41">
        <f t="shared" si="91"/>
        <v>475.2</v>
      </c>
      <c r="CY24" s="41">
        <f t="shared" si="91"/>
        <v>939.5</v>
      </c>
      <c r="CZ24" s="41">
        <f t="shared" si="91"/>
        <v>11274</v>
      </c>
      <c r="DA24" s="41">
        <f t="shared" si="91"/>
        <v>11274</v>
      </c>
      <c r="DB24" s="41">
        <f t="shared" si="91"/>
        <v>87</v>
      </c>
      <c r="DC24" s="41">
        <f t="shared" si="91"/>
        <v>1044</v>
      </c>
      <c r="DD24" s="41">
        <f t="shared" si="91"/>
        <v>1044</v>
      </c>
      <c r="DE24" s="41">
        <f t="shared" si="91"/>
        <v>0</v>
      </c>
      <c r="DF24" s="41">
        <f t="shared" si="91"/>
        <v>0</v>
      </c>
      <c r="DG24" s="41">
        <f t="shared" si="91"/>
        <v>0</v>
      </c>
      <c r="DH24" s="41">
        <f t="shared" si="91"/>
        <v>0</v>
      </c>
      <c r="DI24" s="41">
        <f t="shared" si="91"/>
        <v>0</v>
      </c>
      <c r="DJ24" s="41">
        <f t="shared" si="91"/>
        <v>0</v>
      </c>
      <c r="DK24" s="41">
        <f t="shared" si="91"/>
        <v>0</v>
      </c>
      <c r="DL24" s="41">
        <f t="shared" si="91"/>
        <v>0</v>
      </c>
      <c r="DM24" s="41">
        <f t="shared" si="91"/>
        <v>0</v>
      </c>
      <c r="DN24" s="41">
        <f t="shared" si="91"/>
        <v>0</v>
      </c>
      <c r="DO24" s="41">
        <f t="shared" si="91"/>
        <v>0</v>
      </c>
      <c r="DP24" s="41">
        <f t="shared" si="91"/>
        <v>0</v>
      </c>
      <c r="DQ24" s="41">
        <f t="shared" si="91"/>
        <v>0</v>
      </c>
      <c r="DR24" s="41">
        <f t="shared" si="91"/>
        <v>0</v>
      </c>
      <c r="DS24" s="41">
        <f t="shared" si="91"/>
        <v>0</v>
      </c>
      <c r="DT24" s="41">
        <f t="shared" si="91"/>
        <v>52458.41071428571</v>
      </c>
      <c r="DU24" s="41">
        <f t="shared" si="91"/>
        <v>822987</v>
      </c>
      <c r="DV24" s="41">
        <f t="shared" si="91"/>
        <v>549147.60000000009</v>
      </c>
    </row>
    <row r="25" spans="1:126" x14ac:dyDescent="0.6"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</row>
    <row r="26" spans="1:126" x14ac:dyDescent="0.6">
      <c r="B26" s="42" t="s">
        <v>62</v>
      </c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</row>
    <row r="27" spans="1:126" ht="122.25" customHeight="1" x14ac:dyDescent="0.6">
      <c r="B27" s="2" t="s">
        <v>1</v>
      </c>
      <c r="C27" s="2" t="s">
        <v>2</v>
      </c>
      <c r="D27" s="3" t="s">
        <v>8</v>
      </c>
      <c r="E27" s="3" t="s">
        <v>11</v>
      </c>
      <c r="F27" s="24" t="s">
        <v>10</v>
      </c>
      <c r="G27" s="3" t="s">
        <v>12</v>
      </c>
      <c r="H27" s="3" t="s">
        <v>11</v>
      </c>
      <c r="I27" s="24" t="s">
        <v>10</v>
      </c>
      <c r="J27" s="3" t="s">
        <v>13</v>
      </c>
      <c r="K27" s="3" t="s">
        <v>11</v>
      </c>
      <c r="L27" s="24" t="s">
        <v>10</v>
      </c>
      <c r="M27" s="3" t="s">
        <v>14</v>
      </c>
      <c r="N27" s="3" t="s">
        <v>11</v>
      </c>
      <c r="O27" s="24" t="s">
        <v>10</v>
      </c>
      <c r="P27" s="3" t="s">
        <v>15</v>
      </c>
      <c r="Q27" s="3" t="s">
        <v>11</v>
      </c>
      <c r="R27" s="24" t="s">
        <v>10</v>
      </c>
      <c r="S27" s="3" t="s">
        <v>16</v>
      </c>
      <c r="T27" s="3" t="s">
        <v>11</v>
      </c>
      <c r="U27" s="24" t="s">
        <v>10</v>
      </c>
      <c r="V27" s="3" t="s">
        <v>17</v>
      </c>
      <c r="W27" s="3" t="s">
        <v>11</v>
      </c>
      <c r="X27" s="24" t="s">
        <v>10</v>
      </c>
      <c r="Y27" s="3" t="s">
        <v>18</v>
      </c>
      <c r="Z27" s="3" t="s">
        <v>11</v>
      </c>
      <c r="AA27" s="24" t="s">
        <v>10</v>
      </c>
      <c r="AB27" s="3" t="s">
        <v>18</v>
      </c>
      <c r="AC27" s="3" t="s">
        <v>11</v>
      </c>
      <c r="AD27" s="24" t="s">
        <v>10</v>
      </c>
      <c r="AE27" s="3" t="s">
        <v>19</v>
      </c>
      <c r="AF27" s="3" t="s">
        <v>11</v>
      </c>
      <c r="AG27" s="24" t="s">
        <v>10</v>
      </c>
      <c r="AH27" s="3" t="s">
        <v>54</v>
      </c>
      <c r="AI27" s="3" t="s">
        <v>11</v>
      </c>
      <c r="AJ27" s="24" t="s">
        <v>10</v>
      </c>
      <c r="AK27" s="3" t="s">
        <v>55</v>
      </c>
      <c r="AL27" s="3" t="s">
        <v>11</v>
      </c>
      <c r="AM27" s="24" t="s">
        <v>10</v>
      </c>
      <c r="AN27" s="3" t="s">
        <v>56</v>
      </c>
      <c r="AO27" s="3" t="s">
        <v>11</v>
      </c>
      <c r="AP27" s="24" t="s">
        <v>10</v>
      </c>
      <c r="AQ27" s="3" t="s">
        <v>57</v>
      </c>
      <c r="AR27" s="3" t="s">
        <v>11</v>
      </c>
      <c r="AS27" s="24" t="s">
        <v>10</v>
      </c>
      <c r="AT27" s="3" t="s">
        <v>60</v>
      </c>
      <c r="AU27" s="3" t="s">
        <v>11</v>
      </c>
      <c r="AV27" s="24" t="s">
        <v>10</v>
      </c>
      <c r="AW27" s="3" t="s">
        <v>61</v>
      </c>
      <c r="AX27" s="3" t="s">
        <v>11</v>
      </c>
      <c r="AY27" s="24" t="s">
        <v>10</v>
      </c>
      <c r="AZ27" s="3" t="s">
        <v>20</v>
      </c>
      <c r="BA27" s="3" t="s">
        <v>11</v>
      </c>
      <c r="BB27" s="24" t="s">
        <v>10</v>
      </c>
      <c r="BC27" s="3" t="s">
        <v>21</v>
      </c>
      <c r="BD27" s="3" t="s">
        <v>11</v>
      </c>
      <c r="BE27" s="24" t="s">
        <v>10</v>
      </c>
      <c r="BF27" s="3" t="s">
        <v>22</v>
      </c>
      <c r="BG27" s="3" t="s">
        <v>11</v>
      </c>
      <c r="BH27" s="24" t="s">
        <v>10</v>
      </c>
      <c r="BI27" s="3" t="s">
        <v>23</v>
      </c>
      <c r="BJ27" s="3" t="s">
        <v>11</v>
      </c>
      <c r="BK27" s="24" t="s">
        <v>10</v>
      </c>
      <c r="BL27" s="3" t="s">
        <v>24</v>
      </c>
      <c r="BM27" s="3" t="s">
        <v>11</v>
      </c>
      <c r="BN27" s="24" t="s">
        <v>10</v>
      </c>
      <c r="BO27" s="3" t="s">
        <v>25</v>
      </c>
      <c r="BP27" s="3" t="s">
        <v>11</v>
      </c>
      <c r="BQ27" s="24" t="s">
        <v>10</v>
      </c>
      <c r="BR27" s="3" t="s">
        <v>26</v>
      </c>
      <c r="BS27" s="3" t="s">
        <v>11</v>
      </c>
      <c r="BT27" s="24" t="s">
        <v>10</v>
      </c>
      <c r="BU27" s="3" t="s">
        <v>27</v>
      </c>
      <c r="BV27" s="3" t="s">
        <v>11</v>
      </c>
      <c r="BW27" s="24" t="s">
        <v>10</v>
      </c>
      <c r="BX27" s="14" t="s">
        <v>28</v>
      </c>
      <c r="BY27" s="3" t="s">
        <v>11</v>
      </c>
      <c r="BZ27" s="23" t="s">
        <v>10</v>
      </c>
      <c r="CA27" s="14" t="s">
        <v>3</v>
      </c>
      <c r="CB27" s="3" t="s">
        <v>11</v>
      </c>
      <c r="CC27" s="23" t="s">
        <v>10</v>
      </c>
      <c r="CD27" s="14" t="s">
        <v>29</v>
      </c>
      <c r="CE27" s="3" t="s">
        <v>11</v>
      </c>
      <c r="CF27" s="23" t="s">
        <v>10</v>
      </c>
      <c r="CG27" s="4" t="s">
        <v>30</v>
      </c>
      <c r="CH27" s="3" t="s">
        <v>11</v>
      </c>
      <c r="CI27" s="5" t="s">
        <v>10</v>
      </c>
      <c r="CJ27" s="4" t="s">
        <v>31</v>
      </c>
      <c r="CK27" s="3" t="s">
        <v>11</v>
      </c>
      <c r="CL27" s="5" t="s">
        <v>10</v>
      </c>
      <c r="CM27" s="34" t="s">
        <v>32</v>
      </c>
      <c r="CN27" s="3" t="s">
        <v>11</v>
      </c>
      <c r="CO27" s="5" t="s">
        <v>10</v>
      </c>
      <c r="CP27" s="34" t="s">
        <v>33</v>
      </c>
      <c r="CQ27" s="3" t="s">
        <v>11</v>
      </c>
      <c r="CR27" s="5" t="s">
        <v>10</v>
      </c>
      <c r="CS27" s="34" t="s">
        <v>34</v>
      </c>
      <c r="CT27" s="3" t="s">
        <v>11</v>
      </c>
      <c r="CU27" s="5" t="s">
        <v>10</v>
      </c>
      <c r="CV27" s="35" t="s">
        <v>35</v>
      </c>
      <c r="CW27" s="3" t="s">
        <v>11</v>
      </c>
      <c r="CX27" s="22" t="s">
        <v>10</v>
      </c>
      <c r="CY27" s="35" t="s">
        <v>36</v>
      </c>
      <c r="CZ27" s="3" t="s">
        <v>11</v>
      </c>
      <c r="DA27" s="22" t="s">
        <v>10</v>
      </c>
      <c r="DB27" s="35" t="s">
        <v>38</v>
      </c>
      <c r="DC27" s="3" t="s">
        <v>11</v>
      </c>
      <c r="DD27" s="22" t="s">
        <v>10</v>
      </c>
      <c r="DE27" s="6" t="s">
        <v>39</v>
      </c>
      <c r="DF27" s="3" t="s">
        <v>11</v>
      </c>
      <c r="DG27" s="21" t="s">
        <v>10</v>
      </c>
      <c r="DH27" s="4" t="s">
        <v>37</v>
      </c>
      <c r="DI27" s="3" t="s">
        <v>11</v>
      </c>
      <c r="DJ27" s="5" t="s">
        <v>10</v>
      </c>
      <c r="DK27" s="4" t="s">
        <v>40</v>
      </c>
      <c r="DL27" s="3" t="s">
        <v>11</v>
      </c>
      <c r="DM27" s="5" t="s">
        <v>10</v>
      </c>
      <c r="DN27" s="4"/>
      <c r="DO27" s="3" t="s">
        <v>11</v>
      </c>
      <c r="DP27" s="5" t="s">
        <v>10</v>
      </c>
      <c r="DQ27" s="4"/>
      <c r="DR27" s="4"/>
      <c r="DS27" s="4"/>
      <c r="DT27" s="3"/>
      <c r="DU27" s="17" t="s">
        <v>9</v>
      </c>
      <c r="DV27" s="26" t="s">
        <v>10</v>
      </c>
    </row>
    <row r="28" spans="1:126" x14ac:dyDescent="0.6">
      <c r="B28" s="43"/>
      <c r="C28" s="44"/>
      <c r="D28" s="43"/>
      <c r="E28" s="43">
        <v>14</v>
      </c>
      <c r="F28" s="45">
        <v>0.64</v>
      </c>
      <c r="G28" s="43"/>
      <c r="H28" s="43">
        <v>12</v>
      </c>
      <c r="I28" s="45">
        <v>1</v>
      </c>
      <c r="J28" s="43"/>
      <c r="K28" s="43">
        <v>14</v>
      </c>
      <c r="L28" s="45">
        <v>0.64</v>
      </c>
      <c r="M28" s="43"/>
      <c r="N28" s="43">
        <v>12</v>
      </c>
      <c r="O28" s="45">
        <v>0.7</v>
      </c>
      <c r="P28" s="43"/>
      <c r="Q28" s="43">
        <v>14</v>
      </c>
      <c r="R28" s="45">
        <v>0.64</v>
      </c>
      <c r="S28" s="43"/>
      <c r="T28" s="43">
        <v>12</v>
      </c>
      <c r="U28" s="45">
        <v>0.7</v>
      </c>
      <c r="V28" s="43"/>
      <c r="W28" s="43">
        <v>24</v>
      </c>
      <c r="X28" s="45">
        <v>0.35</v>
      </c>
      <c r="Y28" s="43"/>
      <c r="Z28" s="43">
        <v>12</v>
      </c>
      <c r="AA28" s="45">
        <v>1</v>
      </c>
      <c r="AB28" s="43"/>
      <c r="AC28" s="43">
        <v>12</v>
      </c>
      <c r="AD28" s="45">
        <v>0.6</v>
      </c>
      <c r="AE28" s="43"/>
      <c r="AF28" s="43">
        <v>14</v>
      </c>
      <c r="AG28" s="45">
        <v>0.64</v>
      </c>
      <c r="AH28" s="43"/>
      <c r="AI28" s="43">
        <v>12</v>
      </c>
      <c r="AJ28" s="45">
        <v>1</v>
      </c>
      <c r="AK28" s="43"/>
      <c r="AL28" s="43">
        <v>12</v>
      </c>
      <c r="AM28" s="45">
        <v>0.6</v>
      </c>
      <c r="AN28" s="43"/>
      <c r="AO28" s="43">
        <v>12</v>
      </c>
      <c r="AP28" s="45">
        <v>0.6</v>
      </c>
      <c r="AQ28" s="43"/>
      <c r="AR28" s="43">
        <v>24</v>
      </c>
      <c r="AS28" s="45">
        <v>0.64</v>
      </c>
      <c r="AT28" s="43"/>
      <c r="AU28" s="43">
        <v>12</v>
      </c>
      <c r="AV28" s="45">
        <v>0.6</v>
      </c>
      <c r="AW28" s="43"/>
      <c r="AX28" s="43">
        <v>14</v>
      </c>
      <c r="AY28" s="45">
        <v>0.64</v>
      </c>
      <c r="AZ28" s="43"/>
      <c r="BA28" s="43">
        <v>24</v>
      </c>
      <c r="BB28" s="45">
        <v>0.64</v>
      </c>
      <c r="BC28" s="43"/>
      <c r="BD28" s="43">
        <v>14</v>
      </c>
      <c r="BE28" s="45">
        <v>0.64</v>
      </c>
      <c r="BF28" s="43"/>
      <c r="BG28" s="43">
        <v>14</v>
      </c>
      <c r="BH28" s="45">
        <v>0.64</v>
      </c>
      <c r="BI28" s="43"/>
      <c r="BJ28" s="43">
        <v>24</v>
      </c>
      <c r="BK28" s="45">
        <v>0.64</v>
      </c>
      <c r="BL28" s="43"/>
      <c r="BM28" s="43">
        <v>14</v>
      </c>
      <c r="BN28" s="45">
        <v>0.64</v>
      </c>
      <c r="BO28" s="43"/>
      <c r="BP28" s="43">
        <v>14</v>
      </c>
      <c r="BQ28" s="45">
        <v>0.64</v>
      </c>
      <c r="BR28" s="43"/>
      <c r="BS28" s="43">
        <v>24</v>
      </c>
      <c r="BT28" s="45">
        <v>0.64</v>
      </c>
      <c r="BU28" s="43"/>
      <c r="BV28" s="43">
        <v>14</v>
      </c>
      <c r="BW28" s="45">
        <v>0.64</v>
      </c>
      <c r="BX28" s="43">
        <v>12</v>
      </c>
      <c r="BY28" s="43">
        <v>12</v>
      </c>
      <c r="BZ28" s="45">
        <v>1</v>
      </c>
      <c r="CA28" s="43"/>
      <c r="CB28" s="43">
        <v>12</v>
      </c>
      <c r="CC28" s="45">
        <v>0.6</v>
      </c>
      <c r="CD28" s="43"/>
      <c r="CE28" s="43">
        <v>12</v>
      </c>
      <c r="CF28" s="45">
        <v>0.68</v>
      </c>
      <c r="CG28" s="43"/>
      <c r="CH28" s="43">
        <v>12</v>
      </c>
      <c r="CI28" s="45">
        <v>0.7</v>
      </c>
      <c r="CJ28" s="43"/>
      <c r="CK28" s="43">
        <v>14</v>
      </c>
      <c r="CL28" s="45">
        <v>0.64</v>
      </c>
      <c r="CM28" s="43"/>
      <c r="CN28" s="43">
        <v>14</v>
      </c>
      <c r="CO28" s="45">
        <v>0.64</v>
      </c>
      <c r="CP28" s="43"/>
      <c r="CQ28" s="43">
        <v>14</v>
      </c>
      <c r="CR28" s="45">
        <v>0.64</v>
      </c>
      <c r="CS28" s="43"/>
      <c r="CT28" s="43">
        <v>24</v>
      </c>
      <c r="CU28" s="45">
        <v>0.6</v>
      </c>
      <c r="CV28" s="43"/>
      <c r="CW28" s="43">
        <v>24</v>
      </c>
      <c r="CX28" s="45">
        <v>0.6</v>
      </c>
      <c r="CY28" s="43"/>
      <c r="CZ28" s="43">
        <v>12</v>
      </c>
      <c r="DA28" s="45">
        <v>1</v>
      </c>
      <c r="DB28" s="43"/>
      <c r="DC28" s="43">
        <v>12</v>
      </c>
      <c r="DD28" s="45">
        <v>1</v>
      </c>
      <c r="DE28" s="43"/>
      <c r="DF28" s="43">
        <v>14</v>
      </c>
      <c r="DG28" s="45">
        <v>0.64</v>
      </c>
      <c r="DH28" s="43"/>
      <c r="DI28" s="43">
        <v>12</v>
      </c>
      <c r="DJ28" s="45">
        <v>1</v>
      </c>
      <c r="DK28" s="43"/>
      <c r="DL28" s="43">
        <v>12</v>
      </c>
      <c r="DM28" s="45">
        <v>1</v>
      </c>
      <c r="DN28" s="43"/>
      <c r="DO28" s="43">
        <v>12</v>
      </c>
      <c r="DP28" s="45">
        <v>1</v>
      </c>
      <c r="DQ28" s="43"/>
      <c r="DR28" s="43"/>
      <c r="DS28" s="43"/>
      <c r="DT28" s="43"/>
      <c r="DU28" s="28"/>
      <c r="DV28" s="46"/>
    </row>
    <row r="29" spans="1:126" x14ac:dyDescent="0.6">
      <c r="B29" s="29"/>
      <c r="C29" s="30"/>
      <c r="D29" s="31"/>
      <c r="E29" s="31"/>
      <c r="F29" s="27"/>
      <c r="G29" s="31"/>
      <c r="H29" s="31"/>
      <c r="I29" s="27"/>
      <c r="J29" s="31"/>
      <c r="K29" s="31"/>
      <c r="L29" s="27"/>
      <c r="M29" s="31"/>
      <c r="N29" s="31"/>
      <c r="O29" s="27"/>
      <c r="P29" s="31"/>
      <c r="Q29" s="31"/>
      <c r="R29" s="27"/>
      <c r="S29" s="31"/>
      <c r="T29" s="31"/>
      <c r="U29" s="27"/>
      <c r="V29" s="31"/>
      <c r="W29" s="31"/>
      <c r="X29" s="27"/>
      <c r="Y29" s="31"/>
      <c r="Z29" s="31"/>
      <c r="AA29" s="27"/>
      <c r="AB29" s="31"/>
      <c r="AC29" s="31"/>
      <c r="AD29" s="27"/>
      <c r="AE29" s="31"/>
      <c r="AF29" s="31"/>
      <c r="AG29" s="27"/>
      <c r="AH29" s="31"/>
      <c r="AI29" s="31"/>
      <c r="AJ29" s="27"/>
      <c r="AK29" s="31"/>
      <c r="AL29" s="31"/>
      <c r="AM29" s="27"/>
      <c r="AN29" s="31"/>
      <c r="AO29" s="31"/>
      <c r="AP29" s="27"/>
      <c r="AQ29" s="31"/>
      <c r="AR29" s="31"/>
      <c r="AS29" s="27"/>
      <c r="AT29" s="31"/>
      <c r="AU29" s="31"/>
      <c r="AV29" s="27"/>
      <c r="AW29" s="31"/>
      <c r="AX29" s="31"/>
      <c r="AY29" s="27"/>
      <c r="AZ29" s="31"/>
      <c r="BA29" s="31"/>
      <c r="BB29" s="27"/>
      <c r="BC29" s="31"/>
      <c r="BD29" s="31"/>
      <c r="BE29" s="27"/>
      <c r="BF29" s="31"/>
      <c r="BG29" s="31"/>
      <c r="BH29" s="27"/>
      <c r="BI29" s="31"/>
      <c r="BJ29" s="31"/>
      <c r="BK29" s="27"/>
      <c r="BL29" s="31"/>
      <c r="BM29" s="31"/>
      <c r="BN29" s="27"/>
      <c r="BO29" s="31"/>
      <c r="BP29" s="31"/>
      <c r="BQ29" s="27"/>
      <c r="BR29" s="31"/>
      <c r="BS29" s="31"/>
      <c r="BT29" s="27"/>
      <c r="BU29" s="31"/>
      <c r="BV29" s="31"/>
      <c r="BW29" s="27"/>
      <c r="BX29" s="31">
        <v>1</v>
      </c>
      <c r="BY29" s="31"/>
      <c r="BZ29" s="27"/>
      <c r="CA29" s="31"/>
      <c r="CB29" s="31"/>
      <c r="CC29" s="27"/>
      <c r="CD29" s="31"/>
      <c r="CE29" s="31"/>
      <c r="CF29" s="27"/>
      <c r="CG29" s="31"/>
      <c r="CH29" s="31"/>
      <c r="CI29" s="27"/>
      <c r="CJ29" s="31"/>
      <c r="CK29" s="31"/>
      <c r="CL29" s="27"/>
      <c r="CM29" s="31"/>
      <c r="CN29" s="31"/>
      <c r="CO29" s="27"/>
      <c r="CP29" s="31"/>
      <c r="CQ29" s="31"/>
      <c r="CR29" s="27"/>
      <c r="CS29" s="31"/>
      <c r="CT29" s="31"/>
      <c r="CU29" s="27"/>
      <c r="CV29" s="31"/>
      <c r="CW29" s="31"/>
      <c r="CX29" s="27"/>
      <c r="CY29" s="31"/>
      <c r="CZ29" s="31"/>
      <c r="DA29" s="27"/>
      <c r="DB29" s="31"/>
      <c r="DC29" s="31"/>
      <c r="DD29" s="27"/>
      <c r="DE29" s="31"/>
      <c r="DF29" s="31"/>
      <c r="DG29" s="27"/>
      <c r="DH29" s="31"/>
      <c r="DI29" s="31"/>
      <c r="DJ29" s="27"/>
      <c r="DK29" s="31"/>
      <c r="DL29" s="31"/>
      <c r="DM29" s="27"/>
      <c r="DN29" s="31"/>
      <c r="DO29" s="31"/>
      <c r="DP29" s="27"/>
      <c r="DQ29" s="31"/>
      <c r="DR29" s="31"/>
      <c r="DS29" s="31"/>
      <c r="DT29" s="31"/>
      <c r="DU29" s="32"/>
      <c r="DV29" s="16"/>
    </row>
    <row r="30" spans="1:126" x14ac:dyDescent="0.6">
      <c r="B30" s="49" t="s">
        <v>41</v>
      </c>
      <c r="C30" s="55" t="s">
        <v>6</v>
      </c>
      <c r="D30" s="36">
        <v>94</v>
      </c>
      <c r="E30" s="36">
        <f>+D30*$E$3</f>
        <v>1316</v>
      </c>
      <c r="F30" s="37">
        <f>+E30*$F$3</f>
        <v>842.24</v>
      </c>
      <c r="G30" s="36"/>
      <c r="H30" s="36">
        <f>+G30*$H$3</f>
        <v>0</v>
      </c>
      <c r="I30" s="37">
        <f>+H30*$I$3</f>
        <v>0</v>
      </c>
      <c r="J30" s="36"/>
      <c r="K30" s="36">
        <f>+J30*$K$3</f>
        <v>0</v>
      </c>
      <c r="L30" s="37">
        <f>+K30*$L$3</f>
        <v>0</v>
      </c>
      <c r="M30" s="36"/>
      <c r="N30" s="36">
        <f>+M30*$N$3</f>
        <v>0</v>
      </c>
      <c r="O30" s="37">
        <f>+N30*$O$3</f>
        <v>0</v>
      </c>
      <c r="P30" s="36"/>
      <c r="Q30" s="36">
        <f>+P30*$Q$3</f>
        <v>0</v>
      </c>
      <c r="R30" s="37">
        <f>+Q30*$R$3</f>
        <v>0</v>
      </c>
      <c r="S30" s="36"/>
      <c r="T30" s="36">
        <f>+S30*$T$3</f>
        <v>0</v>
      </c>
      <c r="U30" s="37">
        <f>+T30*$U$3</f>
        <v>0</v>
      </c>
      <c r="V30" s="36"/>
      <c r="W30" s="36">
        <f>+V30*$W$3</f>
        <v>0</v>
      </c>
      <c r="X30" s="37">
        <f>+W30*$X$3</f>
        <v>0</v>
      </c>
      <c r="Y30" s="36"/>
      <c r="Z30" s="36">
        <f>+Y30*$Z$3</f>
        <v>0</v>
      </c>
      <c r="AA30" s="37">
        <f>+Z30*$AA$3</f>
        <v>0</v>
      </c>
      <c r="AB30" s="36"/>
      <c r="AC30" s="36">
        <f>+AB30*$AC$3</f>
        <v>0</v>
      </c>
      <c r="AD30" s="37">
        <f>+AC30*$AD$3</f>
        <v>0</v>
      </c>
      <c r="AE30" s="36"/>
      <c r="AF30" s="36">
        <f>+AE30*$AF$3</f>
        <v>0</v>
      </c>
      <c r="AG30" s="37">
        <f>+AF30*$AG$3</f>
        <v>0</v>
      </c>
      <c r="AH30" s="36">
        <v>120</v>
      </c>
      <c r="AI30" s="36">
        <f>+AH30*$AI$3</f>
        <v>1440</v>
      </c>
      <c r="AJ30" s="37">
        <f>+AI30*$AJ$3</f>
        <v>1440</v>
      </c>
      <c r="AK30" s="36"/>
      <c r="AL30" s="36">
        <f>+AK30*$AL$3</f>
        <v>0</v>
      </c>
      <c r="AM30" s="37">
        <f>+AL30*$AM$3</f>
        <v>0</v>
      </c>
      <c r="AN30" s="36"/>
      <c r="AO30" s="36">
        <f>+AN30*$AO$3</f>
        <v>0</v>
      </c>
      <c r="AP30" s="37">
        <f>+AO30*$AP$3</f>
        <v>0</v>
      </c>
      <c r="AQ30" s="36">
        <v>10</v>
      </c>
      <c r="AR30" s="36">
        <f>+AQ30*$AR$3</f>
        <v>240</v>
      </c>
      <c r="AS30" s="37">
        <f>+AR30*$AS$3</f>
        <v>153.6</v>
      </c>
      <c r="AT30" s="36"/>
      <c r="AU30" s="36">
        <f>+AT30*$AU$3</f>
        <v>0</v>
      </c>
      <c r="AV30" s="37">
        <f>+AU30*$AV$3</f>
        <v>0</v>
      </c>
      <c r="AW30" s="36"/>
      <c r="AX30" s="36">
        <f>+AW30*$AX$3</f>
        <v>0</v>
      </c>
      <c r="AY30" s="37">
        <f>+AX30*$AY$3</f>
        <v>0</v>
      </c>
      <c r="AZ30" s="36"/>
      <c r="BA30" s="36">
        <f>+AZ30*$BA$3</f>
        <v>0</v>
      </c>
      <c r="BB30" s="37">
        <f>+BA30*$BB$3</f>
        <v>0</v>
      </c>
      <c r="BC30" s="36"/>
      <c r="BD30" s="36">
        <f>+BC30*$BD$3</f>
        <v>0</v>
      </c>
      <c r="BE30" s="37">
        <f>+BD30*$BE$3</f>
        <v>0</v>
      </c>
      <c r="BF30" s="36"/>
      <c r="BG30" s="36">
        <f>+BF30*$BG$3</f>
        <v>0</v>
      </c>
      <c r="BH30" s="37">
        <f>+BG30*$BH$3</f>
        <v>0</v>
      </c>
      <c r="BI30" s="36"/>
      <c r="BJ30" s="36">
        <f>+BI30*$BJ$3</f>
        <v>0</v>
      </c>
      <c r="BK30" s="37">
        <f>+BJ30*$BK$3</f>
        <v>0</v>
      </c>
      <c r="BL30" s="36"/>
      <c r="BM30" s="36">
        <f>+BL30*$BM$3</f>
        <v>0</v>
      </c>
      <c r="BN30" s="37">
        <f>+BM30*$BN$3</f>
        <v>0</v>
      </c>
      <c r="BO30" s="36"/>
      <c r="BP30" s="36">
        <f>+BO30*$BP$3</f>
        <v>0</v>
      </c>
      <c r="BQ30" s="37">
        <f>+BP30*$BQ$3</f>
        <v>0</v>
      </c>
      <c r="BR30" s="36"/>
      <c r="BS30" s="36">
        <f>+BR30*$BS$3</f>
        <v>0</v>
      </c>
      <c r="BT30" s="37">
        <f>+BS30*$BT$3</f>
        <v>0</v>
      </c>
      <c r="BU30" s="36"/>
      <c r="BV30" s="36">
        <f>+BU30*$BV$3</f>
        <v>0</v>
      </c>
      <c r="BW30" s="37">
        <f>+BV30*$BW$3</f>
        <v>0</v>
      </c>
      <c r="BX30" s="36"/>
      <c r="BY30" s="36">
        <f>+BX30*$BY$3</f>
        <v>0</v>
      </c>
      <c r="BZ30" s="37">
        <f>+BY30*$BZ$3</f>
        <v>0</v>
      </c>
      <c r="CA30" s="36"/>
      <c r="CB30" s="36">
        <f>+CA30*$CB$3</f>
        <v>0</v>
      </c>
      <c r="CC30" s="37">
        <f>+CB30*$CC$3</f>
        <v>0</v>
      </c>
      <c r="CD30" s="36"/>
      <c r="CE30" s="36">
        <f>+CD30*$CE$3</f>
        <v>0</v>
      </c>
      <c r="CF30" s="37">
        <f>+CE30*$CF$3</f>
        <v>0</v>
      </c>
      <c r="CG30" s="36"/>
      <c r="CH30" s="36">
        <f>+CG30*$CH$3</f>
        <v>0</v>
      </c>
      <c r="CI30" s="37">
        <f>+CH30*$CI$3</f>
        <v>0</v>
      </c>
      <c r="CJ30" s="36"/>
      <c r="CK30" s="36">
        <f>+CJ30*$CK$3</f>
        <v>0</v>
      </c>
      <c r="CL30" s="37">
        <f>+CK30*$CL$3</f>
        <v>0</v>
      </c>
      <c r="CM30" s="36"/>
      <c r="CN30" s="36">
        <f>+CM30*$CN$3</f>
        <v>0</v>
      </c>
      <c r="CO30" s="37">
        <f>+CN30*$CO$3</f>
        <v>0</v>
      </c>
      <c r="CP30" s="36"/>
      <c r="CQ30" s="36">
        <f>+CP30*$CQ$3</f>
        <v>0</v>
      </c>
      <c r="CR30" s="37">
        <f>+CQ30*$CR$3</f>
        <v>0</v>
      </c>
      <c r="CS30" s="36">
        <v>3</v>
      </c>
      <c r="CT30" s="36">
        <f>+CS30*$CT$3</f>
        <v>72</v>
      </c>
      <c r="CU30" s="37">
        <f>+CT30*$CU$3</f>
        <v>43.199999999999996</v>
      </c>
      <c r="CV30" s="36"/>
      <c r="CW30" s="36">
        <f>+CV30*$CW$3</f>
        <v>0</v>
      </c>
      <c r="CX30" s="37">
        <f>+CW30*$CX$3</f>
        <v>0</v>
      </c>
      <c r="CY30" s="36">
        <v>104</v>
      </c>
      <c r="CZ30" s="36">
        <f>+CY30*$CZ$3</f>
        <v>1248</v>
      </c>
      <c r="DA30" s="37">
        <f>+CZ30*$DA$3</f>
        <v>1248</v>
      </c>
      <c r="DB30" s="36"/>
      <c r="DC30" s="36">
        <f>+DB30*$DC$3</f>
        <v>0</v>
      </c>
      <c r="DD30" s="37">
        <f>+DC30*$DD$3</f>
        <v>0</v>
      </c>
      <c r="DE30" s="36"/>
      <c r="DF30" s="36">
        <f>+DE30*$DF$3</f>
        <v>0</v>
      </c>
      <c r="DG30" s="37">
        <f>+DF30*$DG$3</f>
        <v>0</v>
      </c>
      <c r="DH30" s="36"/>
      <c r="DI30" s="36">
        <f>+DH30*$DI$3</f>
        <v>0</v>
      </c>
      <c r="DJ30" s="37">
        <f>+DI30*$DJ$3</f>
        <v>0</v>
      </c>
      <c r="DK30" s="36"/>
      <c r="DL30" s="36">
        <f>+DK30*$DL$3</f>
        <v>0</v>
      </c>
      <c r="DM30" s="37">
        <f>+DL30*$DM$3</f>
        <v>0</v>
      </c>
      <c r="DN30" s="36"/>
      <c r="DO30" s="36">
        <f>+DN30*$DO$3</f>
        <v>0</v>
      </c>
      <c r="DP30" s="37">
        <f>+DO30*$DP$3</f>
        <v>0</v>
      </c>
      <c r="DQ30" s="36"/>
      <c r="DR30" s="36"/>
      <c r="DS30" s="36"/>
      <c r="DT30" s="33">
        <f>D30+G30+J30+M30+P30+S30+V30+Y30+AB30+AE30+AH30+AK30+AN30+AQ30+AT30+AW30+AZ30+BC30+BF30+BI30+BL30+BO30+BR30+BU30+BX30+CA30+CD30+CG30+CJ30+CM30+CP30+CS30+CV30+CY30+DB30+DE30+DH30+DK30+DN30</f>
        <v>331</v>
      </c>
      <c r="DU30" s="33">
        <f>E30+H30+K30+N30+Q30+T30+W30+Z30+AC30+AF30+AI30+AL30+AO30+AR30+AU30+AX30+BA30+BD30+BG30+BJ30+BM30+BP30+BS30+BV30+BY30+CB30+CE30+CH30+CK30+CN30+CQ30+CT30+CW30+CZ30+DC30+DF30+DI30+DL30+DO30</f>
        <v>4316</v>
      </c>
      <c r="DV30" s="33">
        <f>F30+I30+L30+O30+R30+U30+X30+AA30+AD30+AG30+AJ30+AM30+AP30+AS30+AV30+AY30+BB30+BE30+BH30+BK30+BN30+BQ30+BT30+BW30+BZ30+CC30+CF30+CI30+CL30+CO30+CR30+CU30+CX30+DA30+DD30+DG30+DJ30+DM30+DP30</f>
        <v>3727.0399999999995</v>
      </c>
    </row>
    <row r="31" spans="1:126" x14ac:dyDescent="0.6">
      <c r="B31" s="49" t="s">
        <v>42</v>
      </c>
      <c r="C31" s="54"/>
      <c r="D31" s="36">
        <v>10</v>
      </c>
      <c r="E31" s="36">
        <f t="shared" ref="E31:E39" si="92">+D31*$E$3</f>
        <v>140</v>
      </c>
      <c r="F31" s="37">
        <f t="shared" ref="F31:F39" si="93">+E31*$F$3</f>
        <v>89.600000000000009</v>
      </c>
      <c r="G31" s="36"/>
      <c r="H31" s="36">
        <f t="shared" ref="H31:H39" si="94">+G31*$H$3</f>
        <v>0</v>
      </c>
      <c r="I31" s="37">
        <f t="shared" ref="I31:I39" si="95">+H31*$I$3</f>
        <v>0</v>
      </c>
      <c r="J31" s="36">
        <v>22</v>
      </c>
      <c r="K31" s="36">
        <f t="shared" ref="K31:K39" si="96">+J31*$K$3</f>
        <v>308</v>
      </c>
      <c r="L31" s="37">
        <f t="shared" ref="L31:L39" si="97">+K31*$L$3</f>
        <v>197.12</v>
      </c>
      <c r="M31" s="36"/>
      <c r="N31" s="36">
        <f t="shared" ref="N31:N39" si="98">+M31*$N$3</f>
        <v>0</v>
      </c>
      <c r="O31" s="37">
        <f t="shared" ref="O31:O39" si="99">+N31*$O$3</f>
        <v>0</v>
      </c>
      <c r="P31" s="36"/>
      <c r="Q31" s="36">
        <f t="shared" ref="Q31:Q39" si="100">+P31*$Q$3</f>
        <v>0</v>
      </c>
      <c r="R31" s="37">
        <f t="shared" ref="R31:R39" si="101">+Q31*$R$3</f>
        <v>0</v>
      </c>
      <c r="S31" s="36"/>
      <c r="T31" s="36">
        <f t="shared" ref="T31:T39" si="102">+S31*$T$3</f>
        <v>0</v>
      </c>
      <c r="U31" s="37">
        <f t="shared" ref="U31:U39" si="103">+T31*$U$3</f>
        <v>0</v>
      </c>
      <c r="V31" s="36"/>
      <c r="W31" s="36">
        <f t="shared" ref="W31:W39" si="104">+V31*$W$3</f>
        <v>0</v>
      </c>
      <c r="X31" s="37">
        <f t="shared" ref="X31:X39" si="105">+W31*$X$3</f>
        <v>0</v>
      </c>
      <c r="Y31" s="36"/>
      <c r="Z31" s="36">
        <f t="shared" ref="Z31:Z39" si="106">+Y31*$Z$3</f>
        <v>0</v>
      </c>
      <c r="AA31" s="37">
        <f t="shared" ref="AA31:AA39" si="107">+Z31*$AA$3</f>
        <v>0</v>
      </c>
      <c r="AB31" s="36"/>
      <c r="AC31" s="36">
        <f t="shared" ref="AC31:AC39" si="108">+AB31*$AC$3</f>
        <v>0</v>
      </c>
      <c r="AD31" s="37">
        <f t="shared" ref="AD31:AD39" si="109">+AC31*$AD$3</f>
        <v>0</v>
      </c>
      <c r="AE31" s="36">
        <v>40</v>
      </c>
      <c r="AF31" s="36">
        <f t="shared" ref="AF31:AF39" si="110">+AE31*$AF$3</f>
        <v>560</v>
      </c>
      <c r="AG31" s="37">
        <f t="shared" ref="AG31:AG39" si="111">+AF31*$AG$3</f>
        <v>358.40000000000003</v>
      </c>
      <c r="AH31" s="36">
        <v>690</v>
      </c>
      <c r="AI31" s="36">
        <f t="shared" ref="AI31:AI39" si="112">+AH31*$AI$3</f>
        <v>8280</v>
      </c>
      <c r="AJ31" s="37">
        <f t="shared" ref="AJ31:AJ39" si="113">+AI31*$AJ$3</f>
        <v>8280</v>
      </c>
      <c r="AK31" s="36"/>
      <c r="AL31" s="36">
        <f t="shared" ref="AL31:AL39" si="114">+AK31*$AL$3</f>
        <v>0</v>
      </c>
      <c r="AM31" s="37">
        <f t="shared" ref="AM31:AM39" si="115">+AL31*$AM$3</f>
        <v>0</v>
      </c>
      <c r="AN31" s="36"/>
      <c r="AO31" s="36">
        <f t="shared" ref="AO31:AO39" si="116">+AN31*$AO$3</f>
        <v>0</v>
      </c>
      <c r="AP31" s="37">
        <f t="shared" ref="AP31:AP39" si="117">+AO31*$AP$3</f>
        <v>0</v>
      </c>
      <c r="AQ31" s="36">
        <v>26</v>
      </c>
      <c r="AR31" s="36">
        <f t="shared" ref="AR31:AR39" si="118">+AQ31*$AR$3</f>
        <v>624</v>
      </c>
      <c r="AS31" s="37">
        <f t="shared" ref="AS31:AS39" si="119">+AR31*$AS$3</f>
        <v>399.36</v>
      </c>
      <c r="AT31" s="36"/>
      <c r="AU31" s="36">
        <f t="shared" ref="AU31:AU39" si="120">+AT31*$AU$3</f>
        <v>0</v>
      </c>
      <c r="AV31" s="37">
        <f t="shared" ref="AV31:AV39" si="121">+AU31*$AV$3</f>
        <v>0</v>
      </c>
      <c r="AW31" s="36">
        <v>3</v>
      </c>
      <c r="AX31" s="36">
        <f t="shared" ref="AX31:AX39" si="122">+AW31*$AX$3</f>
        <v>42</v>
      </c>
      <c r="AY31" s="37">
        <f t="shared" ref="AY31:AY39" si="123">+AX31*$AY$3</f>
        <v>26.88</v>
      </c>
      <c r="AZ31" s="36"/>
      <c r="BA31" s="36">
        <f t="shared" ref="BA31:BA39" si="124">+AZ31*$BA$3</f>
        <v>0</v>
      </c>
      <c r="BB31" s="37">
        <f t="shared" ref="BB31:BB39" si="125">+BA31*$BB$3</f>
        <v>0</v>
      </c>
      <c r="BC31" s="36"/>
      <c r="BD31" s="36">
        <f t="shared" ref="BD31:BD39" si="126">+BC31*$BD$3</f>
        <v>0</v>
      </c>
      <c r="BE31" s="37">
        <f t="shared" ref="BE31:BE39" si="127">+BD31*$BE$3</f>
        <v>0</v>
      </c>
      <c r="BF31" s="36"/>
      <c r="BG31" s="36">
        <f t="shared" ref="BG31:BG39" si="128">+BF31*$BG$3</f>
        <v>0</v>
      </c>
      <c r="BH31" s="37">
        <f t="shared" ref="BH31:BH39" si="129">+BG31*$BH$3</f>
        <v>0</v>
      </c>
      <c r="BI31" s="36">
        <v>86</v>
      </c>
      <c r="BJ31" s="36">
        <f t="shared" ref="BJ31:BJ39" si="130">+BI31*$BJ$3</f>
        <v>2064</v>
      </c>
      <c r="BK31" s="37">
        <f t="shared" ref="BK31:BK39" si="131">+BJ31*$BK$3</f>
        <v>1320.96</v>
      </c>
      <c r="BL31" s="36"/>
      <c r="BM31" s="36">
        <f t="shared" ref="BM31:BM39" si="132">+BL31*$BM$3</f>
        <v>0</v>
      </c>
      <c r="BN31" s="37">
        <f t="shared" ref="BN31:BN39" si="133">+BM31*$BN$3</f>
        <v>0</v>
      </c>
      <c r="BO31" s="36"/>
      <c r="BP31" s="36">
        <f t="shared" ref="BP31:BP39" si="134">+BO31*$BP$3</f>
        <v>0</v>
      </c>
      <c r="BQ31" s="37">
        <f t="shared" ref="BQ31:BQ39" si="135">+BP31*$BQ$3</f>
        <v>0</v>
      </c>
      <c r="BR31" s="36"/>
      <c r="BS31" s="36">
        <f t="shared" ref="BS31:BS39" si="136">+BR31*$BS$3</f>
        <v>0</v>
      </c>
      <c r="BT31" s="37">
        <f t="shared" ref="BT31:BT39" si="137">+BS31*$BT$3</f>
        <v>0</v>
      </c>
      <c r="BU31" s="36"/>
      <c r="BV31" s="36">
        <f t="shared" ref="BV31:BV39" si="138">+BU31*$BV$3</f>
        <v>0</v>
      </c>
      <c r="BW31" s="37">
        <f t="shared" ref="BW31:BW39" si="139">+BV31*$BW$3</f>
        <v>0</v>
      </c>
      <c r="BX31" s="36"/>
      <c r="BY31" s="36">
        <f t="shared" ref="BY31:BY39" si="140">+BX31*$BY$3</f>
        <v>0</v>
      </c>
      <c r="BZ31" s="37">
        <f t="shared" ref="BZ31:BZ39" si="141">+BY31*$BZ$3</f>
        <v>0</v>
      </c>
      <c r="CA31" s="36"/>
      <c r="CB31" s="36">
        <f t="shared" ref="CB31:CB39" si="142">+CA31*$CB$3</f>
        <v>0</v>
      </c>
      <c r="CC31" s="37">
        <f t="shared" ref="CC31:CC39" si="143">+CB31*$CC$3</f>
        <v>0</v>
      </c>
      <c r="CD31" s="36"/>
      <c r="CE31" s="36">
        <f t="shared" ref="CE31:CE39" si="144">+CD31*$CE$3</f>
        <v>0</v>
      </c>
      <c r="CF31" s="37">
        <f t="shared" ref="CF31:CF39" si="145">+CE31*$CF$3</f>
        <v>0</v>
      </c>
      <c r="CG31" s="36"/>
      <c r="CH31" s="36">
        <f t="shared" ref="CH31:CH39" si="146">+CG31*$CH$3</f>
        <v>0</v>
      </c>
      <c r="CI31" s="37">
        <f t="shared" ref="CI31:CI39" si="147">+CH31*$CI$3</f>
        <v>0</v>
      </c>
      <c r="CJ31" s="36"/>
      <c r="CK31" s="36">
        <f t="shared" ref="CK31:CK39" si="148">+CJ31*$CK$3</f>
        <v>0</v>
      </c>
      <c r="CL31" s="37">
        <f t="shared" ref="CL31:CL39" si="149">+CK31*$CL$3</f>
        <v>0</v>
      </c>
      <c r="CM31" s="36"/>
      <c r="CN31" s="36">
        <f t="shared" ref="CN31:CN39" si="150">+CM31*$CN$3</f>
        <v>0</v>
      </c>
      <c r="CO31" s="37">
        <f t="shared" ref="CO31:CO39" si="151">+CN31*$CO$3</f>
        <v>0</v>
      </c>
      <c r="CP31" s="36"/>
      <c r="CQ31" s="36">
        <f t="shared" ref="CQ31:CQ39" si="152">+CP31*$CQ$3</f>
        <v>0</v>
      </c>
      <c r="CR31" s="37">
        <f t="shared" ref="CR31:CR39" si="153">+CQ31*$CR$3</f>
        <v>0</v>
      </c>
      <c r="CS31" s="36">
        <v>47</v>
      </c>
      <c r="CT31" s="36">
        <f t="shared" ref="CT31:CT39" si="154">+CS31*$CT$3</f>
        <v>1128</v>
      </c>
      <c r="CU31" s="37">
        <f t="shared" ref="CU31:CU39" si="155">+CT31*$CU$3</f>
        <v>676.8</v>
      </c>
      <c r="CV31" s="36"/>
      <c r="CW31" s="36">
        <f t="shared" ref="CW31:CW39" si="156">+CV31*$CW$3</f>
        <v>0</v>
      </c>
      <c r="CX31" s="37">
        <f t="shared" ref="CX31:CX39" si="157">+CW31*$CX$3</f>
        <v>0</v>
      </c>
      <c r="CY31" s="36">
        <v>26</v>
      </c>
      <c r="CZ31" s="36">
        <f t="shared" ref="CZ31:CZ39" si="158">+CY31*$CZ$3</f>
        <v>312</v>
      </c>
      <c r="DA31" s="37">
        <f t="shared" ref="DA31:DA39" si="159">+CZ31*$DA$3</f>
        <v>312</v>
      </c>
      <c r="DB31" s="36"/>
      <c r="DC31" s="36">
        <f t="shared" ref="DC31:DC39" si="160">+DB31*$DC$3</f>
        <v>0</v>
      </c>
      <c r="DD31" s="37">
        <f t="shared" ref="DD31:DD39" si="161">+DC31*$DD$3</f>
        <v>0</v>
      </c>
      <c r="DE31" s="36"/>
      <c r="DF31" s="36">
        <f t="shared" ref="DF31:DF39" si="162">+DE31*$DF$3</f>
        <v>0</v>
      </c>
      <c r="DG31" s="37">
        <f t="shared" ref="DG31:DG39" si="163">+DF31*$DG$3</f>
        <v>0</v>
      </c>
      <c r="DH31" s="36"/>
      <c r="DI31" s="36">
        <f t="shared" ref="DI31:DI39" si="164">+DH31*$DI$3</f>
        <v>0</v>
      </c>
      <c r="DJ31" s="37">
        <f t="shared" ref="DJ31:DJ39" si="165">+DI31*$DJ$3</f>
        <v>0</v>
      </c>
      <c r="DK31" s="36"/>
      <c r="DL31" s="36">
        <f t="shared" ref="DL31:DL39" si="166">+DK31*$DL$3</f>
        <v>0</v>
      </c>
      <c r="DM31" s="37">
        <f t="shared" ref="DM31:DM39" si="167">+DL31*$DM$3</f>
        <v>0</v>
      </c>
      <c r="DN31" s="36"/>
      <c r="DO31" s="36">
        <f t="shared" ref="DO31:DO39" si="168">+DN31*$DO$3</f>
        <v>0</v>
      </c>
      <c r="DP31" s="37">
        <f t="shared" ref="DP31:DP39" si="169">+DO31*$DP$3</f>
        <v>0</v>
      </c>
      <c r="DQ31" s="36"/>
      <c r="DR31" s="36"/>
      <c r="DS31" s="36"/>
      <c r="DT31" s="33">
        <f t="shared" ref="DT31:DT39" si="170">D31+G31+J31+M31+P31+S31+V31+Y31+AB31+AE31+AH31+AK31+AN31+AQ31+AT31+AW31+AZ31+BC31+BF31+BI31+BL31+BO31+BR31+BU31+BX31+CA31+CD31+CG31+CJ31+CM31+CP31+CS31+CV31+CY31+DB31+DE31+DH31+DK31+DN31</f>
        <v>950</v>
      </c>
      <c r="DU31" s="33">
        <f t="shared" ref="DU31:DU39" si="171">E31+H31+K31+N31+Q31+T31+W31+Z31+AC31+AF31+AI31+AL31+AO31+AR31+AU31+AX31+BA31+BD31+BG31+BJ31+BM31+BP31+BS31+BV31+BY31+CB31+CE31+CH31+CK31+CN31+CQ31+CT31+CW31+CZ31+DC31+DF31+DI31+DL31+DO31</f>
        <v>13458</v>
      </c>
      <c r="DV31" s="33">
        <f t="shared" ref="DV31:DV39" si="172">F31+I31+L31+O31+R31+U31+X31+AA31+AD31+AG31+AJ31+AM31+AP31+AS31+AV31+AY31+BB31+BE31+BH31+BK31+BN31+BQ31+BT31+BW31+BZ31+CC31+CF31+CI31+CL31+CO31+CR31+CU31+CX31+DA31+DD31+DG31+DJ31+DM31+DP31</f>
        <v>11661.119999999999</v>
      </c>
    </row>
    <row r="32" spans="1:126" x14ac:dyDescent="0.6">
      <c r="B32" s="49" t="s">
        <v>43</v>
      </c>
      <c r="C32" s="54"/>
      <c r="D32" s="36">
        <v>125</v>
      </c>
      <c r="E32" s="36">
        <f t="shared" si="92"/>
        <v>1750</v>
      </c>
      <c r="F32" s="37">
        <f t="shared" si="93"/>
        <v>1120</v>
      </c>
      <c r="G32" s="36"/>
      <c r="H32" s="36">
        <f t="shared" si="94"/>
        <v>0</v>
      </c>
      <c r="I32" s="37">
        <f t="shared" si="95"/>
        <v>0</v>
      </c>
      <c r="J32" s="36"/>
      <c r="K32" s="36">
        <f t="shared" si="96"/>
        <v>0</v>
      </c>
      <c r="L32" s="37">
        <f t="shared" si="97"/>
        <v>0</v>
      </c>
      <c r="M32" s="36">
        <v>50</v>
      </c>
      <c r="N32" s="36">
        <f t="shared" si="98"/>
        <v>600</v>
      </c>
      <c r="O32" s="37">
        <f t="shared" si="99"/>
        <v>420</v>
      </c>
      <c r="P32" s="36"/>
      <c r="Q32" s="36">
        <f t="shared" si="100"/>
        <v>0</v>
      </c>
      <c r="R32" s="37">
        <f t="shared" si="101"/>
        <v>0</v>
      </c>
      <c r="S32" s="36"/>
      <c r="T32" s="36">
        <f t="shared" si="102"/>
        <v>0</v>
      </c>
      <c r="U32" s="37">
        <f t="shared" si="103"/>
        <v>0</v>
      </c>
      <c r="V32" s="36"/>
      <c r="W32" s="36">
        <f t="shared" si="104"/>
        <v>0</v>
      </c>
      <c r="X32" s="37">
        <f t="shared" si="105"/>
        <v>0</v>
      </c>
      <c r="Y32" s="36"/>
      <c r="Z32" s="36">
        <f t="shared" si="106"/>
        <v>0</v>
      </c>
      <c r="AA32" s="37">
        <f t="shared" si="107"/>
        <v>0</v>
      </c>
      <c r="AB32" s="36"/>
      <c r="AC32" s="36">
        <f t="shared" si="108"/>
        <v>0</v>
      </c>
      <c r="AD32" s="37">
        <f t="shared" si="109"/>
        <v>0</v>
      </c>
      <c r="AE32" s="36">
        <v>25</v>
      </c>
      <c r="AF32" s="36">
        <f t="shared" si="110"/>
        <v>350</v>
      </c>
      <c r="AG32" s="37">
        <f t="shared" si="111"/>
        <v>224</v>
      </c>
      <c r="AH32" s="36"/>
      <c r="AI32" s="36">
        <f t="shared" si="112"/>
        <v>0</v>
      </c>
      <c r="AJ32" s="37">
        <f t="shared" si="113"/>
        <v>0</v>
      </c>
      <c r="AK32" s="36"/>
      <c r="AL32" s="36">
        <f t="shared" si="114"/>
        <v>0</v>
      </c>
      <c r="AM32" s="37">
        <f t="shared" si="115"/>
        <v>0</v>
      </c>
      <c r="AN32" s="36"/>
      <c r="AO32" s="36">
        <f t="shared" si="116"/>
        <v>0</v>
      </c>
      <c r="AP32" s="37">
        <f t="shared" si="117"/>
        <v>0</v>
      </c>
      <c r="AQ32" s="36"/>
      <c r="AR32" s="36">
        <f t="shared" si="118"/>
        <v>0</v>
      </c>
      <c r="AS32" s="37">
        <f t="shared" si="119"/>
        <v>0</v>
      </c>
      <c r="AT32" s="36"/>
      <c r="AU32" s="36">
        <f t="shared" si="120"/>
        <v>0</v>
      </c>
      <c r="AV32" s="37">
        <f t="shared" si="121"/>
        <v>0</v>
      </c>
      <c r="AW32" s="36"/>
      <c r="AX32" s="36">
        <f t="shared" si="122"/>
        <v>0</v>
      </c>
      <c r="AY32" s="37">
        <f t="shared" si="123"/>
        <v>0</v>
      </c>
      <c r="AZ32" s="36">
        <v>50</v>
      </c>
      <c r="BA32" s="36">
        <f t="shared" si="124"/>
        <v>1200</v>
      </c>
      <c r="BB32" s="37">
        <f t="shared" si="125"/>
        <v>768</v>
      </c>
      <c r="BC32" s="36"/>
      <c r="BD32" s="36">
        <f t="shared" si="126"/>
        <v>0</v>
      </c>
      <c r="BE32" s="37">
        <f t="shared" si="127"/>
        <v>0</v>
      </c>
      <c r="BF32" s="36"/>
      <c r="BG32" s="36">
        <f t="shared" si="128"/>
        <v>0</v>
      </c>
      <c r="BH32" s="37">
        <f t="shared" si="129"/>
        <v>0</v>
      </c>
      <c r="BI32" s="36"/>
      <c r="BJ32" s="36">
        <f t="shared" si="130"/>
        <v>0</v>
      </c>
      <c r="BK32" s="37">
        <f t="shared" si="131"/>
        <v>0</v>
      </c>
      <c r="BL32" s="36"/>
      <c r="BM32" s="36">
        <f t="shared" si="132"/>
        <v>0</v>
      </c>
      <c r="BN32" s="37">
        <f t="shared" si="133"/>
        <v>0</v>
      </c>
      <c r="BO32" s="36"/>
      <c r="BP32" s="36">
        <f t="shared" si="134"/>
        <v>0</v>
      </c>
      <c r="BQ32" s="37">
        <f t="shared" si="135"/>
        <v>0</v>
      </c>
      <c r="BR32" s="36"/>
      <c r="BS32" s="36">
        <f t="shared" si="136"/>
        <v>0</v>
      </c>
      <c r="BT32" s="37">
        <f t="shared" si="137"/>
        <v>0</v>
      </c>
      <c r="BU32" s="36"/>
      <c r="BV32" s="36">
        <f t="shared" si="138"/>
        <v>0</v>
      </c>
      <c r="BW32" s="37">
        <f t="shared" si="139"/>
        <v>0</v>
      </c>
      <c r="BX32" s="36"/>
      <c r="BY32" s="36">
        <f t="shared" si="140"/>
        <v>0</v>
      </c>
      <c r="BZ32" s="37">
        <f t="shared" si="141"/>
        <v>0</v>
      </c>
      <c r="CA32" s="36"/>
      <c r="CB32" s="36">
        <f t="shared" si="142"/>
        <v>0</v>
      </c>
      <c r="CC32" s="37">
        <f t="shared" si="143"/>
        <v>0</v>
      </c>
      <c r="CD32" s="36"/>
      <c r="CE32" s="36">
        <f t="shared" si="144"/>
        <v>0</v>
      </c>
      <c r="CF32" s="37">
        <f t="shared" si="145"/>
        <v>0</v>
      </c>
      <c r="CG32" s="36"/>
      <c r="CH32" s="36">
        <f t="shared" si="146"/>
        <v>0</v>
      </c>
      <c r="CI32" s="37">
        <f t="shared" si="147"/>
        <v>0</v>
      </c>
      <c r="CJ32" s="36"/>
      <c r="CK32" s="36">
        <f t="shared" si="148"/>
        <v>0</v>
      </c>
      <c r="CL32" s="37">
        <f t="shared" si="149"/>
        <v>0</v>
      </c>
      <c r="CM32" s="36"/>
      <c r="CN32" s="36">
        <f t="shared" si="150"/>
        <v>0</v>
      </c>
      <c r="CO32" s="37">
        <f t="shared" si="151"/>
        <v>0</v>
      </c>
      <c r="CP32" s="36"/>
      <c r="CQ32" s="36">
        <f t="shared" si="152"/>
        <v>0</v>
      </c>
      <c r="CR32" s="37">
        <f t="shared" si="153"/>
        <v>0</v>
      </c>
      <c r="CS32" s="36"/>
      <c r="CT32" s="36">
        <f t="shared" si="154"/>
        <v>0</v>
      </c>
      <c r="CU32" s="37">
        <f t="shared" si="155"/>
        <v>0</v>
      </c>
      <c r="CV32" s="36"/>
      <c r="CW32" s="36">
        <f t="shared" si="156"/>
        <v>0</v>
      </c>
      <c r="CX32" s="37">
        <f t="shared" si="157"/>
        <v>0</v>
      </c>
      <c r="CY32" s="36"/>
      <c r="CZ32" s="36">
        <f t="shared" si="158"/>
        <v>0</v>
      </c>
      <c r="DA32" s="37">
        <f t="shared" si="159"/>
        <v>0</v>
      </c>
      <c r="DB32" s="36"/>
      <c r="DC32" s="36">
        <f t="shared" si="160"/>
        <v>0</v>
      </c>
      <c r="DD32" s="37">
        <f t="shared" si="161"/>
        <v>0</v>
      </c>
      <c r="DE32" s="36"/>
      <c r="DF32" s="36">
        <f t="shared" si="162"/>
        <v>0</v>
      </c>
      <c r="DG32" s="37">
        <f t="shared" si="163"/>
        <v>0</v>
      </c>
      <c r="DH32" s="36"/>
      <c r="DI32" s="36">
        <f t="shared" si="164"/>
        <v>0</v>
      </c>
      <c r="DJ32" s="37">
        <f t="shared" si="165"/>
        <v>0</v>
      </c>
      <c r="DK32" s="36"/>
      <c r="DL32" s="36">
        <f t="shared" si="166"/>
        <v>0</v>
      </c>
      <c r="DM32" s="37">
        <f t="shared" si="167"/>
        <v>0</v>
      </c>
      <c r="DN32" s="36"/>
      <c r="DO32" s="36">
        <f t="shared" si="168"/>
        <v>0</v>
      </c>
      <c r="DP32" s="37">
        <f t="shared" si="169"/>
        <v>0</v>
      </c>
      <c r="DQ32" s="36"/>
      <c r="DR32" s="36"/>
      <c r="DS32" s="36"/>
      <c r="DT32" s="33">
        <f t="shared" si="170"/>
        <v>250</v>
      </c>
      <c r="DU32" s="33">
        <f t="shared" si="171"/>
        <v>3900</v>
      </c>
      <c r="DV32" s="33">
        <f t="shared" si="172"/>
        <v>2532</v>
      </c>
    </row>
    <row r="33" spans="2:126" x14ac:dyDescent="0.6">
      <c r="B33" s="49" t="s">
        <v>44</v>
      </c>
      <c r="C33" s="54"/>
      <c r="D33" s="36"/>
      <c r="E33" s="36">
        <f t="shared" si="92"/>
        <v>0</v>
      </c>
      <c r="F33" s="37">
        <f t="shared" si="93"/>
        <v>0</v>
      </c>
      <c r="G33" s="36"/>
      <c r="H33" s="36">
        <f t="shared" si="94"/>
        <v>0</v>
      </c>
      <c r="I33" s="37">
        <f t="shared" si="95"/>
        <v>0</v>
      </c>
      <c r="J33" s="36"/>
      <c r="K33" s="36">
        <f t="shared" si="96"/>
        <v>0</v>
      </c>
      <c r="L33" s="37">
        <f t="shared" si="97"/>
        <v>0</v>
      </c>
      <c r="M33" s="36"/>
      <c r="N33" s="36">
        <f t="shared" si="98"/>
        <v>0</v>
      </c>
      <c r="O33" s="37">
        <f t="shared" si="99"/>
        <v>0</v>
      </c>
      <c r="P33" s="36"/>
      <c r="Q33" s="36">
        <f t="shared" si="100"/>
        <v>0</v>
      </c>
      <c r="R33" s="37">
        <f t="shared" si="101"/>
        <v>0</v>
      </c>
      <c r="S33" s="36"/>
      <c r="T33" s="36">
        <f t="shared" si="102"/>
        <v>0</v>
      </c>
      <c r="U33" s="37">
        <f t="shared" si="103"/>
        <v>0</v>
      </c>
      <c r="V33" s="36"/>
      <c r="W33" s="36">
        <f t="shared" si="104"/>
        <v>0</v>
      </c>
      <c r="X33" s="37">
        <f t="shared" si="105"/>
        <v>0</v>
      </c>
      <c r="Y33" s="36"/>
      <c r="Z33" s="36">
        <f t="shared" si="106"/>
        <v>0</v>
      </c>
      <c r="AA33" s="37">
        <f t="shared" si="107"/>
        <v>0</v>
      </c>
      <c r="AB33" s="36"/>
      <c r="AC33" s="36">
        <f t="shared" si="108"/>
        <v>0</v>
      </c>
      <c r="AD33" s="37">
        <f t="shared" si="109"/>
        <v>0</v>
      </c>
      <c r="AE33" s="36"/>
      <c r="AF33" s="36">
        <f t="shared" si="110"/>
        <v>0</v>
      </c>
      <c r="AG33" s="37">
        <f t="shared" si="111"/>
        <v>0</v>
      </c>
      <c r="AH33" s="36"/>
      <c r="AI33" s="36">
        <f t="shared" si="112"/>
        <v>0</v>
      </c>
      <c r="AJ33" s="37">
        <f t="shared" si="113"/>
        <v>0</v>
      </c>
      <c r="AK33" s="36"/>
      <c r="AL33" s="36">
        <f t="shared" si="114"/>
        <v>0</v>
      </c>
      <c r="AM33" s="37">
        <f t="shared" si="115"/>
        <v>0</v>
      </c>
      <c r="AN33" s="36"/>
      <c r="AO33" s="36">
        <f t="shared" si="116"/>
        <v>0</v>
      </c>
      <c r="AP33" s="37">
        <f t="shared" si="117"/>
        <v>0</v>
      </c>
      <c r="AQ33" s="36"/>
      <c r="AR33" s="36">
        <f t="shared" si="118"/>
        <v>0</v>
      </c>
      <c r="AS33" s="37">
        <f t="shared" si="119"/>
        <v>0</v>
      </c>
      <c r="AT33" s="36"/>
      <c r="AU33" s="36">
        <f t="shared" si="120"/>
        <v>0</v>
      </c>
      <c r="AV33" s="37">
        <f t="shared" si="121"/>
        <v>0</v>
      </c>
      <c r="AW33" s="36"/>
      <c r="AX33" s="36">
        <f t="shared" si="122"/>
        <v>0</v>
      </c>
      <c r="AY33" s="37">
        <f t="shared" si="123"/>
        <v>0</v>
      </c>
      <c r="AZ33" s="36"/>
      <c r="BA33" s="36">
        <f t="shared" si="124"/>
        <v>0</v>
      </c>
      <c r="BB33" s="37">
        <f t="shared" si="125"/>
        <v>0</v>
      </c>
      <c r="BC33" s="36"/>
      <c r="BD33" s="36">
        <f t="shared" si="126"/>
        <v>0</v>
      </c>
      <c r="BE33" s="37">
        <f t="shared" si="127"/>
        <v>0</v>
      </c>
      <c r="BF33" s="36"/>
      <c r="BG33" s="36">
        <f t="shared" si="128"/>
        <v>0</v>
      </c>
      <c r="BH33" s="37">
        <f t="shared" si="129"/>
        <v>0</v>
      </c>
      <c r="BI33" s="36"/>
      <c r="BJ33" s="36">
        <f t="shared" si="130"/>
        <v>0</v>
      </c>
      <c r="BK33" s="37">
        <f t="shared" si="131"/>
        <v>0</v>
      </c>
      <c r="BL33" s="36"/>
      <c r="BM33" s="36">
        <f t="shared" si="132"/>
        <v>0</v>
      </c>
      <c r="BN33" s="37">
        <f t="shared" si="133"/>
        <v>0</v>
      </c>
      <c r="BO33" s="36"/>
      <c r="BP33" s="36">
        <f t="shared" si="134"/>
        <v>0</v>
      </c>
      <c r="BQ33" s="37">
        <f t="shared" si="135"/>
        <v>0</v>
      </c>
      <c r="BR33" s="36"/>
      <c r="BS33" s="36">
        <f t="shared" si="136"/>
        <v>0</v>
      </c>
      <c r="BT33" s="37">
        <f t="shared" si="137"/>
        <v>0</v>
      </c>
      <c r="BU33" s="36"/>
      <c r="BV33" s="36">
        <f t="shared" si="138"/>
        <v>0</v>
      </c>
      <c r="BW33" s="37">
        <f t="shared" si="139"/>
        <v>0</v>
      </c>
      <c r="BX33" s="36"/>
      <c r="BY33" s="36">
        <f t="shared" si="140"/>
        <v>0</v>
      </c>
      <c r="BZ33" s="37">
        <f t="shared" si="141"/>
        <v>0</v>
      </c>
      <c r="CA33" s="36"/>
      <c r="CB33" s="36">
        <f t="shared" si="142"/>
        <v>0</v>
      </c>
      <c r="CC33" s="37">
        <f t="shared" si="143"/>
        <v>0</v>
      </c>
      <c r="CD33" s="36"/>
      <c r="CE33" s="36">
        <f t="shared" si="144"/>
        <v>0</v>
      </c>
      <c r="CF33" s="37">
        <f t="shared" si="145"/>
        <v>0</v>
      </c>
      <c r="CG33" s="36"/>
      <c r="CH33" s="36">
        <f t="shared" si="146"/>
        <v>0</v>
      </c>
      <c r="CI33" s="37">
        <f t="shared" si="147"/>
        <v>0</v>
      </c>
      <c r="CJ33" s="36"/>
      <c r="CK33" s="36">
        <f t="shared" si="148"/>
        <v>0</v>
      </c>
      <c r="CL33" s="37">
        <f t="shared" si="149"/>
        <v>0</v>
      </c>
      <c r="CM33" s="36"/>
      <c r="CN33" s="36">
        <f t="shared" si="150"/>
        <v>0</v>
      </c>
      <c r="CO33" s="37">
        <f t="shared" si="151"/>
        <v>0</v>
      </c>
      <c r="CP33" s="36"/>
      <c r="CQ33" s="36">
        <f t="shared" si="152"/>
        <v>0</v>
      </c>
      <c r="CR33" s="37">
        <f t="shared" si="153"/>
        <v>0</v>
      </c>
      <c r="CS33" s="36"/>
      <c r="CT33" s="36">
        <f t="shared" si="154"/>
        <v>0</v>
      </c>
      <c r="CU33" s="37">
        <f t="shared" si="155"/>
        <v>0</v>
      </c>
      <c r="CV33" s="36"/>
      <c r="CW33" s="36">
        <f t="shared" si="156"/>
        <v>0</v>
      </c>
      <c r="CX33" s="37">
        <f t="shared" si="157"/>
        <v>0</v>
      </c>
      <c r="CY33" s="36"/>
      <c r="CZ33" s="36">
        <f t="shared" si="158"/>
        <v>0</v>
      </c>
      <c r="DA33" s="37">
        <f t="shared" si="159"/>
        <v>0</v>
      </c>
      <c r="DB33" s="36"/>
      <c r="DC33" s="36">
        <f t="shared" si="160"/>
        <v>0</v>
      </c>
      <c r="DD33" s="37">
        <f t="shared" si="161"/>
        <v>0</v>
      </c>
      <c r="DE33" s="36"/>
      <c r="DF33" s="36">
        <f t="shared" si="162"/>
        <v>0</v>
      </c>
      <c r="DG33" s="37">
        <f t="shared" si="163"/>
        <v>0</v>
      </c>
      <c r="DH33" s="36"/>
      <c r="DI33" s="36">
        <f t="shared" si="164"/>
        <v>0</v>
      </c>
      <c r="DJ33" s="37">
        <f t="shared" si="165"/>
        <v>0</v>
      </c>
      <c r="DK33" s="36"/>
      <c r="DL33" s="36">
        <f t="shared" si="166"/>
        <v>0</v>
      </c>
      <c r="DM33" s="37">
        <f t="shared" si="167"/>
        <v>0</v>
      </c>
      <c r="DN33" s="36"/>
      <c r="DO33" s="36">
        <f t="shared" si="168"/>
        <v>0</v>
      </c>
      <c r="DP33" s="37">
        <f t="shared" si="169"/>
        <v>0</v>
      </c>
      <c r="DQ33" s="36"/>
      <c r="DR33" s="36"/>
      <c r="DS33" s="36"/>
      <c r="DT33" s="33">
        <f t="shared" si="170"/>
        <v>0</v>
      </c>
      <c r="DU33" s="33">
        <f t="shared" si="171"/>
        <v>0</v>
      </c>
      <c r="DV33" s="33">
        <f t="shared" si="172"/>
        <v>0</v>
      </c>
    </row>
    <row r="34" spans="2:126" x14ac:dyDescent="0.6">
      <c r="B34" s="49" t="s">
        <v>45</v>
      </c>
      <c r="C34" s="54"/>
      <c r="D34" s="36"/>
      <c r="E34" s="36">
        <f t="shared" si="92"/>
        <v>0</v>
      </c>
      <c r="F34" s="37">
        <f t="shared" si="93"/>
        <v>0</v>
      </c>
      <c r="G34" s="36"/>
      <c r="H34" s="36">
        <f t="shared" si="94"/>
        <v>0</v>
      </c>
      <c r="I34" s="37">
        <f t="shared" si="95"/>
        <v>0</v>
      </c>
      <c r="J34" s="36">
        <v>22</v>
      </c>
      <c r="K34" s="36">
        <f t="shared" si="96"/>
        <v>308</v>
      </c>
      <c r="L34" s="37">
        <f t="shared" si="97"/>
        <v>197.12</v>
      </c>
      <c r="M34" s="36"/>
      <c r="N34" s="36">
        <f t="shared" si="98"/>
        <v>0</v>
      </c>
      <c r="O34" s="37">
        <f t="shared" si="99"/>
        <v>0</v>
      </c>
      <c r="P34" s="36"/>
      <c r="Q34" s="36">
        <f t="shared" si="100"/>
        <v>0</v>
      </c>
      <c r="R34" s="37">
        <f t="shared" si="101"/>
        <v>0</v>
      </c>
      <c r="S34" s="36"/>
      <c r="T34" s="36">
        <f t="shared" si="102"/>
        <v>0</v>
      </c>
      <c r="U34" s="37">
        <f t="shared" si="103"/>
        <v>0</v>
      </c>
      <c r="V34" s="36"/>
      <c r="W34" s="36">
        <f t="shared" si="104"/>
        <v>0</v>
      </c>
      <c r="X34" s="37">
        <f t="shared" si="105"/>
        <v>0</v>
      </c>
      <c r="Y34" s="36"/>
      <c r="Z34" s="36">
        <f t="shared" si="106"/>
        <v>0</v>
      </c>
      <c r="AA34" s="37">
        <f t="shared" si="107"/>
        <v>0</v>
      </c>
      <c r="AB34" s="36"/>
      <c r="AC34" s="36">
        <f t="shared" si="108"/>
        <v>0</v>
      </c>
      <c r="AD34" s="37">
        <f t="shared" si="109"/>
        <v>0</v>
      </c>
      <c r="AE34" s="36">
        <v>8</v>
      </c>
      <c r="AF34" s="36">
        <f t="shared" si="110"/>
        <v>112</v>
      </c>
      <c r="AG34" s="37">
        <f t="shared" si="111"/>
        <v>71.680000000000007</v>
      </c>
      <c r="AH34" s="36">
        <v>323</v>
      </c>
      <c r="AI34" s="36">
        <f t="shared" si="112"/>
        <v>3876</v>
      </c>
      <c r="AJ34" s="37">
        <f t="shared" si="113"/>
        <v>3876</v>
      </c>
      <c r="AK34" s="36"/>
      <c r="AL34" s="36">
        <f t="shared" si="114"/>
        <v>0</v>
      </c>
      <c r="AM34" s="37">
        <f t="shared" si="115"/>
        <v>0</v>
      </c>
      <c r="AN34" s="36">
        <v>10</v>
      </c>
      <c r="AO34" s="36">
        <f t="shared" si="116"/>
        <v>120</v>
      </c>
      <c r="AP34" s="37">
        <f t="shared" si="117"/>
        <v>72</v>
      </c>
      <c r="AQ34" s="36">
        <v>6</v>
      </c>
      <c r="AR34" s="36">
        <f t="shared" si="118"/>
        <v>144</v>
      </c>
      <c r="AS34" s="37">
        <f t="shared" si="119"/>
        <v>92.16</v>
      </c>
      <c r="AT34" s="36">
        <v>10</v>
      </c>
      <c r="AU34" s="36">
        <f t="shared" si="120"/>
        <v>120</v>
      </c>
      <c r="AV34" s="37">
        <f t="shared" si="121"/>
        <v>72</v>
      </c>
      <c r="AW34" s="36">
        <v>2</v>
      </c>
      <c r="AX34" s="36">
        <f t="shared" si="122"/>
        <v>28</v>
      </c>
      <c r="AY34" s="37">
        <f t="shared" si="123"/>
        <v>17.920000000000002</v>
      </c>
      <c r="AZ34" s="36"/>
      <c r="BA34" s="36">
        <f t="shared" si="124"/>
        <v>0</v>
      </c>
      <c r="BB34" s="37">
        <f t="shared" si="125"/>
        <v>0</v>
      </c>
      <c r="BC34" s="36"/>
      <c r="BD34" s="36">
        <f t="shared" si="126"/>
        <v>0</v>
      </c>
      <c r="BE34" s="37">
        <f t="shared" si="127"/>
        <v>0</v>
      </c>
      <c r="BF34" s="36">
        <v>40</v>
      </c>
      <c r="BG34" s="36">
        <f t="shared" si="128"/>
        <v>560</v>
      </c>
      <c r="BH34" s="37">
        <f t="shared" si="129"/>
        <v>358.40000000000003</v>
      </c>
      <c r="BI34" s="36">
        <v>14</v>
      </c>
      <c r="BJ34" s="36">
        <f t="shared" si="130"/>
        <v>336</v>
      </c>
      <c r="BK34" s="37">
        <f t="shared" si="131"/>
        <v>215.04</v>
      </c>
      <c r="BL34" s="36"/>
      <c r="BM34" s="36">
        <f t="shared" si="132"/>
        <v>0</v>
      </c>
      <c r="BN34" s="37">
        <f t="shared" si="133"/>
        <v>0</v>
      </c>
      <c r="BO34" s="36"/>
      <c r="BP34" s="36">
        <f t="shared" si="134"/>
        <v>0</v>
      </c>
      <c r="BQ34" s="37">
        <f t="shared" si="135"/>
        <v>0</v>
      </c>
      <c r="BR34" s="36"/>
      <c r="BS34" s="36">
        <f t="shared" si="136"/>
        <v>0</v>
      </c>
      <c r="BT34" s="37">
        <f t="shared" si="137"/>
        <v>0</v>
      </c>
      <c r="BU34" s="36">
        <v>10</v>
      </c>
      <c r="BV34" s="36">
        <f t="shared" si="138"/>
        <v>140</v>
      </c>
      <c r="BW34" s="37">
        <f t="shared" si="139"/>
        <v>89.600000000000009</v>
      </c>
      <c r="BX34" s="36"/>
      <c r="BY34" s="36">
        <f t="shared" si="140"/>
        <v>0</v>
      </c>
      <c r="BZ34" s="37">
        <f t="shared" si="141"/>
        <v>0</v>
      </c>
      <c r="CA34" s="36"/>
      <c r="CB34" s="36">
        <f t="shared" si="142"/>
        <v>0</v>
      </c>
      <c r="CC34" s="37">
        <f t="shared" si="143"/>
        <v>0</v>
      </c>
      <c r="CD34" s="36"/>
      <c r="CE34" s="36">
        <f t="shared" si="144"/>
        <v>0</v>
      </c>
      <c r="CF34" s="37">
        <f t="shared" si="145"/>
        <v>0</v>
      </c>
      <c r="CG34" s="36"/>
      <c r="CH34" s="36">
        <f t="shared" si="146"/>
        <v>0</v>
      </c>
      <c r="CI34" s="37">
        <f t="shared" si="147"/>
        <v>0</v>
      </c>
      <c r="CJ34" s="36"/>
      <c r="CK34" s="36">
        <f t="shared" si="148"/>
        <v>0</v>
      </c>
      <c r="CL34" s="37">
        <f t="shared" si="149"/>
        <v>0</v>
      </c>
      <c r="CM34" s="36"/>
      <c r="CN34" s="36">
        <f t="shared" si="150"/>
        <v>0</v>
      </c>
      <c r="CO34" s="37">
        <f t="shared" si="151"/>
        <v>0</v>
      </c>
      <c r="CP34" s="36"/>
      <c r="CQ34" s="36">
        <f t="shared" si="152"/>
        <v>0</v>
      </c>
      <c r="CR34" s="37">
        <f t="shared" si="153"/>
        <v>0</v>
      </c>
      <c r="CS34" s="36">
        <v>111</v>
      </c>
      <c r="CT34" s="36">
        <f t="shared" si="154"/>
        <v>2664</v>
      </c>
      <c r="CU34" s="37">
        <f t="shared" si="155"/>
        <v>1598.3999999999999</v>
      </c>
      <c r="CV34" s="36"/>
      <c r="CW34" s="36">
        <f t="shared" si="156"/>
        <v>0</v>
      </c>
      <c r="CX34" s="37">
        <f t="shared" si="157"/>
        <v>0</v>
      </c>
      <c r="CY34" s="36">
        <v>96</v>
      </c>
      <c r="CZ34" s="36">
        <f t="shared" si="158"/>
        <v>1152</v>
      </c>
      <c r="DA34" s="37">
        <f t="shared" si="159"/>
        <v>1152</v>
      </c>
      <c r="DB34" s="36"/>
      <c r="DC34" s="36">
        <f t="shared" si="160"/>
        <v>0</v>
      </c>
      <c r="DD34" s="37">
        <f t="shared" si="161"/>
        <v>0</v>
      </c>
      <c r="DE34" s="36"/>
      <c r="DF34" s="36">
        <f t="shared" si="162"/>
        <v>0</v>
      </c>
      <c r="DG34" s="37">
        <f t="shared" si="163"/>
        <v>0</v>
      </c>
      <c r="DH34" s="36">
        <v>33</v>
      </c>
      <c r="DI34" s="36">
        <f t="shared" si="164"/>
        <v>396</v>
      </c>
      <c r="DJ34" s="37">
        <f t="shared" si="165"/>
        <v>396</v>
      </c>
      <c r="DK34" s="36"/>
      <c r="DL34" s="36">
        <f t="shared" si="166"/>
        <v>0</v>
      </c>
      <c r="DM34" s="37">
        <f t="shared" si="167"/>
        <v>0</v>
      </c>
      <c r="DN34" s="36"/>
      <c r="DO34" s="36">
        <f t="shared" si="168"/>
        <v>0</v>
      </c>
      <c r="DP34" s="37">
        <f t="shared" si="169"/>
        <v>0</v>
      </c>
      <c r="DQ34" s="36"/>
      <c r="DR34" s="36"/>
      <c r="DS34" s="36"/>
      <c r="DT34" s="33">
        <f t="shared" si="170"/>
        <v>685</v>
      </c>
      <c r="DU34" s="33">
        <f t="shared" si="171"/>
        <v>9956</v>
      </c>
      <c r="DV34" s="33">
        <f t="shared" si="172"/>
        <v>8208.32</v>
      </c>
    </row>
    <row r="35" spans="2:126" x14ac:dyDescent="0.6">
      <c r="B35" s="49" t="s">
        <v>46</v>
      </c>
      <c r="C35" s="54"/>
      <c r="D35" s="38">
        <v>100</v>
      </c>
      <c r="E35" s="36">
        <f t="shared" si="92"/>
        <v>1400</v>
      </c>
      <c r="F35" s="37">
        <f t="shared" si="93"/>
        <v>896</v>
      </c>
      <c r="G35" s="38">
        <v>3</v>
      </c>
      <c r="H35" s="36">
        <f t="shared" si="94"/>
        <v>36</v>
      </c>
      <c r="I35" s="37">
        <f t="shared" si="95"/>
        <v>36</v>
      </c>
      <c r="J35" s="38">
        <v>6</v>
      </c>
      <c r="K35" s="36">
        <f t="shared" si="96"/>
        <v>84</v>
      </c>
      <c r="L35" s="37">
        <f t="shared" si="97"/>
        <v>53.76</v>
      </c>
      <c r="M35" s="38"/>
      <c r="N35" s="36">
        <f t="shared" si="98"/>
        <v>0</v>
      </c>
      <c r="O35" s="37">
        <f t="shared" si="99"/>
        <v>0</v>
      </c>
      <c r="P35" s="38"/>
      <c r="Q35" s="36">
        <f t="shared" si="100"/>
        <v>0</v>
      </c>
      <c r="R35" s="37">
        <f t="shared" si="101"/>
        <v>0</v>
      </c>
      <c r="S35" s="38"/>
      <c r="T35" s="36">
        <f t="shared" si="102"/>
        <v>0</v>
      </c>
      <c r="U35" s="37">
        <f t="shared" si="103"/>
        <v>0</v>
      </c>
      <c r="V35" s="38"/>
      <c r="W35" s="36">
        <f t="shared" si="104"/>
        <v>0</v>
      </c>
      <c r="X35" s="37">
        <f t="shared" si="105"/>
        <v>0</v>
      </c>
      <c r="Y35" s="38"/>
      <c r="Z35" s="36">
        <f t="shared" si="106"/>
        <v>0</v>
      </c>
      <c r="AA35" s="37">
        <f t="shared" si="107"/>
        <v>0</v>
      </c>
      <c r="AB35" s="38"/>
      <c r="AC35" s="36">
        <f t="shared" si="108"/>
        <v>0</v>
      </c>
      <c r="AD35" s="37">
        <f t="shared" si="109"/>
        <v>0</v>
      </c>
      <c r="AE35" s="38"/>
      <c r="AF35" s="36">
        <f t="shared" si="110"/>
        <v>0</v>
      </c>
      <c r="AG35" s="37">
        <f t="shared" si="111"/>
        <v>0</v>
      </c>
      <c r="AH35" s="38">
        <v>13</v>
      </c>
      <c r="AI35" s="36">
        <f t="shared" si="112"/>
        <v>156</v>
      </c>
      <c r="AJ35" s="37">
        <f t="shared" si="113"/>
        <v>156</v>
      </c>
      <c r="AK35" s="38"/>
      <c r="AL35" s="36">
        <f t="shared" si="114"/>
        <v>0</v>
      </c>
      <c r="AM35" s="37">
        <f t="shared" si="115"/>
        <v>0</v>
      </c>
      <c r="AN35" s="38">
        <v>14</v>
      </c>
      <c r="AO35" s="36">
        <f t="shared" si="116"/>
        <v>168</v>
      </c>
      <c r="AP35" s="37">
        <f t="shared" si="117"/>
        <v>100.8</v>
      </c>
      <c r="AQ35" s="38"/>
      <c r="AR35" s="36">
        <f t="shared" si="118"/>
        <v>0</v>
      </c>
      <c r="AS35" s="37">
        <f t="shared" si="119"/>
        <v>0</v>
      </c>
      <c r="AT35" s="38">
        <v>29</v>
      </c>
      <c r="AU35" s="36">
        <f t="shared" si="120"/>
        <v>348</v>
      </c>
      <c r="AV35" s="37">
        <f t="shared" si="121"/>
        <v>208.79999999999998</v>
      </c>
      <c r="AW35" s="38"/>
      <c r="AX35" s="36">
        <f t="shared" si="122"/>
        <v>0</v>
      </c>
      <c r="AY35" s="37">
        <f t="shared" si="123"/>
        <v>0</v>
      </c>
      <c r="AZ35" s="38">
        <v>26</v>
      </c>
      <c r="BA35" s="36">
        <f t="shared" si="124"/>
        <v>624</v>
      </c>
      <c r="BB35" s="37">
        <f t="shared" si="125"/>
        <v>399.36</v>
      </c>
      <c r="BC35" s="38"/>
      <c r="BD35" s="36">
        <f t="shared" si="126"/>
        <v>0</v>
      </c>
      <c r="BE35" s="37">
        <f t="shared" si="127"/>
        <v>0</v>
      </c>
      <c r="BF35" s="38"/>
      <c r="BG35" s="36">
        <f t="shared" si="128"/>
        <v>0</v>
      </c>
      <c r="BH35" s="37">
        <f t="shared" si="129"/>
        <v>0</v>
      </c>
      <c r="BI35" s="38"/>
      <c r="BJ35" s="36">
        <f t="shared" si="130"/>
        <v>0</v>
      </c>
      <c r="BK35" s="37">
        <f t="shared" si="131"/>
        <v>0</v>
      </c>
      <c r="BL35" s="38"/>
      <c r="BM35" s="36">
        <f t="shared" si="132"/>
        <v>0</v>
      </c>
      <c r="BN35" s="37">
        <f t="shared" si="133"/>
        <v>0</v>
      </c>
      <c r="BO35" s="38"/>
      <c r="BP35" s="36">
        <f t="shared" si="134"/>
        <v>0</v>
      </c>
      <c r="BQ35" s="37">
        <f t="shared" si="135"/>
        <v>0</v>
      </c>
      <c r="BR35" s="38"/>
      <c r="BS35" s="36">
        <f t="shared" si="136"/>
        <v>0</v>
      </c>
      <c r="BT35" s="37">
        <f t="shared" si="137"/>
        <v>0</v>
      </c>
      <c r="BU35" s="38"/>
      <c r="BV35" s="36">
        <f t="shared" si="138"/>
        <v>0</v>
      </c>
      <c r="BW35" s="37">
        <f t="shared" si="139"/>
        <v>0</v>
      </c>
      <c r="BX35" s="38"/>
      <c r="BY35" s="36">
        <f t="shared" si="140"/>
        <v>0</v>
      </c>
      <c r="BZ35" s="37">
        <f t="shared" si="141"/>
        <v>0</v>
      </c>
      <c r="CA35" s="38"/>
      <c r="CB35" s="36">
        <f t="shared" si="142"/>
        <v>0</v>
      </c>
      <c r="CC35" s="37">
        <f t="shared" si="143"/>
        <v>0</v>
      </c>
      <c r="CD35" s="38"/>
      <c r="CE35" s="36">
        <f t="shared" si="144"/>
        <v>0</v>
      </c>
      <c r="CF35" s="37">
        <f t="shared" si="145"/>
        <v>0</v>
      </c>
      <c r="CG35" s="38"/>
      <c r="CH35" s="36">
        <f t="shared" si="146"/>
        <v>0</v>
      </c>
      <c r="CI35" s="37">
        <f t="shared" si="147"/>
        <v>0</v>
      </c>
      <c r="CJ35" s="38"/>
      <c r="CK35" s="36">
        <f t="shared" si="148"/>
        <v>0</v>
      </c>
      <c r="CL35" s="37">
        <f t="shared" si="149"/>
        <v>0</v>
      </c>
      <c r="CM35" s="38"/>
      <c r="CN35" s="36">
        <f t="shared" si="150"/>
        <v>0</v>
      </c>
      <c r="CO35" s="37">
        <f t="shared" si="151"/>
        <v>0</v>
      </c>
      <c r="CP35" s="38"/>
      <c r="CQ35" s="36">
        <f t="shared" si="152"/>
        <v>0</v>
      </c>
      <c r="CR35" s="37">
        <f t="shared" si="153"/>
        <v>0</v>
      </c>
      <c r="CS35" s="38">
        <v>19.416666666666668</v>
      </c>
      <c r="CT35" s="36">
        <f t="shared" si="154"/>
        <v>466</v>
      </c>
      <c r="CU35" s="37">
        <f t="shared" si="155"/>
        <v>279.59999999999997</v>
      </c>
      <c r="CV35" s="38">
        <v>13.5</v>
      </c>
      <c r="CW35" s="36">
        <f t="shared" si="156"/>
        <v>324</v>
      </c>
      <c r="CX35" s="37">
        <f t="shared" si="157"/>
        <v>194.4</v>
      </c>
      <c r="CY35" s="38">
        <v>43.5</v>
      </c>
      <c r="CZ35" s="36">
        <f t="shared" si="158"/>
        <v>522</v>
      </c>
      <c r="DA35" s="37">
        <f t="shared" si="159"/>
        <v>522</v>
      </c>
      <c r="DB35" s="38"/>
      <c r="DC35" s="36">
        <f t="shared" si="160"/>
        <v>0</v>
      </c>
      <c r="DD35" s="37">
        <f t="shared" si="161"/>
        <v>0</v>
      </c>
      <c r="DE35" s="38"/>
      <c r="DF35" s="36">
        <f t="shared" si="162"/>
        <v>0</v>
      </c>
      <c r="DG35" s="37">
        <f t="shared" si="163"/>
        <v>0</v>
      </c>
      <c r="DH35" s="38">
        <v>7.4999999999999991</v>
      </c>
      <c r="DI35" s="36">
        <f t="shared" si="164"/>
        <v>89.999999999999986</v>
      </c>
      <c r="DJ35" s="37">
        <f t="shared" si="165"/>
        <v>89.999999999999986</v>
      </c>
      <c r="DK35" s="38"/>
      <c r="DL35" s="36">
        <f t="shared" si="166"/>
        <v>0</v>
      </c>
      <c r="DM35" s="37">
        <f t="shared" si="167"/>
        <v>0</v>
      </c>
      <c r="DN35" s="38"/>
      <c r="DO35" s="36">
        <f t="shared" si="168"/>
        <v>0</v>
      </c>
      <c r="DP35" s="37">
        <f t="shared" si="169"/>
        <v>0</v>
      </c>
      <c r="DQ35" s="38"/>
      <c r="DR35" s="38"/>
      <c r="DS35" s="38"/>
      <c r="DT35" s="33">
        <f t="shared" si="170"/>
        <v>274.91666666666663</v>
      </c>
      <c r="DU35" s="33">
        <f t="shared" si="171"/>
        <v>4218</v>
      </c>
      <c r="DV35" s="33">
        <f t="shared" si="172"/>
        <v>2936.72</v>
      </c>
    </row>
    <row r="36" spans="2:126" x14ac:dyDescent="0.6">
      <c r="B36" s="49" t="s">
        <v>47</v>
      </c>
      <c r="C36" s="54"/>
      <c r="D36" s="38"/>
      <c r="E36" s="36">
        <f t="shared" si="92"/>
        <v>0</v>
      </c>
      <c r="F36" s="37">
        <f t="shared" si="93"/>
        <v>0</v>
      </c>
      <c r="G36" s="38"/>
      <c r="H36" s="36">
        <f t="shared" si="94"/>
        <v>0</v>
      </c>
      <c r="I36" s="37">
        <f t="shared" si="95"/>
        <v>0</v>
      </c>
      <c r="J36" s="38"/>
      <c r="K36" s="36">
        <f t="shared" si="96"/>
        <v>0</v>
      </c>
      <c r="L36" s="37">
        <f t="shared" si="97"/>
        <v>0</v>
      </c>
      <c r="M36" s="38"/>
      <c r="N36" s="36">
        <f t="shared" si="98"/>
        <v>0</v>
      </c>
      <c r="O36" s="37">
        <f t="shared" si="99"/>
        <v>0</v>
      </c>
      <c r="P36" s="38"/>
      <c r="Q36" s="36">
        <f t="shared" si="100"/>
        <v>0</v>
      </c>
      <c r="R36" s="37">
        <f t="shared" si="101"/>
        <v>0</v>
      </c>
      <c r="S36" s="38"/>
      <c r="T36" s="36">
        <f t="shared" si="102"/>
        <v>0</v>
      </c>
      <c r="U36" s="37">
        <f t="shared" si="103"/>
        <v>0</v>
      </c>
      <c r="V36" s="38"/>
      <c r="W36" s="36">
        <f t="shared" si="104"/>
        <v>0</v>
      </c>
      <c r="X36" s="37">
        <f t="shared" si="105"/>
        <v>0</v>
      </c>
      <c r="Y36" s="38"/>
      <c r="Z36" s="36">
        <f t="shared" si="106"/>
        <v>0</v>
      </c>
      <c r="AA36" s="37">
        <f t="shared" si="107"/>
        <v>0</v>
      </c>
      <c r="AB36" s="38"/>
      <c r="AC36" s="36">
        <f t="shared" si="108"/>
        <v>0</v>
      </c>
      <c r="AD36" s="37">
        <f t="shared" si="109"/>
        <v>0</v>
      </c>
      <c r="AE36" s="38"/>
      <c r="AF36" s="36">
        <f t="shared" si="110"/>
        <v>0</v>
      </c>
      <c r="AG36" s="37">
        <f t="shared" si="111"/>
        <v>0</v>
      </c>
      <c r="AH36" s="38"/>
      <c r="AI36" s="36">
        <f t="shared" si="112"/>
        <v>0</v>
      </c>
      <c r="AJ36" s="37">
        <f t="shared" si="113"/>
        <v>0</v>
      </c>
      <c r="AK36" s="38"/>
      <c r="AL36" s="36">
        <f t="shared" si="114"/>
        <v>0</v>
      </c>
      <c r="AM36" s="37">
        <f t="shared" si="115"/>
        <v>0</v>
      </c>
      <c r="AN36" s="38"/>
      <c r="AO36" s="36">
        <f t="shared" si="116"/>
        <v>0</v>
      </c>
      <c r="AP36" s="37">
        <f t="shared" si="117"/>
        <v>0</v>
      </c>
      <c r="AQ36" s="38"/>
      <c r="AR36" s="36">
        <f t="shared" si="118"/>
        <v>0</v>
      </c>
      <c r="AS36" s="37">
        <f t="shared" si="119"/>
        <v>0</v>
      </c>
      <c r="AT36" s="38"/>
      <c r="AU36" s="36">
        <f t="shared" si="120"/>
        <v>0</v>
      </c>
      <c r="AV36" s="37">
        <f t="shared" si="121"/>
        <v>0</v>
      </c>
      <c r="AW36" s="38"/>
      <c r="AX36" s="36">
        <f t="shared" si="122"/>
        <v>0</v>
      </c>
      <c r="AY36" s="37">
        <f t="shared" si="123"/>
        <v>0</v>
      </c>
      <c r="AZ36" s="38"/>
      <c r="BA36" s="36">
        <f t="shared" si="124"/>
        <v>0</v>
      </c>
      <c r="BB36" s="37">
        <f t="shared" si="125"/>
        <v>0</v>
      </c>
      <c r="BC36" s="38"/>
      <c r="BD36" s="36">
        <f t="shared" si="126"/>
        <v>0</v>
      </c>
      <c r="BE36" s="37">
        <f t="shared" si="127"/>
        <v>0</v>
      </c>
      <c r="BF36" s="38"/>
      <c r="BG36" s="36">
        <f t="shared" si="128"/>
        <v>0</v>
      </c>
      <c r="BH36" s="37">
        <f t="shared" si="129"/>
        <v>0</v>
      </c>
      <c r="BI36" s="38"/>
      <c r="BJ36" s="36">
        <f t="shared" si="130"/>
        <v>0</v>
      </c>
      <c r="BK36" s="37">
        <f t="shared" si="131"/>
        <v>0</v>
      </c>
      <c r="BL36" s="38"/>
      <c r="BM36" s="36">
        <f t="shared" si="132"/>
        <v>0</v>
      </c>
      <c r="BN36" s="37">
        <f t="shared" si="133"/>
        <v>0</v>
      </c>
      <c r="BO36" s="38"/>
      <c r="BP36" s="36">
        <f t="shared" si="134"/>
        <v>0</v>
      </c>
      <c r="BQ36" s="37">
        <f t="shared" si="135"/>
        <v>0</v>
      </c>
      <c r="BR36" s="38"/>
      <c r="BS36" s="36">
        <f t="shared" si="136"/>
        <v>0</v>
      </c>
      <c r="BT36" s="37">
        <f t="shared" si="137"/>
        <v>0</v>
      </c>
      <c r="BU36" s="38"/>
      <c r="BV36" s="36">
        <f t="shared" si="138"/>
        <v>0</v>
      </c>
      <c r="BW36" s="37">
        <f t="shared" si="139"/>
        <v>0</v>
      </c>
      <c r="BX36" s="38"/>
      <c r="BY36" s="36">
        <f t="shared" si="140"/>
        <v>0</v>
      </c>
      <c r="BZ36" s="37">
        <f t="shared" si="141"/>
        <v>0</v>
      </c>
      <c r="CA36" s="38"/>
      <c r="CB36" s="36">
        <f t="shared" si="142"/>
        <v>0</v>
      </c>
      <c r="CC36" s="37">
        <f t="shared" si="143"/>
        <v>0</v>
      </c>
      <c r="CD36" s="38"/>
      <c r="CE36" s="36">
        <f t="shared" si="144"/>
        <v>0</v>
      </c>
      <c r="CF36" s="37">
        <f t="shared" si="145"/>
        <v>0</v>
      </c>
      <c r="CG36" s="38"/>
      <c r="CH36" s="36">
        <f t="shared" si="146"/>
        <v>0</v>
      </c>
      <c r="CI36" s="37">
        <f t="shared" si="147"/>
        <v>0</v>
      </c>
      <c r="CJ36" s="38"/>
      <c r="CK36" s="36">
        <f t="shared" si="148"/>
        <v>0</v>
      </c>
      <c r="CL36" s="37">
        <f t="shared" si="149"/>
        <v>0</v>
      </c>
      <c r="CM36" s="38"/>
      <c r="CN36" s="36">
        <f t="shared" si="150"/>
        <v>0</v>
      </c>
      <c r="CO36" s="37">
        <f t="shared" si="151"/>
        <v>0</v>
      </c>
      <c r="CP36" s="38"/>
      <c r="CQ36" s="36">
        <f t="shared" si="152"/>
        <v>0</v>
      </c>
      <c r="CR36" s="37">
        <f t="shared" si="153"/>
        <v>0</v>
      </c>
      <c r="CS36" s="38"/>
      <c r="CT36" s="36">
        <f t="shared" si="154"/>
        <v>0</v>
      </c>
      <c r="CU36" s="37">
        <f t="shared" si="155"/>
        <v>0</v>
      </c>
      <c r="CV36" s="38"/>
      <c r="CW36" s="36">
        <f t="shared" si="156"/>
        <v>0</v>
      </c>
      <c r="CX36" s="37">
        <f t="shared" si="157"/>
        <v>0</v>
      </c>
      <c r="CY36" s="38"/>
      <c r="CZ36" s="36">
        <f t="shared" si="158"/>
        <v>0</v>
      </c>
      <c r="DA36" s="37">
        <f t="shared" si="159"/>
        <v>0</v>
      </c>
      <c r="DB36" s="38"/>
      <c r="DC36" s="36">
        <f t="shared" si="160"/>
        <v>0</v>
      </c>
      <c r="DD36" s="37">
        <f t="shared" si="161"/>
        <v>0</v>
      </c>
      <c r="DE36" s="38"/>
      <c r="DF36" s="36">
        <f t="shared" si="162"/>
        <v>0</v>
      </c>
      <c r="DG36" s="37">
        <f t="shared" si="163"/>
        <v>0</v>
      </c>
      <c r="DH36" s="38"/>
      <c r="DI36" s="36">
        <f t="shared" si="164"/>
        <v>0</v>
      </c>
      <c r="DJ36" s="37">
        <f t="shared" si="165"/>
        <v>0</v>
      </c>
      <c r="DK36" s="38"/>
      <c r="DL36" s="36">
        <f t="shared" si="166"/>
        <v>0</v>
      </c>
      <c r="DM36" s="37">
        <f t="shared" si="167"/>
        <v>0</v>
      </c>
      <c r="DN36" s="38"/>
      <c r="DO36" s="36">
        <f t="shared" si="168"/>
        <v>0</v>
      </c>
      <c r="DP36" s="37">
        <f t="shared" si="169"/>
        <v>0</v>
      </c>
      <c r="DQ36" s="38"/>
      <c r="DR36" s="38"/>
      <c r="DS36" s="38"/>
      <c r="DT36" s="33">
        <f t="shared" si="170"/>
        <v>0</v>
      </c>
      <c r="DU36" s="33">
        <f t="shared" si="171"/>
        <v>0</v>
      </c>
      <c r="DV36" s="33">
        <f t="shared" si="172"/>
        <v>0</v>
      </c>
    </row>
    <row r="37" spans="2:126" x14ac:dyDescent="0.6">
      <c r="B37" s="50" t="s">
        <v>48</v>
      </c>
      <c r="C37" s="54"/>
      <c r="D37" s="38">
        <v>4415</v>
      </c>
      <c r="E37" s="36">
        <f t="shared" si="92"/>
        <v>61810</v>
      </c>
      <c r="F37" s="37">
        <f t="shared" si="93"/>
        <v>39558.400000000001</v>
      </c>
      <c r="G37" s="38">
        <v>75</v>
      </c>
      <c r="H37" s="36">
        <f t="shared" si="94"/>
        <v>900</v>
      </c>
      <c r="I37" s="37">
        <f t="shared" si="95"/>
        <v>900</v>
      </c>
      <c r="J37" s="38">
        <v>1050</v>
      </c>
      <c r="K37" s="36">
        <f t="shared" si="96"/>
        <v>14700</v>
      </c>
      <c r="L37" s="37">
        <f t="shared" si="97"/>
        <v>9408</v>
      </c>
      <c r="M37" s="38"/>
      <c r="N37" s="36">
        <f t="shared" si="98"/>
        <v>0</v>
      </c>
      <c r="O37" s="37">
        <f t="shared" si="99"/>
        <v>0</v>
      </c>
      <c r="P37" s="38"/>
      <c r="Q37" s="36">
        <f t="shared" si="100"/>
        <v>0</v>
      </c>
      <c r="R37" s="37">
        <f t="shared" si="101"/>
        <v>0</v>
      </c>
      <c r="S37" s="38"/>
      <c r="T37" s="36">
        <f t="shared" si="102"/>
        <v>0</v>
      </c>
      <c r="U37" s="37">
        <f t="shared" si="103"/>
        <v>0</v>
      </c>
      <c r="V37" s="38"/>
      <c r="W37" s="36">
        <f t="shared" si="104"/>
        <v>0</v>
      </c>
      <c r="X37" s="37">
        <f t="shared" si="105"/>
        <v>0</v>
      </c>
      <c r="Y37" s="38"/>
      <c r="Z37" s="36">
        <f t="shared" si="106"/>
        <v>0</v>
      </c>
      <c r="AA37" s="37">
        <f t="shared" si="107"/>
        <v>0</v>
      </c>
      <c r="AB37" s="38"/>
      <c r="AC37" s="36">
        <f t="shared" si="108"/>
        <v>0</v>
      </c>
      <c r="AD37" s="37">
        <f t="shared" si="109"/>
        <v>0</v>
      </c>
      <c r="AE37" s="38">
        <v>600</v>
      </c>
      <c r="AF37" s="36">
        <f t="shared" si="110"/>
        <v>8400</v>
      </c>
      <c r="AG37" s="37">
        <f t="shared" si="111"/>
        <v>5376</v>
      </c>
      <c r="AH37" s="38">
        <v>430</v>
      </c>
      <c r="AI37" s="36">
        <f t="shared" si="112"/>
        <v>5160</v>
      </c>
      <c r="AJ37" s="37">
        <f t="shared" si="113"/>
        <v>5160</v>
      </c>
      <c r="AK37" s="38"/>
      <c r="AL37" s="36">
        <f t="shared" si="114"/>
        <v>0</v>
      </c>
      <c r="AM37" s="37">
        <f t="shared" si="115"/>
        <v>0</v>
      </c>
      <c r="AN37" s="38"/>
      <c r="AO37" s="36">
        <f t="shared" si="116"/>
        <v>0</v>
      </c>
      <c r="AP37" s="37">
        <f t="shared" si="117"/>
        <v>0</v>
      </c>
      <c r="AQ37" s="38">
        <v>80</v>
      </c>
      <c r="AR37" s="36">
        <f t="shared" si="118"/>
        <v>1920</v>
      </c>
      <c r="AS37" s="37">
        <f t="shared" si="119"/>
        <v>1228.8</v>
      </c>
      <c r="AT37" s="38"/>
      <c r="AU37" s="36">
        <f t="shared" si="120"/>
        <v>0</v>
      </c>
      <c r="AV37" s="37">
        <f t="shared" si="121"/>
        <v>0</v>
      </c>
      <c r="AW37" s="38"/>
      <c r="AX37" s="36">
        <f t="shared" si="122"/>
        <v>0</v>
      </c>
      <c r="AY37" s="37">
        <f t="shared" si="123"/>
        <v>0</v>
      </c>
      <c r="AZ37" s="38"/>
      <c r="BA37" s="36">
        <f t="shared" si="124"/>
        <v>0</v>
      </c>
      <c r="BB37" s="37">
        <f t="shared" si="125"/>
        <v>0</v>
      </c>
      <c r="BC37" s="38">
        <v>835</v>
      </c>
      <c r="BD37" s="36">
        <f t="shared" si="126"/>
        <v>11690</v>
      </c>
      <c r="BE37" s="37">
        <f t="shared" si="127"/>
        <v>7481.6</v>
      </c>
      <c r="BF37" s="38">
        <v>2995</v>
      </c>
      <c r="BG37" s="36">
        <f t="shared" si="128"/>
        <v>41930</v>
      </c>
      <c r="BH37" s="37">
        <f t="shared" si="129"/>
        <v>26835.200000000001</v>
      </c>
      <c r="BI37" s="38">
        <v>730</v>
      </c>
      <c r="BJ37" s="36">
        <f t="shared" si="130"/>
        <v>17520</v>
      </c>
      <c r="BK37" s="37">
        <f t="shared" si="131"/>
        <v>11212.800000000001</v>
      </c>
      <c r="BL37" s="38"/>
      <c r="BM37" s="36">
        <f t="shared" si="132"/>
        <v>0</v>
      </c>
      <c r="BN37" s="37">
        <f t="shared" si="133"/>
        <v>0</v>
      </c>
      <c r="BO37" s="38"/>
      <c r="BP37" s="36">
        <f t="shared" si="134"/>
        <v>0</v>
      </c>
      <c r="BQ37" s="37">
        <f t="shared" si="135"/>
        <v>0</v>
      </c>
      <c r="BR37" s="38">
        <v>20</v>
      </c>
      <c r="BS37" s="36">
        <f t="shared" si="136"/>
        <v>480</v>
      </c>
      <c r="BT37" s="37">
        <f t="shared" si="137"/>
        <v>307.2</v>
      </c>
      <c r="BU37" s="38">
        <v>1175</v>
      </c>
      <c r="BV37" s="36">
        <f t="shared" si="138"/>
        <v>16450</v>
      </c>
      <c r="BW37" s="37">
        <f t="shared" si="139"/>
        <v>10528</v>
      </c>
      <c r="BX37" s="38"/>
      <c r="BY37" s="36">
        <f t="shared" si="140"/>
        <v>0</v>
      </c>
      <c r="BZ37" s="37">
        <f t="shared" si="141"/>
        <v>0</v>
      </c>
      <c r="CA37" s="38"/>
      <c r="CB37" s="36">
        <f t="shared" si="142"/>
        <v>0</v>
      </c>
      <c r="CC37" s="37">
        <f t="shared" si="143"/>
        <v>0</v>
      </c>
      <c r="CD37" s="38"/>
      <c r="CE37" s="36">
        <f t="shared" si="144"/>
        <v>0</v>
      </c>
      <c r="CF37" s="37">
        <f t="shared" si="145"/>
        <v>0</v>
      </c>
      <c r="CG37" s="38">
        <v>220</v>
      </c>
      <c r="CH37" s="36">
        <f t="shared" si="146"/>
        <v>2640</v>
      </c>
      <c r="CI37" s="37">
        <f t="shared" si="147"/>
        <v>1847.9999999999998</v>
      </c>
      <c r="CJ37" s="38">
        <v>130</v>
      </c>
      <c r="CK37" s="36">
        <f t="shared" si="148"/>
        <v>1820</v>
      </c>
      <c r="CL37" s="37">
        <f t="shared" si="149"/>
        <v>1164.8</v>
      </c>
      <c r="CM37" s="38"/>
      <c r="CN37" s="36">
        <f t="shared" si="150"/>
        <v>0</v>
      </c>
      <c r="CO37" s="37">
        <f t="shared" si="151"/>
        <v>0</v>
      </c>
      <c r="CP37" s="38"/>
      <c r="CQ37" s="36">
        <f t="shared" si="152"/>
        <v>0</v>
      </c>
      <c r="CR37" s="37">
        <f t="shared" si="153"/>
        <v>0</v>
      </c>
      <c r="CS37" s="38">
        <v>570</v>
      </c>
      <c r="CT37" s="36">
        <f t="shared" si="154"/>
        <v>13680</v>
      </c>
      <c r="CU37" s="37">
        <f t="shared" si="155"/>
        <v>8208</v>
      </c>
      <c r="CV37" s="38">
        <v>20</v>
      </c>
      <c r="CW37" s="36">
        <f t="shared" si="156"/>
        <v>480</v>
      </c>
      <c r="CX37" s="37">
        <f t="shared" si="157"/>
        <v>288</v>
      </c>
      <c r="CY37" s="38">
        <v>200</v>
      </c>
      <c r="CZ37" s="36">
        <f t="shared" si="158"/>
        <v>2400</v>
      </c>
      <c r="DA37" s="37">
        <f t="shared" si="159"/>
        <v>2400</v>
      </c>
      <c r="DB37" s="38"/>
      <c r="DC37" s="36">
        <f t="shared" si="160"/>
        <v>0</v>
      </c>
      <c r="DD37" s="37">
        <f t="shared" si="161"/>
        <v>0</v>
      </c>
      <c r="DE37" s="38"/>
      <c r="DF37" s="36">
        <f t="shared" si="162"/>
        <v>0</v>
      </c>
      <c r="DG37" s="37">
        <f t="shared" si="163"/>
        <v>0</v>
      </c>
      <c r="DH37" s="38"/>
      <c r="DI37" s="36">
        <f t="shared" si="164"/>
        <v>0</v>
      </c>
      <c r="DJ37" s="37">
        <f t="shared" si="165"/>
        <v>0</v>
      </c>
      <c r="DK37" s="38"/>
      <c r="DL37" s="36">
        <f t="shared" si="166"/>
        <v>0</v>
      </c>
      <c r="DM37" s="37">
        <f t="shared" si="167"/>
        <v>0</v>
      </c>
      <c r="DN37" s="38"/>
      <c r="DO37" s="36">
        <f t="shared" si="168"/>
        <v>0</v>
      </c>
      <c r="DP37" s="37">
        <f t="shared" si="169"/>
        <v>0</v>
      </c>
      <c r="DQ37" s="38"/>
      <c r="DR37" s="38"/>
      <c r="DS37" s="38"/>
      <c r="DT37" s="33">
        <f t="shared" si="170"/>
        <v>13545</v>
      </c>
      <c r="DU37" s="33">
        <f t="shared" si="171"/>
        <v>201980</v>
      </c>
      <c r="DV37" s="33">
        <f t="shared" si="172"/>
        <v>131904.79999999999</v>
      </c>
    </row>
    <row r="38" spans="2:126" x14ac:dyDescent="0.6">
      <c r="B38" s="50" t="s">
        <v>49</v>
      </c>
      <c r="C38" s="56"/>
      <c r="D38" s="38">
        <v>300</v>
      </c>
      <c r="E38" s="36">
        <f t="shared" si="92"/>
        <v>4200</v>
      </c>
      <c r="F38" s="37">
        <f t="shared" si="93"/>
        <v>2688</v>
      </c>
      <c r="G38" s="38"/>
      <c r="H38" s="36">
        <f t="shared" si="94"/>
        <v>0</v>
      </c>
      <c r="I38" s="37">
        <f t="shared" si="95"/>
        <v>0</v>
      </c>
      <c r="J38" s="38"/>
      <c r="K38" s="36">
        <f t="shared" si="96"/>
        <v>0</v>
      </c>
      <c r="L38" s="37">
        <f t="shared" si="97"/>
        <v>0</v>
      </c>
      <c r="M38" s="38">
        <v>25</v>
      </c>
      <c r="N38" s="36">
        <f t="shared" si="98"/>
        <v>300</v>
      </c>
      <c r="O38" s="37">
        <f t="shared" si="99"/>
        <v>210</v>
      </c>
      <c r="P38" s="38">
        <v>90</v>
      </c>
      <c r="Q38" s="36">
        <f t="shared" si="100"/>
        <v>1260</v>
      </c>
      <c r="R38" s="37">
        <f t="shared" si="101"/>
        <v>806.4</v>
      </c>
      <c r="S38" s="38"/>
      <c r="T38" s="36">
        <f t="shared" si="102"/>
        <v>0</v>
      </c>
      <c r="U38" s="37">
        <f t="shared" si="103"/>
        <v>0</v>
      </c>
      <c r="V38" s="38"/>
      <c r="W38" s="36">
        <f t="shared" si="104"/>
        <v>0</v>
      </c>
      <c r="X38" s="37">
        <f t="shared" si="105"/>
        <v>0</v>
      </c>
      <c r="Y38" s="38"/>
      <c r="Z38" s="36">
        <f t="shared" si="106"/>
        <v>0</v>
      </c>
      <c r="AA38" s="37">
        <f t="shared" si="107"/>
        <v>0</v>
      </c>
      <c r="AB38" s="38"/>
      <c r="AC38" s="36">
        <f t="shared" si="108"/>
        <v>0</v>
      </c>
      <c r="AD38" s="37">
        <f t="shared" si="109"/>
        <v>0</v>
      </c>
      <c r="AE38" s="38">
        <v>50</v>
      </c>
      <c r="AF38" s="36">
        <f t="shared" si="110"/>
        <v>700</v>
      </c>
      <c r="AG38" s="37">
        <f t="shared" si="111"/>
        <v>448</v>
      </c>
      <c r="AH38" s="38"/>
      <c r="AI38" s="36">
        <f t="shared" si="112"/>
        <v>0</v>
      </c>
      <c r="AJ38" s="37">
        <f t="shared" si="113"/>
        <v>0</v>
      </c>
      <c r="AK38" s="38"/>
      <c r="AL38" s="36">
        <f t="shared" si="114"/>
        <v>0</v>
      </c>
      <c r="AM38" s="37">
        <f t="shared" si="115"/>
        <v>0</v>
      </c>
      <c r="AN38" s="38">
        <v>10</v>
      </c>
      <c r="AO38" s="36">
        <f t="shared" si="116"/>
        <v>120</v>
      </c>
      <c r="AP38" s="37">
        <f t="shared" si="117"/>
        <v>72</v>
      </c>
      <c r="AQ38" s="38"/>
      <c r="AR38" s="36">
        <f t="shared" si="118"/>
        <v>0</v>
      </c>
      <c r="AS38" s="37">
        <f t="shared" si="119"/>
        <v>0</v>
      </c>
      <c r="AT38" s="38">
        <v>20</v>
      </c>
      <c r="AU38" s="36">
        <f t="shared" si="120"/>
        <v>240</v>
      </c>
      <c r="AV38" s="37">
        <f t="shared" si="121"/>
        <v>144</v>
      </c>
      <c r="AW38" s="38"/>
      <c r="AX38" s="36">
        <f t="shared" si="122"/>
        <v>0</v>
      </c>
      <c r="AY38" s="37">
        <f t="shared" si="123"/>
        <v>0</v>
      </c>
      <c r="AZ38" s="38">
        <v>150</v>
      </c>
      <c r="BA38" s="36">
        <f t="shared" si="124"/>
        <v>3600</v>
      </c>
      <c r="BB38" s="37">
        <f t="shared" si="125"/>
        <v>2304</v>
      </c>
      <c r="BC38" s="38"/>
      <c r="BD38" s="36">
        <f t="shared" si="126"/>
        <v>0</v>
      </c>
      <c r="BE38" s="37">
        <f t="shared" si="127"/>
        <v>0</v>
      </c>
      <c r="BF38" s="38"/>
      <c r="BG38" s="36">
        <f t="shared" si="128"/>
        <v>0</v>
      </c>
      <c r="BH38" s="37">
        <f t="shared" si="129"/>
        <v>0</v>
      </c>
      <c r="BI38" s="38"/>
      <c r="BJ38" s="36">
        <f t="shared" si="130"/>
        <v>0</v>
      </c>
      <c r="BK38" s="37">
        <f t="shared" si="131"/>
        <v>0</v>
      </c>
      <c r="BL38" s="38"/>
      <c r="BM38" s="36">
        <f t="shared" si="132"/>
        <v>0</v>
      </c>
      <c r="BN38" s="37">
        <f t="shared" si="133"/>
        <v>0</v>
      </c>
      <c r="BO38" s="38"/>
      <c r="BP38" s="36">
        <f t="shared" si="134"/>
        <v>0</v>
      </c>
      <c r="BQ38" s="37">
        <f t="shared" si="135"/>
        <v>0</v>
      </c>
      <c r="BR38" s="38"/>
      <c r="BS38" s="36">
        <f t="shared" si="136"/>
        <v>0</v>
      </c>
      <c r="BT38" s="37">
        <f t="shared" si="137"/>
        <v>0</v>
      </c>
      <c r="BU38" s="38">
        <v>200</v>
      </c>
      <c r="BV38" s="36">
        <f t="shared" si="138"/>
        <v>2800</v>
      </c>
      <c r="BW38" s="37">
        <f t="shared" si="139"/>
        <v>1792</v>
      </c>
      <c r="BX38" s="38"/>
      <c r="BY38" s="36">
        <f t="shared" si="140"/>
        <v>0</v>
      </c>
      <c r="BZ38" s="37">
        <f t="shared" si="141"/>
        <v>0</v>
      </c>
      <c r="CA38" s="38"/>
      <c r="CB38" s="36">
        <f t="shared" si="142"/>
        <v>0</v>
      </c>
      <c r="CC38" s="37">
        <f t="shared" si="143"/>
        <v>0</v>
      </c>
      <c r="CD38" s="38"/>
      <c r="CE38" s="36">
        <f t="shared" si="144"/>
        <v>0</v>
      </c>
      <c r="CF38" s="37">
        <f t="shared" si="145"/>
        <v>0</v>
      </c>
      <c r="CG38" s="38"/>
      <c r="CH38" s="36">
        <f t="shared" si="146"/>
        <v>0</v>
      </c>
      <c r="CI38" s="37">
        <f t="shared" si="147"/>
        <v>0</v>
      </c>
      <c r="CJ38" s="38"/>
      <c r="CK38" s="36">
        <f t="shared" si="148"/>
        <v>0</v>
      </c>
      <c r="CL38" s="37">
        <f t="shared" si="149"/>
        <v>0</v>
      </c>
      <c r="CM38" s="38"/>
      <c r="CN38" s="36">
        <f t="shared" si="150"/>
        <v>0</v>
      </c>
      <c r="CO38" s="37">
        <f t="shared" si="151"/>
        <v>0</v>
      </c>
      <c r="CP38" s="38">
        <v>30</v>
      </c>
      <c r="CQ38" s="36">
        <f t="shared" si="152"/>
        <v>420</v>
      </c>
      <c r="CR38" s="37">
        <f t="shared" si="153"/>
        <v>268.8</v>
      </c>
      <c r="CS38" s="38">
        <v>5</v>
      </c>
      <c r="CT38" s="36">
        <f t="shared" si="154"/>
        <v>120</v>
      </c>
      <c r="CU38" s="37">
        <f t="shared" si="155"/>
        <v>72</v>
      </c>
      <c r="CV38" s="38"/>
      <c r="CW38" s="36">
        <f t="shared" si="156"/>
        <v>0</v>
      </c>
      <c r="CX38" s="37">
        <f t="shared" si="157"/>
        <v>0</v>
      </c>
      <c r="CY38" s="38">
        <v>350</v>
      </c>
      <c r="CZ38" s="36">
        <f t="shared" si="158"/>
        <v>4200</v>
      </c>
      <c r="DA38" s="37">
        <f t="shared" si="159"/>
        <v>4200</v>
      </c>
      <c r="DB38" s="38"/>
      <c r="DC38" s="36">
        <f t="shared" si="160"/>
        <v>0</v>
      </c>
      <c r="DD38" s="37">
        <f t="shared" si="161"/>
        <v>0</v>
      </c>
      <c r="DE38" s="38"/>
      <c r="DF38" s="36">
        <f t="shared" si="162"/>
        <v>0</v>
      </c>
      <c r="DG38" s="37">
        <f t="shared" si="163"/>
        <v>0</v>
      </c>
      <c r="DH38" s="38"/>
      <c r="DI38" s="36">
        <f t="shared" si="164"/>
        <v>0</v>
      </c>
      <c r="DJ38" s="37">
        <f t="shared" si="165"/>
        <v>0</v>
      </c>
      <c r="DK38" s="38"/>
      <c r="DL38" s="36">
        <f t="shared" si="166"/>
        <v>0</v>
      </c>
      <c r="DM38" s="37">
        <f t="shared" si="167"/>
        <v>0</v>
      </c>
      <c r="DN38" s="38"/>
      <c r="DO38" s="36">
        <f t="shared" si="168"/>
        <v>0</v>
      </c>
      <c r="DP38" s="37">
        <f t="shared" si="169"/>
        <v>0</v>
      </c>
      <c r="DQ38" s="38"/>
      <c r="DR38" s="38"/>
      <c r="DS38" s="38"/>
      <c r="DT38" s="33">
        <f t="shared" si="170"/>
        <v>1230</v>
      </c>
      <c r="DU38" s="33">
        <f t="shared" si="171"/>
        <v>17960</v>
      </c>
      <c r="DV38" s="33">
        <f t="shared" si="172"/>
        <v>13005.199999999999</v>
      </c>
    </row>
    <row r="39" spans="2:126" ht="21.75" thickBot="1" x14ac:dyDescent="0.65">
      <c r="B39" s="50"/>
      <c r="C39" s="9"/>
      <c r="D39" s="38"/>
      <c r="E39" s="36">
        <f t="shared" si="92"/>
        <v>0</v>
      </c>
      <c r="F39" s="37">
        <f t="shared" si="93"/>
        <v>0</v>
      </c>
      <c r="G39" s="38"/>
      <c r="H39" s="36">
        <f t="shared" si="94"/>
        <v>0</v>
      </c>
      <c r="I39" s="37">
        <f t="shared" si="95"/>
        <v>0</v>
      </c>
      <c r="J39" s="38"/>
      <c r="K39" s="36">
        <f t="shared" si="96"/>
        <v>0</v>
      </c>
      <c r="L39" s="37">
        <f t="shared" si="97"/>
        <v>0</v>
      </c>
      <c r="M39" s="38"/>
      <c r="N39" s="36">
        <f t="shared" si="98"/>
        <v>0</v>
      </c>
      <c r="O39" s="37">
        <f t="shared" si="99"/>
        <v>0</v>
      </c>
      <c r="P39" s="38"/>
      <c r="Q39" s="36">
        <f t="shared" si="100"/>
        <v>0</v>
      </c>
      <c r="R39" s="37">
        <f t="shared" si="101"/>
        <v>0</v>
      </c>
      <c r="S39" s="38"/>
      <c r="T39" s="36">
        <f t="shared" si="102"/>
        <v>0</v>
      </c>
      <c r="U39" s="37">
        <f t="shared" si="103"/>
        <v>0</v>
      </c>
      <c r="V39" s="38"/>
      <c r="W39" s="36">
        <f t="shared" si="104"/>
        <v>0</v>
      </c>
      <c r="X39" s="37">
        <f t="shared" si="105"/>
        <v>0</v>
      </c>
      <c r="Y39" s="38"/>
      <c r="Z39" s="36">
        <f t="shared" si="106"/>
        <v>0</v>
      </c>
      <c r="AA39" s="37">
        <f t="shared" si="107"/>
        <v>0</v>
      </c>
      <c r="AB39" s="38"/>
      <c r="AC39" s="36">
        <f t="shared" si="108"/>
        <v>0</v>
      </c>
      <c r="AD39" s="37">
        <f t="shared" si="109"/>
        <v>0</v>
      </c>
      <c r="AE39" s="38"/>
      <c r="AF39" s="36">
        <f t="shared" si="110"/>
        <v>0</v>
      </c>
      <c r="AG39" s="37">
        <f t="shared" si="111"/>
        <v>0</v>
      </c>
      <c r="AH39" s="38"/>
      <c r="AI39" s="36">
        <f t="shared" si="112"/>
        <v>0</v>
      </c>
      <c r="AJ39" s="37">
        <f t="shared" si="113"/>
        <v>0</v>
      </c>
      <c r="AK39" s="38"/>
      <c r="AL39" s="36">
        <f t="shared" si="114"/>
        <v>0</v>
      </c>
      <c r="AM39" s="37">
        <f t="shared" si="115"/>
        <v>0</v>
      </c>
      <c r="AN39" s="38"/>
      <c r="AO39" s="36">
        <f t="shared" si="116"/>
        <v>0</v>
      </c>
      <c r="AP39" s="37">
        <f t="shared" si="117"/>
        <v>0</v>
      </c>
      <c r="AQ39" s="38"/>
      <c r="AR39" s="36">
        <f t="shared" si="118"/>
        <v>0</v>
      </c>
      <c r="AS39" s="37">
        <f t="shared" si="119"/>
        <v>0</v>
      </c>
      <c r="AT39" s="38"/>
      <c r="AU39" s="36">
        <f t="shared" si="120"/>
        <v>0</v>
      </c>
      <c r="AV39" s="37">
        <f t="shared" si="121"/>
        <v>0</v>
      </c>
      <c r="AW39" s="38"/>
      <c r="AX39" s="36">
        <f t="shared" si="122"/>
        <v>0</v>
      </c>
      <c r="AY39" s="37">
        <f t="shared" si="123"/>
        <v>0</v>
      </c>
      <c r="AZ39" s="38"/>
      <c r="BA39" s="36">
        <f t="shared" si="124"/>
        <v>0</v>
      </c>
      <c r="BB39" s="37">
        <f t="shared" si="125"/>
        <v>0</v>
      </c>
      <c r="BC39" s="38"/>
      <c r="BD39" s="36">
        <f t="shared" si="126"/>
        <v>0</v>
      </c>
      <c r="BE39" s="37">
        <f t="shared" si="127"/>
        <v>0</v>
      </c>
      <c r="BF39" s="38"/>
      <c r="BG39" s="36">
        <f t="shared" si="128"/>
        <v>0</v>
      </c>
      <c r="BH39" s="37">
        <f t="shared" si="129"/>
        <v>0</v>
      </c>
      <c r="BI39" s="38"/>
      <c r="BJ39" s="36">
        <f t="shared" si="130"/>
        <v>0</v>
      </c>
      <c r="BK39" s="37">
        <f t="shared" si="131"/>
        <v>0</v>
      </c>
      <c r="BL39" s="38"/>
      <c r="BM39" s="36">
        <f t="shared" si="132"/>
        <v>0</v>
      </c>
      <c r="BN39" s="37">
        <f t="shared" si="133"/>
        <v>0</v>
      </c>
      <c r="BO39" s="38"/>
      <c r="BP39" s="36">
        <f t="shared" si="134"/>
        <v>0</v>
      </c>
      <c r="BQ39" s="37">
        <f t="shared" si="135"/>
        <v>0</v>
      </c>
      <c r="BR39" s="38"/>
      <c r="BS39" s="36">
        <f t="shared" si="136"/>
        <v>0</v>
      </c>
      <c r="BT39" s="37">
        <f t="shared" si="137"/>
        <v>0</v>
      </c>
      <c r="BU39" s="38"/>
      <c r="BV39" s="36">
        <f t="shared" si="138"/>
        <v>0</v>
      </c>
      <c r="BW39" s="37">
        <f t="shared" si="139"/>
        <v>0</v>
      </c>
      <c r="BX39" s="38"/>
      <c r="BY39" s="36">
        <f t="shared" si="140"/>
        <v>0</v>
      </c>
      <c r="BZ39" s="37">
        <f t="shared" si="141"/>
        <v>0</v>
      </c>
      <c r="CA39" s="38"/>
      <c r="CB39" s="36">
        <f t="shared" si="142"/>
        <v>0</v>
      </c>
      <c r="CC39" s="37">
        <f t="shared" si="143"/>
        <v>0</v>
      </c>
      <c r="CD39" s="38"/>
      <c r="CE39" s="36">
        <f t="shared" si="144"/>
        <v>0</v>
      </c>
      <c r="CF39" s="37">
        <f t="shared" si="145"/>
        <v>0</v>
      </c>
      <c r="CG39" s="38"/>
      <c r="CH39" s="36">
        <f t="shared" si="146"/>
        <v>0</v>
      </c>
      <c r="CI39" s="37">
        <f t="shared" si="147"/>
        <v>0</v>
      </c>
      <c r="CJ39" s="38"/>
      <c r="CK39" s="36">
        <f t="shared" si="148"/>
        <v>0</v>
      </c>
      <c r="CL39" s="37">
        <f t="shared" si="149"/>
        <v>0</v>
      </c>
      <c r="CM39" s="38"/>
      <c r="CN39" s="36">
        <f t="shared" si="150"/>
        <v>0</v>
      </c>
      <c r="CO39" s="37">
        <f t="shared" si="151"/>
        <v>0</v>
      </c>
      <c r="CP39" s="38"/>
      <c r="CQ39" s="36">
        <f t="shared" si="152"/>
        <v>0</v>
      </c>
      <c r="CR39" s="37">
        <f t="shared" si="153"/>
        <v>0</v>
      </c>
      <c r="CS39" s="38"/>
      <c r="CT39" s="36">
        <f t="shared" si="154"/>
        <v>0</v>
      </c>
      <c r="CU39" s="37">
        <f t="shared" si="155"/>
        <v>0</v>
      </c>
      <c r="CV39" s="38"/>
      <c r="CW39" s="36">
        <f t="shared" si="156"/>
        <v>0</v>
      </c>
      <c r="CX39" s="37">
        <f t="shared" si="157"/>
        <v>0</v>
      </c>
      <c r="CY39" s="38"/>
      <c r="CZ39" s="36">
        <f t="shared" si="158"/>
        <v>0</v>
      </c>
      <c r="DA39" s="37">
        <f t="shared" si="159"/>
        <v>0</v>
      </c>
      <c r="DB39" s="38"/>
      <c r="DC39" s="36">
        <f t="shared" si="160"/>
        <v>0</v>
      </c>
      <c r="DD39" s="37">
        <f t="shared" si="161"/>
        <v>0</v>
      </c>
      <c r="DE39" s="38"/>
      <c r="DF39" s="36">
        <f t="shared" si="162"/>
        <v>0</v>
      </c>
      <c r="DG39" s="37">
        <f t="shared" si="163"/>
        <v>0</v>
      </c>
      <c r="DH39" s="38"/>
      <c r="DI39" s="36">
        <f t="shared" si="164"/>
        <v>0</v>
      </c>
      <c r="DJ39" s="37">
        <f t="shared" si="165"/>
        <v>0</v>
      </c>
      <c r="DK39" s="38"/>
      <c r="DL39" s="36">
        <f t="shared" si="166"/>
        <v>0</v>
      </c>
      <c r="DM39" s="37">
        <f t="shared" si="167"/>
        <v>0</v>
      </c>
      <c r="DN39" s="38"/>
      <c r="DO39" s="36">
        <f t="shared" si="168"/>
        <v>0</v>
      </c>
      <c r="DP39" s="37">
        <f t="shared" si="169"/>
        <v>0</v>
      </c>
      <c r="DQ39" s="38"/>
      <c r="DR39" s="38"/>
      <c r="DS39" s="38"/>
      <c r="DT39" s="33">
        <f t="shared" si="170"/>
        <v>0</v>
      </c>
      <c r="DU39" s="33">
        <f t="shared" si="171"/>
        <v>0</v>
      </c>
      <c r="DV39" s="33">
        <f t="shared" si="172"/>
        <v>0</v>
      </c>
    </row>
    <row r="40" spans="2:126" ht="21.75" thickBot="1" x14ac:dyDescent="0.65">
      <c r="B40" s="51"/>
      <c r="C40" s="19"/>
      <c r="D40" s="39">
        <f t="shared" ref="D40" si="173">SUM(D30:D39)</f>
        <v>5044</v>
      </c>
      <c r="E40" s="39">
        <f t="shared" ref="E40" si="174">SUM(E30:E39)</f>
        <v>70616</v>
      </c>
      <c r="F40" s="40">
        <f t="shared" ref="F40" si="175">SUM(F30:F39)</f>
        <v>45194.240000000005</v>
      </c>
      <c r="G40" s="39">
        <f t="shared" ref="G40" si="176">SUM(G30:G39)</f>
        <v>78</v>
      </c>
      <c r="H40" s="39">
        <f t="shared" ref="H40" si="177">SUM(H30:H39)</f>
        <v>936</v>
      </c>
      <c r="I40" s="40">
        <f t="shared" ref="I40" si="178">SUM(I30:I39)</f>
        <v>936</v>
      </c>
      <c r="J40" s="39">
        <f t="shared" ref="J40" si="179">SUM(J30:J39)</f>
        <v>1100</v>
      </c>
      <c r="K40" s="39">
        <f t="shared" ref="K40" si="180">SUM(K30:K39)</f>
        <v>15400</v>
      </c>
      <c r="L40" s="40">
        <f t="shared" ref="L40" si="181">SUM(L30:L39)</f>
        <v>9856</v>
      </c>
      <c r="M40" s="39">
        <f t="shared" ref="M40" si="182">SUM(M30:M39)</f>
        <v>75</v>
      </c>
      <c r="N40" s="39">
        <f t="shared" ref="N40" si="183">SUM(N30:N39)</f>
        <v>900</v>
      </c>
      <c r="O40" s="40">
        <f t="shared" ref="O40" si="184">SUM(O30:O39)</f>
        <v>630</v>
      </c>
      <c r="P40" s="39">
        <f t="shared" ref="P40" si="185">SUM(P30:P39)</f>
        <v>90</v>
      </c>
      <c r="Q40" s="39">
        <f t="shared" ref="Q40" si="186">SUM(Q30:Q39)</f>
        <v>1260</v>
      </c>
      <c r="R40" s="40">
        <f t="shared" ref="R40" si="187">SUM(R30:R39)</f>
        <v>806.4</v>
      </c>
      <c r="S40" s="39">
        <f t="shared" ref="S40" si="188">SUM(S30:S39)</f>
        <v>0</v>
      </c>
      <c r="T40" s="39">
        <f t="shared" ref="T40" si="189">SUM(T30:T39)</f>
        <v>0</v>
      </c>
      <c r="U40" s="40">
        <f t="shared" ref="U40" si="190">SUM(U30:U39)</f>
        <v>0</v>
      </c>
      <c r="V40" s="39">
        <f t="shared" ref="V40" si="191">SUM(V30:V39)</f>
        <v>0</v>
      </c>
      <c r="W40" s="39">
        <f t="shared" ref="W40" si="192">SUM(W30:W39)</f>
        <v>0</v>
      </c>
      <c r="X40" s="40">
        <f t="shared" ref="X40" si="193">SUM(X30:X39)</f>
        <v>0</v>
      </c>
      <c r="Y40" s="39">
        <f t="shared" ref="Y40" si="194">SUM(Y30:Y39)</f>
        <v>0</v>
      </c>
      <c r="Z40" s="39">
        <f t="shared" ref="Z40" si="195">SUM(Z30:Z39)</f>
        <v>0</v>
      </c>
      <c r="AA40" s="40">
        <f t="shared" ref="AA40" si="196">SUM(AA30:AA39)</f>
        <v>0</v>
      </c>
      <c r="AB40" s="39">
        <f t="shared" ref="AB40" si="197">SUM(AB30:AB39)</f>
        <v>0</v>
      </c>
      <c r="AC40" s="39">
        <f t="shared" ref="AC40" si="198">SUM(AC30:AC39)</f>
        <v>0</v>
      </c>
      <c r="AD40" s="40">
        <f t="shared" ref="AD40" si="199">SUM(AD30:AD39)</f>
        <v>0</v>
      </c>
      <c r="AE40" s="39">
        <f t="shared" ref="AE40" si="200">SUM(AE30:AE39)</f>
        <v>723</v>
      </c>
      <c r="AF40" s="39">
        <f t="shared" ref="AF40" si="201">SUM(AF30:AF39)</f>
        <v>10122</v>
      </c>
      <c r="AG40" s="40">
        <f t="shared" ref="AG40" si="202">SUM(AG30:AG39)</f>
        <v>6478.08</v>
      </c>
      <c r="AH40" s="39">
        <f t="shared" ref="AH40" si="203">SUM(AH30:AH39)</f>
        <v>1576</v>
      </c>
      <c r="AI40" s="39">
        <f t="shared" ref="AI40" si="204">SUM(AI30:AI39)</f>
        <v>18912</v>
      </c>
      <c r="AJ40" s="40">
        <f t="shared" ref="AJ40" si="205">SUM(AJ30:AJ39)</f>
        <v>18912</v>
      </c>
      <c r="AK40" s="39">
        <f t="shared" ref="AK40" si="206">SUM(AK30:AK39)</f>
        <v>0</v>
      </c>
      <c r="AL40" s="39">
        <f t="shared" ref="AL40" si="207">SUM(AL30:AL39)</f>
        <v>0</v>
      </c>
      <c r="AM40" s="40">
        <f t="shared" ref="AM40" si="208">SUM(AM30:AM39)</f>
        <v>0</v>
      </c>
      <c r="AN40" s="39">
        <f t="shared" ref="AN40" si="209">SUM(AN30:AN39)</f>
        <v>34</v>
      </c>
      <c r="AO40" s="39">
        <f t="shared" ref="AO40" si="210">SUM(AO30:AO39)</f>
        <v>408</v>
      </c>
      <c r="AP40" s="40">
        <f t="shared" ref="AP40" si="211">SUM(AP30:AP39)</f>
        <v>244.8</v>
      </c>
      <c r="AQ40" s="39">
        <f t="shared" ref="AQ40" si="212">SUM(AQ30:AQ39)</f>
        <v>122</v>
      </c>
      <c r="AR40" s="39">
        <f t="shared" ref="AR40" si="213">SUM(AR30:AR39)</f>
        <v>2928</v>
      </c>
      <c r="AS40" s="40">
        <f t="shared" ref="AS40" si="214">SUM(AS30:AS39)</f>
        <v>1873.92</v>
      </c>
      <c r="AT40" s="39">
        <f t="shared" ref="AT40" si="215">SUM(AT30:AT39)</f>
        <v>59</v>
      </c>
      <c r="AU40" s="39">
        <f t="shared" ref="AU40" si="216">SUM(AU30:AU39)</f>
        <v>708</v>
      </c>
      <c r="AV40" s="40">
        <f t="shared" ref="AV40" si="217">SUM(AV30:AV39)</f>
        <v>424.79999999999995</v>
      </c>
      <c r="AW40" s="39">
        <f t="shared" ref="AW40" si="218">SUM(AW30:AW39)</f>
        <v>5</v>
      </c>
      <c r="AX40" s="39">
        <f t="shared" ref="AX40" si="219">SUM(AX30:AX39)</f>
        <v>70</v>
      </c>
      <c r="AY40" s="40">
        <f t="shared" ref="AY40" si="220">SUM(AY30:AY39)</f>
        <v>44.8</v>
      </c>
      <c r="AZ40" s="39">
        <f t="shared" ref="AZ40" si="221">SUM(AZ30:AZ39)</f>
        <v>226</v>
      </c>
      <c r="BA40" s="39">
        <f t="shared" ref="BA40" si="222">SUM(BA30:BA39)</f>
        <v>5424</v>
      </c>
      <c r="BB40" s="40">
        <f t="shared" ref="BB40" si="223">SUM(BB30:BB39)</f>
        <v>3471.36</v>
      </c>
      <c r="BC40" s="39">
        <f t="shared" ref="BC40" si="224">SUM(BC30:BC39)</f>
        <v>835</v>
      </c>
      <c r="BD40" s="39">
        <f t="shared" ref="BD40" si="225">SUM(BD30:BD39)</f>
        <v>11690</v>
      </c>
      <c r="BE40" s="40">
        <f t="shared" ref="BE40" si="226">SUM(BE30:BE39)</f>
        <v>7481.6</v>
      </c>
      <c r="BF40" s="39">
        <f t="shared" ref="BF40" si="227">SUM(BF30:BF39)</f>
        <v>3035</v>
      </c>
      <c r="BG40" s="39">
        <f t="shared" ref="BG40" si="228">SUM(BG30:BG39)</f>
        <v>42490</v>
      </c>
      <c r="BH40" s="40">
        <f t="shared" ref="BH40" si="229">SUM(BH30:BH39)</f>
        <v>27193.600000000002</v>
      </c>
      <c r="BI40" s="39">
        <f t="shared" ref="BI40" si="230">SUM(BI30:BI39)</f>
        <v>830</v>
      </c>
      <c r="BJ40" s="39">
        <f t="shared" ref="BJ40" si="231">SUM(BJ30:BJ39)</f>
        <v>19920</v>
      </c>
      <c r="BK40" s="40">
        <f t="shared" ref="BK40" si="232">SUM(BK30:BK39)</f>
        <v>12748.800000000001</v>
      </c>
      <c r="BL40" s="39">
        <f t="shared" ref="BL40" si="233">SUM(BL30:BL39)</f>
        <v>0</v>
      </c>
      <c r="BM40" s="39">
        <f t="shared" ref="BM40" si="234">SUM(BM30:BM39)</f>
        <v>0</v>
      </c>
      <c r="BN40" s="40">
        <f t="shared" ref="BN40" si="235">SUM(BN30:BN39)</f>
        <v>0</v>
      </c>
      <c r="BO40" s="39">
        <f t="shared" ref="BO40" si="236">SUM(BO30:BO39)</f>
        <v>0</v>
      </c>
      <c r="BP40" s="39">
        <f t="shared" ref="BP40" si="237">SUM(BP30:BP39)</f>
        <v>0</v>
      </c>
      <c r="BQ40" s="40">
        <f t="shared" ref="BQ40" si="238">SUM(BQ30:BQ39)</f>
        <v>0</v>
      </c>
      <c r="BR40" s="39">
        <f t="shared" ref="BR40" si="239">SUM(BR30:BR39)</f>
        <v>20</v>
      </c>
      <c r="BS40" s="39">
        <f t="shared" ref="BS40" si="240">SUM(BS30:BS39)</f>
        <v>480</v>
      </c>
      <c r="BT40" s="40">
        <f t="shared" ref="BT40" si="241">SUM(BT30:BT39)</f>
        <v>307.2</v>
      </c>
      <c r="BU40" s="39">
        <f t="shared" ref="BU40" si="242">SUM(BU30:BU39)</f>
        <v>1385</v>
      </c>
      <c r="BV40" s="39">
        <f t="shared" ref="BV40" si="243">SUM(BV30:BV39)</f>
        <v>19390</v>
      </c>
      <c r="BW40" s="40">
        <f t="shared" ref="BW40" si="244">SUM(BW30:BW39)</f>
        <v>12409.6</v>
      </c>
      <c r="BX40" s="39">
        <f t="shared" ref="BX40" si="245">SUM(BX30:BX39)</f>
        <v>0</v>
      </c>
      <c r="BY40" s="39">
        <f t="shared" ref="BY40" si="246">SUM(BY30:BY39)</f>
        <v>0</v>
      </c>
      <c r="BZ40" s="40">
        <f t="shared" ref="BZ40" si="247">SUM(BZ30:BZ39)</f>
        <v>0</v>
      </c>
      <c r="CA40" s="39">
        <f t="shared" ref="CA40" si="248">SUM(CA30:CA39)</f>
        <v>0</v>
      </c>
      <c r="CB40" s="39">
        <f t="shared" ref="CB40" si="249">SUM(CB30:CB39)</f>
        <v>0</v>
      </c>
      <c r="CC40" s="40">
        <f t="shared" ref="CC40" si="250">SUM(CC30:CC39)</f>
        <v>0</v>
      </c>
      <c r="CD40" s="39">
        <f t="shared" ref="CD40" si="251">SUM(CD30:CD39)</f>
        <v>0</v>
      </c>
      <c r="CE40" s="39">
        <f t="shared" ref="CE40" si="252">SUM(CE30:CE39)</f>
        <v>0</v>
      </c>
      <c r="CF40" s="40">
        <f t="shared" ref="CF40" si="253">SUM(CF30:CF39)</f>
        <v>0</v>
      </c>
      <c r="CG40" s="39">
        <f t="shared" ref="CG40" si="254">SUM(CG30:CG39)</f>
        <v>220</v>
      </c>
      <c r="CH40" s="39">
        <f t="shared" ref="CH40" si="255">SUM(CH30:CH39)</f>
        <v>2640</v>
      </c>
      <c r="CI40" s="40">
        <f t="shared" ref="CI40" si="256">SUM(CI30:CI39)</f>
        <v>1847.9999999999998</v>
      </c>
      <c r="CJ40" s="39">
        <f t="shared" ref="CJ40" si="257">SUM(CJ30:CJ39)</f>
        <v>130</v>
      </c>
      <c r="CK40" s="39">
        <f t="shared" ref="CK40" si="258">SUM(CK30:CK39)</f>
        <v>1820</v>
      </c>
      <c r="CL40" s="40">
        <f t="shared" ref="CL40" si="259">SUM(CL30:CL39)</f>
        <v>1164.8</v>
      </c>
      <c r="CM40" s="39">
        <f t="shared" ref="CM40" si="260">SUM(CM30:CM39)</f>
        <v>0</v>
      </c>
      <c r="CN40" s="39">
        <f t="shared" ref="CN40" si="261">SUM(CN30:CN39)</f>
        <v>0</v>
      </c>
      <c r="CO40" s="40">
        <f t="shared" ref="CO40" si="262">SUM(CO30:CO39)</f>
        <v>0</v>
      </c>
      <c r="CP40" s="39">
        <f t="shared" ref="CP40" si="263">SUM(CP30:CP39)</f>
        <v>30</v>
      </c>
      <c r="CQ40" s="39">
        <f t="shared" ref="CQ40" si="264">SUM(CQ30:CQ39)</f>
        <v>420</v>
      </c>
      <c r="CR40" s="40">
        <f t="shared" ref="CR40" si="265">SUM(CR30:CR39)</f>
        <v>268.8</v>
      </c>
      <c r="CS40" s="39">
        <f t="shared" ref="CS40" si="266">SUM(CS30:CS39)</f>
        <v>755.41666666666663</v>
      </c>
      <c r="CT40" s="39">
        <f t="shared" ref="CT40" si="267">SUM(CT30:CT39)</f>
        <v>18130</v>
      </c>
      <c r="CU40" s="40">
        <f t="shared" ref="CU40" si="268">SUM(CU30:CU39)</f>
        <v>10878</v>
      </c>
      <c r="CV40" s="39">
        <f t="shared" ref="CV40" si="269">SUM(CV30:CV39)</f>
        <v>33.5</v>
      </c>
      <c r="CW40" s="39">
        <f t="shared" ref="CW40" si="270">SUM(CW30:CW39)</f>
        <v>804</v>
      </c>
      <c r="CX40" s="40">
        <f t="shared" ref="CX40" si="271">SUM(CX30:CX39)</f>
        <v>482.4</v>
      </c>
      <c r="CY40" s="39">
        <f t="shared" ref="CY40" si="272">SUM(CY30:CY39)</f>
        <v>819.5</v>
      </c>
      <c r="CZ40" s="39">
        <f t="shared" ref="CZ40" si="273">SUM(CZ30:CZ39)</f>
        <v>9834</v>
      </c>
      <c r="DA40" s="40">
        <f t="shared" ref="DA40" si="274">SUM(DA30:DA39)</f>
        <v>9834</v>
      </c>
      <c r="DB40" s="39">
        <f t="shared" ref="DB40" si="275">SUM(DB30:DB39)</f>
        <v>0</v>
      </c>
      <c r="DC40" s="39">
        <f t="shared" ref="DC40" si="276">SUM(DC30:DC39)</f>
        <v>0</v>
      </c>
      <c r="DD40" s="40">
        <f t="shared" ref="DD40" si="277">SUM(DD30:DD39)</f>
        <v>0</v>
      </c>
      <c r="DE40" s="39">
        <f t="shared" ref="DE40" si="278">SUM(DE30:DE39)</f>
        <v>0</v>
      </c>
      <c r="DF40" s="39">
        <f t="shared" ref="DF40" si="279">SUM(DF30:DF39)</f>
        <v>0</v>
      </c>
      <c r="DG40" s="40">
        <f t="shared" ref="DG40" si="280">SUM(DG30:DG39)</f>
        <v>0</v>
      </c>
      <c r="DH40" s="39">
        <f t="shared" ref="DH40" si="281">SUM(DH30:DH39)</f>
        <v>40.5</v>
      </c>
      <c r="DI40" s="39">
        <f t="shared" ref="DI40" si="282">SUM(DI30:DI39)</f>
        <v>486</v>
      </c>
      <c r="DJ40" s="40">
        <f t="shared" ref="DJ40" si="283">SUM(DJ30:DJ39)</f>
        <v>486</v>
      </c>
      <c r="DK40" s="39">
        <f t="shared" ref="DK40" si="284">SUM(DK30:DK39)</f>
        <v>0</v>
      </c>
      <c r="DL40" s="39">
        <f t="shared" ref="DL40" si="285">SUM(DL30:DL39)</f>
        <v>0</v>
      </c>
      <c r="DM40" s="40">
        <f t="shared" ref="DM40" si="286">SUM(DM30:DM39)</f>
        <v>0</v>
      </c>
      <c r="DN40" s="39">
        <f t="shared" ref="DN40" si="287">SUM(DN30:DN39)</f>
        <v>0</v>
      </c>
      <c r="DO40" s="39">
        <f t="shared" ref="DO40" si="288">SUM(DO30:DO39)</f>
        <v>0</v>
      </c>
      <c r="DP40" s="40">
        <f t="shared" ref="DP40" si="289">SUM(DP30:DP39)</f>
        <v>0</v>
      </c>
      <c r="DQ40" s="39">
        <f t="shared" ref="DQ40" si="290">SUM(DQ30:DQ39)</f>
        <v>0</v>
      </c>
      <c r="DR40" s="39">
        <f t="shared" ref="DR40" si="291">SUM(DR30:DR39)</f>
        <v>0</v>
      </c>
      <c r="DS40" s="39">
        <f t="shared" ref="DS40" si="292">SUM(DS30:DS39)</f>
        <v>0</v>
      </c>
      <c r="DT40" s="39">
        <f t="shared" ref="DT40" si="293">SUM(DT30:DT39)</f>
        <v>17265.916666666664</v>
      </c>
      <c r="DU40" s="39">
        <f t="shared" ref="DU40" si="294">SUM(DU30:DU39)</f>
        <v>255788</v>
      </c>
      <c r="DV40" s="40">
        <f t="shared" ref="DV40" si="295">SUM(DV30:DV39)</f>
        <v>173975.2</v>
      </c>
    </row>
    <row r="41" spans="2:126" x14ac:dyDescent="0.6">
      <c r="B41" s="49" t="s">
        <v>50</v>
      </c>
      <c r="C41" s="53" t="s">
        <v>5</v>
      </c>
      <c r="D41" s="38">
        <v>21.357142857142858</v>
      </c>
      <c r="E41" s="36">
        <f t="shared" ref="E41:E47" si="296">+D41*$E$3</f>
        <v>299</v>
      </c>
      <c r="F41" s="37">
        <f t="shared" ref="F41:F47" si="297">+E41*$F$3</f>
        <v>191.36</v>
      </c>
      <c r="G41" s="38"/>
      <c r="H41" s="36">
        <f t="shared" ref="H41:H47" si="298">+G41*$H$3</f>
        <v>0</v>
      </c>
      <c r="I41" s="37">
        <f t="shared" ref="I41:I47" si="299">+H41*$I$3</f>
        <v>0</v>
      </c>
      <c r="J41" s="38"/>
      <c r="K41" s="36">
        <f t="shared" ref="K41:K47" si="300">+J41*$K$3</f>
        <v>0</v>
      </c>
      <c r="L41" s="37">
        <f t="shared" ref="L41:L47" si="301">+K41*$L$3</f>
        <v>0</v>
      </c>
      <c r="M41" s="38"/>
      <c r="N41" s="36">
        <f t="shared" ref="N41:N47" si="302">+M41*$N$3</f>
        <v>0</v>
      </c>
      <c r="O41" s="37">
        <f t="shared" ref="O41:O47" si="303">+N41*$O$3</f>
        <v>0</v>
      </c>
      <c r="P41" s="38"/>
      <c r="Q41" s="36">
        <f t="shared" ref="Q41:Q47" si="304">+P41*$Q$3</f>
        <v>0</v>
      </c>
      <c r="R41" s="37">
        <f t="shared" ref="R41:R47" si="305">+Q41*$R$3</f>
        <v>0</v>
      </c>
      <c r="S41" s="38"/>
      <c r="T41" s="36">
        <f t="shared" ref="T41:T47" si="306">+S41*$T$3</f>
        <v>0</v>
      </c>
      <c r="U41" s="37">
        <f t="shared" ref="U41:U47" si="307">+T41*$U$3</f>
        <v>0</v>
      </c>
      <c r="V41" s="38"/>
      <c r="W41" s="36">
        <f t="shared" ref="W41:W47" si="308">+V41*$W$3</f>
        <v>0</v>
      </c>
      <c r="X41" s="37">
        <f t="shared" ref="X41:X47" si="309">+W41*$X$3</f>
        <v>0</v>
      </c>
      <c r="Y41" s="38"/>
      <c r="Z41" s="36">
        <f t="shared" ref="Z41:Z47" si="310">+Y41*$Z$3</f>
        <v>0</v>
      </c>
      <c r="AA41" s="37">
        <f t="shared" ref="AA41:AA47" si="311">+Z41*$AA$3</f>
        <v>0</v>
      </c>
      <c r="AB41" s="38"/>
      <c r="AC41" s="36">
        <f t="shared" ref="AC41:AC47" si="312">+AB41*$AC$3</f>
        <v>0</v>
      </c>
      <c r="AD41" s="37">
        <f t="shared" ref="AD41:AD47" si="313">+AC41*$AD$3</f>
        <v>0</v>
      </c>
      <c r="AE41" s="38">
        <v>6</v>
      </c>
      <c r="AF41" s="36">
        <f t="shared" ref="AF41:AF47" si="314">+AE41*$AF$3</f>
        <v>84</v>
      </c>
      <c r="AG41" s="37">
        <f t="shared" ref="AG41:AG47" si="315">+AF41*$AG$3</f>
        <v>53.76</v>
      </c>
      <c r="AH41" s="38">
        <v>104.33333333333333</v>
      </c>
      <c r="AI41" s="36">
        <f t="shared" ref="AI41:AI47" si="316">+AH41*$AI$3</f>
        <v>1252</v>
      </c>
      <c r="AJ41" s="37">
        <f t="shared" ref="AJ41:AJ47" si="317">+AI41*$AJ$3</f>
        <v>1252</v>
      </c>
      <c r="AK41" s="38"/>
      <c r="AL41" s="36">
        <f t="shared" ref="AL41:AL47" si="318">+AK41*$AL$3</f>
        <v>0</v>
      </c>
      <c r="AM41" s="37">
        <f t="shared" ref="AM41:AM47" si="319">+AL41*$AM$3</f>
        <v>0</v>
      </c>
      <c r="AN41" s="38"/>
      <c r="AO41" s="36">
        <f t="shared" ref="AO41:AO47" si="320">+AN41*$AO$3</f>
        <v>0</v>
      </c>
      <c r="AP41" s="37">
        <f t="shared" ref="AP41:AP47" si="321">+AO41*$AP$3</f>
        <v>0</v>
      </c>
      <c r="AQ41" s="38">
        <v>11</v>
      </c>
      <c r="AR41" s="36">
        <f t="shared" ref="AR41:AR47" si="322">+AQ41*$AR$3</f>
        <v>264</v>
      </c>
      <c r="AS41" s="37">
        <f t="shared" ref="AS41:AS47" si="323">+AR41*$AS$3</f>
        <v>168.96</v>
      </c>
      <c r="AT41" s="38"/>
      <c r="AU41" s="36">
        <f t="shared" ref="AU41:AU47" si="324">+AT41*$AU$3</f>
        <v>0</v>
      </c>
      <c r="AV41" s="37">
        <f t="shared" ref="AV41:AV47" si="325">+AU41*$AV$3</f>
        <v>0</v>
      </c>
      <c r="AW41" s="38">
        <v>8</v>
      </c>
      <c r="AX41" s="36">
        <f t="shared" ref="AX41:AX47" si="326">+AW41*$AX$3</f>
        <v>112</v>
      </c>
      <c r="AY41" s="37">
        <f t="shared" ref="AY41:AY47" si="327">+AX41*$AY$3</f>
        <v>71.680000000000007</v>
      </c>
      <c r="AZ41" s="38"/>
      <c r="BA41" s="36">
        <f t="shared" ref="BA41:BA47" si="328">+AZ41*$BA$3</f>
        <v>0</v>
      </c>
      <c r="BB41" s="37">
        <f t="shared" ref="BB41:BB47" si="329">+BA41*$BB$3</f>
        <v>0</v>
      </c>
      <c r="BC41" s="38">
        <v>1.7857142857142856</v>
      </c>
      <c r="BD41" s="36">
        <f t="shared" ref="BD41:BD47" si="330">+BC41*$BD$3</f>
        <v>25</v>
      </c>
      <c r="BE41" s="37">
        <f t="shared" ref="BE41:BE47" si="331">+BD41*$BE$3</f>
        <v>16</v>
      </c>
      <c r="BF41" s="38">
        <v>0.14285714285714285</v>
      </c>
      <c r="BG41" s="36">
        <f t="shared" ref="BG41:BG47" si="332">+BF41*$BG$3</f>
        <v>2</v>
      </c>
      <c r="BH41" s="37">
        <f t="shared" ref="BH41:BH47" si="333">+BG41*$BH$3</f>
        <v>1.28</v>
      </c>
      <c r="BI41" s="38">
        <v>5</v>
      </c>
      <c r="BJ41" s="36">
        <f t="shared" ref="BJ41:BJ47" si="334">+BI41*$BJ$3</f>
        <v>120</v>
      </c>
      <c r="BK41" s="37">
        <f t="shared" ref="BK41:BK47" si="335">+BJ41*$BK$3</f>
        <v>76.8</v>
      </c>
      <c r="BL41" s="38"/>
      <c r="BM41" s="36">
        <f t="shared" ref="BM41:BM47" si="336">+BL41*$BM$3</f>
        <v>0</v>
      </c>
      <c r="BN41" s="37">
        <f t="shared" ref="BN41:BN47" si="337">+BM41*$BN$3</f>
        <v>0</v>
      </c>
      <c r="BO41" s="38"/>
      <c r="BP41" s="36">
        <f t="shared" ref="BP41:BP47" si="338">+BO41*$BP$3</f>
        <v>0</v>
      </c>
      <c r="BQ41" s="37">
        <f t="shared" ref="BQ41:BQ47" si="339">+BP41*$BQ$3</f>
        <v>0</v>
      </c>
      <c r="BR41" s="38"/>
      <c r="BS41" s="36">
        <f t="shared" ref="BS41:BS47" si="340">+BR41*$BS$3</f>
        <v>0</v>
      </c>
      <c r="BT41" s="37">
        <f t="shared" ref="BT41:BT47" si="341">+BS41*$BT$3</f>
        <v>0</v>
      </c>
      <c r="BU41" s="38"/>
      <c r="BV41" s="36">
        <f t="shared" ref="BV41:BV47" si="342">+BU41*$BV$3</f>
        <v>0</v>
      </c>
      <c r="BW41" s="37">
        <f t="shared" ref="BW41:BW47" si="343">+BV41*$BW$3</f>
        <v>0</v>
      </c>
      <c r="BX41" s="38"/>
      <c r="BY41" s="36">
        <f t="shared" ref="BY41:BY47" si="344">+BX41*$BY$3</f>
        <v>0</v>
      </c>
      <c r="BZ41" s="37">
        <f t="shared" ref="BZ41:BZ47" si="345">+BY41*$BZ$3</f>
        <v>0</v>
      </c>
      <c r="CA41" s="38"/>
      <c r="CB41" s="36">
        <f t="shared" ref="CB41:CB47" si="346">+CA41*$CB$3</f>
        <v>0</v>
      </c>
      <c r="CC41" s="37">
        <f t="shared" ref="CC41:CC47" si="347">+CB41*$CC$3</f>
        <v>0</v>
      </c>
      <c r="CD41" s="38"/>
      <c r="CE41" s="36">
        <f t="shared" ref="CE41:CE47" si="348">+CD41*$CE$3</f>
        <v>0</v>
      </c>
      <c r="CF41" s="37">
        <f t="shared" ref="CF41:CF47" si="349">+CE41*$CF$3</f>
        <v>0</v>
      </c>
      <c r="CG41" s="38"/>
      <c r="CH41" s="36">
        <f t="shared" ref="CH41:CH47" si="350">+CG41*$CH$3</f>
        <v>0</v>
      </c>
      <c r="CI41" s="37">
        <f t="shared" ref="CI41:CI47" si="351">+CH41*$CI$3</f>
        <v>0</v>
      </c>
      <c r="CJ41" s="38"/>
      <c r="CK41" s="36">
        <f t="shared" ref="CK41:CK47" si="352">+CJ41*$CK$3</f>
        <v>0</v>
      </c>
      <c r="CL41" s="37">
        <f t="shared" ref="CL41:CL47" si="353">+CK41*$CL$3</f>
        <v>0</v>
      </c>
      <c r="CM41" s="38"/>
      <c r="CN41" s="36">
        <f t="shared" ref="CN41:CN47" si="354">+CM41*$CN$3</f>
        <v>0</v>
      </c>
      <c r="CO41" s="37">
        <f t="shared" ref="CO41:CO47" si="355">+CN41*$CO$3</f>
        <v>0</v>
      </c>
      <c r="CP41" s="38"/>
      <c r="CQ41" s="36">
        <f t="shared" ref="CQ41:CQ47" si="356">+CP41*$CQ$3</f>
        <v>0</v>
      </c>
      <c r="CR41" s="37">
        <f t="shared" ref="CR41:CR47" si="357">+CQ41*$CR$3</f>
        <v>0</v>
      </c>
      <c r="CS41" s="38">
        <v>7</v>
      </c>
      <c r="CT41" s="36">
        <f t="shared" ref="CT41:CT47" si="358">+CS41*$CT$3</f>
        <v>168</v>
      </c>
      <c r="CU41" s="37">
        <f t="shared" ref="CU41:CU47" si="359">+CT41*$CU$3</f>
        <v>100.8</v>
      </c>
      <c r="CV41" s="38"/>
      <c r="CW41" s="36">
        <f t="shared" ref="CW41:CW47" si="360">+CV41*$CW$3</f>
        <v>0</v>
      </c>
      <c r="CX41" s="37">
        <f t="shared" ref="CX41:CX47" si="361">+CW41*$CX$3</f>
        <v>0</v>
      </c>
      <c r="CY41" s="38">
        <v>12</v>
      </c>
      <c r="CZ41" s="36">
        <f t="shared" ref="CZ41:CZ47" si="362">+CY41*$CZ$3</f>
        <v>144</v>
      </c>
      <c r="DA41" s="37">
        <f t="shared" ref="DA41:DA47" si="363">+CZ41*$DA$3</f>
        <v>144</v>
      </c>
      <c r="DB41" s="38"/>
      <c r="DC41" s="36">
        <f t="shared" ref="DC41:DC47" si="364">+DB41*$DC$3</f>
        <v>0</v>
      </c>
      <c r="DD41" s="37">
        <f t="shared" ref="DD41:DD47" si="365">+DC41*$DD$3</f>
        <v>0</v>
      </c>
      <c r="DE41" s="38"/>
      <c r="DF41" s="36">
        <f t="shared" ref="DF41:DF47" si="366">+DE41*$DF$3</f>
        <v>0</v>
      </c>
      <c r="DG41" s="37">
        <f t="shared" ref="DG41:DG47" si="367">+DF41*$DG$3</f>
        <v>0</v>
      </c>
      <c r="DH41" s="38"/>
      <c r="DI41" s="36">
        <f t="shared" ref="DI41:DI47" si="368">+DH41*$DI$3</f>
        <v>0</v>
      </c>
      <c r="DJ41" s="37">
        <f t="shared" ref="DJ41:DJ47" si="369">+DI41*$DJ$3</f>
        <v>0</v>
      </c>
      <c r="DK41" s="38"/>
      <c r="DL41" s="36">
        <f t="shared" ref="DL41:DL47" si="370">+DK41*$DL$3</f>
        <v>0</v>
      </c>
      <c r="DM41" s="37">
        <f t="shared" ref="DM41:DM47" si="371">+DL41*$DM$3</f>
        <v>0</v>
      </c>
      <c r="DN41" s="38"/>
      <c r="DO41" s="36">
        <f t="shared" ref="DO41:DO47" si="372">+DN41*$DO$3</f>
        <v>0</v>
      </c>
      <c r="DP41" s="37">
        <f t="shared" ref="DP41:DP47" si="373">+DO41*$DP$3</f>
        <v>0</v>
      </c>
      <c r="DQ41" s="38"/>
      <c r="DR41" s="38"/>
      <c r="DS41" s="38"/>
      <c r="DT41" s="33">
        <f t="shared" ref="DT41:DT47" si="374">D41+G41+J41+M41+P41+S41+V41+Y41+AB41+AE41+AH41+AK41+AN41+AQ41+AT41+AW41+AZ41+BC41+BF41+BI41+BL41+BO41+BR41+BU41+BX41+CA41+CD41+CG41+CJ41+CM41+CP41+CS41+CV41+CY41+DB41+DE41+DH41+DK41+DN41</f>
        <v>176.61904761904759</v>
      </c>
      <c r="DU41" s="33">
        <f t="shared" ref="DU41:DU47" si="375">E41+H41+K41+N41+Q41+T41+W41+Z41+AC41+AF41+AI41+AL41+AO41+AR41+AU41+AX41+BA41+BD41+BG41+BJ41+BM41+BP41+BS41+BV41+BY41+CB41+CE41+CH41+CK41+CN41+CQ41+CT41+CW41+CZ41+DC41+DF41+DI41+DL41+DO41</f>
        <v>2470</v>
      </c>
      <c r="DV41" s="33">
        <f t="shared" ref="DV41:DV47" si="376">F41+I41+L41+O41+R41+U41+X41+AA41+AD41+AG41+AJ41+AM41+AP41+AS41+AV41+AY41+BB41+BE41+BH41+BK41+BN41+BQ41+BT41+BW41+BZ41+CC41+CF41+CI41+CL41+CO41+CR41+CU41+CX41+DA41+DD41+DG41+DJ41+DM41+DP41</f>
        <v>2076.64</v>
      </c>
    </row>
    <row r="42" spans="2:126" x14ac:dyDescent="0.6">
      <c r="B42" s="49" t="s">
        <v>51</v>
      </c>
      <c r="C42" s="54"/>
      <c r="D42" s="38"/>
      <c r="E42" s="36">
        <f t="shared" si="296"/>
        <v>0</v>
      </c>
      <c r="F42" s="37">
        <f t="shared" si="297"/>
        <v>0</v>
      </c>
      <c r="G42" s="38"/>
      <c r="H42" s="36">
        <f t="shared" si="298"/>
        <v>0</v>
      </c>
      <c r="I42" s="37">
        <f t="shared" si="299"/>
        <v>0</v>
      </c>
      <c r="J42" s="38">
        <v>19</v>
      </c>
      <c r="K42" s="36">
        <f t="shared" si="300"/>
        <v>266</v>
      </c>
      <c r="L42" s="37">
        <f t="shared" si="301"/>
        <v>170.24</v>
      </c>
      <c r="M42" s="38"/>
      <c r="N42" s="36">
        <f t="shared" si="302"/>
        <v>0</v>
      </c>
      <c r="O42" s="37">
        <f t="shared" si="303"/>
        <v>0</v>
      </c>
      <c r="P42" s="38"/>
      <c r="Q42" s="36">
        <f t="shared" si="304"/>
        <v>0</v>
      </c>
      <c r="R42" s="37">
        <f t="shared" si="305"/>
        <v>0</v>
      </c>
      <c r="S42" s="38"/>
      <c r="T42" s="36">
        <f t="shared" si="306"/>
        <v>0</v>
      </c>
      <c r="U42" s="37">
        <f t="shared" si="307"/>
        <v>0</v>
      </c>
      <c r="V42" s="38"/>
      <c r="W42" s="36">
        <f t="shared" si="308"/>
        <v>0</v>
      </c>
      <c r="X42" s="37">
        <f t="shared" si="309"/>
        <v>0</v>
      </c>
      <c r="Y42" s="38"/>
      <c r="Z42" s="36">
        <f t="shared" si="310"/>
        <v>0</v>
      </c>
      <c r="AA42" s="37">
        <f t="shared" si="311"/>
        <v>0</v>
      </c>
      <c r="AB42" s="38"/>
      <c r="AC42" s="36">
        <f t="shared" si="312"/>
        <v>0</v>
      </c>
      <c r="AD42" s="37">
        <f t="shared" si="313"/>
        <v>0</v>
      </c>
      <c r="AE42" s="38">
        <v>1</v>
      </c>
      <c r="AF42" s="36">
        <f t="shared" si="314"/>
        <v>14</v>
      </c>
      <c r="AG42" s="37">
        <f t="shared" si="315"/>
        <v>8.9600000000000009</v>
      </c>
      <c r="AH42" s="38">
        <v>80</v>
      </c>
      <c r="AI42" s="36">
        <f t="shared" si="316"/>
        <v>960</v>
      </c>
      <c r="AJ42" s="37">
        <f t="shared" si="317"/>
        <v>960</v>
      </c>
      <c r="AK42" s="38"/>
      <c r="AL42" s="36">
        <f t="shared" si="318"/>
        <v>0</v>
      </c>
      <c r="AM42" s="37">
        <f t="shared" si="319"/>
        <v>0</v>
      </c>
      <c r="AN42" s="38">
        <v>15</v>
      </c>
      <c r="AO42" s="36">
        <f t="shared" si="320"/>
        <v>180</v>
      </c>
      <c r="AP42" s="37">
        <f t="shared" si="321"/>
        <v>108</v>
      </c>
      <c r="AQ42" s="38">
        <v>6.041666666666667</v>
      </c>
      <c r="AR42" s="36">
        <f t="shared" si="322"/>
        <v>145</v>
      </c>
      <c r="AS42" s="37">
        <f t="shared" si="323"/>
        <v>92.8</v>
      </c>
      <c r="AT42" s="38">
        <v>25</v>
      </c>
      <c r="AU42" s="36">
        <f t="shared" si="324"/>
        <v>300</v>
      </c>
      <c r="AV42" s="37">
        <f t="shared" si="325"/>
        <v>180</v>
      </c>
      <c r="AW42" s="38">
        <v>297</v>
      </c>
      <c r="AX42" s="36">
        <f t="shared" si="326"/>
        <v>4158</v>
      </c>
      <c r="AY42" s="37">
        <f t="shared" si="327"/>
        <v>2661.12</v>
      </c>
      <c r="AZ42" s="38"/>
      <c r="BA42" s="36">
        <f t="shared" si="328"/>
        <v>0</v>
      </c>
      <c r="BB42" s="37">
        <f t="shared" si="329"/>
        <v>0</v>
      </c>
      <c r="BC42" s="38"/>
      <c r="BD42" s="36">
        <f t="shared" si="330"/>
        <v>0</v>
      </c>
      <c r="BE42" s="37">
        <f t="shared" si="331"/>
        <v>0</v>
      </c>
      <c r="BF42" s="38">
        <v>5</v>
      </c>
      <c r="BG42" s="36">
        <f t="shared" si="332"/>
        <v>70</v>
      </c>
      <c r="BH42" s="37">
        <f t="shared" si="333"/>
        <v>44.800000000000004</v>
      </c>
      <c r="BI42" s="38">
        <v>38</v>
      </c>
      <c r="BJ42" s="36">
        <f t="shared" si="334"/>
        <v>912</v>
      </c>
      <c r="BK42" s="37">
        <f t="shared" si="335"/>
        <v>583.68000000000006</v>
      </c>
      <c r="BL42" s="38"/>
      <c r="BM42" s="36">
        <f t="shared" si="336"/>
        <v>0</v>
      </c>
      <c r="BN42" s="37">
        <f t="shared" si="337"/>
        <v>0</v>
      </c>
      <c r="BO42" s="38"/>
      <c r="BP42" s="36">
        <f t="shared" si="338"/>
        <v>0</v>
      </c>
      <c r="BQ42" s="37">
        <f t="shared" si="339"/>
        <v>0</v>
      </c>
      <c r="BR42" s="38"/>
      <c r="BS42" s="36">
        <f t="shared" si="340"/>
        <v>0</v>
      </c>
      <c r="BT42" s="37">
        <f t="shared" si="341"/>
        <v>0</v>
      </c>
      <c r="BU42" s="38">
        <v>35</v>
      </c>
      <c r="BV42" s="36">
        <f t="shared" si="342"/>
        <v>490</v>
      </c>
      <c r="BW42" s="37">
        <f t="shared" si="343"/>
        <v>313.60000000000002</v>
      </c>
      <c r="BX42" s="38"/>
      <c r="BY42" s="36">
        <f t="shared" si="344"/>
        <v>0</v>
      </c>
      <c r="BZ42" s="37">
        <f t="shared" si="345"/>
        <v>0</v>
      </c>
      <c r="CA42" s="38"/>
      <c r="CB42" s="36">
        <f t="shared" si="346"/>
        <v>0</v>
      </c>
      <c r="CC42" s="37">
        <f t="shared" si="347"/>
        <v>0</v>
      </c>
      <c r="CD42" s="38"/>
      <c r="CE42" s="36">
        <f t="shared" si="348"/>
        <v>0</v>
      </c>
      <c r="CF42" s="37">
        <f t="shared" si="349"/>
        <v>0</v>
      </c>
      <c r="CG42" s="38"/>
      <c r="CH42" s="36">
        <f t="shared" si="350"/>
        <v>0</v>
      </c>
      <c r="CI42" s="37">
        <f t="shared" si="351"/>
        <v>0</v>
      </c>
      <c r="CJ42" s="38"/>
      <c r="CK42" s="36">
        <f t="shared" si="352"/>
        <v>0</v>
      </c>
      <c r="CL42" s="37">
        <f t="shared" si="353"/>
        <v>0</v>
      </c>
      <c r="CM42" s="38"/>
      <c r="CN42" s="36">
        <f t="shared" si="354"/>
        <v>0</v>
      </c>
      <c r="CO42" s="37">
        <f t="shared" si="355"/>
        <v>0</v>
      </c>
      <c r="CP42" s="38"/>
      <c r="CQ42" s="36">
        <f t="shared" si="356"/>
        <v>0</v>
      </c>
      <c r="CR42" s="37">
        <f t="shared" si="357"/>
        <v>0</v>
      </c>
      <c r="CS42" s="38">
        <v>6</v>
      </c>
      <c r="CT42" s="36">
        <f t="shared" si="358"/>
        <v>144</v>
      </c>
      <c r="CU42" s="37">
        <f t="shared" si="359"/>
        <v>86.399999999999991</v>
      </c>
      <c r="CV42" s="38">
        <v>9</v>
      </c>
      <c r="CW42" s="36">
        <f t="shared" si="360"/>
        <v>216</v>
      </c>
      <c r="CX42" s="37">
        <f t="shared" si="361"/>
        <v>129.6</v>
      </c>
      <c r="CY42" s="38">
        <v>45</v>
      </c>
      <c r="CZ42" s="36">
        <f t="shared" si="362"/>
        <v>540</v>
      </c>
      <c r="DA42" s="37">
        <f t="shared" si="363"/>
        <v>540</v>
      </c>
      <c r="DB42" s="38"/>
      <c r="DC42" s="36">
        <f t="shared" si="364"/>
        <v>0</v>
      </c>
      <c r="DD42" s="37">
        <f t="shared" si="365"/>
        <v>0</v>
      </c>
      <c r="DE42" s="38"/>
      <c r="DF42" s="36">
        <f t="shared" si="366"/>
        <v>0</v>
      </c>
      <c r="DG42" s="37">
        <f t="shared" si="367"/>
        <v>0</v>
      </c>
      <c r="DH42" s="38"/>
      <c r="DI42" s="36">
        <f t="shared" si="368"/>
        <v>0</v>
      </c>
      <c r="DJ42" s="37">
        <f t="shared" si="369"/>
        <v>0</v>
      </c>
      <c r="DK42" s="38"/>
      <c r="DL42" s="36">
        <f t="shared" si="370"/>
        <v>0</v>
      </c>
      <c r="DM42" s="37">
        <f t="shared" si="371"/>
        <v>0</v>
      </c>
      <c r="DN42" s="38"/>
      <c r="DO42" s="36">
        <f t="shared" si="372"/>
        <v>0</v>
      </c>
      <c r="DP42" s="37">
        <f t="shared" si="373"/>
        <v>0</v>
      </c>
      <c r="DQ42" s="38"/>
      <c r="DR42" s="38"/>
      <c r="DS42" s="38"/>
      <c r="DT42" s="33">
        <f t="shared" si="374"/>
        <v>581.04166666666674</v>
      </c>
      <c r="DU42" s="33">
        <f t="shared" si="375"/>
        <v>8395</v>
      </c>
      <c r="DV42" s="33">
        <f t="shared" si="376"/>
        <v>5879.2000000000007</v>
      </c>
    </row>
    <row r="43" spans="2:126" x14ac:dyDescent="0.6">
      <c r="B43" s="49" t="s">
        <v>52</v>
      </c>
      <c r="C43" s="54"/>
      <c r="D43" s="38">
        <v>15</v>
      </c>
      <c r="E43" s="36">
        <f t="shared" si="296"/>
        <v>210</v>
      </c>
      <c r="F43" s="37">
        <f t="shared" si="297"/>
        <v>134.4</v>
      </c>
      <c r="G43" s="38">
        <v>8</v>
      </c>
      <c r="H43" s="36">
        <f t="shared" si="298"/>
        <v>96</v>
      </c>
      <c r="I43" s="37">
        <f t="shared" si="299"/>
        <v>96</v>
      </c>
      <c r="J43" s="38"/>
      <c r="K43" s="36">
        <f t="shared" si="300"/>
        <v>0</v>
      </c>
      <c r="L43" s="37">
        <f t="shared" si="301"/>
        <v>0</v>
      </c>
      <c r="M43" s="38"/>
      <c r="N43" s="36">
        <f t="shared" si="302"/>
        <v>0</v>
      </c>
      <c r="O43" s="37">
        <f t="shared" si="303"/>
        <v>0</v>
      </c>
      <c r="P43" s="38"/>
      <c r="Q43" s="36">
        <f t="shared" si="304"/>
        <v>0</v>
      </c>
      <c r="R43" s="37">
        <f t="shared" si="305"/>
        <v>0</v>
      </c>
      <c r="S43" s="38"/>
      <c r="T43" s="36">
        <f t="shared" si="306"/>
        <v>0</v>
      </c>
      <c r="U43" s="37">
        <f t="shared" si="307"/>
        <v>0</v>
      </c>
      <c r="V43" s="38"/>
      <c r="W43" s="36">
        <f t="shared" si="308"/>
        <v>0</v>
      </c>
      <c r="X43" s="37">
        <f t="shared" si="309"/>
        <v>0</v>
      </c>
      <c r="Y43" s="38"/>
      <c r="Z43" s="36">
        <f t="shared" si="310"/>
        <v>0</v>
      </c>
      <c r="AA43" s="37">
        <f t="shared" si="311"/>
        <v>0</v>
      </c>
      <c r="AB43" s="38"/>
      <c r="AC43" s="36">
        <f t="shared" si="312"/>
        <v>0</v>
      </c>
      <c r="AD43" s="37">
        <f t="shared" si="313"/>
        <v>0</v>
      </c>
      <c r="AE43" s="38">
        <v>241</v>
      </c>
      <c r="AF43" s="36">
        <f t="shared" si="314"/>
        <v>3374</v>
      </c>
      <c r="AG43" s="37">
        <f t="shared" si="315"/>
        <v>2159.36</v>
      </c>
      <c r="AH43" s="38">
        <v>42</v>
      </c>
      <c r="AI43" s="36">
        <f t="shared" si="316"/>
        <v>504</v>
      </c>
      <c r="AJ43" s="37">
        <f t="shared" si="317"/>
        <v>504</v>
      </c>
      <c r="AK43" s="38"/>
      <c r="AL43" s="36">
        <f t="shared" si="318"/>
        <v>0</v>
      </c>
      <c r="AM43" s="37">
        <f t="shared" si="319"/>
        <v>0</v>
      </c>
      <c r="AN43" s="38"/>
      <c r="AO43" s="36">
        <f t="shared" si="320"/>
        <v>0</v>
      </c>
      <c r="AP43" s="37">
        <f t="shared" si="321"/>
        <v>0</v>
      </c>
      <c r="AQ43" s="38">
        <v>38</v>
      </c>
      <c r="AR43" s="36">
        <f t="shared" si="322"/>
        <v>912</v>
      </c>
      <c r="AS43" s="37">
        <f t="shared" si="323"/>
        <v>583.68000000000006</v>
      </c>
      <c r="AT43" s="38"/>
      <c r="AU43" s="36">
        <f t="shared" si="324"/>
        <v>0</v>
      </c>
      <c r="AV43" s="37">
        <f t="shared" si="325"/>
        <v>0</v>
      </c>
      <c r="AW43" s="38">
        <v>2</v>
      </c>
      <c r="AX43" s="36">
        <f t="shared" si="326"/>
        <v>28</v>
      </c>
      <c r="AY43" s="37">
        <f t="shared" si="327"/>
        <v>17.920000000000002</v>
      </c>
      <c r="AZ43" s="38">
        <v>8</v>
      </c>
      <c r="BA43" s="36">
        <f t="shared" si="328"/>
        <v>192</v>
      </c>
      <c r="BB43" s="37">
        <f t="shared" si="329"/>
        <v>122.88</v>
      </c>
      <c r="BC43" s="38">
        <v>128</v>
      </c>
      <c r="BD43" s="36">
        <f t="shared" si="330"/>
        <v>1792</v>
      </c>
      <c r="BE43" s="37">
        <f t="shared" si="331"/>
        <v>1146.8800000000001</v>
      </c>
      <c r="BF43" s="38">
        <v>103</v>
      </c>
      <c r="BG43" s="36">
        <f t="shared" si="332"/>
        <v>1442</v>
      </c>
      <c r="BH43" s="37">
        <f t="shared" si="333"/>
        <v>922.88</v>
      </c>
      <c r="BI43" s="38">
        <v>18</v>
      </c>
      <c r="BJ43" s="36">
        <f t="shared" si="334"/>
        <v>432</v>
      </c>
      <c r="BK43" s="37">
        <f t="shared" si="335"/>
        <v>276.48</v>
      </c>
      <c r="BL43" s="38"/>
      <c r="BM43" s="36">
        <f t="shared" si="336"/>
        <v>0</v>
      </c>
      <c r="BN43" s="37">
        <f t="shared" si="337"/>
        <v>0</v>
      </c>
      <c r="BO43" s="38"/>
      <c r="BP43" s="36">
        <f t="shared" si="338"/>
        <v>0</v>
      </c>
      <c r="BQ43" s="37">
        <f t="shared" si="339"/>
        <v>0</v>
      </c>
      <c r="BR43" s="38"/>
      <c r="BS43" s="36">
        <f t="shared" si="340"/>
        <v>0</v>
      </c>
      <c r="BT43" s="37">
        <f t="shared" si="341"/>
        <v>0</v>
      </c>
      <c r="BU43" s="38"/>
      <c r="BV43" s="36">
        <f t="shared" si="342"/>
        <v>0</v>
      </c>
      <c r="BW43" s="37">
        <f t="shared" si="343"/>
        <v>0</v>
      </c>
      <c r="BX43" s="38"/>
      <c r="BY43" s="36">
        <f t="shared" si="344"/>
        <v>0</v>
      </c>
      <c r="BZ43" s="37">
        <f t="shared" si="345"/>
        <v>0</v>
      </c>
      <c r="CA43" s="38"/>
      <c r="CB43" s="36">
        <f t="shared" si="346"/>
        <v>0</v>
      </c>
      <c r="CC43" s="37">
        <f t="shared" si="347"/>
        <v>0</v>
      </c>
      <c r="CD43" s="38"/>
      <c r="CE43" s="36">
        <f t="shared" si="348"/>
        <v>0</v>
      </c>
      <c r="CF43" s="37">
        <f t="shared" si="349"/>
        <v>0</v>
      </c>
      <c r="CG43" s="38"/>
      <c r="CH43" s="36">
        <f t="shared" si="350"/>
        <v>0</v>
      </c>
      <c r="CI43" s="37">
        <f t="shared" si="351"/>
        <v>0</v>
      </c>
      <c r="CJ43" s="38"/>
      <c r="CK43" s="36">
        <f t="shared" si="352"/>
        <v>0</v>
      </c>
      <c r="CL43" s="37">
        <f t="shared" si="353"/>
        <v>0</v>
      </c>
      <c r="CM43" s="38"/>
      <c r="CN43" s="36">
        <f t="shared" si="354"/>
        <v>0</v>
      </c>
      <c r="CO43" s="37">
        <f t="shared" si="355"/>
        <v>0</v>
      </c>
      <c r="CP43" s="38"/>
      <c r="CQ43" s="36">
        <f t="shared" si="356"/>
        <v>0</v>
      </c>
      <c r="CR43" s="37">
        <f t="shared" si="357"/>
        <v>0</v>
      </c>
      <c r="CS43" s="38">
        <v>23</v>
      </c>
      <c r="CT43" s="36">
        <f t="shared" si="358"/>
        <v>552</v>
      </c>
      <c r="CU43" s="37">
        <f t="shared" si="359"/>
        <v>331.2</v>
      </c>
      <c r="CV43" s="38"/>
      <c r="CW43" s="36">
        <f t="shared" si="360"/>
        <v>0</v>
      </c>
      <c r="CX43" s="37">
        <f t="shared" si="361"/>
        <v>0</v>
      </c>
      <c r="CY43" s="38">
        <v>88</v>
      </c>
      <c r="CZ43" s="36">
        <f t="shared" si="362"/>
        <v>1056</v>
      </c>
      <c r="DA43" s="37">
        <f t="shared" si="363"/>
        <v>1056</v>
      </c>
      <c r="DB43" s="38">
        <v>4</v>
      </c>
      <c r="DC43" s="36">
        <f t="shared" si="364"/>
        <v>48</v>
      </c>
      <c r="DD43" s="37">
        <f t="shared" si="365"/>
        <v>48</v>
      </c>
      <c r="DE43" s="38"/>
      <c r="DF43" s="36">
        <f t="shared" si="366"/>
        <v>0</v>
      </c>
      <c r="DG43" s="37">
        <f t="shared" si="367"/>
        <v>0</v>
      </c>
      <c r="DH43" s="38"/>
      <c r="DI43" s="36">
        <f t="shared" si="368"/>
        <v>0</v>
      </c>
      <c r="DJ43" s="37">
        <f t="shared" si="369"/>
        <v>0</v>
      </c>
      <c r="DK43" s="38"/>
      <c r="DL43" s="36">
        <f t="shared" si="370"/>
        <v>0</v>
      </c>
      <c r="DM43" s="37">
        <f t="shared" si="371"/>
        <v>0</v>
      </c>
      <c r="DN43" s="38"/>
      <c r="DO43" s="36">
        <f t="shared" si="372"/>
        <v>0</v>
      </c>
      <c r="DP43" s="37">
        <f t="shared" si="373"/>
        <v>0</v>
      </c>
      <c r="DQ43" s="38"/>
      <c r="DR43" s="38"/>
      <c r="DS43" s="38"/>
      <c r="DT43" s="33">
        <f t="shared" si="374"/>
        <v>718</v>
      </c>
      <c r="DU43" s="33">
        <f t="shared" si="375"/>
        <v>10638</v>
      </c>
      <c r="DV43" s="33">
        <f t="shared" si="376"/>
        <v>7399.6800000000012</v>
      </c>
    </row>
    <row r="44" spans="2:126" x14ac:dyDescent="0.6">
      <c r="B44" s="49" t="s">
        <v>53</v>
      </c>
      <c r="C44" s="54"/>
      <c r="D44" s="38"/>
      <c r="E44" s="36">
        <f t="shared" si="296"/>
        <v>0</v>
      </c>
      <c r="F44" s="37">
        <f t="shared" si="297"/>
        <v>0</v>
      </c>
      <c r="G44" s="38"/>
      <c r="H44" s="36">
        <f t="shared" si="298"/>
        <v>0</v>
      </c>
      <c r="I44" s="37">
        <f t="shared" si="299"/>
        <v>0</v>
      </c>
      <c r="J44" s="38"/>
      <c r="K44" s="36">
        <f t="shared" si="300"/>
        <v>0</v>
      </c>
      <c r="L44" s="37">
        <f t="shared" si="301"/>
        <v>0</v>
      </c>
      <c r="M44" s="38"/>
      <c r="N44" s="36">
        <f t="shared" si="302"/>
        <v>0</v>
      </c>
      <c r="O44" s="37">
        <f t="shared" si="303"/>
        <v>0</v>
      </c>
      <c r="P44" s="38"/>
      <c r="Q44" s="36">
        <f t="shared" si="304"/>
        <v>0</v>
      </c>
      <c r="R44" s="37">
        <f t="shared" si="305"/>
        <v>0</v>
      </c>
      <c r="S44" s="38"/>
      <c r="T44" s="36">
        <f t="shared" si="306"/>
        <v>0</v>
      </c>
      <c r="U44" s="37">
        <f t="shared" si="307"/>
        <v>0</v>
      </c>
      <c r="V44" s="38"/>
      <c r="W44" s="36">
        <f t="shared" si="308"/>
        <v>0</v>
      </c>
      <c r="X44" s="37">
        <f t="shared" si="309"/>
        <v>0</v>
      </c>
      <c r="Y44" s="38"/>
      <c r="Z44" s="36">
        <f t="shared" si="310"/>
        <v>0</v>
      </c>
      <c r="AA44" s="37">
        <f t="shared" si="311"/>
        <v>0</v>
      </c>
      <c r="AB44" s="38"/>
      <c r="AC44" s="36">
        <f t="shared" si="312"/>
        <v>0</v>
      </c>
      <c r="AD44" s="37">
        <f t="shared" si="313"/>
        <v>0</v>
      </c>
      <c r="AE44" s="38"/>
      <c r="AF44" s="36">
        <f t="shared" si="314"/>
        <v>0</v>
      </c>
      <c r="AG44" s="37">
        <f t="shared" si="315"/>
        <v>0</v>
      </c>
      <c r="AH44" s="38"/>
      <c r="AI44" s="36">
        <f t="shared" si="316"/>
        <v>0</v>
      </c>
      <c r="AJ44" s="37">
        <f t="shared" si="317"/>
        <v>0</v>
      </c>
      <c r="AK44" s="38"/>
      <c r="AL44" s="36">
        <f t="shared" si="318"/>
        <v>0</v>
      </c>
      <c r="AM44" s="37">
        <f t="shared" si="319"/>
        <v>0</v>
      </c>
      <c r="AN44" s="38"/>
      <c r="AO44" s="36">
        <f t="shared" si="320"/>
        <v>0</v>
      </c>
      <c r="AP44" s="37">
        <f t="shared" si="321"/>
        <v>0</v>
      </c>
      <c r="AQ44" s="38"/>
      <c r="AR44" s="36">
        <f t="shared" si="322"/>
        <v>0</v>
      </c>
      <c r="AS44" s="37">
        <f t="shared" si="323"/>
        <v>0</v>
      </c>
      <c r="AT44" s="38"/>
      <c r="AU44" s="36">
        <f t="shared" si="324"/>
        <v>0</v>
      </c>
      <c r="AV44" s="37">
        <f t="shared" si="325"/>
        <v>0</v>
      </c>
      <c r="AW44" s="38"/>
      <c r="AX44" s="36">
        <f t="shared" si="326"/>
        <v>0</v>
      </c>
      <c r="AY44" s="37">
        <f t="shared" si="327"/>
        <v>0</v>
      </c>
      <c r="AZ44" s="38"/>
      <c r="BA44" s="36">
        <f t="shared" si="328"/>
        <v>0</v>
      </c>
      <c r="BB44" s="37">
        <f t="shared" si="329"/>
        <v>0</v>
      </c>
      <c r="BC44" s="38"/>
      <c r="BD44" s="36">
        <f t="shared" si="330"/>
        <v>0</v>
      </c>
      <c r="BE44" s="37">
        <f t="shared" si="331"/>
        <v>0</v>
      </c>
      <c r="BF44" s="38"/>
      <c r="BG44" s="36">
        <f t="shared" si="332"/>
        <v>0</v>
      </c>
      <c r="BH44" s="37">
        <f t="shared" si="333"/>
        <v>0</v>
      </c>
      <c r="BI44" s="38"/>
      <c r="BJ44" s="36">
        <f t="shared" si="334"/>
        <v>0</v>
      </c>
      <c r="BK44" s="37">
        <f t="shared" si="335"/>
        <v>0</v>
      </c>
      <c r="BL44" s="38"/>
      <c r="BM44" s="36">
        <f t="shared" si="336"/>
        <v>0</v>
      </c>
      <c r="BN44" s="37">
        <f t="shared" si="337"/>
        <v>0</v>
      </c>
      <c r="BO44" s="38"/>
      <c r="BP44" s="36">
        <f t="shared" si="338"/>
        <v>0</v>
      </c>
      <c r="BQ44" s="37">
        <f t="shared" si="339"/>
        <v>0</v>
      </c>
      <c r="BR44" s="38"/>
      <c r="BS44" s="36">
        <f t="shared" si="340"/>
        <v>0</v>
      </c>
      <c r="BT44" s="37">
        <f t="shared" si="341"/>
        <v>0</v>
      </c>
      <c r="BU44" s="38"/>
      <c r="BV44" s="36">
        <f t="shared" si="342"/>
        <v>0</v>
      </c>
      <c r="BW44" s="37">
        <f t="shared" si="343"/>
        <v>0</v>
      </c>
      <c r="BX44" s="38"/>
      <c r="BY44" s="36">
        <f t="shared" si="344"/>
        <v>0</v>
      </c>
      <c r="BZ44" s="37">
        <f t="shared" si="345"/>
        <v>0</v>
      </c>
      <c r="CA44" s="38"/>
      <c r="CB44" s="36">
        <f t="shared" si="346"/>
        <v>0</v>
      </c>
      <c r="CC44" s="37">
        <f t="shared" si="347"/>
        <v>0</v>
      </c>
      <c r="CD44" s="38"/>
      <c r="CE44" s="36">
        <f t="shared" si="348"/>
        <v>0</v>
      </c>
      <c r="CF44" s="37">
        <f t="shared" si="349"/>
        <v>0</v>
      </c>
      <c r="CG44" s="38"/>
      <c r="CH44" s="36">
        <f t="shared" si="350"/>
        <v>0</v>
      </c>
      <c r="CI44" s="37">
        <f t="shared" si="351"/>
        <v>0</v>
      </c>
      <c r="CJ44" s="38"/>
      <c r="CK44" s="36">
        <f t="shared" si="352"/>
        <v>0</v>
      </c>
      <c r="CL44" s="37">
        <f t="shared" si="353"/>
        <v>0</v>
      </c>
      <c r="CM44" s="38"/>
      <c r="CN44" s="36">
        <f t="shared" si="354"/>
        <v>0</v>
      </c>
      <c r="CO44" s="37">
        <f t="shared" si="355"/>
        <v>0</v>
      </c>
      <c r="CP44" s="38"/>
      <c r="CQ44" s="36">
        <f t="shared" si="356"/>
        <v>0</v>
      </c>
      <c r="CR44" s="37">
        <f t="shared" si="357"/>
        <v>0</v>
      </c>
      <c r="CS44" s="38"/>
      <c r="CT44" s="36">
        <f t="shared" si="358"/>
        <v>0</v>
      </c>
      <c r="CU44" s="37">
        <f t="shared" si="359"/>
        <v>0</v>
      </c>
      <c r="CV44" s="38"/>
      <c r="CW44" s="36">
        <f t="shared" si="360"/>
        <v>0</v>
      </c>
      <c r="CX44" s="37">
        <f t="shared" si="361"/>
        <v>0</v>
      </c>
      <c r="CY44" s="38"/>
      <c r="CZ44" s="36">
        <f t="shared" si="362"/>
        <v>0</v>
      </c>
      <c r="DA44" s="37">
        <f t="shared" si="363"/>
        <v>0</v>
      </c>
      <c r="DB44" s="38"/>
      <c r="DC44" s="36">
        <f t="shared" si="364"/>
        <v>0</v>
      </c>
      <c r="DD44" s="37">
        <f t="shared" si="365"/>
        <v>0</v>
      </c>
      <c r="DE44" s="38"/>
      <c r="DF44" s="36">
        <f t="shared" si="366"/>
        <v>0</v>
      </c>
      <c r="DG44" s="37">
        <f t="shared" si="367"/>
        <v>0</v>
      </c>
      <c r="DH44" s="38"/>
      <c r="DI44" s="36">
        <f t="shared" si="368"/>
        <v>0</v>
      </c>
      <c r="DJ44" s="37">
        <f t="shared" si="369"/>
        <v>0</v>
      </c>
      <c r="DK44" s="38"/>
      <c r="DL44" s="36">
        <f t="shared" si="370"/>
        <v>0</v>
      </c>
      <c r="DM44" s="37">
        <f t="shared" si="371"/>
        <v>0</v>
      </c>
      <c r="DN44" s="38"/>
      <c r="DO44" s="36">
        <f t="shared" si="372"/>
        <v>0</v>
      </c>
      <c r="DP44" s="37">
        <f t="shared" si="373"/>
        <v>0</v>
      </c>
      <c r="DQ44" s="38"/>
      <c r="DR44" s="38"/>
      <c r="DS44" s="38"/>
      <c r="DT44" s="33">
        <f t="shared" si="374"/>
        <v>0</v>
      </c>
      <c r="DU44" s="33">
        <f t="shared" si="375"/>
        <v>0</v>
      </c>
      <c r="DV44" s="33">
        <f t="shared" si="376"/>
        <v>0</v>
      </c>
    </row>
    <row r="45" spans="2:126" x14ac:dyDescent="0.6">
      <c r="B45" s="48" t="s">
        <v>48</v>
      </c>
      <c r="C45" s="54"/>
      <c r="D45" s="38">
        <v>3554</v>
      </c>
      <c r="E45" s="36">
        <f t="shared" si="296"/>
        <v>49756</v>
      </c>
      <c r="F45" s="37">
        <f t="shared" si="297"/>
        <v>31843.84</v>
      </c>
      <c r="G45" s="38"/>
      <c r="H45" s="36">
        <f t="shared" si="298"/>
        <v>0</v>
      </c>
      <c r="I45" s="37">
        <f t="shared" si="299"/>
        <v>0</v>
      </c>
      <c r="J45" s="38">
        <v>839</v>
      </c>
      <c r="K45" s="36">
        <f t="shared" si="300"/>
        <v>11746</v>
      </c>
      <c r="L45" s="37">
        <f t="shared" si="301"/>
        <v>7517.4400000000005</v>
      </c>
      <c r="M45" s="38"/>
      <c r="N45" s="36">
        <f t="shared" si="302"/>
        <v>0</v>
      </c>
      <c r="O45" s="37">
        <f t="shared" si="303"/>
        <v>0</v>
      </c>
      <c r="P45" s="38">
        <v>150</v>
      </c>
      <c r="Q45" s="36">
        <f t="shared" si="304"/>
        <v>2100</v>
      </c>
      <c r="R45" s="37">
        <f t="shared" si="305"/>
        <v>1344</v>
      </c>
      <c r="S45" s="38"/>
      <c r="T45" s="36">
        <f t="shared" si="306"/>
        <v>0</v>
      </c>
      <c r="U45" s="37">
        <f t="shared" si="307"/>
        <v>0</v>
      </c>
      <c r="V45" s="38"/>
      <c r="W45" s="36">
        <f t="shared" si="308"/>
        <v>0</v>
      </c>
      <c r="X45" s="37">
        <f t="shared" si="309"/>
        <v>0</v>
      </c>
      <c r="Y45" s="38"/>
      <c r="Z45" s="36">
        <f t="shared" si="310"/>
        <v>0</v>
      </c>
      <c r="AA45" s="37">
        <f t="shared" si="311"/>
        <v>0</v>
      </c>
      <c r="AB45" s="38"/>
      <c r="AC45" s="36">
        <f t="shared" si="312"/>
        <v>0</v>
      </c>
      <c r="AD45" s="37">
        <f t="shared" si="313"/>
        <v>0</v>
      </c>
      <c r="AE45" s="38">
        <v>2960</v>
      </c>
      <c r="AF45" s="36">
        <f t="shared" si="314"/>
        <v>41440</v>
      </c>
      <c r="AG45" s="37">
        <f t="shared" si="315"/>
        <v>26521.600000000002</v>
      </c>
      <c r="AH45" s="38">
        <v>1570</v>
      </c>
      <c r="AI45" s="36">
        <f t="shared" si="316"/>
        <v>18840</v>
      </c>
      <c r="AJ45" s="37">
        <f t="shared" si="317"/>
        <v>18840</v>
      </c>
      <c r="AK45" s="38"/>
      <c r="AL45" s="36">
        <f t="shared" si="318"/>
        <v>0</v>
      </c>
      <c r="AM45" s="37">
        <f t="shared" si="319"/>
        <v>0</v>
      </c>
      <c r="AN45" s="38"/>
      <c r="AO45" s="36">
        <f t="shared" si="320"/>
        <v>0</v>
      </c>
      <c r="AP45" s="37">
        <f t="shared" si="321"/>
        <v>0</v>
      </c>
      <c r="AQ45" s="38">
        <v>90</v>
      </c>
      <c r="AR45" s="36">
        <f t="shared" si="322"/>
        <v>2160</v>
      </c>
      <c r="AS45" s="37">
        <f t="shared" si="323"/>
        <v>1382.4</v>
      </c>
      <c r="AT45" s="38"/>
      <c r="AU45" s="36">
        <f t="shared" si="324"/>
        <v>0</v>
      </c>
      <c r="AV45" s="37">
        <f t="shared" si="325"/>
        <v>0</v>
      </c>
      <c r="AW45" s="38">
        <v>100</v>
      </c>
      <c r="AX45" s="36">
        <f t="shared" si="326"/>
        <v>1400</v>
      </c>
      <c r="AY45" s="37">
        <f t="shared" si="327"/>
        <v>896</v>
      </c>
      <c r="AZ45" s="38">
        <v>245</v>
      </c>
      <c r="BA45" s="36">
        <f t="shared" si="328"/>
        <v>5880</v>
      </c>
      <c r="BB45" s="37">
        <f t="shared" si="329"/>
        <v>3763.2000000000003</v>
      </c>
      <c r="BC45" s="38">
        <v>2767</v>
      </c>
      <c r="BD45" s="36">
        <f t="shared" si="330"/>
        <v>38738</v>
      </c>
      <c r="BE45" s="37">
        <f t="shared" si="331"/>
        <v>24792.32</v>
      </c>
      <c r="BF45" s="38">
        <v>4767</v>
      </c>
      <c r="BG45" s="36">
        <f t="shared" si="332"/>
        <v>66738</v>
      </c>
      <c r="BH45" s="37">
        <f t="shared" si="333"/>
        <v>42712.32</v>
      </c>
      <c r="BI45" s="38">
        <v>6179</v>
      </c>
      <c r="BJ45" s="36">
        <f t="shared" si="334"/>
        <v>148296</v>
      </c>
      <c r="BK45" s="37">
        <f t="shared" si="335"/>
        <v>94909.440000000002</v>
      </c>
      <c r="BL45" s="38">
        <v>1230</v>
      </c>
      <c r="BM45" s="36">
        <f t="shared" si="336"/>
        <v>17220</v>
      </c>
      <c r="BN45" s="37">
        <f t="shared" si="337"/>
        <v>11020.800000000001</v>
      </c>
      <c r="BO45" s="38">
        <v>528</v>
      </c>
      <c r="BP45" s="36">
        <f t="shared" si="338"/>
        <v>7392</v>
      </c>
      <c r="BQ45" s="37">
        <f t="shared" si="339"/>
        <v>4730.88</v>
      </c>
      <c r="BR45" s="38">
        <v>120</v>
      </c>
      <c r="BS45" s="36">
        <f t="shared" si="340"/>
        <v>2880</v>
      </c>
      <c r="BT45" s="37">
        <f t="shared" si="341"/>
        <v>1843.2</v>
      </c>
      <c r="BU45" s="38">
        <v>1282</v>
      </c>
      <c r="BV45" s="36">
        <f t="shared" si="342"/>
        <v>17948</v>
      </c>
      <c r="BW45" s="37">
        <f t="shared" si="343"/>
        <v>11486.72</v>
      </c>
      <c r="BX45" s="38"/>
      <c r="BY45" s="36">
        <f t="shared" si="344"/>
        <v>0</v>
      </c>
      <c r="BZ45" s="37">
        <f t="shared" si="345"/>
        <v>0</v>
      </c>
      <c r="CA45" s="38"/>
      <c r="CB45" s="36">
        <f t="shared" si="346"/>
        <v>0</v>
      </c>
      <c r="CC45" s="37">
        <f t="shared" si="347"/>
        <v>0</v>
      </c>
      <c r="CD45" s="38">
        <v>5</v>
      </c>
      <c r="CE45" s="36">
        <f t="shared" si="348"/>
        <v>60</v>
      </c>
      <c r="CF45" s="37">
        <f t="shared" si="349"/>
        <v>40.800000000000004</v>
      </c>
      <c r="CG45" s="38">
        <v>15</v>
      </c>
      <c r="CH45" s="36">
        <f t="shared" si="350"/>
        <v>180</v>
      </c>
      <c r="CI45" s="37">
        <f t="shared" si="351"/>
        <v>125.99999999999999</v>
      </c>
      <c r="CJ45" s="38">
        <v>83</v>
      </c>
      <c r="CK45" s="36">
        <f t="shared" si="352"/>
        <v>1162</v>
      </c>
      <c r="CL45" s="37">
        <f t="shared" si="353"/>
        <v>743.68000000000006</v>
      </c>
      <c r="CM45" s="38">
        <v>16</v>
      </c>
      <c r="CN45" s="36">
        <f t="shared" si="354"/>
        <v>224</v>
      </c>
      <c r="CO45" s="37">
        <f t="shared" si="355"/>
        <v>143.36000000000001</v>
      </c>
      <c r="CP45" s="38"/>
      <c r="CQ45" s="36">
        <f t="shared" si="356"/>
        <v>0</v>
      </c>
      <c r="CR45" s="37">
        <f t="shared" si="357"/>
        <v>0</v>
      </c>
      <c r="CS45" s="38">
        <v>569</v>
      </c>
      <c r="CT45" s="36">
        <f t="shared" si="358"/>
        <v>13656</v>
      </c>
      <c r="CU45" s="37">
        <f t="shared" si="359"/>
        <v>8193.6</v>
      </c>
      <c r="CV45" s="38"/>
      <c r="CW45" s="36">
        <f t="shared" si="360"/>
        <v>0</v>
      </c>
      <c r="CX45" s="37">
        <f t="shared" si="361"/>
        <v>0</v>
      </c>
      <c r="CY45" s="38">
        <v>65</v>
      </c>
      <c r="CZ45" s="36">
        <f t="shared" si="362"/>
        <v>780</v>
      </c>
      <c r="DA45" s="37">
        <f t="shared" si="363"/>
        <v>780</v>
      </c>
      <c r="DB45" s="38"/>
      <c r="DC45" s="36">
        <f t="shared" si="364"/>
        <v>0</v>
      </c>
      <c r="DD45" s="37">
        <f t="shared" si="365"/>
        <v>0</v>
      </c>
      <c r="DE45" s="38"/>
      <c r="DF45" s="36">
        <f t="shared" si="366"/>
        <v>0</v>
      </c>
      <c r="DG45" s="37">
        <f t="shared" si="367"/>
        <v>0</v>
      </c>
      <c r="DH45" s="38"/>
      <c r="DI45" s="36">
        <f t="shared" si="368"/>
        <v>0</v>
      </c>
      <c r="DJ45" s="37">
        <f t="shared" si="369"/>
        <v>0</v>
      </c>
      <c r="DK45" s="38"/>
      <c r="DL45" s="36">
        <f t="shared" si="370"/>
        <v>0</v>
      </c>
      <c r="DM45" s="37">
        <f t="shared" si="371"/>
        <v>0</v>
      </c>
      <c r="DN45" s="38"/>
      <c r="DO45" s="36">
        <f t="shared" si="372"/>
        <v>0</v>
      </c>
      <c r="DP45" s="37">
        <f t="shared" si="373"/>
        <v>0</v>
      </c>
      <c r="DQ45" s="38"/>
      <c r="DR45" s="38"/>
      <c r="DS45" s="38"/>
      <c r="DT45" s="33">
        <f t="shared" si="374"/>
        <v>27134</v>
      </c>
      <c r="DU45" s="33">
        <f t="shared" si="375"/>
        <v>448596</v>
      </c>
      <c r="DV45" s="33">
        <f t="shared" si="376"/>
        <v>293631.59999999992</v>
      </c>
    </row>
    <row r="46" spans="2:126" x14ac:dyDescent="0.6">
      <c r="B46" s="52" t="s">
        <v>49</v>
      </c>
      <c r="C46" s="54"/>
      <c r="D46" s="38">
        <v>65</v>
      </c>
      <c r="E46" s="36">
        <f t="shared" si="296"/>
        <v>910</v>
      </c>
      <c r="F46" s="37">
        <f t="shared" si="297"/>
        <v>582.4</v>
      </c>
      <c r="G46" s="38"/>
      <c r="H46" s="36">
        <f t="shared" si="298"/>
        <v>0</v>
      </c>
      <c r="I46" s="37">
        <f t="shared" si="299"/>
        <v>0</v>
      </c>
      <c r="J46" s="38"/>
      <c r="K46" s="36">
        <f t="shared" si="300"/>
        <v>0</v>
      </c>
      <c r="L46" s="37">
        <f t="shared" si="301"/>
        <v>0</v>
      </c>
      <c r="M46" s="38"/>
      <c r="N46" s="36">
        <f t="shared" si="302"/>
        <v>0</v>
      </c>
      <c r="O46" s="37">
        <f t="shared" si="303"/>
        <v>0</v>
      </c>
      <c r="P46" s="38"/>
      <c r="Q46" s="36">
        <f t="shared" si="304"/>
        <v>0</v>
      </c>
      <c r="R46" s="37">
        <f t="shared" si="305"/>
        <v>0</v>
      </c>
      <c r="S46" s="38"/>
      <c r="T46" s="36">
        <f t="shared" si="306"/>
        <v>0</v>
      </c>
      <c r="U46" s="37">
        <f t="shared" si="307"/>
        <v>0</v>
      </c>
      <c r="V46" s="38"/>
      <c r="W46" s="36">
        <f t="shared" si="308"/>
        <v>0</v>
      </c>
      <c r="X46" s="37">
        <f t="shared" si="309"/>
        <v>0</v>
      </c>
      <c r="Y46" s="38"/>
      <c r="Z46" s="36">
        <f t="shared" si="310"/>
        <v>0</v>
      </c>
      <c r="AA46" s="37">
        <f t="shared" si="311"/>
        <v>0</v>
      </c>
      <c r="AB46" s="38"/>
      <c r="AC46" s="36">
        <f t="shared" si="312"/>
        <v>0</v>
      </c>
      <c r="AD46" s="37">
        <f t="shared" si="313"/>
        <v>0</v>
      </c>
      <c r="AE46" s="38"/>
      <c r="AF46" s="36">
        <f t="shared" si="314"/>
        <v>0</v>
      </c>
      <c r="AG46" s="37">
        <f t="shared" si="315"/>
        <v>0</v>
      </c>
      <c r="AH46" s="38">
        <v>200</v>
      </c>
      <c r="AI46" s="36">
        <f t="shared" si="316"/>
        <v>2400</v>
      </c>
      <c r="AJ46" s="37">
        <f t="shared" si="317"/>
        <v>2400</v>
      </c>
      <c r="AK46" s="38"/>
      <c r="AL46" s="36">
        <f t="shared" si="318"/>
        <v>0</v>
      </c>
      <c r="AM46" s="37">
        <f t="shared" si="319"/>
        <v>0</v>
      </c>
      <c r="AN46" s="38"/>
      <c r="AO46" s="36">
        <f t="shared" si="320"/>
        <v>0</v>
      </c>
      <c r="AP46" s="37">
        <f t="shared" si="321"/>
        <v>0</v>
      </c>
      <c r="AQ46" s="38"/>
      <c r="AR46" s="36">
        <f t="shared" si="322"/>
        <v>0</v>
      </c>
      <c r="AS46" s="37">
        <f t="shared" si="323"/>
        <v>0</v>
      </c>
      <c r="AT46" s="38"/>
      <c r="AU46" s="36">
        <f t="shared" si="324"/>
        <v>0</v>
      </c>
      <c r="AV46" s="37">
        <f t="shared" si="325"/>
        <v>0</v>
      </c>
      <c r="AW46" s="38"/>
      <c r="AX46" s="36">
        <f t="shared" si="326"/>
        <v>0</v>
      </c>
      <c r="AY46" s="37">
        <f t="shared" si="327"/>
        <v>0</v>
      </c>
      <c r="AZ46" s="38"/>
      <c r="BA46" s="36">
        <f t="shared" si="328"/>
        <v>0</v>
      </c>
      <c r="BB46" s="37">
        <f t="shared" si="329"/>
        <v>0</v>
      </c>
      <c r="BC46" s="38">
        <v>10</v>
      </c>
      <c r="BD46" s="36">
        <f t="shared" si="330"/>
        <v>140</v>
      </c>
      <c r="BE46" s="37">
        <f t="shared" si="331"/>
        <v>89.600000000000009</v>
      </c>
      <c r="BF46" s="38">
        <v>10</v>
      </c>
      <c r="BG46" s="36">
        <f t="shared" si="332"/>
        <v>140</v>
      </c>
      <c r="BH46" s="37">
        <f t="shared" si="333"/>
        <v>89.600000000000009</v>
      </c>
      <c r="BI46" s="38"/>
      <c r="BJ46" s="36">
        <f t="shared" si="334"/>
        <v>0</v>
      </c>
      <c r="BK46" s="37">
        <f t="shared" si="335"/>
        <v>0</v>
      </c>
      <c r="BL46" s="38"/>
      <c r="BM46" s="36">
        <f t="shared" si="336"/>
        <v>0</v>
      </c>
      <c r="BN46" s="37">
        <f t="shared" si="337"/>
        <v>0</v>
      </c>
      <c r="BO46" s="38"/>
      <c r="BP46" s="36">
        <f t="shared" si="338"/>
        <v>0</v>
      </c>
      <c r="BQ46" s="37">
        <f t="shared" si="339"/>
        <v>0</v>
      </c>
      <c r="BR46" s="38">
        <v>10</v>
      </c>
      <c r="BS46" s="36">
        <f t="shared" si="340"/>
        <v>240</v>
      </c>
      <c r="BT46" s="37">
        <f t="shared" si="341"/>
        <v>153.6</v>
      </c>
      <c r="BU46" s="38"/>
      <c r="BV46" s="36">
        <f t="shared" si="342"/>
        <v>0</v>
      </c>
      <c r="BW46" s="37">
        <f t="shared" si="343"/>
        <v>0</v>
      </c>
      <c r="BX46" s="38"/>
      <c r="BY46" s="36">
        <f t="shared" si="344"/>
        <v>0</v>
      </c>
      <c r="BZ46" s="37">
        <f t="shared" si="345"/>
        <v>0</v>
      </c>
      <c r="CA46" s="38"/>
      <c r="CB46" s="36">
        <f t="shared" si="346"/>
        <v>0</v>
      </c>
      <c r="CC46" s="37">
        <f t="shared" si="347"/>
        <v>0</v>
      </c>
      <c r="CD46" s="38"/>
      <c r="CE46" s="36">
        <f t="shared" si="348"/>
        <v>0</v>
      </c>
      <c r="CF46" s="37">
        <f t="shared" si="349"/>
        <v>0</v>
      </c>
      <c r="CG46" s="38">
        <v>2</v>
      </c>
      <c r="CH46" s="36">
        <f t="shared" si="350"/>
        <v>24</v>
      </c>
      <c r="CI46" s="37">
        <f t="shared" si="351"/>
        <v>16.799999999999997</v>
      </c>
      <c r="CJ46" s="38"/>
      <c r="CK46" s="36">
        <f t="shared" si="352"/>
        <v>0</v>
      </c>
      <c r="CL46" s="37">
        <f t="shared" si="353"/>
        <v>0</v>
      </c>
      <c r="CM46" s="38"/>
      <c r="CN46" s="36">
        <f t="shared" si="354"/>
        <v>0</v>
      </c>
      <c r="CO46" s="37">
        <f t="shared" si="355"/>
        <v>0</v>
      </c>
      <c r="CP46" s="38"/>
      <c r="CQ46" s="36">
        <f t="shared" si="356"/>
        <v>0</v>
      </c>
      <c r="CR46" s="37">
        <f t="shared" si="357"/>
        <v>0</v>
      </c>
      <c r="CS46" s="38"/>
      <c r="CT46" s="36">
        <f t="shared" si="358"/>
        <v>0</v>
      </c>
      <c r="CU46" s="37">
        <f t="shared" si="359"/>
        <v>0</v>
      </c>
      <c r="CV46" s="38"/>
      <c r="CW46" s="36">
        <f t="shared" si="360"/>
        <v>0</v>
      </c>
      <c r="CX46" s="37">
        <f t="shared" si="361"/>
        <v>0</v>
      </c>
      <c r="CY46" s="38"/>
      <c r="CZ46" s="36">
        <f t="shared" si="362"/>
        <v>0</v>
      </c>
      <c r="DA46" s="37">
        <f t="shared" si="363"/>
        <v>0</v>
      </c>
      <c r="DB46" s="38"/>
      <c r="DC46" s="36">
        <f t="shared" si="364"/>
        <v>0</v>
      </c>
      <c r="DD46" s="37">
        <f t="shared" si="365"/>
        <v>0</v>
      </c>
      <c r="DE46" s="38"/>
      <c r="DF46" s="36">
        <f t="shared" si="366"/>
        <v>0</v>
      </c>
      <c r="DG46" s="37">
        <f t="shared" si="367"/>
        <v>0</v>
      </c>
      <c r="DH46" s="38"/>
      <c r="DI46" s="36">
        <f t="shared" si="368"/>
        <v>0</v>
      </c>
      <c r="DJ46" s="37">
        <f t="shared" si="369"/>
        <v>0</v>
      </c>
      <c r="DK46" s="38"/>
      <c r="DL46" s="36">
        <f t="shared" si="370"/>
        <v>0</v>
      </c>
      <c r="DM46" s="37">
        <f t="shared" si="371"/>
        <v>0</v>
      </c>
      <c r="DN46" s="38"/>
      <c r="DO46" s="36">
        <f t="shared" si="372"/>
        <v>0</v>
      </c>
      <c r="DP46" s="37">
        <f t="shared" si="373"/>
        <v>0</v>
      </c>
      <c r="DQ46" s="38"/>
      <c r="DR46" s="38"/>
      <c r="DS46" s="38"/>
      <c r="DT46" s="33">
        <f t="shared" si="374"/>
        <v>297</v>
      </c>
      <c r="DU46" s="33">
        <f t="shared" si="375"/>
        <v>3854</v>
      </c>
      <c r="DV46" s="33">
        <f t="shared" si="376"/>
        <v>3332</v>
      </c>
    </row>
    <row r="47" spans="2:126" ht="21.75" thickBot="1" x14ac:dyDescent="0.65">
      <c r="B47" s="52"/>
      <c r="C47" s="47"/>
      <c r="D47" s="38"/>
      <c r="E47" s="36">
        <f t="shared" si="296"/>
        <v>0</v>
      </c>
      <c r="F47" s="37">
        <f t="shared" si="297"/>
        <v>0</v>
      </c>
      <c r="G47" s="38"/>
      <c r="H47" s="36">
        <f t="shared" si="298"/>
        <v>0</v>
      </c>
      <c r="I47" s="37">
        <f t="shared" si="299"/>
        <v>0</v>
      </c>
      <c r="J47" s="38"/>
      <c r="K47" s="36">
        <f t="shared" si="300"/>
        <v>0</v>
      </c>
      <c r="L47" s="37">
        <f t="shared" si="301"/>
        <v>0</v>
      </c>
      <c r="M47" s="38"/>
      <c r="N47" s="36">
        <f t="shared" si="302"/>
        <v>0</v>
      </c>
      <c r="O47" s="37">
        <f t="shared" si="303"/>
        <v>0</v>
      </c>
      <c r="P47" s="38"/>
      <c r="Q47" s="36">
        <f t="shared" si="304"/>
        <v>0</v>
      </c>
      <c r="R47" s="37">
        <f t="shared" si="305"/>
        <v>0</v>
      </c>
      <c r="S47" s="38"/>
      <c r="T47" s="36">
        <f t="shared" si="306"/>
        <v>0</v>
      </c>
      <c r="U47" s="37">
        <f t="shared" si="307"/>
        <v>0</v>
      </c>
      <c r="V47" s="38"/>
      <c r="W47" s="36">
        <f t="shared" si="308"/>
        <v>0</v>
      </c>
      <c r="X47" s="37">
        <f t="shared" si="309"/>
        <v>0</v>
      </c>
      <c r="Y47" s="38"/>
      <c r="Z47" s="36">
        <f t="shared" si="310"/>
        <v>0</v>
      </c>
      <c r="AA47" s="37">
        <f t="shared" si="311"/>
        <v>0</v>
      </c>
      <c r="AB47" s="38"/>
      <c r="AC47" s="36">
        <f t="shared" si="312"/>
        <v>0</v>
      </c>
      <c r="AD47" s="37">
        <f t="shared" si="313"/>
        <v>0</v>
      </c>
      <c r="AE47" s="38"/>
      <c r="AF47" s="36">
        <f t="shared" si="314"/>
        <v>0</v>
      </c>
      <c r="AG47" s="37">
        <f t="shared" si="315"/>
        <v>0</v>
      </c>
      <c r="AH47" s="38"/>
      <c r="AI47" s="36">
        <f t="shared" si="316"/>
        <v>0</v>
      </c>
      <c r="AJ47" s="37">
        <f t="shared" si="317"/>
        <v>0</v>
      </c>
      <c r="AK47" s="38"/>
      <c r="AL47" s="36">
        <f t="shared" si="318"/>
        <v>0</v>
      </c>
      <c r="AM47" s="37">
        <f t="shared" si="319"/>
        <v>0</v>
      </c>
      <c r="AN47" s="38"/>
      <c r="AO47" s="36">
        <f t="shared" si="320"/>
        <v>0</v>
      </c>
      <c r="AP47" s="37">
        <f t="shared" si="321"/>
        <v>0</v>
      </c>
      <c r="AQ47" s="38"/>
      <c r="AR47" s="36">
        <f t="shared" si="322"/>
        <v>0</v>
      </c>
      <c r="AS47" s="37">
        <f t="shared" si="323"/>
        <v>0</v>
      </c>
      <c r="AT47" s="38"/>
      <c r="AU47" s="36">
        <f t="shared" si="324"/>
        <v>0</v>
      </c>
      <c r="AV47" s="37">
        <f t="shared" si="325"/>
        <v>0</v>
      </c>
      <c r="AW47" s="38"/>
      <c r="AX47" s="36">
        <f t="shared" si="326"/>
        <v>0</v>
      </c>
      <c r="AY47" s="37">
        <f t="shared" si="327"/>
        <v>0</v>
      </c>
      <c r="AZ47" s="38"/>
      <c r="BA47" s="36">
        <f t="shared" si="328"/>
        <v>0</v>
      </c>
      <c r="BB47" s="37">
        <f t="shared" si="329"/>
        <v>0</v>
      </c>
      <c r="BC47" s="38"/>
      <c r="BD47" s="36">
        <f t="shared" si="330"/>
        <v>0</v>
      </c>
      <c r="BE47" s="37">
        <f t="shared" si="331"/>
        <v>0</v>
      </c>
      <c r="BF47" s="38"/>
      <c r="BG47" s="36">
        <f t="shared" si="332"/>
        <v>0</v>
      </c>
      <c r="BH47" s="37">
        <f t="shared" si="333"/>
        <v>0</v>
      </c>
      <c r="BI47" s="38"/>
      <c r="BJ47" s="36">
        <f t="shared" si="334"/>
        <v>0</v>
      </c>
      <c r="BK47" s="37">
        <f t="shared" si="335"/>
        <v>0</v>
      </c>
      <c r="BL47" s="38"/>
      <c r="BM47" s="36">
        <f t="shared" si="336"/>
        <v>0</v>
      </c>
      <c r="BN47" s="37">
        <f t="shared" si="337"/>
        <v>0</v>
      </c>
      <c r="BO47" s="38"/>
      <c r="BP47" s="36">
        <f t="shared" si="338"/>
        <v>0</v>
      </c>
      <c r="BQ47" s="37">
        <f t="shared" si="339"/>
        <v>0</v>
      </c>
      <c r="BR47" s="38"/>
      <c r="BS47" s="36">
        <f t="shared" si="340"/>
        <v>0</v>
      </c>
      <c r="BT47" s="37">
        <f t="shared" si="341"/>
        <v>0</v>
      </c>
      <c r="BU47" s="38"/>
      <c r="BV47" s="36">
        <f t="shared" si="342"/>
        <v>0</v>
      </c>
      <c r="BW47" s="37">
        <f t="shared" si="343"/>
        <v>0</v>
      </c>
      <c r="BX47" s="38"/>
      <c r="BY47" s="36">
        <f t="shared" si="344"/>
        <v>0</v>
      </c>
      <c r="BZ47" s="37">
        <f t="shared" si="345"/>
        <v>0</v>
      </c>
      <c r="CA47" s="38"/>
      <c r="CB47" s="36">
        <f t="shared" si="346"/>
        <v>0</v>
      </c>
      <c r="CC47" s="37">
        <f t="shared" si="347"/>
        <v>0</v>
      </c>
      <c r="CD47" s="38"/>
      <c r="CE47" s="36">
        <f t="shared" si="348"/>
        <v>0</v>
      </c>
      <c r="CF47" s="37">
        <f t="shared" si="349"/>
        <v>0</v>
      </c>
      <c r="CG47" s="38"/>
      <c r="CH47" s="36">
        <f t="shared" si="350"/>
        <v>0</v>
      </c>
      <c r="CI47" s="37">
        <f t="shared" si="351"/>
        <v>0</v>
      </c>
      <c r="CJ47" s="38"/>
      <c r="CK47" s="36">
        <f t="shared" si="352"/>
        <v>0</v>
      </c>
      <c r="CL47" s="37">
        <f t="shared" si="353"/>
        <v>0</v>
      </c>
      <c r="CM47" s="38"/>
      <c r="CN47" s="36">
        <f t="shared" si="354"/>
        <v>0</v>
      </c>
      <c r="CO47" s="37">
        <f t="shared" si="355"/>
        <v>0</v>
      </c>
      <c r="CP47" s="38"/>
      <c r="CQ47" s="36">
        <f t="shared" si="356"/>
        <v>0</v>
      </c>
      <c r="CR47" s="37">
        <f t="shared" si="357"/>
        <v>0</v>
      </c>
      <c r="CS47" s="38"/>
      <c r="CT47" s="36">
        <f t="shared" si="358"/>
        <v>0</v>
      </c>
      <c r="CU47" s="37">
        <f t="shared" si="359"/>
        <v>0</v>
      </c>
      <c r="CV47" s="38"/>
      <c r="CW47" s="36">
        <f t="shared" si="360"/>
        <v>0</v>
      </c>
      <c r="CX47" s="37">
        <f t="shared" si="361"/>
        <v>0</v>
      </c>
      <c r="CY47" s="38"/>
      <c r="CZ47" s="36">
        <f t="shared" si="362"/>
        <v>0</v>
      </c>
      <c r="DA47" s="37">
        <f t="shared" si="363"/>
        <v>0</v>
      </c>
      <c r="DB47" s="38"/>
      <c r="DC47" s="36">
        <f t="shared" si="364"/>
        <v>0</v>
      </c>
      <c r="DD47" s="37">
        <f t="shared" si="365"/>
        <v>0</v>
      </c>
      <c r="DE47" s="38"/>
      <c r="DF47" s="36">
        <f t="shared" si="366"/>
        <v>0</v>
      </c>
      <c r="DG47" s="37">
        <f t="shared" si="367"/>
        <v>0</v>
      </c>
      <c r="DH47" s="38"/>
      <c r="DI47" s="36">
        <f t="shared" si="368"/>
        <v>0</v>
      </c>
      <c r="DJ47" s="37">
        <f t="shared" si="369"/>
        <v>0</v>
      </c>
      <c r="DK47" s="38"/>
      <c r="DL47" s="36">
        <f t="shared" si="370"/>
        <v>0</v>
      </c>
      <c r="DM47" s="37">
        <f t="shared" si="371"/>
        <v>0</v>
      </c>
      <c r="DN47" s="38"/>
      <c r="DO47" s="36">
        <f t="shared" si="372"/>
        <v>0</v>
      </c>
      <c r="DP47" s="37">
        <f t="shared" si="373"/>
        <v>0</v>
      </c>
      <c r="DQ47" s="38"/>
      <c r="DR47" s="38"/>
      <c r="DS47" s="38"/>
      <c r="DT47" s="33">
        <f t="shared" si="374"/>
        <v>0</v>
      </c>
      <c r="DU47" s="33">
        <f t="shared" si="375"/>
        <v>0</v>
      </c>
      <c r="DV47" s="33">
        <f t="shared" si="376"/>
        <v>0</v>
      </c>
    </row>
    <row r="48" spans="2:126" ht="21.75" thickBot="1" x14ac:dyDescent="0.65">
      <c r="B48" s="20"/>
      <c r="C48" s="19"/>
      <c r="D48" s="39">
        <f t="shared" ref="D48" si="377">SUM(D41:D47)</f>
        <v>3655.3571428571427</v>
      </c>
      <c r="E48" s="39">
        <f t="shared" ref="E48" si="378">SUM(E41:E47)</f>
        <v>51175</v>
      </c>
      <c r="F48" s="40">
        <f t="shared" ref="F48" si="379">SUM(F41:F47)</f>
        <v>32752</v>
      </c>
      <c r="G48" s="39">
        <f t="shared" ref="G48" si="380">SUM(G41:G47)</f>
        <v>8</v>
      </c>
      <c r="H48" s="39">
        <f t="shared" ref="H48" si="381">SUM(H41:H47)</f>
        <v>96</v>
      </c>
      <c r="I48" s="40">
        <f t="shared" ref="I48" si="382">SUM(I41:I47)</f>
        <v>96</v>
      </c>
      <c r="J48" s="39">
        <f t="shared" ref="J48" si="383">SUM(J41:J47)</f>
        <v>858</v>
      </c>
      <c r="K48" s="39">
        <f t="shared" ref="K48" si="384">SUM(K41:K47)</f>
        <v>12012</v>
      </c>
      <c r="L48" s="40">
        <f t="shared" ref="L48" si="385">SUM(L41:L47)</f>
        <v>7687.68</v>
      </c>
      <c r="M48" s="39">
        <f t="shared" ref="M48" si="386">SUM(M41:M47)</f>
        <v>0</v>
      </c>
      <c r="N48" s="39">
        <f t="shared" ref="N48" si="387">SUM(N41:N47)</f>
        <v>0</v>
      </c>
      <c r="O48" s="40">
        <f t="shared" ref="O48" si="388">SUM(O41:O47)</f>
        <v>0</v>
      </c>
      <c r="P48" s="39">
        <f t="shared" ref="P48" si="389">SUM(P41:P47)</f>
        <v>150</v>
      </c>
      <c r="Q48" s="39">
        <f t="shared" ref="Q48" si="390">SUM(Q41:Q47)</f>
        <v>2100</v>
      </c>
      <c r="R48" s="40">
        <f t="shared" ref="R48" si="391">SUM(R41:R47)</f>
        <v>1344</v>
      </c>
      <c r="S48" s="39">
        <f t="shared" ref="S48" si="392">SUM(S41:S47)</f>
        <v>0</v>
      </c>
      <c r="T48" s="39">
        <f t="shared" ref="T48" si="393">SUM(T41:T47)</f>
        <v>0</v>
      </c>
      <c r="U48" s="40">
        <f t="shared" ref="U48" si="394">SUM(U41:U47)</f>
        <v>0</v>
      </c>
      <c r="V48" s="39">
        <f t="shared" ref="V48" si="395">SUM(V41:V47)</f>
        <v>0</v>
      </c>
      <c r="W48" s="39">
        <f t="shared" ref="W48" si="396">SUM(W41:W47)</f>
        <v>0</v>
      </c>
      <c r="X48" s="40">
        <f t="shared" ref="X48" si="397">SUM(X41:X47)</f>
        <v>0</v>
      </c>
      <c r="Y48" s="39">
        <f t="shared" ref="Y48" si="398">SUM(Y41:Y47)</f>
        <v>0</v>
      </c>
      <c r="Z48" s="39">
        <f t="shared" ref="Z48" si="399">SUM(Z41:Z47)</f>
        <v>0</v>
      </c>
      <c r="AA48" s="40">
        <f t="shared" ref="AA48" si="400">SUM(AA41:AA47)</f>
        <v>0</v>
      </c>
      <c r="AB48" s="39">
        <f t="shared" ref="AB48" si="401">SUM(AB41:AB47)</f>
        <v>0</v>
      </c>
      <c r="AC48" s="39">
        <f t="shared" ref="AC48" si="402">SUM(AC41:AC47)</f>
        <v>0</v>
      </c>
      <c r="AD48" s="40">
        <f t="shared" ref="AD48" si="403">SUM(AD41:AD47)</f>
        <v>0</v>
      </c>
      <c r="AE48" s="39">
        <f t="shared" ref="AE48" si="404">SUM(AE41:AE47)</f>
        <v>3208</v>
      </c>
      <c r="AF48" s="39">
        <f t="shared" ref="AF48" si="405">SUM(AF41:AF47)</f>
        <v>44912</v>
      </c>
      <c r="AG48" s="40">
        <f t="shared" ref="AG48" si="406">SUM(AG41:AG47)</f>
        <v>28743.68</v>
      </c>
      <c r="AH48" s="39">
        <f t="shared" ref="AH48" si="407">SUM(AH41:AH47)</f>
        <v>1996.3333333333333</v>
      </c>
      <c r="AI48" s="39">
        <f t="shared" ref="AI48" si="408">SUM(AI41:AI47)</f>
        <v>23956</v>
      </c>
      <c r="AJ48" s="40">
        <f t="shared" ref="AJ48" si="409">SUM(AJ41:AJ47)</f>
        <v>23956</v>
      </c>
      <c r="AK48" s="39">
        <f t="shared" ref="AK48" si="410">SUM(AK41:AK47)</f>
        <v>0</v>
      </c>
      <c r="AL48" s="39">
        <f t="shared" ref="AL48" si="411">SUM(AL41:AL47)</f>
        <v>0</v>
      </c>
      <c r="AM48" s="40">
        <f t="shared" ref="AM48" si="412">SUM(AM41:AM47)</f>
        <v>0</v>
      </c>
      <c r="AN48" s="39">
        <f t="shared" ref="AN48" si="413">SUM(AN41:AN47)</f>
        <v>15</v>
      </c>
      <c r="AO48" s="39">
        <f t="shared" ref="AO48" si="414">SUM(AO41:AO47)</f>
        <v>180</v>
      </c>
      <c r="AP48" s="40">
        <f t="shared" ref="AP48" si="415">SUM(AP41:AP47)</f>
        <v>108</v>
      </c>
      <c r="AQ48" s="39">
        <f t="shared" ref="AQ48" si="416">SUM(AQ41:AQ47)</f>
        <v>145.04166666666669</v>
      </c>
      <c r="AR48" s="39">
        <f t="shared" ref="AR48" si="417">SUM(AR41:AR47)</f>
        <v>3481</v>
      </c>
      <c r="AS48" s="40">
        <f t="shared" ref="AS48" si="418">SUM(AS41:AS47)</f>
        <v>2227.84</v>
      </c>
      <c r="AT48" s="39">
        <f t="shared" ref="AT48" si="419">SUM(AT41:AT47)</f>
        <v>25</v>
      </c>
      <c r="AU48" s="39">
        <f t="shared" ref="AU48" si="420">SUM(AU41:AU47)</f>
        <v>300</v>
      </c>
      <c r="AV48" s="40">
        <f t="shared" ref="AV48" si="421">SUM(AV41:AV47)</f>
        <v>180</v>
      </c>
      <c r="AW48" s="39">
        <f t="shared" ref="AW48" si="422">SUM(AW41:AW47)</f>
        <v>407</v>
      </c>
      <c r="AX48" s="39">
        <f t="shared" ref="AX48" si="423">SUM(AX41:AX47)</f>
        <v>5698</v>
      </c>
      <c r="AY48" s="40">
        <f t="shared" ref="AY48" si="424">SUM(AY41:AY47)</f>
        <v>3646.72</v>
      </c>
      <c r="AZ48" s="39">
        <f t="shared" ref="AZ48" si="425">SUM(AZ41:AZ47)</f>
        <v>253</v>
      </c>
      <c r="BA48" s="39">
        <f t="shared" ref="BA48" si="426">SUM(BA41:BA47)</f>
        <v>6072</v>
      </c>
      <c r="BB48" s="40">
        <f t="shared" ref="BB48" si="427">SUM(BB41:BB47)</f>
        <v>3886.0800000000004</v>
      </c>
      <c r="BC48" s="39">
        <f t="shared" ref="BC48" si="428">SUM(BC41:BC47)</f>
        <v>2906.7857142857142</v>
      </c>
      <c r="BD48" s="39">
        <f t="shared" ref="BD48" si="429">SUM(BD41:BD47)</f>
        <v>40695</v>
      </c>
      <c r="BE48" s="40">
        <f t="shared" ref="BE48" si="430">SUM(BE41:BE47)</f>
        <v>26044.799999999999</v>
      </c>
      <c r="BF48" s="39">
        <f t="shared" ref="BF48" si="431">SUM(BF41:BF47)</f>
        <v>4885.1428571428569</v>
      </c>
      <c r="BG48" s="39">
        <f t="shared" ref="BG48" si="432">SUM(BG41:BG47)</f>
        <v>68392</v>
      </c>
      <c r="BH48" s="40">
        <f t="shared" ref="BH48" si="433">SUM(BH41:BH47)</f>
        <v>43770.879999999997</v>
      </c>
      <c r="BI48" s="39">
        <f t="shared" ref="BI48" si="434">SUM(BI41:BI47)</f>
        <v>6240</v>
      </c>
      <c r="BJ48" s="39">
        <f t="shared" ref="BJ48" si="435">SUM(BJ41:BJ47)</f>
        <v>149760</v>
      </c>
      <c r="BK48" s="40">
        <f t="shared" ref="BK48" si="436">SUM(BK41:BK47)</f>
        <v>95846.400000000009</v>
      </c>
      <c r="BL48" s="39">
        <f t="shared" ref="BL48" si="437">SUM(BL41:BL47)</f>
        <v>1230</v>
      </c>
      <c r="BM48" s="39">
        <f t="shared" ref="BM48" si="438">SUM(BM41:BM47)</f>
        <v>17220</v>
      </c>
      <c r="BN48" s="40">
        <f t="shared" ref="BN48" si="439">SUM(BN41:BN47)</f>
        <v>11020.800000000001</v>
      </c>
      <c r="BO48" s="39">
        <f t="shared" ref="BO48" si="440">SUM(BO41:BO47)</f>
        <v>528</v>
      </c>
      <c r="BP48" s="39">
        <f t="shared" ref="BP48" si="441">SUM(BP41:BP47)</f>
        <v>7392</v>
      </c>
      <c r="BQ48" s="40">
        <f t="shared" ref="BQ48" si="442">SUM(BQ41:BQ47)</f>
        <v>4730.88</v>
      </c>
      <c r="BR48" s="39">
        <f t="shared" ref="BR48" si="443">SUM(BR41:BR47)</f>
        <v>130</v>
      </c>
      <c r="BS48" s="39">
        <f t="shared" ref="BS48" si="444">SUM(BS41:BS47)</f>
        <v>3120</v>
      </c>
      <c r="BT48" s="40">
        <f t="shared" ref="BT48" si="445">SUM(BT41:BT47)</f>
        <v>1996.8</v>
      </c>
      <c r="BU48" s="39">
        <f t="shared" ref="BU48" si="446">SUM(BU41:BU47)</f>
        <v>1317</v>
      </c>
      <c r="BV48" s="39">
        <f t="shared" ref="BV48" si="447">SUM(BV41:BV47)</f>
        <v>18438</v>
      </c>
      <c r="BW48" s="40">
        <f t="shared" ref="BW48" si="448">SUM(BW41:BW47)</f>
        <v>11800.32</v>
      </c>
      <c r="BX48" s="39">
        <f t="shared" ref="BX48" si="449">SUM(BX41:BX47)</f>
        <v>0</v>
      </c>
      <c r="BY48" s="39">
        <f t="shared" ref="BY48" si="450">SUM(BY41:BY47)</f>
        <v>0</v>
      </c>
      <c r="BZ48" s="40">
        <f t="shared" ref="BZ48" si="451">SUM(BZ41:BZ47)</f>
        <v>0</v>
      </c>
      <c r="CA48" s="39">
        <f t="shared" ref="CA48" si="452">SUM(CA41:CA47)</f>
        <v>0</v>
      </c>
      <c r="CB48" s="39">
        <f t="shared" ref="CB48" si="453">SUM(CB41:CB47)</f>
        <v>0</v>
      </c>
      <c r="CC48" s="40">
        <f t="shared" ref="CC48" si="454">SUM(CC41:CC47)</f>
        <v>0</v>
      </c>
      <c r="CD48" s="39">
        <f t="shared" ref="CD48" si="455">SUM(CD41:CD47)</f>
        <v>5</v>
      </c>
      <c r="CE48" s="39">
        <f t="shared" ref="CE48" si="456">SUM(CE41:CE47)</f>
        <v>60</v>
      </c>
      <c r="CF48" s="40">
        <f t="shared" ref="CF48" si="457">SUM(CF41:CF47)</f>
        <v>40.800000000000004</v>
      </c>
      <c r="CG48" s="39">
        <f t="shared" ref="CG48" si="458">SUM(CG41:CG47)</f>
        <v>17</v>
      </c>
      <c r="CH48" s="39">
        <f t="shared" ref="CH48" si="459">SUM(CH41:CH47)</f>
        <v>204</v>
      </c>
      <c r="CI48" s="40">
        <f t="shared" ref="CI48" si="460">SUM(CI41:CI47)</f>
        <v>142.79999999999998</v>
      </c>
      <c r="CJ48" s="39">
        <f t="shared" ref="CJ48" si="461">SUM(CJ41:CJ47)</f>
        <v>83</v>
      </c>
      <c r="CK48" s="39">
        <f t="shared" ref="CK48" si="462">SUM(CK41:CK47)</f>
        <v>1162</v>
      </c>
      <c r="CL48" s="40">
        <f t="shared" ref="CL48" si="463">SUM(CL41:CL47)</f>
        <v>743.68000000000006</v>
      </c>
      <c r="CM48" s="39">
        <f t="shared" ref="CM48" si="464">SUM(CM41:CM47)</f>
        <v>16</v>
      </c>
      <c r="CN48" s="39">
        <f t="shared" ref="CN48" si="465">SUM(CN41:CN47)</f>
        <v>224</v>
      </c>
      <c r="CO48" s="40">
        <f t="shared" ref="CO48" si="466">SUM(CO41:CO47)</f>
        <v>143.36000000000001</v>
      </c>
      <c r="CP48" s="39">
        <f t="shared" ref="CP48" si="467">SUM(CP41:CP47)</f>
        <v>0</v>
      </c>
      <c r="CQ48" s="39">
        <f t="shared" ref="CQ48" si="468">SUM(CQ41:CQ47)</f>
        <v>0</v>
      </c>
      <c r="CR48" s="40">
        <f t="shared" ref="CR48" si="469">SUM(CR41:CR47)</f>
        <v>0</v>
      </c>
      <c r="CS48" s="39">
        <f t="shared" ref="CS48" si="470">SUM(CS41:CS47)</f>
        <v>605</v>
      </c>
      <c r="CT48" s="39">
        <f t="shared" ref="CT48" si="471">SUM(CT41:CT47)</f>
        <v>14520</v>
      </c>
      <c r="CU48" s="40">
        <f t="shared" ref="CU48" si="472">SUM(CU41:CU47)</f>
        <v>8712</v>
      </c>
      <c r="CV48" s="39">
        <f t="shared" ref="CV48" si="473">SUM(CV41:CV47)</f>
        <v>9</v>
      </c>
      <c r="CW48" s="39">
        <f t="shared" ref="CW48" si="474">SUM(CW41:CW47)</f>
        <v>216</v>
      </c>
      <c r="CX48" s="40">
        <f t="shared" ref="CX48" si="475">SUM(CX41:CX47)</f>
        <v>129.6</v>
      </c>
      <c r="CY48" s="39">
        <f t="shared" ref="CY48" si="476">SUM(CY41:CY47)</f>
        <v>210</v>
      </c>
      <c r="CZ48" s="39">
        <f t="shared" ref="CZ48" si="477">SUM(CZ41:CZ47)</f>
        <v>2520</v>
      </c>
      <c r="DA48" s="40">
        <f t="shared" ref="DA48" si="478">SUM(DA41:DA47)</f>
        <v>2520</v>
      </c>
      <c r="DB48" s="39">
        <f t="shared" ref="DB48" si="479">SUM(DB41:DB47)</f>
        <v>4</v>
      </c>
      <c r="DC48" s="39">
        <f t="shared" ref="DC48" si="480">SUM(DC41:DC47)</f>
        <v>48</v>
      </c>
      <c r="DD48" s="40">
        <f t="shared" ref="DD48" si="481">SUM(DD41:DD47)</f>
        <v>48</v>
      </c>
      <c r="DE48" s="39">
        <f t="shared" ref="DE48" si="482">SUM(DE41:DE47)</f>
        <v>0</v>
      </c>
      <c r="DF48" s="39">
        <f t="shared" ref="DF48" si="483">SUM(DF41:DF47)</f>
        <v>0</v>
      </c>
      <c r="DG48" s="40">
        <f t="shared" ref="DG48" si="484">SUM(DG41:DG47)</f>
        <v>0</v>
      </c>
      <c r="DH48" s="39">
        <f t="shared" ref="DH48" si="485">SUM(DH41:DH47)</f>
        <v>0</v>
      </c>
      <c r="DI48" s="39">
        <f t="shared" ref="DI48" si="486">SUM(DI41:DI47)</f>
        <v>0</v>
      </c>
      <c r="DJ48" s="40">
        <f t="shared" ref="DJ48" si="487">SUM(DJ41:DJ47)</f>
        <v>0</v>
      </c>
      <c r="DK48" s="39">
        <f t="shared" ref="DK48" si="488">SUM(DK41:DK47)</f>
        <v>0</v>
      </c>
      <c r="DL48" s="39">
        <f t="shared" ref="DL48" si="489">SUM(DL41:DL47)</f>
        <v>0</v>
      </c>
      <c r="DM48" s="40">
        <f t="shared" ref="DM48" si="490">SUM(DM41:DM47)</f>
        <v>0</v>
      </c>
      <c r="DN48" s="39">
        <f t="shared" ref="DN48" si="491">SUM(DN41:DN47)</f>
        <v>0</v>
      </c>
      <c r="DO48" s="39">
        <f t="shared" ref="DO48" si="492">SUM(DO41:DO47)</f>
        <v>0</v>
      </c>
      <c r="DP48" s="40">
        <f t="shared" ref="DP48" si="493">SUM(DP41:DP47)</f>
        <v>0</v>
      </c>
      <c r="DQ48" s="39">
        <f t="shared" ref="DQ48" si="494">SUM(DQ41:DQ47)</f>
        <v>0</v>
      </c>
      <c r="DR48" s="39">
        <f t="shared" ref="DR48" si="495">SUM(DR41:DR47)</f>
        <v>0</v>
      </c>
      <c r="DS48" s="39">
        <f t="shared" ref="DS48" si="496">SUM(DS41:DS47)</f>
        <v>0</v>
      </c>
      <c r="DT48" s="39">
        <f t="shared" ref="DT48" si="497">SUM(DT41:DT47)</f>
        <v>28906.660714285714</v>
      </c>
      <c r="DU48" s="39">
        <f t="shared" ref="DU48" si="498">SUM(DU41:DU47)</f>
        <v>473953</v>
      </c>
      <c r="DV48" s="40">
        <f t="shared" ref="DV48" si="499">SUM(DV41:DV47)</f>
        <v>312319.11999999994</v>
      </c>
    </row>
    <row r="49" spans="2:126" x14ac:dyDescent="0.6">
      <c r="B49" s="12"/>
      <c r="C49" s="13"/>
      <c r="D49" s="41">
        <f>(D40+D48)</f>
        <v>8699.3571428571431</v>
      </c>
      <c r="E49" s="41">
        <f t="shared" ref="E49:BP49" si="500">(E40+E48)</f>
        <v>121791</v>
      </c>
      <c r="F49" s="41">
        <f t="shared" si="500"/>
        <v>77946.240000000005</v>
      </c>
      <c r="G49" s="41">
        <f t="shared" si="500"/>
        <v>86</v>
      </c>
      <c r="H49" s="41">
        <f t="shared" si="500"/>
        <v>1032</v>
      </c>
      <c r="I49" s="41">
        <f t="shared" si="500"/>
        <v>1032</v>
      </c>
      <c r="J49" s="41">
        <f t="shared" si="500"/>
        <v>1958</v>
      </c>
      <c r="K49" s="41">
        <f t="shared" si="500"/>
        <v>27412</v>
      </c>
      <c r="L49" s="41">
        <f t="shared" si="500"/>
        <v>17543.68</v>
      </c>
      <c r="M49" s="41">
        <f t="shared" si="500"/>
        <v>75</v>
      </c>
      <c r="N49" s="41">
        <f t="shared" si="500"/>
        <v>900</v>
      </c>
      <c r="O49" s="41">
        <f t="shared" si="500"/>
        <v>630</v>
      </c>
      <c r="P49" s="41">
        <f t="shared" si="500"/>
        <v>240</v>
      </c>
      <c r="Q49" s="41">
        <f t="shared" si="500"/>
        <v>3360</v>
      </c>
      <c r="R49" s="41">
        <f t="shared" si="500"/>
        <v>2150.4</v>
      </c>
      <c r="S49" s="41">
        <f t="shared" si="500"/>
        <v>0</v>
      </c>
      <c r="T49" s="41">
        <f t="shared" si="500"/>
        <v>0</v>
      </c>
      <c r="U49" s="41">
        <f t="shared" si="500"/>
        <v>0</v>
      </c>
      <c r="V49" s="41">
        <f t="shared" si="500"/>
        <v>0</v>
      </c>
      <c r="W49" s="41">
        <f t="shared" si="500"/>
        <v>0</v>
      </c>
      <c r="X49" s="41">
        <f t="shared" si="500"/>
        <v>0</v>
      </c>
      <c r="Y49" s="41">
        <f t="shared" si="500"/>
        <v>0</v>
      </c>
      <c r="Z49" s="41">
        <f t="shared" si="500"/>
        <v>0</v>
      </c>
      <c r="AA49" s="41">
        <f t="shared" si="500"/>
        <v>0</v>
      </c>
      <c r="AB49" s="41">
        <f t="shared" si="500"/>
        <v>0</v>
      </c>
      <c r="AC49" s="41">
        <f t="shared" si="500"/>
        <v>0</v>
      </c>
      <c r="AD49" s="41">
        <f t="shared" si="500"/>
        <v>0</v>
      </c>
      <c r="AE49" s="41">
        <f t="shared" si="500"/>
        <v>3931</v>
      </c>
      <c r="AF49" s="41">
        <f t="shared" si="500"/>
        <v>55034</v>
      </c>
      <c r="AG49" s="41">
        <f t="shared" si="500"/>
        <v>35221.760000000002</v>
      </c>
      <c r="AH49" s="41">
        <f t="shared" si="500"/>
        <v>3572.333333333333</v>
      </c>
      <c r="AI49" s="41">
        <f t="shared" si="500"/>
        <v>42868</v>
      </c>
      <c r="AJ49" s="41">
        <f t="shared" si="500"/>
        <v>42868</v>
      </c>
      <c r="AK49" s="41">
        <f t="shared" si="500"/>
        <v>0</v>
      </c>
      <c r="AL49" s="41">
        <f t="shared" si="500"/>
        <v>0</v>
      </c>
      <c r="AM49" s="41">
        <f t="shared" si="500"/>
        <v>0</v>
      </c>
      <c r="AN49" s="41">
        <f t="shared" si="500"/>
        <v>49</v>
      </c>
      <c r="AO49" s="41">
        <f t="shared" si="500"/>
        <v>588</v>
      </c>
      <c r="AP49" s="41">
        <f t="shared" si="500"/>
        <v>352.8</v>
      </c>
      <c r="AQ49" s="41">
        <f t="shared" si="500"/>
        <v>267.04166666666669</v>
      </c>
      <c r="AR49" s="41">
        <f t="shared" si="500"/>
        <v>6409</v>
      </c>
      <c r="AS49" s="41">
        <f t="shared" si="500"/>
        <v>4101.76</v>
      </c>
      <c r="AT49" s="41">
        <f t="shared" si="500"/>
        <v>84</v>
      </c>
      <c r="AU49" s="41">
        <f t="shared" si="500"/>
        <v>1008</v>
      </c>
      <c r="AV49" s="41">
        <f t="shared" si="500"/>
        <v>604.79999999999995</v>
      </c>
      <c r="AW49" s="41">
        <f t="shared" si="500"/>
        <v>412</v>
      </c>
      <c r="AX49" s="41">
        <f t="shared" si="500"/>
        <v>5768</v>
      </c>
      <c r="AY49" s="41">
        <f t="shared" si="500"/>
        <v>3691.52</v>
      </c>
      <c r="AZ49" s="41">
        <f t="shared" si="500"/>
        <v>479</v>
      </c>
      <c r="BA49" s="41">
        <f t="shared" si="500"/>
        <v>11496</v>
      </c>
      <c r="BB49" s="41">
        <f t="shared" si="500"/>
        <v>7357.4400000000005</v>
      </c>
      <c r="BC49" s="41">
        <f t="shared" si="500"/>
        <v>3741.7857142857142</v>
      </c>
      <c r="BD49" s="41">
        <f t="shared" si="500"/>
        <v>52385</v>
      </c>
      <c r="BE49" s="41">
        <f t="shared" si="500"/>
        <v>33526.400000000001</v>
      </c>
      <c r="BF49" s="41">
        <f t="shared" si="500"/>
        <v>7920.1428571428569</v>
      </c>
      <c r="BG49" s="41">
        <f t="shared" si="500"/>
        <v>110882</v>
      </c>
      <c r="BH49" s="41">
        <f t="shared" si="500"/>
        <v>70964.479999999996</v>
      </c>
      <c r="BI49" s="41">
        <f t="shared" si="500"/>
        <v>7070</v>
      </c>
      <c r="BJ49" s="41">
        <f t="shared" si="500"/>
        <v>169680</v>
      </c>
      <c r="BK49" s="41">
        <f t="shared" si="500"/>
        <v>108595.20000000001</v>
      </c>
      <c r="BL49" s="41">
        <f t="shared" si="500"/>
        <v>1230</v>
      </c>
      <c r="BM49" s="41">
        <f t="shared" si="500"/>
        <v>17220</v>
      </c>
      <c r="BN49" s="41">
        <f t="shared" si="500"/>
        <v>11020.800000000001</v>
      </c>
      <c r="BO49" s="41">
        <f t="shared" si="500"/>
        <v>528</v>
      </c>
      <c r="BP49" s="41">
        <f t="shared" si="500"/>
        <v>7392</v>
      </c>
      <c r="BQ49" s="41">
        <f t="shared" ref="BQ49:DV49" si="501">(BQ40+BQ48)</f>
        <v>4730.88</v>
      </c>
      <c r="BR49" s="41">
        <f t="shared" si="501"/>
        <v>150</v>
      </c>
      <c r="BS49" s="41">
        <f t="shared" si="501"/>
        <v>3600</v>
      </c>
      <c r="BT49" s="41">
        <f t="shared" si="501"/>
        <v>2304</v>
      </c>
      <c r="BU49" s="41">
        <f t="shared" si="501"/>
        <v>2702</v>
      </c>
      <c r="BV49" s="41">
        <f t="shared" si="501"/>
        <v>37828</v>
      </c>
      <c r="BW49" s="41">
        <f t="shared" si="501"/>
        <v>24209.919999999998</v>
      </c>
      <c r="BX49" s="41">
        <f t="shared" si="501"/>
        <v>0</v>
      </c>
      <c r="BY49" s="41">
        <f t="shared" si="501"/>
        <v>0</v>
      </c>
      <c r="BZ49" s="41">
        <f t="shared" si="501"/>
        <v>0</v>
      </c>
      <c r="CA49" s="41">
        <f t="shared" si="501"/>
        <v>0</v>
      </c>
      <c r="CB49" s="41">
        <f t="shared" si="501"/>
        <v>0</v>
      </c>
      <c r="CC49" s="41">
        <f t="shared" si="501"/>
        <v>0</v>
      </c>
      <c r="CD49" s="41">
        <f t="shared" si="501"/>
        <v>5</v>
      </c>
      <c r="CE49" s="41">
        <f t="shared" si="501"/>
        <v>60</v>
      </c>
      <c r="CF49" s="41">
        <f t="shared" si="501"/>
        <v>40.800000000000004</v>
      </c>
      <c r="CG49" s="41">
        <f t="shared" si="501"/>
        <v>237</v>
      </c>
      <c r="CH49" s="41">
        <f t="shared" si="501"/>
        <v>2844</v>
      </c>
      <c r="CI49" s="41">
        <f t="shared" si="501"/>
        <v>1990.7999999999997</v>
      </c>
      <c r="CJ49" s="41">
        <f t="shared" si="501"/>
        <v>213</v>
      </c>
      <c r="CK49" s="41">
        <f t="shared" si="501"/>
        <v>2982</v>
      </c>
      <c r="CL49" s="41">
        <f t="shared" si="501"/>
        <v>1908.48</v>
      </c>
      <c r="CM49" s="41">
        <f t="shared" si="501"/>
        <v>16</v>
      </c>
      <c r="CN49" s="41">
        <f t="shared" si="501"/>
        <v>224</v>
      </c>
      <c r="CO49" s="41">
        <f t="shared" si="501"/>
        <v>143.36000000000001</v>
      </c>
      <c r="CP49" s="41">
        <f t="shared" si="501"/>
        <v>30</v>
      </c>
      <c r="CQ49" s="41">
        <f t="shared" si="501"/>
        <v>420</v>
      </c>
      <c r="CR49" s="41">
        <f t="shared" si="501"/>
        <v>268.8</v>
      </c>
      <c r="CS49" s="41">
        <f t="shared" si="501"/>
        <v>1360.4166666666665</v>
      </c>
      <c r="CT49" s="41">
        <f t="shared" si="501"/>
        <v>32650</v>
      </c>
      <c r="CU49" s="41">
        <f t="shared" si="501"/>
        <v>19590</v>
      </c>
      <c r="CV49" s="41">
        <f t="shared" si="501"/>
        <v>42.5</v>
      </c>
      <c r="CW49" s="41">
        <f t="shared" si="501"/>
        <v>1020</v>
      </c>
      <c r="CX49" s="41">
        <f t="shared" si="501"/>
        <v>612</v>
      </c>
      <c r="CY49" s="41">
        <f t="shared" si="501"/>
        <v>1029.5</v>
      </c>
      <c r="CZ49" s="41">
        <f t="shared" si="501"/>
        <v>12354</v>
      </c>
      <c r="DA49" s="41">
        <f t="shared" si="501"/>
        <v>12354</v>
      </c>
      <c r="DB49" s="41">
        <f t="shared" si="501"/>
        <v>4</v>
      </c>
      <c r="DC49" s="41">
        <f t="shared" si="501"/>
        <v>48</v>
      </c>
      <c r="DD49" s="41">
        <f t="shared" si="501"/>
        <v>48</v>
      </c>
      <c r="DE49" s="41">
        <f t="shared" si="501"/>
        <v>0</v>
      </c>
      <c r="DF49" s="41">
        <f t="shared" si="501"/>
        <v>0</v>
      </c>
      <c r="DG49" s="41">
        <f t="shared" si="501"/>
        <v>0</v>
      </c>
      <c r="DH49" s="41">
        <f t="shared" si="501"/>
        <v>40.5</v>
      </c>
      <c r="DI49" s="41">
        <f t="shared" si="501"/>
        <v>486</v>
      </c>
      <c r="DJ49" s="41">
        <f t="shared" si="501"/>
        <v>486</v>
      </c>
      <c r="DK49" s="41">
        <f t="shared" si="501"/>
        <v>0</v>
      </c>
      <c r="DL49" s="41">
        <f t="shared" si="501"/>
        <v>0</v>
      </c>
      <c r="DM49" s="41">
        <f t="shared" si="501"/>
        <v>0</v>
      </c>
      <c r="DN49" s="41">
        <f t="shared" si="501"/>
        <v>0</v>
      </c>
      <c r="DO49" s="41">
        <f t="shared" si="501"/>
        <v>0</v>
      </c>
      <c r="DP49" s="41">
        <f t="shared" si="501"/>
        <v>0</v>
      </c>
      <c r="DQ49" s="41">
        <f t="shared" si="501"/>
        <v>0</v>
      </c>
      <c r="DR49" s="41">
        <f t="shared" si="501"/>
        <v>0</v>
      </c>
      <c r="DS49" s="41">
        <f t="shared" si="501"/>
        <v>0</v>
      </c>
      <c r="DT49" s="41">
        <f t="shared" si="501"/>
        <v>46172.577380952382</v>
      </c>
      <c r="DU49" s="41">
        <f t="shared" si="501"/>
        <v>729741</v>
      </c>
      <c r="DV49" s="41">
        <f t="shared" si="501"/>
        <v>486294.31999999995</v>
      </c>
    </row>
    <row r="52" spans="2:126" ht="126" x14ac:dyDescent="0.6">
      <c r="B52" s="2" t="s">
        <v>1</v>
      </c>
      <c r="C52" s="2" t="s">
        <v>2</v>
      </c>
      <c r="D52" s="3" t="s">
        <v>8</v>
      </c>
      <c r="E52" s="3" t="s">
        <v>11</v>
      </c>
      <c r="F52" s="24" t="s">
        <v>10</v>
      </c>
      <c r="G52" s="3" t="s">
        <v>12</v>
      </c>
      <c r="H52" s="3" t="s">
        <v>11</v>
      </c>
      <c r="I52" s="24" t="s">
        <v>10</v>
      </c>
      <c r="J52" s="3" t="s">
        <v>13</v>
      </c>
      <c r="K52" s="3" t="s">
        <v>11</v>
      </c>
      <c r="L52" s="24" t="s">
        <v>10</v>
      </c>
      <c r="M52" s="3" t="s">
        <v>14</v>
      </c>
      <c r="N52" s="3" t="s">
        <v>11</v>
      </c>
      <c r="O52" s="24" t="s">
        <v>10</v>
      </c>
      <c r="P52" s="3" t="s">
        <v>15</v>
      </c>
      <c r="Q52" s="3" t="s">
        <v>11</v>
      </c>
      <c r="R52" s="24" t="s">
        <v>10</v>
      </c>
      <c r="S52" s="3" t="s">
        <v>16</v>
      </c>
      <c r="T52" s="3" t="s">
        <v>11</v>
      </c>
      <c r="U52" s="24" t="s">
        <v>10</v>
      </c>
      <c r="V52" s="3" t="s">
        <v>17</v>
      </c>
      <c r="W52" s="3" t="s">
        <v>11</v>
      </c>
      <c r="X52" s="24" t="s">
        <v>10</v>
      </c>
      <c r="Y52" s="3" t="s">
        <v>18</v>
      </c>
      <c r="Z52" s="3" t="s">
        <v>11</v>
      </c>
      <c r="AA52" s="24" t="s">
        <v>10</v>
      </c>
      <c r="AB52" s="3" t="s">
        <v>18</v>
      </c>
      <c r="AC52" s="3" t="s">
        <v>11</v>
      </c>
      <c r="AD52" s="24" t="s">
        <v>10</v>
      </c>
      <c r="AE52" s="3" t="s">
        <v>19</v>
      </c>
      <c r="AF52" s="3" t="s">
        <v>11</v>
      </c>
      <c r="AG52" s="24" t="s">
        <v>10</v>
      </c>
      <c r="AH52" s="3" t="s">
        <v>54</v>
      </c>
      <c r="AI52" s="3" t="s">
        <v>11</v>
      </c>
      <c r="AJ52" s="24" t="s">
        <v>10</v>
      </c>
      <c r="AK52" s="3" t="s">
        <v>55</v>
      </c>
      <c r="AL52" s="3" t="s">
        <v>11</v>
      </c>
      <c r="AM52" s="24" t="s">
        <v>10</v>
      </c>
      <c r="AN52" s="3" t="s">
        <v>56</v>
      </c>
      <c r="AO52" s="3" t="s">
        <v>11</v>
      </c>
      <c r="AP52" s="24" t="s">
        <v>10</v>
      </c>
      <c r="AQ52" s="3" t="s">
        <v>57</v>
      </c>
      <c r="AR52" s="3" t="s">
        <v>11</v>
      </c>
      <c r="AS52" s="24" t="s">
        <v>10</v>
      </c>
      <c r="AT52" s="3" t="s">
        <v>60</v>
      </c>
      <c r="AU52" s="3" t="s">
        <v>11</v>
      </c>
      <c r="AV52" s="24" t="s">
        <v>10</v>
      </c>
      <c r="AW52" s="3" t="s">
        <v>61</v>
      </c>
      <c r="AX52" s="3" t="s">
        <v>11</v>
      </c>
      <c r="AY52" s="24" t="s">
        <v>10</v>
      </c>
      <c r="AZ52" s="3" t="s">
        <v>20</v>
      </c>
      <c r="BA52" s="3" t="s">
        <v>11</v>
      </c>
      <c r="BB52" s="24" t="s">
        <v>10</v>
      </c>
      <c r="BC52" s="3" t="s">
        <v>21</v>
      </c>
      <c r="BD52" s="3" t="s">
        <v>11</v>
      </c>
      <c r="BE52" s="24" t="s">
        <v>10</v>
      </c>
      <c r="BF52" s="3" t="s">
        <v>22</v>
      </c>
      <c r="BG52" s="3" t="s">
        <v>11</v>
      </c>
      <c r="BH52" s="24" t="s">
        <v>10</v>
      </c>
      <c r="BI52" s="3" t="s">
        <v>23</v>
      </c>
      <c r="BJ52" s="3" t="s">
        <v>11</v>
      </c>
      <c r="BK52" s="24" t="s">
        <v>10</v>
      </c>
      <c r="BL52" s="3" t="s">
        <v>24</v>
      </c>
      <c r="BM52" s="3" t="s">
        <v>11</v>
      </c>
      <c r="BN52" s="24" t="s">
        <v>10</v>
      </c>
      <c r="BO52" s="3" t="s">
        <v>25</v>
      </c>
      <c r="BP52" s="3" t="s">
        <v>11</v>
      </c>
      <c r="BQ52" s="24" t="s">
        <v>10</v>
      </c>
      <c r="BR52" s="3" t="s">
        <v>26</v>
      </c>
      <c r="BS52" s="3" t="s">
        <v>11</v>
      </c>
      <c r="BT52" s="24" t="s">
        <v>10</v>
      </c>
      <c r="BU52" s="3" t="s">
        <v>27</v>
      </c>
      <c r="BV52" s="3" t="s">
        <v>11</v>
      </c>
      <c r="BW52" s="24" t="s">
        <v>10</v>
      </c>
      <c r="BX52" s="14" t="s">
        <v>28</v>
      </c>
      <c r="BY52" s="3" t="s">
        <v>11</v>
      </c>
      <c r="BZ52" s="23" t="s">
        <v>10</v>
      </c>
      <c r="CA52" s="14" t="s">
        <v>3</v>
      </c>
      <c r="CB52" s="3" t="s">
        <v>11</v>
      </c>
      <c r="CC52" s="23" t="s">
        <v>10</v>
      </c>
      <c r="CD52" s="14" t="s">
        <v>29</v>
      </c>
      <c r="CE52" s="3" t="s">
        <v>11</v>
      </c>
      <c r="CF52" s="23" t="s">
        <v>10</v>
      </c>
      <c r="CG52" s="4" t="s">
        <v>30</v>
      </c>
      <c r="CH52" s="3" t="s">
        <v>11</v>
      </c>
      <c r="CI52" s="5" t="s">
        <v>10</v>
      </c>
      <c r="CJ52" s="4" t="s">
        <v>31</v>
      </c>
      <c r="CK52" s="3" t="s">
        <v>11</v>
      </c>
      <c r="CL52" s="5" t="s">
        <v>10</v>
      </c>
      <c r="CM52" s="34" t="s">
        <v>32</v>
      </c>
      <c r="CN52" s="3" t="s">
        <v>11</v>
      </c>
      <c r="CO52" s="5" t="s">
        <v>10</v>
      </c>
      <c r="CP52" s="34" t="s">
        <v>33</v>
      </c>
      <c r="CQ52" s="3" t="s">
        <v>11</v>
      </c>
      <c r="CR52" s="5" t="s">
        <v>10</v>
      </c>
      <c r="CS52" s="34" t="s">
        <v>34</v>
      </c>
      <c r="CT52" s="3" t="s">
        <v>11</v>
      </c>
      <c r="CU52" s="5" t="s">
        <v>10</v>
      </c>
      <c r="CV52" s="35" t="s">
        <v>35</v>
      </c>
      <c r="CW52" s="3" t="s">
        <v>11</v>
      </c>
      <c r="CX52" s="22" t="s">
        <v>10</v>
      </c>
      <c r="CY52" s="35" t="s">
        <v>36</v>
      </c>
      <c r="CZ52" s="3" t="s">
        <v>11</v>
      </c>
      <c r="DA52" s="22" t="s">
        <v>10</v>
      </c>
      <c r="DB52" s="35" t="s">
        <v>38</v>
      </c>
      <c r="DC52" s="3" t="s">
        <v>11</v>
      </c>
      <c r="DD52" s="22" t="s">
        <v>10</v>
      </c>
      <c r="DE52" s="6" t="s">
        <v>39</v>
      </c>
      <c r="DF52" s="3" t="s">
        <v>11</v>
      </c>
      <c r="DG52" s="21" t="s">
        <v>10</v>
      </c>
      <c r="DH52" s="4" t="s">
        <v>37</v>
      </c>
      <c r="DI52" s="3" t="s">
        <v>11</v>
      </c>
      <c r="DJ52" s="5" t="s">
        <v>10</v>
      </c>
      <c r="DK52" s="4" t="s">
        <v>40</v>
      </c>
      <c r="DL52" s="3" t="s">
        <v>11</v>
      </c>
      <c r="DM52" s="5" t="s">
        <v>10</v>
      </c>
      <c r="DN52" s="4"/>
      <c r="DO52" s="3" t="s">
        <v>11</v>
      </c>
      <c r="DP52" s="5" t="s">
        <v>10</v>
      </c>
      <c r="DQ52" s="4"/>
      <c r="DR52" s="4"/>
      <c r="DS52" s="4"/>
      <c r="DT52" s="3"/>
      <c r="DU52" s="17" t="s">
        <v>9</v>
      </c>
      <c r="DV52" s="26" t="s">
        <v>10</v>
      </c>
    </row>
    <row r="53" spans="2:126" x14ac:dyDescent="0.6">
      <c r="B53" s="43"/>
      <c r="C53" s="44"/>
      <c r="D53" s="43"/>
      <c r="E53" s="43">
        <v>14</v>
      </c>
      <c r="F53" s="45">
        <v>0.64</v>
      </c>
      <c r="G53" s="43"/>
      <c r="H53" s="43">
        <v>12</v>
      </c>
      <c r="I53" s="45">
        <v>1</v>
      </c>
      <c r="J53" s="43"/>
      <c r="K53" s="43">
        <v>14</v>
      </c>
      <c r="L53" s="45">
        <v>0.64</v>
      </c>
      <c r="M53" s="43"/>
      <c r="N53" s="43">
        <v>12</v>
      </c>
      <c r="O53" s="45">
        <v>0.7</v>
      </c>
      <c r="P53" s="43"/>
      <c r="Q53" s="43">
        <v>14</v>
      </c>
      <c r="R53" s="45">
        <v>0.64</v>
      </c>
      <c r="S53" s="43"/>
      <c r="T53" s="43">
        <v>12</v>
      </c>
      <c r="U53" s="45">
        <v>0.7</v>
      </c>
      <c r="V53" s="43"/>
      <c r="W53" s="43">
        <v>24</v>
      </c>
      <c r="X53" s="45">
        <v>0.35</v>
      </c>
      <c r="Y53" s="43"/>
      <c r="Z53" s="43">
        <v>12</v>
      </c>
      <c r="AA53" s="45">
        <v>1</v>
      </c>
      <c r="AB53" s="43"/>
      <c r="AC53" s="43">
        <v>12</v>
      </c>
      <c r="AD53" s="45">
        <v>0.6</v>
      </c>
      <c r="AE53" s="43"/>
      <c r="AF53" s="43">
        <v>14</v>
      </c>
      <c r="AG53" s="45">
        <v>0.64</v>
      </c>
      <c r="AH53" s="43"/>
      <c r="AI53" s="43">
        <v>12</v>
      </c>
      <c r="AJ53" s="45">
        <v>1</v>
      </c>
      <c r="AK53" s="43"/>
      <c r="AL53" s="43">
        <v>12</v>
      </c>
      <c r="AM53" s="45">
        <v>0.6</v>
      </c>
      <c r="AN53" s="43"/>
      <c r="AO53" s="43">
        <v>12</v>
      </c>
      <c r="AP53" s="45">
        <v>0.6</v>
      </c>
      <c r="AQ53" s="43"/>
      <c r="AR53" s="43">
        <v>24</v>
      </c>
      <c r="AS53" s="45">
        <v>0.64</v>
      </c>
      <c r="AT53" s="43"/>
      <c r="AU53" s="43">
        <v>12</v>
      </c>
      <c r="AV53" s="45">
        <v>0.6</v>
      </c>
      <c r="AW53" s="43"/>
      <c r="AX53" s="43">
        <v>14</v>
      </c>
      <c r="AY53" s="45">
        <v>0.64</v>
      </c>
      <c r="AZ53" s="43"/>
      <c r="BA53" s="43">
        <v>24</v>
      </c>
      <c r="BB53" s="45">
        <v>0.64</v>
      </c>
      <c r="BC53" s="43"/>
      <c r="BD53" s="43">
        <v>14</v>
      </c>
      <c r="BE53" s="45">
        <v>0.64</v>
      </c>
      <c r="BF53" s="43"/>
      <c r="BG53" s="43">
        <v>14</v>
      </c>
      <c r="BH53" s="45">
        <v>0.64</v>
      </c>
      <c r="BI53" s="43"/>
      <c r="BJ53" s="43">
        <v>24</v>
      </c>
      <c r="BK53" s="45">
        <v>0.64</v>
      </c>
      <c r="BL53" s="43"/>
      <c r="BM53" s="43">
        <v>14</v>
      </c>
      <c r="BN53" s="45">
        <v>0.64</v>
      </c>
      <c r="BO53" s="43"/>
      <c r="BP53" s="43">
        <v>14</v>
      </c>
      <c r="BQ53" s="45">
        <v>0.64</v>
      </c>
      <c r="BR53" s="43"/>
      <c r="BS53" s="43">
        <v>24</v>
      </c>
      <c r="BT53" s="45">
        <v>0.64</v>
      </c>
      <c r="BU53" s="43"/>
      <c r="BV53" s="43">
        <v>14</v>
      </c>
      <c r="BW53" s="45">
        <v>0.64</v>
      </c>
      <c r="BX53" s="43">
        <v>12</v>
      </c>
      <c r="BY53" s="43">
        <v>12</v>
      </c>
      <c r="BZ53" s="45">
        <v>1</v>
      </c>
      <c r="CA53" s="43"/>
      <c r="CB53" s="43">
        <v>12</v>
      </c>
      <c r="CC53" s="45">
        <v>0.6</v>
      </c>
      <c r="CD53" s="43"/>
      <c r="CE53" s="43">
        <v>12</v>
      </c>
      <c r="CF53" s="45">
        <v>0.68</v>
      </c>
      <c r="CG53" s="43"/>
      <c r="CH53" s="43">
        <v>12</v>
      </c>
      <c r="CI53" s="45">
        <v>0.7</v>
      </c>
      <c r="CJ53" s="43"/>
      <c r="CK53" s="43">
        <v>14</v>
      </c>
      <c r="CL53" s="45">
        <v>0.64</v>
      </c>
      <c r="CM53" s="43"/>
      <c r="CN53" s="43">
        <v>14</v>
      </c>
      <c r="CO53" s="45">
        <v>0.64</v>
      </c>
      <c r="CP53" s="43"/>
      <c r="CQ53" s="43">
        <v>14</v>
      </c>
      <c r="CR53" s="45">
        <v>0.64</v>
      </c>
      <c r="CS53" s="43"/>
      <c r="CT53" s="43">
        <v>24</v>
      </c>
      <c r="CU53" s="45">
        <v>0.6</v>
      </c>
      <c r="CV53" s="43"/>
      <c r="CW53" s="43">
        <v>24</v>
      </c>
      <c r="CX53" s="45">
        <v>0.6</v>
      </c>
      <c r="CY53" s="43"/>
      <c r="CZ53" s="43">
        <v>12</v>
      </c>
      <c r="DA53" s="45">
        <v>1</v>
      </c>
      <c r="DB53" s="43"/>
      <c r="DC53" s="43">
        <v>12</v>
      </c>
      <c r="DD53" s="45">
        <v>1</v>
      </c>
      <c r="DE53" s="43"/>
      <c r="DF53" s="43">
        <v>14</v>
      </c>
      <c r="DG53" s="45">
        <v>0.64</v>
      </c>
      <c r="DH53" s="43"/>
      <c r="DI53" s="43">
        <v>12</v>
      </c>
      <c r="DJ53" s="45">
        <v>1</v>
      </c>
      <c r="DK53" s="43"/>
      <c r="DL53" s="43">
        <v>12</v>
      </c>
      <c r="DM53" s="45">
        <v>1</v>
      </c>
      <c r="DN53" s="43"/>
      <c r="DO53" s="43">
        <v>12</v>
      </c>
      <c r="DP53" s="45">
        <v>1</v>
      </c>
      <c r="DQ53" s="43"/>
      <c r="DR53" s="43"/>
      <c r="DS53" s="43"/>
      <c r="DT53" s="43"/>
      <c r="DU53" s="28"/>
      <c r="DV53" s="46"/>
    </row>
    <row r="54" spans="2:126" x14ac:dyDescent="0.6">
      <c r="B54" s="29"/>
      <c r="C54" s="30"/>
      <c r="D54" s="31"/>
      <c r="E54" s="31"/>
      <c r="F54" s="27"/>
      <c r="G54" s="31"/>
      <c r="H54" s="31"/>
      <c r="I54" s="27"/>
      <c r="J54" s="31"/>
      <c r="K54" s="31"/>
      <c r="L54" s="27"/>
      <c r="M54" s="31"/>
      <c r="N54" s="31"/>
      <c r="O54" s="27"/>
      <c r="P54" s="31"/>
      <c r="Q54" s="31"/>
      <c r="R54" s="27"/>
      <c r="S54" s="31"/>
      <c r="T54" s="31"/>
      <c r="U54" s="27"/>
      <c r="V54" s="31"/>
      <c r="W54" s="31"/>
      <c r="X54" s="27"/>
      <c r="Y54" s="31"/>
      <c r="Z54" s="31"/>
      <c r="AA54" s="27"/>
      <c r="AB54" s="31"/>
      <c r="AC54" s="31"/>
      <c r="AD54" s="27"/>
      <c r="AE54" s="31"/>
      <c r="AF54" s="31"/>
      <c r="AG54" s="27"/>
      <c r="AH54" s="31"/>
      <c r="AI54" s="31"/>
      <c r="AJ54" s="27"/>
      <c r="AK54" s="31"/>
      <c r="AL54" s="31"/>
      <c r="AM54" s="27"/>
      <c r="AN54" s="31"/>
      <c r="AO54" s="31"/>
      <c r="AP54" s="27"/>
      <c r="AQ54" s="31"/>
      <c r="AR54" s="31"/>
      <c r="AS54" s="27"/>
      <c r="AT54" s="31"/>
      <c r="AU54" s="31"/>
      <c r="AV54" s="27"/>
      <c r="AW54" s="31"/>
      <c r="AX54" s="31"/>
      <c r="AY54" s="27"/>
      <c r="AZ54" s="31"/>
      <c r="BA54" s="31"/>
      <c r="BB54" s="27"/>
      <c r="BC54" s="31"/>
      <c r="BD54" s="31"/>
      <c r="BE54" s="27"/>
      <c r="BF54" s="31"/>
      <c r="BG54" s="31"/>
      <c r="BH54" s="27"/>
      <c r="BI54" s="31"/>
      <c r="BJ54" s="31"/>
      <c r="BK54" s="27"/>
      <c r="BL54" s="31"/>
      <c r="BM54" s="31"/>
      <c r="BN54" s="27"/>
      <c r="BO54" s="31"/>
      <c r="BP54" s="31"/>
      <c r="BQ54" s="27"/>
      <c r="BR54" s="31"/>
      <c r="BS54" s="31"/>
      <c r="BT54" s="27"/>
      <c r="BU54" s="31"/>
      <c r="BV54" s="31"/>
      <c r="BW54" s="27"/>
      <c r="BX54" s="31">
        <v>1</v>
      </c>
      <c r="BY54" s="31"/>
      <c r="BZ54" s="27"/>
      <c r="CA54" s="31"/>
      <c r="CB54" s="31"/>
      <c r="CC54" s="27"/>
      <c r="CD54" s="31"/>
      <c r="CE54" s="31"/>
      <c r="CF54" s="27"/>
      <c r="CG54" s="31"/>
      <c r="CH54" s="31"/>
      <c r="CI54" s="27"/>
      <c r="CJ54" s="31"/>
      <c r="CK54" s="31"/>
      <c r="CL54" s="27"/>
      <c r="CM54" s="31"/>
      <c r="CN54" s="31"/>
      <c r="CO54" s="27"/>
      <c r="CP54" s="31"/>
      <c r="CQ54" s="31"/>
      <c r="CR54" s="27"/>
      <c r="CS54" s="31"/>
      <c r="CT54" s="31"/>
      <c r="CU54" s="27"/>
      <c r="CV54" s="31"/>
      <c r="CW54" s="31"/>
      <c r="CX54" s="27"/>
      <c r="CY54" s="31"/>
      <c r="CZ54" s="31"/>
      <c r="DA54" s="27"/>
      <c r="DB54" s="31"/>
      <c r="DC54" s="31"/>
      <c r="DD54" s="27"/>
      <c r="DE54" s="31"/>
      <c r="DF54" s="31"/>
      <c r="DG54" s="27"/>
      <c r="DH54" s="31"/>
      <c r="DI54" s="31"/>
      <c r="DJ54" s="27"/>
      <c r="DK54" s="31"/>
      <c r="DL54" s="31"/>
      <c r="DM54" s="27"/>
      <c r="DN54" s="31"/>
      <c r="DO54" s="31"/>
      <c r="DP54" s="27"/>
      <c r="DQ54" s="31"/>
      <c r="DR54" s="31"/>
      <c r="DS54" s="31"/>
      <c r="DT54" s="31"/>
      <c r="DU54" s="32"/>
      <c r="DV54" s="16"/>
    </row>
    <row r="55" spans="2:126" x14ac:dyDescent="0.6">
      <c r="B55" s="49" t="s">
        <v>41</v>
      </c>
      <c r="C55" s="55" t="s">
        <v>6</v>
      </c>
      <c r="D55" s="36"/>
      <c r="E55" s="36">
        <f>+D55*$E$3</f>
        <v>0</v>
      </c>
      <c r="F55" s="37">
        <f>+E55*$F$3</f>
        <v>0</v>
      </c>
      <c r="G55" s="36"/>
      <c r="H55" s="36">
        <f>+G55*$H$3</f>
        <v>0</v>
      </c>
      <c r="I55" s="37">
        <f>+H55*$I$3</f>
        <v>0</v>
      </c>
      <c r="J55" s="36"/>
      <c r="K55" s="36">
        <f>+J55*$K$3</f>
        <v>0</v>
      </c>
      <c r="L55" s="37">
        <f>+K55*$L$3</f>
        <v>0</v>
      </c>
      <c r="M55" s="36"/>
      <c r="N55" s="36">
        <f>+M55*$N$3</f>
        <v>0</v>
      </c>
      <c r="O55" s="37">
        <f>+N55*$O$3</f>
        <v>0</v>
      </c>
      <c r="P55" s="36"/>
      <c r="Q55" s="36">
        <f>+P55*$Q$3</f>
        <v>0</v>
      </c>
      <c r="R55" s="37">
        <f>+Q55*$R$3</f>
        <v>0</v>
      </c>
      <c r="S55" s="36"/>
      <c r="T55" s="36">
        <f>+S55*$T$3</f>
        <v>0</v>
      </c>
      <c r="U55" s="37">
        <f>+T55*$U$3</f>
        <v>0</v>
      </c>
      <c r="V55" s="36"/>
      <c r="W55" s="36">
        <f>+V55*$W$3</f>
        <v>0</v>
      </c>
      <c r="X55" s="37">
        <f>+W55*$X$3</f>
        <v>0</v>
      </c>
      <c r="Y55" s="36"/>
      <c r="Z55" s="36">
        <f>+Y55*$Z$3</f>
        <v>0</v>
      </c>
      <c r="AA55" s="37">
        <f>+Z55*$AA$3</f>
        <v>0</v>
      </c>
      <c r="AB55" s="36"/>
      <c r="AC55" s="36">
        <f>+AB55*$AC$3</f>
        <v>0</v>
      </c>
      <c r="AD55" s="37">
        <f>+AC55*$AD$3</f>
        <v>0</v>
      </c>
      <c r="AE55" s="36"/>
      <c r="AF55" s="36">
        <f>+AE55*$AF$3</f>
        <v>0</v>
      </c>
      <c r="AG55" s="37">
        <f>+AF55*$AG$3</f>
        <v>0</v>
      </c>
      <c r="AH55" s="36"/>
      <c r="AI55" s="36">
        <f>+AH55*$AI$3</f>
        <v>0</v>
      </c>
      <c r="AJ55" s="37">
        <f>+AI55*$AJ$3</f>
        <v>0</v>
      </c>
      <c r="AK55" s="36"/>
      <c r="AL55" s="36">
        <f>+AK55*$AL$3</f>
        <v>0</v>
      </c>
      <c r="AM55" s="37">
        <f>+AL55*$AM$3</f>
        <v>0</v>
      </c>
      <c r="AN55" s="36"/>
      <c r="AO55" s="36">
        <f>+AN55*$AO$3</f>
        <v>0</v>
      </c>
      <c r="AP55" s="37">
        <f>+AO55*$AP$3</f>
        <v>0</v>
      </c>
      <c r="AQ55" s="36"/>
      <c r="AR55" s="36">
        <f>+AQ55*$AR$3</f>
        <v>0</v>
      </c>
      <c r="AS55" s="37">
        <f>+AR55*$AS$3</f>
        <v>0</v>
      </c>
      <c r="AT55" s="36"/>
      <c r="AU55" s="36">
        <f>+AT55*$AU$3</f>
        <v>0</v>
      </c>
      <c r="AV55" s="37">
        <f>+AU55*$AV$3</f>
        <v>0</v>
      </c>
      <c r="AW55" s="36"/>
      <c r="AX55" s="36">
        <f>+AW55*$AX$3</f>
        <v>0</v>
      </c>
      <c r="AY55" s="37">
        <f>+AX55*$AY$3</f>
        <v>0</v>
      </c>
      <c r="AZ55" s="36"/>
      <c r="BA55" s="36">
        <f>+AZ55*$BA$3</f>
        <v>0</v>
      </c>
      <c r="BB55" s="37">
        <f>+BA55*$BB$3</f>
        <v>0</v>
      </c>
      <c r="BC55" s="36"/>
      <c r="BD55" s="36">
        <f>+BC55*$BD$3</f>
        <v>0</v>
      </c>
      <c r="BE55" s="37">
        <f>+BD55*$BE$3</f>
        <v>0</v>
      </c>
      <c r="BF55" s="36"/>
      <c r="BG55" s="36">
        <f>+BF55*$BG$3</f>
        <v>0</v>
      </c>
      <c r="BH55" s="37">
        <f>+BG55*$BH$3</f>
        <v>0</v>
      </c>
      <c r="BI55" s="36"/>
      <c r="BJ55" s="36">
        <f>+BI55*$BJ$3</f>
        <v>0</v>
      </c>
      <c r="BK55" s="37">
        <f>+BJ55*$BK$3</f>
        <v>0</v>
      </c>
      <c r="BL55" s="36"/>
      <c r="BM55" s="36">
        <f>+BL55*$BM$3</f>
        <v>0</v>
      </c>
      <c r="BN55" s="37">
        <f>+BM55*$BN$3</f>
        <v>0</v>
      </c>
      <c r="BO55" s="36"/>
      <c r="BP55" s="36">
        <f>+BO55*$BP$3</f>
        <v>0</v>
      </c>
      <c r="BQ55" s="37">
        <f>+BP55*$BQ$3</f>
        <v>0</v>
      </c>
      <c r="BR55" s="36"/>
      <c r="BS55" s="36">
        <f>+BR55*$BS$3</f>
        <v>0</v>
      </c>
      <c r="BT55" s="37">
        <f>+BS55*$BT$3</f>
        <v>0</v>
      </c>
      <c r="BU55" s="36"/>
      <c r="BV55" s="36">
        <f>+BU55*$BV$3</f>
        <v>0</v>
      </c>
      <c r="BW55" s="37">
        <f>+BV55*$BW$3</f>
        <v>0</v>
      </c>
      <c r="BX55" s="36"/>
      <c r="BY55" s="36">
        <f>+BX55*$BY$3</f>
        <v>0</v>
      </c>
      <c r="BZ55" s="37">
        <f>+BY55*$BZ$3</f>
        <v>0</v>
      </c>
      <c r="CA55" s="36"/>
      <c r="CB55" s="36">
        <f>+CA55*$CB$3</f>
        <v>0</v>
      </c>
      <c r="CC55" s="37">
        <f>+CB55*$CC$3</f>
        <v>0</v>
      </c>
      <c r="CD55" s="36"/>
      <c r="CE55" s="36">
        <f>+CD55*$CE$3</f>
        <v>0</v>
      </c>
      <c r="CF55" s="37">
        <f>+CE55*$CF$3</f>
        <v>0</v>
      </c>
      <c r="CG55" s="36"/>
      <c r="CH55" s="36">
        <f>+CG55*$CH$3</f>
        <v>0</v>
      </c>
      <c r="CI55" s="37">
        <f>+CH55*$CI$3</f>
        <v>0</v>
      </c>
      <c r="CJ55" s="36"/>
      <c r="CK55" s="36">
        <f>+CJ55*$CK$3</f>
        <v>0</v>
      </c>
      <c r="CL55" s="37">
        <f>+CK55*$CL$3</f>
        <v>0</v>
      </c>
      <c r="CM55" s="36"/>
      <c r="CN55" s="36">
        <f>+CM55*$CN$3</f>
        <v>0</v>
      </c>
      <c r="CO55" s="37">
        <f>+CN55*$CO$3</f>
        <v>0</v>
      </c>
      <c r="CP55" s="36"/>
      <c r="CQ55" s="36">
        <f>+CP55*$CQ$3</f>
        <v>0</v>
      </c>
      <c r="CR55" s="37">
        <f>+CQ55*$CR$3</f>
        <v>0</v>
      </c>
      <c r="CS55" s="36"/>
      <c r="CT55" s="36">
        <f>+CS55*$CT$3</f>
        <v>0</v>
      </c>
      <c r="CU55" s="37">
        <f>+CT55*$CU$3</f>
        <v>0</v>
      </c>
      <c r="CV55" s="36"/>
      <c r="CW55" s="36">
        <f>+CV55*$CW$3</f>
        <v>0</v>
      </c>
      <c r="CX55" s="37">
        <f>+CW55*$CX$3</f>
        <v>0</v>
      </c>
      <c r="CY55" s="36"/>
      <c r="CZ55" s="36">
        <f>+CY55*$CZ$3</f>
        <v>0</v>
      </c>
      <c r="DA55" s="37">
        <f>+CZ55*$DA$3</f>
        <v>0</v>
      </c>
      <c r="DB55" s="36"/>
      <c r="DC55" s="36">
        <f>+DB55*$DC$3</f>
        <v>0</v>
      </c>
      <c r="DD55" s="37">
        <f>+DC55*$DD$3</f>
        <v>0</v>
      </c>
      <c r="DE55" s="36"/>
      <c r="DF55" s="36">
        <f>+DE55*$DF$3</f>
        <v>0</v>
      </c>
      <c r="DG55" s="37">
        <f>+DF55*$DG$3</f>
        <v>0</v>
      </c>
      <c r="DH55" s="36"/>
      <c r="DI55" s="36">
        <f>+DH55*$DI$3</f>
        <v>0</v>
      </c>
      <c r="DJ55" s="37">
        <f>+DI55*$DJ$3</f>
        <v>0</v>
      </c>
      <c r="DK55" s="36"/>
      <c r="DL55" s="36">
        <f>+DK55*$DL$3</f>
        <v>0</v>
      </c>
      <c r="DM55" s="37">
        <f>+DL55*$DM$3</f>
        <v>0</v>
      </c>
      <c r="DN55" s="36"/>
      <c r="DO55" s="36">
        <f>+DN55*$DO$3</f>
        <v>0</v>
      </c>
      <c r="DP55" s="37">
        <f>+DO55*$DP$3</f>
        <v>0</v>
      </c>
      <c r="DQ55" s="36"/>
      <c r="DR55" s="36"/>
      <c r="DS55" s="36"/>
      <c r="DT55" s="33">
        <f>D55+G55+J55+M55+P55+S55+V55+Y55+AB55+AE55+AH55+AK55+AN55+AQ55+AT55+AW55+AZ55+BC55+BF55+BI55+BL55+BO55+BR55+BU55+BX55+CA55+CD55+CG55+CJ55+CM55+CP55+CS55+CV55+CY55+DB55+DE55+DH55+DK55+DN55</f>
        <v>0</v>
      </c>
      <c r="DU55" s="33">
        <f>E55+H55+K55+N55+Q55+T55+W55+Z55+AC55+AF55+AI55+AL55+AO55+AR55+AU55+AX55+BA55+BD55+BG55+BJ55+BM55+BP55+BS55+BV55+BY55+CB55+CE55+CH55+CK55+CN55+CQ55+CT55+CW55+CZ55+DC55+DF55+DI55+DL55+DO55</f>
        <v>0</v>
      </c>
      <c r="DV55" s="33">
        <f>F55+I55+L55+O55+R55+U55+X55+AA55+AD55+AG55+AJ55+AM55+AP55+AS55+AV55+AY55+BB55+BE55+BH55+BK55+BN55+BQ55+BT55+BW55+BZ55+CC55+CF55+CI55+CL55+CO55+CR55+CU55+CX55+DA55+DD55+DG55+DJ55+DM55+DP55</f>
        <v>0</v>
      </c>
    </row>
    <row r="56" spans="2:126" x14ac:dyDescent="0.6">
      <c r="B56" s="49" t="s">
        <v>42</v>
      </c>
      <c r="C56" s="54"/>
      <c r="D56" s="36"/>
      <c r="E56" s="36">
        <f t="shared" ref="E56:E64" si="502">+D56*$E$3</f>
        <v>0</v>
      </c>
      <c r="F56" s="37">
        <f t="shared" ref="F56:F64" si="503">+E56*$F$3</f>
        <v>0</v>
      </c>
      <c r="G56" s="36"/>
      <c r="H56" s="36">
        <f t="shared" ref="H56:H64" si="504">+G56*$H$3</f>
        <v>0</v>
      </c>
      <c r="I56" s="37">
        <f t="shared" ref="I56:I64" si="505">+H56*$I$3</f>
        <v>0</v>
      </c>
      <c r="J56" s="36"/>
      <c r="K56" s="36">
        <f t="shared" ref="K56:K64" si="506">+J56*$K$3</f>
        <v>0</v>
      </c>
      <c r="L56" s="37">
        <f t="shared" ref="L56:L64" si="507">+K56*$L$3</f>
        <v>0</v>
      </c>
      <c r="M56" s="36"/>
      <c r="N56" s="36">
        <f t="shared" ref="N56:N64" si="508">+M56*$N$3</f>
        <v>0</v>
      </c>
      <c r="O56" s="37">
        <f t="shared" ref="O56:O64" si="509">+N56*$O$3</f>
        <v>0</v>
      </c>
      <c r="P56" s="36"/>
      <c r="Q56" s="36">
        <f t="shared" ref="Q56:Q64" si="510">+P56*$Q$3</f>
        <v>0</v>
      </c>
      <c r="R56" s="37">
        <f t="shared" ref="R56:R64" si="511">+Q56*$R$3</f>
        <v>0</v>
      </c>
      <c r="S56" s="36"/>
      <c r="T56" s="36">
        <f t="shared" ref="T56:T64" si="512">+S56*$T$3</f>
        <v>0</v>
      </c>
      <c r="U56" s="37">
        <f t="shared" ref="U56:U64" si="513">+T56*$U$3</f>
        <v>0</v>
      </c>
      <c r="V56" s="36"/>
      <c r="W56" s="36">
        <f t="shared" ref="W56:W64" si="514">+V56*$W$3</f>
        <v>0</v>
      </c>
      <c r="X56" s="37">
        <f t="shared" ref="X56:X64" si="515">+W56*$X$3</f>
        <v>0</v>
      </c>
      <c r="Y56" s="36"/>
      <c r="Z56" s="36">
        <f t="shared" ref="Z56:Z64" si="516">+Y56*$Z$3</f>
        <v>0</v>
      </c>
      <c r="AA56" s="37">
        <f t="shared" ref="AA56:AA64" si="517">+Z56*$AA$3</f>
        <v>0</v>
      </c>
      <c r="AB56" s="36"/>
      <c r="AC56" s="36">
        <f t="shared" ref="AC56:AC64" si="518">+AB56*$AC$3</f>
        <v>0</v>
      </c>
      <c r="AD56" s="37">
        <f t="shared" ref="AD56:AD64" si="519">+AC56*$AD$3</f>
        <v>0</v>
      </c>
      <c r="AE56" s="36"/>
      <c r="AF56" s="36">
        <f t="shared" ref="AF56:AF64" si="520">+AE56*$AF$3</f>
        <v>0</v>
      </c>
      <c r="AG56" s="37">
        <f t="shared" ref="AG56:AG64" si="521">+AF56*$AG$3</f>
        <v>0</v>
      </c>
      <c r="AH56" s="36"/>
      <c r="AI56" s="36">
        <f t="shared" ref="AI56:AI64" si="522">+AH56*$AI$3</f>
        <v>0</v>
      </c>
      <c r="AJ56" s="37">
        <f t="shared" ref="AJ56:AJ64" si="523">+AI56*$AJ$3</f>
        <v>0</v>
      </c>
      <c r="AK56" s="36"/>
      <c r="AL56" s="36">
        <f t="shared" ref="AL56:AL64" si="524">+AK56*$AL$3</f>
        <v>0</v>
      </c>
      <c r="AM56" s="37">
        <f t="shared" ref="AM56:AM64" si="525">+AL56*$AM$3</f>
        <v>0</v>
      </c>
      <c r="AN56" s="36"/>
      <c r="AO56" s="36">
        <f t="shared" ref="AO56:AO64" si="526">+AN56*$AO$3</f>
        <v>0</v>
      </c>
      <c r="AP56" s="37">
        <f t="shared" ref="AP56:AP64" si="527">+AO56*$AP$3</f>
        <v>0</v>
      </c>
      <c r="AQ56" s="36"/>
      <c r="AR56" s="36">
        <f t="shared" ref="AR56:AR64" si="528">+AQ56*$AR$3</f>
        <v>0</v>
      </c>
      <c r="AS56" s="37">
        <f t="shared" ref="AS56:AS64" si="529">+AR56*$AS$3</f>
        <v>0</v>
      </c>
      <c r="AT56" s="36"/>
      <c r="AU56" s="36">
        <f t="shared" ref="AU56:AU64" si="530">+AT56*$AU$3</f>
        <v>0</v>
      </c>
      <c r="AV56" s="37">
        <f t="shared" ref="AV56:AV64" si="531">+AU56*$AV$3</f>
        <v>0</v>
      </c>
      <c r="AW56" s="36"/>
      <c r="AX56" s="36">
        <f t="shared" ref="AX56:AX64" si="532">+AW56*$AX$3</f>
        <v>0</v>
      </c>
      <c r="AY56" s="37">
        <f t="shared" ref="AY56:AY64" si="533">+AX56*$AY$3</f>
        <v>0</v>
      </c>
      <c r="AZ56" s="36"/>
      <c r="BA56" s="36">
        <f t="shared" ref="BA56:BA64" si="534">+AZ56*$BA$3</f>
        <v>0</v>
      </c>
      <c r="BB56" s="37">
        <f t="shared" ref="BB56:BB64" si="535">+BA56*$BB$3</f>
        <v>0</v>
      </c>
      <c r="BC56" s="36"/>
      <c r="BD56" s="36">
        <f t="shared" ref="BD56:BD64" si="536">+BC56*$BD$3</f>
        <v>0</v>
      </c>
      <c r="BE56" s="37">
        <f t="shared" ref="BE56:BE64" si="537">+BD56*$BE$3</f>
        <v>0</v>
      </c>
      <c r="BF56" s="36"/>
      <c r="BG56" s="36">
        <f t="shared" ref="BG56:BG64" si="538">+BF56*$BG$3</f>
        <v>0</v>
      </c>
      <c r="BH56" s="37">
        <f t="shared" ref="BH56:BH64" si="539">+BG56*$BH$3</f>
        <v>0</v>
      </c>
      <c r="BI56" s="36"/>
      <c r="BJ56" s="36">
        <f t="shared" ref="BJ56:BJ64" si="540">+BI56*$BJ$3</f>
        <v>0</v>
      </c>
      <c r="BK56" s="37">
        <f t="shared" ref="BK56:BK64" si="541">+BJ56*$BK$3</f>
        <v>0</v>
      </c>
      <c r="BL56" s="36"/>
      <c r="BM56" s="36">
        <f t="shared" ref="BM56:BM64" si="542">+BL56*$BM$3</f>
        <v>0</v>
      </c>
      <c r="BN56" s="37">
        <f t="shared" ref="BN56:BN64" si="543">+BM56*$BN$3</f>
        <v>0</v>
      </c>
      <c r="BO56" s="36"/>
      <c r="BP56" s="36">
        <f t="shared" ref="BP56:BP64" si="544">+BO56*$BP$3</f>
        <v>0</v>
      </c>
      <c r="BQ56" s="37">
        <f t="shared" ref="BQ56:BQ64" si="545">+BP56*$BQ$3</f>
        <v>0</v>
      </c>
      <c r="BR56" s="36"/>
      <c r="BS56" s="36">
        <f t="shared" ref="BS56:BS64" si="546">+BR56*$BS$3</f>
        <v>0</v>
      </c>
      <c r="BT56" s="37">
        <f t="shared" ref="BT56:BT64" si="547">+BS56*$BT$3</f>
        <v>0</v>
      </c>
      <c r="BU56" s="36"/>
      <c r="BV56" s="36">
        <f t="shared" ref="BV56:BV64" si="548">+BU56*$BV$3</f>
        <v>0</v>
      </c>
      <c r="BW56" s="37">
        <f t="shared" ref="BW56:BW64" si="549">+BV56*$BW$3</f>
        <v>0</v>
      </c>
      <c r="BX56" s="36"/>
      <c r="BY56" s="36">
        <f t="shared" ref="BY56:BY64" si="550">+BX56*$BY$3</f>
        <v>0</v>
      </c>
      <c r="BZ56" s="37">
        <f t="shared" ref="BZ56:BZ64" si="551">+BY56*$BZ$3</f>
        <v>0</v>
      </c>
      <c r="CA56" s="36"/>
      <c r="CB56" s="36">
        <f t="shared" ref="CB56:CB64" si="552">+CA56*$CB$3</f>
        <v>0</v>
      </c>
      <c r="CC56" s="37">
        <f t="shared" ref="CC56:CC64" si="553">+CB56*$CC$3</f>
        <v>0</v>
      </c>
      <c r="CD56" s="36"/>
      <c r="CE56" s="36">
        <f t="shared" ref="CE56:CE64" si="554">+CD56*$CE$3</f>
        <v>0</v>
      </c>
      <c r="CF56" s="37">
        <f t="shared" ref="CF56:CF64" si="555">+CE56*$CF$3</f>
        <v>0</v>
      </c>
      <c r="CG56" s="36"/>
      <c r="CH56" s="36">
        <f t="shared" ref="CH56:CH64" si="556">+CG56*$CH$3</f>
        <v>0</v>
      </c>
      <c r="CI56" s="37">
        <f t="shared" ref="CI56:CI64" si="557">+CH56*$CI$3</f>
        <v>0</v>
      </c>
      <c r="CJ56" s="36"/>
      <c r="CK56" s="36">
        <f t="shared" ref="CK56:CK64" si="558">+CJ56*$CK$3</f>
        <v>0</v>
      </c>
      <c r="CL56" s="37">
        <f t="shared" ref="CL56:CL64" si="559">+CK56*$CL$3</f>
        <v>0</v>
      </c>
      <c r="CM56" s="36"/>
      <c r="CN56" s="36">
        <f t="shared" ref="CN56:CN64" si="560">+CM56*$CN$3</f>
        <v>0</v>
      </c>
      <c r="CO56" s="37">
        <f t="shared" ref="CO56:CO64" si="561">+CN56*$CO$3</f>
        <v>0</v>
      </c>
      <c r="CP56" s="36"/>
      <c r="CQ56" s="36">
        <f t="shared" ref="CQ56:CQ64" si="562">+CP56*$CQ$3</f>
        <v>0</v>
      </c>
      <c r="CR56" s="37">
        <f t="shared" ref="CR56:CR64" si="563">+CQ56*$CR$3</f>
        <v>0</v>
      </c>
      <c r="CS56" s="36"/>
      <c r="CT56" s="36">
        <f t="shared" ref="CT56:CT64" si="564">+CS56*$CT$3</f>
        <v>0</v>
      </c>
      <c r="CU56" s="37">
        <f t="shared" ref="CU56:CU64" si="565">+CT56*$CU$3</f>
        <v>0</v>
      </c>
      <c r="CV56" s="36"/>
      <c r="CW56" s="36">
        <f t="shared" ref="CW56:CW64" si="566">+CV56*$CW$3</f>
        <v>0</v>
      </c>
      <c r="CX56" s="37">
        <f t="shared" ref="CX56:CX64" si="567">+CW56*$CX$3</f>
        <v>0</v>
      </c>
      <c r="CY56" s="36"/>
      <c r="CZ56" s="36">
        <f t="shared" ref="CZ56:CZ64" si="568">+CY56*$CZ$3</f>
        <v>0</v>
      </c>
      <c r="DA56" s="37">
        <f t="shared" ref="DA56:DA64" si="569">+CZ56*$DA$3</f>
        <v>0</v>
      </c>
      <c r="DB56" s="36"/>
      <c r="DC56" s="36">
        <f t="shared" ref="DC56:DC64" si="570">+DB56*$DC$3</f>
        <v>0</v>
      </c>
      <c r="DD56" s="37">
        <f t="shared" ref="DD56:DD64" si="571">+DC56*$DD$3</f>
        <v>0</v>
      </c>
      <c r="DE56" s="36"/>
      <c r="DF56" s="36">
        <f t="shared" ref="DF56:DF64" si="572">+DE56*$DF$3</f>
        <v>0</v>
      </c>
      <c r="DG56" s="37">
        <f t="shared" ref="DG56:DG64" si="573">+DF56*$DG$3</f>
        <v>0</v>
      </c>
      <c r="DH56" s="36"/>
      <c r="DI56" s="36">
        <f t="shared" ref="DI56:DI64" si="574">+DH56*$DI$3</f>
        <v>0</v>
      </c>
      <c r="DJ56" s="37">
        <f t="shared" ref="DJ56:DJ64" si="575">+DI56*$DJ$3</f>
        <v>0</v>
      </c>
      <c r="DK56" s="36"/>
      <c r="DL56" s="36">
        <f t="shared" ref="DL56:DL64" si="576">+DK56*$DL$3</f>
        <v>0</v>
      </c>
      <c r="DM56" s="37">
        <f t="shared" ref="DM56:DM64" si="577">+DL56*$DM$3</f>
        <v>0</v>
      </c>
      <c r="DN56" s="36"/>
      <c r="DO56" s="36">
        <f t="shared" ref="DO56:DO64" si="578">+DN56*$DO$3</f>
        <v>0</v>
      </c>
      <c r="DP56" s="37">
        <f t="shared" ref="DP56:DP64" si="579">+DO56*$DP$3</f>
        <v>0</v>
      </c>
      <c r="DQ56" s="36"/>
      <c r="DR56" s="36"/>
      <c r="DS56" s="36"/>
      <c r="DT56" s="33">
        <f t="shared" ref="DT56:DT64" si="580">D56+G56+J56+M56+P56+S56+V56+Y56+AB56+AE56+AH56+AK56+AN56+AQ56+AT56+AW56+AZ56+BC56+BF56+BI56+BL56+BO56+BR56+BU56+BX56+CA56+CD56+CG56+CJ56+CM56+CP56+CS56+CV56+CY56+DB56+DE56+DH56+DK56+DN56</f>
        <v>0</v>
      </c>
      <c r="DU56" s="33">
        <f t="shared" ref="DU56:DU64" si="581">E56+H56+K56+N56+Q56+T56+W56+Z56+AC56+AF56+AI56+AL56+AO56+AR56+AU56+AX56+BA56+BD56+BG56+BJ56+BM56+BP56+BS56+BV56+BY56+CB56+CE56+CH56+CK56+CN56+CQ56+CT56+CW56+CZ56+DC56+DF56+DI56+DL56+DO56</f>
        <v>0</v>
      </c>
      <c r="DV56" s="33">
        <f t="shared" ref="DV56:DV64" si="582">F56+I56+L56+O56+R56+U56+X56+AA56+AD56+AG56+AJ56+AM56+AP56+AS56+AV56+AY56+BB56+BE56+BH56+BK56+BN56+BQ56+BT56+BW56+BZ56+CC56+CF56+CI56+CL56+CO56+CR56+CU56+CX56+DA56+DD56+DG56+DJ56+DM56+DP56</f>
        <v>0</v>
      </c>
    </row>
    <row r="57" spans="2:126" x14ac:dyDescent="0.6">
      <c r="B57" s="49" t="s">
        <v>43</v>
      </c>
      <c r="C57" s="54"/>
      <c r="D57" s="36"/>
      <c r="E57" s="36">
        <f t="shared" si="502"/>
        <v>0</v>
      </c>
      <c r="F57" s="37">
        <f t="shared" si="503"/>
        <v>0</v>
      </c>
      <c r="G57" s="36"/>
      <c r="H57" s="36">
        <f t="shared" si="504"/>
        <v>0</v>
      </c>
      <c r="I57" s="37">
        <f t="shared" si="505"/>
        <v>0</v>
      </c>
      <c r="J57" s="36"/>
      <c r="K57" s="36">
        <f t="shared" si="506"/>
        <v>0</v>
      </c>
      <c r="L57" s="37">
        <f t="shared" si="507"/>
        <v>0</v>
      </c>
      <c r="M57" s="36"/>
      <c r="N57" s="36">
        <f t="shared" si="508"/>
        <v>0</v>
      </c>
      <c r="O57" s="37">
        <f t="shared" si="509"/>
        <v>0</v>
      </c>
      <c r="P57" s="36"/>
      <c r="Q57" s="36">
        <f t="shared" si="510"/>
        <v>0</v>
      </c>
      <c r="R57" s="37">
        <f t="shared" si="511"/>
        <v>0</v>
      </c>
      <c r="S57" s="36"/>
      <c r="T57" s="36">
        <f t="shared" si="512"/>
        <v>0</v>
      </c>
      <c r="U57" s="37">
        <f t="shared" si="513"/>
        <v>0</v>
      </c>
      <c r="V57" s="36"/>
      <c r="W57" s="36">
        <f t="shared" si="514"/>
        <v>0</v>
      </c>
      <c r="X57" s="37">
        <f t="shared" si="515"/>
        <v>0</v>
      </c>
      <c r="Y57" s="36"/>
      <c r="Z57" s="36">
        <f t="shared" si="516"/>
        <v>0</v>
      </c>
      <c r="AA57" s="37">
        <f t="shared" si="517"/>
        <v>0</v>
      </c>
      <c r="AB57" s="36"/>
      <c r="AC57" s="36">
        <f t="shared" si="518"/>
        <v>0</v>
      </c>
      <c r="AD57" s="37">
        <f t="shared" si="519"/>
        <v>0</v>
      </c>
      <c r="AE57" s="36"/>
      <c r="AF57" s="36">
        <f t="shared" si="520"/>
        <v>0</v>
      </c>
      <c r="AG57" s="37">
        <f t="shared" si="521"/>
        <v>0</v>
      </c>
      <c r="AH57" s="36"/>
      <c r="AI57" s="36">
        <f t="shared" si="522"/>
        <v>0</v>
      </c>
      <c r="AJ57" s="37">
        <f t="shared" si="523"/>
        <v>0</v>
      </c>
      <c r="AK57" s="36"/>
      <c r="AL57" s="36">
        <f t="shared" si="524"/>
        <v>0</v>
      </c>
      <c r="AM57" s="37">
        <f t="shared" si="525"/>
        <v>0</v>
      </c>
      <c r="AN57" s="36"/>
      <c r="AO57" s="36">
        <f t="shared" si="526"/>
        <v>0</v>
      </c>
      <c r="AP57" s="37">
        <f t="shared" si="527"/>
        <v>0</v>
      </c>
      <c r="AQ57" s="36"/>
      <c r="AR57" s="36">
        <f t="shared" si="528"/>
        <v>0</v>
      </c>
      <c r="AS57" s="37">
        <f t="shared" si="529"/>
        <v>0</v>
      </c>
      <c r="AT57" s="36"/>
      <c r="AU57" s="36">
        <f t="shared" si="530"/>
        <v>0</v>
      </c>
      <c r="AV57" s="37">
        <f t="shared" si="531"/>
        <v>0</v>
      </c>
      <c r="AW57" s="36"/>
      <c r="AX57" s="36">
        <f t="shared" si="532"/>
        <v>0</v>
      </c>
      <c r="AY57" s="37">
        <f t="shared" si="533"/>
        <v>0</v>
      </c>
      <c r="AZ57" s="36"/>
      <c r="BA57" s="36">
        <f t="shared" si="534"/>
        <v>0</v>
      </c>
      <c r="BB57" s="37">
        <f t="shared" si="535"/>
        <v>0</v>
      </c>
      <c r="BC57" s="36"/>
      <c r="BD57" s="36">
        <f t="shared" si="536"/>
        <v>0</v>
      </c>
      <c r="BE57" s="37">
        <f t="shared" si="537"/>
        <v>0</v>
      </c>
      <c r="BF57" s="36"/>
      <c r="BG57" s="36">
        <f t="shared" si="538"/>
        <v>0</v>
      </c>
      <c r="BH57" s="37">
        <f t="shared" si="539"/>
        <v>0</v>
      </c>
      <c r="BI57" s="36"/>
      <c r="BJ57" s="36">
        <f t="shared" si="540"/>
        <v>0</v>
      </c>
      <c r="BK57" s="37">
        <f t="shared" si="541"/>
        <v>0</v>
      </c>
      <c r="BL57" s="36"/>
      <c r="BM57" s="36">
        <f t="shared" si="542"/>
        <v>0</v>
      </c>
      <c r="BN57" s="37">
        <f t="shared" si="543"/>
        <v>0</v>
      </c>
      <c r="BO57" s="36"/>
      <c r="BP57" s="36">
        <f t="shared" si="544"/>
        <v>0</v>
      </c>
      <c r="BQ57" s="37">
        <f t="shared" si="545"/>
        <v>0</v>
      </c>
      <c r="BR57" s="36"/>
      <c r="BS57" s="36">
        <f t="shared" si="546"/>
        <v>0</v>
      </c>
      <c r="BT57" s="37">
        <f t="shared" si="547"/>
        <v>0</v>
      </c>
      <c r="BU57" s="36"/>
      <c r="BV57" s="36">
        <f t="shared" si="548"/>
        <v>0</v>
      </c>
      <c r="BW57" s="37">
        <f t="shared" si="549"/>
        <v>0</v>
      </c>
      <c r="BX57" s="36"/>
      <c r="BY57" s="36">
        <f t="shared" si="550"/>
        <v>0</v>
      </c>
      <c r="BZ57" s="37">
        <f t="shared" si="551"/>
        <v>0</v>
      </c>
      <c r="CA57" s="36"/>
      <c r="CB57" s="36">
        <f t="shared" si="552"/>
        <v>0</v>
      </c>
      <c r="CC57" s="37">
        <f t="shared" si="553"/>
        <v>0</v>
      </c>
      <c r="CD57" s="36"/>
      <c r="CE57" s="36">
        <f t="shared" si="554"/>
        <v>0</v>
      </c>
      <c r="CF57" s="37">
        <f t="shared" si="555"/>
        <v>0</v>
      </c>
      <c r="CG57" s="36"/>
      <c r="CH57" s="36">
        <f t="shared" si="556"/>
        <v>0</v>
      </c>
      <c r="CI57" s="37">
        <f t="shared" si="557"/>
        <v>0</v>
      </c>
      <c r="CJ57" s="36"/>
      <c r="CK57" s="36">
        <f t="shared" si="558"/>
        <v>0</v>
      </c>
      <c r="CL57" s="37">
        <f t="shared" si="559"/>
        <v>0</v>
      </c>
      <c r="CM57" s="36"/>
      <c r="CN57" s="36">
        <f t="shared" si="560"/>
        <v>0</v>
      </c>
      <c r="CO57" s="37">
        <f t="shared" si="561"/>
        <v>0</v>
      </c>
      <c r="CP57" s="36"/>
      <c r="CQ57" s="36">
        <f t="shared" si="562"/>
        <v>0</v>
      </c>
      <c r="CR57" s="37">
        <f t="shared" si="563"/>
        <v>0</v>
      </c>
      <c r="CS57" s="36"/>
      <c r="CT57" s="36">
        <f t="shared" si="564"/>
        <v>0</v>
      </c>
      <c r="CU57" s="37">
        <f t="shared" si="565"/>
        <v>0</v>
      </c>
      <c r="CV57" s="36"/>
      <c r="CW57" s="36">
        <f t="shared" si="566"/>
        <v>0</v>
      </c>
      <c r="CX57" s="37">
        <f t="shared" si="567"/>
        <v>0</v>
      </c>
      <c r="CY57" s="36"/>
      <c r="CZ57" s="36">
        <f t="shared" si="568"/>
        <v>0</v>
      </c>
      <c r="DA57" s="37">
        <f t="shared" si="569"/>
        <v>0</v>
      </c>
      <c r="DB57" s="36"/>
      <c r="DC57" s="36">
        <f t="shared" si="570"/>
        <v>0</v>
      </c>
      <c r="DD57" s="37">
        <f t="shared" si="571"/>
        <v>0</v>
      </c>
      <c r="DE57" s="36"/>
      <c r="DF57" s="36">
        <f t="shared" si="572"/>
        <v>0</v>
      </c>
      <c r="DG57" s="37">
        <f t="shared" si="573"/>
        <v>0</v>
      </c>
      <c r="DH57" s="36"/>
      <c r="DI57" s="36">
        <f t="shared" si="574"/>
        <v>0</v>
      </c>
      <c r="DJ57" s="37">
        <f t="shared" si="575"/>
        <v>0</v>
      </c>
      <c r="DK57" s="36"/>
      <c r="DL57" s="36">
        <f t="shared" si="576"/>
        <v>0</v>
      </c>
      <c r="DM57" s="37">
        <f t="shared" si="577"/>
        <v>0</v>
      </c>
      <c r="DN57" s="36"/>
      <c r="DO57" s="36">
        <f t="shared" si="578"/>
        <v>0</v>
      </c>
      <c r="DP57" s="37">
        <f t="shared" si="579"/>
        <v>0</v>
      </c>
      <c r="DQ57" s="36"/>
      <c r="DR57" s="36"/>
      <c r="DS57" s="36"/>
      <c r="DT57" s="33">
        <f t="shared" si="580"/>
        <v>0</v>
      </c>
      <c r="DU57" s="33">
        <f t="shared" si="581"/>
        <v>0</v>
      </c>
      <c r="DV57" s="33">
        <f t="shared" si="582"/>
        <v>0</v>
      </c>
    </row>
    <row r="58" spans="2:126" x14ac:dyDescent="0.6">
      <c r="B58" s="49" t="s">
        <v>44</v>
      </c>
      <c r="C58" s="54"/>
      <c r="D58" s="36"/>
      <c r="E58" s="36">
        <f t="shared" si="502"/>
        <v>0</v>
      </c>
      <c r="F58" s="37">
        <f t="shared" si="503"/>
        <v>0</v>
      </c>
      <c r="G58" s="36"/>
      <c r="H58" s="36">
        <f t="shared" si="504"/>
        <v>0</v>
      </c>
      <c r="I58" s="37">
        <f t="shared" si="505"/>
        <v>0</v>
      </c>
      <c r="J58" s="36"/>
      <c r="K58" s="36">
        <f t="shared" si="506"/>
        <v>0</v>
      </c>
      <c r="L58" s="37">
        <f t="shared" si="507"/>
        <v>0</v>
      </c>
      <c r="M58" s="36"/>
      <c r="N58" s="36">
        <f t="shared" si="508"/>
        <v>0</v>
      </c>
      <c r="O58" s="37">
        <f t="shared" si="509"/>
        <v>0</v>
      </c>
      <c r="P58" s="36"/>
      <c r="Q58" s="36">
        <f t="shared" si="510"/>
        <v>0</v>
      </c>
      <c r="R58" s="37">
        <f t="shared" si="511"/>
        <v>0</v>
      </c>
      <c r="S58" s="36"/>
      <c r="T58" s="36">
        <f t="shared" si="512"/>
        <v>0</v>
      </c>
      <c r="U58" s="37">
        <f t="shared" si="513"/>
        <v>0</v>
      </c>
      <c r="V58" s="36"/>
      <c r="W58" s="36">
        <f t="shared" si="514"/>
        <v>0</v>
      </c>
      <c r="X58" s="37">
        <f t="shared" si="515"/>
        <v>0</v>
      </c>
      <c r="Y58" s="36"/>
      <c r="Z58" s="36">
        <f t="shared" si="516"/>
        <v>0</v>
      </c>
      <c r="AA58" s="37">
        <f t="shared" si="517"/>
        <v>0</v>
      </c>
      <c r="AB58" s="36"/>
      <c r="AC58" s="36">
        <f t="shared" si="518"/>
        <v>0</v>
      </c>
      <c r="AD58" s="37">
        <f t="shared" si="519"/>
        <v>0</v>
      </c>
      <c r="AE58" s="36"/>
      <c r="AF58" s="36">
        <f t="shared" si="520"/>
        <v>0</v>
      </c>
      <c r="AG58" s="37">
        <f t="shared" si="521"/>
        <v>0</v>
      </c>
      <c r="AH58" s="36"/>
      <c r="AI58" s="36">
        <f t="shared" si="522"/>
        <v>0</v>
      </c>
      <c r="AJ58" s="37">
        <f t="shared" si="523"/>
        <v>0</v>
      </c>
      <c r="AK58" s="36"/>
      <c r="AL58" s="36">
        <f t="shared" si="524"/>
        <v>0</v>
      </c>
      <c r="AM58" s="37">
        <f t="shared" si="525"/>
        <v>0</v>
      </c>
      <c r="AN58" s="36"/>
      <c r="AO58" s="36">
        <f t="shared" si="526"/>
        <v>0</v>
      </c>
      <c r="AP58" s="37">
        <f t="shared" si="527"/>
        <v>0</v>
      </c>
      <c r="AQ58" s="36"/>
      <c r="AR58" s="36">
        <f t="shared" si="528"/>
        <v>0</v>
      </c>
      <c r="AS58" s="37">
        <f t="shared" si="529"/>
        <v>0</v>
      </c>
      <c r="AT58" s="36"/>
      <c r="AU58" s="36">
        <f t="shared" si="530"/>
        <v>0</v>
      </c>
      <c r="AV58" s="37">
        <f t="shared" si="531"/>
        <v>0</v>
      </c>
      <c r="AW58" s="36"/>
      <c r="AX58" s="36">
        <f t="shared" si="532"/>
        <v>0</v>
      </c>
      <c r="AY58" s="37">
        <f t="shared" si="533"/>
        <v>0</v>
      </c>
      <c r="AZ58" s="36"/>
      <c r="BA58" s="36">
        <f t="shared" si="534"/>
        <v>0</v>
      </c>
      <c r="BB58" s="37">
        <f t="shared" si="535"/>
        <v>0</v>
      </c>
      <c r="BC58" s="36"/>
      <c r="BD58" s="36">
        <f t="shared" si="536"/>
        <v>0</v>
      </c>
      <c r="BE58" s="37">
        <f t="shared" si="537"/>
        <v>0</v>
      </c>
      <c r="BF58" s="36"/>
      <c r="BG58" s="36">
        <f t="shared" si="538"/>
        <v>0</v>
      </c>
      <c r="BH58" s="37">
        <f t="shared" si="539"/>
        <v>0</v>
      </c>
      <c r="BI58" s="36"/>
      <c r="BJ58" s="36">
        <f t="shared" si="540"/>
        <v>0</v>
      </c>
      <c r="BK58" s="37">
        <f t="shared" si="541"/>
        <v>0</v>
      </c>
      <c r="BL58" s="36"/>
      <c r="BM58" s="36">
        <f t="shared" si="542"/>
        <v>0</v>
      </c>
      <c r="BN58" s="37">
        <f t="shared" si="543"/>
        <v>0</v>
      </c>
      <c r="BO58" s="36"/>
      <c r="BP58" s="36">
        <f t="shared" si="544"/>
        <v>0</v>
      </c>
      <c r="BQ58" s="37">
        <f t="shared" si="545"/>
        <v>0</v>
      </c>
      <c r="BR58" s="36"/>
      <c r="BS58" s="36">
        <f t="shared" si="546"/>
        <v>0</v>
      </c>
      <c r="BT58" s="37">
        <f t="shared" si="547"/>
        <v>0</v>
      </c>
      <c r="BU58" s="36"/>
      <c r="BV58" s="36">
        <f t="shared" si="548"/>
        <v>0</v>
      </c>
      <c r="BW58" s="37">
        <f t="shared" si="549"/>
        <v>0</v>
      </c>
      <c r="BX58" s="36"/>
      <c r="BY58" s="36">
        <f t="shared" si="550"/>
        <v>0</v>
      </c>
      <c r="BZ58" s="37">
        <f t="shared" si="551"/>
        <v>0</v>
      </c>
      <c r="CA58" s="36"/>
      <c r="CB58" s="36">
        <f t="shared" si="552"/>
        <v>0</v>
      </c>
      <c r="CC58" s="37">
        <f t="shared" si="553"/>
        <v>0</v>
      </c>
      <c r="CD58" s="36"/>
      <c r="CE58" s="36">
        <f t="shared" si="554"/>
        <v>0</v>
      </c>
      <c r="CF58" s="37">
        <f t="shared" si="555"/>
        <v>0</v>
      </c>
      <c r="CG58" s="36"/>
      <c r="CH58" s="36">
        <f t="shared" si="556"/>
        <v>0</v>
      </c>
      <c r="CI58" s="37">
        <f t="shared" si="557"/>
        <v>0</v>
      </c>
      <c r="CJ58" s="36"/>
      <c r="CK58" s="36">
        <f t="shared" si="558"/>
        <v>0</v>
      </c>
      <c r="CL58" s="37">
        <f t="shared" si="559"/>
        <v>0</v>
      </c>
      <c r="CM58" s="36"/>
      <c r="CN58" s="36">
        <f t="shared" si="560"/>
        <v>0</v>
      </c>
      <c r="CO58" s="37">
        <f t="shared" si="561"/>
        <v>0</v>
      </c>
      <c r="CP58" s="36"/>
      <c r="CQ58" s="36">
        <f t="shared" si="562"/>
        <v>0</v>
      </c>
      <c r="CR58" s="37">
        <f t="shared" si="563"/>
        <v>0</v>
      </c>
      <c r="CS58" s="36"/>
      <c r="CT58" s="36">
        <f t="shared" si="564"/>
        <v>0</v>
      </c>
      <c r="CU58" s="37">
        <f t="shared" si="565"/>
        <v>0</v>
      </c>
      <c r="CV58" s="36"/>
      <c r="CW58" s="36">
        <f t="shared" si="566"/>
        <v>0</v>
      </c>
      <c r="CX58" s="37">
        <f t="shared" si="567"/>
        <v>0</v>
      </c>
      <c r="CY58" s="36"/>
      <c r="CZ58" s="36">
        <f t="shared" si="568"/>
        <v>0</v>
      </c>
      <c r="DA58" s="37">
        <f t="shared" si="569"/>
        <v>0</v>
      </c>
      <c r="DB58" s="36"/>
      <c r="DC58" s="36">
        <f t="shared" si="570"/>
        <v>0</v>
      </c>
      <c r="DD58" s="37">
        <f t="shared" si="571"/>
        <v>0</v>
      </c>
      <c r="DE58" s="36"/>
      <c r="DF58" s="36">
        <f t="shared" si="572"/>
        <v>0</v>
      </c>
      <c r="DG58" s="37">
        <f t="shared" si="573"/>
        <v>0</v>
      </c>
      <c r="DH58" s="36"/>
      <c r="DI58" s="36">
        <f t="shared" si="574"/>
        <v>0</v>
      </c>
      <c r="DJ58" s="37">
        <f t="shared" si="575"/>
        <v>0</v>
      </c>
      <c r="DK58" s="36"/>
      <c r="DL58" s="36">
        <f t="shared" si="576"/>
        <v>0</v>
      </c>
      <c r="DM58" s="37">
        <f t="shared" si="577"/>
        <v>0</v>
      </c>
      <c r="DN58" s="36"/>
      <c r="DO58" s="36">
        <f t="shared" si="578"/>
        <v>0</v>
      </c>
      <c r="DP58" s="37">
        <f t="shared" si="579"/>
        <v>0</v>
      </c>
      <c r="DQ58" s="36"/>
      <c r="DR58" s="36"/>
      <c r="DS58" s="36"/>
      <c r="DT58" s="33">
        <f t="shared" si="580"/>
        <v>0</v>
      </c>
      <c r="DU58" s="33">
        <f t="shared" si="581"/>
        <v>0</v>
      </c>
      <c r="DV58" s="33">
        <f t="shared" si="582"/>
        <v>0</v>
      </c>
    </row>
    <row r="59" spans="2:126" x14ac:dyDescent="0.6">
      <c r="B59" s="49" t="s">
        <v>45</v>
      </c>
      <c r="C59" s="54"/>
      <c r="D59" s="36"/>
      <c r="E59" s="36">
        <f t="shared" si="502"/>
        <v>0</v>
      </c>
      <c r="F59" s="37">
        <f t="shared" si="503"/>
        <v>0</v>
      </c>
      <c r="G59" s="36"/>
      <c r="H59" s="36">
        <f t="shared" si="504"/>
        <v>0</v>
      </c>
      <c r="I59" s="37">
        <f t="shared" si="505"/>
        <v>0</v>
      </c>
      <c r="J59" s="36"/>
      <c r="K59" s="36">
        <f t="shared" si="506"/>
        <v>0</v>
      </c>
      <c r="L59" s="37">
        <f t="shared" si="507"/>
        <v>0</v>
      </c>
      <c r="M59" s="36"/>
      <c r="N59" s="36">
        <f t="shared" si="508"/>
        <v>0</v>
      </c>
      <c r="O59" s="37">
        <f t="shared" si="509"/>
        <v>0</v>
      </c>
      <c r="P59" s="36"/>
      <c r="Q59" s="36">
        <f t="shared" si="510"/>
        <v>0</v>
      </c>
      <c r="R59" s="37">
        <f t="shared" si="511"/>
        <v>0</v>
      </c>
      <c r="S59" s="36"/>
      <c r="T59" s="36">
        <f t="shared" si="512"/>
        <v>0</v>
      </c>
      <c r="U59" s="37">
        <f t="shared" si="513"/>
        <v>0</v>
      </c>
      <c r="V59" s="36"/>
      <c r="W59" s="36">
        <f t="shared" si="514"/>
        <v>0</v>
      </c>
      <c r="X59" s="37">
        <f t="shared" si="515"/>
        <v>0</v>
      </c>
      <c r="Y59" s="36"/>
      <c r="Z59" s="36">
        <f t="shared" si="516"/>
        <v>0</v>
      </c>
      <c r="AA59" s="37">
        <f t="shared" si="517"/>
        <v>0</v>
      </c>
      <c r="AB59" s="36"/>
      <c r="AC59" s="36">
        <f t="shared" si="518"/>
        <v>0</v>
      </c>
      <c r="AD59" s="37">
        <f t="shared" si="519"/>
        <v>0</v>
      </c>
      <c r="AE59" s="36"/>
      <c r="AF59" s="36">
        <f t="shared" si="520"/>
        <v>0</v>
      </c>
      <c r="AG59" s="37">
        <f t="shared" si="521"/>
        <v>0</v>
      </c>
      <c r="AH59" s="36"/>
      <c r="AI59" s="36">
        <f t="shared" si="522"/>
        <v>0</v>
      </c>
      <c r="AJ59" s="37">
        <f t="shared" si="523"/>
        <v>0</v>
      </c>
      <c r="AK59" s="36"/>
      <c r="AL59" s="36">
        <f t="shared" si="524"/>
        <v>0</v>
      </c>
      <c r="AM59" s="37">
        <f t="shared" si="525"/>
        <v>0</v>
      </c>
      <c r="AN59" s="36"/>
      <c r="AO59" s="36">
        <f t="shared" si="526"/>
        <v>0</v>
      </c>
      <c r="AP59" s="37">
        <f t="shared" si="527"/>
        <v>0</v>
      </c>
      <c r="AQ59" s="36"/>
      <c r="AR59" s="36">
        <f t="shared" si="528"/>
        <v>0</v>
      </c>
      <c r="AS59" s="37">
        <f t="shared" si="529"/>
        <v>0</v>
      </c>
      <c r="AT59" s="36"/>
      <c r="AU59" s="36">
        <f t="shared" si="530"/>
        <v>0</v>
      </c>
      <c r="AV59" s="37">
        <f t="shared" si="531"/>
        <v>0</v>
      </c>
      <c r="AW59" s="36"/>
      <c r="AX59" s="36">
        <f t="shared" si="532"/>
        <v>0</v>
      </c>
      <c r="AY59" s="37">
        <f t="shared" si="533"/>
        <v>0</v>
      </c>
      <c r="AZ59" s="36"/>
      <c r="BA59" s="36">
        <f t="shared" si="534"/>
        <v>0</v>
      </c>
      <c r="BB59" s="37">
        <f t="shared" si="535"/>
        <v>0</v>
      </c>
      <c r="BC59" s="36"/>
      <c r="BD59" s="36">
        <f t="shared" si="536"/>
        <v>0</v>
      </c>
      <c r="BE59" s="37">
        <f t="shared" si="537"/>
        <v>0</v>
      </c>
      <c r="BF59" s="36"/>
      <c r="BG59" s="36">
        <f t="shared" si="538"/>
        <v>0</v>
      </c>
      <c r="BH59" s="37">
        <f t="shared" si="539"/>
        <v>0</v>
      </c>
      <c r="BI59" s="36"/>
      <c r="BJ59" s="36">
        <f t="shared" si="540"/>
        <v>0</v>
      </c>
      <c r="BK59" s="37">
        <f t="shared" si="541"/>
        <v>0</v>
      </c>
      <c r="BL59" s="36"/>
      <c r="BM59" s="36">
        <f t="shared" si="542"/>
        <v>0</v>
      </c>
      <c r="BN59" s="37">
        <f t="shared" si="543"/>
        <v>0</v>
      </c>
      <c r="BO59" s="36"/>
      <c r="BP59" s="36">
        <f t="shared" si="544"/>
        <v>0</v>
      </c>
      <c r="BQ59" s="37">
        <f t="shared" si="545"/>
        <v>0</v>
      </c>
      <c r="BR59" s="36"/>
      <c r="BS59" s="36">
        <f t="shared" si="546"/>
        <v>0</v>
      </c>
      <c r="BT59" s="37">
        <f t="shared" si="547"/>
        <v>0</v>
      </c>
      <c r="BU59" s="36"/>
      <c r="BV59" s="36">
        <f t="shared" si="548"/>
        <v>0</v>
      </c>
      <c r="BW59" s="37">
        <f t="shared" si="549"/>
        <v>0</v>
      </c>
      <c r="BX59" s="36"/>
      <c r="BY59" s="36">
        <f t="shared" si="550"/>
        <v>0</v>
      </c>
      <c r="BZ59" s="37">
        <f t="shared" si="551"/>
        <v>0</v>
      </c>
      <c r="CA59" s="36"/>
      <c r="CB59" s="36">
        <f t="shared" si="552"/>
        <v>0</v>
      </c>
      <c r="CC59" s="37">
        <f t="shared" si="553"/>
        <v>0</v>
      </c>
      <c r="CD59" s="36"/>
      <c r="CE59" s="36">
        <f t="shared" si="554"/>
        <v>0</v>
      </c>
      <c r="CF59" s="37">
        <f t="shared" si="555"/>
        <v>0</v>
      </c>
      <c r="CG59" s="36"/>
      <c r="CH59" s="36">
        <f t="shared" si="556"/>
        <v>0</v>
      </c>
      <c r="CI59" s="37">
        <f t="shared" si="557"/>
        <v>0</v>
      </c>
      <c r="CJ59" s="36"/>
      <c r="CK59" s="36">
        <f t="shared" si="558"/>
        <v>0</v>
      </c>
      <c r="CL59" s="37">
        <f t="shared" si="559"/>
        <v>0</v>
      </c>
      <c r="CM59" s="36"/>
      <c r="CN59" s="36">
        <f t="shared" si="560"/>
        <v>0</v>
      </c>
      <c r="CO59" s="37">
        <f t="shared" si="561"/>
        <v>0</v>
      </c>
      <c r="CP59" s="36"/>
      <c r="CQ59" s="36">
        <f t="shared" si="562"/>
        <v>0</v>
      </c>
      <c r="CR59" s="37">
        <f t="shared" si="563"/>
        <v>0</v>
      </c>
      <c r="CS59" s="36"/>
      <c r="CT59" s="36">
        <f t="shared" si="564"/>
        <v>0</v>
      </c>
      <c r="CU59" s="37">
        <f t="shared" si="565"/>
        <v>0</v>
      </c>
      <c r="CV59" s="36"/>
      <c r="CW59" s="36">
        <f t="shared" si="566"/>
        <v>0</v>
      </c>
      <c r="CX59" s="37">
        <f t="shared" si="567"/>
        <v>0</v>
      </c>
      <c r="CY59" s="36"/>
      <c r="CZ59" s="36">
        <f t="shared" si="568"/>
        <v>0</v>
      </c>
      <c r="DA59" s="37">
        <f t="shared" si="569"/>
        <v>0</v>
      </c>
      <c r="DB59" s="36"/>
      <c r="DC59" s="36">
        <f t="shared" si="570"/>
        <v>0</v>
      </c>
      <c r="DD59" s="37">
        <f t="shared" si="571"/>
        <v>0</v>
      </c>
      <c r="DE59" s="36"/>
      <c r="DF59" s="36">
        <f t="shared" si="572"/>
        <v>0</v>
      </c>
      <c r="DG59" s="37">
        <f t="shared" si="573"/>
        <v>0</v>
      </c>
      <c r="DH59" s="36"/>
      <c r="DI59" s="36">
        <f t="shared" si="574"/>
        <v>0</v>
      </c>
      <c r="DJ59" s="37">
        <f t="shared" si="575"/>
        <v>0</v>
      </c>
      <c r="DK59" s="36"/>
      <c r="DL59" s="36">
        <f t="shared" si="576"/>
        <v>0</v>
      </c>
      <c r="DM59" s="37">
        <f t="shared" si="577"/>
        <v>0</v>
      </c>
      <c r="DN59" s="36"/>
      <c r="DO59" s="36">
        <f t="shared" si="578"/>
        <v>0</v>
      </c>
      <c r="DP59" s="37">
        <f t="shared" si="579"/>
        <v>0</v>
      </c>
      <c r="DQ59" s="36"/>
      <c r="DR59" s="36"/>
      <c r="DS59" s="36"/>
      <c r="DT59" s="33">
        <f t="shared" si="580"/>
        <v>0</v>
      </c>
      <c r="DU59" s="33">
        <f t="shared" si="581"/>
        <v>0</v>
      </c>
      <c r="DV59" s="33">
        <f t="shared" si="582"/>
        <v>0</v>
      </c>
    </row>
    <row r="60" spans="2:126" x14ac:dyDescent="0.6">
      <c r="B60" s="49" t="s">
        <v>46</v>
      </c>
      <c r="C60" s="54"/>
      <c r="D60" s="38"/>
      <c r="E60" s="36">
        <f t="shared" si="502"/>
        <v>0</v>
      </c>
      <c r="F60" s="37">
        <f t="shared" si="503"/>
        <v>0</v>
      </c>
      <c r="G60" s="38"/>
      <c r="H60" s="36">
        <f t="shared" si="504"/>
        <v>0</v>
      </c>
      <c r="I60" s="37">
        <f t="shared" si="505"/>
        <v>0</v>
      </c>
      <c r="J60" s="38"/>
      <c r="K60" s="36">
        <f t="shared" si="506"/>
        <v>0</v>
      </c>
      <c r="L60" s="37">
        <f t="shared" si="507"/>
        <v>0</v>
      </c>
      <c r="M60" s="38"/>
      <c r="N60" s="36">
        <f t="shared" si="508"/>
        <v>0</v>
      </c>
      <c r="O60" s="37">
        <f t="shared" si="509"/>
        <v>0</v>
      </c>
      <c r="P60" s="38"/>
      <c r="Q60" s="36">
        <f t="shared" si="510"/>
        <v>0</v>
      </c>
      <c r="R60" s="37">
        <f t="shared" si="511"/>
        <v>0</v>
      </c>
      <c r="S60" s="38"/>
      <c r="T60" s="36">
        <f t="shared" si="512"/>
        <v>0</v>
      </c>
      <c r="U60" s="37">
        <f t="shared" si="513"/>
        <v>0</v>
      </c>
      <c r="V60" s="38"/>
      <c r="W60" s="36">
        <f t="shared" si="514"/>
        <v>0</v>
      </c>
      <c r="X60" s="37">
        <f t="shared" si="515"/>
        <v>0</v>
      </c>
      <c r="Y60" s="38"/>
      <c r="Z60" s="36">
        <f t="shared" si="516"/>
        <v>0</v>
      </c>
      <c r="AA60" s="37">
        <f t="shared" si="517"/>
        <v>0</v>
      </c>
      <c r="AB60" s="38"/>
      <c r="AC60" s="36">
        <f t="shared" si="518"/>
        <v>0</v>
      </c>
      <c r="AD60" s="37">
        <f t="shared" si="519"/>
        <v>0</v>
      </c>
      <c r="AE60" s="38"/>
      <c r="AF60" s="36">
        <f t="shared" si="520"/>
        <v>0</v>
      </c>
      <c r="AG60" s="37">
        <f t="shared" si="521"/>
        <v>0</v>
      </c>
      <c r="AH60" s="38"/>
      <c r="AI60" s="36">
        <f t="shared" si="522"/>
        <v>0</v>
      </c>
      <c r="AJ60" s="37">
        <f t="shared" si="523"/>
        <v>0</v>
      </c>
      <c r="AK60" s="38"/>
      <c r="AL60" s="36">
        <f t="shared" si="524"/>
        <v>0</v>
      </c>
      <c r="AM60" s="37">
        <f t="shared" si="525"/>
        <v>0</v>
      </c>
      <c r="AN60" s="38"/>
      <c r="AO60" s="36">
        <f t="shared" si="526"/>
        <v>0</v>
      </c>
      <c r="AP60" s="37">
        <f t="shared" si="527"/>
        <v>0</v>
      </c>
      <c r="AQ60" s="38"/>
      <c r="AR60" s="36">
        <f t="shared" si="528"/>
        <v>0</v>
      </c>
      <c r="AS60" s="37">
        <f t="shared" si="529"/>
        <v>0</v>
      </c>
      <c r="AT60" s="38"/>
      <c r="AU60" s="36">
        <f t="shared" si="530"/>
        <v>0</v>
      </c>
      <c r="AV60" s="37">
        <f t="shared" si="531"/>
        <v>0</v>
      </c>
      <c r="AW60" s="38"/>
      <c r="AX60" s="36">
        <f t="shared" si="532"/>
        <v>0</v>
      </c>
      <c r="AY60" s="37">
        <f t="shared" si="533"/>
        <v>0</v>
      </c>
      <c r="AZ60" s="38"/>
      <c r="BA60" s="36">
        <f t="shared" si="534"/>
        <v>0</v>
      </c>
      <c r="BB60" s="37">
        <f t="shared" si="535"/>
        <v>0</v>
      </c>
      <c r="BC60" s="38"/>
      <c r="BD60" s="36">
        <f t="shared" si="536"/>
        <v>0</v>
      </c>
      <c r="BE60" s="37">
        <f t="shared" si="537"/>
        <v>0</v>
      </c>
      <c r="BF60" s="38"/>
      <c r="BG60" s="36">
        <f t="shared" si="538"/>
        <v>0</v>
      </c>
      <c r="BH60" s="37">
        <f t="shared" si="539"/>
        <v>0</v>
      </c>
      <c r="BI60" s="38"/>
      <c r="BJ60" s="36">
        <f t="shared" si="540"/>
        <v>0</v>
      </c>
      <c r="BK60" s="37">
        <f t="shared" si="541"/>
        <v>0</v>
      </c>
      <c r="BL60" s="38"/>
      <c r="BM60" s="36">
        <f t="shared" si="542"/>
        <v>0</v>
      </c>
      <c r="BN60" s="37">
        <f t="shared" si="543"/>
        <v>0</v>
      </c>
      <c r="BO60" s="38"/>
      <c r="BP60" s="36">
        <f t="shared" si="544"/>
        <v>0</v>
      </c>
      <c r="BQ60" s="37">
        <f t="shared" si="545"/>
        <v>0</v>
      </c>
      <c r="BR60" s="38"/>
      <c r="BS60" s="36">
        <f t="shared" si="546"/>
        <v>0</v>
      </c>
      <c r="BT60" s="37">
        <f t="shared" si="547"/>
        <v>0</v>
      </c>
      <c r="BU60" s="38"/>
      <c r="BV60" s="36">
        <f t="shared" si="548"/>
        <v>0</v>
      </c>
      <c r="BW60" s="37">
        <f t="shared" si="549"/>
        <v>0</v>
      </c>
      <c r="BX60" s="38"/>
      <c r="BY60" s="36">
        <f t="shared" si="550"/>
        <v>0</v>
      </c>
      <c r="BZ60" s="37">
        <f t="shared" si="551"/>
        <v>0</v>
      </c>
      <c r="CA60" s="38"/>
      <c r="CB60" s="36">
        <f t="shared" si="552"/>
        <v>0</v>
      </c>
      <c r="CC60" s="37">
        <f t="shared" si="553"/>
        <v>0</v>
      </c>
      <c r="CD60" s="38"/>
      <c r="CE60" s="36">
        <f t="shared" si="554"/>
        <v>0</v>
      </c>
      <c r="CF60" s="37">
        <f t="shared" si="555"/>
        <v>0</v>
      </c>
      <c r="CG60" s="38"/>
      <c r="CH60" s="36">
        <f t="shared" si="556"/>
        <v>0</v>
      </c>
      <c r="CI60" s="37">
        <f t="shared" si="557"/>
        <v>0</v>
      </c>
      <c r="CJ60" s="38"/>
      <c r="CK60" s="36">
        <f t="shared" si="558"/>
        <v>0</v>
      </c>
      <c r="CL60" s="37">
        <f t="shared" si="559"/>
        <v>0</v>
      </c>
      <c r="CM60" s="38"/>
      <c r="CN60" s="36">
        <f t="shared" si="560"/>
        <v>0</v>
      </c>
      <c r="CO60" s="37">
        <f t="shared" si="561"/>
        <v>0</v>
      </c>
      <c r="CP60" s="38"/>
      <c r="CQ60" s="36">
        <f t="shared" si="562"/>
        <v>0</v>
      </c>
      <c r="CR60" s="37">
        <f t="shared" si="563"/>
        <v>0</v>
      </c>
      <c r="CS60" s="38"/>
      <c r="CT60" s="36">
        <f t="shared" si="564"/>
        <v>0</v>
      </c>
      <c r="CU60" s="37">
        <f t="shared" si="565"/>
        <v>0</v>
      </c>
      <c r="CV60" s="38"/>
      <c r="CW60" s="36">
        <f t="shared" si="566"/>
        <v>0</v>
      </c>
      <c r="CX60" s="37">
        <f t="shared" si="567"/>
        <v>0</v>
      </c>
      <c r="CY60" s="38"/>
      <c r="CZ60" s="36">
        <f t="shared" si="568"/>
        <v>0</v>
      </c>
      <c r="DA60" s="37">
        <f t="shared" si="569"/>
        <v>0</v>
      </c>
      <c r="DB60" s="38"/>
      <c r="DC60" s="36">
        <f t="shared" si="570"/>
        <v>0</v>
      </c>
      <c r="DD60" s="37">
        <f t="shared" si="571"/>
        <v>0</v>
      </c>
      <c r="DE60" s="38"/>
      <c r="DF60" s="36">
        <f t="shared" si="572"/>
        <v>0</v>
      </c>
      <c r="DG60" s="37">
        <f t="shared" si="573"/>
        <v>0</v>
      </c>
      <c r="DH60" s="38"/>
      <c r="DI60" s="36">
        <f t="shared" si="574"/>
        <v>0</v>
      </c>
      <c r="DJ60" s="37">
        <f t="shared" si="575"/>
        <v>0</v>
      </c>
      <c r="DK60" s="38"/>
      <c r="DL60" s="36">
        <f t="shared" si="576"/>
        <v>0</v>
      </c>
      <c r="DM60" s="37">
        <f t="shared" si="577"/>
        <v>0</v>
      </c>
      <c r="DN60" s="38"/>
      <c r="DO60" s="36">
        <f t="shared" si="578"/>
        <v>0</v>
      </c>
      <c r="DP60" s="37">
        <f t="shared" si="579"/>
        <v>0</v>
      </c>
      <c r="DQ60" s="38"/>
      <c r="DR60" s="38"/>
      <c r="DS60" s="38"/>
      <c r="DT60" s="33">
        <f t="shared" si="580"/>
        <v>0</v>
      </c>
      <c r="DU60" s="33">
        <f t="shared" si="581"/>
        <v>0</v>
      </c>
      <c r="DV60" s="33">
        <f t="shared" si="582"/>
        <v>0</v>
      </c>
    </row>
    <row r="61" spans="2:126" x14ac:dyDescent="0.6">
      <c r="B61" s="49" t="s">
        <v>47</v>
      </c>
      <c r="C61" s="54"/>
      <c r="D61" s="38"/>
      <c r="E61" s="36">
        <f t="shared" si="502"/>
        <v>0</v>
      </c>
      <c r="F61" s="37">
        <f t="shared" si="503"/>
        <v>0</v>
      </c>
      <c r="G61" s="38"/>
      <c r="H61" s="36">
        <f t="shared" si="504"/>
        <v>0</v>
      </c>
      <c r="I61" s="37">
        <f t="shared" si="505"/>
        <v>0</v>
      </c>
      <c r="J61" s="38"/>
      <c r="K61" s="36">
        <f t="shared" si="506"/>
        <v>0</v>
      </c>
      <c r="L61" s="37">
        <f t="shared" si="507"/>
        <v>0</v>
      </c>
      <c r="M61" s="38"/>
      <c r="N61" s="36">
        <f t="shared" si="508"/>
        <v>0</v>
      </c>
      <c r="O61" s="37">
        <f t="shared" si="509"/>
        <v>0</v>
      </c>
      <c r="P61" s="38"/>
      <c r="Q61" s="36">
        <f t="shared" si="510"/>
        <v>0</v>
      </c>
      <c r="R61" s="37">
        <f t="shared" si="511"/>
        <v>0</v>
      </c>
      <c r="S61" s="38"/>
      <c r="T61" s="36">
        <f t="shared" si="512"/>
        <v>0</v>
      </c>
      <c r="U61" s="37">
        <f t="shared" si="513"/>
        <v>0</v>
      </c>
      <c r="V61" s="38"/>
      <c r="W61" s="36">
        <f t="shared" si="514"/>
        <v>0</v>
      </c>
      <c r="X61" s="37">
        <f t="shared" si="515"/>
        <v>0</v>
      </c>
      <c r="Y61" s="38"/>
      <c r="Z61" s="36">
        <f t="shared" si="516"/>
        <v>0</v>
      </c>
      <c r="AA61" s="37">
        <f t="shared" si="517"/>
        <v>0</v>
      </c>
      <c r="AB61" s="38"/>
      <c r="AC61" s="36">
        <f t="shared" si="518"/>
        <v>0</v>
      </c>
      <c r="AD61" s="37">
        <f t="shared" si="519"/>
        <v>0</v>
      </c>
      <c r="AE61" s="38"/>
      <c r="AF61" s="36">
        <f t="shared" si="520"/>
        <v>0</v>
      </c>
      <c r="AG61" s="37">
        <f t="shared" si="521"/>
        <v>0</v>
      </c>
      <c r="AH61" s="38"/>
      <c r="AI61" s="36">
        <f t="shared" si="522"/>
        <v>0</v>
      </c>
      <c r="AJ61" s="37">
        <f t="shared" si="523"/>
        <v>0</v>
      </c>
      <c r="AK61" s="38"/>
      <c r="AL61" s="36">
        <f t="shared" si="524"/>
        <v>0</v>
      </c>
      <c r="AM61" s="37">
        <f t="shared" si="525"/>
        <v>0</v>
      </c>
      <c r="AN61" s="38"/>
      <c r="AO61" s="36">
        <f t="shared" si="526"/>
        <v>0</v>
      </c>
      <c r="AP61" s="37">
        <f t="shared" si="527"/>
        <v>0</v>
      </c>
      <c r="AQ61" s="38"/>
      <c r="AR61" s="36">
        <f t="shared" si="528"/>
        <v>0</v>
      </c>
      <c r="AS61" s="37">
        <f t="shared" si="529"/>
        <v>0</v>
      </c>
      <c r="AT61" s="38"/>
      <c r="AU61" s="36">
        <f t="shared" si="530"/>
        <v>0</v>
      </c>
      <c r="AV61" s="37">
        <f t="shared" si="531"/>
        <v>0</v>
      </c>
      <c r="AW61" s="38"/>
      <c r="AX61" s="36">
        <f t="shared" si="532"/>
        <v>0</v>
      </c>
      <c r="AY61" s="37">
        <f t="shared" si="533"/>
        <v>0</v>
      </c>
      <c r="AZ61" s="38"/>
      <c r="BA61" s="36">
        <f t="shared" si="534"/>
        <v>0</v>
      </c>
      <c r="BB61" s="37">
        <f t="shared" si="535"/>
        <v>0</v>
      </c>
      <c r="BC61" s="38"/>
      <c r="BD61" s="36">
        <f t="shared" si="536"/>
        <v>0</v>
      </c>
      <c r="BE61" s="37">
        <f t="shared" si="537"/>
        <v>0</v>
      </c>
      <c r="BF61" s="38"/>
      <c r="BG61" s="36">
        <f t="shared" si="538"/>
        <v>0</v>
      </c>
      <c r="BH61" s="37">
        <f t="shared" si="539"/>
        <v>0</v>
      </c>
      <c r="BI61" s="38"/>
      <c r="BJ61" s="36">
        <f t="shared" si="540"/>
        <v>0</v>
      </c>
      <c r="BK61" s="37">
        <f t="shared" si="541"/>
        <v>0</v>
      </c>
      <c r="BL61" s="38"/>
      <c r="BM61" s="36">
        <f t="shared" si="542"/>
        <v>0</v>
      </c>
      <c r="BN61" s="37">
        <f t="shared" si="543"/>
        <v>0</v>
      </c>
      <c r="BO61" s="38"/>
      <c r="BP61" s="36">
        <f t="shared" si="544"/>
        <v>0</v>
      </c>
      <c r="BQ61" s="37">
        <f t="shared" si="545"/>
        <v>0</v>
      </c>
      <c r="BR61" s="38"/>
      <c r="BS61" s="36">
        <f t="shared" si="546"/>
        <v>0</v>
      </c>
      <c r="BT61" s="37">
        <f t="shared" si="547"/>
        <v>0</v>
      </c>
      <c r="BU61" s="38"/>
      <c r="BV61" s="36">
        <f t="shared" si="548"/>
        <v>0</v>
      </c>
      <c r="BW61" s="37">
        <f t="shared" si="549"/>
        <v>0</v>
      </c>
      <c r="BX61" s="38"/>
      <c r="BY61" s="36">
        <f t="shared" si="550"/>
        <v>0</v>
      </c>
      <c r="BZ61" s="37">
        <f t="shared" si="551"/>
        <v>0</v>
      </c>
      <c r="CA61" s="38"/>
      <c r="CB61" s="36">
        <f t="shared" si="552"/>
        <v>0</v>
      </c>
      <c r="CC61" s="37">
        <f t="shared" si="553"/>
        <v>0</v>
      </c>
      <c r="CD61" s="38"/>
      <c r="CE61" s="36">
        <f t="shared" si="554"/>
        <v>0</v>
      </c>
      <c r="CF61" s="37">
        <f t="shared" si="555"/>
        <v>0</v>
      </c>
      <c r="CG61" s="38"/>
      <c r="CH61" s="36">
        <f t="shared" si="556"/>
        <v>0</v>
      </c>
      <c r="CI61" s="37">
        <f t="shared" si="557"/>
        <v>0</v>
      </c>
      <c r="CJ61" s="38"/>
      <c r="CK61" s="36">
        <f t="shared" si="558"/>
        <v>0</v>
      </c>
      <c r="CL61" s="37">
        <f t="shared" si="559"/>
        <v>0</v>
      </c>
      <c r="CM61" s="38"/>
      <c r="CN61" s="36">
        <f t="shared" si="560"/>
        <v>0</v>
      </c>
      <c r="CO61" s="37">
        <f t="shared" si="561"/>
        <v>0</v>
      </c>
      <c r="CP61" s="38"/>
      <c r="CQ61" s="36">
        <f t="shared" si="562"/>
        <v>0</v>
      </c>
      <c r="CR61" s="37">
        <f t="shared" si="563"/>
        <v>0</v>
      </c>
      <c r="CS61" s="38"/>
      <c r="CT61" s="36">
        <f t="shared" si="564"/>
        <v>0</v>
      </c>
      <c r="CU61" s="37">
        <f t="shared" si="565"/>
        <v>0</v>
      </c>
      <c r="CV61" s="38"/>
      <c r="CW61" s="36">
        <f t="shared" si="566"/>
        <v>0</v>
      </c>
      <c r="CX61" s="37">
        <f t="shared" si="567"/>
        <v>0</v>
      </c>
      <c r="CY61" s="38"/>
      <c r="CZ61" s="36">
        <f t="shared" si="568"/>
        <v>0</v>
      </c>
      <c r="DA61" s="37">
        <f t="shared" si="569"/>
        <v>0</v>
      </c>
      <c r="DB61" s="38"/>
      <c r="DC61" s="36">
        <f t="shared" si="570"/>
        <v>0</v>
      </c>
      <c r="DD61" s="37">
        <f t="shared" si="571"/>
        <v>0</v>
      </c>
      <c r="DE61" s="38"/>
      <c r="DF61" s="36">
        <f t="shared" si="572"/>
        <v>0</v>
      </c>
      <c r="DG61" s="37">
        <f t="shared" si="573"/>
        <v>0</v>
      </c>
      <c r="DH61" s="38"/>
      <c r="DI61" s="36">
        <f t="shared" si="574"/>
        <v>0</v>
      </c>
      <c r="DJ61" s="37">
        <f t="shared" si="575"/>
        <v>0</v>
      </c>
      <c r="DK61" s="38"/>
      <c r="DL61" s="36">
        <f t="shared" si="576"/>
        <v>0</v>
      </c>
      <c r="DM61" s="37">
        <f t="shared" si="577"/>
        <v>0</v>
      </c>
      <c r="DN61" s="38"/>
      <c r="DO61" s="36">
        <f t="shared" si="578"/>
        <v>0</v>
      </c>
      <c r="DP61" s="37">
        <f t="shared" si="579"/>
        <v>0</v>
      </c>
      <c r="DQ61" s="38"/>
      <c r="DR61" s="38"/>
      <c r="DS61" s="38"/>
      <c r="DT61" s="33">
        <f t="shared" si="580"/>
        <v>0</v>
      </c>
      <c r="DU61" s="33">
        <f t="shared" si="581"/>
        <v>0</v>
      </c>
      <c r="DV61" s="33">
        <f t="shared" si="582"/>
        <v>0</v>
      </c>
    </row>
    <row r="62" spans="2:126" x14ac:dyDescent="0.6">
      <c r="B62" s="50" t="s">
        <v>48</v>
      </c>
      <c r="C62" s="54"/>
      <c r="D62" s="38"/>
      <c r="E62" s="36">
        <f t="shared" si="502"/>
        <v>0</v>
      </c>
      <c r="F62" s="37">
        <f t="shared" si="503"/>
        <v>0</v>
      </c>
      <c r="G62" s="38"/>
      <c r="H62" s="36">
        <f t="shared" si="504"/>
        <v>0</v>
      </c>
      <c r="I62" s="37">
        <f t="shared" si="505"/>
        <v>0</v>
      </c>
      <c r="J62" s="38"/>
      <c r="K62" s="36">
        <f t="shared" si="506"/>
        <v>0</v>
      </c>
      <c r="L62" s="37">
        <f t="shared" si="507"/>
        <v>0</v>
      </c>
      <c r="M62" s="38"/>
      <c r="N62" s="36">
        <f t="shared" si="508"/>
        <v>0</v>
      </c>
      <c r="O62" s="37">
        <f t="shared" si="509"/>
        <v>0</v>
      </c>
      <c r="P62" s="38"/>
      <c r="Q62" s="36">
        <f t="shared" si="510"/>
        <v>0</v>
      </c>
      <c r="R62" s="37">
        <f t="shared" si="511"/>
        <v>0</v>
      </c>
      <c r="S62" s="38"/>
      <c r="T62" s="36">
        <f t="shared" si="512"/>
        <v>0</v>
      </c>
      <c r="U62" s="37">
        <f t="shared" si="513"/>
        <v>0</v>
      </c>
      <c r="V62" s="38"/>
      <c r="W62" s="36">
        <f t="shared" si="514"/>
        <v>0</v>
      </c>
      <c r="X62" s="37">
        <f t="shared" si="515"/>
        <v>0</v>
      </c>
      <c r="Y62" s="38"/>
      <c r="Z62" s="36">
        <f t="shared" si="516"/>
        <v>0</v>
      </c>
      <c r="AA62" s="37">
        <f t="shared" si="517"/>
        <v>0</v>
      </c>
      <c r="AB62" s="38"/>
      <c r="AC62" s="36">
        <f t="shared" si="518"/>
        <v>0</v>
      </c>
      <c r="AD62" s="37">
        <f t="shared" si="519"/>
        <v>0</v>
      </c>
      <c r="AE62" s="38"/>
      <c r="AF62" s="36">
        <f t="shared" si="520"/>
        <v>0</v>
      </c>
      <c r="AG62" s="37">
        <f t="shared" si="521"/>
        <v>0</v>
      </c>
      <c r="AH62" s="38"/>
      <c r="AI62" s="36">
        <f t="shared" si="522"/>
        <v>0</v>
      </c>
      <c r="AJ62" s="37">
        <f t="shared" si="523"/>
        <v>0</v>
      </c>
      <c r="AK62" s="38"/>
      <c r="AL62" s="36">
        <f t="shared" si="524"/>
        <v>0</v>
      </c>
      <c r="AM62" s="37">
        <f t="shared" si="525"/>
        <v>0</v>
      </c>
      <c r="AN62" s="38"/>
      <c r="AO62" s="36">
        <f t="shared" si="526"/>
        <v>0</v>
      </c>
      <c r="AP62" s="37">
        <f t="shared" si="527"/>
        <v>0</v>
      </c>
      <c r="AQ62" s="38"/>
      <c r="AR62" s="36">
        <f t="shared" si="528"/>
        <v>0</v>
      </c>
      <c r="AS62" s="37">
        <f t="shared" si="529"/>
        <v>0</v>
      </c>
      <c r="AT62" s="38"/>
      <c r="AU62" s="36">
        <f t="shared" si="530"/>
        <v>0</v>
      </c>
      <c r="AV62" s="37">
        <f t="shared" si="531"/>
        <v>0</v>
      </c>
      <c r="AW62" s="38"/>
      <c r="AX62" s="36">
        <f t="shared" si="532"/>
        <v>0</v>
      </c>
      <c r="AY62" s="37">
        <f t="shared" si="533"/>
        <v>0</v>
      </c>
      <c r="AZ62" s="38"/>
      <c r="BA62" s="36">
        <f t="shared" si="534"/>
        <v>0</v>
      </c>
      <c r="BB62" s="37">
        <f t="shared" si="535"/>
        <v>0</v>
      </c>
      <c r="BC62" s="38"/>
      <c r="BD62" s="36">
        <f t="shared" si="536"/>
        <v>0</v>
      </c>
      <c r="BE62" s="37">
        <f t="shared" si="537"/>
        <v>0</v>
      </c>
      <c r="BF62" s="38"/>
      <c r="BG62" s="36">
        <f t="shared" si="538"/>
        <v>0</v>
      </c>
      <c r="BH62" s="37">
        <f t="shared" si="539"/>
        <v>0</v>
      </c>
      <c r="BI62" s="38"/>
      <c r="BJ62" s="36">
        <f t="shared" si="540"/>
        <v>0</v>
      </c>
      <c r="BK62" s="37">
        <f t="shared" si="541"/>
        <v>0</v>
      </c>
      <c r="BL62" s="38"/>
      <c r="BM62" s="36">
        <f t="shared" si="542"/>
        <v>0</v>
      </c>
      <c r="BN62" s="37">
        <f t="shared" si="543"/>
        <v>0</v>
      </c>
      <c r="BO62" s="38"/>
      <c r="BP62" s="36">
        <f t="shared" si="544"/>
        <v>0</v>
      </c>
      <c r="BQ62" s="37">
        <f t="shared" si="545"/>
        <v>0</v>
      </c>
      <c r="BR62" s="38"/>
      <c r="BS62" s="36">
        <f t="shared" si="546"/>
        <v>0</v>
      </c>
      <c r="BT62" s="37">
        <f t="shared" si="547"/>
        <v>0</v>
      </c>
      <c r="BU62" s="38"/>
      <c r="BV62" s="36">
        <f t="shared" si="548"/>
        <v>0</v>
      </c>
      <c r="BW62" s="37">
        <f t="shared" si="549"/>
        <v>0</v>
      </c>
      <c r="BX62" s="38"/>
      <c r="BY62" s="36">
        <f t="shared" si="550"/>
        <v>0</v>
      </c>
      <c r="BZ62" s="37">
        <f t="shared" si="551"/>
        <v>0</v>
      </c>
      <c r="CA62" s="38"/>
      <c r="CB62" s="36">
        <f t="shared" si="552"/>
        <v>0</v>
      </c>
      <c r="CC62" s="37">
        <f t="shared" si="553"/>
        <v>0</v>
      </c>
      <c r="CD62" s="38"/>
      <c r="CE62" s="36">
        <f t="shared" si="554"/>
        <v>0</v>
      </c>
      <c r="CF62" s="37">
        <f t="shared" si="555"/>
        <v>0</v>
      </c>
      <c r="CG62" s="38"/>
      <c r="CH62" s="36">
        <f t="shared" si="556"/>
        <v>0</v>
      </c>
      <c r="CI62" s="37">
        <f t="shared" si="557"/>
        <v>0</v>
      </c>
      <c r="CJ62" s="38"/>
      <c r="CK62" s="36">
        <f t="shared" si="558"/>
        <v>0</v>
      </c>
      <c r="CL62" s="37">
        <f t="shared" si="559"/>
        <v>0</v>
      </c>
      <c r="CM62" s="38"/>
      <c r="CN62" s="36">
        <f t="shared" si="560"/>
        <v>0</v>
      </c>
      <c r="CO62" s="37">
        <f t="shared" si="561"/>
        <v>0</v>
      </c>
      <c r="CP62" s="38"/>
      <c r="CQ62" s="36">
        <f t="shared" si="562"/>
        <v>0</v>
      </c>
      <c r="CR62" s="37">
        <f t="shared" si="563"/>
        <v>0</v>
      </c>
      <c r="CS62" s="38"/>
      <c r="CT62" s="36">
        <f t="shared" si="564"/>
        <v>0</v>
      </c>
      <c r="CU62" s="37">
        <f t="shared" si="565"/>
        <v>0</v>
      </c>
      <c r="CV62" s="38"/>
      <c r="CW62" s="36">
        <f t="shared" si="566"/>
        <v>0</v>
      </c>
      <c r="CX62" s="37">
        <f t="shared" si="567"/>
        <v>0</v>
      </c>
      <c r="CY62" s="38"/>
      <c r="CZ62" s="36">
        <f t="shared" si="568"/>
        <v>0</v>
      </c>
      <c r="DA62" s="37">
        <f t="shared" si="569"/>
        <v>0</v>
      </c>
      <c r="DB62" s="38"/>
      <c r="DC62" s="36">
        <f t="shared" si="570"/>
        <v>0</v>
      </c>
      <c r="DD62" s="37">
        <f t="shared" si="571"/>
        <v>0</v>
      </c>
      <c r="DE62" s="38"/>
      <c r="DF62" s="36">
        <f t="shared" si="572"/>
        <v>0</v>
      </c>
      <c r="DG62" s="37">
        <f t="shared" si="573"/>
        <v>0</v>
      </c>
      <c r="DH62" s="38"/>
      <c r="DI62" s="36">
        <f t="shared" si="574"/>
        <v>0</v>
      </c>
      <c r="DJ62" s="37">
        <f t="shared" si="575"/>
        <v>0</v>
      </c>
      <c r="DK62" s="38"/>
      <c r="DL62" s="36">
        <f t="shared" si="576"/>
        <v>0</v>
      </c>
      <c r="DM62" s="37">
        <f t="shared" si="577"/>
        <v>0</v>
      </c>
      <c r="DN62" s="38"/>
      <c r="DO62" s="36">
        <f t="shared" si="578"/>
        <v>0</v>
      </c>
      <c r="DP62" s="37">
        <f t="shared" si="579"/>
        <v>0</v>
      </c>
      <c r="DQ62" s="38"/>
      <c r="DR62" s="38"/>
      <c r="DS62" s="38"/>
      <c r="DT62" s="33">
        <f t="shared" si="580"/>
        <v>0</v>
      </c>
      <c r="DU62" s="33">
        <f t="shared" si="581"/>
        <v>0</v>
      </c>
      <c r="DV62" s="33">
        <f t="shared" si="582"/>
        <v>0</v>
      </c>
    </row>
    <row r="63" spans="2:126" x14ac:dyDescent="0.6">
      <c r="B63" s="50" t="s">
        <v>49</v>
      </c>
      <c r="C63" s="56"/>
      <c r="D63" s="38"/>
      <c r="E63" s="36">
        <f t="shared" si="502"/>
        <v>0</v>
      </c>
      <c r="F63" s="37">
        <f t="shared" si="503"/>
        <v>0</v>
      </c>
      <c r="G63" s="38"/>
      <c r="H63" s="36">
        <f t="shared" si="504"/>
        <v>0</v>
      </c>
      <c r="I63" s="37">
        <f t="shared" si="505"/>
        <v>0</v>
      </c>
      <c r="J63" s="38"/>
      <c r="K63" s="36">
        <f t="shared" si="506"/>
        <v>0</v>
      </c>
      <c r="L63" s="37">
        <f t="shared" si="507"/>
        <v>0</v>
      </c>
      <c r="M63" s="38"/>
      <c r="N63" s="36">
        <f t="shared" si="508"/>
        <v>0</v>
      </c>
      <c r="O63" s="37">
        <f t="shared" si="509"/>
        <v>0</v>
      </c>
      <c r="P63" s="38"/>
      <c r="Q63" s="36">
        <f t="shared" si="510"/>
        <v>0</v>
      </c>
      <c r="R63" s="37">
        <f t="shared" si="511"/>
        <v>0</v>
      </c>
      <c r="S63" s="38"/>
      <c r="T63" s="36">
        <f t="shared" si="512"/>
        <v>0</v>
      </c>
      <c r="U63" s="37">
        <f t="shared" si="513"/>
        <v>0</v>
      </c>
      <c r="V63" s="38"/>
      <c r="W63" s="36">
        <f t="shared" si="514"/>
        <v>0</v>
      </c>
      <c r="X63" s="37">
        <f t="shared" si="515"/>
        <v>0</v>
      </c>
      <c r="Y63" s="38"/>
      <c r="Z63" s="36">
        <f t="shared" si="516"/>
        <v>0</v>
      </c>
      <c r="AA63" s="37">
        <f t="shared" si="517"/>
        <v>0</v>
      </c>
      <c r="AB63" s="38"/>
      <c r="AC63" s="36">
        <f t="shared" si="518"/>
        <v>0</v>
      </c>
      <c r="AD63" s="37">
        <f t="shared" si="519"/>
        <v>0</v>
      </c>
      <c r="AE63" s="38"/>
      <c r="AF63" s="36">
        <f t="shared" si="520"/>
        <v>0</v>
      </c>
      <c r="AG63" s="37">
        <f t="shared" si="521"/>
        <v>0</v>
      </c>
      <c r="AH63" s="38"/>
      <c r="AI63" s="36">
        <f t="shared" si="522"/>
        <v>0</v>
      </c>
      <c r="AJ63" s="37">
        <f t="shared" si="523"/>
        <v>0</v>
      </c>
      <c r="AK63" s="38"/>
      <c r="AL63" s="36">
        <f t="shared" si="524"/>
        <v>0</v>
      </c>
      <c r="AM63" s="37">
        <f t="shared" si="525"/>
        <v>0</v>
      </c>
      <c r="AN63" s="38"/>
      <c r="AO63" s="36">
        <f t="shared" si="526"/>
        <v>0</v>
      </c>
      <c r="AP63" s="37">
        <f t="shared" si="527"/>
        <v>0</v>
      </c>
      <c r="AQ63" s="38"/>
      <c r="AR63" s="36">
        <f t="shared" si="528"/>
        <v>0</v>
      </c>
      <c r="AS63" s="37">
        <f t="shared" si="529"/>
        <v>0</v>
      </c>
      <c r="AT63" s="38"/>
      <c r="AU63" s="36">
        <f t="shared" si="530"/>
        <v>0</v>
      </c>
      <c r="AV63" s="37">
        <f t="shared" si="531"/>
        <v>0</v>
      </c>
      <c r="AW63" s="38"/>
      <c r="AX63" s="36">
        <f t="shared" si="532"/>
        <v>0</v>
      </c>
      <c r="AY63" s="37">
        <f t="shared" si="533"/>
        <v>0</v>
      </c>
      <c r="AZ63" s="38"/>
      <c r="BA63" s="36">
        <f t="shared" si="534"/>
        <v>0</v>
      </c>
      <c r="BB63" s="37">
        <f t="shared" si="535"/>
        <v>0</v>
      </c>
      <c r="BC63" s="38"/>
      <c r="BD63" s="36">
        <f t="shared" si="536"/>
        <v>0</v>
      </c>
      <c r="BE63" s="37">
        <f t="shared" si="537"/>
        <v>0</v>
      </c>
      <c r="BF63" s="38"/>
      <c r="BG63" s="36">
        <f t="shared" si="538"/>
        <v>0</v>
      </c>
      <c r="BH63" s="37">
        <f t="shared" si="539"/>
        <v>0</v>
      </c>
      <c r="BI63" s="38"/>
      <c r="BJ63" s="36">
        <f t="shared" si="540"/>
        <v>0</v>
      </c>
      <c r="BK63" s="37">
        <f t="shared" si="541"/>
        <v>0</v>
      </c>
      <c r="BL63" s="38"/>
      <c r="BM63" s="36">
        <f t="shared" si="542"/>
        <v>0</v>
      </c>
      <c r="BN63" s="37">
        <f t="shared" si="543"/>
        <v>0</v>
      </c>
      <c r="BO63" s="38"/>
      <c r="BP63" s="36">
        <f t="shared" si="544"/>
        <v>0</v>
      </c>
      <c r="BQ63" s="37">
        <f t="shared" si="545"/>
        <v>0</v>
      </c>
      <c r="BR63" s="38"/>
      <c r="BS63" s="36">
        <f t="shared" si="546"/>
        <v>0</v>
      </c>
      <c r="BT63" s="37">
        <f t="shared" si="547"/>
        <v>0</v>
      </c>
      <c r="BU63" s="38"/>
      <c r="BV63" s="36">
        <f t="shared" si="548"/>
        <v>0</v>
      </c>
      <c r="BW63" s="37">
        <f t="shared" si="549"/>
        <v>0</v>
      </c>
      <c r="BX63" s="38"/>
      <c r="BY63" s="36">
        <f t="shared" si="550"/>
        <v>0</v>
      </c>
      <c r="BZ63" s="37">
        <f t="shared" si="551"/>
        <v>0</v>
      </c>
      <c r="CA63" s="38"/>
      <c r="CB63" s="36">
        <f t="shared" si="552"/>
        <v>0</v>
      </c>
      <c r="CC63" s="37">
        <f t="shared" si="553"/>
        <v>0</v>
      </c>
      <c r="CD63" s="38"/>
      <c r="CE63" s="36">
        <f t="shared" si="554"/>
        <v>0</v>
      </c>
      <c r="CF63" s="37">
        <f t="shared" si="555"/>
        <v>0</v>
      </c>
      <c r="CG63" s="38"/>
      <c r="CH63" s="36">
        <f t="shared" si="556"/>
        <v>0</v>
      </c>
      <c r="CI63" s="37">
        <f t="shared" si="557"/>
        <v>0</v>
      </c>
      <c r="CJ63" s="38"/>
      <c r="CK63" s="36">
        <f t="shared" si="558"/>
        <v>0</v>
      </c>
      <c r="CL63" s="37">
        <f t="shared" si="559"/>
        <v>0</v>
      </c>
      <c r="CM63" s="38"/>
      <c r="CN63" s="36">
        <f t="shared" si="560"/>
        <v>0</v>
      </c>
      <c r="CO63" s="37">
        <f t="shared" si="561"/>
        <v>0</v>
      </c>
      <c r="CP63" s="38"/>
      <c r="CQ63" s="36">
        <f t="shared" si="562"/>
        <v>0</v>
      </c>
      <c r="CR63" s="37">
        <f t="shared" si="563"/>
        <v>0</v>
      </c>
      <c r="CS63" s="38"/>
      <c r="CT63" s="36">
        <f t="shared" si="564"/>
        <v>0</v>
      </c>
      <c r="CU63" s="37">
        <f t="shared" si="565"/>
        <v>0</v>
      </c>
      <c r="CV63" s="38"/>
      <c r="CW63" s="36">
        <f t="shared" si="566"/>
        <v>0</v>
      </c>
      <c r="CX63" s="37">
        <f t="shared" si="567"/>
        <v>0</v>
      </c>
      <c r="CY63" s="38"/>
      <c r="CZ63" s="36">
        <f t="shared" si="568"/>
        <v>0</v>
      </c>
      <c r="DA63" s="37">
        <f t="shared" si="569"/>
        <v>0</v>
      </c>
      <c r="DB63" s="38"/>
      <c r="DC63" s="36">
        <f t="shared" si="570"/>
        <v>0</v>
      </c>
      <c r="DD63" s="37">
        <f t="shared" si="571"/>
        <v>0</v>
      </c>
      <c r="DE63" s="38"/>
      <c r="DF63" s="36">
        <f t="shared" si="572"/>
        <v>0</v>
      </c>
      <c r="DG63" s="37">
        <f t="shared" si="573"/>
        <v>0</v>
      </c>
      <c r="DH63" s="38"/>
      <c r="DI63" s="36">
        <f t="shared" si="574"/>
        <v>0</v>
      </c>
      <c r="DJ63" s="37">
        <f t="shared" si="575"/>
        <v>0</v>
      </c>
      <c r="DK63" s="38"/>
      <c r="DL63" s="36">
        <f t="shared" si="576"/>
        <v>0</v>
      </c>
      <c r="DM63" s="37">
        <f t="shared" si="577"/>
        <v>0</v>
      </c>
      <c r="DN63" s="38"/>
      <c r="DO63" s="36">
        <f t="shared" si="578"/>
        <v>0</v>
      </c>
      <c r="DP63" s="37">
        <f t="shared" si="579"/>
        <v>0</v>
      </c>
      <c r="DQ63" s="38"/>
      <c r="DR63" s="38"/>
      <c r="DS63" s="38"/>
      <c r="DT63" s="33">
        <f t="shared" si="580"/>
        <v>0</v>
      </c>
      <c r="DU63" s="33">
        <f t="shared" si="581"/>
        <v>0</v>
      </c>
      <c r="DV63" s="33">
        <f t="shared" si="582"/>
        <v>0</v>
      </c>
    </row>
    <row r="64" spans="2:126" ht="21.75" thickBot="1" x14ac:dyDescent="0.65">
      <c r="B64" s="50"/>
      <c r="C64" s="9"/>
      <c r="D64" s="38"/>
      <c r="E64" s="36">
        <f t="shared" si="502"/>
        <v>0</v>
      </c>
      <c r="F64" s="37">
        <f t="shared" si="503"/>
        <v>0</v>
      </c>
      <c r="G64" s="38"/>
      <c r="H64" s="36">
        <f t="shared" si="504"/>
        <v>0</v>
      </c>
      <c r="I64" s="37">
        <f t="shared" si="505"/>
        <v>0</v>
      </c>
      <c r="J64" s="38"/>
      <c r="K64" s="36">
        <f t="shared" si="506"/>
        <v>0</v>
      </c>
      <c r="L64" s="37">
        <f t="shared" si="507"/>
        <v>0</v>
      </c>
      <c r="M64" s="38"/>
      <c r="N64" s="36">
        <f t="shared" si="508"/>
        <v>0</v>
      </c>
      <c r="O64" s="37">
        <f t="shared" si="509"/>
        <v>0</v>
      </c>
      <c r="P64" s="38"/>
      <c r="Q64" s="36">
        <f t="shared" si="510"/>
        <v>0</v>
      </c>
      <c r="R64" s="37">
        <f t="shared" si="511"/>
        <v>0</v>
      </c>
      <c r="S64" s="38"/>
      <c r="T64" s="36">
        <f t="shared" si="512"/>
        <v>0</v>
      </c>
      <c r="U64" s="37">
        <f t="shared" si="513"/>
        <v>0</v>
      </c>
      <c r="V64" s="38"/>
      <c r="W64" s="36">
        <f t="shared" si="514"/>
        <v>0</v>
      </c>
      <c r="X64" s="37">
        <f t="shared" si="515"/>
        <v>0</v>
      </c>
      <c r="Y64" s="38"/>
      <c r="Z64" s="36">
        <f t="shared" si="516"/>
        <v>0</v>
      </c>
      <c r="AA64" s="37">
        <f t="shared" si="517"/>
        <v>0</v>
      </c>
      <c r="AB64" s="38"/>
      <c r="AC64" s="36">
        <f t="shared" si="518"/>
        <v>0</v>
      </c>
      <c r="AD64" s="37">
        <f t="shared" si="519"/>
        <v>0</v>
      </c>
      <c r="AE64" s="38"/>
      <c r="AF64" s="36">
        <f t="shared" si="520"/>
        <v>0</v>
      </c>
      <c r="AG64" s="37">
        <f t="shared" si="521"/>
        <v>0</v>
      </c>
      <c r="AH64" s="38"/>
      <c r="AI64" s="36">
        <f t="shared" si="522"/>
        <v>0</v>
      </c>
      <c r="AJ64" s="37">
        <f t="shared" si="523"/>
        <v>0</v>
      </c>
      <c r="AK64" s="38"/>
      <c r="AL64" s="36">
        <f t="shared" si="524"/>
        <v>0</v>
      </c>
      <c r="AM64" s="37">
        <f t="shared" si="525"/>
        <v>0</v>
      </c>
      <c r="AN64" s="38"/>
      <c r="AO64" s="36">
        <f t="shared" si="526"/>
        <v>0</v>
      </c>
      <c r="AP64" s="37">
        <f t="shared" si="527"/>
        <v>0</v>
      </c>
      <c r="AQ64" s="38"/>
      <c r="AR64" s="36">
        <f t="shared" si="528"/>
        <v>0</v>
      </c>
      <c r="AS64" s="37">
        <f t="shared" si="529"/>
        <v>0</v>
      </c>
      <c r="AT64" s="38"/>
      <c r="AU64" s="36">
        <f t="shared" si="530"/>
        <v>0</v>
      </c>
      <c r="AV64" s="37">
        <f t="shared" si="531"/>
        <v>0</v>
      </c>
      <c r="AW64" s="38"/>
      <c r="AX64" s="36">
        <f t="shared" si="532"/>
        <v>0</v>
      </c>
      <c r="AY64" s="37">
        <f t="shared" si="533"/>
        <v>0</v>
      </c>
      <c r="AZ64" s="38"/>
      <c r="BA64" s="36">
        <f t="shared" si="534"/>
        <v>0</v>
      </c>
      <c r="BB64" s="37">
        <f t="shared" si="535"/>
        <v>0</v>
      </c>
      <c r="BC64" s="38"/>
      <c r="BD64" s="36">
        <f t="shared" si="536"/>
        <v>0</v>
      </c>
      <c r="BE64" s="37">
        <f t="shared" si="537"/>
        <v>0</v>
      </c>
      <c r="BF64" s="38"/>
      <c r="BG64" s="36">
        <f t="shared" si="538"/>
        <v>0</v>
      </c>
      <c r="BH64" s="37">
        <f t="shared" si="539"/>
        <v>0</v>
      </c>
      <c r="BI64" s="38"/>
      <c r="BJ64" s="36">
        <f t="shared" si="540"/>
        <v>0</v>
      </c>
      <c r="BK64" s="37">
        <f t="shared" si="541"/>
        <v>0</v>
      </c>
      <c r="BL64" s="38"/>
      <c r="BM64" s="36">
        <f t="shared" si="542"/>
        <v>0</v>
      </c>
      <c r="BN64" s="37">
        <f t="shared" si="543"/>
        <v>0</v>
      </c>
      <c r="BO64" s="38"/>
      <c r="BP64" s="36">
        <f t="shared" si="544"/>
        <v>0</v>
      </c>
      <c r="BQ64" s="37">
        <f t="shared" si="545"/>
        <v>0</v>
      </c>
      <c r="BR64" s="38"/>
      <c r="BS64" s="36">
        <f t="shared" si="546"/>
        <v>0</v>
      </c>
      <c r="BT64" s="37">
        <f t="shared" si="547"/>
        <v>0</v>
      </c>
      <c r="BU64" s="38"/>
      <c r="BV64" s="36">
        <f t="shared" si="548"/>
        <v>0</v>
      </c>
      <c r="BW64" s="37">
        <f t="shared" si="549"/>
        <v>0</v>
      </c>
      <c r="BX64" s="38"/>
      <c r="BY64" s="36">
        <f t="shared" si="550"/>
        <v>0</v>
      </c>
      <c r="BZ64" s="37">
        <f t="shared" si="551"/>
        <v>0</v>
      </c>
      <c r="CA64" s="38"/>
      <c r="CB64" s="36">
        <f t="shared" si="552"/>
        <v>0</v>
      </c>
      <c r="CC64" s="37">
        <f t="shared" si="553"/>
        <v>0</v>
      </c>
      <c r="CD64" s="38"/>
      <c r="CE64" s="36">
        <f t="shared" si="554"/>
        <v>0</v>
      </c>
      <c r="CF64" s="37">
        <f t="shared" si="555"/>
        <v>0</v>
      </c>
      <c r="CG64" s="38"/>
      <c r="CH64" s="36">
        <f t="shared" si="556"/>
        <v>0</v>
      </c>
      <c r="CI64" s="37">
        <f t="shared" si="557"/>
        <v>0</v>
      </c>
      <c r="CJ64" s="38"/>
      <c r="CK64" s="36">
        <f t="shared" si="558"/>
        <v>0</v>
      </c>
      <c r="CL64" s="37">
        <f t="shared" si="559"/>
        <v>0</v>
      </c>
      <c r="CM64" s="38"/>
      <c r="CN64" s="36">
        <f t="shared" si="560"/>
        <v>0</v>
      </c>
      <c r="CO64" s="37">
        <f t="shared" si="561"/>
        <v>0</v>
      </c>
      <c r="CP64" s="38"/>
      <c r="CQ64" s="36">
        <f t="shared" si="562"/>
        <v>0</v>
      </c>
      <c r="CR64" s="37">
        <f t="shared" si="563"/>
        <v>0</v>
      </c>
      <c r="CS64" s="38"/>
      <c r="CT64" s="36">
        <f t="shared" si="564"/>
        <v>0</v>
      </c>
      <c r="CU64" s="37">
        <f t="shared" si="565"/>
        <v>0</v>
      </c>
      <c r="CV64" s="38"/>
      <c r="CW64" s="36">
        <f t="shared" si="566"/>
        <v>0</v>
      </c>
      <c r="CX64" s="37">
        <f t="shared" si="567"/>
        <v>0</v>
      </c>
      <c r="CY64" s="38"/>
      <c r="CZ64" s="36">
        <f t="shared" si="568"/>
        <v>0</v>
      </c>
      <c r="DA64" s="37">
        <f t="shared" si="569"/>
        <v>0</v>
      </c>
      <c r="DB64" s="38"/>
      <c r="DC64" s="36">
        <f t="shared" si="570"/>
        <v>0</v>
      </c>
      <c r="DD64" s="37">
        <f t="shared" si="571"/>
        <v>0</v>
      </c>
      <c r="DE64" s="38"/>
      <c r="DF64" s="36">
        <f t="shared" si="572"/>
        <v>0</v>
      </c>
      <c r="DG64" s="37">
        <f t="shared" si="573"/>
        <v>0</v>
      </c>
      <c r="DH64" s="38"/>
      <c r="DI64" s="36">
        <f t="shared" si="574"/>
        <v>0</v>
      </c>
      <c r="DJ64" s="37">
        <f t="shared" si="575"/>
        <v>0</v>
      </c>
      <c r="DK64" s="38"/>
      <c r="DL64" s="36">
        <f t="shared" si="576"/>
        <v>0</v>
      </c>
      <c r="DM64" s="37">
        <f t="shared" si="577"/>
        <v>0</v>
      </c>
      <c r="DN64" s="38"/>
      <c r="DO64" s="36">
        <f t="shared" si="578"/>
        <v>0</v>
      </c>
      <c r="DP64" s="37">
        <f t="shared" si="579"/>
        <v>0</v>
      </c>
      <c r="DQ64" s="38"/>
      <c r="DR64" s="38"/>
      <c r="DS64" s="38"/>
      <c r="DT64" s="33">
        <f t="shared" si="580"/>
        <v>0</v>
      </c>
      <c r="DU64" s="33">
        <f t="shared" si="581"/>
        <v>0</v>
      </c>
      <c r="DV64" s="33">
        <f t="shared" si="582"/>
        <v>0</v>
      </c>
    </row>
    <row r="65" spans="2:126" ht="21.75" thickBot="1" x14ac:dyDescent="0.65">
      <c r="B65" s="51"/>
      <c r="C65" s="19"/>
      <c r="D65" s="39">
        <f t="shared" ref="D65:BO65" si="583">SUM(D55:D64)</f>
        <v>0</v>
      </c>
      <c r="E65" s="39">
        <f t="shared" si="583"/>
        <v>0</v>
      </c>
      <c r="F65" s="40">
        <f t="shared" si="583"/>
        <v>0</v>
      </c>
      <c r="G65" s="39">
        <f t="shared" si="583"/>
        <v>0</v>
      </c>
      <c r="H65" s="39">
        <f t="shared" si="583"/>
        <v>0</v>
      </c>
      <c r="I65" s="40">
        <f t="shared" si="583"/>
        <v>0</v>
      </c>
      <c r="J65" s="39">
        <f t="shared" si="583"/>
        <v>0</v>
      </c>
      <c r="K65" s="39">
        <f t="shared" si="583"/>
        <v>0</v>
      </c>
      <c r="L65" s="40">
        <f t="shared" si="583"/>
        <v>0</v>
      </c>
      <c r="M65" s="39">
        <f t="shared" si="583"/>
        <v>0</v>
      </c>
      <c r="N65" s="39">
        <f t="shared" si="583"/>
        <v>0</v>
      </c>
      <c r="O65" s="40">
        <f t="shared" si="583"/>
        <v>0</v>
      </c>
      <c r="P65" s="39">
        <f t="shared" si="583"/>
        <v>0</v>
      </c>
      <c r="Q65" s="39">
        <f t="shared" si="583"/>
        <v>0</v>
      </c>
      <c r="R65" s="40">
        <f t="shared" si="583"/>
        <v>0</v>
      </c>
      <c r="S65" s="39">
        <f t="shared" si="583"/>
        <v>0</v>
      </c>
      <c r="T65" s="39">
        <f t="shared" si="583"/>
        <v>0</v>
      </c>
      <c r="U65" s="40">
        <f t="shared" si="583"/>
        <v>0</v>
      </c>
      <c r="V65" s="39">
        <f t="shared" si="583"/>
        <v>0</v>
      </c>
      <c r="W65" s="39">
        <f t="shared" si="583"/>
        <v>0</v>
      </c>
      <c r="X65" s="40">
        <f t="shared" si="583"/>
        <v>0</v>
      </c>
      <c r="Y65" s="39">
        <f t="shared" si="583"/>
        <v>0</v>
      </c>
      <c r="Z65" s="39">
        <f t="shared" si="583"/>
        <v>0</v>
      </c>
      <c r="AA65" s="40">
        <f t="shared" si="583"/>
        <v>0</v>
      </c>
      <c r="AB65" s="39">
        <f t="shared" si="583"/>
        <v>0</v>
      </c>
      <c r="AC65" s="39">
        <f t="shared" si="583"/>
        <v>0</v>
      </c>
      <c r="AD65" s="40">
        <f t="shared" si="583"/>
        <v>0</v>
      </c>
      <c r="AE65" s="39">
        <f t="shared" si="583"/>
        <v>0</v>
      </c>
      <c r="AF65" s="39">
        <f t="shared" si="583"/>
        <v>0</v>
      </c>
      <c r="AG65" s="40">
        <f t="shared" si="583"/>
        <v>0</v>
      </c>
      <c r="AH65" s="39">
        <f t="shared" si="583"/>
        <v>0</v>
      </c>
      <c r="AI65" s="39">
        <f t="shared" si="583"/>
        <v>0</v>
      </c>
      <c r="AJ65" s="40">
        <f t="shared" si="583"/>
        <v>0</v>
      </c>
      <c r="AK65" s="39">
        <f t="shared" si="583"/>
        <v>0</v>
      </c>
      <c r="AL65" s="39">
        <f t="shared" si="583"/>
        <v>0</v>
      </c>
      <c r="AM65" s="40">
        <f t="shared" si="583"/>
        <v>0</v>
      </c>
      <c r="AN65" s="39">
        <f t="shared" si="583"/>
        <v>0</v>
      </c>
      <c r="AO65" s="39">
        <f t="shared" si="583"/>
        <v>0</v>
      </c>
      <c r="AP65" s="40">
        <f t="shared" si="583"/>
        <v>0</v>
      </c>
      <c r="AQ65" s="39">
        <f t="shared" si="583"/>
        <v>0</v>
      </c>
      <c r="AR65" s="39">
        <f t="shared" si="583"/>
        <v>0</v>
      </c>
      <c r="AS65" s="40">
        <f t="shared" si="583"/>
        <v>0</v>
      </c>
      <c r="AT65" s="39">
        <f t="shared" si="583"/>
        <v>0</v>
      </c>
      <c r="AU65" s="39">
        <f t="shared" si="583"/>
        <v>0</v>
      </c>
      <c r="AV65" s="40">
        <f t="shared" si="583"/>
        <v>0</v>
      </c>
      <c r="AW65" s="39">
        <f t="shared" si="583"/>
        <v>0</v>
      </c>
      <c r="AX65" s="39">
        <f t="shared" si="583"/>
        <v>0</v>
      </c>
      <c r="AY65" s="40">
        <f t="shared" si="583"/>
        <v>0</v>
      </c>
      <c r="AZ65" s="39">
        <f t="shared" si="583"/>
        <v>0</v>
      </c>
      <c r="BA65" s="39">
        <f t="shared" si="583"/>
        <v>0</v>
      </c>
      <c r="BB65" s="40">
        <f t="shared" si="583"/>
        <v>0</v>
      </c>
      <c r="BC65" s="39">
        <f t="shared" si="583"/>
        <v>0</v>
      </c>
      <c r="BD65" s="39">
        <f t="shared" si="583"/>
        <v>0</v>
      </c>
      <c r="BE65" s="40">
        <f t="shared" si="583"/>
        <v>0</v>
      </c>
      <c r="BF65" s="39">
        <f t="shared" si="583"/>
        <v>0</v>
      </c>
      <c r="BG65" s="39">
        <f t="shared" si="583"/>
        <v>0</v>
      </c>
      <c r="BH65" s="40">
        <f t="shared" si="583"/>
        <v>0</v>
      </c>
      <c r="BI65" s="39">
        <f t="shared" si="583"/>
        <v>0</v>
      </c>
      <c r="BJ65" s="39">
        <f t="shared" si="583"/>
        <v>0</v>
      </c>
      <c r="BK65" s="40">
        <f t="shared" si="583"/>
        <v>0</v>
      </c>
      <c r="BL65" s="39">
        <f t="shared" si="583"/>
        <v>0</v>
      </c>
      <c r="BM65" s="39">
        <f t="shared" si="583"/>
        <v>0</v>
      </c>
      <c r="BN65" s="40">
        <f t="shared" si="583"/>
        <v>0</v>
      </c>
      <c r="BO65" s="39">
        <f t="shared" si="583"/>
        <v>0</v>
      </c>
      <c r="BP65" s="39">
        <f t="shared" ref="BP65:DV65" si="584">SUM(BP55:BP64)</f>
        <v>0</v>
      </c>
      <c r="BQ65" s="40">
        <f t="shared" si="584"/>
        <v>0</v>
      </c>
      <c r="BR65" s="39">
        <f t="shared" si="584"/>
        <v>0</v>
      </c>
      <c r="BS65" s="39">
        <f t="shared" si="584"/>
        <v>0</v>
      </c>
      <c r="BT65" s="40">
        <f t="shared" si="584"/>
        <v>0</v>
      </c>
      <c r="BU65" s="39">
        <f t="shared" si="584"/>
        <v>0</v>
      </c>
      <c r="BV65" s="39">
        <f t="shared" si="584"/>
        <v>0</v>
      </c>
      <c r="BW65" s="40">
        <f t="shared" si="584"/>
        <v>0</v>
      </c>
      <c r="BX65" s="39">
        <f t="shared" si="584"/>
        <v>0</v>
      </c>
      <c r="BY65" s="39">
        <f t="shared" si="584"/>
        <v>0</v>
      </c>
      <c r="BZ65" s="40">
        <f t="shared" si="584"/>
        <v>0</v>
      </c>
      <c r="CA65" s="39">
        <f t="shared" si="584"/>
        <v>0</v>
      </c>
      <c r="CB65" s="39">
        <f t="shared" si="584"/>
        <v>0</v>
      </c>
      <c r="CC65" s="40">
        <f t="shared" si="584"/>
        <v>0</v>
      </c>
      <c r="CD65" s="39">
        <f t="shared" si="584"/>
        <v>0</v>
      </c>
      <c r="CE65" s="39">
        <f t="shared" si="584"/>
        <v>0</v>
      </c>
      <c r="CF65" s="40">
        <f t="shared" si="584"/>
        <v>0</v>
      </c>
      <c r="CG65" s="39">
        <f t="shared" si="584"/>
        <v>0</v>
      </c>
      <c r="CH65" s="39">
        <f t="shared" si="584"/>
        <v>0</v>
      </c>
      <c r="CI65" s="40">
        <f t="shared" si="584"/>
        <v>0</v>
      </c>
      <c r="CJ65" s="39">
        <f t="shared" si="584"/>
        <v>0</v>
      </c>
      <c r="CK65" s="39">
        <f t="shared" si="584"/>
        <v>0</v>
      </c>
      <c r="CL65" s="40">
        <f t="shared" si="584"/>
        <v>0</v>
      </c>
      <c r="CM65" s="39">
        <f t="shared" si="584"/>
        <v>0</v>
      </c>
      <c r="CN65" s="39">
        <f t="shared" si="584"/>
        <v>0</v>
      </c>
      <c r="CO65" s="40">
        <f t="shared" si="584"/>
        <v>0</v>
      </c>
      <c r="CP65" s="39">
        <f t="shared" si="584"/>
        <v>0</v>
      </c>
      <c r="CQ65" s="39">
        <f t="shared" si="584"/>
        <v>0</v>
      </c>
      <c r="CR65" s="40">
        <f t="shared" si="584"/>
        <v>0</v>
      </c>
      <c r="CS65" s="39">
        <f t="shared" si="584"/>
        <v>0</v>
      </c>
      <c r="CT65" s="39">
        <f t="shared" si="584"/>
        <v>0</v>
      </c>
      <c r="CU65" s="40">
        <f t="shared" si="584"/>
        <v>0</v>
      </c>
      <c r="CV65" s="39">
        <f t="shared" si="584"/>
        <v>0</v>
      </c>
      <c r="CW65" s="39">
        <f t="shared" si="584"/>
        <v>0</v>
      </c>
      <c r="CX65" s="40">
        <f t="shared" si="584"/>
        <v>0</v>
      </c>
      <c r="CY65" s="39">
        <f t="shared" si="584"/>
        <v>0</v>
      </c>
      <c r="CZ65" s="39">
        <f t="shared" si="584"/>
        <v>0</v>
      </c>
      <c r="DA65" s="40">
        <f t="shared" si="584"/>
        <v>0</v>
      </c>
      <c r="DB65" s="39">
        <f t="shared" si="584"/>
        <v>0</v>
      </c>
      <c r="DC65" s="39">
        <f t="shared" si="584"/>
        <v>0</v>
      </c>
      <c r="DD65" s="40">
        <f t="shared" si="584"/>
        <v>0</v>
      </c>
      <c r="DE65" s="39">
        <f t="shared" si="584"/>
        <v>0</v>
      </c>
      <c r="DF65" s="39">
        <f t="shared" si="584"/>
        <v>0</v>
      </c>
      <c r="DG65" s="40">
        <f t="shared" si="584"/>
        <v>0</v>
      </c>
      <c r="DH65" s="39">
        <f t="shared" si="584"/>
        <v>0</v>
      </c>
      <c r="DI65" s="39">
        <f t="shared" si="584"/>
        <v>0</v>
      </c>
      <c r="DJ65" s="40">
        <f t="shared" si="584"/>
        <v>0</v>
      </c>
      <c r="DK65" s="39">
        <f t="shared" si="584"/>
        <v>0</v>
      </c>
      <c r="DL65" s="39">
        <f t="shared" si="584"/>
        <v>0</v>
      </c>
      <c r="DM65" s="40">
        <f t="shared" si="584"/>
        <v>0</v>
      </c>
      <c r="DN65" s="39">
        <f t="shared" si="584"/>
        <v>0</v>
      </c>
      <c r="DO65" s="39">
        <f t="shared" si="584"/>
        <v>0</v>
      </c>
      <c r="DP65" s="40">
        <f t="shared" si="584"/>
        <v>0</v>
      </c>
      <c r="DQ65" s="39">
        <f t="shared" si="584"/>
        <v>0</v>
      </c>
      <c r="DR65" s="39">
        <f t="shared" si="584"/>
        <v>0</v>
      </c>
      <c r="DS65" s="39">
        <f t="shared" si="584"/>
        <v>0</v>
      </c>
      <c r="DT65" s="39">
        <f t="shared" si="584"/>
        <v>0</v>
      </c>
      <c r="DU65" s="39">
        <f t="shared" si="584"/>
        <v>0</v>
      </c>
      <c r="DV65" s="40">
        <f t="shared" si="584"/>
        <v>0</v>
      </c>
    </row>
    <row r="66" spans="2:126" x14ac:dyDescent="0.6">
      <c r="B66" s="49" t="s">
        <v>50</v>
      </c>
      <c r="C66" s="53" t="s">
        <v>5</v>
      </c>
      <c r="D66" s="38"/>
      <c r="E66" s="36">
        <f t="shared" ref="E66:E72" si="585">+D66*$E$3</f>
        <v>0</v>
      </c>
      <c r="F66" s="37">
        <f t="shared" ref="F66:F72" si="586">+E66*$F$3</f>
        <v>0</v>
      </c>
      <c r="G66" s="38"/>
      <c r="H66" s="36">
        <f t="shared" ref="H66:H72" si="587">+G66*$H$3</f>
        <v>0</v>
      </c>
      <c r="I66" s="37">
        <f t="shared" ref="I66:I72" si="588">+H66*$I$3</f>
        <v>0</v>
      </c>
      <c r="J66" s="38"/>
      <c r="K66" s="36">
        <f t="shared" ref="K66:K72" si="589">+J66*$K$3</f>
        <v>0</v>
      </c>
      <c r="L66" s="37">
        <f t="shared" ref="L66:L72" si="590">+K66*$L$3</f>
        <v>0</v>
      </c>
      <c r="M66" s="38"/>
      <c r="N66" s="36">
        <f t="shared" ref="N66:N72" si="591">+M66*$N$3</f>
        <v>0</v>
      </c>
      <c r="O66" s="37">
        <f t="shared" ref="O66:O72" si="592">+N66*$O$3</f>
        <v>0</v>
      </c>
      <c r="P66" s="38"/>
      <c r="Q66" s="36">
        <f t="shared" ref="Q66:Q72" si="593">+P66*$Q$3</f>
        <v>0</v>
      </c>
      <c r="R66" s="37">
        <f t="shared" ref="R66:R72" si="594">+Q66*$R$3</f>
        <v>0</v>
      </c>
      <c r="S66" s="38"/>
      <c r="T66" s="36">
        <f t="shared" ref="T66:T72" si="595">+S66*$T$3</f>
        <v>0</v>
      </c>
      <c r="U66" s="37">
        <f t="shared" ref="U66:U72" si="596">+T66*$U$3</f>
        <v>0</v>
      </c>
      <c r="V66" s="38"/>
      <c r="W66" s="36">
        <f t="shared" ref="W66:W72" si="597">+V66*$W$3</f>
        <v>0</v>
      </c>
      <c r="X66" s="37">
        <f t="shared" ref="X66:X72" si="598">+W66*$X$3</f>
        <v>0</v>
      </c>
      <c r="Y66" s="38"/>
      <c r="Z66" s="36">
        <f t="shared" ref="Z66:Z72" si="599">+Y66*$Z$3</f>
        <v>0</v>
      </c>
      <c r="AA66" s="37">
        <f t="shared" ref="AA66:AA72" si="600">+Z66*$AA$3</f>
        <v>0</v>
      </c>
      <c r="AB66" s="38"/>
      <c r="AC66" s="36">
        <f t="shared" ref="AC66:AC72" si="601">+AB66*$AC$3</f>
        <v>0</v>
      </c>
      <c r="AD66" s="37">
        <f t="shared" ref="AD66:AD72" si="602">+AC66*$AD$3</f>
        <v>0</v>
      </c>
      <c r="AE66" s="38"/>
      <c r="AF66" s="36">
        <f t="shared" ref="AF66:AF72" si="603">+AE66*$AF$3</f>
        <v>0</v>
      </c>
      <c r="AG66" s="37">
        <f t="shared" ref="AG66:AG72" si="604">+AF66*$AG$3</f>
        <v>0</v>
      </c>
      <c r="AH66" s="38"/>
      <c r="AI66" s="36">
        <f t="shared" ref="AI66:AI72" si="605">+AH66*$AI$3</f>
        <v>0</v>
      </c>
      <c r="AJ66" s="37">
        <f t="shared" ref="AJ66:AJ72" si="606">+AI66*$AJ$3</f>
        <v>0</v>
      </c>
      <c r="AK66" s="38"/>
      <c r="AL66" s="36">
        <f t="shared" ref="AL66:AL72" si="607">+AK66*$AL$3</f>
        <v>0</v>
      </c>
      <c r="AM66" s="37">
        <f t="shared" ref="AM66:AM72" si="608">+AL66*$AM$3</f>
        <v>0</v>
      </c>
      <c r="AN66" s="38"/>
      <c r="AO66" s="36">
        <f t="shared" ref="AO66:AO72" si="609">+AN66*$AO$3</f>
        <v>0</v>
      </c>
      <c r="AP66" s="37">
        <f t="shared" ref="AP66:AP72" si="610">+AO66*$AP$3</f>
        <v>0</v>
      </c>
      <c r="AQ66" s="38"/>
      <c r="AR66" s="36">
        <f t="shared" ref="AR66:AR72" si="611">+AQ66*$AR$3</f>
        <v>0</v>
      </c>
      <c r="AS66" s="37">
        <f t="shared" ref="AS66:AS72" si="612">+AR66*$AS$3</f>
        <v>0</v>
      </c>
      <c r="AT66" s="38"/>
      <c r="AU66" s="36">
        <f t="shared" ref="AU66:AU72" si="613">+AT66*$AU$3</f>
        <v>0</v>
      </c>
      <c r="AV66" s="37">
        <f t="shared" ref="AV66:AV72" si="614">+AU66*$AV$3</f>
        <v>0</v>
      </c>
      <c r="AW66" s="38"/>
      <c r="AX66" s="36">
        <f t="shared" ref="AX66:AX72" si="615">+AW66*$AX$3</f>
        <v>0</v>
      </c>
      <c r="AY66" s="37">
        <f t="shared" ref="AY66:AY72" si="616">+AX66*$AY$3</f>
        <v>0</v>
      </c>
      <c r="AZ66" s="38"/>
      <c r="BA66" s="36">
        <f t="shared" ref="BA66:BA72" si="617">+AZ66*$BA$3</f>
        <v>0</v>
      </c>
      <c r="BB66" s="37">
        <f t="shared" ref="BB66:BB72" si="618">+BA66*$BB$3</f>
        <v>0</v>
      </c>
      <c r="BC66" s="38"/>
      <c r="BD66" s="36">
        <f t="shared" ref="BD66:BD72" si="619">+BC66*$BD$3</f>
        <v>0</v>
      </c>
      <c r="BE66" s="37">
        <f t="shared" ref="BE66:BE72" si="620">+BD66*$BE$3</f>
        <v>0</v>
      </c>
      <c r="BF66" s="38"/>
      <c r="BG66" s="36">
        <f t="shared" ref="BG66:BG72" si="621">+BF66*$BG$3</f>
        <v>0</v>
      </c>
      <c r="BH66" s="37">
        <f t="shared" ref="BH66:BH72" si="622">+BG66*$BH$3</f>
        <v>0</v>
      </c>
      <c r="BI66" s="38"/>
      <c r="BJ66" s="36">
        <f t="shared" ref="BJ66:BJ72" si="623">+BI66*$BJ$3</f>
        <v>0</v>
      </c>
      <c r="BK66" s="37">
        <f t="shared" ref="BK66:BK72" si="624">+BJ66*$BK$3</f>
        <v>0</v>
      </c>
      <c r="BL66" s="38"/>
      <c r="BM66" s="36">
        <f t="shared" ref="BM66:BM72" si="625">+BL66*$BM$3</f>
        <v>0</v>
      </c>
      <c r="BN66" s="37">
        <f t="shared" ref="BN66:BN72" si="626">+BM66*$BN$3</f>
        <v>0</v>
      </c>
      <c r="BO66" s="38"/>
      <c r="BP66" s="36">
        <f t="shared" ref="BP66:BP72" si="627">+BO66*$BP$3</f>
        <v>0</v>
      </c>
      <c r="BQ66" s="37">
        <f t="shared" ref="BQ66:BQ72" si="628">+BP66*$BQ$3</f>
        <v>0</v>
      </c>
      <c r="BR66" s="38"/>
      <c r="BS66" s="36">
        <f t="shared" ref="BS66:BS72" si="629">+BR66*$BS$3</f>
        <v>0</v>
      </c>
      <c r="BT66" s="37">
        <f t="shared" ref="BT66:BT72" si="630">+BS66*$BT$3</f>
        <v>0</v>
      </c>
      <c r="BU66" s="38"/>
      <c r="BV66" s="36">
        <f t="shared" ref="BV66:BV72" si="631">+BU66*$BV$3</f>
        <v>0</v>
      </c>
      <c r="BW66" s="37">
        <f t="shared" ref="BW66:BW72" si="632">+BV66*$BW$3</f>
        <v>0</v>
      </c>
      <c r="BX66" s="38"/>
      <c r="BY66" s="36">
        <f t="shared" ref="BY66:BY72" si="633">+BX66*$BY$3</f>
        <v>0</v>
      </c>
      <c r="BZ66" s="37">
        <f t="shared" ref="BZ66:BZ72" si="634">+BY66*$BZ$3</f>
        <v>0</v>
      </c>
      <c r="CA66" s="38"/>
      <c r="CB66" s="36">
        <f t="shared" ref="CB66:CB72" si="635">+CA66*$CB$3</f>
        <v>0</v>
      </c>
      <c r="CC66" s="37">
        <f t="shared" ref="CC66:CC72" si="636">+CB66*$CC$3</f>
        <v>0</v>
      </c>
      <c r="CD66" s="38"/>
      <c r="CE66" s="36">
        <f t="shared" ref="CE66:CE72" si="637">+CD66*$CE$3</f>
        <v>0</v>
      </c>
      <c r="CF66" s="37">
        <f t="shared" ref="CF66:CF72" si="638">+CE66*$CF$3</f>
        <v>0</v>
      </c>
      <c r="CG66" s="38"/>
      <c r="CH66" s="36">
        <f t="shared" ref="CH66:CH72" si="639">+CG66*$CH$3</f>
        <v>0</v>
      </c>
      <c r="CI66" s="37">
        <f t="shared" ref="CI66:CI72" si="640">+CH66*$CI$3</f>
        <v>0</v>
      </c>
      <c r="CJ66" s="38"/>
      <c r="CK66" s="36">
        <f t="shared" ref="CK66:CK72" si="641">+CJ66*$CK$3</f>
        <v>0</v>
      </c>
      <c r="CL66" s="37">
        <f t="shared" ref="CL66:CL72" si="642">+CK66*$CL$3</f>
        <v>0</v>
      </c>
      <c r="CM66" s="38"/>
      <c r="CN66" s="36">
        <f t="shared" ref="CN66:CN72" si="643">+CM66*$CN$3</f>
        <v>0</v>
      </c>
      <c r="CO66" s="37">
        <f t="shared" ref="CO66:CO72" si="644">+CN66*$CO$3</f>
        <v>0</v>
      </c>
      <c r="CP66" s="38"/>
      <c r="CQ66" s="36">
        <f t="shared" ref="CQ66:CQ72" si="645">+CP66*$CQ$3</f>
        <v>0</v>
      </c>
      <c r="CR66" s="37">
        <f t="shared" ref="CR66:CR72" si="646">+CQ66*$CR$3</f>
        <v>0</v>
      </c>
      <c r="CS66" s="38"/>
      <c r="CT66" s="36">
        <f t="shared" ref="CT66:CT72" si="647">+CS66*$CT$3</f>
        <v>0</v>
      </c>
      <c r="CU66" s="37">
        <f t="shared" ref="CU66:CU72" si="648">+CT66*$CU$3</f>
        <v>0</v>
      </c>
      <c r="CV66" s="38"/>
      <c r="CW66" s="36">
        <f t="shared" ref="CW66:CW72" si="649">+CV66*$CW$3</f>
        <v>0</v>
      </c>
      <c r="CX66" s="37">
        <f t="shared" ref="CX66:CX72" si="650">+CW66*$CX$3</f>
        <v>0</v>
      </c>
      <c r="CY66" s="38"/>
      <c r="CZ66" s="36">
        <f t="shared" ref="CZ66:CZ72" si="651">+CY66*$CZ$3</f>
        <v>0</v>
      </c>
      <c r="DA66" s="37">
        <f t="shared" ref="DA66:DA72" si="652">+CZ66*$DA$3</f>
        <v>0</v>
      </c>
      <c r="DB66" s="38"/>
      <c r="DC66" s="36">
        <f t="shared" ref="DC66:DC72" si="653">+DB66*$DC$3</f>
        <v>0</v>
      </c>
      <c r="DD66" s="37">
        <f t="shared" ref="DD66:DD72" si="654">+DC66*$DD$3</f>
        <v>0</v>
      </c>
      <c r="DE66" s="38"/>
      <c r="DF66" s="36">
        <f t="shared" ref="DF66:DF72" si="655">+DE66*$DF$3</f>
        <v>0</v>
      </c>
      <c r="DG66" s="37">
        <f t="shared" ref="DG66:DG72" si="656">+DF66*$DG$3</f>
        <v>0</v>
      </c>
      <c r="DH66" s="38"/>
      <c r="DI66" s="36">
        <f t="shared" ref="DI66:DI72" si="657">+DH66*$DI$3</f>
        <v>0</v>
      </c>
      <c r="DJ66" s="37">
        <f t="shared" ref="DJ66:DJ72" si="658">+DI66*$DJ$3</f>
        <v>0</v>
      </c>
      <c r="DK66" s="38"/>
      <c r="DL66" s="36">
        <f t="shared" ref="DL66:DL72" si="659">+DK66*$DL$3</f>
        <v>0</v>
      </c>
      <c r="DM66" s="37">
        <f t="shared" ref="DM66:DM72" si="660">+DL66*$DM$3</f>
        <v>0</v>
      </c>
      <c r="DN66" s="38"/>
      <c r="DO66" s="36">
        <f t="shared" ref="DO66:DO72" si="661">+DN66*$DO$3</f>
        <v>0</v>
      </c>
      <c r="DP66" s="37">
        <f t="shared" ref="DP66:DP72" si="662">+DO66*$DP$3</f>
        <v>0</v>
      </c>
      <c r="DQ66" s="38"/>
      <c r="DR66" s="38"/>
      <c r="DS66" s="38"/>
      <c r="DT66" s="33">
        <f t="shared" ref="DT66:DT72" si="663">D66+G66+J66+M66+P66+S66+V66+Y66+AB66+AE66+AH66+AK66+AN66+AQ66+AT66+AW66+AZ66+BC66+BF66+BI66+BL66+BO66+BR66+BU66+BX66+CA66+CD66+CG66+CJ66+CM66+CP66+CS66+CV66+CY66+DB66+DE66+DH66+DK66+DN66</f>
        <v>0</v>
      </c>
      <c r="DU66" s="33">
        <f t="shared" ref="DU66:DU72" si="664">E66+H66+K66+N66+Q66+T66+W66+Z66+AC66+AF66+AI66+AL66+AO66+AR66+AU66+AX66+BA66+BD66+BG66+BJ66+BM66+BP66+BS66+BV66+BY66+CB66+CE66+CH66+CK66+CN66+CQ66+CT66+CW66+CZ66+DC66+DF66+DI66+DL66+DO66</f>
        <v>0</v>
      </c>
      <c r="DV66" s="33">
        <f t="shared" ref="DV66:DV72" si="665">F66+I66+L66+O66+R66+U66+X66+AA66+AD66+AG66+AJ66+AM66+AP66+AS66+AV66+AY66+BB66+BE66+BH66+BK66+BN66+BQ66+BT66+BW66+BZ66+CC66+CF66+CI66+CL66+CO66+CR66+CU66+CX66+DA66+DD66+DG66+DJ66+DM66+DP66</f>
        <v>0</v>
      </c>
    </row>
    <row r="67" spans="2:126" x14ac:dyDescent="0.6">
      <c r="B67" s="49" t="s">
        <v>51</v>
      </c>
      <c r="C67" s="54"/>
      <c r="D67" s="38"/>
      <c r="E67" s="36">
        <f t="shared" si="585"/>
        <v>0</v>
      </c>
      <c r="F67" s="37">
        <f t="shared" si="586"/>
        <v>0</v>
      </c>
      <c r="G67" s="38"/>
      <c r="H67" s="36">
        <f t="shared" si="587"/>
        <v>0</v>
      </c>
      <c r="I67" s="37">
        <f t="shared" si="588"/>
        <v>0</v>
      </c>
      <c r="J67" s="38"/>
      <c r="K67" s="36">
        <f t="shared" si="589"/>
        <v>0</v>
      </c>
      <c r="L67" s="37">
        <f t="shared" si="590"/>
        <v>0</v>
      </c>
      <c r="M67" s="38"/>
      <c r="N67" s="36">
        <f t="shared" si="591"/>
        <v>0</v>
      </c>
      <c r="O67" s="37">
        <f t="shared" si="592"/>
        <v>0</v>
      </c>
      <c r="P67" s="38"/>
      <c r="Q67" s="36">
        <f t="shared" si="593"/>
        <v>0</v>
      </c>
      <c r="R67" s="37">
        <f t="shared" si="594"/>
        <v>0</v>
      </c>
      <c r="S67" s="38"/>
      <c r="T67" s="36">
        <f t="shared" si="595"/>
        <v>0</v>
      </c>
      <c r="U67" s="37">
        <f t="shared" si="596"/>
        <v>0</v>
      </c>
      <c r="V67" s="38"/>
      <c r="W67" s="36">
        <f t="shared" si="597"/>
        <v>0</v>
      </c>
      <c r="X67" s="37">
        <f t="shared" si="598"/>
        <v>0</v>
      </c>
      <c r="Y67" s="38"/>
      <c r="Z67" s="36">
        <f t="shared" si="599"/>
        <v>0</v>
      </c>
      <c r="AA67" s="37">
        <f t="shared" si="600"/>
        <v>0</v>
      </c>
      <c r="AB67" s="38"/>
      <c r="AC67" s="36">
        <f t="shared" si="601"/>
        <v>0</v>
      </c>
      <c r="AD67" s="37">
        <f t="shared" si="602"/>
        <v>0</v>
      </c>
      <c r="AE67" s="38"/>
      <c r="AF67" s="36">
        <f t="shared" si="603"/>
        <v>0</v>
      </c>
      <c r="AG67" s="37">
        <f t="shared" si="604"/>
        <v>0</v>
      </c>
      <c r="AH67" s="38"/>
      <c r="AI67" s="36">
        <f t="shared" si="605"/>
        <v>0</v>
      </c>
      <c r="AJ67" s="37">
        <f t="shared" si="606"/>
        <v>0</v>
      </c>
      <c r="AK67" s="38"/>
      <c r="AL67" s="36">
        <f t="shared" si="607"/>
        <v>0</v>
      </c>
      <c r="AM67" s="37">
        <f t="shared" si="608"/>
        <v>0</v>
      </c>
      <c r="AN67" s="38"/>
      <c r="AO67" s="36">
        <f t="shared" si="609"/>
        <v>0</v>
      </c>
      <c r="AP67" s="37">
        <f t="shared" si="610"/>
        <v>0</v>
      </c>
      <c r="AQ67" s="38"/>
      <c r="AR67" s="36">
        <f t="shared" si="611"/>
        <v>0</v>
      </c>
      <c r="AS67" s="37">
        <f t="shared" si="612"/>
        <v>0</v>
      </c>
      <c r="AT67" s="38"/>
      <c r="AU67" s="36">
        <f t="shared" si="613"/>
        <v>0</v>
      </c>
      <c r="AV67" s="37">
        <f t="shared" si="614"/>
        <v>0</v>
      </c>
      <c r="AW67" s="38"/>
      <c r="AX67" s="36">
        <f t="shared" si="615"/>
        <v>0</v>
      </c>
      <c r="AY67" s="37">
        <f t="shared" si="616"/>
        <v>0</v>
      </c>
      <c r="AZ67" s="38"/>
      <c r="BA67" s="36">
        <f t="shared" si="617"/>
        <v>0</v>
      </c>
      <c r="BB67" s="37">
        <f t="shared" si="618"/>
        <v>0</v>
      </c>
      <c r="BC67" s="38"/>
      <c r="BD67" s="36">
        <f t="shared" si="619"/>
        <v>0</v>
      </c>
      <c r="BE67" s="37">
        <f t="shared" si="620"/>
        <v>0</v>
      </c>
      <c r="BF67" s="38"/>
      <c r="BG67" s="36">
        <f t="shared" si="621"/>
        <v>0</v>
      </c>
      <c r="BH67" s="37">
        <f t="shared" si="622"/>
        <v>0</v>
      </c>
      <c r="BI67" s="38"/>
      <c r="BJ67" s="36">
        <f t="shared" si="623"/>
        <v>0</v>
      </c>
      <c r="BK67" s="37">
        <f t="shared" si="624"/>
        <v>0</v>
      </c>
      <c r="BL67" s="38"/>
      <c r="BM67" s="36">
        <f t="shared" si="625"/>
        <v>0</v>
      </c>
      <c r="BN67" s="37">
        <f t="shared" si="626"/>
        <v>0</v>
      </c>
      <c r="BO67" s="38"/>
      <c r="BP67" s="36">
        <f t="shared" si="627"/>
        <v>0</v>
      </c>
      <c r="BQ67" s="37">
        <f t="shared" si="628"/>
        <v>0</v>
      </c>
      <c r="BR67" s="38"/>
      <c r="BS67" s="36">
        <f t="shared" si="629"/>
        <v>0</v>
      </c>
      <c r="BT67" s="37">
        <f t="shared" si="630"/>
        <v>0</v>
      </c>
      <c r="BU67" s="38"/>
      <c r="BV67" s="36">
        <f t="shared" si="631"/>
        <v>0</v>
      </c>
      <c r="BW67" s="37">
        <f t="shared" si="632"/>
        <v>0</v>
      </c>
      <c r="BX67" s="38"/>
      <c r="BY67" s="36">
        <f t="shared" si="633"/>
        <v>0</v>
      </c>
      <c r="BZ67" s="37">
        <f t="shared" si="634"/>
        <v>0</v>
      </c>
      <c r="CA67" s="38"/>
      <c r="CB67" s="36">
        <f t="shared" si="635"/>
        <v>0</v>
      </c>
      <c r="CC67" s="37">
        <f t="shared" si="636"/>
        <v>0</v>
      </c>
      <c r="CD67" s="38"/>
      <c r="CE67" s="36">
        <f t="shared" si="637"/>
        <v>0</v>
      </c>
      <c r="CF67" s="37">
        <f t="shared" si="638"/>
        <v>0</v>
      </c>
      <c r="CG67" s="38"/>
      <c r="CH67" s="36">
        <f t="shared" si="639"/>
        <v>0</v>
      </c>
      <c r="CI67" s="37">
        <f t="shared" si="640"/>
        <v>0</v>
      </c>
      <c r="CJ67" s="38"/>
      <c r="CK67" s="36">
        <f t="shared" si="641"/>
        <v>0</v>
      </c>
      <c r="CL67" s="37">
        <f t="shared" si="642"/>
        <v>0</v>
      </c>
      <c r="CM67" s="38"/>
      <c r="CN67" s="36">
        <f t="shared" si="643"/>
        <v>0</v>
      </c>
      <c r="CO67" s="37">
        <f t="shared" si="644"/>
        <v>0</v>
      </c>
      <c r="CP67" s="38"/>
      <c r="CQ67" s="36">
        <f t="shared" si="645"/>
        <v>0</v>
      </c>
      <c r="CR67" s="37">
        <f t="shared" si="646"/>
        <v>0</v>
      </c>
      <c r="CS67" s="38"/>
      <c r="CT67" s="36">
        <f t="shared" si="647"/>
        <v>0</v>
      </c>
      <c r="CU67" s="37">
        <f t="shared" si="648"/>
        <v>0</v>
      </c>
      <c r="CV67" s="38"/>
      <c r="CW67" s="36">
        <f t="shared" si="649"/>
        <v>0</v>
      </c>
      <c r="CX67" s="37">
        <f t="shared" si="650"/>
        <v>0</v>
      </c>
      <c r="CY67" s="38"/>
      <c r="CZ67" s="36">
        <f t="shared" si="651"/>
        <v>0</v>
      </c>
      <c r="DA67" s="37">
        <f t="shared" si="652"/>
        <v>0</v>
      </c>
      <c r="DB67" s="38"/>
      <c r="DC67" s="36">
        <f t="shared" si="653"/>
        <v>0</v>
      </c>
      <c r="DD67" s="37">
        <f t="shared" si="654"/>
        <v>0</v>
      </c>
      <c r="DE67" s="38"/>
      <c r="DF67" s="36">
        <f t="shared" si="655"/>
        <v>0</v>
      </c>
      <c r="DG67" s="37">
        <f t="shared" si="656"/>
        <v>0</v>
      </c>
      <c r="DH67" s="38"/>
      <c r="DI67" s="36">
        <f t="shared" si="657"/>
        <v>0</v>
      </c>
      <c r="DJ67" s="37">
        <f t="shared" si="658"/>
        <v>0</v>
      </c>
      <c r="DK67" s="38"/>
      <c r="DL67" s="36">
        <f t="shared" si="659"/>
        <v>0</v>
      </c>
      <c r="DM67" s="37">
        <f t="shared" si="660"/>
        <v>0</v>
      </c>
      <c r="DN67" s="38"/>
      <c r="DO67" s="36">
        <f t="shared" si="661"/>
        <v>0</v>
      </c>
      <c r="DP67" s="37">
        <f t="shared" si="662"/>
        <v>0</v>
      </c>
      <c r="DQ67" s="38"/>
      <c r="DR67" s="38"/>
      <c r="DS67" s="38"/>
      <c r="DT67" s="33">
        <f t="shared" si="663"/>
        <v>0</v>
      </c>
      <c r="DU67" s="33">
        <f t="shared" si="664"/>
        <v>0</v>
      </c>
      <c r="DV67" s="33">
        <f t="shared" si="665"/>
        <v>0</v>
      </c>
    </row>
    <row r="68" spans="2:126" x14ac:dyDescent="0.6">
      <c r="B68" s="49" t="s">
        <v>52</v>
      </c>
      <c r="C68" s="54"/>
      <c r="D68" s="38"/>
      <c r="E68" s="36">
        <f t="shared" si="585"/>
        <v>0</v>
      </c>
      <c r="F68" s="37">
        <f t="shared" si="586"/>
        <v>0</v>
      </c>
      <c r="G68" s="38"/>
      <c r="H68" s="36">
        <f t="shared" si="587"/>
        <v>0</v>
      </c>
      <c r="I68" s="37">
        <f t="shared" si="588"/>
        <v>0</v>
      </c>
      <c r="J68" s="38"/>
      <c r="K68" s="36">
        <f t="shared" si="589"/>
        <v>0</v>
      </c>
      <c r="L68" s="37">
        <f t="shared" si="590"/>
        <v>0</v>
      </c>
      <c r="M68" s="38"/>
      <c r="N68" s="36">
        <f t="shared" si="591"/>
        <v>0</v>
      </c>
      <c r="O68" s="37">
        <f t="shared" si="592"/>
        <v>0</v>
      </c>
      <c r="P68" s="38"/>
      <c r="Q68" s="36">
        <f t="shared" si="593"/>
        <v>0</v>
      </c>
      <c r="R68" s="37">
        <f t="shared" si="594"/>
        <v>0</v>
      </c>
      <c r="S68" s="38"/>
      <c r="T68" s="36">
        <f t="shared" si="595"/>
        <v>0</v>
      </c>
      <c r="U68" s="37">
        <f t="shared" si="596"/>
        <v>0</v>
      </c>
      <c r="V68" s="38"/>
      <c r="W68" s="36">
        <f t="shared" si="597"/>
        <v>0</v>
      </c>
      <c r="X68" s="37">
        <f t="shared" si="598"/>
        <v>0</v>
      </c>
      <c r="Y68" s="38"/>
      <c r="Z68" s="36">
        <f t="shared" si="599"/>
        <v>0</v>
      </c>
      <c r="AA68" s="37">
        <f t="shared" si="600"/>
        <v>0</v>
      </c>
      <c r="AB68" s="38"/>
      <c r="AC68" s="36">
        <f t="shared" si="601"/>
        <v>0</v>
      </c>
      <c r="AD68" s="37">
        <f t="shared" si="602"/>
        <v>0</v>
      </c>
      <c r="AE68" s="38"/>
      <c r="AF68" s="36">
        <f t="shared" si="603"/>
        <v>0</v>
      </c>
      <c r="AG68" s="37">
        <f t="shared" si="604"/>
        <v>0</v>
      </c>
      <c r="AH68" s="38"/>
      <c r="AI68" s="36">
        <f t="shared" si="605"/>
        <v>0</v>
      </c>
      <c r="AJ68" s="37">
        <f t="shared" si="606"/>
        <v>0</v>
      </c>
      <c r="AK68" s="38"/>
      <c r="AL68" s="36">
        <f t="shared" si="607"/>
        <v>0</v>
      </c>
      <c r="AM68" s="37">
        <f t="shared" si="608"/>
        <v>0</v>
      </c>
      <c r="AN68" s="38"/>
      <c r="AO68" s="36">
        <f t="shared" si="609"/>
        <v>0</v>
      </c>
      <c r="AP68" s="37">
        <f t="shared" si="610"/>
        <v>0</v>
      </c>
      <c r="AQ68" s="38"/>
      <c r="AR68" s="36">
        <f t="shared" si="611"/>
        <v>0</v>
      </c>
      <c r="AS68" s="37">
        <f t="shared" si="612"/>
        <v>0</v>
      </c>
      <c r="AT68" s="38"/>
      <c r="AU68" s="36">
        <f t="shared" si="613"/>
        <v>0</v>
      </c>
      <c r="AV68" s="37">
        <f t="shared" si="614"/>
        <v>0</v>
      </c>
      <c r="AW68" s="38"/>
      <c r="AX68" s="36">
        <f t="shared" si="615"/>
        <v>0</v>
      </c>
      <c r="AY68" s="37">
        <f t="shared" si="616"/>
        <v>0</v>
      </c>
      <c r="AZ68" s="38"/>
      <c r="BA68" s="36">
        <f t="shared" si="617"/>
        <v>0</v>
      </c>
      <c r="BB68" s="37">
        <f t="shared" si="618"/>
        <v>0</v>
      </c>
      <c r="BC68" s="38"/>
      <c r="BD68" s="36">
        <f t="shared" si="619"/>
        <v>0</v>
      </c>
      <c r="BE68" s="37">
        <f t="shared" si="620"/>
        <v>0</v>
      </c>
      <c r="BF68" s="38"/>
      <c r="BG68" s="36">
        <f t="shared" si="621"/>
        <v>0</v>
      </c>
      <c r="BH68" s="37">
        <f t="shared" si="622"/>
        <v>0</v>
      </c>
      <c r="BI68" s="38"/>
      <c r="BJ68" s="36">
        <f t="shared" si="623"/>
        <v>0</v>
      </c>
      <c r="BK68" s="37">
        <f t="shared" si="624"/>
        <v>0</v>
      </c>
      <c r="BL68" s="38"/>
      <c r="BM68" s="36">
        <f t="shared" si="625"/>
        <v>0</v>
      </c>
      <c r="BN68" s="37">
        <f t="shared" si="626"/>
        <v>0</v>
      </c>
      <c r="BO68" s="38"/>
      <c r="BP68" s="36">
        <f t="shared" si="627"/>
        <v>0</v>
      </c>
      <c r="BQ68" s="37">
        <f t="shared" si="628"/>
        <v>0</v>
      </c>
      <c r="BR68" s="38"/>
      <c r="BS68" s="36">
        <f t="shared" si="629"/>
        <v>0</v>
      </c>
      <c r="BT68" s="37">
        <f t="shared" si="630"/>
        <v>0</v>
      </c>
      <c r="BU68" s="38"/>
      <c r="BV68" s="36">
        <f t="shared" si="631"/>
        <v>0</v>
      </c>
      <c r="BW68" s="37">
        <f t="shared" si="632"/>
        <v>0</v>
      </c>
      <c r="BX68" s="38"/>
      <c r="BY68" s="36">
        <f t="shared" si="633"/>
        <v>0</v>
      </c>
      <c r="BZ68" s="37">
        <f t="shared" si="634"/>
        <v>0</v>
      </c>
      <c r="CA68" s="38"/>
      <c r="CB68" s="36">
        <f t="shared" si="635"/>
        <v>0</v>
      </c>
      <c r="CC68" s="37">
        <f t="shared" si="636"/>
        <v>0</v>
      </c>
      <c r="CD68" s="38"/>
      <c r="CE68" s="36">
        <f t="shared" si="637"/>
        <v>0</v>
      </c>
      <c r="CF68" s="37">
        <f t="shared" si="638"/>
        <v>0</v>
      </c>
      <c r="CG68" s="38"/>
      <c r="CH68" s="36">
        <f t="shared" si="639"/>
        <v>0</v>
      </c>
      <c r="CI68" s="37">
        <f t="shared" si="640"/>
        <v>0</v>
      </c>
      <c r="CJ68" s="38"/>
      <c r="CK68" s="36">
        <f t="shared" si="641"/>
        <v>0</v>
      </c>
      <c r="CL68" s="37">
        <f t="shared" si="642"/>
        <v>0</v>
      </c>
      <c r="CM68" s="38"/>
      <c r="CN68" s="36">
        <f t="shared" si="643"/>
        <v>0</v>
      </c>
      <c r="CO68" s="37">
        <f t="shared" si="644"/>
        <v>0</v>
      </c>
      <c r="CP68" s="38"/>
      <c r="CQ68" s="36">
        <f t="shared" si="645"/>
        <v>0</v>
      </c>
      <c r="CR68" s="37">
        <f t="shared" si="646"/>
        <v>0</v>
      </c>
      <c r="CS68" s="38"/>
      <c r="CT68" s="36">
        <f t="shared" si="647"/>
        <v>0</v>
      </c>
      <c r="CU68" s="37">
        <f t="shared" si="648"/>
        <v>0</v>
      </c>
      <c r="CV68" s="38"/>
      <c r="CW68" s="36">
        <f t="shared" si="649"/>
        <v>0</v>
      </c>
      <c r="CX68" s="37">
        <f t="shared" si="650"/>
        <v>0</v>
      </c>
      <c r="CY68" s="38"/>
      <c r="CZ68" s="36">
        <f t="shared" si="651"/>
        <v>0</v>
      </c>
      <c r="DA68" s="37">
        <f t="shared" si="652"/>
        <v>0</v>
      </c>
      <c r="DB68" s="38"/>
      <c r="DC68" s="36">
        <f t="shared" si="653"/>
        <v>0</v>
      </c>
      <c r="DD68" s="37">
        <f t="shared" si="654"/>
        <v>0</v>
      </c>
      <c r="DE68" s="38"/>
      <c r="DF68" s="36">
        <f t="shared" si="655"/>
        <v>0</v>
      </c>
      <c r="DG68" s="37">
        <f t="shared" si="656"/>
        <v>0</v>
      </c>
      <c r="DH68" s="38"/>
      <c r="DI68" s="36">
        <f t="shared" si="657"/>
        <v>0</v>
      </c>
      <c r="DJ68" s="37">
        <f t="shared" si="658"/>
        <v>0</v>
      </c>
      <c r="DK68" s="38"/>
      <c r="DL68" s="36">
        <f t="shared" si="659"/>
        <v>0</v>
      </c>
      <c r="DM68" s="37">
        <f t="shared" si="660"/>
        <v>0</v>
      </c>
      <c r="DN68" s="38"/>
      <c r="DO68" s="36">
        <f t="shared" si="661"/>
        <v>0</v>
      </c>
      <c r="DP68" s="37">
        <f t="shared" si="662"/>
        <v>0</v>
      </c>
      <c r="DQ68" s="38"/>
      <c r="DR68" s="38"/>
      <c r="DS68" s="38"/>
      <c r="DT68" s="33">
        <f t="shared" si="663"/>
        <v>0</v>
      </c>
      <c r="DU68" s="33">
        <f t="shared" si="664"/>
        <v>0</v>
      </c>
      <c r="DV68" s="33">
        <f t="shared" si="665"/>
        <v>0</v>
      </c>
    </row>
    <row r="69" spans="2:126" x14ac:dyDescent="0.6">
      <c r="B69" s="49" t="s">
        <v>53</v>
      </c>
      <c r="C69" s="54"/>
      <c r="D69" s="38"/>
      <c r="E69" s="36">
        <f t="shared" si="585"/>
        <v>0</v>
      </c>
      <c r="F69" s="37">
        <f t="shared" si="586"/>
        <v>0</v>
      </c>
      <c r="G69" s="38"/>
      <c r="H69" s="36">
        <f t="shared" si="587"/>
        <v>0</v>
      </c>
      <c r="I69" s="37">
        <f t="shared" si="588"/>
        <v>0</v>
      </c>
      <c r="J69" s="38"/>
      <c r="K69" s="36">
        <f t="shared" si="589"/>
        <v>0</v>
      </c>
      <c r="L69" s="37">
        <f t="shared" si="590"/>
        <v>0</v>
      </c>
      <c r="M69" s="38"/>
      <c r="N69" s="36">
        <f t="shared" si="591"/>
        <v>0</v>
      </c>
      <c r="O69" s="37">
        <f t="shared" si="592"/>
        <v>0</v>
      </c>
      <c r="P69" s="38"/>
      <c r="Q69" s="36">
        <f t="shared" si="593"/>
        <v>0</v>
      </c>
      <c r="R69" s="37">
        <f t="shared" si="594"/>
        <v>0</v>
      </c>
      <c r="S69" s="38"/>
      <c r="T69" s="36">
        <f t="shared" si="595"/>
        <v>0</v>
      </c>
      <c r="U69" s="37">
        <f t="shared" si="596"/>
        <v>0</v>
      </c>
      <c r="V69" s="38"/>
      <c r="W69" s="36">
        <f t="shared" si="597"/>
        <v>0</v>
      </c>
      <c r="X69" s="37">
        <f t="shared" si="598"/>
        <v>0</v>
      </c>
      <c r="Y69" s="38"/>
      <c r="Z69" s="36">
        <f t="shared" si="599"/>
        <v>0</v>
      </c>
      <c r="AA69" s="37">
        <f t="shared" si="600"/>
        <v>0</v>
      </c>
      <c r="AB69" s="38"/>
      <c r="AC69" s="36">
        <f t="shared" si="601"/>
        <v>0</v>
      </c>
      <c r="AD69" s="37">
        <f t="shared" si="602"/>
        <v>0</v>
      </c>
      <c r="AE69" s="38"/>
      <c r="AF69" s="36">
        <f t="shared" si="603"/>
        <v>0</v>
      </c>
      <c r="AG69" s="37">
        <f t="shared" si="604"/>
        <v>0</v>
      </c>
      <c r="AH69" s="38"/>
      <c r="AI69" s="36">
        <f t="shared" si="605"/>
        <v>0</v>
      </c>
      <c r="AJ69" s="37">
        <f t="shared" si="606"/>
        <v>0</v>
      </c>
      <c r="AK69" s="38"/>
      <c r="AL69" s="36">
        <f t="shared" si="607"/>
        <v>0</v>
      </c>
      <c r="AM69" s="37">
        <f t="shared" si="608"/>
        <v>0</v>
      </c>
      <c r="AN69" s="38"/>
      <c r="AO69" s="36">
        <f t="shared" si="609"/>
        <v>0</v>
      </c>
      <c r="AP69" s="37">
        <f t="shared" si="610"/>
        <v>0</v>
      </c>
      <c r="AQ69" s="38"/>
      <c r="AR69" s="36">
        <f t="shared" si="611"/>
        <v>0</v>
      </c>
      <c r="AS69" s="37">
        <f t="shared" si="612"/>
        <v>0</v>
      </c>
      <c r="AT69" s="38"/>
      <c r="AU69" s="36">
        <f t="shared" si="613"/>
        <v>0</v>
      </c>
      <c r="AV69" s="37">
        <f t="shared" si="614"/>
        <v>0</v>
      </c>
      <c r="AW69" s="38"/>
      <c r="AX69" s="36">
        <f t="shared" si="615"/>
        <v>0</v>
      </c>
      <c r="AY69" s="37">
        <f t="shared" si="616"/>
        <v>0</v>
      </c>
      <c r="AZ69" s="38"/>
      <c r="BA69" s="36">
        <f t="shared" si="617"/>
        <v>0</v>
      </c>
      <c r="BB69" s="37">
        <f t="shared" si="618"/>
        <v>0</v>
      </c>
      <c r="BC69" s="38"/>
      <c r="BD69" s="36">
        <f t="shared" si="619"/>
        <v>0</v>
      </c>
      <c r="BE69" s="37">
        <f t="shared" si="620"/>
        <v>0</v>
      </c>
      <c r="BF69" s="38"/>
      <c r="BG69" s="36">
        <f t="shared" si="621"/>
        <v>0</v>
      </c>
      <c r="BH69" s="37">
        <f t="shared" si="622"/>
        <v>0</v>
      </c>
      <c r="BI69" s="38"/>
      <c r="BJ69" s="36">
        <f t="shared" si="623"/>
        <v>0</v>
      </c>
      <c r="BK69" s="37">
        <f t="shared" si="624"/>
        <v>0</v>
      </c>
      <c r="BL69" s="38"/>
      <c r="BM69" s="36">
        <f t="shared" si="625"/>
        <v>0</v>
      </c>
      <c r="BN69" s="37">
        <f t="shared" si="626"/>
        <v>0</v>
      </c>
      <c r="BO69" s="38"/>
      <c r="BP69" s="36">
        <f t="shared" si="627"/>
        <v>0</v>
      </c>
      <c r="BQ69" s="37">
        <f t="shared" si="628"/>
        <v>0</v>
      </c>
      <c r="BR69" s="38"/>
      <c r="BS69" s="36">
        <f t="shared" si="629"/>
        <v>0</v>
      </c>
      <c r="BT69" s="37">
        <f t="shared" si="630"/>
        <v>0</v>
      </c>
      <c r="BU69" s="38"/>
      <c r="BV69" s="36">
        <f t="shared" si="631"/>
        <v>0</v>
      </c>
      <c r="BW69" s="37">
        <f t="shared" si="632"/>
        <v>0</v>
      </c>
      <c r="BX69" s="38"/>
      <c r="BY69" s="36">
        <f t="shared" si="633"/>
        <v>0</v>
      </c>
      <c r="BZ69" s="37">
        <f t="shared" si="634"/>
        <v>0</v>
      </c>
      <c r="CA69" s="38"/>
      <c r="CB69" s="36">
        <f t="shared" si="635"/>
        <v>0</v>
      </c>
      <c r="CC69" s="37">
        <f t="shared" si="636"/>
        <v>0</v>
      </c>
      <c r="CD69" s="38"/>
      <c r="CE69" s="36">
        <f t="shared" si="637"/>
        <v>0</v>
      </c>
      <c r="CF69" s="37">
        <f t="shared" si="638"/>
        <v>0</v>
      </c>
      <c r="CG69" s="38"/>
      <c r="CH69" s="36">
        <f t="shared" si="639"/>
        <v>0</v>
      </c>
      <c r="CI69" s="37">
        <f t="shared" si="640"/>
        <v>0</v>
      </c>
      <c r="CJ69" s="38"/>
      <c r="CK69" s="36">
        <f t="shared" si="641"/>
        <v>0</v>
      </c>
      <c r="CL69" s="37">
        <f t="shared" si="642"/>
        <v>0</v>
      </c>
      <c r="CM69" s="38"/>
      <c r="CN69" s="36">
        <f t="shared" si="643"/>
        <v>0</v>
      </c>
      <c r="CO69" s="37">
        <f t="shared" si="644"/>
        <v>0</v>
      </c>
      <c r="CP69" s="38"/>
      <c r="CQ69" s="36">
        <f t="shared" si="645"/>
        <v>0</v>
      </c>
      <c r="CR69" s="37">
        <f t="shared" si="646"/>
        <v>0</v>
      </c>
      <c r="CS69" s="38"/>
      <c r="CT69" s="36">
        <f t="shared" si="647"/>
        <v>0</v>
      </c>
      <c r="CU69" s="37">
        <f t="shared" si="648"/>
        <v>0</v>
      </c>
      <c r="CV69" s="38"/>
      <c r="CW69" s="36">
        <f t="shared" si="649"/>
        <v>0</v>
      </c>
      <c r="CX69" s="37">
        <f t="shared" si="650"/>
        <v>0</v>
      </c>
      <c r="CY69" s="38"/>
      <c r="CZ69" s="36">
        <f t="shared" si="651"/>
        <v>0</v>
      </c>
      <c r="DA69" s="37">
        <f t="shared" si="652"/>
        <v>0</v>
      </c>
      <c r="DB69" s="38"/>
      <c r="DC69" s="36">
        <f t="shared" si="653"/>
        <v>0</v>
      </c>
      <c r="DD69" s="37">
        <f t="shared" si="654"/>
        <v>0</v>
      </c>
      <c r="DE69" s="38"/>
      <c r="DF69" s="36">
        <f t="shared" si="655"/>
        <v>0</v>
      </c>
      <c r="DG69" s="37">
        <f t="shared" si="656"/>
        <v>0</v>
      </c>
      <c r="DH69" s="38"/>
      <c r="DI69" s="36">
        <f t="shared" si="657"/>
        <v>0</v>
      </c>
      <c r="DJ69" s="37">
        <f t="shared" si="658"/>
        <v>0</v>
      </c>
      <c r="DK69" s="38"/>
      <c r="DL69" s="36">
        <f t="shared" si="659"/>
        <v>0</v>
      </c>
      <c r="DM69" s="37">
        <f t="shared" si="660"/>
        <v>0</v>
      </c>
      <c r="DN69" s="38"/>
      <c r="DO69" s="36">
        <f t="shared" si="661"/>
        <v>0</v>
      </c>
      <c r="DP69" s="37">
        <f t="shared" si="662"/>
        <v>0</v>
      </c>
      <c r="DQ69" s="38"/>
      <c r="DR69" s="38"/>
      <c r="DS69" s="38"/>
      <c r="DT69" s="33">
        <f t="shared" si="663"/>
        <v>0</v>
      </c>
      <c r="DU69" s="33">
        <f t="shared" si="664"/>
        <v>0</v>
      </c>
      <c r="DV69" s="33">
        <f t="shared" si="665"/>
        <v>0</v>
      </c>
    </row>
    <row r="70" spans="2:126" x14ac:dyDescent="0.6">
      <c r="B70" s="48" t="s">
        <v>48</v>
      </c>
      <c r="C70" s="54"/>
      <c r="D70" s="38"/>
      <c r="E70" s="36">
        <f t="shared" si="585"/>
        <v>0</v>
      </c>
      <c r="F70" s="37">
        <f t="shared" si="586"/>
        <v>0</v>
      </c>
      <c r="G70" s="38"/>
      <c r="H70" s="36">
        <f t="shared" si="587"/>
        <v>0</v>
      </c>
      <c r="I70" s="37">
        <f t="shared" si="588"/>
        <v>0</v>
      </c>
      <c r="J70" s="38"/>
      <c r="K70" s="36">
        <f t="shared" si="589"/>
        <v>0</v>
      </c>
      <c r="L70" s="37">
        <f t="shared" si="590"/>
        <v>0</v>
      </c>
      <c r="M70" s="38"/>
      <c r="N70" s="36">
        <f t="shared" si="591"/>
        <v>0</v>
      </c>
      <c r="O70" s="37">
        <f t="shared" si="592"/>
        <v>0</v>
      </c>
      <c r="P70" s="38"/>
      <c r="Q70" s="36">
        <f t="shared" si="593"/>
        <v>0</v>
      </c>
      <c r="R70" s="37">
        <f t="shared" si="594"/>
        <v>0</v>
      </c>
      <c r="S70" s="38"/>
      <c r="T70" s="36">
        <f t="shared" si="595"/>
        <v>0</v>
      </c>
      <c r="U70" s="37">
        <f t="shared" si="596"/>
        <v>0</v>
      </c>
      <c r="V70" s="38"/>
      <c r="W70" s="36">
        <f t="shared" si="597"/>
        <v>0</v>
      </c>
      <c r="X70" s="37">
        <f t="shared" si="598"/>
        <v>0</v>
      </c>
      <c r="Y70" s="38"/>
      <c r="Z70" s="36">
        <f t="shared" si="599"/>
        <v>0</v>
      </c>
      <c r="AA70" s="37">
        <f t="shared" si="600"/>
        <v>0</v>
      </c>
      <c r="AB70" s="38"/>
      <c r="AC70" s="36">
        <f t="shared" si="601"/>
        <v>0</v>
      </c>
      <c r="AD70" s="37">
        <f t="shared" si="602"/>
        <v>0</v>
      </c>
      <c r="AE70" s="38"/>
      <c r="AF70" s="36">
        <f t="shared" si="603"/>
        <v>0</v>
      </c>
      <c r="AG70" s="37">
        <f t="shared" si="604"/>
        <v>0</v>
      </c>
      <c r="AH70" s="38"/>
      <c r="AI70" s="36">
        <f t="shared" si="605"/>
        <v>0</v>
      </c>
      <c r="AJ70" s="37">
        <f t="shared" si="606"/>
        <v>0</v>
      </c>
      <c r="AK70" s="38"/>
      <c r="AL70" s="36">
        <f t="shared" si="607"/>
        <v>0</v>
      </c>
      <c r="AM70" s="37">
        <f t="shared" si="608"/>
        <v>0</v>
      </c>
      <c r="AN70" s="38"/>
      <c r="AO70" s="36">
        <f t="shared" si="609"/>
        <v>0</v>
      </c>
      <c r="AP70" s="37">
        <f t="shared" si="610"/>
        <v>0</v>
      </c>
      <c r="AQ70" s="38"/>
      <c r="AR70" s="36">
        <f t="shared" si="611"/>
        <v>0</v>
      </c>
      <c r="AS70" s="37">
        <f t="shared" si="612"/>
        <v>0</v>
      </c>
      <c r="AT70" s="38"/>
      <c r="AU70" s="36">
        <f t="shared" si="613"/>
        <v>0</v>
      </c>
      <c r="AV70" s="37">
        <f t="shared" si="614"/>
        <v>0</v>
      </c>
      <c r="AW70" s="38"/>
      <c r="AX70" s="36">
        <f t="shared" si="615"/>
        <v>0</v>
      </c>
      <c r="AY70" s="37">
        <f t="shared" si="616"/>
        <v>0</v>
      </c>
      <c r="AZ70" s="38"/>
      <c r="BA70" s="36">
        <f t="shared" si="617"/>
        <v>0</v>
      </c>
      <c r="BB70" s="37">
        <f t="shared" si="618"/>
        <v>0</v>
      </c>
      <c r="BC70" s="38"/>
      <c r="BD70" s="36">
        <f t="shared" si="619"/>
        <v>0</v>
      </c>
      <c r="BE70" s="37">
        <f t="shared" si="620"/>
        <v>0</v>
      </c>
      <c r="BF70" s="38"/>
      <c r="BG70" s="36">
        <f t="shared" si="621"/>
        <v>0</v>
      </c>
      <c r="BH70" s="37">
        <f t="shared" si="622"/>
        <v>0</v>
      </c>
      <c r="BI70" s="38"/>
      <c r="BJ70" s="36">
        <f t="shared" si="623"/>
        <v>0</v>
      </c>
      <c r="BK70" s="37">
        <f t="shared" si="624"/>
        <v>0</v>
      </c>
      <c r="BL70" s="38"/>
      <c r="BM70" s="36">
        <f t="shared" si="625"/>
        <v>0</v>
      </c>
      <c r="BN70" s="37">
        <f t="shared" si="626"/>
        <v>0</v>
      </c>
      <c r="BO70" s="38"/>
      <c r="BP70" s="36">
        <f t="shared" si="627"/>
        <v>0</v>
      </c>
      <c r="BQ70" s="37">
        <f t="shared" si="628"/>
        <v>0</v>
      </c>
      <c r="BR70" s="38"/>
      <c r="BS70" s="36">
        <f t="shared" si="629"/>
        <v>0</v>
      </c>
      <c r="BT70" s="37">
        <f t="shared" si="630"/>
        <v>0</v>
      </c>
      <c r="BU70" s="38"/>
      <c r="BV70" s="36">
        <f t="shared" si="631"/>
        <v>0</v>
      </c>
      <c r="BW70" s="37">
        <f t="shared" si="632"/>
        <v>0</v>
      </c>
      <c r="BX70" s="38"/>
      <c r="BY70" s="36">
        <f t="shared" si="633"/>
        <v>0</v>
      </c>
      <c r="BZ70" s="37">
        <f t="shared" si="634"/>
        <v>0</v>
      </c>
      <c r="CA70" s="38"/>
      <c r="CB70" s="36">
        <f t="shared" si="635"/>
        <v>0</v>
      </c>
      <c r="CC70" s="37">
        <f t="shared" si="636"/>
        <v>0</v>
      </c>
      <c r="CD70" s="38"/>
      <c r="CE70" s="36">
        <f t="shared" si="637"/>
        <v>0</v>
      </c>
      <c r="CF70" s="37">
        <f t="shared" si="638"/>
        <v>0</v>
      </c>
      <c r="CG70" s="38"/>
      <c r="CH70" s="36">
        <f t="shared" si="639"/>
        <v>0</v>
      </c>
      <c r="CI70" s="37">
        <f t="shared" si="640"/>
        <v>0</v>
      </c>
      <c r="CJ70" s="38"/>
      <c r="CK70" s="36">
        <f t="shared" si="641"/>
        <v>0</v>
      </c>
      <c r="CL70" s="37">
        <f t="shared" si="642"/>
        <v>0</v>
      </c>
      <c r="CM70" s="38"/>
      <c r="CN70" s="36">
        <f t="shared" si="643"/>
        <v>0</v>
      </c>
      <c r="CO70" s="37">
        <f t="shared" si="644"/>
        <v>0</v>
      </c>
      <c r="CP70" s="38"/>
      <c r="CQ70" s="36">
        <f t="shared" si="645"/>
        <v>0</v>
      </c>
      <c r="CR70" s="37">
        <f t="shared" si="646"/>
        <v>0</v>
      </c>
      <c r="CS70" s="38"/>
      <c r="CT70" s="36">
        <f t="shared" si="647"/>
        <v>0</v>
      </c>
      <c r="CU70" s="37">
        <f t="shared" si="648"/>
        <v>0</v>
      </c>
      <c r="CV70" s="38"/>
      <c r="CW70" s="36">
        <f t="shared" si="649"/>
        <v>0</v>
      </c>
      <c r="CX70" s="37">
        <f t="shared" si="650"/>
        <v>0</v>
      </c>
      <c r="CY70" s="38"/>
      <c r="CZ70" s="36">
        <f t="shared" si="651"/>
        <v>0</v>
      </c>
      <c r="DA70" s="37">
        <f t="shared" si="652"/>
        <v>0</v>
      </c>
      <c r="DB70" s="38"/>
      <c r="DC70" s="36">
        <f t="shared" si="653"/>
        <v>0</v>
      </c>
      <c r="DD70" s="37">
        <f t="shared" si="654"/>
        <v>0</v>
      </c>
      <c r="DE70" s="38"/>
      <c r="DF70" s="36">
        <f t="shared" si="655"/>
        <v>0</v>
      </c>
      <c r="DG70" s="37">
        <f t="shared" si="656"/>
        <v>0</v>
      </c>
      <c r="DH70" s="38"/>
      <c r="DI70" s="36">
        <f t="shared" si="657"/>
        <v>0</v>
      </c>
      <c r="DJ70" s="37">
        <f t="shared" si="658"/>
        <v>0</v>
      </c>
      <c r="DK70" s="38"/>
      <c r="DL70" s="36">
        <f t="shared" si="659"/>
        <v>0</v>
      </c>
      <c r="DM70" s="37">
        <f t="shared" si="660"/>
        <v>0</v>
      </c>
      <c r="DN70" s="38"/>
      <c r="DO70" s="36">
        <f t="shared" si="661"/>
        <v>0</v>
      </c>
      <c r="DP70" s="37">
        <f t="shared" si="662"/>
        <v>0</v>
      </c>
      <c r="DQ70" s="38"/>
      <c r="DR70" s="38"/>
      <c r="DS70" s="38"/>
      <c r="DT70" s="33">
        <f t="shared" si="663"/>
        <v>0</v>
      </c>
      <c r="DU70" s="33">
        <f t="shared" si="664"/>
        <v>0</v>
      </c>
      <c r="DV70" s="33">
        <f t="shared" si="665"/>
        <v>0</v>
      </c>
    </row>
    <row r="71" spans="2:126" x14ac:dyDescent="0.6">
      <c r="B71" s="52" t="s">
        <v>49</v>
      </c>
      <c r="C71" s="54"/>
      <c r="D71" s="38"/>
      <c r="E71" s="36">
        <f t="shared" si="585"/>
        <v>0</v>
      </c>
      <c r="F71" s="37">
        <f t="shared" si="586"/>
        <v>0</v>
      </c>
      <c r="G71" s="38"/>
      <c r="H71" s="36">
        <f t="shared" si="587"/>
        <v>0</v>
      </c>
      <c r="I71" s="37">
        <f t="shared" si="588"/>
        <v>0</v>
      </c>
      <c r="J71" s="38"/>
      <c r="K71" s="36">
        <f t="shared" si="589"/>
        <v>0</v>
      </c>
      <c r="L71" s="37">
        <f t="shared" si="590"/>
        <v>0</v>
      </c>
      <c r="M71" s="38"/>
      <c r="N71" s="36">
        <f t="shared" si="591"/>
        <v>0</v>
      </c>
      <c r="O71" s="37">
        <f t="shared" si="592"/>
        <v>0</v>
      </c>
      <c r="P71" s="38"/>
      <c r="Q71" s="36">
        <f t="shared" si="593"/>
        <v>0</v>
      </c>
      <c r="R71" s="37">
        <f t="shared" si="594"/>
        <v>0</v>
      </c>
      <c r="S71" s="38"/>
      <c r="T71" s="36">
        <f t="shared" si="595"/>
        <v>0</v>
      </c>
      <c r="U71" s="37">
        <f t="shared" si="596"/>
        <v>0</v>
      </c>
      <c r="V71" s="38"/>
      <c r="W71" s="36">
        <f t="shared" si="597"/>
        <v>0</v>
      </c>
      <c r="X71" s="37">
        <f t="shared" si="598"/>
        <v>0</v>
      </c>
      <c r="Y71" s="38"/>
      <c r="Z71" s="36">
        <f t="shared" si="599"/>
        <v>0</v>
      </c>
      <c r="AA71" s="37">
        <f t="shared" si="600"/>
        <v>0</v>
      </c>
      <c r="AB71" s="38"/>
      <c r="AC71" s="36">
        <f t="shared" si="601"/>
        <v>0</v>
      </c>
      <c r="AD71" s="37">
        <f t="shared" si="602"/>
        <v>0</v>
      </c>
      <c r="AE71" s="38"/>
      <c r="AF71" s="36">
        <f t="shared" si="603"/>
        <v>0</v>
      </c>
      <c r="AG71" s="37">
        <f t="shared" si="604"/>
        <v>0</v>
      </c>
      <c r="AH71" s="38"/>
      <c r="AI71" s="36">
        <f t="shared" si="605"/>
        <v>0</v>
      </c>
      <c r="AJ71" s="37">
        <f t="shared" si="606"/>
        <v>0</v>
      </c>
      <c r="AK71" s="38"/>
      <c r="AL71" s="36">
        <f t="shared" si="607"/>
        <v>0</v>
      </c>
      <c r="AM71" s="37">
        <f t="shared" si="608"/>
        <v>0</v>
      </c>
      <c r="AN71" s="38"/>
      <c r="AO71" s="36">
        <f t="shared" si="609"/>
        <v>0</v>
      </c>
      <c r="AP71" s="37">
        <f t="shared" si="610"/>
        <v>0</v>
      </c>
      <c r="AQ71" s="38"/>
      <c r="AR71" s="36">
        <f t="shared" si="611"/>
        <v>0</v>
      </c>
      <c r="AS71" s="37">
        <f t="shared" si="612"/>
        <v>0</v>
      </c>
      <c r="AT71" s="38"/>
      <c r="AU71" s="36">
        <f t="shared" si="613"/>
        <v>0</v>
      </c>
      <c r="AV71" s="37">
        <f t="shared" si="614"/>
        <v>0</v>
      </c>
      <c r="AW71" s="38"/>
      <c r="AX71" s="36">
        <f t="shared" si="615"/>
        <v>0</v>
      </c>
      <c r="AY71" s="37">
        <f t="shared" si="616"/>
        <v>0</v>
      </c>
      <c r="AZ71" s="38"/>
      <c r="BA71" s="36">
        <f t="shared" si="617"/>
        <v>0</v>
      </c>
      <c r="BB71" s="37">
        <f t="shared" si="618"/>
        <v>0</v>
      </c>
      <c r="BC71" s="38"/>
      <c r="BD71" s="36">
        <f t="shared" si="619"/>
        <v>0</v>
      </c>
      <c r="BE71" s="37">
        <f t="shared" si="620"/>
        <v>0</v>
      </c>
      <c r="BF71" s="38"/>
      <c r="BG71" s="36">
        <f t="shared" si="621"/>
        <v>0</v>
      </c>
      <c r="BH71" s="37">
        <f t="shared" si="622"/>
        <v>0</v>
      </c>
      <c r="BI71" s="38"/>
      <c r="BJ71" s="36">
        <f t="shared" si="623"/>
        <v>0</v>
      </c>
      <c r="BK71" s="37">
        <f t="shared" si="624"/>
        <v>0</v>
      </c>
      <c r="BL71" s="38"/>
      <c r="BM71" s="36">
        <f t="shared" si="625"/>
        <v>0</v>
      </c>
      <c r="BN71" s="37">
        <f t="shared" si="626"/>
        <v>0</v>
      </c>
      <c r="BO71" s="38"/>
      <c r="BP71" s="36">
        <f t="shared" si="627"/>
        <v>0</v>
      </c>
      <c r="BQ71" s="37">
        <f t="shared" si="628"/>
        <v>0</v>
      </c>
      <c r="BR71" s="38"/>
      <c r="BS71" s="36">
        <f t="shared" si="629"/>
        <v>0</v>
      </c>
      <c r="BT71" s="37">
        <f t="shared" si="630"/>
        <v>0</v>
      </c>
      <c r="BU71" s="38"/>
      <c r="BV71" s="36">
        <f t="shared" si="631"/>
        <v>0</v>
      </c>
      <c r="BW71" s="37">
        <f t="shared" si="632"/>
        <v>0</v>
      </c>
      <c r="BX71" s="38"/>
      <c r="BY71" s="36">
        <f t="shared" si="633"/>
        <v>0</v>
      </c>
      <c r="BZ71" s="37">
        <f t="shared" si="634"/>
        <v>0</v>
      </c>
      <c r="CA71" s="38"/>
      <c r="CB71" s="36">
        <f t="shared" si="635"/>
        <v>0</v>
      </c>
      <c r="CC71" s="37">
        <f t="shared" si="636"/>
        <v>0</v>
      </c>
      <c r="CD71" s="38"/>
      <c r="CE71" s="36">
        <f t="shared" si="637"/>
        <v>0</v>
      </c>
      <c r="CF71" s="37">
        <f t="shared" si="638"/>
        <v>0</v>
      </c>
      <c r="CG71" s="38"/>
      <c r="CH71" s="36">
        <f t="shared" si="639"/>
        <v>0</v>
      </c>
      <c r="CI71" s="37">
        <f t="shared" si="640"/>
        <v>0</v>
      </c>
      <c r="CJ71" s="38"/>
      <c r="CK71" s="36">
        <f t="shared" si="641"/>
        <v>0</v>
      </c>
      <c r="CL71" s="37">
        <f t="shared" si="642"/>
        <v>0</v>
      </c>
      <c r="CM71" s="38"/>
      <c r="CN71" s="36">
        <f t="shared" si="643"/>
        <v>0</v>
      </c>
      <c r="CO71" s="37">
        <f t="shared" si="644"/>
        <v>0</v>
      </c>
      <c r="CP71" s="38"/>
      <c r="CQ71" s="36">
        <f t="shared" si="645"/>
        <v>0</v>
      </c>
      <c r="CR71" s="37">
        <f t="shared" si="646"/>
        <v>0</v>
      </c>
      <c r="CS71" s="38"/>
      <c r="CT71" s="36">
        <f t="shared" si="647"/>
        <v>0</v>
      </c>
      <c r="CU71" s="37">
        <f t="shared" si="648"/>
        <v>0</v>
      </c>
      <c r="CV71" s="38"/>
      <c r="CW71" s="36">
        <f t="shared" si="649"/>
        <v>0</v>
      </c>
      <c r="CX71" s="37">
        <f t="shared" si="650"/>
        <v>0</v>
      </c>
      <c r="CY71" s="38"/>
      <c r="CZ71" s="36">
        <f t="shared" si="651"/>
        <v>0</v>
      </c>
      <c r="DA71" s="37">
        <f t="shared" si="652"/>
        <v>0</v>
      </c>
      <c r="DB71" s="38"/>
      <c r="DC71" s="36">
        <f t="shared" si="653"/>
        <v>0</v>
      </c>
      <c r="DD71" s="37">
        <f t="shared" si="654"/>
        <v>0</v>
      </c>
      <c r="DE71" s="38"/>
      <c r="DF71" s="36">
        <f t="shared" si="655"/>
        <v>0</v>
      </c>
      <c r="DG71" s="37">
        <f t="shared" si="656"/>
        <v>0</v>
      </c>
      <c r="DH71" s="38"/>
      <c r="DI71" s="36">
        <f t="shared" si="657"/>
        <v>0</v>
      </c>
      <c r="DJ71" s="37">
        <f t="shared" si="658"/>
        <v>0</v>
      </c>
      <c r="DK71" s="38"/>
      <c r="DL71" s="36">
        <f t="shared" si="659"/>
        <v>0</v>
      </c>
      <c r="DM71" s="37">
        <f t="shared" si="660"/>
        <v>0</v>
      </c>
      <c r="DN71" s="38"/>
      <c r="DO71" s="36">
        <f t="shared" si="661"/>
        <v>0</v>
      </c>
      <c r="DP71" s="37">
        <f t="shared" si="662"/>
        <v>0</v>
      </c>
      <c r="DQ71" s="38"/>
      <c r="DR71" s="38"/>
      <c r="DS71" s="38"/>
      <c r="DT71" s="33">
        <f t="shared" si="663"/>
        <v>0</v>
      </c>
      <c r="DU71" s="33">
        <f t="shared" si="664"/>
        <v>0</v>
      </c>
      <c r="DV71" s="33">
        <f t="shared" si="665"/>
        <v>0</v>
      </c>
    </row>
    <row r="72" spans="2:126" ht="21.75" thickBot="1" x14ac:dyDescent="0.65">
      <c r="B72" s="52"/>
      <c r="C72" s="47"/>
      <c r="D72" s="38"/>
      <c r="E72" s="36">
        <f t="shared" si="585"/>
        <v>0</v>
      </c>
      <c r="F72" s="37">
        <f t="shared" si="586"/>
        <v>0</v>
      </c>
      <c r="G72" s="38"/>
      <c r="H72" s="36">
        <f t="shared" si="587"/>
        <v>0</v>
      </c>
      <c r="I72" s="37">
        <f t="shared" si="588"/>
        <v>0</v>
      </c>
      <c r="J72" s="38"/>
      <c r="K72" s="36">
        <f t="shared" si="589"/>
        <v>0</v>
      </c>
      <c r="L72" s="37">
        <f t="shared" si="590"/>
        <v>0</v>
      </c>
      <c r="M72" s="38"/>
      <c r="N72" s="36">
        <f t="shared" si="591"/>
        <v>0</v>
      </c>
      <c r="O72" s="37">
        <f t="shared" si="592"/>
        <v>0</v>
      </c>
      <c r="P72" s="38"/>
      <c r="Q72" s="36">
        <f t="shared" si="593"/>
        <v>0</v>
      </c>
      <c r="R72" s="37">
        <f t="shared" si="594"/>
        <v>0</v>
      </c>
      <c r="S72" s="38"/>
      <c r="T72" s="36">
        <f t="shared" si="595"/>
        <v>0</v>
      </c>
      <c r="U72" s="37">
        <f t="shared" si="596"/>
        <v>0</v>
      </c>
      <c r="V72" s="38"/>
      <c r="W72" s="36">
        <f t="shared" si="597"/>
        <v>0</v>
      </c>
      <c r="X72" s="37">
        <f t="shared" si="598"/>
        <v>0</v>
      </c>
      <c r="Y72" s="38"/>
      <c r="Z72" s="36">
        <f t="shared" si="599"/>
        <v>0</v>
      </c>
      <c r="AA72" s="37">
        <f t="shared" si="600"/>
        <v>0</v>
      </c>
      <c r="AB72" s="38"/>
      <c r="AC72" s="36">
        <f t="shared" si="601"/>
        <v>0</v>
      </c>
      <c r="AD72" s="37">
        <f t="shared" si="602"/>
        <v>0</v>
      </c>
      <c r="AE72" s="38"/>
      <c r="AF72" s="36">
        <f t="shared" si="603"/>
        <v>0</v>
      </c>
      <c r="AG72" s="37">
        <f t="shared" si="604"/>
        <v>0</v>
      </c>
      <c r="AH72" s="38"/>
      <c r="AI72" s="36">
        <f t="shared" si="605"/>
        <v>0</v>
      </c>
      <c r="AJ72" s="37">
        <f t="shared" si="606"/>
        <v>0</v>
      </c>
      <c r="AK72" s="38"/>
      <c r="AL72" s="36">
        <f t="shared" si="607"/>
        <v>0</v>
      </c>
      <c r="AM72" s="37">
        <f t="shared" si="608"/>
        <v>0</v>
      </c>
      <c r="AN72" s="38"/>
      <c r="AO72" s="36">
        <f t="shared" si="609"/>
        <v>0</v>
      </c>
      <c r="AP72" s="37">
        <f t="shared" si="610"/>
        <v>0</v>
      </c>
      <c r="AQ72" s="38"/>
      <c r="AR72" s="36">
        <f t="shared" si="611"/>
        <v>0</v>
      </c>
      <c r="AS72" s="37">
        <f t="shared" si="612"/>
        <v>0</v>
      </c>
      <c r="AT72" s="38"/>
      <c r="AU72" s="36">
        <f t="shared" si="613"/>
        <v>0</v>
      </c>
      <c r="AV72" s="37">
        <f t="shared" si="614"/>
        <v>0</v>
      </c>
      <c r="AW72" s="38"/>
      <c r="AX72" s="36">
        <f t="shared" si="615"/>
        <v>0</v>
      </c>
      <c r="AY72" s="37">
        <f t="shared" si="616"/>
        <v>0</v>
      </c>
      <c r="AZ72" s="38"/>
      <c r="BA72" s="36">
        <f t="shared" si="617"/>
        <v>0</v>
      </c>
      <c r="BB72" s="37">
        <f t="shared" si="618"/>
        <v>0</v>
      </c>
      <c r="BC72" s="38"/>
      <c r="BD72" s="36">
        <f t="shared" si="619"/>
        <v>0</v>
      </c>
      <c r="BE72" s="37">
        <f t="shared" si="620"/>
        <v>0</v>
      </c>
      <c r="BF72" s="38"/>
      <c r="BG72" s="36">
        <f t="shared" si="621"/>
        <v>0</v>
      </c>
      <c r="BH72" s="37">
        <f t="shared" si="622"/>
        <v>0</v>
      </c>
      <c r="BI72" s="38"/>
      <c r="BJ72" s="36">
        <f t="shared" si="623"/>
        <v>0</v>
      </c>
      <c r="BK72" s="37">
        <f t="shared" si="624"/>
        <v>0</v>
      </c>
      <c r="BL72" s="38"/>
      <c r="BM72" s="36">
        <f t="shared" si="625"/>
        <v>0</v>
      </c>
      <c r="BN72" s="37">
        <f t="shared" si="626"/>
        <v>0</v>
      </c>
      <c r="BO72" s="38"/>
      <c r="BP72" s="36">
        <f t="shared" si="627"/>
        <v>0</v>
      </c>
      <c r="BQ72" s="37">
        <f t="shared" si="628"/>
        <v>0</v>
      </c>
      <c r="BR72" s="38"/>
      <c r="BS72" s="36">
        <f t="shared" si="629"/>
        <v>0</v>
      </c>
      <c r="BT72" s="37">
        <f t="shared" si="630"/>
        <v>0</v>
      </c>
      <c r="BU72" s="38"/>
      <c r="BV72" s="36">
        <f t="shared" si="631"/>
        <v>0</v>
      </c>
      <c r="BW72" s="37">
        <f t="shared" si="632"/>
        <v>0</v>
      </c>
      <c r="BX72" s="38"/>
      <c r="BY72" s="36">
        <f t="shared" si="633"/>
        <v>0</v>
      </c>
      <c r="BZ72" s="37">
        <f t="shared" si="634"/>
        <v>0</v>
      </c>
      <c r="CA72" s="38"/>
      <c r="CB72" s="36">
        <f t="shared" si="635"/>
        <v>0</v>
      </c>
      <c r="CC72" s="37">
        <f t="shared" si="636"/>
        <v>0</v>
      </c>
      <c r="CD72" s="38"/>
      <c r="CE72" s="36">
        <f t="shared" si="637"/>
        <v>0</v>
      </c>
      <c r="CF72" s="37">
        <f t="shared" si="638"/>
        <v>0</v>
      </c>
      <c r="CG72" s="38"/>
      <c r="CH72" s="36">
        <f t="shared" si="639"/>
        <v>0</v>
      </c>
      <c r="CI72" s="37">
        <f t="shared" si="640"/>
        <v>0</v>
      </c>
      <c r="CJ72" s="38"/>
      <c r="CK72" s="36">
        <f t="shared" si="641"/>
        <v>0</v>
      </c>
      <c r="CL72" s="37">
        <f t="shared" si="642"/>
        <v>0</v>
      </c>
      <c r="CM72" s="38"/>
      <c r="CN72" s="36">
        <f t="shared" si="643"/>
        <v>0</v>
      </c>
      <c r="CO72" s="37">
        <f t="shared" si="644"/>
        <v>0</v>
      </c>
      <c r="CP72" s="38"/>
      <c r="CQ72" s="36">
        <f t="shared" si="645"/>
        <v>0</v>
      </c>
      <c r="CR72" s="37">
        <f t="shared" si="646"/>
        <v>0</v>
      </c>
      <c r="CS72" s="38"/>
      <c r="CT72" s="36">
        <f t="shared" si="647"/>
        <v>0</v>
      </c>
      <c r="CU72" s="37">
        <f t="shared" si="648"/>
        <v>0</v>
      </c>
      <c r="CV72" s="38"/>
      <c r="CW72" s="36">
        <f t="shared" si="649"/>
        <v>0</v>
      </c>
      <c r="CX72" s="37">
        <f t="shared" si="650"/>
        <v>0</v>
      </c>
      <c r="CY72" s="38"/>
      <c r="CZ72" s="36">
        <f t="shared" si="651"/>
        <v>0</v>
      </c>
      <c r="DA72" s="37">
        <f t="shared" si="652"/>
        <v>0</v>
      </c>
      <c r="DB72" s="38"/>
      <c r="DC72" s="36">
        <f t="shared" si="653"/>
        <v>0</v>
      </c>
      <c r="DD72" s="37">
        <f t="shared" si="654"/>
        <v>0</v>
      </c>
      <c r="DE72" s="38"/>
      <c r="DF72" s="36">
        <f t="shared" si="655"/>
        <v>0</v>
      </c>
      <c r="DG72" s="37">
        <f t="shared" si="656"/>
        <v>0</v>
      </c>
      <c r="DH72" s="38"/>
      <c r="DI72" s="36">
        <f t="shared" si="657"/>
        <v>0</v>
      </c>
      <c r="DJ72" s="37">
        <f t="shared" si="658"/>
        <v>0</v>
      </c>
      <c r="DK72" s="38"/>
      <c r="DL72" s="36">
        <f t="shared" si="659"/>
        <v>0</v>
      </c>
      <c r="DM72" s="37">
        <f t="shared" si="660"/>
        <v>0</v>
      </c>
      <c r="DN72" s="38"/>
      <c r="DO72" s="36">
        <f t="shared" si="661"/>
        <v>0</v>
      </c>
      <c r="DP72" s="37">
        <f t="shared" si="662"/>
        <v>0</v>
      </c>
      <c r="DQ72" s="38"/>
      <c r="DR72" s="38"/>
      <c r="DS72" s="38"/>
      <c r="DT72" s="33">
        <f t="shared" si="663"/>
        <v>0</v>
      </c>
      <c r="DU72" s="33">
        <f t="shared" si="664"/>
        <v>0</v>
      </c>
      <c r="DV72" s="33">
        <f t="shared" si="665"/>
        <v>0</v>
      </c>
    </row>
    <row r="73" spans="2:126" ht="21.75" thickBot="1" x14ac:dyDescent="0.65">
      <c r="B73" s="20"/>
      <c r="C73" s="19"/>
      <c r="D73" s="39">
        <f t="shared" ref="D73:BO73" si="666">SUM(D66:D72)</f>
        <v>0</v>
      </c>
      <c r="E73" s="39">
        <f t="shared" si="666"/>
        <v>0</v>
      </c>
      <c r="F73" s="40">
        <f t="shared" si="666"/>
        <v>0</v>
      </c>
      <c r="G73" s="39">
        <f t="shared" si="666"/>
        <v>0</v>
      </c>
      <c r="H73" s="39">
        <f t="shared" si="666"/>
        <v>0</v>
      </c>
      <c r="I73" s="40">
        <f t="shared" si="666"/>
        <v>0</v>
      </c>
      <c r="J73" s="39">
        <f t="shared" si="666"/>
        <v>0</v>
      </c>
      <c r="K73" s="39">
        <f t="shared" si="666"/>
        <v>0</v>
      </c>
      <c r="L73" s="40">
        <f t="shared" si="666"/>
        <v>0</v>
      </c>
      <c r="M73" s="39">
        <f t="shared" si="666"/>
        <v>0</v>
      </c>
      <c r="N73" s="39">
        <f t="shared" si="666"/>
        <v>0</v>
      </c>
      <c r="O73" s="40">
        <f t="shared" si="666"/>
        <v>0</v>
      </c>
      <c r="P73" s="39">
        <f t="shared" si="666"/>
        <v>0</v>
      </c>
      <c r="Q73" s="39">
        <f t="shared" si="666"/>
        <v>0</v>
      </c>
      <c r="R73" s="40">
        <f t="shared" si="666"/>
        <v>0</v>
      </c>
      <c r="S73" s="39">
        <f t="shared" si="666"/>
        <v>0</v>
      </c>
      <c r="T73" s="39">
        <f t="shared" si="666"/>
        <v>0</v>
      </c>
      <c r="U73" s="40">
        <f t="shared" si="666"/>
        <v>0</v>
      </c>
      <c r="V73" s="39">
        <f t="shared" si="666"/>
        <v>0</v>
      </c>
      <c r="W73" s="39">
        <f t="shared" si="666"/>
        <v>0</v>
      </c>
      <c r="X73" s="40">
        <f t="shared" si="666"/>
        <v>0</v>
      </c>
      <c r="Y73" s="39">
        <f t="shared" si="666"/>
        <v>0</v>
      </c>
      <c r="Z73" s="39">
        <f t="shared" si="666"/>
        <v>0</v>
      </c>
      <c r="AA73" s="40">
        <f t="shared" si="666"/>
        <v>0</v>
      </c>
      <c r="AB73" s="39">
        <f t="shared" si="666"/>
        <v>0</v>
      </c>
      <c r="AC73" s="39">
        <f t="shared" si="666"/>
        <v>0</v>
      </c>
      <c r="AD73" s="40">
        <f t="shared" si="666"/>
        <v>0</v>
      </c>
      <c r="AE73" s="39">
        <f t="shared" si="666"/>
        <v>0</v>
      </c>
      <c r="AF73" s="39">
        <f t="shared" si="666"/>
        <v>0</v>
      </c>
      <c r="AG73" s="40">
        <f t="shared" si="666"/>
        <v>0</v>
      </c>
      <c r="AH73" s="39">
        <f t="shared" si="666"/>
        <v>0</v>
      </c>
      <c r="AI73" s="39">
        <f t="shared" si="666"/>
        <v>0</v>
      </c>
      <c r="AJ73" s="40">
        <f t="shared" si="666"/>
        <v>0</v>
      </c>
      <c r="AK73" s="39">
        <f t="shared" si="666"/>
        <v>0</v>
      </c>
      <c r="AL73" s="39">
        <f t="shared" si="666"/>
        <v>0</v>
      </c>
      <c r="AM73" s="40">
        <f t="shared" si="666"/>
        <v>0</v>
      </c>
      <c r="AN73" s="39">
        <f t="shared" si="666"/>
        <v>0</v>
      </c>
      <c r="AO73" s="39">
        <f t="shared" si="666"/>
        <v>0</v>
      </c>
      <c r="AP73" s="40">
        <f t="shared" si="666"/>
        <v>0</v>
      </c>
      <c r="AQ73" s="39">
        <f t="shared" si="666"/>
        <v>0</v>
      </c>
      <c r="AR73" s="39">
        <f t="shared" si="666"/>
        <v>0</v>
      </c>
      <c r="AS73" s="40">
        <f t="shared" si="666"/>
        <v>0</v>
      </c>
      <c r="AT73" s="39">
        <f t="shared" si="666"/>
        <v>0</v>
      </c>
      <c r="AU73" s="39">
        <f t="shared" si="666"/>
        <v>0</v>
      </c>
      <c r="AV73" s="40">
        <f t="shared" si="666"/>
        <v>0</v>
      </c>
      <c r="AW73" s="39">
        <f t="shared" si="666"/>
        <v>0</v>
      </c>
      <c r="AX73" s="39">
        <f t="shared" si="666"/>
        <v>0</v>
      </c>
      <c r="AY73" s="40">
        <f t="shared" si="666"/>
        <v>0</v>
      </c>
      <c r="AZ73" s="39">
        <f t="shared" si="666"/>
        <v>0</v>
      </c>
      <c r="BA73" s="39">
        <f t="shared" si="666"/>
        <v>0</v>
      </c>
      <c r="BB73" s="40">
        <f t="shared" si="666"/>
        <v>0</v>
      </c>
      <c r="BC73" s="39">
        <f t="shared" si="666"/>
        <v>0</v>
      </c>
      <c r="BD73" s="39">
        <f t="shared" si="666"/>
        <v>0</v>
      </c>
      <c r="BE73" s="40">
        <f t="shared" si="666"/>
        <v>0</v>
      </c>
      <c r="BF73" s="39">
        <f t="shared" si="666"/>
        <v>0</v>
      </c>
      <c r="BG73" s="39">
        <f t="shared" si="666"/>
        <v>0</v>
      </c>
      <c r="BH73" s="40">
        <f t="shared" si="666"/>
        <v>0</v>
      </c>
      <c r="BI73" s="39">
        <f t="shared" si="666"/>
        <v>0</v>
      </c>
      <c r="BJ73" s="39">
        <f t="shared" si="666"/>
        <v>0</v>
      </c>
      <c r="BK73" s="40">
        <f t="shared" si="666"/>
        <v>0</v>
      </c>
      <c r="BL73" s="39">
        <f t="shared" si="666"/>
        <v>0</v>
      </c>
      <c r="BM73" s="39">
        <f t="shared" si="666"/>
        <v>0</v>
      </c>
      <c r="BN73" s="40">
        <f t="shared" si="666"/>
        <v>0</v>
      </c>
      <c r="BO73" s="39">
        <f t="shared" si="666"/>
        <v>0</v>
      </c>
      <c r="BP73" s="39">
        <f t="shared" ref="BP73:DV73" si="667">SUM(BP66:BP72)</f>
        <v>0</v>
      </c>
      <c r="BQ73" s="40">
        <f t="shared" si="667"/>
        <v>0</v>
      </c>
      <c r="BR73" s="39">
        <f t="shared" si="667"/>
        <v>0</v>
      </c>
      <c r="BS73" s="39">
        <f t="shared" si="667"/>
        <v>0</v>
      </c>
      <c r="BT73" s="40">
        <f t="shared" si="667"/>
        <v>0</v>
      </c>
      <c r="BU73" s="39">
        <f t="shared" si="667"/>
        <v>0</v>
      </c>
      <c r="BV73" s="39">
        <f t="shared" si="667"/>
        <v>0</v>
      </c>
      <c r="BW73" s="40">
        <f t="shared" si="667"/>
        <v>0</v>
      </c>
      <c r="BX73" s="39">
        <f t="shared" si="667"/>
        <v>0</v>
      </c>
      <c r="BY73" s="39">
        <f t="shared" si="667"/>
        <v>0</v>
      </c>
      <c r="BZ73" s="40">
        <f t="shared" si="667"/>
        <v>0</v>
      </c>
      <c r="CA73" s="39">
        <f t="shared" si="667"/>
        <v>0</v>
      </c>
      <c r="CB73" s="39">
        <f t="shared" si="667"/>
        <v>0</v>
      </c>
      <c r="CC73" s="40">
        <f t="shared" si="667"/>
        <v>0</v>
      </c>
      <c r="CD73" s="39">
        <f t="shared" si="667"/>
        <v>0</v>
      </c>
      <c r="CE73" s="39">
        <f t="shared" si="667"/>
        <v>0</v>
      </c>
      <c r="CF73" s="40">
        <f t="shared" si="667"/>
        <v>0</v>
      </c>
      <c r="CG73" s="39">
        <f t="shared" si="667"/>
        <v>0</v>
      </c>
      <c r="CH73" s="39">
        <f t="shared" si="667"/>
        <v>0</v>
      </c>
      <c r="CI73" s="40">
        <f t="shared" si="667"/>
        <v>0</v>
      </c>
      <c r="CJ73" s="39">
        <f t="shared" si="667"/>
        <v>0</v>
      </c>
      <c r="CK73" s="39">
        <f t="shared" si="667"/>
        <v>0</v>
      </c>
      <c r="CL73" s="40">
        <f t="shared" si="667"/>
        <v>0</v>
      </c>
      <c r="CM73" s="39">
        <f t="shared" si="667"/>
        <v>0</v>
      </c>
      <c r="CN73" s="39">
        <f t="shared" si="667"/>
        <v>0</v>
      </c>
      <c r="CO73" s="40">
        <f t="shared" si="667"/>
        <v>0</v>
      </c>
      <c r="CP73" s="39">
        <f t="shared" si="667"/>
        <v>0</v>
      </c>
      <c r="CQ73" s="39">
        <f t="shared" si="667"/>
        <v>0</v>
      </c>
      <c r="CR73" s="40">
        <f t="shared" si="667"/>
        <v>0</v>
      </c>
      <c r="CS73" s="39">
        <f t="shared" si="667"/>
        <v>0</v>
      </c>
      <c r="CT73" s="39">
        <f t="shared" si="667"/>
        <v>0</v>
      </c>
      <c r="CU73" s="40">
        <f t="shared" si="667"/>
        <v>0</v>
      </c>
      <c r="CV73" s="39">
        <f t="shared" si="667"/>
        <v>0</v>
      </c>
      <c r="CW73" s="39">
        <f t="shared" si="667"/>
        <v>0</v>
      </c>
      <c r="CX73" s="40">
        <f t="shared" si="667"/>
        <v>0</v>
      </c>
      <c r="CY73" s="39">
        <f t="shared" si="667"/>
        <v>0</v>
      </c>
      <c r="CZ73" s="39">
        <f t="shared" si="667"/>
        <v>0</v>
      </c>
      <c r="DA73" s="40">
        <f t="shared" si="667"/>
        <v>0</v>
      </c>
      <c r="DB73" s="39">
        <f t="shared" si="667"/>
        <v>0</v>
      </c>
      <c r="DC73" s="39">
        <f t="shared" si="667"/>
        <v>0</v>
      </c>
      <c r="DD73" s="40">
        <f t="shared" si="667"/>
        <v>0</v>
      </c>
      <c r="DE73" s="39">
        <f t="shared" si="667"/>
        <v>0</v>
      </c>
      <c r="DF73" s="39">
        <f t="shared" si="667"/>
        <v>0</v>
      </c>
      <c r="DG73" s="40">
        <f t="shared" si="667"/>
        <v>0</v>
      </c>
      <c r="DH73" s="39">
        <f t="shared" si="667"/>
        <v>0</v>
      </c>
      <c r="DI73" s="39">
        <f t="shared" si="667"/>
        <v>0</v>
      </c>
      <c r="DJ73" s="40">
        <f t="shared" si="667"/>
        <v>0</v>
      </c>
      <c r="DK73" s="39">
        <f t="shared" si="667"/>
        <v>0</v>
      </c>
      <c r="DL73" s="39">
        <f t="shared" si="667"/>
        <v>0</v>
      </c>
      <c r="DM73" s="40">
        <f t="shared" si="667"/>
        <v>0</v>
      </c>
      <c r="DN73" s="39">
        <f t="shared" si="667"/>
        <v>0</v>
      </c>
      <c r="DO73" s="39">
        <f t="shared" si="667"/>
        <v>0</v>
      </c>
      <c r="DP73" s="40">
        <f t="shared" si="667"/>
        <v>0</v>
      </c>
      <c r="DQ73" s="39">
        <f t="shared" si="667"/>
        <v>0</v>
      </c>
      <c r="DR73" s="39">
        <f t="shared" si="667"/>
        <v>0</v>
      </c>
      <c r="DS73" s="39">
        <f t="shared" si="667"/>
        <v>0</v>
      </c>
      <c r="DT73" s="39">
        <f t="shared" si="667"/>
        <v>0</v>
      </c>
      <c r="DU73" s="39">
        <f t="shared" si="667"/>
        <v>0</v>
      </c>
      <c r="DV73" s="40">
        <f t="shared" si="667"/>
        <v>0</v>
      </c>
    </row>
    <row r="74" spans="2:126" x14ac:dyDescent="0.6">
      <c r="B74" s="12"/>
      <c r="C74" s="13"/>
      <c r="D74" s="41">
        <f>(D65+D73)</f>
        <v>0</v>
      </c>
      <c r="E74" s="41">
        <f t="shared" ref="E74:BP74" si="668">(E65+E73)</f>
        <v>0</v>
      </c>
      <c r="F74" s="41">
        <f t="shared" si="668"/>
        <v>0</v>
      </c>
      <c r="G74" s="41">
        <f t="shared" si="668"/>
        <v>0</v>
      </c>
      <c r="H74" s="41">
        <f t="shared" si="668"/>
        <v>0</v>
      </c>
      <c r="I74" s="41">
        <f t="shared" si="668"/>
        <v>0</v>
      </c>
      <c r="J74" s="41">
        <f t="shared" si="668"/>
        <v>0</v>
      </c>
      <c r="K74" s="41">
        <f t="shared" si="668"/>
        <v>0</v>
      </c>
      <c r="L74" s="41">
        <f t="shared" si="668"/>
        <v>0</v>
      </c>
      <c r="M74" s="41">
        <f t="shared" si="668"/>
        <v>0</v>
      </c>
      <c r="N74" s="41">
        <f t="shared" si="668"/>
        <v>0</v>
      </c>
      <c r="O74" s="41">
        <f t="shared" si="668"/>
        <v>0</v>
      </c>
      <c r="P74" s="41">
        <f t="shared" si="668"/>
        <v>0</v>
      </c>
      <c r="Q74" s="41">
        <f t="shared" si="668"/>
        <v>0</v>
      </c>
      <c r="R74" s="41">
        <f t="shared" si="668"/>
        <v>0</v>
      </c>
      <c r="S74" s="41">
        <f t="shared" si="668"/>
        <v>0</v>
      </c>
      <c r="T74" s="41">
        <f t="shared" si="668"/>
        <v>0</v>
      </c>
      <c r="U74" s="41">
        <f t="shared" si="668"/>
        <v>0</v>
      </c>
      <c r="V74" s="41">
        <f t="shared" si="668"/>
        <v>0</v>
      </c>
      <c r="W74" s="41">
        <f t="shared" si="668"/>
        <v>0</v>
      </c>
      <c r="X74" s="41">
        <f t="shared" si="668"/>
        <v>0</v>
      </c>
      <c r="Y74" s="41">
        <f t="shared" si="668"/>
        <v>0</v>
      </c>
      <c r="Z74" s="41">
        <f t="shared" si="668"/>
        <v>0</v>
      </c>
      <c r="AA74" s="41">
        <f t="shared" si="668"/>
        <v>0</v>
      </c>
      <c r="AB74" s="41">
        <f t="shared" si="668"/>
        <v>0</v>
      </c>
      <c r="AC74" s="41">
        <f t="shared" si="668"/>
        <v>0</v>
      </c>
      <c r="AD74" s="41">
        <f t="shared" si="668"/>
        <v>0</v>
      </c>
      <c r="AE74" s="41">
        <f t="shared" si="668"/>
        <v>0</v>
      </c>
      <c r="AF74" s="41">
        <f t="shared" si="668"/>
        <v>0</v>
      </c>
      <c r="AG74" s="41">
        <f t="shared" si="668"/>
        <v>0</v>
      </c>
      <c r="AH74" s="41">
        <f t="shared" si="668"/>
        <v>0</v>
      </c>
      <c r="AI74" s="41">
        <f t="shared" si="668"/>
        <v>0</v>
      </c>
      <c r="AJ74" s="41">
        <f t="shared" si="668"/>
        <v>0</v>
      </c>
      <c r="AK74" s="41">
        <f t="shared" si="668"/>
        <v>0</v>
      </c>
      <c r="AL74" s="41">
        <f t="shared" si="668"/>
        <v>0</v>
      </c>
      <c r="AM74" s="41">
        <f t="shared" si="668"/>
        <v>0</v>
      </c>
      <c r="AN74" s="41">
        <f t="shared" si="668"/>
        <v>0</v>
      </c>
      <c r="AO74" s="41">
        <f t="shared" si="668"/>
        <v>0</v>
      </c>
      <c r="AP74" s="41">
        <f t="shared" si="668"/>
        <v>0</v>
      </c>
      <c r="AQ74" s="41">
        <f t="shared" si="668"/>
        <v>0</v>
      </c>
      <c r="AR74" s="41">
        <f t="shared" si="668"/>
        <v>0</v>
      </c>
      <c r="AS74" s="41">
        <f t="shared" si="668"/>
        <v>0</v>
      </c>
      <c r="AT74" s="41">
        <f t="shared" si="668"/>
        <v>0</v>
      </c>
      <c r="AU74" s="41">
        <f t="shared" si="668"/>
        <v>0</v>
      </c>
      <c r="AV74" s="41">
        <f t="shared" si="668"/>
        <v>0</v>
      </c>
      <c r="AW74" s="41">
        <f t="shared" si="668"/>
        <v>0</v>
      </c>
      <c r="AX74" s="41">
        <f t="shared" si="668"/>
        <v>0</v>
      </c>
      <c r="AY74" s="41">
        <f t="shared" si="668"/>
        <v>0</v>
      </c>
      <c r="AZ74" s="41">
        <f t="shared" si="668"/>
        <v>0</v>
      </c>
      <c r="BA74" s="41">
        <f t="shared" si="668"/>
        <v>0</v>
      </c>
      <c r="BB74" s="41">
        <f t="shared" si="668"/>
        <v>0</v>
      </c>
      <c r="BC74" s="41">
        <f t="shared" si="668"/>
        <v>0</v>
      </c>
      <c r="BD74" s="41">
        <f t="shared" si="668"/>
        <v>0</v>
      </c>
      <c r="BE74" s="41">
        <f t="shared" si="668"/>
        <v>0</v>
      </c>
      <c r="BF74" s="41">
        <f t="shared" si="668"/>
        <v>0</v>
      </c>
      <c r="BG74" s="41">
        <f t="shared" si="668"/>
        <v>0</v>
      </c>
      <c r="BH74" s="41">
        <f t="shared" si="668"/>
        <v>0</v>
      </c>
      <c r="BI74" s="41">
        <f t="shared" si="668"/>
        <v>0</v>
      </c>
      <c r="BJ74" s="41">
        <f t="shared" si="668"/>
        <v>0</v>
      </c>
      <c r="BK74" s="41">
        <f t="shared" si="668"/>
        <v>0</v>
      </c>
      <c r="BL74" s="41">
        <f t="shared" si="668"/>
        <v>0</v>
      </c>
      <c r="BM74" s="41">
        <f t="shared" si="668"/>
        <v>0</v>
      </c>
      <c r="BN74" s="41">
        <f t="shared" si="668"/>
        <v>0</v>
      </c>
      <c r="BO74" s="41">
        <f t="shared" si="668"/>
        <v>0</v>
      </c>
      <c r="BP74" s="41">
        <f t="shared" si="668"/>
        <v>0</v>
      </c>
      <c r="BQ74" s="41">
        <f t="shared" ref="BQ74:DV74" si="669">(BQ65+BQ73)</f>
        <v>0</v>
      </c>
      <c r="BR74" s="41">
        <f t="shared" si="669"/>
        <v>0</v>
      </c>
      <c r="BS74" s="41">
        <f t="shared" si="669"/>
        <v>0</v>
      </c>
      <c r="BT74" s="41">
        <f t="shared" si="669"/>
        <v>0</v>
      </c>
      <c r="BU74" s="41">
        <f t="shared" si="669"/>
        <v>0</v>
      </c>
      <c r="BV74" s="41">
        <f t="shared" si="669"/>
        <v>0</v>
      </c>
      <c r="BW74" s="41">
        <f t="shared" si="669"/>
        <v>0</v>
      </c>
      <c r="BX74" s="41">
        <f t="shared" si="669"/>
        <v>0</v>
      </c>
      <c r="BY74" s="41">
        <f t="shared" si="669"/>
        <v>0</v>
      </c>
      <c r="BZ74" s="41">
        <f t="shared" si="669"/>
        <v>0</v>
      </c>
      <c r="CA74" s="41">
        <f t="shared" si="669"/>
        <v>0</v>
      </c>
      <c r="CB74" s="41">
        <f t="shared" si="669"/>
        <v>0</v>
      </c>
      <c r="CC74" s="41">
        <f t="shared" si="669"/>
        <v>0</v>
      </c>
      <c r="CD74" s="41">
        <f t="shared" si="669"/>
        <v>0</v>
      </c>
      <c r="CE74" s="41">
        <f t="shared" si="669"/>
        <v>0</v>
      </c>
      <c r="CF74" s="41">
        <f t="shared" si="669"/>
        <v>0</v>
      </c>
      <c r="CG74" s="41">
        <f t="shared" si="669"/>
        <v>0</v>
      </c>
      <c r="CH74" s="41">
        <f t="shared" si="669"/>
        <v>0</v>
      </c>
      <c r="CI74" s="41">
        <f t="shared" si="669"/>
        <v>0</v>
      </c>
      <c r="CJ74" s="41">
        <f t="shared" si="669"/>
        <v>0</v>
      </c>
      <c r="CK74" s="41">
        <f t="shared" si="669"/>
        <v>0</v>
      </c>
      <c r="CL74" s="41">
        <f t="shared" si="669"/>
        <v>0</v>
      </c>
      <c r="CM74" s="41">
        <f t="shared" si="669"/>
        <v>0</v>
      </c>
      <c r="CN74" s="41">
        <f t="shared" si="669"/>
        <v>0</v>
      </c>
      <c r="CO74" s="41">
        <f t="shared" si="669"/>
        <v>0</v>
      </c>
      <c r="CP74" s="41">
        <f t="shared" si="669"/>
        <v>0</v>
      </c>
      <c r="CQ74" s="41">
        <f t="shared" si="669"/>
        <v>0</v>
      </c>
      <c r="CR74" s="41">
        <f t="shared" si="669"/>
        <v>0</v>
      </c>
      <c r="CS74" s="41">
        <f t="shared" si="669"/>
        <v>0</v>
      </c>
      <c r="CT74" s="41">
        <f t="shared" si="669"/>
        <v>0</v>
      </c>
      <c r="CU74" s="41">
        <f t="shared" si="669"/>
        <v>0</v>
      </c>
      <c r="CV74" s="41">
        <f t="shared" si="669"/>
        <v>0</v>
      </c>
      <c r="CW74" s="41">
        <f t="shared" si="669"/>
        <v>0</v>
      </c>
      <c r="CX74" s="41">
        <f t="shared" si="669"/>
        <v>0</v>
      </c>
      <c r="CY74" s="41">
        <f t="shared" si="669"/>
        <v>0</v>
      </c>
      <c r="CZ74" s="41">
        <f t="shared" si="669"/>
        <v>0</v>
      </c>
      <c r="DA74" s="41">
        <f t="shared" si="669"/>
        <v>0</v>
      </c>
      <c r="DB74" s="41">
        <f t="shared" si="669"/>
        <v>0</v>
      </c>
      <c r="DC74" s="41">
        <f t="shared" si="669"/>
        <v>0</v>
      </c>
      <c r="DD74" s="41">
        <f t="shared" si="669"/>
        <v>0</v>
      </c>
      <c r="DE74" s="41">
        <f t="shared" si="669"/>
        <v>0</v>
      </c>
      <c r="DF74" s="41">
        <f t="shared" si="669"/>
        <v>0</v>
      </c>
      <c r="DG74" s="41">
        <f t="shared" si="669"/>
        <v>0</v>
      </c>
      <c r="DH74" s="41">
        <f t="shared" si="669"/>
        <v>0</v>
      </c>
      <c r="DI74" s="41">
        <f t="shared" si="669"/>
        <v>0</v>
      </c>
      <c r="DJ74" s="41">
        <f t="shared" si="669"/>
        <v>0</v>
      </c>
      <c r="DK74" s="41">
        <f t="shared" si="669"/>
        <v>0</v>
      </c>
      <c r="DL74" s="41">
        <f t="shared" si="669"/>
        <v>0</v>
      </c>
      <c r="DM74" s="41">
        <f t="shared" si="669"/>
        <v>0</v>
      </c>
      <c r="DN74" s="41">
        <f t="shared" si="669"/>
        <v>0</v>
      </c>
      <c r="DO74" s="41">
        <f t="shared" si="669"/>
        <v>0</v>
      </c>
      <c r="DP74" s="41">
        <f t="shared" si="669"/>
        <v>0</v>
      </c>
      <c r="DQ74" s="41">
        <f t="shared" si="669"/>
        <v>0</v>
      </c>
      <c r="DR74" s="41">
        <f t="shared" si="669"/>
        <v>0</v>
      </c>
      <c r="DS74" s="41">
        <f t="shared" si="669"/>
        <v>0</v>
      </c>
      <c r="DT74" s="41">
        <f t="shared" si="669"/>
        <v>0</v>
      </c>
      <c r="DU74" s="41">
        <f t="shared" si="669"/>
        <v>0</v>
      </c>
      <c r="DV74" s="41">
        <f t="shared" si="669"/>
        <v>0</v>
      </c>
    </row>
  </sheetData>
  <mergeCells count="9">
    <mergeCell ref="C66:C71"/>
    <mergeCell ref="C30:C38"/>
    <mergeCell ref="C41:C46"/>
    <mergeCell ref="B1:DU1"/>
    <mergeCell ref="A5:A14"/>
    <mergeCell ref="A16:A22"/>
    <mergeCell ref="C5:C13"/>
    <mergeCell ref="C16:C21"/>
    <mergeCell ref="C55:C6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 -2026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*</cp:lastModifiedBy>
  <dcterms:created xsi:type="dcterms:W3CDTF">2026-01-27T07:37:12Z</dcterms:created>
  <dcterms:modified xsi:type="dcterms:W3CDTF">2026-03-03T08:13:54Z</dcterms:modified>
</cp:coreProperties>
</file>