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MYO\"/>
    </mc:Choice>
  </mc:AlternateContent>
  <xr:revisionPtr revIDLastSave="0" documentId="13_ncr:1_{7B5DCC20-6B75-40D8-8DDF-AE4CF791D1A4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ales Price" sheetId="1" r:id="rId1"/>
    <sheet name="MTL Sales Summary" sheetId="5" r:id="rId2"/>
    <sheet name="MTL OP Debtor" sheetId="29" r:id="rId3"/>
    <sheet name="Daily Sales" sheetId="28" r:id="rId4"/>
  </sheets>
  <definedNames>
    <definedName name="_xlnm._FilterDatabase" localSheetId="3" hidden="1">'Daily Sales'!$A$68:$H$68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7" i="28" l="1"/>
  <c r="C128" i="28"/>
  <c r="C126" i="28"/>
  <c r="C124" i="28"/>
  <c r="C125" i="28"/>
  <c r="C122" i="28"/>
  <c r="C123" i="28"/>
  <c r="C121" i="28"/>
  <c r="C118" i="28"/>
  <c r="C119" i="28"/>
  <c r="C120" i="28"/>
  <c r="C116" i="28"/>
  <c r="C117" i="28"/>
  <c r="G88" i="29"/>
  <c r="I88" i="29" s="1"/>
  <c r="G89" i="29"/>
  <c r="I89" i="29" s="1"/>
  <c r="G90" i="29"/>
  <c r="I90" i="29" s="1"/>
  <c r="G92" i="29"/>
  <c r="I92" i="29" s="1"/>
  <c r="G93" i="29"/>
  <c r="I93" i="29" s="1"/>
  <c r="G94" i="29"/>
  <c r="I94" i="29" s="1"/>
  <c r="G95" i="29"/>
  <c r="I95" i="29" s="1"/>
  <c r="G96" i="29"/>
  <c r="I96" i="29" s="1"/>
  <c r="G98" i="29"/>
  <c r="I98" i="29" s="1"/>
  <c r="G99" i="29"/>
  <c r="I99" i="29" s="1"/>
  <c r="G100" i="29"/>
  <c r="I100" i="29" s="1"/>
  <c r="G101" i="29"/>
  <c r="I101" i="29" s="1"/>
  <c r="G102" i="29"/>
  <c r="I102" i="29" s="1"/>
  <c r="G103" i="29"/>
  <c r="I103" i="29" s="1"/>
  <c r="G104" i="29"/>
  <c r="I104" i="29" s="1"/>
  <c r="G105" i="29"/>
  <c r="I105" i="29" s="1"/>
  <c r="G106" i="29"/>
  <c r="I106" i="29" s="1"/>
  <c r="G107" i="29"/>
  <c r="I107" i="29" s="1"/>
  <c r="G108" i="29"/>
  <c r="I108" i="29" s="1"/>
  <c r="G109" i="29"/>
  <c r="I109" i="29" s="1"/>
  <c r="G110" i="29"/>
  <c r="I110" i="29" s="1"/>
  <c r="G111" i="29"/>
  <c r="I111" i="29" s="1"/>
  <c r="G112" i="29"/>
  <c r="I112" i="29" s="1"/>
  <c r="G114" i="29"/>
  <c r="I114" i="29" s="1"/>
  <c r="G115" i="29"/>
  <c r="I115" i="29" s="1"/>
  <c r="G116" i="29"/>
  <c r="I116" i="29" s="1"/>
  <c r="G117" i="29"/>
  <c r="I117" i="29" s="1"/>
  <c r="G118" i="29"/>
  <c r="I118" i="29" s="1"/>
  <c r="G119" i="29"/>
  <c r="I119" i="29" s="1"/>
  <c r="G120" i="29"/>
  <c r="I120" i="29" s="1"/>
  <c r="F86" i="29"/>
  <c r="AI4" i="5" s="1"/>
  <c r="F87" i="29"/>
  <c r="AI5" i="5" s="1"/>
  <c r="F88" i="29"/>
  <c r="L88" i="29" s="1"/>
  <c r="N88" i="29" s="1"/>
  <c r="F89" i="29"/>
  <c r="AI7" i="5" s="1"/>
  <c r="F90" i="29"/>
  <c r="AI8" i="5" s="1"/>
  <c r="F91" i="29"/>
  <c r="L91" i="29" s="1"/>
  <c r="N91" i="29" s="1"/>
  <c r="F92" i="29"/>
  <c r="L92" i="29" s="1"/>
  <c r="N92" i="29" s="1"/>
  <c r="F93" i="29"/>
  <c r="L93" i="29" s="1"/>
  <c r="N93" i="29" s="1"/>
  <c r="F94" i="29"/>
  <c r="AI12" i="5" s="1"/>
  <c r="F95" i="29"/>
  <c r="AI13" i="5" s="1"/>
  <c r="F96" i="29"/>
  <c r="L96" i="29" s="1"/>
  <c r="N96" i="29" s="1"/>
  <c r="F97" i="29"/>
  <c r="AI15" i="5" s="1"/>
  <c r="F98" i="29"/>
  <c r="L98" i="29" s="1"/>
  <c r="N98" i="29" s="1"/>
  <c r="F99" i="29"/>
  <c r="L99" i="29" s="1"/>
  <c r="N99" i="29" s="1"/>
  <c r="F100" i="29"/>
  <c r="L100" i="29" s="1"/>
  <c r="N100" i="29" s="1"/>
  <c r="F101" i="29"/>
  <c r="L101" i="29" s="1"/>
  <c r="N101" i="29" s="1"/>
  <c r="F102" i="29"/>
  <c r="AI20" i="5" s="1"/>
  <c r="F103" i="29"/>
  <c r="AI21" i="5" s="1"/>
  <c r="F104" i="29"/>
  <c r="AI22" i="5" s="1"/>
  <c r="F105" i="29"/>
  <c r="L105" i="29" s="1"/>
  <c r="N105" i="29" s="1"/>
  <c r="F106" i="29"/>
  <c r="L106" i="29" s="1"/>
  <c r="N106" i="29" s="1"/>
  <c r="F107" i="29"/>
  <c r="L107" i="29" s="1"/>
  <c r="N107" i="29" s="1"/>
  <c r="F108" i="29"/>
  <c r="L108" i="29" s="1"/>
  <c r="N108" i="29" s="1"/>
  <c r="F109" i="29"/>
  <c r="L109" i="29" s="1"/>
  <c r="N109" i="29" s="1"/>
  <c r="F110" i="29"/>
  <c r="AI28" i="5" s="1"/>
  <c r="F111" i="29"/>
  <c r="AI29" i="5" s="1"/>
  <c r="F112" i="29"/>
  <c r="AI30" i="5" s="1"/>
  <c r="F113" i="29"/>
  <c r="L113" i="29" s="1"/>
  <c r="N113" i="29" s="1"/>
  <c r="F114" i="29"/>
  <c r="L114" i="29" s="1"/>
  <c r="N114" i="29" s="1"/>
  <c r="F115" i="29"/>
  <c r="L115" i="29" s="1"/>
  <c r="N115" i="29" s="1"/>
  <c r="F116" i="29"/>
  <c r="L116" i="29" s="1"/>
  <c r="N116" i="29" s="1"/>
  <c r="F117" i="29"/>
  <c r="L117" i="29" s="1"/>
  <c r="N117" i="29" s="1"/>
  <c r="F118" i="29"/>
  <c r="AI36" i="5" s="1"/>
  <c r="F119" i="29"/>
  <c r="AI37" i="5" s="1"/>
  <c r="F120" i="29"/>
  <c r="L120" i="29" s="1"/>
  <c r="N120" i="29" s="1"/>
  <c r="F85" i="29"/>
  <c r="L85" i="29" s="1"/>
  <c r="M121" i="29"/>
  <c r="K121" i="29"/>
  <c r="H121" i="29"/>
  <c r="E121" i="29"/>
  <c r="P109" i="28"/>
  <c r="P110" i="28"/>
  <c r="P111" i="28"/>
  <c r="P112" i="28"/>
  <c r="P113" i="28"/>
  <c r="P114" i="28"/>
  <c r="P115" i="28"/>
  <c r="P116" i="28"/>
  <c r="P108" i="28"/>
  <c r="G140" i="28"/>
  <c r="C108" i="28"/>
  <c r="C109" i="28"/>
  <c r="C110" i="28"/>
  <c r="C111" i="28"/>
  <c r="C112" i="28"/>
  <c r="C113" i="28"/>
  <c r="C114" i="28"/>
  <c r="C115" i="28"/>
  <c r="C107" i="28"/>
  <c r="H139" i="28"/>
  <c r="H138" i="28"/>
  <c r="H137" i="28"/>
  <c r="H136" i="28"/>
  <c r="H135" i="28"/>
  <c r="H134" i="28"/>
  <c r="H133" i="28"/>
  <c r="H132" i="28"/>
  <c r="H131" i="28"/>
  <c r="H130" i="28"/>
  <c r="H129" i="28"/>
  <c r="H128" i="28"/>
  <c r="H127" i="28"/>
  <c r="G91" i="29" s="1"/>
  <c r="I91" i="29" s="1"/>
  <c r="H126" i="28"/>
  <c r="H125" i="28"/>
  <c r="G86" i="29" s="1"/>
  <c r="I86" i="29" s="1"/>
  <c r="H124" i="28"/>
  <c r="H123" i="28"/>
  <c r="H122" i="28"/>
  <c r="H121" i="28"/>
  <c r="H120" i="28"/>
  <c r="G113" i="29" s="1"/>
  <c r="I113" i="29" s="1"/>
  <c r="H119" i="28"/>
  <c r="G97" i="29" s="1"/>
  <c r="I97" i="29" s="1"/>
  <c r="H118" i="28"/>
  <c r="H117" i="28"/>
  <c r="G87" i="29" s="1"/>
  <c r="I87" i="29" s="1"/>
  <c r="H116" i="28"/>
  <c r="H115" i="28"/>
  <c r="H114" i="28"/>
  <c r="H113" i="28"/>
  <c r="H112" i="28"/>
  <c r="H111" i="28"/>
  <c r="H110" i="28"/>
  <c r="H109" i="28"/>
  <c r="H108" i="28"/>
  <c r="H107" i="28"/>
  <c r="H101" i="28"/>
  <c r="C98" i="28"/>
  <c r="C99" i="28"/>
  <c r="C100" i="28"/>
  <c r="C101" i="28"/>
  <c r="P78" i="28"/>
  <c r="C93" i="28"/>
  <c r="C94" i="28"/>
  <c r="C95" i="28"/>
  <c r="C96" i="28"/>
  <c r="C97" i="28"/>
  <c r="C91" i="28"/>
  <c r="C92" i="28"/>
  <c r="C89" i="28"/>
  <c r="C90" i="28"/>
  <c r="C86" i="28"/>
  <c r="C87" i="28"/>
  <c r="C88" i="28"/>
  <c r="H95" i="28"/>
  <c r="G79" i="29" s="1"/>
  <c r="I79" i="29" s="1"/>
  <c r="H96" i="28"/>
  <c r="H97" i="28"/>
  <c r="H98" i="28"/>
  <c r="G59" i="29" s="1"/>
  <c r="I59" i="29" s="1"/>
  <c r="H99" i="28"/>
  <c r="H100" i="28"/>
  <c r="G57" i="29" s="1"/>
  <c r="I57" i="29" s="1"/>
  <c r="H87" i="28"/>
  <c r="G50" i="29" s="1"/>
  <c r="I50" i="29" s="1"/>
  <c r="H88" i="28"/>
  <c r="H89" i="28"/>
  <c r="H90" i="28"/>
  <c r="H91" i="28"/>
  <c r="H92" i="28"/>
  <c r="H93" i="28"/>
  <c r="G74" i="29" s="1"/>
  <c r="I74" i="29" s="1"/>
  <c r="H94" i="28"/>
  <c r="H86" i="28"/>
  <c r="D19" i="1"/>
  <c r="D2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" i="1"/>
  <c r="C80" i="28"/>
  <c r="C81" i="28"/>
  <c r="C82" i="28"/>
  <c r="C83" i="28"/>
  <c r="C84" i="28"/>
  <c r="C85" i="28"/>
  <c r="H85" i="28"/>
  <c r="H84" i="28"/>
  <c r="H83" i="28"/>
  <c r="G75" i="29" s="1"/>
  <c r="I75" i="29" s="1"/>
  <c r="H82" i="28"/>
  <c r="H81" i="28"/>
  <c r="G45" i="29"/>
  <c r="I45" i="29" s="1"/>
  <c r="G47" i="29"/>
  <c r="I47" i="29" s="1"/>
  <c r="G49" i="29"/>
  <c r="I49" i="29" s="1"/>
  <c r="G51" i="29"/>
  <c r="I51" i="29" s="1"/>
  <c r="G52" i="29"/>
  <c r="I52" i="29" s="1"/>
  <c r="G53" i="29"/>
  <c r="I53" i="29" s="1"/>
  <c r="G58" i="29"/>
  <c r="I58" i="29" s="1"/>
  <c r="G60" i="29"/>
  <c r="I60" i="29" s="1"/>
  <c r="G61" i="29"/>
  <c r="I61" i="29" s="1"/>
  <c r="G62" i="29"/>
  <c r="I62" i="29" s="1"/>
  <c r="G63" i="29"/>
  <c r="I63" i="29" s="1"/>
  <c r="G64" i="29"/>
  <c r="I64" i="29" s="1"/>
  <c r="G65" i="29"/>
  <c r="I65" i="29" s="1"/>
  <c r="G67" i="29"/>
  <c r="I67" i="29" s="1"/>
  <c r="G68" i="29"/>
  <c r="I68" i="29" s="1"/>
  <c r="G69" i="29"/>
  <c r="I69" i="29" s="1"/>
  <c r="G70" i="29"/>
  <c r="I70" i="29" s="1"/>
  <c r="G71" i="29"/>
  <c r="I71" i="29" s="1"/>
  <c r="G72" i="29"/>
  <c r="I72" i="29" s="1"/>
  <c r="G73" i="29"/>
  <c r="I73" i="29" s="1"/>
  <c r="G76" i="29"/>
  <c r="I76" i="29" s="1"/>
  <c r="G77" i="29"/>
  <c r="I77" i="29" s="1"/>
  <c r="G78" i="29"/>
  <c r="I78" i="29" s="1"/>
  <c r="F45" i="29"/>
  <c r="F46" i="29"/>
  <c r="F47" i="29"/>
  <c r="F48" i="29"/>
  <c r="F49" i="29"/>
  <c r="F50" i="29"/>
  <c r="L50" i="29" s="1"/>
  <c r="N50" i="29" s="1"/>
  <c r="F51" i="29"/>
  <c r="F52" i="29"/>
  <c r="L52" i="29" s="1"/>
  <c r="N52" i="29" s="1"/>
  <c r="F53" i="29"/>
  <c r="F54" i="29"/>
  <c r="F55" i="29"/>
  <c r="F56" i="29"/>
  <c r="L56" i="29" s="1"/>
  <c r="N56" i="29" s="1"/>
  <c r="F57" i="29"/>
  <c r="F58" i="29"/>
  <c r="L58" i="29" s="1"/>
  <c r="N58" i="29" s="1"/>
  <c r="F59" i="29"/>
  <c r="L59" i="29" s="1"/>
  <c r="N59" i="29" s="1"/>
  <c r="F60" i="29"/>
  <c r="L60" i="29" s="1"/>
  <c r="N60" i="29" s="1"/>
  <c r="F61" i="29"/>
  <c r="F62" i="29"/>
  <c r="F63" i="29"/>
  <c r="F64" i="29"/>
  <c r="L64" i="29" s="1"/>
  <c r="N64" i="29" s="1"/>
  <c r="F65" i="29"/>
  <c r="F66" i="29"/>
  <c r="F67" i="29"/>
  <c r="L67" i="29" s="1"/>
  <c r="N67" i="29" s="1"/>
  <c r="F68" i="29"/>
  <c r="L68" i="29" s="1"/>
  <c r="N68" i="29" s="1"/>
  <c r="F69" i="29"/>
  <c r="F70" i="29"/>
  <c r="F71" i="29"/>
  <c r="F72" i="29"/>
  <c r="L72" i="29" s="1"/>
  <c r="N72" i="29" s="1"/>
  <c r="F73" i="29"/>
  <c r="F74" i="29"/>
  <c r="L74" i="29" s="1"/>
  <c r="N74" i="29" s="1"/>
  <c r="F75" i="29"/>
  <c r="L75" i="29" s="1"/>
  <c r="N75" i="29" s="1"/>
  <c r="F76" i="29"/>
  <c r="L76" i="29" s="1"/>
  <c r="N76" i="29" s="1"/>
  <c r="F77" i="29"/>
  <c r="F78" i="29"/>
  <c r="F79" i="29"/>
  <c r="F44" i="29"/>
  <c r="L44" i="29" s="1"/>
  <c r="M80" i="29"/>
  <c r="K80" i="29"/>
  <c r="H80" i="29"/>
  <c r="E80" i="29"/>
  <c r="G102" i="28"/>
  <c r="F102" i="28"/>
  <c r="P71" i="28"/>
  <c r="P72" i="28"/>
  <c r="P73" i="28"/>
  <c r="P74" i="28"/>
  <c r="P75" i="28"/>
  <c r="P76" i="28"/>
  <c r="P77" i="28"/>
  <c r="P70" i="28"/>
  <c r="H70" i="28"/>
  <c r="H71" i="28"/>
  <c r="H72" i="28"/>
  <c r="H73" i="28"/>
  <c r="H74" i="28"/>
  <c r="G55" i="29" s="1"/>
  <c r="I55" i="29" s="1"/>
  <c r="H75" i="28"/>
  <c r="H76" i="28"/>
  <c r="G56" i="29" s="1"/>
  <c r="I56" i="29" s="1"/>
  <c r="H77" i="28"/>
  <c r="G54" i="29" s="1"/>
  <c r="I54" i="29" s="1"/>
  <c r="H78" i="28"/>
  <c r="H79" i="28"/>
  <c r="H80" i="28"/>
  <c r="C70" i="28"/>
  <c r="C71" i="28"/>
  <c r="C72" i="28"/>
  <c r="C73" i="28"/>
  <c r="C74" i="28"/>
  <c r="C75" i="28"/>
  <c r="C76" i="28"/>
  <c r="C77" i="28"/>
  <c r="C78" i="28"/>
  <c r="C79" i="28"/>
  <c r="H69" i="28"/>
  <c r="G46" i="29" s="1"/>
  <c r="I46" i="29" s="1"/>
  <c r="C69" i="28"/>
  <c r="G8" i="29"/>
  <c r="G11" i="29"/>
  <c r="G17" i="29"/>
  <c r="G18" i="29"/>
  <c r="G19" i="29"/>
  <c r="G20" i="29"/>
  <c r="G21" i="29"/>
  <c r="G22" i="29"/>
  <c r="G26" i="29"/>
  <c r="G27" i="29"/>
  <c r="G28" i="29"/>
  <c r="G29" i="29"/>
  <c r="G30" i="29"/>
  <c r="G31" i="29"/>
  <c r="G32" i="29"/>
  <c r="G35" i="29"/>
  <c r="G36" i="29"/>
  <c r="G38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F26" i="29"/>
  <c r="F27" i="29"/>
  <c r="F28" i="29"/>
  <c r="F29" i="29"/>
  <c r="F30" i="29"/>
  <c r="F31" i="29"/>
  <c r="F32" i="29"/>
  <c r="F33" i="29"/>
  <c r="F34" i="29"/>
  <c r="F35" i="29"/>
  <c r="F36" i="29"/>
  <c r="F37" i="29"/>
  <c r="F38" i="29"/>
  <c r="F3" i="29"/>
  <c r="P5" i="28"/>
  <c r="P4" i="28"/>
  <c r="P6" i="28"/>
  <c r="P7" i="28"/>
  <c r="P8" i="28"/>
  <c r="P9" i="28"/>
  <c r="P10" i="28"/>
  <c r="P11" i="28"/>
  <c r="G85" i="29" l="1"/>
  <c r="I85" i="29" s="1"/>
  <c r="I121" i="29" s="1"/>
  <c r="L90" i="29"/>
  <c r="N90" i="29" s="1"/>
  <c r="L97" i="29"/>
  <c r="N97" i="29" s="1"/>
  <c r="L104" i="29"/>
  <c r="N104" i="29" s="1"/>
  <c r="L112" i="29"/>
  <c r="N112" i="29" s="1"/>
  <c r="L89" i="29"/>
  <c r="N89" i="29" s="1"/>
  <c r="L119" i="29"/>
  <c r="N119" i="29" s="1"/>
  <c r="L86" i="29"/>
  <c r="N86" i="29" s="1"/>
  <c r="L111" i="29"/>
  <c r="N111" i="29" s="1"/>
  <c r="L103" i="29"/>
  <c r="N103" i="29" s="1"/>
  <c r="L95" i="29"/>
  <c r="N95" i="29" s="1"/>
  <c r="L87" i="29"/>
  <c r="N87" i="29" s="1"/>
  <c r="AI35" i="5"/>
  <c r="AI27" i="5"/>
  <c r="AI19" i="5"/>
  <c r="AI11" i="5"/>
  <c r="AI34" i="5"/>
  <c r="AI26" i="5"/>
  <c r="AI18" i="5"/>
  <c r="AI10" i="5"/>
  <c r="AI33" i="5"/>
  <c r="AI25" i="5"/>
  <c r="AI17" i="5"/>
  <c r="AI9" i="5"/>
  <c r="L102" i="29"/>
  <c r="N102" i="29" s="1"/>
  <c r="L118" i="29"/>
  <c r="N118" i="29" s="1"/>
  <c r="AI32" i="5"/>
  <c r="AI24" i="5"/>
  <c r="AI16" i="5"/>
  <c r="L110" i="29"/>
  <c r="N110" i="29" s="1"/>
  <c r="AI3" i="5"/>
  <c r="AI31" i="5"/>
  <c r="AI23" i="5"/>
  <c r="L94" i="29"/>
  <c r="N94" i="29" s="1"/>
  <c r="AI38" i="5"/>
  <c r="AI14" i="5"/>
  <c r="AI6" i="5"/>
  <c r="N85" i="29"/>
  <c r="F121" i="29"/>
  <c r="P118" i="28"/>
  <c r="P117" i="28"/>
  <c r="H140" i="28"/>
  <c r="G44" i="29"/>
  <c r="I44" i="29" s="1"/>
  <c r="G66" i="29"/>
  <c r="I66" i="29" s="1"/>
  <c r="G48" i="29"/>
  <c r="I48" i="29" s="1"/>
  <c r="H102" i="28"/>
  <c r="L45" i="29"/>
  <c r="N45" i="29" s="1"/>
  <c r="L53" i="29"/>
  <c r="N53" i="29" s="1"/>
  <c r="L51" i="29"/>
  <c r="N51" i="29" s="1"/>
  <c r="L65" i="29"/>
  <c r="N65" i="29" s="1"/>
  <c r="L55" i="29"/>
  <c r="N55" i="29" s="1"/>
  <c r="L48" i="29"/>
  <c r="N48" i="29" s="1"/>
  <c r="L63" i="29"/>
  <c r="N63" i="29" s="1"/>
  <c r="P80" i="28"/>
  <c r="L49" i="29"/>
  <c r="N49" i="29" s="1"/>
  <c r="L57" i="29"/>
  <c r="N57" i="29" s="1"/>
  <c r="L66" i="29"/>
  <c r="N66" i="29" s="1"/>
  <c r="L78" i="29"/>
  <c r="N78" i="29" s="1"/>
  <c r="L70" i="29"/>
  <c r="N70" i="29" s="1"/>
  <c r="L46" i="29"/>
  <c r="N46" i="29" s="1"/>
  <c r="L61" i="29"/>
  <c r="N61" i="29" s="1"/>
  <c r="L73" i="29"/>
  <c r="N73" i="29" s="1"/>
  <c r="L79" i="29"/>
  <c r="N79" i="29" s="1"/>
  <c r="L47" i="29"/>
  <c r="N47" i="29" s="1"/>
  <c r="L69" i="29"/>
  <c r="N69" i="29" s="1"/>
  <c r="L77" i="29"/>
  <c r="N77" i="29" s="1"/>
  <c r="L54" i="29"/>
  <c r="N54" i="29" s="1"/>
  <c r="L62" i="29"/>
  <c r="N62" i="29" s="1"/>
  <c r="L71" i="29"/>
  <c r="N71" i="29" s="1"/>
  <c r="N44" i="29"/>
  <c r="F80" i="29"/>
  <c r="P79" i="28"/>
  <c r="H63" i="28"/>
  <c r="C63" i="28"/>
  <c r="G64" i="28"/>
  <c r="C34" i="28"/>
  <c r="C35" i="28"/>
  <c r="C36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C61" i="28"/>
  <c r="C62" i="28"/>
  <c r="H34" i="28"/>
  <c r="H35" i="28"/>
  <c r="G10" i="29" s="1"/>
  <c r="H36" i="28"/>
  <c r="H37" i="28"/>
  <c r="H38" i="28"/>
  <c r="G6" i="29" s="1"/>
  <c r="H39" i="28"/>
  <c r="H40" i="28"/>
  <c r="H41" i="28"/>
  <c r="H42" i="28"/>
  <c r="H43" i="28"/>
  <c r="H44" i="28"/>
  <c r="H45" i="28"/>
  <c r="H46" i="28"/>
  <c r="H47" i="28"/>
  <c r="H48" i="28"/>
  <c r="H49" i="28"/>
  <c r="H50" i="28"/>
  <c r="H51" i="28"/>
  <c r="H52" i="28"/>
  <c r="H53" i="28"/>
  <c r="H54" i="28"/>
  <c r="H55" i="28"/>
  <c r="H56" i="28"/>
  <c r="H57" i="28"/>
  <c r="G33" i="29" s="1"/>
  <c r="H58" i="28"/>
  <c r="H59" i="28"/>
  <c r="H60" i="28"/>
  <c r="G37" i="29" s="1"/>
  <c r="H61" i="28"/>
  <c r="H62" i="28"/>
  <c r="G121" i="29" l="1"/>
  <c r="L121" i="29"/>
  <c r="N121" i="29"/>
  <c r="I80" i="29"/>
  <c r="G80" i="29"/>
  <c r="L80" i="29"/>
  <c r="N80" i="29"/>
  <c r="AR40" i="5"/>
  <c r="AR42" i="5" s="1"/>
  <c r="AQ40" i="5"/>
  <c r="AQ42" i="5" s="1"/>
  <c r="AP40" i="5"/>
  <c r="AP42" i="5" s="1"/>
  <c r="AO40" i="5"/>
  <c r="AO42" i="5" s="1"/>
  <c r="AN40" i="5"/>
  <c r="AN42" i="5" s="1"/>
  <c r="AM40" i="5"/>
  <c r="AM42" i="5" s="1"/>
  <c r="AL40" i="5"/>
  <c r="AL42" i="5" s="1"/>
  <c r="AK40" i="5"/>
  <c r="AK42" i="5" s="1"/>
  <c r="AJ40" i="5"/>
  <c r="AJ42" i="5" s="1"/>
  <c r="AI40" i="5"/>
  <c r="AI42" i="5" s="1"/>
  <c r="AH40" i="5"/>
  <c r="AH42" i="5" s="1"/>
  <c r="C4" i="28"/>
  <c r="C5" i="28"/>
  <c r="C6" i="28"/>
  <c r="C7" i="28"/>
  <c r="C8" i="28"/>
  <c r="C9" i="28"/>
  <c r="C10" i="28"/>
  <c r="C11" i="28"/>
  <c r="C12" i="28"/>
  <c r="C13" i="28"/>
  <c r="C14" i="28"/>
  <c r="C15" i="28"/>
  <c r="C16" i="28"/>
  <c r="C17" i="28"/>
  <c r="C18" i="28"/>
  <c r="C19" i="28"/>
  <c r="C20" i="28"/>
  <c r="C21" i="28"/>
  <c r="C22" i="28"/>
  <c r="C23" i="28"/>
  <c r="C24" i="28"/>
  <c r="C25" i="28"/>
  <c r="C26" i="28"/>
  <c r="C27" i="28"/>
  <c r="C28" i="28"/>
  <c r="C29" i="28"/>
  <c r="C30" i="28"/>
  <c r="C31" i="28"/>
  <c r="C32" i="28"/>
  <c r="C33" i="28"/>
  <c r="C3" i="28"/>
  <c r="I8" i="29"/>
  <c r="I11" i="29"/>
  <c r="I17" i="29"/>
  <c r="I18" i="29"/>
  <c r="I19" i="29"/>
  <c r="I20" i="29"/>
  <c r="I21" i="29"/>
  <c r="I22" i="29"/>
  <c r="I26" i="29"/>
  <c r="I27" i="29"/>
  <c r="I28" i="29"/>
  <c r="I29" i="29"/>
  <c r="I30" i="29"/>
  <c r="I31" i="29"/>
  <c r="I32" i="29"/>
  <c r="I35" i="29"/>
  <c r="AS4" i="5"/>
  <c r="AS5" i="5"/>
  <c r="AS6" i="5"/>
  <c r="L7" i="29"/>
  <c r="N7" i="29" s="1"/>
  <c r="L8" i="29"/>
  <c r="N8" i="29" s="1"/>
  <c r="L9" i="29"/>
  <c r="N9" i="29" s="1"/>
  <c r="L10" i="29"/>
  <c r="N10" i="29" s="1"/>
  <c r="L11" i="29"/>
  <c r="N11" i="29" s="1"/>
  <c r="AS12" i="5"/>
  <c r="AS13" i="5"/>
  <c r="AS14" i="5"/>
  <c r="L15" i="29"/>
  <c r="N15" i="29" s="1"/>
  <c r="L16" i="29"/>
  <c r="N16" i="29" s="1"/>
  <c r="AS17" i="5"/>
  <c r="L18" i="29"/>
  <c r="N18" i="29" s="1"/>
  <c r="L19" i="29"/>
  <c r="N19" i="29" s="1"/>
  <c r="AS20" i="5"/>
  <c r="AS21" i="5"/>
  <c r="AS22" i="5"/>
  <c r="AS23" i="5"/>
  <c r="L24" i="29"/>
  <c r="N24" i="29" s="1"/>
  <c r="L25" i="29"/>
  <c r="N25" i="29" s="1"/>
  <c r="L26" i="29"/>
  <c r="N26" i="29" s="1"/>
  <c r="L27" i="29"/>
  <c r="N27" i="29" s="1"/>
  <c r="AS28" i="5"/>
  <c r="AS29" i="5"/>
  <c r="AS30" i="5"/>
  <c r="L31" i="29"/>
  <c r="N31" i="29" s="1"/>
  <c r="AS32" i="5"/>
  <c r="L33" i="29"/>
  <c r="N33" i="29" s="1"/>
  <c r="L34" i="29"/>
  <c r="N34" i="29" s="1"/>
  <c r="L35" i="29"/>
  <c r="N35" i="29" s="1"/>
  <c r="AS36" i="5"/>
  <c r="L37" i="29"/>
  <c r="N37" i="29" s="1"/>
  <c r="L38" i="29"/>
  <c r="N38" i="29" s="1"/>
  <c r="L3" i="29"/>
  <c r="M39" i="29"/>
  <c r="K39" i="29"/>
  <c r="H39" i="29"/>
  <c r="E39" i="29"/>
  <c r="F790" i="28"/>
  <c r="F789" i="28"/>
  <c r="F788" i="28"/>
  <c r="F787" i="28"/>
  <c r="F786" i="28"/>
  <c r="F785" i="28"/>
  <c r="F784" i="28"/>
  <c r="F783" i="28"/>
  <c r="F782" i="28"/>
  <c r="F781" i="28"/>
  <c r="F780" i="28"/>
  <c r="F779" i="28"/>
  <c r="F778" i="28"/>
  <c r="F777" i="28"/>
  <c r="F776" i="28"/>
  <c r="F775" i="28"/>
  <c r="F774" i="28"/>
  <c r="F773" i="28"/>
  <c r="F772" i="28"/>
  <c r="F771" i="28"/>
  <c r="F770" i="28"/>
  <c r="F769" i="28"/>
  <c r="F768" i="28"/>
  <c r="F767" i="28"/>
  <c r="F766" i="28"/>
  <c r="F765" i="28"/>
  <c r="F764" i="28"/>
  <c r="F763" i="28"/>
  <c r="F762" i="28"/>
  <c r="F761" i="28"/>
  <c r="F760" i="28"/>
  <c r="F759" i="28"/>
  <c r="F758" i="28"/>
  <c r="F757" i="28"/>
  <c r="F756" i="28"/>
  <c r="F755" i="28"/>
  <c r="F754" i="28"/>
  <c r="F753" i="28"/>
  <c r="F752" i="28"/>
  <c r="F751" i="28"/>
  <c r="F750" i="28"/>
  <c r="F749" i="28"/>
  <c r="F748" i="28"/>
  <c r="F747" i="28"/>
  <c r="F746" i="28"/>
  <c r="F745" i="28"/>
  <c r="F744" i="28"/>
  <c r="F743" i="28"/>
  <c r="F742" i="28"/>
  <c r="F741" i="28"/>
  <c r="F740" i="28"/>
  <c r="F739" i="28"/>
  <c r="F738" i="28"/>
  <c r="F737" i="28"/>
  <c r="F736" i="28"/>
  <c r="F735" i="28"/>
  <c r="F734" i="28"/>
  <c r="F733" i="28"/>
  <c r="F732" i="28"/>
  <c r="F731" i="28"/>
  <c r="F730" i="28"/>
  <c r="F729" i="28"/>
  <c r="F728" i="28"/>
  <c r="F727" i="28"/>
  <c r="F726" i="28"/>
  <c r="F725" i="28"/>
  <c r="F724" i="28"/>
  <c r="F723" i="28"/>
  <c r="F722" i="28"/>
  <c r="F721" i="28"/>
  <c r="F720" i="28"/>
  <c r="F719" i="28"/>
  <c r="F718" i="28"/>
  <c r="F717" i="28"/>
  <c r="F716" i="28"/>
  <c r="F715" i="28"/>
  <c r="F714" i="28"/>
  <c r="F713" i="28"/>
  <c r="F712" i="28"/>
  <c r="F711" i="28"/>
  <c r="F710" i="28"/>
  <c r="F709" i="28"/>
  <c r="F708" i="28"/>
  <c r="F707" i="28"/>
  <c r="F706" i="28"/>
  <c r="F705" i="28"/>
  <c r="F704" i="28"/>
  <c r="F703" i="28"/>
  <c r="F702" i="28"/>
  <c r="F701" i="28"/>
  <c r="F700" i="28"/>
  <c r="F699" i="28"/>
  <c r="F698" i="28"/>
  <c r="F697" i="28"/>
  <c r="F696" i="28"/>
  <c r="F695" i="28"/>
  <c r="F694" i="28"/>
  <c r="F693" i="28"/>
  <c r="F692" i="28"/>
  <c r="F691" i="28"/>
  <c r="F690" i="28"/>
  <c r="F689" i="28"/>
  <c r="F688" i="28"/>
  <c r="F687" i="28"/>
  <c r="F686" i="28"/>
  <c r="F685" i="28"/>
  <c r="F684" i="28"/>
  <c r="F683" i="28"/>
  <c r="F682" i="28"/>
  <c r="F681" i="28"/>
  <c r="F680" i="28"/>
  <c r="F679" i="28"/>
  <c r="F678" i="28"/>
  <c r="F677" i="28"/>
  <c r="F676" i="28"/>
  <c r="F675" i="28"/>
  <c r="F674" i="28"/>
  <c r="F673" i="28"/>
  <c r="F672" i="28"/>
  <c r="F671" i="28"/>
  <c r="F670" i="28"/>
  <c r="F669" i="28"/>
  <c r="F668" i="28"/>
  <c r="F667" i="28"/>
  <c r="F666" i="28"/>
  <c r="F665" i="28"/>
  <c r="F664" i="28"/>
  <c r="F663" i="28"/>
  <c r="F662" i="28"/>
  <c r="F661" i="28"/>
  <c r="F660" i="28"/>
  <c r="F659" i="28"/>
  <c r="F658" i="28"/>
  <c r="F657" i="28"/>
  <c r="F656" i="28"/>
  <c r="F655" i="28"/>
  <c r="F654" i="28"/>
  <c r="F653" i="28"/>
  <c r="I33" i="29"/>
  <c r="I10" i="29"/>
  <c r="I38" i="29"/>
  <c r="I6" i="29"/>
  <c r="H33" i="28"/>
  <c r="H32" i="28"/>
  <c r="H31" i="28"/>
  <c r="H30" i="28"/>
  <c r="H29" i="28"/>
  <c r="H28" i="28"/>
  <c r="H27" i="28"/>
  <c r="H26" i="28"/>
  <c r="H25" i="28"/>
  <c r="H24" i="28"/>
  <c r="H23" i="28"/>
  <c r="H22" i="28"/>
  <c r="H21" i="28"/>
  <c r="H20" i="28"/>
  <c r="G23" i="29" s="1"/>
  <c r="H19" i="28"/>
  <c r="H18" i="28"/>
  <c r="G15" i="29" s="1"/>
  <c r="H17" i="28"/>
  <c r="G12" i="29" s="1"/>
  <c r="H16" i="28"/>
  <c r="G13" i="29" s="1"/>
  <c r="H15" i="28"/>
  <c r="H14" i="28"/>
  <c r="H13" i="28"/>
  <c r="G9" i="29" s="1"/>
  <c r="H12" i="28"/>
  <c r="G25" i="29" s="1"/>
  <c r="H11" i="28"/>
  <c r="H10" i="28"/>
  <c r="G14" i="29" s="1"/>
  <c r="H9" i="28"/>
  <c r="H8" i="28"/>
  <c r="G4" i="29" s="1"/>
  <c r="H7" i="28"/>
  <c r="H6" i="28"/>
  <c r="H5" i="28"/>
  <c r="G34" i="29" s="1"/>
  <c r="H4" i="28"/>
  <c r="H3" i="28"/>
  <c r="G3" i="29" l="1"/>
  <c r="I3" i="29" s="1"/>
  <c r="G24" i="29"/>
  <c r="I24" i="29" s="1"/>
  <c r="G5" i="29"/>
  <c r="I5" i="29" s="1"/>
  <c r="I36" i="29"/>
  <c r="G7" i="29"/>
  <c r="I7" i="29" s="1"/>
  <c r="G16" i="29"/>
  <c r="I16" i="29" s="1"/>
  <c r="H64" i="28"/>
  <c r="I23" i="29"/>
  <c r="I13" i="29"/>
  <c r="AS35" i="5"/>
  <c r="AS27" i="5"/>
  <c r="AS19" i="5"/>
  <c r="AS11" i="5"/>
  <c r="AS34" i="5"/>
  <c r="AS26" i="5"/>
  <c r="AS18" i="5"/>
  <c r="AS10" i="5"/>
  <c r="AS33" i="5"/>
  <c r="AS25" i="5"/>
  <c r="AS9" i="5"/>
  <c r="AS24" i="5"/>
  <c r="AS16" i="5"/>
  <c r="AS8" i="5"/>
  <c r="AS3" i="5"/>
  <c r="AS31" i="5"/>
  <c r="AS15" i="5"/>
  <c r="AS7" i="5"/>
  <c r="AS38" i="5"/>
  <c r="AS37" i="5"/>
  <c r="I15" i="29"/>
  <c r="I4" i="29"/>
  <c r="I34" i="29"/>
  <c r="I9" i="29"/>
  <c r="I12" i="29"/>
  <c r="I37" i="29"/>
  <c r="I14" i="29"/>
  <c r="I25" i="29"/>
  <c r="L12" i="29"/>
  <c r="N12" i="29" s="1"/>
  <c r="L32" i="29"/>
  <c r="N32" i="29" s="1"/>
  <c r="L17" i="29"/>
  <c r="N17" i="29" s="1"/>
  <c r="L30" i="29"/>
  <c r="N30" i="29" s="1"/>
  <c r="L14" i="29"/>
  <c r="N14" i="29" s="1"/>
  <c r="L22" i="29"/>
  <c r="N22" i="29" s="1"/>
  <c r="L6" i="29"/>
  <c r="N6" i="29" s="1"/>
  <c r="L23" i="29"/>
  <c r="N23" i="29" s="1"/>
  <c r="L5" i="29"/>
  <c r="N5" i="29" s="1"/>
  <c r="L28" i="29"/>
  <c r="N28" i="29" s="1"/>
  <c r="L29" i="29"/>
  <c r="N29" i="29" s="1"/>
  <c r="L13" i="29"/>
  <c r="N13" i="29" s="1"/>
  <c r="L36" i="29"/>
  <c r="N36" i="29" s="1"/>
  <c r="L4" i="29"/>
  <c r="N4" i="29" s="1"/>
  <c r="L20" i="29"/>
  <c r="N20" i="29" s="1"/>
  <c r="L21" i="29"/>
  <c r="N21" i="29" s="1"/>
  <c r="N3" i="29"/>
  <c r="F39" i="29"/>
  <c r="AS40" i="5" l="1"/>
  <c r="AS42" i="5" s="1"/>
  <c r="AG40" i="5"/>
  <c r="AG42" i="5" s="1"/>
  <c r="I39" i="29"/>
  <c r="G39" i="29"/>
  <c r="P14" i="28"/>
  <c r="N39" i="29"/>
  <c r="L39" i="29"/>
  <c r="P13" i="28"/>
  <c r="T40" i="5"/>
  <c r="U40" i="5"/>
  <c r="V40" i="5"/>
  <c r="W40" i="5"/>
  <c r="X40" i="5"/>
  <c r="Y40" i="5"/>
  <c r="AB40" i="5"/>
  <c r="AC40" i="5"/>
  <c r="AD40" i="5"/>
  <c r="S40" i="5"/>
  <c r="AA40" i="5" l="1"/>
  <c r="AE38" i="5"/>
  <c r="AE37" i="5" l="1"/>
  <c r="AE18" i="5"/>
  <c r="Z40" i="5" l="1"/>
  <c r="AE3" i="5" l="1"/>
  <c r="AE36" i="5" l="1"/>
  <c r="F40" i="5" l="1"/>
  <c r="G40" i="5"/>
  <c r="H40" i="5"/>
  <c r="I40" i="5"/>
  <c r="J40" i="5"/>
  <c r="K40" i="5"/>
  <c r="L40" i="5"/>
  <c r="M40" i="5"/>
  <c r="N40" i="5"/>
  <c r="O40" i="5"/>
  <c r="P40" i="5"/>
  <c r="E40" i="5"/>
  <c r="E42" i="5" l="1"/>
  <c r="F42" i="5"/>
  <c r="I42" i="5"/>
  <c r="J42" i="5"/>
  <c r="K42" i="5"/>
  <c r="L42" i="5"/>
  <c r="M42" i="5"/>
  <c r="N42" i="5"/>
  <c r="G42" i="5"/>
  <c r="H42" i="5"/>
  <c r="O42" i="5"/>
  <c r="P42" i="5"/>
  <c r="AD42" i="5" l="1"/>
  <c r="AC42" i="5"/>
  <c r="AB42" i="5"/>
  <c r="AA42" i="5"/>
  <c r="Z42" i="5"/>
  <c r="Y42" i="5"/>
  <c r="X42" i="5"/>
  <c r="W42" i="5"/>
  <c r="V42" i="5"/>
  <c r="U42" i="5"/>
  <c r="T42" i="5"/>
  <c r="AE4" i="5" l="1"/>
  <c r="AE5" i="5"/>
  <c r="AE7" i="5"/>
  <c r="AE8" i="5"/>
  <c r="AE9" i="5"/>
  <c r="AE10" i="5"/>
  <c r="AE11" i="5"/>
  <c r="AE12" i="5"/>
  <c r="AE13" i="5"/>
  <c r="AE14" i="5"/>
  <c r="AE15" i="5"/>
  <c r="AE16" i="5"/>
  <c r="AE17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S42" i="5" l="1"/>
  <c r="AE6" i="5"/>
  <c r="AE40" i="5" s="1"/>
  <c r="Q3" i="5"/>
  <c r="Q35" i="5"/>
  <c r="Q34" i="5"/>
  <c r="Q33" i="5"/>
  <c r="AE42" i="5" l="1"/>
  <c r="Q32" i="5"/>
  <c r="Q30" i="5"/>
  <c r="Q31" i="5"/>
  <c r="Q29" i="5"/>
  <c r="Q27" i="5"/>
  <c r="Q26" i="5"/>
  <c r="Q28" i="5"/>
  <c r="Q22" i="5"/>
  <c r="Q25" i="5"/>
  <c r="Q23" i="5"/>
  <c r="Q24" i="5"/>
  <c r="Q20" i="5" l="1"/>
  <c r="Q14" i="5"/>
  <c r="Q19" i="5"/>
  <c r="Q13" i="5"/>
  <c r="Q7" i="5"/>
  <c r="Q18" i="5"/>
  <c r="Q12" i="5"/>
  <c r="Q6" i="5"/>
  <c r="Q17" i="5"/>
  <c r="Q11" i="5"/>
  <c r="Q5" i="5"/>
  <c r="Q8" i="5"/>
  <c r="Q16" i="5"/>
  <c r="Q10" i="5"/>
  <c r="Q4" i="5"/>
  <c r="Q21" i="5"/>
  <c r="Q15" i="5"/>
  <c r="Q9" i="5" l="1"/>
  <c r="Q40" i="5" s="1"/>
  <c r="Q42" i="5" l="1"/>
</calcChain>
</file>

<file path=xl/sharedStrings.xml><?xml version="1.0" encoding="utf-8"?>
<sst xmlns="http://schemas.openxmlformats.org/spreadsheetml/2006/main" count="788" uniqueCount="101">
  <si>
    <t>စဉ်</t>
  </si>
  <si>
    <t>အမည်</t>
  </si>
  <si>
    <t>မြို့နယ်</t>
  </si>
  <si>
    <t>Date</t>
  </si>
  <si>
    <t>ကုန်ရောင်း
(လုံး)</t>
  </si>
  <si>
    <t>ရောင်းဈေး</t>
  </si>
  <si>
    <t>List</t>
  </si>
  <si>
    <t>Cash Sale</t>
  </si>
  <si>
    <t>Credit Sale</t>
  </si>
  <si>
    <t>ကုန်ရောင်း
အမျိုးအစား</t>
  </si>
  <si>
    <t>ကုန်ရောင်း
(ကျပ်)</t>
  </si>
  <si>
    <t>Vr No</t>
  </si>
  <si>
    <t>စာရင်းဖွင့်</t>
  </si>
  <si>
    <t>ကျန်ငွေ</t>
  </si>
  <si>
    <t>ကုန်ရောင်း
လုံးရေ</t>
  </si>
  <si>
    <t>ကုန်ရောင်း
ရငွေ</t>
  </si>
  <si>
    <t>သွင်းငွေ</t>
  </si>
  <si>
    <t>No</t>
  </si>
  <si>
    <t>Type</t>
  </si>
  <si>
    <t>Jan</t>
  </si>
  <si>
    <t>Feb</t>
  </si>
  <si>
    <t>Mar</t>
  </si>
  <si>
    <t>Apr</t>
  </si>
  <si>
    <t>May</t>
  </si>
  <si>
    <t>Sep</t>
  </si>
  <si>
    <t>Oct</t>
  </si>
  <si>
    <t>Nov</t>
  </si>
  <si>
    <t>Dec</t>
  </si>
  <si>
    <t>Total</t>
  </si>
  <si>
    <t>Total Outlet</t>
  </si>
  <si>
    <t>New Outlet</t>
  </si>
  <si>
    <t>စာရင်းဖွင့်
ကော်ခွံ</t>
  </si>
  <si>
    <t>ကုန်ရောင်း
ကော်ခွံ</t>
  </si>
  <si>
    <t>ပြန်ရ
ကော်ခွံ</t>
  </si>
  <si>
    <t>စာရင်းပိတ်
ကော်ခွံ</t>
  </si>
  <si>
    <t>ရွှေမြင်း</t>
  </si>
  <si>
    <t>မိတ္ထီလာ</t>
  </si>
  <si>
    <t>ဦးအေးခင်မောင်</t>
  </si>
  <si>
    <t>ဦးဝင်းနိုင်</t>
  </si>
  <si>
    <t>လျှော်ပင်</t>
  </si>
  <si>
    <t>ဝမ်းတွင်း</t>
  </si>
  <si>
    <t>ကိုဇော်ကိုနိုင်</t>
  </si>
  <si>
    <t>ဦးကျော်လှ</t>
  </si>
  <si>
    <t>သာစည်</t>
  </si>
  <si>
    <t>မင်းစုဝေ</t>
  </si>
  <si>
    <t>ဦးသိန်းစိုး</t>
  </si>
  <si>
    <t>ကျောက်ပန်းတောင်း</t>
  </si>
  <si>
    <t>ကောင်းစုဝေ</t>
  </si>
  <si>
    <t>ကောင်းထက်သူ</t>
  </si>
  <si>
    <t>ပခုက္ကူ</t>
  </si>
  <si>
    <t>ပျားနက်</t>
  </si>
  <si>
    <t>ဦးတင်မောင်</t>
  </si>
  <si>
    <t>ရွှေဒါး</t>
  </si>
  <si>
    <t>ဦးရဲမြင့်</t>
  </si>
  <si>
    <t>ဦးသန်းဝင်း</t>
  </si>
  <si>
    <t>ကောင်းသန့်</t>
  </si>
  <si>
    <t>ဦးရဲတင့်</t>
  </si>
  <si>
    <t>ရမည်းသင်း</t>
  </si>
  <si>
    <t>မိုးယံ</t>
  </si>
  <si>
    <t>ကိုခင်မောင်ညွန့်</t>
  </si>
  <si>
    <t>တောင်သာ</t>
  </si>
  <si>
    <t>မြို့မ</t>
  </si>
  <si>
    <t>ပြည့်ဖြိုးကြွယ်</t>
  </si>
  <si>
    <t>မြင်းခြံ</t>
  </si>
  <si>
    <t>မလှိုင်</t>
  </si>
  <si>
    <t>မယဉ်ယဉ်အေး</t>
  </si>
  <si>
    <t>စိန်</t>
  </si>
  <si>
    <t>မိုးကျော်</t>
  </si>
  <si>
    <t>ရွှေခြင်္သေ့</t>
  </si>
  <si>
    <t>ကိုချစ်ကို</t>
  </si>
  <si>
    <t>မမာမာအုန်း</t>
  </si>
  <si>
    <t>ရောင်းဈေး+ကားခ</t>
  </si>
  <si>
    <t>ဒေါ်ခင်စန်းမြင့်</t>
  </si>
  <si>
    <t>ရောင်းဈေး
+ကားခ</t>
  </si>
  <si>
    <t>ဦးစိုးဝင်း</t>
  </si>
  <si>
    <t>စံချိန်</t>
  </si>
  <si>
    <t>ဦးမြင့်ဆွေ</t>
  </si>
  <si>
    <t>ရွှေတောင်</t>
  </si>
  <si>
    <t>ပုဂံ</t>
  </si>
  <si>
    <t>ကျော်ကြား</t>
  </si>
  <si>
    <t>ရွှေကမ္ဘာ</t>
  </si>
  <si>
    <t>‌ရွှေကမ္ဘာ</t>
  </si>
  <si>
    <t>ဘိုရှယ်</t>
  </si>
  <si>
    <t>Meikhtila</t>
  </si>
  <si>
    <t>OP Sales Summary for MTL -2024</t>
  </si>
  <si>
    <t>OP Sales Summary for MTL - 2025</t>
  </si>
  <si>
    <t>ရတနာ</t>
  </si>
  <si>
    <t>Jun</t>
  </si>
  <si>
    <t>Jul</t>
  </si>
  <si>
    <t>Aug</t>
  </si>
  <si>
    <t>A1</t>
  </si>
  <si>
    <t>လုံး</t>
  </si>
  <si>
    <t>ကျပ်</t>
  </si>
  <si>
    <t>OP Sales Summary for MTL - 2026</t>
  </si>
  <si>
    <t>Daily Sale -January</t>
  </si>
  <si>
    <t>2026- January</t>
  </si>
  <si>
    <t>Daily Sale -February</t>
  </si>
  <si>
    <t>2026- February</t>
  </si>
  <si>
    <t>ကားခ</t>
  </si>
  <si>
    <t>Daily Sale - March</t>
  </si>
  <si>
    <t>2026- 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</si>
</sst>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409]d/mmm/yyyy;@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Pyidaungsu"/>
      <family val="2"/>
    </font>
    <font>
      <b/>
      <sz val="11"/>
      <color theme="1"/>
      <name val="Pyidaungsu"/>
      <family val="2"/>
    </font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0070C0"/>
      <name val="Pyidaungsu"/>
      <family val="2"/>
    </font>
    <font>
      <b/>
      <sz val="11"/>
      <color rgb="FFFF0000"/>
      <name val="Pyidaungsu"/>
      <family val="2"/>
    </font>
    <font>
      <b/>
      <u/>
      <sz val="12"/>
      <color theme="1"/>
      <name val="Pyidaungsu"/>
      <family val="2"/>
    </font>
    <font>
      <sz val="11"/>
      <color rgb="FFFF0000"/>
      <name val="Pyidaungsu"/>
      <family val="2"/>
    </font>
    <font>
      <b/>
      <sz val="12"/>
      <color theme="1"/>
      <name val="Pyidaungsu"/>
      <family val="2"/>
    </font>
    <font>
      <sz val="8"/>
      <name val="Aptos Narrow"/>
      <family val="2"/>
      <scheme val="minor"/>
    </font>
    <font>
      <sz val="10"/>
      <color theme="1"/>
      <name val="Pyidaungsu"/>
      <family val="2"/>
    </font>
    <font>
      <b/>
      <sz val="10"/>
      <color theme="1"/>
      <name val="Pyidaungsu"/>
      <family val="2"/>
    </font>
    <font>
      <sz val="10"/>
      <color rgb="FFFF0000"/>
      <name val="Pyidaungsu"/>
      <family val="2"/>
    </font>
    <font>
      <sz val="10"/>
      <color rgb="FF000000"/>
      <name val="Pyidaungsu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</cellStyleXfs>
  <cellXfs count="1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64" fontId="1" fillId="0" borderId="2" xfId="1" applyNumberFormat="1" applyFont="1" applyBorder="1"/>
    <xf numFmtId="164" fontId="1" fillId="0" borderId="2" xfId="1" applyNumberFormat="1" applyFont="1" applyFill="1" applyBorder="1" applyAlignment="1">
      <alignment horizontal="right" vertical="center"/>
    </xf>
    <xf numFmtId="0" fontId="1" fillId="0" borderId="3" xfId="0" applyFont="1" applyBorder="1" applyAlignment="1">
      <alignment horizontal="center" vertical="center"/>
    </xf>
    <xf numFmtId="164" fontId="1" fillId="0" borderId="3" xfId="1" applyNumberFormat="1" applyFont="1" applyBorder="1" applyAlignment="1">
      <alignment horizontal="right" vertical="center"/>
    </xf>
    <xf numFmtId="164" fontId="1" fillId="0" borderId="3" xfId="1" applyNumberFormat="1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/>
    <xf numFmtId="164" fontId="2" fillId="0" borderId="1" xfId="1" applyNumberFormat="1" applyFont="1" applyBorder="1"/>
    <xf numFmtId="164" fontId="1" fillId="3" borderId="3" xfId="1" applyNumberFormat="1" applyFont="1" applyFill="1" applyBorder="1"/>
    <xf numFmtId="164" fontId="1" fillId="3" borderId="2" xfId="1" applyNumberFormat="1" applyFont="1" applyFill="1" applyBorder="1"/>
    <xf numFmtId="164" fontId="2" fillId="3" borderId="1" xfId="1" applyNumberFormat="1" applyFont="1" applyFill="1" applyBorder="1"/>
    <xf numFmtId="0" fontId="1" fillId="0" borderId="0" xfId="2" applyFont="1" applyAlignment="1">
      <alignment vertical="center"/>
    </xf>
    <xf numFmtId="0" fontId="2" fillId="0" borderId="5" xfId="2" applyFont="1" applyBorder="1" applyAlignment="1">
      <alignment horizontal="center" vertical="center"/>
    </xf>
    <xf numFmtId="0" fontId="2" fillId="0" borderId="6" xfId="2" applyFont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0" fontId="1" fillId="0" borderId="7" xfId="2" applyFont="1" applyBorder="1" applyAlignment="1">
      <alignment horizontal="center" vertical="center"/>
    </xf>
    <xf numFmtId="0" fontId="1" fillId="0" borderId="8" xfId="2" applyFont="1" applyBorder="1" applyAlignment="1">
      <alignment horizontal="left" vertical="center" indent="1"/>
    </xf>
    <xf numFmtId="0" fontId="1" fillId="0" borderId="1" xfId="2" applyFont="1" applyBorder="1" applyAlignment="1">
      <alignment horizontal="left" vertical="center" indent="1"/>
    </xf>
    <xf numFmtId="41" fontId="1" fillId="0" borderId="1" xfId="3" applyFont="1" applyBorder="1" applyAlignment="1">
      <alignment vertical="center"/>
    </xf>
    <xf numFmtId="41" fontId="1" fillId="0" borderId="1" xfId="3" applyFont="1" applyFill="1" applyBorder="1" applyAlignment="1">
      <alignment vertical="center"/>
    </xf>
    <xf numFmtId="41" fontId="1" fillId="0" borderId="1" xfId="3" applyFont="1" applyBorder="1"/>
    <xf numFmtId="0" fontId="2" fillId="0" borderId="10" xfId="2" applyFont="1" applyBorder="1" applyAlignment="1">
      <alignment horizontal="center" vertical="center"/>
    </xf>
    <xf numFmtId="0" fontId="2" fillId="0" borderId="0" xfId="2" applyFont="1" applyAlignment="1">
      <alignment vertical="center"/>
    </xf>
    <xf numFmtId="0" fontId="2" fillId="0" borderId="11" xfId="2" applyFont="1" applyBorder="1" applyAlignment="1">
      <alignment vertical="center"/>
    </xf>
    <xf numFmtId="0" fontId="2" fillId="0" borderId="12" xfId="2" applyFont="1" applyBorder="1" applyAlignment="1">
      <alignment horizontal="center" vertical="center"/>
    </xf>
    <xf numFmtId="0" fontId="2" fillId="0" borderId="12" xfId="2" applyFont="1" applyBorder="1" applyAlignment="1">
      <alignment horizontal="left" vertical="center" indent="1"/>
    </xf>
    <xf numFmtId="41" fontId="6" fillId="0" borderId="12" xfId="3" applyFont="1" applyBorder="1" applyAlignment="1">
      <alignment vertical="center"/>
    </xf>
    <xf numFmtId="41" fontId="2" fillId="0" borderId="12" xfId="3" applyFont="1" applyBorder="1" applyAlignment="1">
      <alignment vertical="center"/>
    </xf>
    <xf numFmtId="41" fontId="1" fillId="0" borderId="0" xfId="2" applyNumberFormat="1" applyFont="1" applyAlignment="1">
      <alignment vertical="center"/>
    </xf>
    <xf numFmtId="41" fontId="1" fillId="0" borderId="0" xfId="3" applyFont="1" applyAlignment="1">
      <alignment vertical="center"/>
    </xf>
    <xf numFmtId="0" fontId="1" fillId="0" borderId="1" xfId="2" applyFont="1" applyBorder="1" applyAlignment="1">
      <alignment horizontal="center" vertical="center"/>
    </xf>
    <xf numFmtId="164" fontId="1" fillId="4" borderId="3" xfId="1" applyNumberFormat="1" applyFont="1" applyFill="1" applyBorder="1"/>
    <xf numFmtId="164" fontId="1" fillId="4" borderId="2" xfId="1" applyNumberFormat="1" applyFont="1" applyFill="1" applyBorder="1"/>
    <xf numFmtId="164" fontId="2" fillId="4" borderId="1" xfId="1" applyNumberFormat="1" applyFont="1" applyFill="1" applyBorder="1"/>
    <xf numFmtId="0" fontId="2" fillId="4" borderId="1" xfId="0" applyFont="1" applyFill="1" applyBorder="1" applyAlignment="1">
      <alignment horizontal="center" vertical="center" wrapText="1"/>
    </xf>
    <xf numFmtId="41" fontId="1" fillId="0" borderId="13" xfId="3" applyFont="1" applyBorder="1" applyAlignment="1">
      <alignment vertical="center"/>
    </xf>
    <xf numFmtId="41" fontId="2" fillId="0" borderId="13" xfId="3" applyFont="1" applyBorder="1" applyAlignment="1">
      <alignment vertical="center"/>
    </xf>
    <xf numFmtId="41" fontId="1" fillId="0" borderId="9" xfId="3" applyFont="1" applyBorder="1" applyAlignment="1">
      <alignment vertical="center"/>
    </xf>
    <xf numFmtId="41" fontId="1" fillId="0" borderId="9" xfId="3" applyFont="1" applyFill="1" applyBorder="1" applyAlignment="1">
      <alignment vertical="center"/>
    </xf>
    <xf numFmtId="41" fontId="1" fillId="0" borderId="9" xfId="3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9" xfId="0" applyFont="1" applyBorder="1"/>
    <xf numFmtId="0" fontId="1" fillId="0" borderId="13" xfId="0" applyFont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1" fontId="5" fillId="0" borderId="1" xfId="3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1" fillId="0" borderId="14" xfId="0" applyFont="1" applyBorder="1"/>
    <xf numFmtId="0" fontId="1" fillId="0" borderId="2" xfId="0" applyFont="1" applyBorder="1"/>
    <xf numFmtId="0" fontId="1" fillId="0" borderId="9" xfId="2" applyFont="1" applyBorder="1" applyAlignment="1">
      <alignment horizontal="center" vertical="center"/>
    </xf>
    <xf numFmtId="41" fontId="1" fillId="0" borderId="13" xfId="3" applyFont="1" applyFill="1" applyBorder="1" applyAlignment="1">
      <alignment vertical="center"/>
    </xf>
    <xf numFmtId="0" fontId="1" fillId="0" borderId="1" xfId="0" applyFont="1" applyBorder="1" applyAlignment="1">
      <alignment horizontal="left"/>
    </xf>
    <xf numFmtId="41" fontId="5" fillId="0" borderId="13" xfId="3" applyFont="1" applyBorder="1" applyAlignment="1">
      <alignment vertical="center"/>
    </xf>
    <xf numFmtId="41" fontId="2" fillId="0" borderId="1" xfId="3" applyFont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164" fontId="1" fillId="0" borderId="0" xfId="1" applyNumberFormat="1" applyFont="1" applyAlignment="1">
      <alignment horizontal="center" vertical="center"/>
    </xf>
    <xf numFmtId="164" fontId="1" fillId="0" borderId="3" xfId="1" applyNumberFormat="1" applyFont="1" applyFill="1" applyBorder="1"/>
    <xf numFmtId="164" fontId="1" fillId="0" borderId="2" xfId="1" applyNumberFormat="1" applyFont="1" applyFill="1" applyBorder="1"/>
    <xf numFmtId="0" fontId="2" fillId="0" borderId="0" xfId="0" applyFont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8" fillId="0" borderId="0" xfId="1" applyNumberFormat="1" applyFont="1" applyFill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43" fontId="1" fillId="0" borderId="0" xfId="1" applyFont="1" applyAlignment="1">
      <alignment horizontal="center" vertical="center"/>
    </xf>
    <xf numFmtId="165" fontId="2" fillId="2" borderId="0" xfId="0" applyNumberFormat="1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164" fontId="1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164" fontId="2" fillId="0" borderId="0" xfId="1" applyNumberFormat="1" applyFont="1" applyAlignment="1">
      <alignment vertical="center"/>
    </xf>
    <xf numFmtId="165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164" fontId="11" fillId="0" borderId="3" xfId="1" applyNumberFormat="1" applyFont="1" applyBorder="1" applyAlignment="1">
      <alignment horizontal="right" vertical="center"/>
    </xf>
    <xf numFmtId="164" fontId="11" fillId="0" borderId="3" xfId="1" applyNumberFormat="1" applyFont="1" applyBorder="1"/>
    <xf numFmtId="164" fontId="11" fillId="0" borderId="2" xfId="1" applyNumberFormat="1" applyFont="1" applyFill="1" applyBorder="1"/>
    <xf numFmtId="164" fontId="11" fillId="0" borderId="3" xfId="1" applyNumberFormat="1" applyFont="1" applyFill="1" applyBorder="1"/>
    <xf numFmtId="164" fontId="11" fillId="3" borderId="3" xfId="1" applyNumberFormat="1" applyFont="1" applyFill="1" applyBorder="1"/>
    <xf numFmtId="164" fontId="11" fillId="4" borderId="3" xfId="1" applyNumberFormat="1" applyFont="1" applyFill="1" applyBorder="1"/>
    <xf numFmtId="0" fontId="11" fillId="0" borderId="2" xfId="0" applyFont="1" applyBorder="1" applyAlignment="1">
      <alignment horizontal="center" vertical="center"/>
    </xf>
    <xf numFmtId="164" fontId="11" fillId="0" borderId="2" xfId="1" applyNumberFormat="1" applyFont="1" applyFill="1" applyBorder="1" applyAlignment="1">
      <alignment horizontal="right" vertical="center"/>
    </xf>
    <xf numFmtId="164" fontId="11" fillId="0" borderId="2" xfId="1" applyNumberFormat="1" applyFont="1" applyBorder="1"/>
    <xf numFmtId="164" fontId="11" fillId="3" borderId="2" xfId="1" applyNumberFormat="1" applyFont="1" applyFill="1" applyBorder="1"/>
    <xf numFmtId="164" fontId="11" fillId="4" borderId="2" xfId="1" applyNumberFormat="1" applyFont="1" applyFill="1" applyBorder="1"/>
    <xf numFmtId="0" fontId="11" fillId="0" borderId="14" xfId="0" applyFont="1" applyBorder="1" applyAlignment="1">
      <alignment horizontal="left" vertical="center"/>
    </xf>
    <xf numFmtId="0" fontId="11" fillId="0" borderId="2" xfId="0" applyFont="1" applyBorder="1"/>
    <xf numFmtId="0" fontId="11" fillId="0" borderId="14" xfId="0" applyFont="1" applyBorder="1"/>
    <xf numFmtId="0" fontId="12" fillId="0" borderId="1" xfId="0" applyFont="1" applyBorder="1"/>
    <xf numFmtId="164" fontId="12" fillId="0" borderId="1" xfId="1" applyNumberFormat="1" applyFont="1" applyBorder="1"/>
    <xf numFmtId="164" fontId="12" fillId="3" borderId="1" xfId="1" applyNumberFormat="1" applyFont="1" applyFill="1" applyBorder="1"/>
    <xf numFmtId="164" fontId="12" fillId="4" borderId="1" xfId="1" applyNumberFormat="1" applyFont="1" applyFill="1" applyBorder="1"/>
    <xf numFmtId="165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11" fillId="0" borderId="0" xfId="1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0" borderId="0" xfId="1" applyNumberFormat="1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1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1" fillId="0" borderId="0" xfId="0" applyFont="1"/>
    <xf numFmtId="164" fontId="11" fillId="0" borderId="0" xfId="1" applyNumberFormat="1" applyFont="1" applyBorder="1"/>
    <xf numFmtId="164" fontId="13" fillId="0" borderId="0" xfId="1" applyNumberFormat="1" applyFont="1" applyFill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 wrapText="1"/>
    </xf>
    <xf numFmtId="164" fontId="11" fillId="0" borderId="0" xfId="1" applyNumberFormat="1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41" fontId="9" fillId="0" borderId="4" xfId="3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0" xfId="0" applyFont="1" applyAlignment="1">
      <alignment horizontal="center" vertical="center"/>
    </xf>
  </cellXfs>
  <cellStyles count="4">
    <cellStyle name="Comma" xfId="1" builtinId="3"/>
    <cellStyle name="Comma [0] 2" xfId="3" xr:uid="{00000000-0005-0000-0000-000001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41"/>
  <sheetViews>
    <sheetView zoomScale="110" zoomScaleNormal="11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8" sqref="B8"/>
    </sheetView>
  </sheetViews>
  <sheetFormatPr defaultColWidth="8.85546875" defaultRowHeight="20.100000000000001" customHeight="1" x14ac:dyDescent="0.45"/>
  <cols>
    <col min="1" max="1" width="5.5703125" style="111" customWidth="1"/>
    <col min="2" max="2" width="19.5703125" style="111" customWidth="1"/>
    <col min="3" max="3" width="17.85546875" style="111" customWidth="1"/>
    <col min="4" max="4" width="17.5703125" style="112" customWidth="1"/>
    <col min="5" max="6" width="12" style="112" customWidth="1"/>
    <col min="7" max="7" width="16.7109375" style="111" customWidth="1"/>
    <col min="8" max="16384" width="8.85546875" style="111"/>
  </cols>
  <sheetData>
    <row r="1" spans="1:7" ht="41.25" customHeight="1" x14ac:dyDescent="0.45">
      <c r="A1" s="107" t="s">
        <v>0</v>
      </c>
      <c r="B1" s="107" t="s">
        <v>1</v>
      </c>
      <c r="C1" s="107" t="s">
        <v>2</v>
      </c>
      <c r="D1" s="108" t="s">
        <v>71</v>
      </c>
      <c r="E1" s="108" t="s">
        <v>5</v>
      </c>
      <c r="F1" s="108" t="s">
        <v>98</v>
      </c>
      <c r="G1" s="109" t="s">
        <v>9</v>
      </c>
    </row>
    <row r="2" spans="1:7" ht="20.100000000000001" customHeight="1" x14ac:dyDescent="0.45">
      <c r="A2" s="103">
        <v>1</v>
      </c>
      <c r="B2" s="103" t="s">
        <v>35</v>
      </c>
      <c r="C2" s="103" t="s">
        <v>36</v>
      </c>
      <c r="D2" s="113">
        <f>E2+F2</f>
        <v>600000</v>
      </c>
      <c r="E2" s="114">
        <v>600000</v>
      </c>
      <c r="F2" s="110"/>
      <c r="G2" s="110" t="s">
        <v>8</v>
      </c>
    </row>
    <row r="3" spans="1:7" ht="20.100000000000001" customHeight="1" x14ac:dyDescent="0.45">
      <c r="A3" s="103">
        <v>2</v>
      </c>
      <c r="B3" s="103" t="s">
        <v>37</v>
      </c>
      <c r="C3" s="103" t="s">
        <v>36</v>
      </c>
      <c r="D3" s="113">
        <f t="shared" ref="D3:D37" si="0">E3+F3</f>
        <v>610000</v>
      </c>
      <c r="E3" s="114">
        <v>610000</v>
      </c>
      <c r="F3" s="110"/>
      <c r="G3" s="110" t="s">
        <v>8</v>
      </c>
    </row>
    <row r="4" spans="1:7" ht="20.100000000000001" customHeight="1" x14ac:dyDescent="0.45">
      <c r="A4" s="103">
        <v>3</v>
      </c>
      <c r="B4" s="103" t="s">
        <v>38</v>
      </c>
      <c r="C4" s="103" t="s">
        <v>40</v>
      </c>
      <c r="D4" s="113">
        <f t="shared" si="0"/>
        <v>610000</v>
      </c>
      <c r="E4" s="114">
        <v>610000</v>
      </c>
      <c r="F4" s="110"/>
      <c r="G4" s="110" t="s">
        <v>8</v>
      </c>
    </row>
    <row r="5" spans="1:7" ht="20.100000000000001" customHeight="1" x14ac:dyDescent="0.45">
      <c r="A5" s="103">
        <v>4</v>
      </c>
      <c r="B5" s="103" t="s">
        <v>41</v>
      </c>
      <c r="C5" s="103" t="s">
        <v>40</v>
      </c>
      <c r="D5" s="113">
        <f t="shared" si="0"/>
        <v>610000</v>
      </c>
      <c r="E5" s="114">
        <v>610000</v>
      </c>
      <c r="F5" s="110"/>
      <c r="G5" s="110" t="s">
        <v>7</v>
      </c>
    </row>
    <row r="6" spans="1:7" ht="20.100000000000001" customHeight="1" x14ac:dyDescent="0.45">
      <c r="A6" s="103">
        <v>5</v>
      </c>
      <c r="B6" s="103" t="s">
        <v>42</v>
      </c>
      <c r="C6" s="103" t="s">
        <v>43</v>
      </c>
      <c r="D6" s="113">
        <f t="shared" si="0"/>
        <v>610000</v>
      </c>
      <c r="E6" s="114">
        <v>610000</v>
      </c>
      <c r="F6" s="110"/>
      <c r="G6" s="110" t="s">
        <v>8</v>
      </c>
    </row>
    <row r="7" spans="1:7" ht="20.100000000000001" customHeight="1" x14ac:dyDescent="0.45">
      <c r="A7" s="103">
        <v>6</v>
      </c>
      <c r="B7" s="103" t="s">
        <v>44</v>
      </c>
      <c r="C7" s="103" t="s">
        <v>43</v>
      </c>
      <c r="D7" s="113">
        <f t="shared" si="0"/>
        <v>616000</v>
      </c>
      <c r="E7" s="114">
        <v>610000</v>
      </c>
      <c r="F7" s="114">
        <v>6000</v>
      </c>
      <c r="G7" s="110" t="s">
        <v>7</v>
      </c>
    </row>
    <row r="8" spans="1:7" ht="20.100000000000001" customHeight="1" x14ac:dyDescent="0.45">
      <c r="A8" s="103">
        <v>7</v>
      </c>
      <c r="B8" s="103" t="s">
        <v>45</v>
      </c>
      <c r="C8" s="103" t="s">
        <v>46</v>
      </c>
      <c r="D8" s="113">
        <f t="shared" si="0"/>
        <v>616000</v>
      </c>
      <c r="E8" s="114">
        <v>610000</v>
      </c>
      <c r="F8" s="114">
        <v>6000</v>
      </c>
      <c r="G8" s="110" t="s">
        <v>7</v>
      </c>
    </row>
    <row r="9" spans="1:7" ht="20.100000000000001" customHeight="1" x14ac:dyDescent="0.45">
      <c r="A9" s="103">
        <v>8</v>
      </c>
      <c r="B9" s="103" t="s">
        <v>47</v>
      </c>
      <c r="C9" s="103" t="s">
        <v>46</v>
      </c>
      <c r="D9" s="113">
        <f t="shared" si="0"/>
        <v>616000</v>
      </c>
      <c r="E9" s="114">
        <v>610000</v>
      </c>
      <c r="F9" s="114">
        <v>6000</v>
      </c>
      <c r="G9" s="110" t="s">
        <v>8</v>
      </c>
    </row>
    <row r="10" spans="1:7" ht="20.100000000000001" customHeight="1" x14ac:dyDescent="0.45">
      <c r="A10" s="103">
        <v>9</v>
      </c>
      <c r="B10" s="103" t="s">
        <v>48</v>
      </c>
      <c r="C10" s="103" t="s">
        <v>46</v>
      </c>
      <c r="D10" s="113">
        <f t="shared" si="0"/>
        <v>616000</v>
      </c>
      <c r="E10" s="114">
        <v>610000</v>
      </c>
      <c r="F10" s="114">
        <v>6000</v>
      </c>
      <c r="G10" s="110" t="s">
        <v>8</v>
      </c>
    </row>
    <row r="11" spans="1:7" ht="20.100000000000001" customHeight="1" x14ac:dyDescent="0.45">
      <c r="A11" s="103">
        <v>10</v>
      </c>
      <c r="B11" s="103" t="s">
        <v>50</v>
      </c>
      <c r="C11" s="103" t="s">
        <v>49</v>
      </c>
      <c r="D11" s="113">
        <f t="shared" si="0"/>
        <v>625000</v>
      </c>
      <c r="E11" s="114">
        <v>610000</v>
      </c>
      <c r="F11" s="114">
        <v>15000</v>
      </c>
      <c r="G11" s="110" t="s">
        <v>8</v>
      </c>
    </row>
    <row r="12" spans="1:7" ht="20.100000000000001" customHeight="1" x14ac:dyDescent="0.45">
      <c r="A12" s="103">
        <v>11</v>
      </c>
      <c r="B12" s="103" t="s">
        <v>51</v>
      </c>
      <c r="C12" s="103" t="s">
        <v>49</v>
      </c>
      <c r="D12" s="113">
        <f t="shared" si="0"/>
        <v>625000</v>
      </c>
      <c r="E12" s="114">
        <v>610000</v>
      </c>
      <c r="F12" s="114">
        <v>15000</v>
      </c>
      <c r="G12" s="110" t="s">
        <v>8</v>
      </c>
    </row>
    <row r="13" spans="1:7" ht="20.100000000000001" customHeight="1" x14ac:dyDescent="0.45">
      <c r="A13" s="103">
        <v>12</v>
      </c>
      <c r="B13" s="103" t="s">
        <v>53</v>
      </c>
      <c r="C13" s="103" t="s">
        <v>52</v>
      </c>
      <c r="D13" s="113">
        <f t="shared" si="0"/>
        <v>610000</v>
      </c>
      <c r="E13" s="114">
        <v>610000</v>
      </c>
      <c r="F13" s="110"/>
      <c r="G13" s="110" t="s">
        <v>7</v>
      </c>
    </row>
    <row r="14" spans="1:7" ht="20.100000000000001" customHeight="1" x14ac:dyDescent="0.45">
      <c r="A14" s="103">
        <v>13</v>
      </c>
      <c r="B14" s="103" t="s">
        <v>54</v>
      </c>
      <c r="C14" s="103" t="s">
        <v>49</v>
      </c>
      <c r="D14" s="113">
        <f t="shared" si="0"/>
        <v>625000</v>
      </c>
      <c r="E14" s="114">
        <v>610000</v>
      </c>
      <c r="F14" s="114">
        <v>15000</v>
      </c>
      <c r="G14" s="110" t="s">
        <v>7</v>
      </c>
    </row>
    <row r="15" spans="1:7" ht="20.100000000000001" customHeight="1" x14ac:dyDescent="0.45">
      <c r="A15" s="103">
        <v>14</v>
      </c>
      <c r="B15" s="103" t="s">
        <v>55</v>
      </c>
      <c r="C15" s="103" t="s">
        <v>36</v>
      </c>
      <c r="D15" s="113">
        <f t="shared" si="0"/>
        <v>610000</v>
      </c>
      <c r="E15" s="114">
        <v>610000</v>
      </c>
      <c r="F15" s="110"/>
      <c r="G15" s="110" t="s">
        <v>7</v>
      </c>
    </row>
    <row r="16" spans="1:7" ht="20.100000000000001" customHeight="1" x14ac:dyDescent="0.45">
      <c r="A16" s="103">
        <v>15</v>
      </c>
      <c r="B16" s="103" t="s">
        <v>56</v>
      </c>
      <c r="C16" s="103" t="s">
        <v>49</v>
      </c>
      <c r="D16" s="113">
        <f t="shared" si="0"/>
        <v>0</v>
      </c>
      <c r="E16" s="110"/>
      <c r="F16" s="110"/>
      <c r="G16" s="110" t="s">
        <v>7</v>
      </c>
    </row>
    <row r="17" spans="1:7" ht="20.100000000000001" customHeight="1" x14ac:dyDescent="0.45">
      <c r="A17" s="103">
        <v>16</v>
      </c>
      <c r="B17" s="103" t="s">
        <v>58</v>
      </c>
      <c r="C17" s="103" t="s">
        <v>57</v>
      </c>
      <c r="D17" s="113">
        <f t="shared" si="0"/>
        <v>610000</v>
      </c>
      <c r="E17" s="114">
        <v>610000</v>
      </c>
      <c r="F17" s="110"/>
      <c r="G17" s="110" t="s">
        <v>7</v>
      </c>
    </row>
    <row r="18" spans="1:7" ht="20.100000000000001" customHeight="1" x14ac:dyDescent="0.45">
      <c r="A18" s="103">
        <v>17</v>
      </c>
      <c r="B18" s="103" t="s">
        <v>59</v>
      </c>
      <c r="C18" s="103" t="s">
        <v>36</v>
      </c>
      <c r="D18" s="113">
        <f t="shared" si="0"/>
        <v>0</v>
      </c>
      <c r="E18" s="110"/>
      <c r="F18" s="110"/>
      <c r="G18" s="110" t="s">
        <v>7</v>
      </c>
    </row>
    <row r="19" spans="1:7" ht="20.100000000000001" customHeight="1" x14ac:dyDescent="0.45">
      <c r="A19" s="103">
        <v>18</v>
      </c>
      <c r="B19" s="103" t="s">
        <v>61</v>
      </c>
      <c r="C19" s="103" t="s">
        <v>60</v>
      </c>
      <c r="D19" s="113">
        <f t="shared" si="0"/>
        <v>616000</v>
      </c>
      <c r="E19" s="110">
        <v>610000</v>
      </c>
      <c r="F19" s="110">
        <v>6000</v>
      </c>
      <c r="G19" s="110" t="s">
        <v>7</v>
      </c>
    </row>
    <row r="20" spans="1:7" ht="20.100000000000001" customHeight="1" x14ac:dyDescent="0.45">
      <c r="A20" s="103">
        <v>19</v>
      </c>
      <c r="B20" s="103" t="s">
        <v>62</v>
      </c>
      <c r="C20" s="103" t="s">
        <v>63</v>
      </c>
      <c r="D20" s="113">
        <f t="shared" si="0"/>
        <v>0</v>
      </c>
      <c r="E20" s="110"/>
      <c r="F20" s="110"/>
      <c r="G20" s="110" t="s">
        <v>7</v>
      </c>
    </row>
    <row r="21" spans="1:7" ht="20.100000000000001" customHeight="1" x14ac:dyDescent="0.45">
      <c r="A21" s="103">
        <v>20</v>
      </c>
      <c r="B21" s="103" t="s">
        <v>65</v>
      </c>
      <c r="C21" s="103" t="s">
        <v>64</v>
      </c>
      <c r="D21" s="113">
        <f t="shared" si="0"/>
        <v>615000</v>
      </c>
      <c r="E21" s="114">
        <v>610000</v>
      </c>
      <c r="F21" s="114">
        <v>5000</v>
      </c>
      <c r="G21" s="110" t="s">
        <v>7</v>
      </c>
    </row>
    <row r="22" spans="1:7" ht="20.100000000000001" customHeight="1" x14ac:dyDescent="0.45">
      <c r="A22" s="103">
        <v>21</v>
      </c>
      <c r="B22" s="103" t="s">
        <v>66</v>
      </c>
      <c r="C22" s="103" t="s">
        <v>64</v>
      </c>
      <c r="D22" s="113">
        <f t="shared" si="0"/>
        <v>616000</v>
      </c>
      <c r="E22" s="114">
        <v>610000</v>
      </c>
      <c r="F22" s="114">
        <v>6000</v>
      </c>
      <c r="G22" s="110" t="s">
        <v>8</v>
      </c>
    </row>
    <row r="23" spans="1:7" ht="20.100000000000001" customHeight="1" x14ac:dyDescent="0.45">
      <c r="A23" s="103">
        <v>22</v>
      </c>
      <c r="B23" s="103" t="s">
        <v>67</v>
      </c>
      <c r="C23" s="103" t="s">
        <v>64</v>
      </c>
      <c r="D23" s="113">
        <f t="shared" si="0"/>
        <v>616000</v>
      </c>
      <c r="E23" s="114">
        <v>610000</v>
      </c>
      <c r="F23" s="114">
        <v>6000</v>
      </c>
      <c r="G23" s="110" t="s">
        <v>8</v>
      </c>
    </row>
    <row r="24" spans="1:7" ht="20.100000000000001" customHeight="1" x14ac:dyDescent="0.45">
      <c r="A24" s="103">
        <v>23</v>
      </c>
      <c r="B24" s="103" t="s">
        <v>68</v>
      </c>
      <c r="C24" s="103" t="s">
        <v>36</v>
      </c>
      <c r="D24" s="113">
        <f t="shared" si="0"/>
        <v>610000</v>
      </c>
      <c r="E24" s="114">
        <v>610000</v>
      </c>
      <c r="F24" s="110"/>
      <c r="G24" s="110" t="s">
        <v>7</v>
      </c>
    </row>
    <row r="25" spans="1:7" ht="20.100000000000001" customHeight="1" x14ac:dyDescent="0.45">
      <c r="A25" s="103">
        <v>24</v>
      </c>
      <c r="B25" s="103" t="s">
        <v>69</v>
      </c>
      <c r="C25" s="103" t="s">
        <v>43</v>
      </c>
      <c r="D25" s="113">
        <f t="shared" si="0"/>
        <v>610000</v>
      </c>
      <c r="E25" s="114">
        <v>610000</v>
      </c>
      <c r="F25" s="110"/>
      <c r="G25" s="110" t="s">
        <v>7</v>
      </c>
    </row>
    <row r="26" spans="1:7" ht="20.100000000000001" customHeight="1" x14ac:dyDescent="0.45">
      <c r="A26" s="103">
        <v>25</v>
      </c>
      <c r="B26" s="103" t="s">
        <v>72</v>
      </c>
      <c r="C26" s="103" t="s">
        <v>46</v>
      </c>
      <c r="D26" s="113">
        <f t="shared" si="0"/>
        <v>616000</v>
      </c>
      <c r="E26" s="114">
        <v>610000</v>
      </c>
      <c r="F26" s="114">
        <v>6000</v>
      </c>
      <c r="G26" s="110" t="s">
        <v>7</v>
      </c>
    </row>
    <row r="27" spans="1:7" ht="20.100000000000001" customHeight="1" x14ac:dyDescent="0.45">
      <c r="A27" s="103">
        <v>26</v>
      </c>
      <c r="B27" s="103" t="s">
        <v>70</v>
      </c>
      <c r="C27" s="103" t="s">
        <v>36</v>
      </c>
      <c r="D27" s="113">
        <f t="shared" si="0"/>
        <v>0</v>
      </c>
      <c r="E27" s="110"/>
      <c r="F27" s="110"/>
      <c r="G27" s="110"/>
    </row>
    <row r="28" spans="1:7" ht="20.100000000000001" customHeight="1" x14ac:dyDescent="0.45">
      <c r="A28" s="103">
        <v>27</v>
      </c>
      <c r="B28" s="103" t="s">
        <v>74</v>
      </c>
      <c r="C28" s="103" t="s">
        <v>46</v>
      </c>
      <c r="D28" s="113">
        <f t="shared" si="0"/>
        <v>616000</v>
      </c>
      <c r="E28" s="114">
        <v>610000</v>
      </c>
      <c r="F28" s="114">
        <v>6000</v>
      </c>
      <c r="G28" s="110" t="s">
        <v>7</v>
      </c>
    </row>
    <row r="29" spans="1:7" ht="20.100000000000001" customHeight="1" x14ac:dyDescent="0.45">
      <c r="A29" s="103">
        <v>28</v>
      </c>
      <c r="B29" s="103" t="s">
        <v>75</v>
      </c>
      <c r="C29" s="103" t="s">
        <v>57</v>
      </c>
      <c r="D29" s="113">
        <f t="shared" si="0"/>
        <v>610000</v>
      </c>
      <c r="E29" s="114">
        <v>610000</v>
      </c>
      <c r="F29" s="110"/>
      <c r="G29" s="110" t="s">
        <v>7</v>
      </c>
    </row>
    <row r="30" spans="1:7" ht="20.100000000000001" customHeight="1" x14ac:dyDescent="0.45">
      <c r="A30" s="103">
        <v>29</v>
      </c>
      <c r="B30" s="103" t="s">
        <v>76</v>
      </c>
      <c r="C30" s="103" t="s">
        <v>49</v>
      </c>
      <c r="D30" s="113">
        <f t="shared" si="0"/>
        <v>625000</v>
      </c>
      <c r="E30" s="114">
        <v>610000</v>
      </c>
      <c r="F30" s="114">
        <v>15000</v>
      </c>
      <c r="G30" s="110" t="s">
        <v>7</v>
      </c>
    </row>
    <row r="31" spans="1:7" ht="20.100000000000001" customHeight="1" x14ac:dyDescent="0.45">
      <c r="A31" s="103">
        <v>30</v>
      </c>
      <c r="B31" s="103" t="s">
        <v>77</v>
      </c>
      <c r="C31" s="103" t="s">
        <v>78</v>
      </c>
      <c r="D31" s="113">
        <f t="shared" si="0"/>
        <v>620000</v>
      </c>
      <c r="E31" s="114">
        <v>610000</v>
      </c>
      <c r="F31" s="114">
        <v>10000</v>
      </c>
      <c r="G31" s="110" t="s">
        <v>7</v>
      </c>
    </row>
    <row r="32" spans="1:7" ht="20.100000000000001" customHeight="1" x14ac:dyDescent="0.45">
      <c r="A32" s="103">
        <v>31</v>
      </c>
      <c r="B32" s="103" t="s">
        <v>79</v>
      </c>
      <c r="C32" s="103" t="s">
        <v>64</v>
      </c>
      <c r="D32" s="113">
        <f t="shared" si="0"/>
        <v>616000</v>
      </c>
      <c r="E32" s="114">
        <v>610000</v>
      </c>
      <c r="F32" s="114">
        <v>6000</v>
      </c>
      <c r="G32" s="110" t="s">
        <v>7</v>
      </c>
    </row>
    <row r="33" spans="1:7" ht="20.100000000000001" customHeight="1" x14ac:dyDescent="0.45">
      <c r="A33" s="103">
        <v>32</v>
      </c>
      <c r="B33" s="103" t="s">
        <v>80</v>
      </c>
      <c r="C33" s="103" t="s">
        <v>36</v>
      </c>
      <c r="D33" s="113">
        <f t="shared" si="0"/>
        <v>610000</v>
      </c>
      <c r="E33" s="114">
        <v>610000</v>
      </c>
      <c r="F33" s="110"/>
      <c r="G33" s="110" t="s">
        <v>7</v>
      </c>
    </row>
    <row r="34" spans="1:7" ht="20.100000000000001" customHeight="1" x14ac:dyDescent="0.45">
      <c r="A34" s="103">
        <v>33</v>
      </c>
      <c r="B34" s="103" t="s">
        <v>82</v>
      </c>
      <c r="C34" s="103" t="s">
        <v>64</v>
      </c>
      <c r="D34" s="113">
        <f t="shared" si="0"/>
        <v>616000</v>
      </c>
      <c r="E34" s="114">
        <v>610000</v>
      </c>
      <c r="F34" s="114">
        <v>6000</v>
      </c>
      <c r="G34" s="110" t="s">
        <v>8</v>
      </c>
    </row>
    <row r="35" spans="1:7" ht="20.100000000000001" customHeight="1" x14ac:dyDescent="0.45">
      <c r="A35" s="103">
        <v>34</v>
      </c>
      <c r="B35" s="103" t="s">
        <v>86</v>
      </c>
      <c r="C35" s="103" t="s">
        <v>78</v>
      </c>
      <c r="D35" s="113">
        <f t="shared" si="0"/>
        <v>620000</v>
      </c>
      <c r="E35" s="114">
        <v>610000</v>
      </c>
      <c r="F35" s="114">
        <v>10000</v>
      </c>
      <c r="G35" s="110" t="s">
        <v>7</v>
      </c>
    </row>
    <row r="36" spans="1:7" ht="20.100000000000001" customHeight="1" x14ac:dyDescent="0.45">
      <c r="A36" s="103">
        <v>35</v>
      </c>
      <c r="B36" s="103">
        <v>90</v>
      </c>
      <c r="C36" s="103" t="s">
        <v>49</v>
      </c>
      <c r="D36" s="113">
        <f t="shared" si="0"/>
        <v>625000</v>
      </c>
      <c r="E36" s="114">
        <v>610000</v>
      </c>
      <c r="F36" s="114">
        <v>15000</v>
      </c>
      <c r="G36" s="110" t="s">
        <v>8</v>
      </c>
    </row>
    <row r="37" spans="1:7" ht="20.100000000000001" customHeight="1" x14ac:dyDescent="0.45">
      <c r="A37" s="103">
        <v>36</v>
      </c>
      <c r="B37" s="103" t="s">
        <v>90</v>
      </c>
      <c r="C37" s="103" t="s">
        <v>78</v>
      </c>
      <c r="D37" s="113">
        <f t="shared" si="0"/>
        <v>620000</v>
      </c>
      <c r="E37" s="114">
        <v>610000</v>
      </c>
      <c r="F37" s="114">
        <v>10000</v>
      </c>
      <c r="G37" s="110" t="s">
        <v>7</v>
      </c>
    </row>
    <row r="38" spans="1:7" ht="20.100000000000001" customHeight="1" x14ac:dyDescent="0.45">
      <c r="A38" s="103">
        <v>37</v>
      </c>
      <c r="B38" s="103"/>
      <c r="C38" s="103"/>
      <c r="D38" s="115"/>
      <c r="E38" s="115"/>
      <c r="F38" s="115"/>
      <c r="G38" s="103"/>
    </row>
    <row r="39" spans="1:7" ht="20.100000000000001" customHeight="1" x14ac:dyDescent="0.45">
      <c r="A39" s="103">
        <v>38</v>
      </c>
      <c r="B39" s="103"/>
      <c r="C39" s="103"/>
      <c r="D39" s="115"/>
      <c r="E39" s="115"/>
      <c r="F39" s="115"/>
      <c r="G39" s="103"/>
    </row>
    <row r="40" spans="1:7" ht="20.100000000000001" customHeight="1" x14ac:dyDescent="0.45">
      <c r="A40" s="103">
        <v>39</v>
      </c>
      <c r="B40" s="103"/>
      <c r="C40" s="103"/>
      <c r="D40" s="115"/>
      <c r="E40" s="115"/>
      <c r="F40" s="115"/>
      <c r="G40" s="103"/>
    </row>
    <row r="41" spans="1:7" ht="20.100000000000001" customHeight="1" x14ac:dyDescent="0.45">
      <c r="A41" s="103">
        <v>40</v>
      </c>
      <c r="B41" s="103"/>
      <c r="C41" s="103"/>
      <c r="D41" s="115"/>
      <c r="E41" s="115"/>
      <c r="F41" s="115"/>
      <c r="G41" s="103"/>
    </row>
  </sheetData>
  <pageMargins left="0.25" right="0.25" top="0.5" bottom="0.5" header="0.3" footer="0.3"/>
  <pageSetup paperSize="5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A1:AS42"/>
  <sheetViews>
    <sheetView zoomScaleNormal="100" workbookViewId="0">
      <pane xSplit="3" ySplit="2" topLeftCell="R3" activePane="bottomRight" state="frozen"/>
      <selection pane="topRight" activeCell="E1" sqref="E1"/>
      <selection pane="bottomLeft" activeCell="A3" sqref="A3"/>
      <selection pane="bottomRight" activeCell="AL16" sqref="AL16"/>
    </sheetView>
  </sheetViews>
  <sheetFormatPr defaultColWidth="9.140625" defaultRowHeight="19.5" outlineLevelRow="1" x14ac:dyDescent="0.25"/>
  <cols>
    <col min="1" max="1" width="4.7109375" style="18" customWidth="1"/>
    <col min="2" max="2" width="19.140625" style="18" customWidth="1"/>
    <col min="3" max="3" width="19" style="18" customWidth="1"/>
    <col min="4" max="4" width="11.7109375" style="18" customWidth="1"/>
    <col min="5" max="7" width="6.42578125" style="35" customWidth="1"/>
    <col min="8" max="10" width="6.42578125" style="18" customWidth="1"/>
    <col min="11" max="12" width="6.42578125" style="36" customWidth="1"/>
    <col min="13" max="16" width="6.42578125" style="18" customWidth="1"/>
    <col min="17" max="17" width="9.140625" style="18"/>
    <col min="18" max="18" width="4.140625" style="18" customWidth="1"/>
    <col min="19" max="21" width="7.140625" style="35" customWidth="1"/>
    <col min="22" max="24" width="7.140625" style="18" customWidth="1"/>
    <col min="25" max="26" width="7.140625" style="36" customWidth="1"/>
    <col min="27" max="30" width="7.140625" style="18" customWidth="1"/>
    <col min="31" max="31" width="9.140625" style="18"/>
    <col min="32" max="32" width="3.85546875" style="18" customWidth="1"/>
    <col min="33" max="44" width="7.5703125" style="18" customWidth="1"/>
    <col min="45" max="16384" width="9.140625" style="18"/>
  </cols>
  <sheetData>
    <row r="1" spans="1:45" ht="23.25" customHeight="1" thickBot="1" x14ac:dyDescent="0.3">
      <c r="A1" s="116" t="s">
        <v>84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S1" s="117" t="s">
        <v>85</v>
      </c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G1" s="117" t="s">
        <v>93</v>
      </c>
      <c r="AH1" s="117"/>
      <c r="AI1" s="117"/>
      <c r="AJ1" s="117"/>
      <c r="AK1" s="117"/>
      <c r="AL1" s="117"/>
      <c r="AM1" s="117"/>
      <c r="AN1" s="117"/>
      <c r="AO1" s="117"/>
      <c r="AP1" s="117"/>
      <c r="AQ1" s="117"/>
      <c r="AR1" s="117"/>
      <c r="AS1" s="117"/>
    </row>
    <row r="2" spans="1:45" s="21" customFormat="1" ht="20.25" thickBot="1" x14ac:dyDescent="0.3">
      <c r="A2" s="19" t="s">
        <v>17</v>
      </c>
      <c r="B2" s="28" t="s">
        <v>1</v>
      </c>
      <c r="C2" s="28" t="s">
        <v>2</v>
      </c>
      <c r="D2" s="20" t="s">
        <v>18</v>
      </c>
      <c r="E2" s="28" t="s">
        <v>19</v>
      </c>
      <c r="F2" s="28" t="s">
        <v>20</v>
      </c>
      <c r="G2" s="28" t="s">
        <v>21</v>
      </c>
      <c r="H2" s="28" t="s">
        <v>22</v>
      </c>
      <c r="I2" s="28" t="s">
        <v>23</v>
      </c>
      <c r="J2" s="28" t="s">
        <v>87</v>
      </c>
      <c r="K2" s="28" t="s">
        <v>88</v>
      </c>
      <c r="L2" s="28" t="s">
        <v>89</v>
      </c>
      <c r="M2" s="28" t="s">
        <v>24</v>
      </c>
      <c r="N2" s="28" t="s">
        <v>25</v>
      </c>
      <c r="O2" s="28" t="s">
        <v>26</v>
      </c>
      <c r="P2" s="28" t="s">
        <v>27</v>
      </c>
      <c r="Q2" s="28" t="s">
        <v>28</v>
      </c>
      <c r="S2" s="28" t="s">
        <v>19</v>
      </c>
      <c r="T2" s="28" t="s">
        <v>20</v>
      </c>
      <c r="U2" s="28" t="s">
        <v>21</v>
      </c>
      <c r="V2" s="28" t="s">
        <v>22</v>
      </c>
      <c r="W2" s="28" t="s">
        <v>23</v>
      </c>
      <c r="X2" s="28" t="s">
        <v>87</v>
      </c>
      <c r="Y2" s="28" t="s">
        <v>88</v>
      </c>
      <c r="Z2" s="28" t="s">
        <v>89</v>
      </c>
      <c r="AA2" s="28" t="s">
        <v>24</v>
      </c>
      <c r="AB2" s="28" t="s">
        <v>25</v>
      </c>
      <c r="AC2" s="28" t="s">
        <v>26</v>
      </c>
      <c r="AD2" s="28" t="s">
        <v>27</v>
      </c>
      <c r="AE2" s="28" t="s">
        <v>28</v>
      </c>
      <c r="AG2" s="28" t="s">
        <v>19</v>
      </c>
      <c r="AH2" s="28" t="s">
        <v>20</v>
      </c>
      <c r="AI2" s="28" t="s">
        <v>21</v>
      </c>
      <c r="AJ2" s="28" t="s">
        <v>22</v>
      </c>
      <c r="AK2" s="28" t="s">
        <v>23</v>
      </c>
      <c r="AL2" s="28" t="s">
        <v>87</v>
      </c>
      <c r="AM2" s="28" t="s">
        <v>88</v>
      </c>
      <c r="AN2" s="28" t="s">
        <v>89</v>
      </c>
      <c r="AO2" s="28" t="s">
        <v>24</v>
      </c>
      <c r="AP2" s="28" t="s">
        <v>25</v>
      </c>
      <c r="AQ2" s="28" t="s">
        <v>26</v>
      </c>
      <c r="AR2" s="28" t="s">
        <v>27</v>
      </c>
      <c r="AS2" s="28" t="s">
        <v>28</v>
      </c>
    </row>
    <row r="3" spans="1:45" outlineLevel="1" x14ac:dyDescent="0.25">
      <c r="A3" s="22">
        <v>1</v>
      </c>
      <c r="B3" s="50" t="s">
        <v>35</v>
      </c>
      <c r="C3" s="50" t="s">
        <v>36</v>
      </c>
      <c r="D3" s="23" t="s">
        <v>8</v>
      </c>
      <c r="E3" s="42">
        <v>173</v>
      </c>
      <c r="F3" s="42">
        <v>162</v>
      </c>
      <c r="G3" s="42">
        <v>162</v>
      </c>
      <c r="H3" s="42">
        <v>155</v>
      </c>
      <c r="I3" s="42">
        <v>168</v>
      </c>
      <c r="J3" s="42">
        <v>164</v>
      </c>
      <c r="K3" s="42">
        <v>165</v>
      </c>
      <c r="L3" s="42">
        <v>196</v>
      </c>
      <c r="M3" s="42">
        <v>175</v>
      </c>
      <c r="N3" s="42">
        <v>215</v>
      </c>
      <c r="O3" s="42">
        <v>234</v>
      </c>
      <c r="P3" s="42">
        <v>241</v>
      </c>
      <c r="Q3" s="43">
        <f>SUM(E3:P3)</f>
        <v>2210</v>
      </c>
      <c r="S3" s="58">
        <v>198</v>
      </c>
      <c r="T3" s="58">
        <v>166</v>
      </c>
      <c r="U3" s="58">
        <v>160</v>
      </c>
      <c r="V3" s="42">
        <v>144</v>
      </c>
      <c r="W3" s="42">
        <v>159</v>
      </c>
      <c r="X3" s="42">
        <v>159</v>
      </c>
      <c r="Y3" s="42">
        <v>132</v>
      </c>
      <c r="Z3" s="42">
        <v>137</v>
      </c>
      <c r="AA3" s="42">
        <v>145</v>
      </c>
      <c r="AB3" s="42">
        <v>139</v>
      </c>
      <c r="AC3" s="42">
        <v>157</v>
      </c>
      <c r="AD3" s="42">
        <v>177</v>
      </c>
      <c r="AE3" s="43">
        <f>SUM(S3:AD3)</f>
        <v>1873</v>
      </c>
      <c r="AG3" s="58">
        <v>175</v>
      </c>
      <c r="AH3" s="58">
        <v>114</v>
      </c>
      <c r="AI3" s="58">
        <f>'MTL OP Debtor'!F85</f>
        <v>105</v>
      </c>
      <c r="AJ3" s="42"/>
      <c r="AK3" s="42"/>
      <c r="AL3" s="42"/>
      <c r="AM3" s="42"/>
      <c r="AN3" s="42"/>
      <c r="AO3" s="42"/>
      <c r="AP3" s="42"/>
      <c r="AQ3" s="42"/>
      <c r="AR3" s="42"/>
      <c r="AS3" s="43">
        <f>SUM(AG3:AR3)</f>
        <v>394</v>
      </c>
    </row>
    <row r="4" spans="1:45" outlineLevel="1" x14ac:dyDescent="0.25">
      <c r="A4" s="37">
        <v>2</v>
      </c>
      <c r="B4" s="47" t="s">
        <v>37</v>
      </c>
      <c r="C4" s="47" t="s">
        <v>36</v>
      </c>
      <c r="D4" s="24" t="s">
        <v>7</v>
      </c>
      <c r="E4" s="42">
        <v>2</v>
      </c>
      <c r="F4" s="42">
        <v>3</v>
      </c>
      <c r="G4" s="25">
        <v>2</v>
      </c>
      <c r="H4" s="25">
        <v>2</v>
      </c>
      <c r="I4" s="25">
        <v>3</v>
      </c>
      <c r="J4" s="25">
        <v>5</v>
      </c>
      <c r="K4" s="42">
        <v>2</v>
      </c>
      <c r="L4" s="25">
        <v>4</v>
      </c>
      <c r="M4" s="25">
        <v>3</v>
      </c>
      <c r="N4" s="25">
        <v>4</v>
      </c>
      <c r="O4" s="25">
        <v>5</v>
      </c>
      <c r="P4" s="42">
        <v>3</v>
      </c>
      <c r="Q4" s="43">
        <f t="shared" ref="Q4:Q35" si="0">SUM(E4:P4)</f>
        <v>38</v>
      </c>
      <c r="S4" s="58">
        <v>2</v>
      </c>
      <c r="T4" s="58">
        <v>3</v>
      </c>
      <c r="U4" s="58">
        <v>3</v>
      </c>
      <c r="V4" s="42">
        <v>2</v>
      </c>
      <c r="W4" s="42">
        <v>2</v>
      </c>
      <c r="X4" s="42">
        <v>4</v>
      </c>
      <c r="Y4" s="42">
        <v>2</v>
      </c>
      <c r="Z4" s="42">
        <v>3</v>
      </c>
      <c r="AA4" s="42">
        <v>2</v>
      </c>
      <c r="AB4" s="42">
        <v>1</v>
      </c>
      <c r="AC4" s="42">
        <v>3</v>
      </c>
      <c r="AD4" s="42">
        <v>1</v>
      </c>
      <c r="AE4" s="43">
        <f t="shared" ref="AE4:AE38" si="1">SUM(S4:AD4)</f>
        <v>28</v>
      </c>
      <c r="AG4" s="58">
        <v>3</v>
      </c>
      <c r="AH4" s="58">
        <v>0</v>
      </c>
      <c r="AI4" s="58">
        <f>'MTL OP Debtor'!F86</f>
        <v>1</v>
      </c>
      <c r="AJ4" s="42"/>
      <c r="AK4" s="42"/>
      <c r="AL4" s="42"/>
      <c r="AM4" s="42"/>
      <c r="AN4" s="42"/>
      <c r="AO4" s="42"/>
      <c r="AP4" s="42"/>
      <c r="AQ4" s="42"/>
      <c r="AR4" s="42"/>
      <c r="AS4" s="43">
        <f t="shared" ref="AS4:AS17" si="2">SUM(AG4:AR4)</f>
        <v>4</v>
      </c>
    </row>
    <row r="5" spans="1:45" outlineLevel="1" x14ac:dyDescent="0.25">
      <c r="A5" s="37">
        <v>3</v>
      </c>
      <c r="B5" s="47" t="s">
        <v>38</v>
      </c>
      <c r="C5" s="47" t="s">
        <v>39</v>
      </c>
      <c r="D5" s="24" t="s">
        <v>8</v>
      </c>
      <c r="E5" s="42">
        <v>4</v>
      </c>
      <c r="F5" s="25">
        <v>12</v>
      </c>
      <c r="G5" s="42">
        <v>12</v>
      </c>
      <c r="H5" s="25">
        <v>17</v>
      </c>
      <c r="I5" s="25">
        <v>10</v>
      </c>
      <c r="J5" s="25">
        <v>8</v>
      </c>
      <c r="K5" s="25">
        <v>8</v>
      </c>
      <c r="L5" s="42">
        <v>12</v>
      </c>
      <c r="M5" s="25">
        <v>6</v>
      </c>
      <c r="N5" s="25">
        <v>12</v>
      </c>
      <c r="O5" s="25">
        <v>3</v>
      </c>
      <c r="P5" s="42">
        <v>2</v>
      </c>
      <c r="Q5" s="43">
        <f t="shared" si="0"/>
        <v>106</v>
      </c>
      <c r="S5" s="58">
        <v>11</v>
      </c>
      <c r="T5" s="58">
        <v>7</v>
      </c>
      <c r="U5" s="58">
        <v>6</v>
      </c>
      <c r="V5" s="42">
        <v>10</v>
      </c>
      <c r="W5" s="42">
        <v>14</v>
      </c>
      <c r="X5" s="42">
        <v>14</v>
      </c>
      <c r="Y5" s="42">
        <v>19</v>
      </c>
      <c r="Z5" s="42">
        <v>12</v>
      </c>
      <c r="AA5" s="42">
        <v>13</v>
      </c>
      <c r="AB5" s="42">
        <v>18</v>
      </c>
      <c r="AC5" s="42">
        <v>9</v>
      </c>
      <c r="AD5" s="42">
        <v>15</v>
      </c>
      <c r="AE5" s="43">
        <f t="shared" si="1"/>
        <v>148</v>
      </c>
      <c r="AG5" s="58">
        <v>14</v>
      </c>
      <c r="AH5" s="58">
        <v>8</v>
      </c>
      <c r="AI5" s="58">
        <f>'MTL OP Debtor'!F87</f>
        <v>9</v>
      </c>
      <c r="AJ5" s="42"/>
      <c r="AK5" s="42"/>
      <c r="AL5" s="42"/>
      <c r="AM5" s="42"/>
      <c r="AN5" s="42"/>
      <c r="AO5" s="42"/>
      <c r="AP5" s="42"/>
      <c r="AQ5" s="42"/>
      <c r="AR5" s="42"/>
      <c r="AS5" s="43">
        <f t="shared" si="2"/>
        <v>31</v>
      </c>
    </row>
    <row r="6" spans="1:45" outlineLevel="1" x14ac:dyDescent="0.25">
      <c r="A6" s="37">
        <v>4</v>
      </c>
      <c r="B6" s="47" t="s">
        <v>41</v>
      </c>
      <c r="C6" s="47" t="s">
        <v>40</v>
      </c>
      <c r="D6" s="24" t="s">
        <v>7</v>
      </c>
      <c r="E6" s="42"/>
      <c r="F6" s="25"/>
      <c r="G6" s="25">
        <v>1</v>
      </c>
      <c r="H6" s="42"/>
      <c r="I6" s="42"/>
      <c r="J6" s="25">
        <v>1</v>
      </c>
      <c r="K6" s="25"/>
      <c r="L6" s="25"/>
      <c r="M6" s="42">
        <v>1</v>
      </c>
      <c r="N6" s="42"/>
      <c r="O6" s="25">
        <v>1</v>
      </c>
      <c r="P6" s="42">
        <v>0</v>
      </c>
      <c r="Q6" s="43">
        <f t="shared" si="0"/>
        <v>4</v>
      </c>
      <c r="S6" s="58">
        <v>1</v>
      </c>
      <c r="T6" s="58">
        <v>0</v>
      </c>
      <c r="U6" s="58">
        <v>0</v>
      </c>
      <c r="V6" s="42">
        <v>0</v>
      </c>
      <c r="W6" s="42">
        <v>0</v>
      </c>
      <c r="X6" s="42">
        <v>1</v>
      </c>
      <c r="Y6" s="42">
        <v>0</v>
      </c>
      <c r="Z6" s="42">
        <v>0</v>
      </c>
      <c r="AA6" s="42">
        <v>0</v>
      </c>
      <c r="AB6" s="42">
        <v>1</v>
      </c>
      <c r="AC6" s="42">
        <v>0</v>
      </c>
      <c r="AD6" s="42">
        <v>0</v>
      </c>
      <c r="AE6" s="43">
        <f t="shared" si="1"/>
        <v>3</v>
      </c>
      <c r="AG6" s="58">
        <v>1</v>
      </c>
      <c r="AH6" s="58">
        <v>0</v>
      </c>
      <c r="AI6" s="58">
        <f>'MTL OP Debtor'!F88</f>
        <v>0</v>
      </c>
      <c r="AJ6" s="42"/>
      <c r="AK6" s="42"/>
      <c r="AL6" s="42"/>
      <c r="AM6" s="42"/>
      <c r="AN6" s="42"/>
      <c r="AO6" s="42"/>
      <c r="AP6" s="42"/>
      <c r="AQ6" s="42"/>
      <c r="AR6" s="42"/>
      <c r="AS6" s="43">
        <f t="shared" si="2"/>
        <v>1</v>
      </c>
    </row>
    <row r="7" spans="1:45" outlineLevel="1" x14ac:dyDescent="0.25">
      <c r="A7" s="37">
        <v>5</v>
      </c>
      <c r="B7" s="47" t="s">
        <v>42</v>
      </c>
      <c r="C7" s="47" t="s">
        <v>43</v>
      </c>
      <c r="D7" s="24" t="s">
        <v>7</v>
      </c>
      <c r="E7" s="42"/>
      <c r="F7" s="25"/>
      <c r="G7" s="25"/>
      <c r="H7" s="25"/>
      <c r="I7" s="42"/>
      <c r="J7" s="25"/>
      <c r="K7" s="25"/>
      <c r="L7" s="25"/>
      <c r="M7" s="25"/>
      <c r="N7" s="42">
        <v>3</v>
      </c>
      <c r="O7" s="25">
        <v>1</v>
      </c>
      <c r="P7" s="42">
        <v>2</v>
      </c>
      <c r="Q7" s="43">
        <f t="shared" si="0"/>
        <v>6</v>
      </c>
      <c r="S7" s="58">
        <v>2</v>
      </c>
      <c r="T7" s="58">
        <v>2</v>
      </c>
      <c r="U7" s="58">
        <v>2</v>
      </c>
      <c r="V7" s="42">
        <v>4</v>
      </c>
      <c r="W7" s="42">
        <v>1</v>
      </c>
      <c r="X7" s="42">
        <v>3</v>
      </c>
      <c r="Y7" s="42">
        <v>2</v>
      </c>
      <c r="Z7" s="42">
        <v>3</v>
      </c>
      <c r="AA7" s="42">
        <v>2</v>
      </c>
      <c r="AB7" s="42">
        <v>3</v>
      </c>
      <c r="AC7" s="42">
        <v>2</v>
      </c>
      <c r="AD7" s="42">
        <v>2</v>
      </c>
      <c r="AE7" s="43">
        <f t="shared" si="1"/>
        <v>28</v>
      </c>
      <c r="AG7" s="58">
        <v>1</v>
      </c>
      <c r="AH7" s="58">
        <v>3</v>
      </c>
      <c r="AI7" s="58">
        <f>'MTL OP Debtor'!F89</f>
        <v>0</v>
      </c>
      <c r="AJ7" s="42"/>
      <c r="AK7" s="42"/>
      <c r="AL7" s="42"/>
      <c r="AM7" s="42"/>
      <c r="AN7" s="42"/>
      <c r="AO7" s="42"/>
      <c r="AP7" s="42"/>
      <c r="AQ7" s="42"/>
      <c r="AR7" s="42"/>
      <c r="AS7" s="43">
        <f t="shared" si="2"/>
        <v>4</v>
      </c>
    </row>
    <row r="8" spans="1:45" outlineLevel="1" x14ac:dyDescent="0.25">
      <c r="A8" s="37">
        <v>6</v>
      </c>
      <c r="B8" s="47" t="s">
        <v>44</v>
      </c>
      <c r="C8" s="47" t="s">
        <v>43</v>
      </c>
      <c r="D8" s="24" t="s">
        <v>7</v>
      </c>
      <c r="E8" s="42"/>
      <c r="F8" s="25"/>
      <c r="G8" s="25"/>
      <c r="H8" s="25"/>
      <c r="I8" s="25"/>
      <c r="J8" s="25"/>
      <c r="K8" s="25"/>
      <c r="L8" s="25"/>
      <c r="M8" s="25"/>
      <c r="N8" s="25">
        <v>14</v>
      </c>
      <c r="O8" s="25">
        <v>8</v>
      </c>
      <c r="P8" s="42">
        <v>10</v>
      </c>
      <c r="Q8" s="43">
        <f t="shared" si="0"/>
        <v>32</v>
      </c>
      <c r="S8" s="58">
        <v>2</v>
      </c>
      <c r="T8" s="58">
        <v>2</v>
      </c>
      <c r="U8" s="58">
        <v>10</v>
      </c>
      <c r="V8" s="42">
        <v>9</v>
      </c>
      <c r="W8" s="42">
        <v>8</v>
      </c>
      <c r="X8" s="42">
        <v>0</v>
      </c>
      <c r="Y8" s="42">
        <v>0</v>
      </c>
      <c r="Z8" s="42">
        <v>0</v>
      </c>
      <c r="AA8" s="42">
        <v>0</v>
      </c>
      <c r="AB8" s="42">
        <v>0</v>
      </c>
      <c r="AC8" s="42">
        <v>0</v>
      </c>
      <c r="AD8" s="42">
        <v>0</v>
      </c>
      <c r="AE8" s="43">
        <f t="shared" si="1"/>
        <v>31</v>
      </c>
      <c r="AG8" s="58">
        <v>0</v>
      </c>
      <c r="AH8" s="58">
        <v>0</v>
      </c>
      <c r="AI8" s="58">
        <f>'MTL OP Debtor'!F90</f>
        <v>0</v>
      </c>
      <c r="AJ8" s="42"/>
      <c r="AK8" s="42"/>
      <c r="AL8" s="42"/>
      <c r="AM8" s="42"/>
      <c r="AN8" s="42"/>
      <c r="AO8" s="42"/>
      <c r="AP8" s="42"/>
      <c r="AQ8" s="42"/>
      <c r="AR8" s="42"/>
      <c r="AS8" s="43">
        <f t="shared" si="2"/>
        <v>0</v>
      </c>
    </row>
    <row r="9" spans="1:45" outlineLevel="1" x14ac:dyDescent="0.25">
      <c r="A9" s="37">
        <v>7</v>
      </c>
      <c r="B9" s="47" t="s">
        <v>45</v>
      </c>
      <c r="C9" s="47" t="s">
        <v>46</v>
      </c>
      <c r="D9" s="24" t="s">
        <v>7</v>
      </c>
      <c r="E9" s="42"/>
      <c r="F9" s="25"/>
      <c r="G9" s="25"/>
      <c r="H9" s="25"/>
      <c r="I9" s="25"/>
      <c r="J9" s="25"/>
      <c r="K9" s="25">
        <v>5</v>
      </c>
      <c r="L9" s="25">
        <v>20</v>
      </c>
      <c r="M9" s="25">
        <v>10</v>
      </c>
      <c r="N9" s="25">
        <v>15</v>
      </c>
      <c r="O9" s="25">
        <v>20</v>
      </c>
      <c r="P9" s="42">
        <v>15</v>
      </c>
      <c r="Q9" s="43">
        <f t="shared" si="0"/>
        <v>85</v>
      </c>
      <c r="S9" s="58">
        <v>20</v>
      </c>
      <c r="T9" s="58">
        <v>10</v>
      </c>
      <c r="U9" s="58">
        <v>15</v>
      </c>
      <c r="V9" s="42">
        <v>18</v>
      </c>
      <c r="W9" s="42">
        <v>5</v>
      </c>
      <c r="X9" s="42">
        <v>10</v>
      </c>
      <c r="Y9" s="42">
        <v>15</v>
      </c>
      <c r="Z9" s="42">
        <v>10</v>
      </c>
      <c r="AA9" s="42">
        <v>10</v>
      </c>
      <c r="AB9" s="42">
        <v>10</v>
      </c>
      <c r="AC9" s="42">
        <v>8</v>
      </c>
      <c r="AD9" s="42">
        <v>10</v>
      </c>
      <c r="AE9" s="43">
        <f t="shared" si="1"/>
        <v>141</v>
      </c>
      <c r="AG9" s="58">
        <v>10</v>
      </c>
      <c r="AH9" s="58">
        <v>5</v>
      </c>
      <c r="AI9" s="58">
        <f>'MTL OP Debtor'!F91</f>
        <v>8</v>
      </c>
      <c r="AJ9" s="42"/>
      <c r="AK9" s="42"/>
      <c r="AL9" s="42"/>
      <c r="AM9" s="42"/>
      <c r="AN9" s="42"/>
      <c r="AO9" s="42"/>
      <c r="AP9" s="42"/>
      <c r="AQ9" s="42"/>
      <c r="AR9" s="42"/>
      <c r="AS9" s="43">
        <f t="shared" si="2"/>
        <v>23</v>
      </c>
    </row>
    <row r="10" spans="1:45" outlineLevel="1" x14ac:dyDescent="0.25">
      <c r="A10" s="37">
        <v>8</v>
      </c>
      <c r="B10" s="47" t="s">
        <v>47</v>
      </c>
      <c r="C10" s="47" t="s">
        <v>46</v>
      </c>
      <c r="D10" s="24" t="s">
        <v>7</v>
      </c>
      <c r="E10" s="42"/>
      <c r="F10" s="25"/>
      <c r="G10" s="25"/>
      <c r="H10" s="25"/>
      <c r="I10" s="25"/>
      <c r="J10" s="25"/>
      <c r="K10" s="25"/>
      <c r="L10" s="25"/>
      <c r="M10" s="25"/>
      <c r="N10" s="25">
        <v>11</v>
      </c>
      <c r="O10" s="25">
        <v>10</v>
      </c>
      <c r="P10" s="42">
        <v>0</v>
      </c>
      <c r="Q10" s="43">
        <f t="shared" si="0"/>
        <v>21</v>
      </c>
      <c r="S10" s="58">
        <v>0</v>
      </c>
      <c r="T10" s="58">
        <v>10</v>
      </c>
      <c r="U10" s="58">
        <v>10</v>
      </c>
      <c r="V10" s="42">
        <v>10</v>
      </c>
      <c r="W10" s="42">
        <v>10</v>
      </c>
      <c r="X10" s="42">
        <v>10</v>
      </c>
      <c r="Y10" s="42">
        <v>10</v>
      </c>
      <c r="Z10" s="42">
        <v>8</v>
      </c>
      <c r="AA10" s="42">
        <v>10</v>
      </c>
      <c r="AB10" s="42">
        <v>0</v>
      </c>
      <c r="AC10" s="42">
        <v>10</v>
      </c>
      <c r="AD10" s="42">
        <v>10</v>
      </c>
      <c r="AE10" s="43">
        <f t="shared" si="1"/>
        <v>98</v>
      </c>
      <c r="AG10" s="58">
        <v>10</v>
      </c>
      <c r="AH10" s="58">
        <v>0</v>
      </c>
      <c r="AI10" s="58">
        <f>'MTL OP Debtor'!F92</f>
        <v>10</v>
      </c>
      <c r="AJ10" s="42"/>
      <c r="AK10" s="42"/>
      <c r="AL10" s="42"/>
      <c r="AM10" s="42"/>
      <c r="AN10" s="42"/>
      <c r="AO10" s="42"/>
      <c r="AP10" s="42"/>
      <c r="AQ10" s="42"/>
      <c r="AR10" s="42"/>
      <c r="AS10" s="43">
        <f t="shared" si="2"/>
        <v>20</v>
      </c>
    </row>
    <row r="11" spans="1:45" outlineLevel="1" x14ac:dyDescent="0.25">
      <c r="A11" s="37">
        <v>9</v>
      </c>
      <c r="B11" s="47" t="s">
        <v>48</v>
      </c>
      <c r="C11" s="47" t="s">
        <v>46</v>
      </c>
      <c r="D11" s="24" t="s">
        <v>7</v>
      </c>
      <c r="E11" s="42"/>
      <c r="F11" s="25"/>
      <c r="G11" s="25"/>
      <c r="H11" s="25"/>
      <c r="I11" s="25"/>
      <c r="J11" s="42"/>
      <c r="K11" s="25"/>
      <c r="L11" s="25"/>
      <c r="M11" s="25">
        <v>5</v>
      </c>
      <c r="N11" s="25"/>
      <c r="O11" s="25">
        <v>0</v>
      </c>
      <c r="P11" s="42">
        <v>0</v>
      </c>
      <c r="Q11" s="43">
        <f t="shared" si="0"/>
        <v>5</v>
      </c>
      <c r="S11" s="58">
        <v>0</v>
      </c>
      <c r="T11" s="58">
        <v>0</v>
      </c>
      <c r="U11" s="58">
        <v>0</v>
      </c>
      <c r="V11" s="42">
        <v>0</v>
      </c>
      <c r="W11" s="42">
        <v>2</v>
      </c>
      <c r="X11" s="42">
        <v>2</v>
      </c>
      <c r="Y11" s="42">
        <v>2</v>
      </c>
      <c r="Z11" s="42">
        <v>0</v>
      </c>
      <c r="AA11" s="42">
        <v>2</v>
      </c>
      <c r="AB11" s="42">
        <v>0</v>
      </c>
      <c r="AC11" s="42">
        <v>0</v>
      </c>
      <c r="AD11" s="42">
        <v>0</v>
      </c>
      <c r="AE11" s="43">
        <f t="shared" si="1"/>
        <v>8</v>
      </c>
      <c r="AG11" s="58">
        <v>0</v>
      </c>
      <c r="AH11" s="58">
        <v>0</v>
      </c>
      <c r="AI11" s="58">
        <f>'MTL OP Debtor'!F93</f>
        <v>0</v>
      </c>
      <c r="AJ11" s="42"/>
      <c r="AK11" s="42"/>
      <c r="AL11" s="42"/>
      <c r="AM11" s="42"/>
      <c r="AN11" s="42"/>
      <c r="AO11" s="42"/>
      <c r="AP11" s="42"/>
      <c r="AQ11" s="42"/>
      <c r="AR11" s="42"/>
      <c r="AS11" s="43">
        <f t="shared" si="2"/>
        <v>0</v>
      </c>
    </row>
    <row r="12" spans="1:45" outlineLevel="1" x14ac:dyDescent="0.25">
      <c r="A12" s="37">
        <v>10</v>
      </c>
      <c r="B12" s="47" t="s">
        <v>50</v>
      </c>
      <c r="C12" s="47" t="s">
        <v>49</v>
      </c>
      <c r="D12" s="24" t="s">
        <v>7</v>
      </c>
      <c r="E12" s="42"/>
      <c r="F12" s="42"/>
      <c r="G12" s="25"/>
      <c r="H12" s="25"/>
      <c r="I12" s="25"/>
      <c r="J12" s="25"/>
      <c r="K12" s="42"/>
      <c r="L12" s="25"/>
      <c r="M12" s="25">
        <v>10</v>
      </c>
      <c r="N12" s="25">
        <v>50</v>
      </c>
      <c r="O12" s="25">
        <v>40</v>
      </c>
      <c r="P12" s="42">
        <v>40</v>
      </c>
      <c r="Q12" s="43">
        <f t="shared" si="0"/>
        <v>140</v>
      </c>
      <c r="S12" s="58">
        <v>30</v>
      </c>
      <c r="T12" s="58">
        <v>25</v>
      </c>
      <c r="U12" s="58">
        <v>20</v>
      </c>
      <c r="V12" s="42">
        <v>90</v>
      </c>
      <c r="W12" s="42">
        <v>20</v>
      </c>
      <c r="X12" s="42">
        <v>20</v>
      </c>
      <c r="Y12" s="42">
        <v>10</v>
      </c>
      <c r="Z12" s="42">
        <v>30</v>
      </c>
      <c r="AA12" s="42">
        <v>10</v>
      </c>
      <c r="AB12" s="42">
        <v>30</v>
      </c>
      <c r="AC12" s="42">
        <v>20</v>
      </c>
      <c r="AD12" s="42">
        <v>20</v>
      </c>
      <c r="AE12" s="43">
        <f t="shared" si="1"/>
        <v>325</v>
      </c>
      <c r="AG12" s="58">
        <v>20</v>
      </c>
      <c r="AH12" s="58">
        <v>10</v>
      </c>
      <c r="AI12" s="58">
        <f>'MTL OP Debtor'!F94</f>
        <v>0</v>
      </c>
      <c r="AJ12" s="42"/>
      <c r="AK12" s="42"/>
      <c r="AL12" s="42"/>
      <c r="AM12" s="42"/>
      <c r="AN12" s="42"/>
      <c r="AO12" s="42"/>
      <c r="AP12" s="42"/>
      <c r="AQ12" s="42"/>
      <c r="AR12" s="42"/>
      <c r="AS12" s="43">
        <f t="shared" si="2"/>
        <v>30</v>
      </c>
    </row>
    <row r="13" spans="1:45" outlineLevel="1" x14ac:dyDescent="0.25">
      <c r="A13" s="37">
        <v>11</v>
      </c>
      <c r="B13" s="47" t="s">
        <v>51</v>
      </c>
      <c r="C13" s="47" t="s">
        <v>49</v>
      </c>
      <c r="D13" s="24" t="s">
        <v>8</v>
      </c>
      <c r="E13" s="42"/>
      <c r="F13" s="25"/>
      <c r="G13" s="42"/>
      <c r="H13" s="25"/>
      <c r="I13" s="25"/>
      <c r="J13" s="25"/>
      <c r="K13" s="25"/>
      <c r="L13" s="42"/>
      <c r="M13" s="25">
        <v>20</v>
      </c>
      <c r="N13" s="25">
        <v>30</v>
      </c>
      <c r="O13" s="25">
        <v>5</v>
      </c>
      <c r="P13" s="42">
        <v>40</v>
      </c>
      <c r="Q13" s="43">
        <f t="shared" si="0"/>
        <v>95</v>
      </c>
      <c r="S13" s="58">
        <v>15</v>
      </c>
      <c r="T13" s="58">
        <v>15</v>
      </c>
      <c r="U13" s="58">
        <v>15</v>
      </c>
      <c r="V13" s="42">
        <v>30</v>
      </c>
      <c r="W13" s="42">
        <v>20</v>
      </c>
      <c r="X13" s="42">
        <v>35</v>
      </c>
      <c r="Y13" s="42">
        <v>10</v>
      </c>
      <c r="Z13" s="42">
        <v>25</v>
      </c>
      <c r="AA13" s="42">
        <v>10</v>
      </c>
      <c r="AB13" s="42">
        <v>25</v>
      </c>
      <c r="AC13" s="42">
        <v>30</v>
      </c>
      <c r="AD13" s="42">
        <v>10</v>
      </c>
      <c r="AE13" s="43">
        <f t="shared" si="1"/>
        <v>240</v>
      </c>
      <c r="AG13" s="58">
        <v>30</v>
      </c>
      <c r="AH13" s="58">
        <v>10</v>
      </c>
      <c r="AI13" s="58">
        <f>'MTL OP Debtor'!F95</f>
        <v>10</v>
      </c>
      <c r="AJ13" s="42"/>
      <c r="AK13" s="42"/>
      <c r="AL13" s="42"/>
      <c r="AM13" s="42"/>
      <c r="AN13" s="42"/>
      <c r="AO13" s="42"/>
      <c r="AP13" s="42"/>
      <c r="AQ13" s="42"/>
      <c r="AR13" s="42"/>
      <c r="AS13" s="43">
        <f t="shared" si="2"/>
        <v>50</v>
      </c>
    </row>
    <row r="14" spans="1:45" outlineLevel="1" x14ac:dyDescent="0.25">
      <c r="A14" s="37">
        <v>12</v>
      </c>
      <c r="B14" s="47" t="s">
        <v>53</v>
      </c>
      <c r="C14" s="47" t="s">
        <v>52</v>
      </c>
      <c r="D14" s="24" t="s">
        <v>7</v>
      </c>
      <c r="E14" s="42"/>
      <c r="F14" s="25"/>
      <c r="G14" s="25"/>
      <c r="H14" s="42"/>
      <c r="I14" s="25"/>
      <c r="J14" s="25"/>
      <c r="K14" s="25"/>
      <c r="L14" s="25"/>
      <c r="M14" s="42"/>
      <c r="N14" s="25">
        <v>10</v>
      </c>
      <c r="O14" s="25">
        <v>10</v>
      </c>
      <c r="P14" s="42">
        <v>10</v>
      </c>
      <c r="Q14" s="43">
        <f t="shared" si="0"/>
        <v>30</v>
      </c>
      <c r="S14" s="58">
        <v>10</v>
      </c>
      <c r="T14" s="58">
        <v>15</v>
      </c>
      <c r="U14" s="58">
        <v>11</v>
      </c>
      <c r="V14" s="42">
        <v>9</v>
      </c>
      <c r="W14" s="42">
        <v>9</v>
      </c>
      <c r="X14" s="42">
        <v>12</v>
      </c>
      <c r="Y14" s="42">
        <v>9</v>
      </c>
      <c r="Z14" s="42">
        <v>12</v>
      </c>
      <c r="AA14" s="42">
        <v>9</v>
      </c>
      <c r="AB14" s="42">
        <v>18</v>
      </c>
      <c r="AC14" s="42">
        <v>18</v>
      </c>
      <c r="AD14" s="42">
        <v>12</v>
      </c>
      <c r="AE14" s="43">
        <f t="shared" si="1"/>
        <v>144</v>
      </c>
      <c r="AG14" s="58">
        <v>24</v>
      </c>
      <c r="AH14" s="58">
        <v>9</v>
      </c>
      <c r="AI14" s="58">
        <f>'MTL OP Debtor'!F96</f>
        <v>6</v>
      </c>
      <c r="AJ14" s="42"/>
      <c r="AK14" s="42"/>
      <c r="AL14" s="42"/>
      <c r="AM14" s="42"/>
      <c r="AN14" s="42"/>
      <c r="AO14" s="42"/>
      <c r="AP14" s="42"/>
      <c r="AQ14" s="42"/>
      <c r="AR14" s="42"/>
      <c r="AS14" s="43">
        <f t="shared" si="2"/>
        <v>39</v>
      </c>
    </row>
    <row r="15" spans="1:45" outlineLevel="1" x14ac:dyDescent="0.25">
      <c r="A15" s="37">
        <v>13</v>
      </c>
      <c r="B15" s="47" t="s">
        <v>54</v>
      </c>
      <c r="C15" s="47" t="s">
        <v>49</v>
      </c>
      <c r="D15" s="24" t="s">
        <v>7</v>
      </c>
      <c r="E15" s="42"/>
      <c r="F15" s="25"/>
      <c r="G15" s="25"/>
      <c r="H15" s="25"/>
      <c r="I15" s="42"/>
      <c r="J15" s="25"/>
      <c r="K15" s="25"/>
      <c r="L15" s="25"/>
      <c r="M15" s="25"/>
      <c r="N15" s="42">
        <v>20</v>
      </c>
      <c r="O15" s="25">
        <v>20</v>
      </c>
      <c r="P15" s="42">
        <v>10</v>
      </c>
      <c r="Q15" s="43">
        <f t="shared" si="0"/>
        <v>50</v>
      </c>
      <c r="S15" s="58">
        <v>20</v>
      </c>
      <c r="T15" s="58">
        <v>10</v>
      </c>
      <c r="U15" s="58">
        <v>15</v>
      </c>
      <c r="V15" s="42">
        <v>25</v>
      </c>
      <c r="W15" s="42">
        <v>25</v>
      </c>
      <c r="X15" s="42">
        <v>10</v>
      </c>
      <c r="Y15" s="42">
        <v>10</v>
      </c>
      <c r="Z15" s="42">
        <v>10</v>
      </c>
      <c r="AA15" s="42">
        <v>10</v>
      </c>
      <c r="AB15" s="42">
        <v>10</v>
      </c>
      <c r="AC15" s="42">
        <v>10</v>
      </c>
      <c r="AD15" s="42">
        <v>10</v>
      </c>
      <c r="AE15" s="43">
        <f t="shared" si="1"/>
        <v>165</v>
      </c>
      <c r="AG15" s="58">
        <v>10</v>
      </c>
      <c r="AH15" s="58">
        <v>10</v>
      </c>
      <c r="AI15" s="58">
        <f>'MTL OP Debtor'!F97</f>
        <v>10</v>
      </c>
      <c r="AJ15" s="42"/>
      <c r="AK15" s="42"/>
      <c r="AL15" s="42"/>
      <c r="AM15" s="42"/>
      <c r="AN15" s="42"/>
      <c r="AO15" s="42"/>
      <c r="AP15" s="42"/>
      <c r="AQ15" s="42"/>
      <c r="AR15" s="42"/>
      <c r="AS15" s="43">
        <f t="shared" si="2"/>
        <v>30</v>
      </c>
    </row>
    <row r="16" spans="1:45" outlineLevel="1" x14ac:dyDescent="0.25">
      <c r="A16" s="37">
        <v>14</v>
      </c>
      <c r="B16" s="47" t="s">
        <v>55</v>
      </c>
      <c r="C16" s="47" t="s">
        <v>36</v>
      </c>
      <c r="D16" s="24" t="s">
        <v>7</v>
      </c>
      <c r="E16" s="42"/>
      <c r="F16" s="25"/>
      <c r="G16" s="25"/>
      <c r="H16" s="25"/>
      <c r="I16" s="25"/>
      <c r="J16" s="25"/>
      <c r="K16" s="25"/>
      <c r="L16" s="25"/>
      <c r="M16" s="25"/>
      <c r="N16" s="25">
        <v>5</v>
      </c>
      <c r="O16" s="25">
        <v>1</v>
      </c>
      <c r="P16" s="42">
        <v>3</v>
      </c>
      <c r="Q16" s="43">
        <f t="shared" si="0"/>
        <v>9</v>
      </c>
      <c r="S16" s="58">
        <v>9</v>
      </c>
      <c r="T16" s="58">
        <v>11</v>
      </c>
      <c r="U16" s="58">
        <v>3</v>
      </c>
      <c r="V16" s="42">
        <v>9</v>
      </c>
      <c r="W16" s="42">
        <v>11</v>
      </c>
      <c r="X16" s="42">
        <v>13</v>
      </c>
      <c r="Y16" s="42">
        <v>17</v>
      </c>
      <c r="Z16" s="42">
        <v>11</v>
      </c>
      <c r="AA16" s="42">
        <v>20</v>
      </c>
      <c r="AB16" s="42">
        <v>18</v>
      </c>
      <c r="AC16" s="42">
        <v>17</v>
      </c>
      <c r="AD16" s="42">
        <v>18</v>
      </c>
      <c r="AE16" s="43">
        <f t="shared" si="1"/>
        <v>157</v>
      </c>
      <c r="AG16" s="58">
        <v>11</v>
      </c>
      <c r="AH16" s="58">
        <v>1</v>
      </c>
      <c r="AI16" s="58">
        <f>'MTL OP Debtor'!F98</f>
        <v>0</v>
      </c>
      <c r="AJ16" s="42"/>
      <c r="AK16" s="42"/>
      <c r="AL16" s="42"/>
      <c r="AM16" s="42"/>
      <c r="AN16" s="42"/>
      <c r="AO16" s="42"/>
      <c r="AP16" s="42"/>
      <c r="AQ16" s="42"/>
      <c r="AR16" s="42"/>
      <c r="AS16" s="43">
        <f t="shared" si="2"/>
        <v>12</v>
      </c>
    </row>
    <row r="17" spans="1:45" outlineLevel="1" x14ac:dyDescent="0.25">
      <c r="A17" s="37">
        <v>15</v>
      </c>
      <c r="B17" s="47" t="s">
        <v>56</v>
      </c>
      <c r="C17" s="47" t="s">
        <v>49</v>
      </c>
      <c r="D17" s="24" t="s">
        <v>7</v>
      </c>
      <c r="E17" s="42"/>
      <c r="F17" s="25"/>
      <c r="G17" s="25"/>
      <c r="H17" s="25"/>
      <c r="I17" s="25"/>
      <c r="J17" s="25"/>
      <c r="K17" s="25"/>
      <c r="L17" s="25"/>
      <c r="M17" s="25"/>
      <c r="N17" s="25">
        <v>2</v>
      </c>
      <c r="O17" s="25">
        <v>0</v>
      </c>
      <c r="P17" s="42">
        <v>0</v>
      </c>
      <c r="Q17" s="43">
        <f t="shared" si="0"/>
        <v>2</v>
      </c>
      <c r="S17" s="58">
        <v>0</v>
      </c>
      <c r="T17" s="58">
        <v>0</v>
      </c>
      <c r="U17" s="58">
        <v>0</v>
      </c>
      <c r="V17" s="42">
        <v>0</v>
      </c>
      <c r="W17" s="42">
        <v>0</v>
      </c>
      <c r="X17" s="42">
        <v>0</v>
      </c>
      <c r="Y17" s="42">
        <v>0</v>
      </c>
      <c r="Z17" s="42">
        <v>0</v>
      </c>
      <c r="AA17" s="42">
        <v>0</v>
      </c>
      <c r="AB17" s="42">
        <v>0</v>
      </c>
      <c r="AC17" s="42">
        <v>0</v>
      </c>
      <c r="AD17" s="42">
        <v>0</v>
      </c>
      <c r="AE17" s="43">
        <f t="shared" si="1"/>
        <v>0</v>
      </c>
      <c r="AG17" s="58">
        <v>0</v>
      </c>
      <c r="AH17" s="58">
        <v>0</v>
      </c>
      <c r="AI17" s="58">
        <f>'MTL OP Debtor'!F99</f>
        <v>0</v>
      </c>
      <c r="AJ17" s="42"/>
      <c r="AK17" s="42"/>
      <c r="AL17" s="42"/>
      <c r="AM17" s="42"/>
      <c r="AN17" s="42"/>
      <c r="AO17" s="42"/>
      <c r="AP17" s="42"/>
      <c r="AQ17" s="42"/>
      <c r="AR17" s="42"/>
      <c r="AS17" s="43">
        <f t="shared" si="2"/>
        <v>0</v>
      </c>
    </row>
    <row r="18" spans="1:45" outlineLevel="1" x14ac:dyDescent="0.25">
      <c r="A18" s="37">
        <v>16</v>
      </c>
      <c r="B18" s="47" t="s">
        <v>58</v>
      </c>
      <c r="C18" s="47" t="s">
        <v>57</v>
      </c>
      <c r="D18" s="24" t="s">
        <v>7</v>
      </c>
      <c r="E18" s="42"/>
      <c r="F18" s="25"/>
      <c r="G18" s="25"/>
      <c r="H18" s="25"/>
      <c r="I18" s="25"/>
      <c r="J18" s="25"/>
      <c r="K18" s="25">
        <v>16</v>
      </c>
      <c r="L18" s="25">
        <v>13</v>
      </c>
      <c r="M18" s="25">
        <v>5</v>
      </c>
      <c r="N18" s="25">
        <v>10</v>
      </c>
      <c r="O18" s="25">
        <v>15</v>
      </c>
      <c r="P18" s="42">
        <v>20</v>
      </c>
      <c r="Q18" s="43">
        <f t="shared" si="0"/>
        <v>79</v>
      </c>
      <c r="S18" s="58">
        <v>20</v>
      </c>
      <c r="T18" s="58">
        <v>20</v>
      </c>
      <c r="U18" s="58">
        <v>5</v>
      </c>
      <c r="V18" s="42">
        <v>20</v>
      </c>
      <c r="W18" s="42">
        <v>15</v>
      </c>
      <c r="X18" s="42">
        <v>5</v>
      </c>
      <c r="Y18" s="42">
        <v>10</v>
      </c>
      <c r="Z18" s="42">
        <v>7</v>
      </c>
      <c r="AA18" s="42">
        <v>2</v>
      </c>
      <c r="AB18" s="42">
        <v>0</v>
      </c>
      <c r="AC18" s="42">
        <v>1</v>
      </c>
      <c r="AD18" s="42">
        <v>0</v>
      </c>
      <c r="AE18" s="43">
        <f>SUM(S18:AD18)</f>
        <v>105</v>
      </c>
      <c r="AG18" s="58">
        <v>0</v>
      </c>
      <c r="AH18" s="58">
        <v>3</v>
      </c>
      <c r="AI18" s="58">
        <f>'MTL OP Debtor'!F100</f>
        <v>0</v>
      </c>
      <c r="AJ18" s="42"/>
      <c r="AK18" s="42"/>
      <c r="AL18" s="42"/>
      <c r="AM18" s="42"/>
      <c r="AN18" s="42"/>
      <c r="AO18" s="42"/>
      <c r="AP18" s="42"/>
      <c r="AQ18" s="42"/>
      <c r="AR18" s="42"/>
      <c r="AS18" s="43">
        <f>SUM(AG18:AR18)</f>
        <v>3</v>
      </c>
    </row>
    <row r="19" spans="1:45" outlineLevel="1" x14ac:dyDescent="0.25">
      <c r="A19" s="37">
        <v>17</v>
      </c>
      <c r="B19" s="47" t="s">
        <v>59</v>
      </c>
      <c r="C19" s="47" t="s">
        <v>36</v>
      </c>
      <c r="D19" s="24" t="s">
        <v>7</v>
      </c>
      <c r="E19" s="42"/>
      <c r="F19" s="25"/>
      <c r="G19" s="25"/>
      <c r="H19" s="25"/>
      <c r="I19" s="25"/>
      <c r="J19" s="25"/>
      <c r="K19" s="25"/>
      <c r="L19" s="25"/>
      <c r="M19" s="25"/>
      <c r="N19" s="25">
        <v>3</v>
      </c>
      <c r="O19" s="25">
        <v>0</v>
      </c>
      <c r="P19" s="42">
        <v>0</v>
      </c>
      <c r="Q19" s="43">
        <f t="shared" si="0"/>
        <v>3</v>
      </c>
      <c r="S19" s="58">
        <v>0</v>
      </c>
      <c r="T19" s="58">
        <v>0</v>
      </c>
      <c r="U19" s="58">
        <v>0</v>
      </c>
      <c r="V19" s="42">
        <v>0</v>
      </c>
      <c r="W19" s="42">
        <v>0</v>
      </c>
      <c r="X19" s="42">
        <v>0</v>
      </c>
      <c r="Y19" s="42">
        <v>0</v>
      </c>
      <c r="Z19" s="42">
        <v>0</v>
      </c>
      <c r="AA19" s="42">
        <v>0</v>
      </c>
      <c r="AB19" s="42">
        <v>0</v>
      </c>
      <c r="AC19" s="42">
        <v>0</v>
      </c>
      <c r="AD19" s="42">
        <v>0</v>
      </c>
      <c r="AE19" s="43">
        <f t="shared" si="1"/>
        <v>0</v>
      </c>
      <c r="AG19" s="58">
        <v>0</v>
      </c>
      <c r="AH19" s="58">
        <v>0</v>
      </c>
      <c r="AI19" s="58">
        <f>'MTL OP Debtor'!F101</f>
        <v>0</v>
      </c>
      <c r="AJ19" s="42"/>
      <c r="AK19" s="42"/>
      <c r="AL19" s="42"/>
      <c r="AM19" s="42"/>
      <c r="AN19" s="42"/>
      <c r="AO19" s="42"/>
      <c r="AP19" s="42"/>
      <c r="AQ19" s="42"/>
      <c r="AR19" s="42"/>
      <c r="AS19" s="43">
        <f t="shared" ref="AS19:AS38" si="3">SUM(AG19:AR19)</f>
        <v>0</v>
      </c>
    </row>
    <row r="20" spans="1:45" outlineLevel="1" x14ac:dyDescent="0.25">
      <c r="A20" s="37">
        <v>18</v>
      </c>
      <c r="B20" s="47" t="s">
        <v>61</v>
      </c>
      <c r="C20" s="47" t="s">
        <v>60</v>
      </c>
      <c r="D20" s="24" t="s">
        <v>7</v>
      </c>
      <c r="E20" s="42"/>
      <c r="F20" s="25"/>
      <c r="G20" s="25"/>
      <c r="H20" s="25"/>
      <c r="I20" s="25"/>
      <c r="J20" s="25"/>
      <c r="K20" s="25"/>
      <c r="L20" s="25"/>
      <c r="M20" s="25"/>
      <c r="N20" s="25">
        <v>1</v>
      </c>
      <c r="O20" s="25">
        <v>0</v>
      </c>
      <c r="P20" s="42">
        <v>0</v>
      </c>
      <c r="Q20" s="43">
        <f t="shared" si="0"/>
        <v>1</v>
      </c>
      <c r="S20" s="58">
        <v>0</v>
      </c>
      <c r="T20" s="58">
        <v>0</v>
      </c>
      <c r="U20" s="58">
        <v>0</v>
      </c>
      <c r="V20" s="42">
        <v>0</v>
      </c>
      <c r="W20" s="42">
        <v>0</v>
      </c>
      <c r="X20" s="42">
        <v>0</v>
      </c>
      <c r="Y20" s="42">
        <v>0</v>
      </c>
      <c r="Z20" s="42">
        <v>0</v>
      </c>
      <c r="AA20" s="42">
        <v>0</v>
      </c>
      <c r="AB20" s="42">
        <v>0</v>
      </c>
      <c r="AC20" s="42">
        <v>0</v>
      </c>
      <c r="AD20" s="42">
        <v>0</v>
      </c>
      <c r="AE20" s="43">
        <f t="shared" si="1"/>
        <v>0</v>
      </c>
      <c r="AG20" s="58">
        <v>0</v>
      </c>
      <c r="AH20" s="58">
        <v>0</v>
      </c>
      <c r="AI20" s="58">
        <f>'MTL OP Debtor'!F102</f>
        <v>0</v>
      </c>
      <c r="AJ20" s="42"/>
      <c r="AK20" s="42"/>
      <c r="AL20" s="42"/>
      <c r="AM20" s="42"/>
      <c r="AN20" s="42"/>
      <c r="AO20" s="42"/>
      <c r="AP20" s="42"/>
      <c r="AQ20" s="42"/>
      <c r="AR20" s="42"/>
      <c r="AS20" s="43">
        <f t="shared" si="3"/>
        <v>0</v>
      </c>
    </row>
    <row r="21" spans="1:45" outlineLevel="1" x14ac:dyDescent="0.25">
      <c r="A21" s="37">
        <v>19</v>
      </c>
      <c r="B21" s="47" t="s">
        <v>62</v>
      </c>
      <c r="C21" s="47" t="s">
        <v>63</v>
      </c>
      <c r="D21" s="24" t="s">
        <v>7</v>
      </c>
      <c r="E21" s="42"/>
      <c r="F21" s="25"/>
      <c r="G21" s="25"/>
      <c r="H21" s="25"/>
      <c r="I21" s="25"/>
      <c r="J21" s="25"/>
      <c r="K21" s="25"/>
      <c r="L21" s="25"/>
      <c r="M21" s="25">
        <v>10</v>
      </c>
      <c r="N21" s="25">
        <v>20</v>
      </c>
      <c r="O21" s="25">
        <v>0</v>
      </c>
      <c r="P21" s="42">
        <v>0</v>
      </c>
      <c r="Q21" s="43">
        <f t="shared" si="0"/>
        <v>30</v>
      </c>
      <c r="S21" s="58">
        <v>0</v>
      </c>
      <c r="T21" s="58">
        <v>0</v>
      </c>
      <c r="U21" s="58">
        <v>0</v>
      </c>
      <c r="V21" s="42">
        <v>0</v>
      </c>
      <c r="W21" s="42">
        <v>0</v>
      </c>
      <c r="X21" s="42">
        <v>0</v>
      </c>
      <c r="Y21" s="42">
        <v>0</v>
      </c>
      <c r="Z21" s="42">
        <v>0</v>
      </c>
      <c r="AA21" s="42">
        <v>0</v>
      </c>
      <c r="AB21" s="42">
        <v>0</v>
      </c>
      <c r="AC21" s="42">
        <v>0</v>
      </c>
      <c r="AD21" s="42">
        <v>0</v>
      </c>
      <c r="AE21" s="43">
        <f t="shared" si="1"/>
        <v>0</v>
      </c>
      <c r="AG21" s="58">
        <v>0</v>
      </c>
      <c r="AH21" s="58">
        <v>0</v>
      </c>
      <c r="AI21" s="58">
        <f>'MTL OP Debtor'!F103</f>
        <v>0</v>
      </c>
      <c r="AJ21" s="42"/>
      <c r="AK21" s="42"/>
      <c r="AL21" s="42"/>
      <c r="AM21" s="42"/>
      <c r="AN21" s="42"/>
      <c r="AO21" s="42"/>
      <c r="AP21" s="42"/>
      <c r="AQ21" s="42"/>
      <c r="AR21" s="42"/>
      <c r="AS21" s="43">
        <f t="shared" si="3"/>
        <v>0</v>
      </c>
    </row>
    <row r="22" spans="1:45" outlineLevel="1" x14ac:dyDescent="0.5">
      <c r="A22" s="37">
        <v>20</v>
      </c>
      <c r="B22" s="47" t="s">
        <v>65</v>
      </c>
      <c r="C22" s="47" t="s">
        <v>64</v>
      </c>
      <c r="D22" s="24" t="s">
        <v>7</v>
      </c>
      <c r="E22" s="42"/>
      <c r="F22" s="25"/>
      <c r="G22" s="25"/>
      <c r="H22" s="25"/>
      <c r="I22" s="25"/>
      <c r="J22" s="25"/>
      <c r="K22" s="25"/>
      <c r="L22" s="26"/>
      <c r="M22" s="25"/>
      <c r="N22" s="27"/>
      <c r="O22" s="25">
        <v>10</v>
      </c>
      <c r="P22" s="42">
        <v>10</v>
      </c>
      <c r="Q22" s="43">
        <f t="shared" si="0"/>
        <v>20</v>
      </c>
      <c r="S22" s="58">
        <v>10</v>
      </c>
      <c r="T22" s="58">
        <v>5</v>
      </c>
      <c r="U22" s="58">
        <v>5</v>
      </c>
      <c r="V22" s="42">
        <v>0</v>
      </c>
      <c r="W22" s="42">
        <v>0</v>
      </c>
      <c r="X22" s="42">
        <v>0</v>
      </c>
      <c r="Y22" s="42">
        <v>0</v>
      </c>
      <c r="Z22" s="42">
        <v>0</v>
      </c>
      <c r="AA22" s="42">
        <v>0</v>
      </c>
      <c r="AB22" s="42">
        <v>0</v>
      </c>
      <c r="AC22" s="42">
        <v>0</v>
      </c>
      <c r="AD22" s="42">
        <v>0</v>
      </c>
      <c r="AE22" s="43">
        <f t="shared" si="1"/>
        <v>20</v>
      </c>
      <c r="AG22" s="58">
        <v>0</v>
      </c>
      <c r="AH22" s="58">
        <v>0</v>
      </c>
      <c r="AI22" s="58">
        <f>'MTL OP Debtor'!F104</f>
        <v>0</v>
      </c>
      <c r="AJ22" s="42"/>
      <c r="AK22" s="42"/>
      <c r="AL22" s="42"/>
      <c r="AM22" s="42"/>
      <c r="AN22" s="42"/>
      <c r="AO22" s="42"/>
      <c r="AP22" s="42"/>
      <c r="AQ22" s="42"/>
      <c r="AR22" s="42"/>
      <c r="AS22" s="43">
        <f t="shared" si="3"/>
        <v>0</v>
      </c>
    </row>
    <row r="23" spans="1:45" outlineLevel="1" x14ac:dyDescent="0.5">
      <c r="A23" s="37">
        <v>21</v>
      </c>
      <c r="B23" s="48" t="s">
        <v>66</v>
      </c>
      <c r="C23" s="48" t="s">
        <v>64</v>
      </c>
      <c r="D23" s="24" t="s">
        <v>7</v>
      </c>
      <c r="E23" s="42"/>
      <c r="F23" s="44"/>
      <c r="G23" s="44"/>
      <c r="H23" s="44"/>
      <c r="I23" s="44"/>
      <c r="J23" s="44"/>
      <c r="K23" s="44"/>
      <c r="L23" s="45"/>
      <c r="M23" s="44"/>
      <c r="N23" s="46"/>
      <c r="O23" s="25">
        <v>1</v>
      </c>
      <c r="P23" s="42">
        <v>3</v>
      </c>
      <c r="Q23" s="43">
        <f t="shared" si="0"/>
        <v>4</v>
      </c>
      <c r="S23" s="58">
        <v>3</v>
      </c>
      <c r="T23" s="58">
        <v>0</v>
      </c>
      <c r="U23" s="58">
        <v>1</v>
      </c>
      <c r="V23" s="42">
        <v>2</v>
      </c>
      <c r="W23" s="42">
        <v>0</v>
      </c>
      <c r="X23" s="42">
        <v>2</v>
      </c>
      <c r="Y23" s="42">
        <v>2</v>
      </c>
      <c r="Z23" s="42">
        <v>0</v>
      </c>
      <c r="AA23" s="42">
        <v>2</v>
      </c>
      <c r="AB23" s="42">
        <v>0</v>
      </c>
      <c r="AC23" s="42">
        <v>2</v>
      </c>
      <c r="AD23" s="42">
        <v>2</v>
      </c>
      <c r="AE23" s="43">
        <f t="shared" si="1"/>
        <v>16</v>
      </c>
      <c r="AG23" s="58">
        <v>2</v>
      </c>
      <c r="AH23" s="58">
        <v>0</v>
      </c>
      <c r="AI23" s="58">
        <f>'MTL OP Debtor'!F105</f>
        <v>0</v>
      </c>
      <c r="AJ23" s="42"/>
      <c r="AK23" s="42"/>
      <c r="AL23" s="42"/>
      <c r="AM23" s="42"/>
      <c r="AN23" s="42"/>
      <c r="AO23" s="42"/>
      <c r="AP23" s="42"/>
      <c r="AQ23" s="42"/>
      <c r="AR23" s="42"/>
      <c r="AS23" s="43">
        <f t="shared" si="3"/>
        <v>2</v>
      </c>
    </row>
    <row r="24" spans="1:45" outlineLevel="1" x14ac:dyDescent="0.5">
      <c r="A24" s="37">
        <v>22</v>
      </c>
      <c r="B24" s="48" t="s">
        <v>67</v>
      </c>
      <c r="C24" s="48" t="s">
        <v>64</v>
      </c>
      <c r="D24" s="24" t="s">
        <v>7</v>
      </c>
      <c r="E24" s="42"/>
      <c r="F24" s="44"/>
      <c r="G24" s="44"/>
      <c r="H24" s="44"/>
      <c r="I24" s="44"/>
      <c r="J24" s="44"/>
      <c r="K24" s="44"/>
      <c r="L24" s="45"/>
      <c r="M24" s="44"/>
      <c r="N24" s="46"/>
      <c r="O24" s="25">
        <v>2</v>
      </c>
      <c r="P24" s="42">
        <v>3</v>
      </c>
      <c r="Q24" s="43">
        <f t="shared" si="0"/>
        <v>5</v>
      </c>
      <c r="S24" s="58">
        <v>3</v>
      </c>
      <c r="T24" s="58">
        <v>0</v>
      </c>
      <c r="U24" s="58">
        <v>0</v>
      </c>
      <c r="V24" s="42">
        <v>1</v>
      </c>
      <c r="W24" s="42">
        <v>0</v>
      </c>
      <c r="X24" s="42">
        <v>1</v>
      </c>
      <c r="Y24" s="42">
        <v>0</v>
      </c>
      <c r="Z24" s="42">
        <v>1</v>
      </c>
      <c r="AA24" s="42">
        <v>0</v>
      </c>
      <c r="AB24" s="42">
        <v>1</v>
      </c>
      <c r="AC24" s="42">
        <v>1</v>
      </c>
      <c r="AD24" s="42">
        <v>0</v>
      </c>
      <c r="AE24" s="43">
        <f t="shared" si="1"/>
        <v>8</v>
      </c>
      <c r="AG24" s="58">
        <v>1</v>
      </c>
      <c r="AH24" s="58">
        <v>0</v>
      </c>
      <c r="AI24" s="58">
        <f>'MTL OP Debtor'!F106</f>
        <v>0</v>
      </c>
      <c r="AJ24" s="42"/>
      <c r="AK24" s="42"/>
      <c r="AL24" s="42"/>
      <c r="AM24" s="42"/>
      <c r="AN24" s="42"/>
      <c r="AO24" s="42"/>
      <c r="AP24" s="42"/>
      <c r="AQ24" s="42"/>
      <c r="AR24" s="42"/>
      <c r="AS24" s="43">
        <f t="shared" si="3"/>
        <v>1</v>
      </c>
    </row>
    <row r="25" spans="1:45" outlineLevel="1" x14ac:dyDescent="0.5">
      <c r="A25" s="37">
        <v>23</v>
      </c>
      <c r="B25" s="48" t="s">
        <v>68</v>
      </c>
      <c r="C25" s="48" t="s">
        <v>36</v>
      </c>
      <c r="D25" s="24" t="s">
        <v>7</v>
      </c>
      <c r="E25" s="42"/>
      <c r="F25" s="44"/>
      <c r="G25" s="44"/>
      <c r="H25" s="44"/>
      <c r="I25" s="44"/>
      <c r="J25" s="44"/>
      <c r="K25" s="44"/>
      <c r="L25" s="45"/>
      <c r="M25" s="44"/>
      <c r="N25" s="46"/>
      <c r="O25" s="25">
        <v>9</v>
      </c>
      <c r="P25" s="42">
        <v>12</v>
      </c>
      <c r="Q25" s="43">
        <f t="shared" si="0"/>
        <v>21</v>
      </c>
      <c r="S25" s="58">
        <v>15</v>
      </c>
      <c r="T25" s="58">
        <v>12</v>
      </c>
      <c r="U25" s="58">
        <v>12</v>
      </c>
      <c r="V25" s="42">
        <v>14</v>
      </c>
      <c r="W25" s="42">
        <v>15</v>
      </c>
      <c r="X25" s="42">
        <v>15</v>
      </c>
      <c r="Y25" s="42">
        <v>12</v>
      </c>
      <c r="Z25" s="42">
        <v>15</v>
      </c>
      <c r="AA25" s="42">
        <v>15</v>
      </c>
      <c r="AB25" s="42">
        <v>20</v>
      </c>
      <c r="AC25" s="42">
        <v>12</v>
      </c>
      <c r="AD25" s="42">
        <v>18</v>
      </c>
      <c r="AE25" s="43">
        <f t="shared" si="1"/>
        <v>175</v>
      </c>
      <c r="AG25" s="58">
        <v>15</v>
      </c>
      <c r="AH25" s="58">
        <v>13</v>
      </c>
      <c r="AI25" s="58">
        <f>'MTL OP Debtor'!F107</f>
        <v>3</v>
      </c>
      <c r="AJ25" s="42"/>
      <c r="AK25" s="42"/>
      <c r="AL25" s="42"/>
      <c r="AM25" s="42"/>
      <c r="AN25" s="42"/>
      <c r="AO25" s="42"/>
      <c r="AP25" s="42"/>
      <c r="AQ25" s="42"/>
      <c r="AR25" s="42"/>
      <c r="AS25" s="43">
        <f t="shared" si="3"/>
        <v>31</v>
      </c>
    </row>
    <row r="26" spans="1:45" outlineLevel="1" x14ac:dyDescent="0.5">
      <c r="A26" s="37">
        <v>24</v>
      </c>
      <c r="B26" s="48" t="s">
        <v>69</v>
      </c>
      <c r="C26" s="48" t="s">
        <v>43</v>
      </c>
      <c r="D26" s="24" t="s">
        <v>7</v>
      </c>
      <c r="E26" s="42"/>
      <c r="F26" s="44"/>
      <c r="G26" s="44"/>
      <c r="H26" s="44"/>
      <c r="I26" s="44"/>
      <c r="J26" s="44"/>
      <c r="K26" s="44"/>
      <c r="L26" s="45"/>
      <c r="M26" s="44"/>
      <c r="N26" s="46"/>
      <c r="O26" s="25">
        <v>2</v>
      </c>
      <c r="P26" s="42">
        <v>4</v>
      </c>
      <c r="Q26" s="43">
        <f t="shared" si="0"/>
        <v>6</v>
      </c>
      <c r="S26" s="58">
        <v>2</v>
      </c>
      <c r="T26" s="58">
        <v>0</v>
      </c>
      <c r="U26" s="58">
        <v>0</v>
      </c>
      <c r="V26" s="42">
        <v>0</v>
      </c>
      <c r="W26" s="42">
        <v>0</v>
      </c>
      <c r="X26" s="42">
        <v>0</v>
      </c>
      <c r="Y26" s="42">
        <v>0</v>
      </c>
      <c r="Z26" s="42">
        <v>0</v>
      </c>
      <c r="AA26" s="42">
        <v>0</v>
      </c>
      <c r="AB26" s="42">
        <v>0</v>
      </c>
      <c r="AC26" s="42">
        <v>0</v>
      </c>
      <c r="AD26" s="42">
        <v>0</v>
      </c>
      <c r="AE26" s="43">
        <f t="shared" si="1"/>
        <v>2</v>
      </c>
      <c r="AG26" s="58">
        <v>0</v>
      </c>
      <c r="AH26" s="58">
        <v>0</v>
      </c>
      <c r="AI26" s="58">
        <f>'MTL OP Debtor'!F108</f>
        <v>0</v>
      </c>
      <c r="AJ26" s="42"/>
      <c r="AK26" s="42"/>
      <c r="AL26" s="42"/>
      <c r="AM26" s="42"/>
      <c r="AN26" s="42"/>
      <c r="AO26" s="42"/>
      <c r="AP26" s="42"/>
      <c r="AQ26" s="42"/>
      <c r="AR26" s="42"/>
      <c r="AS26" s="43">
        <f t="shared" si="3"/>
        <v>0</v>
      </c>
    </row>
    <row r="27" spans="1:45" outlineLevel="1" x14ac:dyDescent="0.5">
      <c r="A27" s="37">
        <v>25</v>
      </c>
      <c r="B27" s="49" t="s">
        <v>72</v>
      </c>
      <c r="C27" s="49" t="s">
        <v>46</v>
      </c>
      <c r="D27" s="24" t="s">
        <v>7</v>
      </c>
      <c r="E27" s="42"/>
      <c r="F27" s="44"/>
      <c r="G27" s="44"/>
      <c r="H27" s="44"/>
      <c r="I27" s="44"/>
      <c r="J27" s="44"/>
      <c r="K27" s="44"/>
      <c r="L27" s="45"/>
      <c r="M27" s="44">
        <v>1</v>
      </c>
      <c r="N27" s="46"/>
      <c r="O27" s="25">
        <v>5</v>
      </c>
      <c r="P27" s="42">
        <v>0</v>
      </c>
      <c r="Q27" s="43">
        <f t="shared" si="0"/>
        <v>6</v>
      </c>
      <c r="S27" s="58">
        <v>0</v>
      </c>
      <c r="T27" s="58">
        <v>3</v>
      </c>
      <c r="U27" s="58">
        <v>0</v>
      </c>
      <c r="V27" s="42">
        <v>10</v>
      </c>
      <c r="W27" s="42">
        <v>0</v>
      </c>
      <c r="X27" s="42">
        <v>3</v>
      </c>
      <c r="Y27" s="42">
        <v>0</v>
      </c>
      <c r="Z27" s="42">
        <v>3</v>
      </c>
      <c r="AA27" s="42">
        <v>0</v>
      </c>
      <c r="AB27" s="42">
        <v>0</v>
      </c>
      <c r="AC27" s="42">
        <v>0</v>
      </c>
      <c r="AD27" s="42">
        <v>0</v>
      </c>
      <c r="AE27" s="43">
        <f t="shared" si="1"/>
        <v>19</v>
      </c>
      <c r="AG27" s="58">
        <v>0</v>
      </c>
      <c r="AH27" s="58">
        <v>0</v>
      </c>
      <c r="AI27" s="58">
        <f>'MTL OP Debtor'!F109</f>
        <v>0</v>
      </c>
      <c r="AJ27" s="42"/>
      <c r="AK27" s="42"/>
      <c r="AL27" s="42"/>
      <c r="AM27" s="42"/>
      <c r="AN27" s="42"/>
      <c r="AO27" s="42"/>
      <c r="AP27" s="42"/>
      <c r="AQ27" s="42"/>
      <c r="AR27" s="42"/>
      <c r="AS27" s="43">
        <f t="shared" si="3"/>
        <v>0</v>
      </c>
    </row>
    <row r="28" spans="1:45" outlineLevel="1" x14ac:dyDescent="0.5">
      <c r="A28" s="37">
        <v>26</v>
      </c>
      <c r="B28" s="47" t="s">
        <v>70</v>
      </c>
      <c r="C28" s="48" t="s">
        <v>36</v>
      </c>
      <c r="D28" s="24" t="s">
        <v>7</v>
      </c>
      <c r="E28" s="42"/>
      <c r="F28" s="44"/>
      <c r="G28" s="44"/>
      <c r="H28" s="44"/>
      <c r="I28" s="44"/>
      <c r="J28" s="44"/>
      <c r="K28" s="44"/>
      <c r="L28" s="44"/>
      <c r="M28" s="44"/>
      <c r="N28" s="44"/>
      <c r="O28" s="44">
        <v>0</v>
      </c>
      <c r="P28" s="42">
        <v>0</v>
      </c>
      <c r="Q28" s="43">
        <f t="shared" si="0"/>
        <v>0</v>
      </c>
      <c r="S28" s="58">
        <v>0</v>
      </c>
      <c r="T28" s="58">
        <v>0</v>
      </c>
      <c r="U28" s="58">
        <v>0</v>
      </c>
      <c r="V28" s="42">
        <v>0</v>
      </c>
      <c r="W28" s="42">
        <v>0</v>
      </c>
      <c r="X28" s="42">
        <v>0</v>
      </c>
      <c r="Y28" s="42">
        <v>0</v>
      </c>
      <c r="Z28" s="42">
        <v>0</v>
      </c>
      <c r="AA28" s="42">
        <v>0</v>
      </c>
      <c r="AB28" s="42">
        <v>0</v>
      </c>
      <c r="AC28" s="42">
        <v>0</v>
      </c>
      <c r="AD28" s="42">
        <v>0</v>
      </c>
      <c r="AE28" s="43">
        <f t="shared" si="1"/>
        <v>0</v>
      </c>
      <c r="AG28" s="58">
        <v>0</v>
      </c>
      <c r="AH28" s="58">
        <v>0</v>
      </c>
      <c r="AI28" s="58">
        <f>'MTL OP Debtor'!F110</f>
        <v>0</v>
      </c>
      <c r="AJ28" s="42"/>
      <c r="AK28" s="42"/>
      <c r="AL28" s="42"/>
      <c r="AM28" s="42"/>
      <c r="AN28" s="42"/>
      <c r="AO28" s="42"/>
      <c r="AP28" s="42"/>
      <c r="AQ28" s="42"/>
      <c r="AR28" s="42"/>
      <c r="AS28" s="43">
        <f t="shared" si="3"/>
        <v>0</v>
      </c>
    </row>
    <row r="29" spans="1:45" outlineLevel="1" x14ac:dyDescent="0.5">
      <c r="A29" s="37">
        <v>27</v>
      </c>
      <c r="B29" s="48" t="s">
        <v>74</v>
      </c>
      <c r="C29" s="48" t="s">
        <v>46</v>
      </c>
      <c r="D29" s="24" t="s">
        <v>7</v>
      </c>
      <c r="E29" s="42"/>
      <c r="F29" s="44"/>
      <c r="G29" s="44"/>
      <c r="H29" s="44"/>
      <c r="I29" s="44"/>
      <c r="J29" s="44"/>
      <c r="K29" s="44"/>
      <c r="L29" s="44"/>
      <c r="M29" s="44"/>
      <c r="N29" s="44"/>
      <c r="O29" s="44">
        <v>5</v>
      </c>
      <c r="P29" s="42">
        <v>0</v>
      </c>
      <c r="Q29" s="43">
        <f t="shared" si="0"/>
        <v>5</v>
      </c>
      <c r="S29" s="58">
        <v>5</v>
      </c>
      <c r="T29" s="58">
        <v>0</v>
      </c>
      <c r="U29" s="58">
        <v>0</v>
      </c>
      <c r="V29" s="42">
        <v>0</v>
      </c>
      <c r="W29" s="42">
        <v>0</v>
      </c>
      <c r="X29" s="42">
        <v>0</v>
      </c>
      <c r="Y29" s="42">
        <v>0</v>
      </c>
      <c r="Z29" s="42">
        <v>0</v>
      </c>
      <c r="AA29" s="42">
        <v>0</v>
      </c>
      <c r="AB29" s="42">
        <v>0</v>
      </c>
      <c r="AC29" s="42">
        <v>0</v>
      </c>
      <c r="AD29" s="42">
        <v>0</v>
      </c>
      <c r="AE29" s="43">
        <f t="shared" si="1"/>
        <v>5</v>
      </c>
      <c r="AG29" s="58">
        <v>0</v>
      </c>
      <c r="AH29" s="58">
        <v>0</v>
      </c>
      <c r="AI29" s="58">
        <f>'MTL OP Debtor'!F111</f>
        <v>0</v>
      </c>
      <c r="AJ29" s="42"/>
      <c r="AK29" s="42"/>
      <c r="AL29" s="42"/>
      <c r="AM29" s="42"/>
      <c r="AN29" s="42"/>
      <c r="AO29" s="42"/>
      <c r="AP29" s="42"/>
      <c r="AQ29" s="42"/>
      <c r="AR29" s="42"/>
      <c r="AS29" s="43">
        <f t="shared" si="3"/>
        <v>0</v>
      </c>
    </row>
    <row r="30" spans="1:45" outlineLevel="1" x14ac:dyDescent="0.5">
      <c r="A30" s="37">
        <v>28</v>
      </c>
      <c r="B30" s="48" t="s">
        <v>75</v>
      </c>
      <c r="C30" s="48" t="s">
        <v>57</v>
      </c>
      <c r="D30" s="24" t="s">
        <v>8</v>
      </c>
      <c r="E30" s="42"/>
      <c r="F30" s="44"/>
      <c r="G30" s="44"/>
      <c r="H30" s="44"/>
      <c r="I30" s="44"/>
      <c r="J30" s="44"/>
      <c r="K30" s="44"/>
      <c r="L30" s="44"/>
      <c r="M30" s="44"/>
      <c r="N30" s="44"/>
      <c r="O30" s="44">
        <v>5</v>
      </c>
      <c r="P30" s="42">
        <v>20</v>
      </c>
      <c r="Q30" s="43">
        <f t="shared" si="0"/>
        <v>25</v>
      </c>
      <c r="S30" s="58">
        <v>20</v>
      </c>
      <c r="T30" s="58">
        <v>20</v>
      </c>
      <c r="U30" s="58">
        <v>0</v>
      </c>
      <c r="V30" s="42">
        <v>0</v>
      </c>
      <c r="W30" s="42">
        <v>0</v>
      </c>
      <c r="X30" s="42">
        <v>0</v>
      </c>
      <c r="Y30" s="42">
        <v>0</v>
      </c>
      <c r="Z30" s="42">
        <v>0</v>
      </c>
      <c r="AA30" s="42">
        <v>0</v>
      </c>
      <c r="AB30" s="42">
        <v>0</v>
      </c>
      <c r="AC30" s="42">
        <v>0</v>
      </c>
      <c r="AD30" s="42">
        <v>0</v>
      </c>
      <c r="AE30" s="43">
        <f t="shared" si="1"/>
        <v>40</v>
      </c>
      <c r="AG30" s="58">
        <v>0</v>
      </c>
      <c r="AH30" s="58">
        <v>0</v>
      </c>
      <c r="AI30" s="58">
        <f>'MTL OP Debtor'!F112</f>
        <v>0</v>
      </c>
      <c r="AJ30" s="42"/>
      <c r="AK30" s="42"/>
      <c r="AL30" s="42"/>
      <c r="AM30" s="42"/>
      <c r="AN30" s="42"/>
      <c r="AO30" s="42"/>
      <c r="AP30" s="42"/>
      <c r="AQ30" s="42"/>
      <c r="AR30" s="42"/>
      <c r="AS30" s="43">
        <f t="shared" si="3"/>
        <v>0</v>
      </c>
    </row>
    <row r="31" spans="1:45" outlineLevel="1" x14ac:dyDescent="0.5">
      <c r="A31" s="37">
        <v>29</v>
      </c>
      <c r="B31" s="48" t="s">
        <v>76</v>
      </c>
      <c r="C31" s="48" t="s">
        <v>49</v>
      </c>
      <c r="D31" s="24" t="s">
        <v>8</v>
      </c>
      <c r="E31" s="42"/>
      <c r="F31" s="44"/>
      <c r="G31" s="44"/>
      <c r="H31" s="44"/>
      <c r="I31" s="44"/>
      <c r="J31" s="44"/>
      <c r="K31" s="44"/>
      <c r="L31" s="44"/>
      <c r="M31" s="44"/>
      <c r="N31" s="44"/>
      <c r="O31" s="44">
        <v>20</v>
      </c>
      <c r="P31" s="42">
        <v>0</v>
      </c>
      <c r="Q31" s="43">
        <f t="shared" si="0"/>
        <v>20</v>
      </c>
      <c r="S31" s="58">
        <v>20</v>
      </c>
      <c r="T31" s="58">
        <v>20</v>
      </c>
      <c r="U31" s="58">
        <v>20</v>
      </c>
      <c r="V31" s="42">
        <v>0</v>
      </c>
      <c r="W31" s="42">
        <v>20</v>
      </c>
      <c r="X31" s="42">
        <v>30</v>
      </c>
      <c r="Y31" s="42">
        <v>0</v>
      </c>
      <c r="Z31" s="42">
        <v>20</v>
      </c>
      <c r="AA31" s="42">
        <v>0</v>
      </c>
      <c r="AB31" s="42">
        <v>20</v>
      </c>
      <c r="AC31" s="42">
        <v>20</v>
      </c>
      <c r="AD31" s="42">
        <v>0</v>
      </c>
      <c r="AE31" s="43">
        <f t="shared" si="1"/>
        <v>170</v>
      </c>
      <c r="AG31" s="58">
        <v>0</v>
      </c>
      <c r="AH31" s="58">
        <v>0</v>
      </c>
      <c r="AI31" s="58">
        <f>'MTL OP Debtor'!F113</f>
        <v>20</v>
      </c>
      <c r="AJ31" s="42"/>
      <c r="AK31" s="42"/>
      <c r="AL31" s="42"/>
      <c r="AM31" s="42"/>
      <c r="AN31" s="42"/>
      <c r="AO31" s="42"/>
      <c r="AP31" s="42"/>
      <c r="AQ31" s="42"/>
      <c r="AR31" s="42"/>
      <c r="AS31" s="43">
        <f t="shared" si="3"/>
        <v>20</v>
      </c>
    </row>
    <row r="32" spans="1:45" outlineLevel="1" x14ac:dyDescent="0.5">
      <c r="A32" s="57">
        <v>30</v>
      </c>
      <c r="B32" s="49" t="s">
        <v>77</v>
      </c>
      <c r="C32" s="49" t="s">
        <v>78</v>
      </c>
      <c r="D32" s="24" t="s">
        <v>7</v>
      </c>
      <c r="E32" s="42"/>
      <c r="F32" s="44"/>
      <c r="G32" s="44"/>
      <c r="H32" s="44"/>
      <c r="I32" s="44"/>
      <c r="J32" s="44"/>
      <c r="K32" s="44"/>
      <c r="L32" s="44"/>
      <c r="M32" s="44"/>
      <c r="N32" s="44"/>
      <c r="O32" s="44">
        <v>1</v>
      </c>
      <c r="P32" s="42">
        <v>0</v>
      </c>
      <c r="Q32" s="43">
        <f t="shared" si="0"/>
        <v>1</v>
      </c>
      <c r="S32" s="58">
        <v>2</v>
      </c>
      <c r="T32" s="58">
        <v>2</v>
      </c>
      <c r="U32" s="58">
        <v>0</v>
      </c>
      <c r="V32" s="42">
        <v>3</v>
      </c>
      <c r="W32" s="42">
        <v>0</v>
      </c>
      <c r="X32" s="42">
        <v>0</v>
      </c>
      <c r="Y32" s="42">
        <v>0</v>
      </c>
      <c r="Z32" s="42">
        <v>0</v>
      </c>
      <c r="AA32" s="42">
        <v>0</v>
      </c>
      <c r="AB32" s="42">
        <v>0</v>
      </c>
      <c r="AC32" s="42">
        <v>0</v>
      </c>
      <c r="AD32" s="42">
        <v>0</v>
      </c>
      <c r="AE32" s="43">
        <f t="shared" si="1"/>
        <v>7</v>
      </c>
      <c r="AG32" s="58">
        <v>0</v>
      </c>
      <c r="AH32" s="58">
        <v>0</v>
      </c>
      <c r="AI32" s="58">
        <f>'MTL OP Debtor'!F114</f>
        <v>0</v>
      </c>
      <c r="AJ32" s="42"/>
      <c r="AK32" s="42"/>
      <c r="AL32" s="42"/>
      <c r="AM32" s="42"/>
      <c r="AN32" s="42"/>
      <c r="AO32" s="42"/>
      <c r="AP32" s="42"/>
      <c r="AQ32" s="42"/>
      <c r="AR32" s="42"/>
      <c r="AS32" s="43">
        <f t="shared" si="3"/>
        <v>0</v>
      </c>
    </row>
    <row r="33" spans="1:45" outlineLevel="1" x14ac:dyDescent="0.5">
      <c r="A33" s="37">
        <v>31</v>
      </c>
      <c r="B33" s="48" t="s">
        <v>79</v>
      </c>
      <c r="C33" s="48" t="s">
        <v>64</v>
      </c>
      <c r="D33" s="24" t="s">
        <v>7</v>
      </c>
      <c r="E33" s="42"/>
      <c r="F33" s="44"/>
      <c r="G33" s="44"/>
      <c r="H33" s="44"/>
      <c r="I33" s="44"/>
      <c r="J33" s="44"/>
      <c r="K33" s="44"/>
      <c r="L33" s="44"/>
      <c r="M33" s="44"/>
      <c r="N33" s="44"/>
      <c r="O33" s="44">
        <v>0</v>
      </c>
      <c r="P33" s="42">
        <v>10</v>
      </c>
      <c r="Q33" s="43">
        <f t="shared" si="0"/>
        <v>10</v>
      </c>
      <c r="S33" s="58">
        <v>5</v>
      </c>
      <c r="T33" s="58">
        <v>5</v>
      </c>
      <c r="U33" s="58">
        <v>5</v>
      </c>
      <c r="V33" s="42">
        <v>5</v>
      </c>
      <c r="W33" s="42">
        <v>5</v>
      </c>
      <c r="X33" s="42">
        <v>5</v>
      </c>
      <c r="Y33" s="42">
        <v>5</v>
      </c>
      <c r="Z33" s="42">
        <v>5</v>
      </c>
      <c r="AA33" s="42">
        <v>5</v>
      </c>
      <c r="AB33" s="42">
        <v>5</v>
      </c>
      <c r="AC33" s="42">
        <v>5</v>
      </c>
      <c r="AD33" s="42">
        <v>3</v>
      </c>
      <c r="AE33" s="43">
        <f t="shared" si="1"/>
        <v>58</v>
      </c>
      <c r="AG33" s="58">
        <v>5</v>
      </c>
      <c r="AH33" s="58">
        <v>5</v>
      </c>
      <c r="AI33" s="58">
        <f>'MTL OP Debtor'!F115</f>
        <v>0</v>
      </c>
      <c r="AJ33" s="42"/>
      <c r="AK33" s="42"/>
      <c r="AL33" s="42"/>
      <c r="AM33" s="42"/>
      <c r="AN33" s="42"/>
      <c r="AO33" s="42"/>
      <c r="AP33" s="42"/>
      <c r="AQ33" s="42"/>
      <c r="AR33" s="42"/>
      <c r="AS33" s="43">
        <f t="shared" si="3"/>
        <v>10</v>
      </c>
    </row>
    <row r="34" spans="1:45" outlineLevel="1" x14ac:dyDescent="0.5">
      <c r="A34" s="37">
        <v>32</v>
      </c>
      <c r="B34" s="48" t="s">
        <v>82</v>
      </c>
      <c r="C34" s="48" t="s">
        <v>64</v>
      </c>
      <c r="D34" s="24" t="s">
        <v>7</v>
      </c>
      <c r="E34" s="42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2">
        <v>1</v>
      </c>
      <c r="Q34" s="43">
        <f t="shared" si="0"/>
        <v>1</v>
      </c>
      <c r="S34" s="58">
        <v>4</v>
      </c>
      <c r="T34" s="58">
        <v>4</v>
      </c>
      <c r="U34" s="58">
        <v>6</v>
      </c>
      <c r="V34" s="42">
        <v>4</v>
      </c>
      <c r="W34" s="42">
        <v>4</v>
      </c>
      <c r="X34" s="42">
        <v>5</v>
      </c>
      <c r="Y34" s="42">
        <v>7</v>
      </c>
      <c r="Z34" s="42">
        <v>5</v>
      </c>
      <c r="AA34" s="42">
        <v>4</v>
      </c>
      <c r="AB34" s="42">
        <v>7</v>
      </c>
      <c r="AC34" s="42">
        <v>6</v>
      </c>
      <c r="AD34" s="42">
        <v>3</v>
      </c>
      <c r="AE34" s="43">
        <f t="shared" si="1"/>
        <v>59</v>
      </c>
      <c r="AG34" s="58">
        <v>7</v>
      </c>
      <c r="AH34" s="58">
        <v>3</v>
      </c>
      <c r="AI34" s="58">
        <f>'MTL OP Debtor'!F116</f>
        <v>3</v>
      </c>
      <c r="AJ34" s="42"/>
      <c r="AK34" s="42"/>
      <c r="AL34" s="42"/>
      <c r="AM34" s="42"/>
      <c r="AN34" s="42"/>
      <c r="AO34" s="42"/>
      <c r="AP34" s="42"/>
      <c r="AQ34" s="42"/>
      <c r="AR34" s="42"/>
      <c r="AS34" s="43">
        <f t="shared" si="3"/>
        <v>13</v>
      </c>
    </row>
    <row r="35" spans="1:45" outlineLevel="1" x14ac:dyDescent="0.5">
      <c r="A35" s="37">
        <v>33</v>
      </c>
      <c r="B35" s="48" t="s">
        <v>81</v>
      </c>
      <c r="C35" s="48" t="s">
        <v>36</v>
      </c>
      <c r="D35" s="24" t="s">
        <v>7</v>
      </c>
      <c r="E35" s="42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2">
        <v>2</v>
      </c>
      <c r="Q35" s="43">
        <f t="shared" si="0"/>
        <v>2</v>
      </c>
      <c r="S35" s="58">
        <v>4</v>
      </c>
      <c r="T35" s="58">
        <v>8</v>
      </c>
      <c r="U35" s="58">
        <v>7</v>
      </c>
      <c r="V35" s="42">
        <v>8</v>
      </c>
      <c r="W35" s="42">
        <v>8</v>
      </c>
      <c r="X35" s="42">
        <v>8</v>
      </c>
      <c r="Y35" s="42">
        <v>5</v>
      </c>
      <c r="Z35" s="42">
        <v>5</v>
      </c>
      <c r="AA35" s="42">
        <v>5</v>
      </c>
      <c r="AB35" s="42">
        <v>7</v>
      </c>
      <c r="AC35" s="42">
        <v>1</v>
      </c>
      <c r="AD35" s="42">
        <v>0</v>
      </c>
      <c r="AE35" s="43">
        <f t="shared" si="1"/>
        <v>66</v>
      </c>
      <c r="AG35" s="58">
        <v>0</v>
      </c>
      <c r="AH35" s="58">
        <v>0</v>
      </c>
      <c r="AI35" s="58">
        <f>'MTL OP Debtor'!F117</f>
        <v>0</v>
      </c>
      <c r="AJ35" s="42"/>
      <c r="AK35" s="42"/>
      <c r="AL35" s="42"/>
      <c r="AM35" s="42"/>
      <c r="AN35" s="42"/>
      <c r="AO35" s="42"/>
      <c r="AP35" s="42"/>
      <c r="AQ35" s="42"/>
      <c r="AR35" s="42"/>
      <c r="AS35" s="43">
        <f t="shared" si="3"/>
        <v>0</v>
      </c>
    </row>
    <row r="36" spans="1:45" outlineLevel="1" x14ac:dyDescent="0.5">
      <c r="A36" s="37">
        <v>34</v>
      </c>
      <c r="B36" s="48" t="s">
        <v>86</v>
      </c>
      <c r="C36" s="48" t="s">
        <v>78</v>
      </c>
      <c r="D36" s="24" t="s">
        <v>7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2"/>
      <c r="Q36" s="43"/>
      <c r="S36" s="44"/>
      <c r="T36" s="58">
        <v>2</v>
      </c>
      <c r="U36" s="58">
        <v>1</v>
      </c>
      <c r="V36" s="42">
        <v>7</v>
      </c>
      <c r="W36" s="42">
        <v>0</v>
      </c>
      <c r="X36" s="42">
        <v>0</v>
      </c>
      <c r="Y36" s="42">
        <v>0</v>
      </c>
      <c r="Z36" s="42">
        <v>7</v>
      </c>
      <c r="AA36" s="42">
        <v>0</v>
      </c>
      <c r="AB36" s="42">
        <v>0</v>
      </c>
      <c r="AC36" s="42">
        <v>0</v>
      </c>
      <c r="AD36" s="42">
        <v>5</v>
      </c>
      <c r="AE36" s="43">
        <f t="shared" si="1"/>
        <v>22</v>
      </c>
      <c r="AG36" s="58">
        <v>0</v>
      </c>
      <c r="AH36" s="58">
        <v>3</v>
      </c>
      <c r="AI36" s="58">
        <f>'MTL OP Debtor'!F118</f>
        <v>0</v>
      </c>
      <c r="AJ36" s="42"/>
      <c r="AK36" s="42"/>
      <c r="AL36" s="42"/>
      <c r="AM36" s="42"/>
      <c r="AN36" s="42"/>
      <c r="AO36" s="42"/>
      <c r="AP36" s="42"/>
      <c r="AQ36" s="42"/>
      <c r="AR36" s="42"/>
      <c r="AS36" s="43">
        <f t="shared" si="3"/>
        <v>3</v>
      </c>
    </row>
    <row r="37" spans="1:45" outlineLevel="1" x14ac:dyDescent="0.5">
      <c r="A37" s="37">
        <v>35</v>
      </c>
      <c r="B37" s="59">
        <v>90</v>
      </c>
      <c r="C37" s="48" t="s">
        <v>49</v>
      </c>
      <c r="D37" s="24" t="s">
        <v>7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2"/>
      <c r="Q37" s="43"/>
      <c r="S37" s="44"/>
      <c r="T37" s="58"/>
      <c r="U37" s="58"/>
      <c r="V37" s="42"/>
      <c r="W37" s="42">
        <v>15</v>
      </c>
      <c r="X37" s="42">
        <v>5</v>
      </c>
      <c r="Y37" s="42">
        <v>10</v>
      </c>
      <c r="Z37" s="42">
        <v>15</v>
      </c>
      <c r="AA37" s="42">
        <v>0</v>
      </c>
      <c r="AB37" s="42">
        <v>10</v>
      </c>
      <c r="AC37" s="42">
        <v>0</v>
      </c>
      <c r="AD37" s="42">
        <v>20</v>
      </c>
      <c r="AE37" s="43">
        <f t="shared" si="1"/>
        <v>75</v>
      </c>
      <c r="AG37" s="58">
        <v>10</v>
      </c>
      <c r="AH37" s="58">
        <v>5</v>
      </c>
      <c r="AI37" s="58">
        <f>'MTL OP Debtor'!F119</f>
        <v>0</v>
      </c>
      <c r="AJ37" s="42"/>
      <c r="AK37" s="42"/>
      <c r="AL37" s="42"/>
      <c r="AM37" s="42"/>
      <c r="AN37" s="42"/>
      <c r="AO37" s="42"/>
      <c r="AP37" s="42"/>
      <c r="AQ37" s="42"/>
      <c r="AR37" s="42"/>
      <c r="AS37" s="43">
        <f t="shared" si="3"/>
        <v>15</v>
      </c>
    </row>
    <row r="38" spans="1:45" outlineLevel="1" x14ac:dyDescent="0.5">
      <c r="A38" s="37">
        <v>36</v>
      </c>
      <c r="B38" s="59" t="s">
        <v>90</v>
      </c>
      <c r="C38" s="49" t="s">
        <v>78</v>
      </c>
      <c r="D38" s="24" t="s">
        <v>7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61"/>
      <c r="S38" s="44"/>
      <c r="T38" s="58"/>
      <c r="U38" s="58"/>
      <c r="V38" s="42"/>
      <c r="W38" s="42"/>
      <c r="X38" s="42"/>
      <c r="Y38" s="42"/>
      <c r="Z38" s="42">
        <v>8</v>
      </c>
      <c r="AA38" s="42">
        <v>40</v>
      </c>
      <c r="AB38" s="42">
        <v>0</v>
      </c>
      <c r="AC38" s="42">
        <v>0</v>
      </c>
      <c r="AD38" s="42">
        <v>15</v>
      </c>
      <c r="AE38" s="43">
        <f t="shared" si="1"/>
        <v>63</v>
      </c>
      <c r="AG38" s="58">
        <v>0</v>
      </c>
      <c r="AH38" s="58">
        <v>5</v>
      </c>
      <c r="AI38" s="58">
        <f>'MTL OP Debtor'!F120</f>
        <v>0</v>
      </c>
      <c r="AJ38" s="42"/>
      <c r="AK38" s="42"/>
      <c r="AL38" s="42"/>
      <c r="AM38" s="42"/>
      <c r="AN38" s="42"/>
      <c r="AO38" s="42"/>
      <c r="AP38" s="42"/>
      <c r="AQ38" s="42"/>
      <c r="AR38" s="42"/>
      <c r="AS38" s="43">
        <f t="shared" si="3"/>
        <v>5</v>
      </c>
    </row>
    <row r="39" spans="1:45" outlineLevel="1" x14ac:dyDescent="0.5">
      <c r="A39" s="37"/>
      <c r="B39" s="59"/>
      <c r="C39" s="48"/>
      <c r="D39" s="24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61"/>
      <c r="S39" s="44"/>
      <c r="T39" s="58"/>
      <c r="U39" s="58"/>
      <c r="V39" s="42"/>
      <c r="W39" s="42"/>
      <c r="X39" s="42"/>
      <c r="Y39" s="42"/>
      <c r="Z39" s="42"/>
      <c r="AA39" s="44"/>
      <c r="AB39" s="44"/>
      <c r="AC39" s="44"/>
      <c r="AD39" s="42"/>
      <c r="AE39" s="43"/>
      <c r="AG39" s="44"/>
      <c r="AH39" s="58"/>
      <c r="AI39" s="58"/>
      <c r="AJ39" s="42"/>
      <c r="AK39" s="42"/>
      <c r="AL39" s="42"/>
      <c r="AM39" s="42"/>
      <c r="AN39" s="42"/>
      <c r="AO39" s="44"/>
      <c r="AP39" s="44"/>
      <c r="AQ39" s="44"/>
      <c r="AR39" s="42"/>
      <c r="AS39" s="43"/>
    </row>
    <row r="40" spans="1:45" s="29" customFormat="1" ht="22.5" customHeight="1" outlineLevel="1" thickBot="1" x14ac:dyDescent="0.3">
      <c r="A40" s="30"/>
      <c r="B40" s="31" t="s">
        <v>29</v>
      </c>
      <c r="C40" s="32"/>
      <c r="D40" s="31"/>
      <c r="E40" s="60">
        <f>SUM(E3:E35)</f>
        <v>179</v>
      </c>
      <c r="F40" s="60">
        <f t="shared" ref="F40:Q40" si="4">SUM(F3:F35)</f>
        <v>177</v>
      </c>
      <c r="G40" s="60">
        <f t="shared" si="4"/>
        <v>177</v>
      </c>
      <c r="H40" s="60">
        <f t="shared" si="4"/>
        <v>174</v>
      </c>
      <c r="I40" s="60">
        <f t="shared" si="4"/>
        <v>181</v>
      </c>
      <c r="J40" s="60">
        <f t="shared" si="4"/>
        <v>178</v>
      </c>
      <c r="K40" s="60">
        <f t="shared" si="4"/>
        <v>196</v>
      </c>
      <c r="L40" s="60">
        <f t="shared" si="4"/>
        <v>245</v>
      </c>
      <c r="M40" s="60">
        <f t="shared" si="4"/>
        <v>246</v>
      </c>
      <c r="N40" s="60">
        <f t="shared" si="4"/>
        <v>425</v>
      </c>
      <c r="O40" s="60">
        <f t="shared" si="4"/>
        <v>433</v>
      </c>
      <c r="P40" s="60">
        <f t="shared" si="4"/>
        <v>461</v>
      </c>
      <c r="Q40" s="60">
        <f t="shared" si="4"/>
        <v>3072</v>
      </c>
      <c r="S40" s="53">
        <f>SUM(S3:S39)</f>
        <v>433</v>
      </c>
      <c r="T40" s="53">
        <f t="shared" ref="T40:AE40" si="5">SUM(T3:T39)</f>
        <v>377</v>
      </c>
      <c r="U40" s="53">
        <f t="shared" si="5"/>
        <v>332</v>
      </c>
      <c r="V40" s="53">
        <f t="shared" si="5"/>
        <v>434</v>
      </c>
      <c r="W40" s="53">
        <f t="shared" si="5"/>
        <v>368</v>
      </c>
      <c r="X40" s="53">
        <f t="shared" si="5"/>
        <v>372</v>
      </c>
      <c r="Y40" s="53">
        <f t="shared" si="5"/>
        <v>289</v>
      </c>
      <c r="Z40" s="53">
        <f t="shared" si="5"/>
        <v>352</v>
      </c>
      <c r="AA40" s="53">
        <f t="shared" si="5"/>
        <v>316</v>
      </c>
      <c r="AB40" s="53">
        <f t="shared" si="5"/>
        <v>343</v>
      </c>
      <c r="AC40" s="53">
        <f t="shared" si="5"/>
        <v>332</v>
      </c>
      <c r="AD40" s="53">
        <f t="shared" si="5"/>
        <v>351</v>
      </c>
      <c r="AE40" s="53">
        <f t="shared" si="5"/>
        <v>4299</v>
      </c>
      <c r="AG40" s="53">
        <f>SUM(AG3:AG39)</f>
        <v>349</v>
      </c>
      <c r="AH40" s="53">
        <f t="shared" ref="AH40:AS40" si="6">SUM(AH3:AH39)</f>
        <v>207</v>
      </c>
      <c r="AI40" s="53">
        <f t="shared" si="6"/>
        <v>185</v>
      </c>
      <c r="AJ40" s="53">
        <f t="shared" si="6"/>
        <v>0</v>
      </c>
      <c r="AK40" s="53">
        <f t="shared" si="6"/>
        <v>0</v>
      </c>
      <c r="AL40" s="53">
        <f t="shared" si="6"/>
        <v>0</v>
      </c>
      <c r="AM40" s="53">
        <f t="shared" si="6"/>
        <v>0</v>
      </c>
      <c r="AN40" s="53">
        <f t="shared" si="6"/>
        <v>0</v>
      </c>
      <c r="AO40" s="53">
        <f t="shared" si="6"/>
        <v>0</v>
      </c>
      <c r="AP40" s="53">
        <f t="shared" si="6"/>
        <v>0</v>
      </c>
      <c r="AQ40" s="53">
        <f t="shared" si="6"/>
        <v>0</v>
      </c>
      <c r="AR40" s="53">
        <f t="shared" si="6"/>
        <v>0</v>
      </c>
      <c r="AS40" s="53">
        <f t="shared" si="6"/>
        <v>741</v>
      </c>
    </row>
    <row r="41" spans="1:45" s="29" customFormat="1" ht="20.25" outlineLevel="1" thickBot="1" x14ac:dyDescent="0.3">
      <c r="A41" s="30"/>
      <c r="B41" s="31" t="s">
        <v>30</v>
      </c>
      <c r="C41" s="32"/>
      <c r="D41" s="31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</row>
    <row r="42" spans="1:45" s="29" customFormat="1" ht="20.25" thickBot="1" x14ac:dyDescent="0.3">
      <c r="A42" s="30"/>
      <c r="B42" s="31" t="s">
        <v>28</v>
      </c>
      <c r="C42" s="32" t="s">
        <v>83</v>
      </c>
      <c r="D42" s="31"/>
      <c r="E42" s="34">
        <f>SUM(E40:E41)</f>
        <v>179</v>
      </c>
      <c r="F42" s="34">
        <f t="shared" ref="F42:Q42" si="7">SUM(F40:F41)</f>
        <v>177</v>
      </c>
      <c r="G42" s="34">
        <f t="shared" si="7"/>
        <v>177</v>
      </c>
      <c r="H42" s="34">
        <f t="shared" si="7"/>
        <v>174</v>
      </c>
      <c r="I42" s="34">
        <f t="shared" si="7"/>
        <v>181</v>
      </c>
      <c r="J42" s="34">
        <f t="shared" si="7"/>
        <v>178</v>
      </c>
      <c r="K42" s="34">
        <f t="shared" si="7"/>
        <v>196</v>
      </c>
      <c r="L42" s="34">
        <f t="shared" si="7"/>
        <v>245</v>
      </c>
      <c r="M42" s="34">
        <f t="shared" si="7"/>
        <v>246</v>
      </c>
      <c r="N42" s="34">
        <f t="shared" si="7"/>
        <v>425</v>
      </c>
      <c r="O42" s="34">
        <f t="shared" si="7"/>
        <v>433</v>
      </c>
      <c r="P42" s="34">
        <f>SUM(P40:P41)</f>
        <v>461</v>
      </c>
      <c r="Q42" s="34">
        <f t="shared" si="7"/>
        <v>3072</v>
      </c>
      <c r="S42" s="34">
        <f>SUM(S40:S41)</f>
        <v>433</v>
      </c>
      <c r="T42" s="34">
        <f t="shared" ref="T42:AC42" si="8">SUM(T40:T41)</f>
        <v>377</v>
      </c>
      <c r="U42" s="34">
        <f t="shared" si="8"/>
        <v>332</v>
      </c>
      <c r="V42" s="34">
        <f t="shared" si="8"/>
        <v>434</v>
      </c>
      <c r="W42" s="34">
        <f t="shared" si="8"/>
        <v>368</v>
      </c>
      <c r="X42" s="34">
        <f t="shared" si="8"/>
        <v>372</v>
      </c>
      <c r="Y42" s="34">
        <f t="shared" si="8"/>
        <v>289</v>
      </c>
      <c r="Z42" s="34">
        <f t="shared" si="8"/>
        <v>352</v>
      </c>
      <c r="AA42" s="34">
        <f t="shared" si="8"/>
        <v>316</v>
      </c>
      <c r="AB42" s="34">
        <f t="shared" si="8"/>
        <v>343</v>
      </c>
      <c r="AC42" s="34">
        <f t="shared" si="8"/>
        <v>332</v>
      </c>
      <c r="AD42" s="34">
        <f>SUM(AD40:AD41)</f>
        <v>351</v>
      </c>
      <c r="AE42" s="34">
        <f t="shared" ref="AE42" si="9">SUM(AE40:AE41)</f>
        <v>4299</v>
      </c>
      <c r="AG42" s="34">
        <f>SUM(AG40:AG41)</f>
        <v>349</v>
      </c>
      <c r="AH42" s="34">
        <f t="shared" ref="AH42:AQ42" si="10">SUM(AH40:AH41)</f>
        <v>207</v>
      </c>
      <c r="AI42" s="34">
        <f t="shared" si="10"/>
        <v>185</v>
      </c>
      <c r="AJ42" s="34">
        <f t="shared" si="10"/>
        <v>0</v>
      </c>
      <c r="AK42" s="34">
        <f t="shared" si="10"/>
        <v>0</v>
      </c>
      <c r="AL42" s="34">
        <f t="shared" si="10"/>
        <v>0</v>
      </c>
      <c r="AM42" s="34">
        <f t="shared" si="10"/>
        <v>0</v>
      </c>
      <c r="AN42" s="34">
        <f t="shared" si="10"/>
        <v>0</v>
      </c>
      <c r="AO42" s="34">
        <f t="shared" si="10"/>
        <v>0</v>
      </c>
      <c r="AP42" s="34">
        <f t="shared" si="10"/>
        <v>0</v>
      </c>
      <c r="AQ42" s="34">
        <f t="shared" si="10"/>
        <v>0</v>
      </c>
      <c r="AR42" s="34">
        <f>SUM(AR40:AR41)</f>
        <v>0</v>
      </c>
      <c r="AS42" s="34">
        <f t="shared" ref="AS42" si="11">SUM(AS40:AS41)</f>
        <v>741</v>
      </c>
    </row>
  </sheetData>
  <mergeCells count="3">
    <mergeCell ref="A1:Q1"/>
    <mergeCell ref="S1:AE1"/>
    <mergeCell ref="AG1:AS1"/>
  </mergeCells>
  <phoneticPr fontId="10" type="noConversion"/>
  <pageMargins left="0" right="0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3287A-AAE4-40D2-B43F-59606A33AA04}">
  <sheetPr>
    <tabColor theme="8" tint="0.79998168889431442"/>
  </sheetPr>
  <dimension ref="A1:N121"/>
  <sheetViews>
    <sheetView topLeftCell="A83" zoomScale="110" zoomScaleNormal="110" workbookViewId="0">
      <pane xSplit="2" ySplit="2" topLeftCell="C112" activePane="bottomRight" state="frozen"/>
      <selection activeCell="A83" sqref="A83"/>
      <selection pane="topRight" activeCell="C83" sqref="C83"/>
      <selection pane="bottomLeft" activeCell="A85" sqref="A85"/>
      <selection pane="bottomRight" activeCell="I125" sqref="I125"/>
    </sheetView>
  </sheetViews>
  <sheetFormatPr defaultColWidth="8.85546875" defaultRowHeight="24" customHeight="1" x14ac:dyDescent="0.5"/>
  <cols>
    <col min="1" max="1" width="6.28515625" style="1" customWidth="1"/>
    <col min="2" max="3" width="18.7109375" style="1" customWidth="1"/>
    <col min="4" max="4" width="12.140625" style="1" customWidth="1"/>
    <col min="5" max="5" width="14.140625" style="1" customWidth="1"/>
    <col min="6" max="6" width="11.7109375" style="1" customWidth="1"/>
    <col min="7" max="7" width="14.140625" style="1" customWidth="1"/>
    <col min="8" max="8" width="13.85546875" style="1" customWidth="1"/>
    <col min="9" max="9" width="13.7109375" style="1" customWidth="1"/>
    <col min="10" max="10" width="1.85546875" style="1" customWidth="1"/>
    <col min="11" max="14" width="11.7109375" style="1" customWidth="1"/>
    <col min="15" max="16384" width="8.85546875" style="1"/>
  </cols>
  <sheetData>
    <row r="1" spans="1:14" ht="24" customHeight="1" x14ac:dyDescent="0.5">
      <c r="A1" s="118" t="s">
        <v>95</v>
      </c>
      <c r="B1" s="118"/>
      <c r="C1" s="118"/>
      <c r="D1" s="118"/>
      <c r="E1" s="118"/>
      <c r="F1" s="118"/>
      <c r="G1" s="118"/>
      <c r="H1" s="118"/>
      <c r="I1" s="118"/>
    </row>
    <row r="2" spans="1:14" ht="46.5" customHeight="1" x14ac:dyDescent="0.5">
      <c r="A2" s="10" t="s">
        <v>0</v>
      </c>
      <c r="B2" s="10" t="s">
        <v>1</v>
      </c>
      <c r="C2" s="10" t="s">
        <v>2</v>
      </c>
      <c r="D2" s="10" t="s">
        <v>5</v>
      </c>
      <c r="E2" s="10" t="s">
        <v>12</v>
      </c>
      <c r="F2" s="11" t="s">
        <v>14</v>
      </c>
      <c r="G2" s="11" t="s">
        <v>15</v>
      </c>
      <c r="H2" s="10" t="s">
        <v>16</v>
      </c>
      <c r="I2" s="10" t="s">
        <v>13</v>
      </c>
      <c r="J2" s="12"/>
      <c r="K2" s="41" t="s">
        <v>31</v>
      </c>
      <c r="L2" s="41" t="s">
        <v>32</v>
      </c>
      <c r="M2" s="41" t="s">
        <v>33</v>
      </c>
      <c r="N2" s="41" t="s">
        <v>34</v>
      </c>
    </row>
    <row r="3" spans="1:14" ht="24" customHeight="1" x14ac:dyDescent="0.5">
      <c r="A3" s="7">
        <v>1</v>
      </c>
      <c r="B3" s="4" t="s">
        <v>35</v>
      </c>
      <c r="C3" s="4" t="s">
        <v>36</v>
      </c>
      <c r="D3" s="8"/>
      <c r="E3" s="9">
        <v>100003931</v>
      </c>
      <c r="F3" s="65">
        <f>SUMIF('Daily Sales'!$B$3:$B$63,'MTL OP Debtor'!B3,'Daily Sales'!$G$3:$G$63)</f>
        <v>175</v>
      </c>
      <c r="G3" s="64">
        <f>SUMIF('Daily Sales'!$B$3:$B$63,'MTL OP Debtor'!B3,'Daily Sales'!$H$3:$H$63)</f>
        <v>100625000</v>
      </c>
      <c r="H3" s="64">
        <v>90915205</v>
      </c>
      <c r="I3" s="64">
        <f>E3+G3-H3</f>
        <v>109713726</v>
      </c>
      <c r="J3" s="15"/>
      <c r="K3" s="38">
        <v>143</v>
      </c>
      <c r="L3" s="38">
        <f>F3</f>
        <v>175</v>
      </c>
      <c r="M3" s="38">
        <v>175</v>
      </c>
      <c r="N3" s="38">
        <f>+K3+L3-M3</f>
        <v>143</v>
      </c>
    </row>
    <row r="4" spans="1:14" ht="24" customHeight="1" x14ac:dyDescent="0.5">
      <c r="A4" s="3">
        <v>2</v>
      </c>
      <c r="B4" s="4" t="s">
        <v>37</v>
      </c>
      <c r="C4" s="4" t="s">
        <v>36</v>
      </c>
      <c r="D4" s="6"/>
      <c r="E4" s="5">
        <v>0</v>
      </c>
      <c r="F4" s="65">
        <f>SUMIF('Daily Sales'!$B$3:$B$63,'MTL OP Debtor'!B4,'Daily Sales'!$G$3:$G$63)</f>
        <v>3</v>
      </c>
      <c r="G4" s="64">
        <f>SUMIF('Daily Sales'!$B$3:$B$63,'MTL OP Debtor'!B4,'Daily Sales'!$H$3:$H$63)</f>
        <v>1755000</v>
      </c>
      <c r="H4" s="65">
        <v>1755000</v>
      </c>
      <c r="I4" s="64">
        <f t="shared" ref="I4:I38" si="0">E4+G4-H4</f>
        <v>0</v>
      </c>
      <c r="J4" s="16"/>
      <c r="K4" s="39">
        <v>18</v>
      </c>
      <c r="L4" s="38">
        <f t="shared" ref="L4:L38" si="1">F4</f>
        <v>3</v>
      </c>
      <c r="M4" s="38">
        <v>3</v>
      </c>
      <c r="N4" s="38">
        <f t="shared" ref="N4:N38" si="2">+K4+L4-M4</f>
        <v>18</v>
      </c>
    </row>
    <row r="5" spans="1:14" ht="24" customHeight="1" x14ac:dyDescent="0.5">
      <c r="A5" s="7">
        <v>3</v>
      </c>
      <c r="B5" s="4" t="s">
        <v>38</v>
      </c>
      <c r="C5" s="4" t="s">
        <v>39</v>
      </c>
      <c r="D5" s="6"/>
      <c r="E5" s="5">
        <v>8775000</v>
      </c>
      <c r="F5" s="65">
        <f>SUMIF('Daily Sales'!$B$3:$B$63,'MTL OP Debtor'!B5,'Daily Sales'!$G$3:$G$63)</f>
        <v>14</v>
      </c>
      <c r="G5" s="64">
        <f>SUMIF('Daily Sales'!$B$3:$B$63,'MTL OP Debtor'!B5,'Daily Sales'!$H$3:$H$63)</f>
        <v>8190000</v>
      </c>
      <c r="H5" s="65">
        <v>8775000</v>
      </c>
      <c r="I5" s="64">
        <f t="shared" si="0"/>
        <v>8190000</v>
      </c>
      <c r="J5" s="16"/>
      <c r="K5" s="39">
        <v>0</v>
      </c>
      <c r="L5" s="38">
        <f t="shared" si="1"/>
        <v>14</v>
      </c>
      <c r="M5" s="38">
        <v>14</v>
      </c>
      <c r="N5" s="38">
        <f t="shared" si="2"/>
        <v>0</v>
      </c>
    </row>
    <row r="6" spans="1:14" ht="24" customHeight="1" x14ac:dyDescent="0.5">
      <c r="A6" s="3">
        <v>4</v>
      </c>
      <c r="B6" s="4" t="s">
        <v>41</v>
      </c>
      <c r="C6" s="4" t="s">
        <v>40</v>
      </c>
      <c r="D6" s="6"/>
      <c r="E6" s="5">
        <v>0</v>
      </c>
      <c r="F6" s="65">
        <f>SUMIF('Daily Sales'!$B$3:$B$63,'MTL OP Debtor'!B6,'Daily Sales'!$G$3:$G$63)</f>
        <v>1</v>
      </c>
      <c r="G6" s="64">
        <f>SUMIF('Daily Sales'!$B$3:$B$63,'MTL OP Debtor'!B6,'Daily Sales'!$H$3:$H$63)</f>
        <v>585000</v>
      </c>
      <c r="H6" s="65">
        <v>585000</v>
      </c>
      <c r="I6" s="64">
        <f t="shared" si="0"/>
        <v>0</v>
      </c>
      <c r="J6" s="16"/>
      <c r="K6" s="39">
        <v>0</v>
      </c>
      <c r="L6" s="38">
        <f t="shared" si="1"/>
        <v>1</v>
      </c>
      <c r="M6" s="38">
        <v>1</v>
      </c>
      <c r="N6" s="38">
        <f t="shared" si="2"/>
        <v>0</v>
      </c>
    </row>
    <row r="7" spans="1:14" ht="24" customHeight="1" x14ac:dyDescent="0.5">
      <c r="A7" s="7">
        <v>5</v>
      </c>
      <c r="B7" s="4" t="s">
        <v>42</v>
      </c>
      <c r="C7" s="4" t="s">
        <v>43</v>
      </c>
      <c r="D7" s="6"/>
      <c r="E7" s="5">
        <v>1170000</v>
      </c>
      <c r="F7" s="65">
        <f>SUMIF('Daily Sales'!$B$3:$B$63,'MTL OP Debtor'!B7,'Daily Sales'!$G$3:$G$63)</f>
        <v>1</v>
      </c>
      <c r="G7" s="64">
        <f>SUMIF('Daily Sales'!$B$3:$B$63,'MTL OP Debtor'!B7,'Daily Sales'!$H$3:$H$63)</f>
        <v>585000</v>
      </c>
      <c r="H7" s="65">
        <v>1170000</v>
      </c>
      <c r="I7" s="64">
        <f t="shared" si="0"/>
        <v>585000</v>
      </c>
      <c r="J7" s="16"/>
      <c r="K7" s="39">
        <v>0</v>
      </c>
      <c r="L7" s="38">
        <f t="shared" si="1"/>
        <v>1</v>
      </c>
      <c r="M7" s="38">
        <v>1</v>
      </c>
      <c r="N7" s="38">
        <f t="shared" si="2"/>
        <v>0</v>
      </c>
    </row>
    <row r="8" spans="1:14" ht="24" customHeight="1" x14ac:dyDescent="0.5">
      <c r="A8" s="3">
        <v>6</v>
      </c>
      <c r="B8" s="4" t="s">
        <v>44</v>
      </c>
      <c r="C8" s="4" t="s">
        <v>43</v>
      </c>
      <c r="D8" s="6"/>
      <c r="E8" s="5">
        <v>0</v>
      </c>
      <c r="F8" s="65">
        <f>SUMIF('Daily Sales'!$B$3:$B$63,'MTL OP Debtor'!B8,'Daily Sales'!$G$3:$G$63)</f>
        <v>0</v>
      </c>
      <c r="G8" s="64">
        <f>SUMIF('Daily Sales'!$B$3:$B$63,'MTL OP Debtor'!B8,'Daily Sales'!$H$3:$H$63)</f>
        <v>0</v>
      </c>
      <c r="H8" s="65"/>
      <c r="I8" s="64">
        <f t="shared" si="0"/>
        <v>0</v>
      </c>
      <c r="J8" s="16"/>
      <c r="K8" s="39">
        <v>0</v>
      </c>
      <c r="L8" s="38">
        <f t="shared" si="1"/>
        <v>0</v>
      </c>
      <c r="M8" s="38">
        <v>0</v>
      </c>
      <c r="N8" s="38">
        <f t="shared" si="2"/>
        <v>0</v>
      </c>
    </row>
    <row r="9" spans="1:14" ht="24" customHeight="1" x14ac:dyDescent="0.5">
      <c r="A9" s="7">
        <v>7</v>
      </c>
      <c r="B9" s="4" t="s">
        <v>45</v>
      </c>
      <c r="C9" s="4" t="s">
        <v>46</v>
      </c>
      <c r="D9" s="6"/>
      <c r="E9" s="5">
        <v>0</v>
      </c>
      <c r="F9" s="65">
        <f>SUMIF('Daily Sales'!$B$3:$B$63,'MTL OP Debtor'!B9,'Daily Sales'!$G$3:$G$63)</f>
        <v>10</v>
      </c>
      <c r="G9" s="64">
        <f>SUMIF('Daily Sales'!$B$3:$B$63,'MTL OP Debtor'!B9,'Daily Sales'!$H$3:$H$63)</f>
        <v>5910000</v>
      </c>
      <c r="H9" s="65">
        <v>5910000</v>
      </c>
      <c r="I9" s="64">
        <f t="shared" si="0"/>
        <v>0</v>
      </c>
      <c r="J9" s="16"/>
      <c r="K9" s="39">
        <v>10</v>
      </c>
      <c r="L9" s="38">
        <f t="shared" si="1"/>
        <v>10</v>
      </c>
      <c r="M9" s="38">
        <v>10</v>
      </c>
      <c r="N9" s="38">
        <f t="shared" si="2"/>
        <v>10</v>
      </c>
    </row>
    <row r="10" spans="1:14" ht="24" customHeight="1" x14ac:dyDescent="0.5">
      <c r="A10" s="3">
        <v>8</v>
      </c>
      <c r="B10" s="4" t="s">
        <v>47</v>
      </c>
      <c r="C10" s="4" t="s">
        <v>46</v>
      </c>
      <c r="D10" s="6"/>
      <c r="E10" s="5">
        <v>5960000</v>
      </c>
      <c r="F10" s="65">
        <f>SUMIF('Daily Sales'!$B$3:$B$63,'MTL OP Debtor'!B10,'Daily Sales'!$G$3:$G$63)</f>
        <v>10</v>
      </c>
      <c r="G10" s="64">
        <f>SUMIF('Daily Sales'!$B$3:$B$63,'MTL OP Debtor'!B10,'Daily Sales'!$H$3:$H$63)</f>
        <v>5960000</v>
      </c>
      <c r="H10" s="65">
        <v>5960000</v>
      </c>
      <c r="I10" s="64">
        <f t="shared" si="0"/>
        <v>5960000</v>
      </c>
      <c r="J10" s="16"/>
      <c r="K10" s="39">
        <v>5</v>
      </c>
      <c r="L10" s="38">
        <f t="shared" si="1"/>
        <v>10</v>
      </c>
      <c r="M10" s="38">
        <v>10</v>
      </c>
      <c r="N10" s="38">
        <f t="shared" si="2"/>
        <v>5</v>
      </c>
    </row>
    <row r="11" spans="1:14" ht="24" customHeight="1" x14ac:dyDescent="0.5">
      <c r="A11" s="7">
        <v>9</v>
      </c>
      <c r="B11" s="4" t="s">
        <v>48</v>
      </c>
      <c r="C11" s="4" t="s">
        <v>46</v>
      </c>
      <c r="D11" s="6"/>
      <c r="E11" s="5">
        <v>0</v>
      </c>
      <c r="F11" s="65">
        <f>SUMIF('Daily Sales'!$B$3:$B$63,'MTL OP Debtor'!B11,'Daily Sales'!$G$3:$G$63)</f>
        <v>0</v>
      </c>
      <c r="G11" s="64">
        <f>SUMIF('Daily Sales'!$B$3:$B$63,'MTL OP Debtor'!B11,'Daily Sales'!$H$3:$H$63)</f>
        <v>0</v>
      </c>
      <c r="H11" s="65"/>
      <c r="I11" s="64">
        <f t="shared" si="0"/>
        <v>0</v>
      </c>
      <c r="J11" s="16"/>
      <c r="K11" s="39">
        <v>6</v>
      </c>
      <c r="L11" s="38">
        <f t="shared" si="1"/>
        <v>0</v>
      </c>
      <c r="M11" s="38">
        <v>0</v>
      </c>
      <c r="N11" s="38">
        <f t="shared" si="2"/>
        <v>6</v>
      </c>
    </row>
    <row r="12" spans="1:14" ht="24" customHeight="1" x14ac:dyDescent="0.5">
      <c r="A12" s="3">
        <v>10</v>
      </c>
      <c r="B12" s="4" t="s">
        <v>50</v>
      </c>
      <c r="C12" s="4" t="s">
        <v>49</v>
      </c>
      <c r="D12" s="6"/>
      <c r="E12" s="5">
        <v>12140000</v>
      </c>
      <c r="F12" s="65">
        <f>SUMIF('Daily Sales'!$B$3:$B$63,'MTL OP Debtor'!B12,'Daily Sales'!$G$3:$G$63)</f>
        <v>20</v>
      </c>
      <c r="G12" s="64">
        <f>SUMIF('Daily Sales'!$B$3:$B$63,'MTL OP Debtor'!B12,'Daily Sales'!$H$3:$H$63)</f>
        <v>12140000</v>
      </c>
      <c r="H12" s="65">
        <v>18210000</v>
      </c>
      <c r="I12" s="64">
        <f t="shared" si="0"/>
        <v>6070000</v>
      </c>
      <c r="J12" s="16"/>
      <c r="K12" s="39">
        <v>0</v>
      </c>
      <c r="L12" s="38">
        <f t="shared" si="1"/>
        <v>20</v>
      </c>
      <c r="M12" s="38">
        <v>20</v>
      </c>
      <c r="N12" s="38">
        <f t="shared" si="2"/>
        <v>0</v>
      </c>
    </row>
    <row r="13" spans="1:14" ht="24" customHeight="1" x14ac:dyDescent="0.5">
      <c r="A13" s="7">
        <v>11</v>
      </c>
      <c r="B13" s="4" t="s">
        <v>51</v>
      </c>
      <c r="C13" s="4" t="s">
        <v>49</v>
      </c>
      <c r="D13" s="6"/>
      <c r="E13" s="5">
        <v>6020000</v>
      </c>
      <c r="F13" s="65">
        <f>SUMIF('Daily Sales'!$B$3:$B$63,'MTL OP Debtor'!B13,'Daily Sales'!$G$3:$G$63)</f>
        <v>30</v>
      </c>
      <c r="G13" s="64">
        <f>SUMIF('Daily Sales'!$B$3:$B$63,'MTL OP Debtor'!B13,'Daily Sales'!$H$3:$H$63)</f>
        <v>18210000</v>
      </c>
      <c r="H13" s="65">
        <v>18210000</v>
      </c>
      <c r="I13" s="64">
        <f t="shared" si="0"/>
        <v>6020000</v>
      </c>
      <c r="J13" s="16"/>
      <c r="K13" s="39">
        <v>25</v>
      </c>
      <c r="L13" s="38">
        <f t="shared" si="1"/>
        <v>30</v>
      </c>
      <c r="M13" s="38">
        <v>31</v>
      </c>
      <c r="N13" s="38">
        <f t="shared" si="2"/>
        <v>24</v>
      </c>
    </row>
    <row r="14" spans="1:14" ht="24" customHeight="1" x14ac:dyDescent="0.5">
      <c r="A14" s="3">
        <v>12</v>
      </c>
      <c r="B14" s="4" t="s">
        <v>53</v>
      </c>
      <c r="C14" s="4" t="s">
        <v>52</v>
      </c>
      <c r="D14" s="6"/>
      <c r="E14" s="5">
        <v>0</v>
      </c>
      <c r="F14" s="65">
        <f>SUMIF('Daily Sales'!$B$3:$B$63,'MTL OP Debtor'!B14,'Daily Sales'!$G$3:$G$63)</f>
        <v>24</v>
      </c>
      <c r="G14" s="64">
        <f>SUMIF('Daily Sales'!$B$3:$B$63,'MTL OP Debtor'!B14,'Daily Sales'!$H$3:$H$63)</f>
        <v>14040000</v>
      </c>
      <c r="H14" s="65">
        <v>14040000</v>
      </c>
      <c r="I14" s="64">
        <f t="shared" si="0"/>
        <v>0</v>
      </c>
      <c r="J14" s="16"/>
      <c r="K14" s="39">
        <v>20</v>
      </c>
      <c r="L14" s="38">
        <f t="shared" si="1"/>
        <v>24</v>
      </c>
      <c r="M14" s="38">
        <v>24</v>
      </c>
      <c r="N14" s="38">
        <f t="shared" si="2"/>
        <v>20</v>
      </c>
    </row>
    <row r="15" spans="1:14" ht="24" customHeight="1" x14ac:dyDescent="0.5">
      <c r="A15" s="7">
        <v>13</v>
      </c>
      <c r="B15" s="4" t="s">
        <v>54</v>
      </c>
      <c r="C15" s="4" t="s">
        <v>49</v>
      </c>
      <c r="D15" s="6"/>
      <c r="E15" s="5">
        <v>0</v>
      </c>
      <c r="F15" s="65">
        <f>SUMIF('Daily Sales'!$B$3:$B$63,'MTL OP Debtor'!B15,'Daily Sales'!$G$3:$G$63)</f>
        <v>10</v>
      </c>
      <c r="G15" s="64">
        <f>SUMIF('Daily Sales'!$B$3:$B$63,'MTL OP Debtor'!B15,'Daily Sales'!$H$3:$H$63)</f>
        <v>6070000</v>
      </c>
      <c r="H15" s="65">
        <v>6070000</v>
      </c>
      <c r="I15" s="64">
        <f t="shared" si="0"/>
        <v>0</v>
      </c>
      <c r="J15" s="16"/>
      <c r="K15" s="39">
        <v>0</v>
      </c>
      <c r="L15" s="38">
        <f t="shared" si="1"/>
        <v>10</v>
      </c>
      <c r="M15" s="38">
        <v>10</v>
      </c>
      <c r="N15" s="38">
        <f t="shared" si="2"/>
        <v>0</v>
      </c>
    </row>
    <row r="16" spans="1:14" ht="24" customHeight="1" x14ac:dyDescent="0.5">
      <c r="A16" s="3">
        <v>14</v>
      </c>
      <c r="B16" s="4" t="s">
        <v>55</v>
      </c>
      <c r="C16" s="4" t="s">
        <v>36</v>
      </c>
      <c r="D16" s="6"/>
      <c r="E16" s="5">
        <v>0</v>
      </c>
      <c r="F16" s="65">
        <f>SUMIF('Daily Sales'!$B$3:$B$63,'MTL OP Debtor'!B16,'Daily Sales'!$G$3:$G$63)</f>
        <v>11</v>
      </c>
      <c r="G16" s="64">
        <f>SUMIF('Daily Sales'!$B$3:$B$63,'MTL OP Debtor'!B16,'Daily Sales'!$H$3:$H$63)</f>
        <v>6435000</v>
      </c>
      <c r="H16" s="65">
        <v>5850000</v>
      </c>
      <c r="I16" s="64">
        <f t="shared" si="0"/>
        <v>585000</v>
      </c>
      <c r="J16" s="16"/>
      <c r="K16" s="39">
        <v>0</v>
      </c>
      <c r="L16" s="38">
        <f t="shared" si="1"/>
        <v>11</v>
      </c>
      <c r="M16" s="38">
        <v>11</v>
      </c>
      <c r="N16" s="38">
        <f t="shared" si="2"/>
        <v>0</v>
      </c>
    </row>
    <row r="17" spans="1:14" ht="24" customHeight="1" x14ac:dyDescent="0.5">
      <c r="A17" s="7">
        <v>15</v>
      </c>
      <c r="B17" s="4" t="s">
        <v>56</v>
      </c>
      <c r="C17" s="4" t="s">
        <v>49</v>
      </c>
      <c r="D17" s="6"/>
      <c r="E17" s="5">
        <v>0</v>
      </c>
      <c r="F17" s="65">
        <f>SUMIF('Daily Sales'!$B$3:$B$63,'MTL OP Debtor'!B17,'Daily Sales'!$G$3:$G$63)</f>
        <v>0</v>
      </c>
      <c r="G17" s="64">
        <f>SUMIF('Daily Sales'!$B$3:$B$63,'MTL OP Debtor'!B17,'Daily Sales'!$H$3:$H$63)</f>
        <v>0</v>
      </c>
      <c r="H17" s="65"/>
      <c r="I17" s="64">
        <f t="shared" si="0"/>
        <v>0</v>
      </c>
      <c r="J17" s="16"/>
      <c r="K17" s="39">
        <v>2</v>
      </c>
      <c r="L17" s="38">
        <f t="shared" si="1"/>
        <v>0</v>
      </c>
      <c r="M17" s="38">
        <v>0</v>
      </c>
      <c r="N17" s="38">
        <f t="shared" si="2"/>
        <v>2</v>
      </c>
    </row>
    <row r="18" spans="1:14" ht="24" customHeight="1" x14ac:dyDescent="0.5">
      <c r="A18" s="3">
        <v>16</v>
      </c>
      <c r="B18" s="4" t="s">
        <v>58</v>
      </c>
      <c r="C18" s="4" t="s">
        <v>57</v>
      </c>
      <c r="D18" s="6"/>
      <c r="E18" s="5">
        <v>0</v>
      </c>
      <c r="F18" s="65">
        <f>SUMIF('Daily Sales'!$B$3:$B$63,'MTL OP Debtor'!B18,'Daily Sales'!$G$3:$G$63)</f>
        <v>0</v>
      </c>
      <c r="G18" s="64">
        <f>SUMIF('Daily Sales'!$B$3:$B$63,'MTL OP Debtor'!B18,'Daily Sales'!$H$3:$H$63)</f>
        <v>0</v>
      </c>
      <c r="H18" s="65"/>
      <c r="I18" s="64">
        <f t="shared" si="0"/>
        <v>0</v>
      </c>
      <c r="J18" s="16"/>
      <c r="K18" s="39">
        <v>2</v>
      </c>
      <c r="L18" s="38">
        <f t="shared" si="1"/>
        <v>0</v>
      </c>
      <c r="M18" s="38"/>
      <c r="N18" s="38">
        <f t="shared" si="2"/>
        <v>2</v>
      </c>
    </row>
    <row r="19" spans="1:14" ht="24" customHeight="1" x14ac:dyDescent="0.5">
      <c r="A19" s="7">
        <v>17</v>
      </c>
      <c r="B19" s="4" t="s">
        <v>59</v>
      </c>
      <c r="C19" s="4" t="s">
        <v>36</v>
      </c>
      <c r="D19" s="6"/>
      <c r="E19" s="5">
        <v>0</v>
      </c>
      <c r="F19" s="65">
        <f>SUMIF('Daily Sales'!$B$3:$B$63,'MTL OP Debtor'!B19,'Daily Sales'!$G$3:$G$63)</f>
        <v>0</v>
      </c>
      <c r="G19" s="64">
        <f>SUMIF('Daily Sales'!$B$3:$B$63,'MTL OP Debtor'!B19,'Daily Sales'!$H$3:$H$63)</f>
        <v>0</v>
      </c>
      <c r="H19" s="65"/>
      <c r="I19" s="64">
        <f t="shared" si="0"/>
        <v>0</v>
      </c>
      <c r="J19" s="16"/>
      <c r="K19" s="39">
        <v>0</v>
      </c>
      <c r="L19" s="38">
        <f t="shared" si="1"/>
        <v>0</v>
      </c>
      <c r="M19" s="38">
        <v>0</v>
      </c>
      <c r="N19" s="38">
        <f t="shared" si="2"/>
        <v>0</v>
      </c>
    </row>
    <row r="20" spans="1:14" ht="24" customHeight="1" x14ac:dyDescent="0.5">
      <c r="A20" s="3">
        <v>18</v>
      </c>
      <c r="B20" s="4" t="s">
        <v>61</v>
      </c>
      <c r="C20" s="4" t="s">
        <v>60</v>
      </c>
      <c r="D20" s="6"/>
      <c r="E20" s="5">
        <v>0</v>
      </c>
      <c r="F20" s="65">
        <f>SUMIF('Daily Sales'!$B$3:$B$63,'MTL OP Debtor'!B20,'Daily Sales'!$G$3:$G$63)</f>
        <v>0</v>
      </c>
      <c r="G20" s="64">
        <f>SUMIF('Daily Sales'!$B$3:$B$63,'MTL OP Debtor'!B20,'Daily Sales'!$H$3:$H$63)</f>
        <v>0</v>
      </c>
      <c r="H20" s="65"/>
      <c r="I20" s="64">
        <f t="shared" si="0"/>
        <v>0</v>
      </c>
      <c r="J20" s="16"/>
      <c r="K20" s="39">
        <v>0</v>
      </c>
      <c r="L20" s="38">
        <f t="shared" si="1"/>
        <v>0</v>
      </c>
      <c r="M20" s="38">
        <v>0</v>
      </c>
      <c r="N20" s="38">
        <f t="shared" si="2"/>
        <v>0</v>
      </c>
    </row>
    <row r="21" spans="1:14" ht="24" customHeight="1" x14ac:dyDescent="0.5">
      <c r="A21" s="7">
        <v>19</v>
      </c>
      <c r="B21" s="4" t="s">
        <v>62</v>
      </c>
      <c r="C21" s="4" t="s">
        <v>63</v>
      </c>
      <c r="D21" s="6"/>
      <c r="E21" s="5">
        <v>0</v>
      </c>
      <c r="F21" s="65">
        <f>SUMIF('Daily Sales'!$B$3:$B$63,'MTL OP Debtor'!B21,'Daily Sales'!$G$3:$G$63)</f>
        <v>0</v>
      </c>
      <c r="G21" s="64">
        <f>SUMIF('Daily Sales'!$B$3:$B$63,'MTL OP Debtor'!B21,'Daily Sales'!$H$3:$H$63)</f>
        <v>0</v>
      </c>
      <c r="H21" s="65"/>
      <c r="I21" s="64">
        <f t="shared" si="0"/>
        <v>0</v>
      </c>
      <c r="J21" s="16"/>
      <c r="K21" s="39">
        <v>0</v>
      </c>
      <c r="L21" s="38">
        <f t="shared" si="1"/>
        <v>0</v>
      </c>
      <c r="M21" s="38">
        <v>0</v>
      </c>
      <c r="N21" s="38">
        <f>+K21+L21-M21</f>
        <v>0</v>
      </c>
    </row>
    <row r="22" spans="1:14" ht="24" customHeight="1" x14ac:dyDescent="0.5">
      <c r="A22" s="3">
        <v>20</v>
      </c>
      <c r="B22" s="4" t="s">
        <v>65</v>
      </c>
      <c r="C22" s="4" t="s">
        <v>64</v>
      </c>
      <c r="D22" s="6"/>
      <c r="E22" s="5">
        <v>0</v>
      </c>
      <c r="F22" s="65">
        <f>SUMIF('Daily Sales'!$B$3:$B$63,'MTL OP Debtor'!B22,'Daily Sales'!$G$3:$G$63)</f>
        <v>0</v>
      </c>
      <c r="G22" s="64">
        <f>SUMIF('Daily Sales'!$B$3:$B$63,'MTL OP Debtor'!B22,'Daily Sales'!$H$3:$H$63)</f>
        <v>0</v>
      </c>
      <c r="H22" s="65"/>
      <c r="I22" s="64">
        <f t="shared" si="0"/>
        <v>0</v>
      </c>
      <c r="J22" s="16"/>
      <c r="K22" s="39">
        <v>10</v>
      </c>
      <c r="L22" s="38">
        <f t="shared" si="1"/>
        <v>0</v>
      </c>
      <c r="M22" s="38">
        <v>0</v>
      </c>
      <c r="N22" s="38">
        <f t="shared" si="2"/>
        <v>10</v>
      </c>
    </row>
    <row r="23" spans="1:14" ht="24" customHeight="1" x14ac:dyDescent="0.5">
      <c r="A23" s="7">
        <v>21</v>
      </c>
      <c r="B23" s="4" t="s">
        <v>66</v>
      </c>
      <c r="C23" s="4" t="s">
        <v>64</v>
      </c>
      <c r="D23" s="6"/>
      <c r="E23" s="5">
        <v>0</v>
      </c>
      <c r="F23" s="65">
        <f>SUMIF('Daily Sales'!$B$3:$B$63,'MTL OP Debtor'!B23,'Daily Sales'!$G$3:$G$63)</f>
        <v>2</v>
      </c>
      <c r="G23" s="64">
        <f>SUMIF('Daily Sales'!$B$3:$B$63,'MTL OP Debtor'!B23,'Daily Sales'!$H$3:$H$63)</f>
        <v>1192000</v>
      </c>
      <c r="H23" s="65"/>
      <c r="I23" s="64">
        <f t="shared" si="0"/>
        <v>1192000</v>
      </c>
      <c r="J23" s="16"/>
      <c r="K23" s="39">
        <v>0</v>
      </c>
      <c r="L23" s="38">
        <f t="shared" si="1"/>
        <v>2</v>
      </c>
      <c r="M23" s="38">
        <v>2</v>
      </c>
      <c r="N23" s="38">
        <f t="shared" si="2"/>
        <v>0</v>
      </c>
    </row>
    <row r="24" spans="1:14" ht="24" customHeight="1" x14ac:dyDescent="0.5">
      <c r="A24" s="3">
        <v>22</v>
      </c>
      <c r="B24" s="4" t="s">
        <v>67</v>
      </c>
      <c r="C24" s="4" t="s">
        <v>64</v>
      </c>
      <c r="D24" s="6"/>
      <c r="E24" s="5">
        <v>0</v>
      </c>
      <c r="F24" s="65">
        <f>SUMIF('Daily Sales'!$B$3:$B$63,'MTL OP Debtor'!B24,'Daily Sales'!$G$3:$G$63)</f>
        <v>1</v>
      </c>
      <c r="G24" s="64">
        <f>SUMIF('Daily Sales'!$B$3:$B$63,'MTL OP Debtor'!B24,'Daily Sales'!$H$3:$H$63)</f>
        <v>596000</v>
      </c>
      <c r="H24" s="65">
        <v>596000</v>
      </c>
      <c r="I24" s="64">
        <f t="shared" si="0"/>
        <v>0</v>
      </c>
      <c r="J24" s="16"/>
      <c r="K24" s="39">
        <v>0</v>
      </c>
      <c r="L24" s="38">
        <f t="shared" si="1"/>
        <v>1</v>
      </c>
      <c r="M24" s="38">
        <v>1</v>
      </c>
      <c r="N24" s="38">
        <f t="shared" si="2"/>
        <v>0</v>
      </c>
    </row>
    <row r="25" spans="1:14" ht="24" customHeight="1" x14ac:dyDescent="0.5">
      <c r="A25" s="7">
        <v>23</v>
      </c>
      <c r="B25" s="4" t="s">
        <v>68</v>
      </c>
      <c r="C25" s="4" t="s">
        <v>36</v>
      </c>
      <c r="D25" s="6"/>
      <c r="E25" s="5">
        <v>0</v>
      </c>
      <c r="F25" s="65">
        <f>SUMIF('Daily Sales'!$B$3:$B$63,'MTL OP Debtor'!B25,'Daily Sales'!$G$3:$G$63)</f>
        <v>15</v>
      </c>
      <c r="G25" s="64">
        <f>SUMIF('Daily Sales'!$B$3:$B$63,'MTL OP Debtor'!B25,'Daily Sales'!$H$3:$H$63)</f>
        <v>8775000</v>
      </c>
      <c r="H25" s="65">
        <v>8775000</v>
      </c>
      <c r="I25" s="64">
        <f t="shared" si="0"/>
        <v>0</v>
      </c>
      <c r="J25" s="16"/>
      <c r="K25" s="39">
        <v>0</v>
      </c>
      <c r="L25" s="38">
        <f t="shared" si="1"/>
        <v>15</v>
      </c>
      <c r="M25" s="38">
        <v>15</v>
      </c>
      <c r="N25" s="38">
        <f t="shared" si="2"/>
        <v>0</v>
      </c>
    </row>
    <row r="26" spans="1:14" ht="24" customHeight="1" x14ac:dyDescent="0.5">
      <c r="A26" s="3">
        <v>24</v>
      </c>
      <c r="B26" s="4" t="s">
        <v>69</v>
      </c>
      <c r="C26" s="54" t="s">
        <v>43</v>
      </c>
      <c r="D26" s="6"/>
      <c r="E26" s="5">
        <v>0</v>
      </c>
      <c r="F26" s="65">
        <f>SUMIF('Daily Sales'!$B$3:$B$63,'MTL OP Debtor'!B26,'Daily Sales'!$G$3:$G$63)</f>
        <v>0</v>
      </c>
      <c r="G26" s="64">
        <f>SUMIF('Daily Sales'!$B$3:$B$63,'MTL OP Debtor'!B26,'Daily Sales'!$H$3:$H$63)</f>
        <v>0</v>
      </c>
      <c r="H26" s="65"/>
      <c r="I26" s="64">
        <f t="shared" si="0"/>
        <v>0</v>
      </c>
      <c r="J26" s="16"/>
      <c r="K26" s="39">
        <v>0</v>
      </c>
      <c r="L26" s="38">
        <f t="shared" si="1"/>
        <v>0</v>
      </c>
      <c r="M26" s="38">
        <v>0</v>
      </c>
      <c r="N26" s="38">
        <f t="shared" si="2"/>
        <v>0</v>
      </c>
    </row>
    <row r="27" spans="1:14" ht="24" customHeight="1" x14ac:dyDescent="0.5">
      <c r="A27" s="7">
        <v>25</v>
      </c>
      <c r="B27" s="4" t="s">
        <v>72</v>
      </c>
      <c r="C27" s="54" t="s">
        <v>46</v>
      </c>
      <c r="D27" s="6"/>
      <c r="E27" s="5">
        <v>0</v>
      </c>
      <c r="F27" s="65">
        <f>SUMIF('Daily Sales'!$B$3:$B$63,'MTL OP Debtor'!B27,'Daily Sales'!$G$3:$G$63)</f>
        <v>0</v>
      </c>
      <c r="G27" s="64">
        <f>SUMIF('Daily Sales'!$B$3:$B$63,'MTL OP Debtor'!B27,'Daily Sales'!$H$3:$H$63)</f>
        <v>0</v>
      </c>
      <c r="H27" s="65"/>
      <c r="I27" s="64">
        <f t="shared" si="0"/>
        <v>0</v>
      </c>
      <c r="J27" s="16"/>
      <c r="K27" s="39">
        <v>1</v>
      </c>
      <c r="L27" s="38">
        <f t="shared" si="1"/>
        <v>0</v>
      </c>
      <c r="M27" s="38"/>
      <c r="N27" s="38">
        <f t="shared" si="2"/>
        <v>1</v>
      </c>
    </row>
    <row r="28" spans="1:14" ht="24" customHeight="1" x14ac:dyDescent="0.5">
      <c r="A28" s="3">
        <v>26</v>
      </c>
      <c r="B28" s="4" t="s">
        <v>70</v>
      </c>
      <c r="C28" s="54" t="s">
        <v>36</v>
      </c>
      <c r="D28" s="6"/>
      <c r="E28" s="5">
        <v>0</v>
      </c>
      <c r="F28" s="65">
        <f>SUMIF('Daily Sales'!$B$3:$B$63,'MTL OP Debtor'!B28,'Daily Sales'!$G$3:$G$63)</f>
        <v>0</v>
      </c>
      <c r="G28" s="64">
        <f>SUMIF('Daily Sales'!$B$3:$B$63,'MTL OP Debtor'!B28,'Daily Sales'!$H$3:$H$63)</f>
        <v>0</v>
      </c>
      <c r="H28" s="65"/>
      <c r="I28" s="64">
        <f t="shared" si="0"/>
        <v>0</v>
      </c>
      <c r="J28" s="16"/>
      <c r="K28" s="39">
        <v>14</v>
      </c>
      <c r="L28" s="38">
        <f t="shared" si="1"/>
        <v>0</v>
      </c>
      <c r="M28" s="38">
        <v>0</v>
      </c>
      <c r="N28" s="38">
        <f t="shared" si="2"/>
        <v>14</v>
      </c>
    </row>
    <row r="29" spans="1:14" ht="24" customHeight="1" x14ac:dyDescent="0.5">
      <c r="A29" s="7">
        <v>27</v>
      </c>
      <c r="B29" s="56" t="s">
        <v>74</v>
      </c>
      <c r="C29" s="55" t="s">
        <v>46</v>
      </c>
      <c r="D29" s="6"/>
      <c r="E29" s="5">
        <v>0</v>
      </c>
      <c r="F29" s="65">
        <f>SUMIF('Daily Sales'!$B$3:$B$63,'MTL OP Debtor'!B29,'Daily Sales'!$G$3:$G$63)</f>
        <v>0</v>
      </c>
      <c r="G29" s="64">
        <f>SUMIF('Daily Sales'!$B$3:$B$63,'MTL OP Debtor'!B29,'Daily Sales'!$H$3:$H$63)</f>
        <v>0</v>
      </c>
      <c r="H29" s="65"/>
      <c r="I29" s="64">
        <f t="shared" si="0"/>
        <v>0</v>
      </c>
      <c r="J29" s="16"/>
      <c r="K29" s="39">
        <v>0</v>
      </c>
      <c r="L29" s="38">
        <f t="shared" si="1"/>
        <v>0</v>
      </c>
      <c r="M29" s="38">
        <v>0</v>
      </c>
      <c r="N29" s="38">
        <f t="shared" si="2"/>
        <v>0</v>
      </c>
    </row>
    <row r="30" spans="1:14" ht="24" customHeight="1" x14ac:dyDescent="0.5">
      <c r="A30" s="3">
        <v>28</v>
      </c>
      <c r="B30" s="56" t="s">
        <v>75</v>
      </c>
      <c r="C30" s="55" t="s">
        <v>57</v>
      </c>
      <c r="D30" s="6"/>
      <c r="E30" s="5">
        <v>0</v>
      </c>
      <c r="F30" s="65">
        <f>SUMIF('Daily Sales'!$B$3:$B$63,'MTL OP Debtor'!B30,'Daily Sales'!$G$3:$G$63)</f>
        <v>0</v>
      </c>
      <c r="G30" s="64">
        <f>SUMIF('Daily Sales'!$B$3:$B$63,'MTL OP Debtor'!B30,'Daily Sales'!$H$3:$H$63)</f>
        <v>0</v>
      </c>
      <c r="H30" s="65"/>
      <c r="I30" s="64">
        <f t="shared" si="0"/>
        <v>0</v>
      </c>
      <c r="J30" s="16"/>
      <c r="K30" s="39">
        <v>0</v>
      </c>
      <c r="L30" s="38">
        <f t="shared" si="1"/>
        <v>0</v>
      </c>
      <c r="M30" s="38">
        <v>0</v>
      </c>
      <c r="N30" s="38">
        <f t="shared" si="2"/>
        <v>0</v>
      </c>
    </row>
    <row r="31" spans="1:14" ht="24" customHeight="1" x14ac:dyDescent="0.5">
      <c r="A31" s="7">
        <v>29</v>
      </c>
      <c r="B31" s="56" t="s">
        <v>76</v>
      </c>
      <c r="C31" s="55" t="s">
        <v>49</v>
      </c>
      <c r="D31" s="6"/>
      <c r="E31" s="5">
        <v>12140000</v>
      </c>
      <c r="F31" s="65">
        <f>SUMIF('Daily Sales'!$B$3:$B$63,'MTL OP Debtor'!B31,'Daily Sales'!$G$3:$G$63)</f>
        <v>0</v>
      </c>
      <c r="G31" s="64">
        <f>SUMIF('Daily Sales'!$B$3:$B$63,'MTL OP Debtor'!B31,'Daily Sales'!$H$3:$H$63)</f>
        <v>0</v>
      </c>
      <c r="H31" s="65">
        <v>12140000</v>
      </c>
      <c r="I31" s="64">
        <f t="shared" si="0"/>
        <v>0</v>
      </c>
      <c r="J31" s="16"/>
      <c r="K31" s="39">
        <v>0</v>
      </c>
      <c r="L31" s="38">
        <f t="shared" si="1"/>
        <v>0</v>
      </c>
      <c r="M31" s="38">
        <v>0</v>
      </c>
      <c r="N31" s="38">
        <f t="shared" si="2"/>
        <v>0</v>
      </c>
    </row>
    <row r="32" spans="1:14" ht="24" customHeight="1" x14ac:dyDescent="0.5">
      <c r="A32" s="3">
        <v>30</v>
      </c>
      <c r="B32" s="56" t="s">
        <v>77</v>
      </c>
      <c r="C32" s="55" t="s">
        <v>78</v>
      </c>
      <c r="D32" s="6"/>
      <c r="E32" s="5">
        <v>0</v>
      </c>
      <c r="F32" s="65">
        <f>SUMIF('Daily Sales'!$B$3:$B$63,'MTL OP Debtor'!B32,'Daily Sales'!$G$3:$G$63)</f>
        <v>0</v>
      </c>
      <c r="G32" s="64">
        <f>SUMIF('Daily Sales'!$B$3:$B$63,'MTL OP Debtor'!B32,'Daily Sales'!$H$3:$H$63)</f>
        <v>0</v>
      </c>
      <c r="H32" s="65"/>
      <c r="I32" s="64">
        <f t="shared" si="0"/>
        <v>0</v>
      </c>
      <c r="J32" s="16"/>
      <c r="K32" s="39">
        <v>0</v>
      </c>
      <c r="L32" s="38">
        <f t="shared" si="1"/>
        <v>0</v>
      </c>
      <c r="M32" s="38">
        <v>0</v>
      </c>
      <c r="N32" s="38">
        <f t="shared" si="2"/>
        <v>0</v>
      </c>
    </row>
    <row r="33" spans="1:14" ht="24" customHeight="1" x14ac:dyDescent="0.5">
      <c r="A33" s="7">
        <v>31</v>
      </c>
      <c r="B33" s="4" t="s">
        <v>79</v>
      </c>
      <c r="C33" s="54" t="s">
        <v>64</v>
      </c>
      <c r="D33" s="6"/>
      <c r="E33" s="5">
        <v>0</v>
      </c>
      <c r="F33" s="65">
        <f>SUMIF('Daily Sales'!$B$3:$B$63,'MTL OP Debtor'!B33,'Daily Sales'!$G$3:$G$63)</f>
        <v>5</v>
      </c>
      <c r="G33" s="64">
        <f>SUMIF('Daily Sales'!$B$3:$B$63,'MTL OP Debtor'!B33,'Daily Sales'!$H$3:$H$63)</f>
        <v>2955000</v>
      </c>
      <c r="H33" s="65">
        <v>2955000</v>
      </c>
      <c r="I33" s="64">
        <f t="shared" si="0"/>
        <v>0</v>
      </c>
      <c r="J33" s="16"/>
      <c r="K33" s="39">
        <v>1</v>
      </c>
      <c r="L33" s="38">
        <f t="shared" si="1"/>
        <v>5</v>
      </c>
      <c r="M33" s="38">
        <v>6</v>
      </c>
      <c r="N33" s="38">
        <f t="shared" si="2"/>
        <v>0</v>
      </c>
    </row>
    <row r="34" spans="1:14" ht="24" customHeight="1" x14ac:dyDescent="0.5">
      <c r="A34" s="3">
        <v>32</v>
      </c>
      <c r="B34" s="4" t="s">
        <v>82</v>
      </c>
      <c r="C34" s="54" t="s">
        <v>64</v>
      </c>
      <c r="D34" s="6"/>
      <c r="E34" s="5">
        <v>0</v>
      </c>
      <c r="F34" s="65">
        <f>SUMIF('Daily Sales'!$B$3:$B$63,'MTL OP Debtor'!B34,'Daily Sales'!$G$3:$G$63)</f>
        <v>7</v>
      </c>
      <c r="G34" s="64">
        <f>SUMIF('Daily Sales'!$B$3:$B$63,'MTL OP Debtor'!B34,'Daily Sales'!$H$3:$H$63)</f>
        <v>4137000</v>
      </c>
      <c r="H34" s="65">
        <v>2364000</v>
      </c>
      <c r="I34" s="64">
        <f t="shared" si="0"/>
        <v>1773000</v>
      </c>
      <c r="J34" s="16"/>
      <c r="K34" s="39">
        <v>0</v>
      </c>
      <c r="L34" s="38">
        <f t="shared" si="1"/>
        <v>7</v>
      </c>
      <c r="M34" s="38">
        <v>7</v>
      </c>
      <c r="N34" s="38">
        <f t="shared" si="2"/>
        <v>0</v>
      </c>
    </row>
    <row r="35" spans="1:14" ht="24" customHeight="1" x14ac:dyDescent="0.5">
      <c r="A35" s="7">
        <v>33</v>
      </c>
      <c r="B35" s="4" t="s">
        <v>81</v>
      </c>
      <c r="C35" s="4" t="s">
        <v>36</v>
      </c>
      <c r="D35" s="6"/>
      <c r="E35" s="5">
        <v>0</v>
      </c>
      <c r="F35" s="65">
        <f>SUMIF('Daily Sales'!$B$3:$B$63,'MTL OP Debtor'!B35,'Daily Sales'!$G$3:$G$63)</f>
        <v>0</v>
      </c>
      <c r="G35" s="64">
        <f>SUMIF('Daily Sales'!$B$3:$B$63,'MTL OP Debtor'!B35,'Daily Sales'!$H$3:$H$63)</f>
        <v>0</v>
      </c>
      <c r="H35" s="65"/>
      <c r="I35" s="64">
        <f t="shared" si="0"/>
        <v>0</v>
      </c>
      <c r="J35" s="16"/>
      <c r="K35" s="39">
        <v>0</v>
      </c>
      <c r="L35" s="38">
        <f t="shared" si="1"/>
        <v>0</v>
      </c>
      <c r="M35" s="38">
        <v>0</v>
      </c>
      <c r="N35" s="38">
        <f t="shared" si="2"/>
        <v>0</v>
      </c>
    </row>
    <row r="36" spans="1:14" ht="24" customHeight="1" x14ac:dyDescent="0.5">
      <c r="A36" s="7">
        <v>34</v>
      </c>
      <c r="B36" s="4" t="s">
        <v>86</v>
      </c>
      <c r="C36" s="4" t="s">
        <v>78</v>
      </c>
      <c r="D36" s="6"/>
      <c r="E36" s="5">
        <v>0</v>
      </c>
      <c r="F36" s="65">
        <f>SUMIF('Daily Sales'!$B$3:$B$63,'MTL OP Debtor'!B36,'Daily Sales'!$G$3:$G$63)</f>
        <v>0</v>
      </c>
      <c r="G36" s="64">
        <f>SUMIF('Daily Sales'!$B$3:$B$63,'MTL OP Debtor'!B36,'Daily Sales'!$H$3:$H$63)</f>
        <v>0</v>
      </c>
      <c r="H36" s="65"/>
      <c r="I36" s="64">
        <f t="shared" si="0"/>
        <v>0</v>
      </c>
      <c r="J36" s="16"/>
      <c r="K36" s="39">
        <v>6</v>
      </c>
      <c r="L36" s="38">
        <f t="shared" si="1"/>
        <v>0</v>
      </c>
      <c r="M36" s="38"/>
      <c r="N36" s="38">
        <f t="shared" si="2"/>
        <v>6</v>
      </c>
    </row>
    <row r="37" spans="1:14" ht="24" customHeight="1" x14ac:dyDescent="0.5">
      <c r="A37" s="7">
        <v>35</v>
      </c>
      <c r="B37" s="4">
        <v>90</v>
      </c>
      <c r="C37" s="4" t="s">
        <v>49</v>
      </c>
      <c r="D37" s="6"/>
      <c r="E37" s="5">
        <v>2600000</v>
      </c>
      <c r="F37" s="65">
        <f>SUMIF('Daily Sales'!$B$3:$B$63,'MTL OP Debtor'!B37,'Daily Sales'!$G$3:$G$63)</f>
        <v>10</v>
      </c>
      <c r="G37" s="64">
        <f>SUMIF('Daily Sales'!$B$3:$B$63,'MTL OP Debtor'!B37,'Daily Sales'!$H$3:$H$63)</f>
        <v>6100000</v>
      </c>
      <c r="H37" s="65">
        <v>8700000</v>
      </c>
      <c r="I37" s="64">
        <f t="shared" si="0"/>
        <v>0</v>
      </c>
      <c r="J37" s="16"/>
      <c r="K37" s="39">
        <v>15</v>
      </c>
      <c r="L37" s="38">
        <f t="shared" si="1"/>
        <v>10</v>
      </c>
      <c r="M37" s="38">
        <v>4</v>
      </c>
      <c r="N37" s="38">
        <f t="shared" si="2"/>
        <v>21</v>
      </c>
    </row>
    <row r="38" spans="1:14" ht="24" customHeight="1" x14ac:dyDescent="0.5">
      <c r="A38" s="3">
        <v>36</v>
      </c>
      <c r="B38" s="4" t="s">
        <v>90</v>
      </c>
      <c r="C38" s="55" t="s">
        <v>78</v>
      </c>
      <c r="D38" s="6"/>
      <c r="E38" s="5">
        <v>0</v>
      </c>
      <c r="F38" s="65">
        <f>SUMIF('Daily Sales'!$B$3:$B$63,'MTL OP Debtor'!B38,'Daily Sales'!$G$3:$G$63)</f>
        <v>0</v>
      </c>
      <c r="G38" s="64">
        <f>SUMIF('Daily Sales'!$B$3:$B$63,'MTL OP Debtor'!B38,'Daily Sales'!$H$3:$H$63)</f>
        <v>0</v>
      </c>
      <c r="H38" s="65"/>
      <c r="I38" s="64">
        <f t="shared" si="0"/>
        <v>0</v>
      </c>
      <c r="J38" s="16"/>
      <c r="K38" s="39">
        <v>5</v>
      </c>
      <c r="L38" s="38">
        <f t="shared" si="1"/>
        <v>0</v>
      </c>
      <c r="M38" s="38"/>
      <c r="N38" s="38">
        <f t="shared" si="2"/>
        <v>5</v>
      </c>
    </row>
    <row r="39" spans="1:14" ht="24" customHeight="1" x14ac:dyDescent="0.5">
      <c r="A39" s="13"/>
      <c r="B39" s="13"/>
      <c r="C39" s="13"/>
      <c r="D39" s="14"/>
      <c r="E39" s="14">
        <f>SUM(E3:E38)</f>
        <v>148808931</v>
      </c>
      <c r="F39" s="14">
        <f t="shared" ref="F39:I39" si="3">SUM(F3:F38)</f>
        <v>349</v>
      </c>
      <c r="G39" s="14">
        <f>SUM(G3:G38)</f>
        <v>204260000</v>
      </c>
      <c r="H39" s="14">
        <f>SUM(H3:H38)</f>
        <v>212980205</v>
      </c>
      <c r="I39" s="14">
        <f t="shared" si="3"/>
        <v>140088726</v>
      </c>
      <c r="J39" s="17"/>
      <c r="K39" s="40">
        <f>SUM(K3:K38)</f>
        <v>283</v>
      </c>
      <c r="L39" s="40">
        <f t="shared" ref="L39:N39" si="4">SUM(L3:L38)</f>
        <v>349</v>
      </c>
      <c r="M39" s="40">
        <f t="shared" si="4"/>
        <v>345</v>
      </c>
      <c r="N39" s="40">
        <f t="shared" si="4"/>
        <v>287</v>
      </c>
    </row>
    <row r="42" spans="1:14" ht="24" customHeight="1" x14ac:dyDescent="0.5">
      <c r="A42" s="119" t="s">
        <v>97</v>
      </c>
      <c r="B42" s="119"/>
      <c r="C42" s="119"/>
      <c r="D42" s="119"/>
      <c r="E42" s="119"/>
      <c r="F42" s="119"/>
      <c r="G42" s="119"/>
      <c r="H42" s="119"/>
      <c r="I42" s="119"/>
    </row>
    <row r="43" spans="1:14" ht="46.5" customHeight="1" x14ac:dyDescent="0.5">
      <c r="A43" s="10" t="s">
        <v>0</v>
      </c>
      <c r="B43" s="10" t="s">
        <v>1</v>
      </c>
      <c r="C43" s="10" t="s">
        <v>2</v>
      </c>
      <c r="D43" s="10" t="s">
        <v>5</v>
      </c>
      <c r="E43" s="10" t="s">
        <v>12</v>
      </c>
      <c r="F43" s="11" t="s">
        <v>14</v>
      </c>
      <c r="G43" s="11" t="s">
        <v>15</v>
      </c>
      <c r="H43" s="10" t="s">
        <v>16</v>
      </c>
      <c r="I43" s="10" t="s">
        <v>13</v>
      </c>
      <c r="J43" s="12"/>
      <c r="K43" s="41" t="s">
        <v>31</v>
      </c>
      <c r="L43" s="41" t="s">
        <v>32</v>
      </c>
      <c r="M43" s="41" t="s">
        <v>33</v>
      </c>
      <c r="N43" s="41" t="s">
        <v>34</v>
      </c>
    </row>
    <row r="44" spans="1:14" ht="24" customHeight="1" x14ac:dyDescent="0.5">
      <c r="A44" s="82">
        <v>1</v>
      </c>
      <c r="B44" s="83" t="s">
        <v>35</v>
      </c>
      <c r="C44" s="83" t="s">
        <v>36</v>
      </c>
      <c r="D44" s="84"/>
      <c r="E44" s="85">
        <v>109713726</v>
      </c>
      <c r="F44" s="86">
        <f>SUMIF('Daily Sales'!$B$69:$B$101,'MTL OP Debtor'!B44,'Daily Sales'!$G$69:$G$101)</f>
        <v>114</v>
      </c>
      <c r="G44" s="87">
        <f>SUMIF('Daily Sales'!$B$69:$B$101,'MTL OP Debtor'!B44,'Daily Sales'!$H$69:$H$101)</f>
        <v>65310000</v>
      </c>
      <c r="H44" s="87">
        <v>105959671</v>
      </c>
      <c r="I44" s="87">
        <f>E44+G44-H44</f>
        <v>69064055</v>
      </c>
      <c r="J44" s="88"/>
      <c r="K44" s="89">
        <v>143</v>
      </c>
      <c r="L44" s="89">
        <f>F44</f>
        <v>114</v>
      </c>
      <c r="M44" s="89">
        <v>114</v>
      </c>
      <c r="N44" s="89">
        <f>+K44+L44-M44</f>
        <v>143</v>
      </c>
    </row>
    <row r="45" spans="1:14" ht="24" customHeight="1" x14ac:dyDescent="0.5">
      <c r="A45" s="90">
        <v>2</v>
      </c>
      <c r="B45" s="83" t="s">
        <v>37</v>
      </c>
      <c r="C45" s="83" t="s">
        <v>36</v>
      </c>
      <c r="D45" s="91"/>
      <c r="E45" s="92">
        <v>0</v>
      </c>
      <c r="F45" s="86">
        <f>SUMIF('Daily Sales'!$B$69:$B$101,'MTL OP Debtor'!B45,'Daily Sales'!$G$69:$G$101)</f>
        <v>0</v>
      </c>
      <c r="G45" s="87">
        <f>SUMIF('Daily Sales'!$B$69:$B$101,'MTL OP Debtor'!B45,'Daily Sales'!$H$69:$H$101)</f>
        <v>0</v>
      </c>
      <c r="H45" s="86"/>
      <c r="I45" s="87">
        <f t="shared" ref="I45:I79" si="5">E45+G45-H45</f>
        <v>0</v>
      </c>
      <c r="J45" s="93"/>
      <c r="K45" s="94">
        <v>18</v>
      </c>
      <c r="L45" s="89">
        <f t="shared" ref="L45:L79" si="6">F45</f>
        <v>0</v>
      </c>
      <c r="M45" s="89"/>
      <c r="N45" s="89">
        <f t="shared" ref="N45:N61" si="7">+K45+L45-M45</f>
        <v>18</v>
      </c>
    </row>
    <row r="46" spans="1:14" ht="24" customHeight="1" x14ac:dyDescent="0.5">
      <c r="A46" s="82">
        <v>3</v>
      </c>
      <c r="B46" s="83" t="s">
        <v>38</v>
      </c>
      <c r="C46" s="83" t="s">
        <v>39</v>
      </c>
      <c r="D46" s="91"/>
      <c r="E46" s="92">
        <v>8190000</v>
      </c>
      <c r="F46" s="86">
        <f>SUMIF('Daily Sales'!$B$69:$B$101,'MTL OP Debtor'!B46,'Daily Sales'!$G$69:$G$101)</f>
        <v>8</v>
      </c>
      <c r="G46" s="87">
        <f>SUMIF('Daily Sales'!$B$69:$B$101,'MTL OP Debtor'!B46,'Daily Sales'!$H$69:$H$101)</f>
        <v>4680000</v>
      </c>
      <c r="H46" s="86">
        <v>4680000</v>
      </c>
      <c r="I46" s="87">
        <f t="shared" si="5"/>
        <v>8190000</v>
      </c>
      <c r="J46" s="93"/>
      <c r="K46" s="94">
        <v>0</v>
      </c>
      <c r="L46" s="89">
        <f t="shared" si="6"/>
        <v>8</v>
      </c>
      <c r="M46" s="89">
        <v>8</v>
      </c>
      <c r="N46" s="89">
        <f t="shared" si="7"/>
        <v>0</v>
      </c>
    </row>
    <row r="47" spans="1:14" ht="24" customHeight="1" x14ac:dyDescent="0.5">
      <c r="A47" s="90">
        <v>4</v>
      </c>
      <c r="B47" s="83" t="s">
        <v>41</v>
      </c>
      <c r="C47" s="83" t="s">
        <v>40</v>
      </c>
      <c r="D47" s="91"/>
      <c r="E47" s="92">
        <v>0</v>
      </c>
      <c r="F47" s="86">
        <f>SUMIF('Daily Sales'!$B$69:$B$101,'MTL OP Debtor'!B47,'Daily Sales'!$G$69:$G$101)</f>
        <v>0</v>
      </c>
      <c r="G47" s="87">
        <f>SUMIF('Daily Sales'!$B$69:$B$101,'MTL OP Debtor'!B47,'Daily Sales'!$H$69:$H$101)</f>
        <v>0</v>
      </c>
      <c r="H47" s="86"/>
      <c r="I47" s="87">
        <f t="shared" si="5"/>
        <v>0</v>
      </c>
      <c r="J47" s="93"/>
      <c r="K47" s="94">
        <v>0</v>
      </c>
      <c r="L47" s="89">
        <f t="shared" si="6"/>
        <v>0</v>
      </c>
      <c r="M47" s="89"/>
      <c r="N47" s="89">
        <f t="shared" si="7"/>
        <v>0</v>
      </c>
    </row>
    <row r="48" spans="1:14" ht="24" customHeight="1" x14ac:dyDescent="0.5">
      <c r="A48" s="82">
        <v>5</v>
      </c>
      <c r="B48" s="83" t="s">
        <v>42</v>
      </c>
      <c r="C48" s="83" t="s">
        <v>43</v>
      </c>
      <c r="D48" s="91"/>
      <c r="E48" s="92">
        <v>585000</v>
      </c>
      <c r="F48" s="86">
        <f>SUMIF('Daily Sales'!$B$69:$B$101,'MTL OP Debtor'!B48,'Daily Sales'!$G$69:$G$101)</f>
        <v>3</v>
      </c>
      <c r="G48" s="87">
        <f>SUMIF('Daily Sales'!$B$69:$B$101,'MTL OP Debtor'!B48,'Daily Sales'!$H$69:$H$101)</f>
        <v>1755000</v>
      </c>
      <c r="H48" s="86">
        <v>585000</v>
      </c>
      <c r="I48" s="87">
        <f t="shared" si="5"/>
        <v>1755000</v>
      </c>
      <c r="J48" s="93"/>
      <c r="K48" s="94">
        <v>0</v>
      </c>
      <c r="L48" s="89">
        <f t="shared" si="6"/>
        <v>3</v>
      </c>
      <c r="M48" s="89">
        <v>3</v>
      </c>
      <c r="N48" s="89">
        <f t="shared" si="7"/>
        <v>0</v>
      </c>
    </row>
    <row r="49" spans="1:14" ht="24" customHeight="1" x14ac:dyDescent="0.5">
      <c r="A49" s="90">
        <v>6</v>
      </c>
      <c r="B49" s="83" t="s">
        <v>44</v>
      </c>
      <c r="C49" s="83" t="s">
        <v>43</v>
      </c>
      <c r="D49" s="91"/>
      <c r="E49" s="92">
        <v>0</v>
      </c>
      <c r="F49" s="86">
        <f>SUMIF('Daily Sales'!$B$69:$B$101,'MTL OP Debtor'!B49,'Daily Sales'!$G$69:$G$101)</f>
        <v>0</v>
      </c>
      <c r="G49" s="87">
        <f>SUMIF('Daily Sales'!$B$69:$B$101,'MTL OP Debtor'!B49,'Daily Sales'!$H$69:$H$101)</f>
        <v>0</v>
      </c>
      <c r="H49" s="86"/>
      <c r="I49" s="87">
        <f t="shared" si="5"/>
        <v>0</v>
      </c>
      <c r="J49" s="93"/>
      <c r="K49" s="94">
        <v>0</v>
      </c>
      <c r="L49" s="89">
        <f t="shared" si="6"/>
        <v>0</v>
      </c>
      <c r="M49" s="89"/>
      <c r="N49" s="89">
        <f t="shared" si="7"/>
        <v>0</v>
      </c>
    </row>
    <row r="50" spans="1:14" ht="24" customHeight="1" x14ac:dyDescent="0.5">
      <c r="A50" s="82">
        <v>7</v>
      </c>
      <c r="B50" s="83" t="s">
        <v>45</v>
      </c>
      <c r="C50" s="83" t="s">
        <v>46</v>
      </c>
      <c r="D50" s="91"/>
      <c r="E50" s="92">
        <v>0</v>
      </c>
      <c r="F50" s="86">
        <f>SUMIF('Daily Sales'!$B$69:$B$101,'MTL OP Debtor'!B50,'Daily Sales'!$G$69:$G$101)</f>
        <v>5</v>
      </c>
      <c r="G50" s="87">
        <f>SUMIF('Daily Sales'!$B$69:$B$101,'MTL OP Debtor'!B50,'Daily Sales'!$H$69:$H$101)</f>
        <v>2955000</v>
      </c>
      <c r="H50" s="86">
        <v>2955000</v>
      </c>
      <c r="I50" s="87">
        <f t="shared" si="5"/>
        <v>0</v>
      </c>
      <c r="J50" s="93"/>
      <c r="K50" s="94">
        <v>10</v>
      </c>
      <c r="L50" s="89">
        <f t="shared" si="6"/>
        <v>5</v>
      </c>
      <c r="M50" s="89">
        <v>5</v>
      </c>
      <c r="N50" s="89">
        <f t="shared" si="7"/>
        <v>10</v>
      </c>
    </row>
    <row r="51" spans="1:14" ht="24" customHeight="1" x14ac:dyDescent="0.5">
      <c r="A51" s="90">
        <v>8</v>
      </c>
      <c r="B51" s="83" t="s">
        <v>47</v>
      </c>
      <c r="C51" s="83" t="s">
        <v>46</v>
      </c>
      <c r="D51" s="91"/>
      <c r="E51" s="92">
        <v>5960000</v>
      </c>
      <c r="F51" s="86">
        <f>SUMIF('Daily Sales'!$B$69:$B$101,'MTL OP Debtor'!B51,'Daily Sales'!$G$69:$G$101)</f>
        <v>0</v>
      </c>
      <c r="G51" s="87">
        <f>SUMIF('Daily Sales'!$B$69:$B$101,'MTL OP Debtor'!B51,'Daily Sales'!$H$69:$H$101)</f>
        <v>0</v>
      </c>
      <c r="H51" s="86"/>
      <c r="I51" s="87">
        <f t="shared" si="5"/>
        <v>5960000</v>
      </c>
      <c r="J51" s="93"/>
      <c r="K51" s="94">
        <v>5</v>
      </c>
      <c r="L51" s="89">
        <f t="shared" si="6"/>
        <v>0</v>
      </c>
      <c r="M51" s="89"/>
      <c r="N51" s="89">
        <f t="shared" si="7"/>
        <v>5</v>
      </c>
    </row>
    <row r="52" spans="1:14" ht="24" customHeight="1" x14ac:dyDescent="0.5">
      <c r="A52" s="82">
        <v>9</v>
      </c>
      <c r="B52" s="83" t="s">
        <v>48</v>
      </c>
      <c r="C52" s="83" t="s">
        <v>46</v>
      </c>
      <c r="D52" s="91"/>
      <c r="E52" s="92">
        <v>0</v>
      </c>
      <c r="F52" s="86">
        <f>SUMIF('Daily Sales'!$B$69:$B$101,'MTL OP Debtor'!B52,'Daily Sales'!$G$69:$G$101)</f>
        <v>0</v>
      </c>
      <c r="G52" s="87">
        <f>SUMIF('Daily Sales'!$B$69:$B$101,'MTL OP Debtor'!B52,'Daily Sales'!$H$69:$H$101)</f>
        <v>0</v>
      </c>
      <c r="H52" s="86"/>
      <c r="I52" s="87">
        <f t="shared" si="5"/>
        <v>0</v>
      </c>
      <c r="J52" s="93"/>
      <c r="K52" s="94">
        <v>6</v>
      </c>
      <c r="L52" s="89">
        <f t="shared" si="6"/>
        <v>0</v>
      </c>
      <c r="M52" s="89"/>
      <c r="N52" s="89">
        <f t="shared" si="7"/>
        <v>6</v>
      </c>
    </row>
    <row r="53" spans="1:14" ht="24" customHeight="1" x14ac:dyDescent="0.5">
      <c r="A53" s="90">
        <v>10</v>
      </c>
      <c r="B53" s="83" t="s">
        <v>50</v>
      </c>
      <c r="C53" s="83" t="s">
        <v>49</v>
      </c>
      <c r="D53" s="91"/>
      <c r="E53" s="92">
        <v>6070000</v>
      </c>
      <c r="F53" s="86">
        <f>SUMIF('Daily Sales'!$B$69:$B$101,'MTL OP Debtor'!B53,'Daily Sales'!$G$69:$G$101)</f>
        <v>10</v>
      </c>
      <c r="G53" s="87">
        <f>SUMIF('Daily Sales'!$B$69:$B$101,'MTL OP Debtor'!B53,'Daily Sales'!$H$69:$H$101)</f>
        <v>6070000</v>
      </c>
      <c r="H53" s="86">
        <v>12140000</v>
      </c>
      <c r="I53" s="87">
        <f t="shared" si="5"/>
        <v>0</v>
      </c>
      <c r="J53" s="93"/>
      <c r="K53" s="94">
        <v>0</v>
      </c>
      <c r="L53" s="89">
        <f t="shared" si="6"/>
        <v>10</v>
      </c>
      <c r="M53" s="89">
        <v>9</v>
      </c>
      <c r="N53" s="89">
        <f t="shared" si="7"/>
        <v>1</v>
      </c>
    </row>
    <row r="54" spans="1:14" ht="24" customHeight="1" x14ac:dyDescent="0.5">
      <c r="A54" s="82">
        <v>11</v>
      </c>
      <c r="B54" s="83" t="s">
        <v>51</v>
      </c>
      <c r="C54" s="83" t="s">
        <v>49</v>
      </c>
      <c r="D54" s="91"/>
      <c r="E54" s="92">
        <v>6020000</v>
      </c>
      <c r="F54" s="86">
        <f>SUMIF('Daily Sales'!$B$69:$B$101,'MTL OP Debtor'!B54,'Daily Sales'!$G$69:$G$101)</f>
        <v>10</v>
      </c>
      <c r="G54" s="87">
        <f>SUMIF('Daily Sales'!$B$69:$B$101,'MTL OP Debtor'!B54,'Daily Sales'!$H$69:$H$101)</f>
        <v>6070000</v>
      </c>
      <c r="H54" s="86">
        <v>6070000</v>
      </c>
      <c r="I54" s="87">
        <f t="shared" si="5"/>
        <v>6020000</v>
      </c>
      <c r="J54" s="93"/>
      <c r="K54" s="94">
        <v>24</v>
      </c>
      <c r="L54" s="89">
        <f t="shared" si="6"/>
        <v>10</v>
      </c>
      <c r="M54" s="89">
        <v>6</v>
      </c>
      <c r="N54" s="89">
        <f t="shared" si="7"/>
        <v>28</v>
      </c>
    </row>
    <row r="55" spans="1:14" ht="24" customHeight="1" x14ac:dyDescent="0.5">
      <c r="A55" s="90">
        <v>12</v>
      </c>
      <c r="B55" s="83" t="s">
        <v>53</v>
      </c>
      <c r="C55" s="83" t="s">
        <v>52</v>
      </c>
      <c r="D55" s="91"/>
      <c r="E55" s="92">
        <v>0</v>
      </c>
      <c r="F55" s="86">
        <f>SUMIF('Daily Sales'!$B$69:$B$101,'MTL OP Debtor'!B55,'Daily Sales'!$G$69:$G$101)</f>
        <v>9</v>
      </c>
      <c r="G55" s="87">
        <f>SUMIF('Daily Sales'!$B$69:$B$101,'MTL OP Debtor'!B55,'Daily Sales'!$H$69:$H$101)</f>
        <v>5265000</v>
      </c>
      <c r="H55" s="86">
        <v>5265000</v>
      </c>
      <c r="I55" s="87">
        <f t="shared" si="5"/>
        <v>0</v>
      </c>
      <c r="J55" s="93"/>
      <c r="K55" s="94">
        <v>20</v>
      </c>
      <c r="L55" s="89">
        <f t="shared" si="6"/>
        <v>9</v>
      </c>
      <c r="M55" s="89">
        <v>9</v>
      </c>
      <c r="N55" s="89">
        <f t="shared" si="7"/>
        <v>20</v>
      </c>
    </row>
    <row r="56" spans="1:14" ht="24" customHeight="1" x14ac:dyDescent="0.5">
      <c r="A56" s="82">
        <v>13</v>
      </c>
      <c r="B56" s="83" t="s">
        <v>54</v>
      </c>
      <c r="C56" s="83" t="s">
        <v>49</v>
      </c>
      <c r="D56" s="91"/>
      <c r="E56" s="92">
        <v>0</v>
      </c>
      <c r="F56" s="86">
        <f>SUMIF('Daily Sales'!$B$69:$B$101,'MTL OP Debtor'!B56,'Daily Sales'!$G$69:$G$101)</f>
        <v>10</v>
      </c>
      <c r="G56" s="87">
        <f>SUMIF('Daily Sales'!$B$69:$B$101,'MTL OP Debtor'!B56,'Daily Sales'!$H$69:$H$101)</f>
        <v>6070000</v>
      </c>
      <c r="H56" s="86">
        <v>6070000</v>
      </c>
      <c r="I56" s="87">
        <f t="shared" si="5"/>
        <v>0</v>
      </c>
      <c r="J56" s="93"/>
      <c r="K56" s="94">
        <v>0</v>
      </c>
      <c r="L56" s="89">
        <f t="shared" si="6"/>
        <v>10</v>
      </c>
      <c r="M56" s="89">
        <v>10</v>
      </c>
      <c r="N56" s="89">
        <f t="shared" si="7"/>
        <v>0</v>
      </c>
    </row>
    <row r="57" spans="1:14" ht="24" customHeight="1" x14ac:dyDescent="0.5">
      <c r="A57" s="90">
        <v>14</v>
      </c>
      <c r="B57" s="83" t="s">
        <v>55</v>
      </c>
      <c r="C57" s="83" t="s">
        <v>36</v>
      </c>
      <c r="D57" s="91"/>
      <c r="E57" s="92">
        <v>585000</v>
      </c>
      <c r="F57" s="86">
        <f>SUMIF('Daily Sales'!$B$69:$B$101,'MTL OP Debtor'!B57,'Daily Sales'!$G$69:$G$101)</f>
        <v>1</v>
      </c>
      <c r="G57" s="87">
        <f>SUMIF('Daily Sales'!$B$69:$B$101,'MTL OP Debtor'!B57,'Daily Sales'!$H$69:$H$101)</f>
        <v>585000</v>
      </c>
      <c r="H57" s="86">
        <v>1170000</v>
      </c>
      <c r="I57" s="87">
        <f t="shared" si="5"/>
        <v>0</v>
      </c>
      <c r="J57" s="93"/>
      <c r="K57" s="94">
        <v>0</v>
      </c>
      <c r="L57" s="89">
        <f t="shared" si="6"/>
        <v>1</v>
      </c>
      <c r="M57" s="89">
        <v>1</v>
      </c>
      <c r="N57" s="89">
        <f t="shared" si="7"/>
        <v>0</v>
      </c>
    </row>
    <row r="58" spans="1:14" ht="24" customHeight="1" x14ac:dyDescent="0.5">
      <c r="A58" s="82">
        <v>15</v>
      </c>
      <c r="B58" s="83" t="s">
        <v>56</v>
      </c>
      <c r="C58" s="83" t="s">
        <v>49</v>
      </c>
      <c r="D58" s="91"/>
      <c r="E58" s="92">
        <v>0</v>
      </c>
      <c r="F58" s="86">
        <f>SUMIF('Daily Sales'!$B$69:$B$101,'MTL OP Debtor'!B58,'Daily Sales'!$G$69:$G$101)</f>
        <v>0</v>
      </c>
      <c r="G58" s="87">
        <f>SUMIF('Daily Sales'!$B$69:$B$101,'MTL OP Debtor'!B58,'Daily Sales'!$H$69:$H$101)</f>
        <v>0</v>
      </c>
      <c r="H58" s="86"/>
      <c r="I58" s="87">
        <f t="shared" si="5"/>
        <v>0</v>
      </c>
      <c r="J58" s="93"/>
      <c r="K58" s="94">
        <v>2</v>
      </c>
      <c r="L58" s="89">
        <f t="shared" si="6"/>
        <v>0</v>
      </c>
      <c r="M58" s="89"/>
      <c r="N58" s="89">
        <f t="shared" si="7"/>
        <v>2</v>
      </c>
    </row>
    <row r="59" spans="1:14" ht="24" customHeight="1" x14ac:dyDescent="0.5">
      <c r="A59" s="90">
        <v>16</v>
      </c>
      <c r="B59" s="83" t="s">
        <v>58</v>
      </c>
      <c r="C59" s="83" t="s">
        <v>57</v>
      </c>
      <c r="D59" s="91"/>
      <c r="E59" s="92">
        <v>0</v>
      </c>
      <c r="F59" s="86">
        <f>SUMIF('Daily Sales'!$B$69:$B$101,'MTL OP Debtor'!B59,'Daily Sales'!$G$69:$G$101)</f>
        <v>3</v>
      </c>
      <c r="G59" s="87">
        <f>SUMIF('Daily Sales'!$B$69:$B$101,'MTL OP Debtor'!B59,'Daily Sales'!$H$69:$H$101)</f>
        <v>1755000</v>
      </c>
      <c r="H59" s="86"/>
      <c r="I59" s="87">
        <f t="shared" si="5"/>
        <v>1755000</v>
      </c>
      <c r="J59" s="93"/>
      <c r="K59" s="94">
        <v>2</v>
      </c>
      <c r="L59" s="89">
        <f t="shared" si="6"/>
        <v>3</v>
      </c>
      <c r="M59" s="89">
        <v>3</v>
      </c>
      <c r="N59" s="89">
        <f t="shared" si="7"/>
        <v>2</v>
      </c>
    </row>
    <row r="60" spans="1:14" ht="24" customHeight="1" x14ac:dyDescent="0.5">
      <c r="A60" s="82">
        <v>17</v>
      </c>
      <c r="B60" s="83" t="s">
        <v>59</v>
      </c>
      <c r="C60" s="83" t="s">
        <v>36</v>
      </c>
      <c r="D60" s="91"/>
      <c r="E60" s="92">
        <v>0</v>
      </c>
      <c r="F60" s="86">
        <f>SUMIF('Daily Sales'!$B$69:$B$101,'MTL OP Debtor'!B60,'Daily Sales'!$G$69:$G$101)</f>
        <v>0</v>
      </c>
      <c r="G60" s="87">
        <f>SUMIF('Daily Sales'!$B$69:$B$101,'MTL OP Debtor'!B60,'Daily Sales'!$H$69:$H$101)</f>
        <v>0</v>
      </c>
      <c r="H60" s="86"/>
      <c r="I60" s="87">
        <f t="shared" si="5"/>
        <v>0</v>
      </c>
      <c r="J60" s="93"/>
      <c r="K60" s="94">
        <v>0</v>
      </c>
      <c r="L60" s="89">
        <f t="shared" si="6"/>
        <v>0</v>
      </c>
      <c r="M60" s="89"/>
      <c r="N60" s="89">
        <f t="shared" si="7"/>
        <v>0</v>
      </c>
    </row>
    <row r="61" spans="1:14" ht="24" customHeight="1" x14ac:dyDescent="0.5">
      <c r="A61" s="90">
        <v>18</v>
      </c>
      <c r="B61" s="83" t="s">
        <v>61</v>
      </c>
      <c r="C61" s="83" t="s">
        <v>60</v>
      </c>
      <c r="D61" s="91"/>
      <c r="E61" s="92">
        <v>0</v>
      </c>
      <c r="F61" s="86">
        <f>SUMIF('Daily Sales'!$B$69:$B$101,'MTL OP Debtor'!B61,'Daily Sales'!$G$69:$G$101)</f>
        <v>0</v>
      </c>
      <c r="G61" s="87">
        <f>SUMIF('Daily Sales'!$B$69:$B$101,'MTL OP Debtor'!B61,'Daily Sales'!$H$69:$H$101)</f>
        <v>0</v>
      </c>
      <c r="H61" s="86"/>
      <c r="I61" s="87">
        <f t="shared" si="5"/>
        <v>0</v>
      </c>
      <c r="J61" s="93"/>
      <c r="K61" s="94">
        <v>0</v>
      </c>
      <c r="L61" s="89">
        <f t="shared" si="6"/>
        <v>0</v>
      </c>
      <c r="M61" s="89"/>
      <c r="N61" s="89">
        <f t="shared" si="7"/>
        <v>0</v>
      </c>
    </row>
    <row r="62" spans="1:14" ht="24" customHeight="1" x14ac:dyDescent="0.5">
      <c r="A62" s="82">
        <v>19</v>
      </c>
      <c r="B62" s="83" t="s">
        <v>62</v>
      </c>
      <c r="C62" s="83" t="s">
        <v>63</v>
      </c>
      <c r="D62" s="91"/>
      <c r="E62" s="92">
        <v>0</v>
      </c>
      <c r="F62" s="86">
        <f>SUMIF('Daily Sales'!$B$69:$B$101,'MTL OP Debtor'!B62,'Daily Sales'!$G$69:$G$101)</f>
        <v>0</v>
      </c>
      <c r="G62" s="87">
        <f>SUMIF('Daily Sales'!$B$69:$B$101,'MTL OP Debtor'!B62,'Daily Sales'!$H$69:$H$101)</f>
        <v>0</v>
      </c>
      <c r="H62" s="86"/>
      <c r="I62" s="87">
        <f t="shared" si="5"/>
        <v>0</v>
      </c>
      <c r="J62" s="93"/>
      <c r="K62" s="94">
        <v>0</v>
      </c>
      <c r="L62" s="89">
        <f t="shared" si="6"/>
        <v>0</v>
      </c>
      <c r="M62" s="89"/>
      <c r="N62" s="89">
        <f>+K62+L62-M62</f>
        <v>0</v>
      </c>
    </row>
    <row r="63" spans="1:14" ht="24" customHeight="1" x14ac:dyDescent="0.5">
      <c r="A63" s="90">
        <v>20</v>
      </c>
      <c r="B63" s="83" t="s">
        <v>65</v>
      </c>
      <c r="C63" s="83" t="s">
        <v>64</v>
      </c>
      <c r="D63" s="91"/>
      <c r="E63" s="92">
        <v>0</v>
      </c>
      <c r="F63" s="86">
        <f>SUMIF('Daily Sales'!$B$69:$B$101,'MTL OP Debtor'!B63,'Daily Sales'!$G$69:$G$101)</f>
        <v>0</v>
      </c>
      <c r="G63" s="87">
        <f>SUMIF('Daily Sales'!$B$69:$B$101,'MTL OP Debtor'!B63,'Daily Sales'!$H$69:$H$101)</f>
        <v>0</v>
      </c>
      <c r="H63" s="86"/>
      <c r="I63" s="87">
        <f t="shared" si="5"/>
        <v>0</v>
      </c>
      <c r="J63" s="93"/>
      <c r="K63" s="94">
        <v>10</v>
      </c>
      <c r="L63" s="89">
        <f t="shared" si="6"/>
        <v>0</v>
      </c>
      <c r="M63" s="89"/>
      <c r="N63" s="89">
        <f t="shared" ref="N63:N79" si="8">+K63+L63-M63</f>
        <v>10</v>
      </c>
    </row>
    <row r="64" spans="1:14" ht="24" customHeight="1" x14ac:dyDescent="0.5">
      <c r="A64" s="82">
        <v>21</v>
      </c>
      <c r="B64" s="83" t="s">
        <v>66</v>
      </c>
      <c r="C64" s="83" t="s">
        <v>64</v>
      </c>
      <c r="D64" s="91"/>
      <c r="E64" s="92">
        <v>1192000</v>
      </c>
      <c r="F64" s="86">
        <f>SUMIF('Daily Sales'!$B$69:$B$101,'MTL OP Debtor'!B64,'Daily Sales'!$G$69:$G$101)</f>
        <v>0</v>
      </c>
      <c r="G64" s="87">
        <f>SUMIF('Daily Sales'!$B$69:$B$101,'MTL OP Debtor'!B64,'Daily Sales'!$H$69:$H$101)</f>
        <v>0</v>
      </c>
      <c r="H64" s="86">
        <v>1192000</v>
      </c>
      <c r="I64" s="87">
        <f t="shared" si="5"/>
        <v>0</v>
      </c>
      <c r="J64" s="93"/>
      <c r="K64" s="94">
        <v>0</v>
      </c>
      <c r="L64" s="89">
        <f t="shared" si="6"/>
        <v>0</v>
      </c>
      <c r="M64" s="89"/>
      <c r="N64" s="89">
        <f t="shared" si="8"/>
        <v>0</v>
      </c>
    </row>
    <row r="65" spans="1:14" ht="24" customHeight="1" x14ac:dyDescent="0.5">
      <c r="A65" s="90">
        <v>22</v>
      </c>
      <c r="B65" s="83" t="s">
        <v>67</v>
      </c>
      <c r="C65" s="83" t="s">
        <v>64</v>
      </c>
      <c r="D65" s="91"/>
      <c r="E65" s="92">
        <v>0</v>
      </c>
      <c r="F65" s="86">
        <f>SUMIF('Daily Sales'!$B$69:$B$101,'MTL OP Debtor'!B65,'Daily Sales'!$G$69:$G$101)</f>
        <v>0</v>
      </c>
      <c r="G65" s="87">
        <f>SUMIF('Daily Sales'!$B$69:$B$101,'MTL OP Debtor'!B65,'Daily Sales'!$H$69:$H$101)</f>
        <v>0</v>
      </c>
      <c r="H65" s="86"/>
      <c r="I65" s="87">
        <f t="shared" si="5"/>
        <v>0</v>
      </c>
      <c r="J65" s="93"/>
      <c r="K65" s="94">
        <v>0</v>
      </c>
      <c r="L65" s="89">
        <f t="shared" si="6"/>
        <v>0</v>
      </c>
      <c r="M65" s="89"/>
      <c r="N65" s="89">
        <f t="shared" si="8"/>
        <v>0</v>
      </c>
    </row>
    <row r="66" spans="1:14" ht="24" customHeight="1" x14ac:dyDescent="0.5">
      <c r="A66" s="82">
        <v>23</v>
      </c>
      <c r="B66" s="83" t="s">
        <v>68</v>
      </c>
      <c r="C66" s="83" t="s">
        <v>36</v>
      </c>
      <c r="D66" s="91"/>
      <c r="E66" s="92">
        <v>0</v>
      </c>
      <c r="F66" s="86">
        <f>SUMIF('Daily Sales'!$B$69:$B$101,'MTL OP Debtor'!B66,'Daily Sales'!$G$69:$G$101)</f>
        <v>13</v>
      </c>
      <c r="G66" s="87">
        <f>SUMIF('Daily Sales'!$B$69:$B$101,'MTL OP Debtor'!B66,'Daily Sales'!$H$69:$H$101)</f>
        <v>7605000</v>
      </c>
      <c r="H66" s="86">
        <v>7605000</v>
      </c>
      <c r="I66" s="87">
        <f t="shared" si="5"/>
        <v>0</v>
      </c>
      <c r="J66" s="93"/>
      <c r="K66" s="94">
        <v>0</v>
      </c>
      <c r="L66" s="89">
        <f t="shared" si="6"/>
        <v>13</v>
      </c>
      <c r="M66" s="89">
        <v>13</v>
      </c>
      <c r="N66" s="89">
        <f t="shared" si="8"/>
        <v>0</v>
      </c>
    </row>
    <row r="67" spans="1:14" ht="24" customHeight="1" x14ac:dyDescent="0.5">
      <c r="A67" s="90">
        <v>24</v>
      </c>
      <c r="B67" s="83" t="s">
        <v>69</v>
      </c>
      <c r="C67" s="95" t="s">
        <v>43</v>
      </c>
      <c r="D67" s="91"/>
      <c r="E67" s="92">
        <v>0</v>
      </c>
      <c r="F67" s="86">
        <f>SUMIF('Daily Sales'!$B$69:$B$101,'MTL OP Debtor'!B67,'Daily Sales'!$G$69:$G$101)</f>
        <v>0</v>
      </c>
      <c r="G67" s="87">
        <f>SUMIF('Daily Sales'!$B$69:$B$101,'MTL OP Debtor'!B67,'Daily Sales'!$H$69:$H$101)</f>
        <v>0</v>
      </c>
      <c r="H67" s="86"/>
      <c r="I67" s="87">
        <f t="shared" si="5"/>
        <v>0</v>
      </c>
      <c r="J67" s="93"/>
      <c r="K67" s="94">
        <v>0</v>
      </c>
      <c r="L67" s="89">
        <f t="shared" si="6"/>
        <v>0</v>
      </c>
      <c r="M67" s="89"/>
      <c r="N67" s="89">
        <f t="shared" si="8"/>
        <v>0</v>
      </c>
    </row>
    <row r="68" spans="1:14" ht="24" customHeight="1" x14ac:dyDescent="0.5">
      <c r="A68" s="82">
        <v>25</v>
      </c>
      <c r="B68" s="83" t="s">
        <v>72</v>
      </c>
      <c r="C68" s="95" t="s">
        <v>46</v>
      </c>
      <c r="D68" s="91"/>
      <c r="E68" s="92">
        <v>0</v>
      </c>
      <c r="F68" s="86">
        <f>SUMIF('Daily Sales'!$B$69:$B$101,'MTL OP Debtor'!B68,'Daily Sales'!$G$69:$G$101)</f>
        <v>0</v>
      </c>
      <c r="G68" s="87">
        <f>SUMIF('Daily Sales'!$B$69:$B$101,'MTL OP Debtor'!B68,'Daily Sales'!$H$69:$H$101)</f>
        <v>0</v>
      </c>
      <c r="H68" s="86"/>
      <c r="I68" s="87">
        <f t="shared" si="5"/>
        <v>0</v>
      </c>
      <c r="J68" s="93"/>
      <c r="K68" s="94">
        <v>1</v>
      </c>
      <c r="L68" s="89">
        <f t="shared" si="6"/>
        <v>0</v>
      </c>
      <c r="M68" s="89"/>
      <c r="N68" s="89">
        <f t="shared" si="8"/>
        <v>1</v>
      </c>
    </row>
    <row r="69" spans="1:14" ht="24" customHeight="1" x14ac:dyDescent="0.5">
      <c r="A69" s="90">
        <v>26</v>
      </c>
      <c r="B69" s="83" t="s">
        <v>70</v>
      </c>
      <c r="C69" s="95" t="s">
        <v>36</v>
      </c>
      <c r="D69" s="91"/>
      <c r="E69" s="92">
        <v>0</v>
      </c>
      <c r="F69" s="86">
        <f>SUMIF('Daily Sales'!$B$69:$B$101,'MTL OP Debtor'!B69,'Daily Sales'!$G$69:$G$101)</f>
        <v>0</v>
      </c>
      <c r="G69" s="87">
        <f>SUMIF('Daily Sales'!$B$69:$B$101,'MTL OP Debtor'!B69,'Daily Sales'!$H$69:$H$101)</f>
        <v>0</v>
      </c>
      <c r="H69" s="86"/>
      <c r="I69" s="87">
        <f t="shared" si="5"/>
        <v>0</v>
      </c>
      <c r="J69" s="93"/>
      <c r="K69" s="94">
        <v>14</v>
      </c>
      <c r="L69" s="89">
        <f t="shared" si="6"/>
        <v>0</v>
      </c>
      <c r="M69" s="89"/>
      <c r="N69" s="89">
        <f t="shared" si="8"/>
        <v>14</v>
      </c>
    </row>
    <row r="70" spans="1:14" ht="24" customHeight="1" x14ac:dyDescent="0.5">
      <c r="A70" s="82">
        <v>27</v>
      </c>
      <c r="B70" s="96" t="s">
        <v>74</v>
      </c>
      <c r="C70" s="97" t="s">
        <v>46</v>
      </c>
      <c r="D70" s="91"/>
      <c r="E70" s="92">
        <v>0</v>
      </c>
      <c r="F70" s="86">
        <f>SUMIF('Daily Sales'!$B$69:$B$101,'MTL OP Debtor'!B70,'Daily Sales'!$G$69:$G$101)</f>
        <v>0</v>
      </c>
      <c r="G70" s="87">
        <f>SUMIF('Daily Sales'!$B$69:$B$101,'MTL OP Debtor'!B70,'Daily Sales'!$H$69:$H$101)</f>
        <v>0</v>
      </c>
      <c r="H70" s="86"/>
      <c r="I70" s="87">
        <f t="shared" si="5"/>
        <v>0</v>
      </c>
      <c r="J70" s="93"/>
      <c r="K70" s="94">
        <v>0</v>
      </c>
      <c r="L70" s="89">
        <f t="shared" si="6"/>
        <v>0</v>
      </c>
      <c r="M70" s="89"/>
      <c r="N70" s="89">
        <f t="shared" si="8"/>
        <v>0</v>
      </c>
    </row>
    <row r="71" spans="1:14" ht="24" customHeight="1" x14ac:dyDescent="0.5">
      <c r="A71" s="90">
        <v>28</v>
      </c>
      <c r="B71" s="96" t="s">
        <v>75</v>
      </c>
      <c r="C71" s="97" t="s">
        <v>57</v>
      </c>
      <c r="D71" s="91"/>
      <c r="E71" s="92">
        <v>0</v>
      </c>
      <c r="F71" s="86">
        <f>SUMIF('Daily Sales'!$B$69:$B$101,'MTL OP Debtor'!B71,'Daily Sales'!$G$69:$G$101)</f>
        <v>0</v>
      </c>
      <c r="G71" s="87">
        <f>SUMIF('Daily Sales'!$B$69:$B$101,'MTL OP Debtor'!B71,'Daily Sales'!$H$69:$H$101)</f>
        <v>0</v>
      </c>
      <c r="H71" s="86"/>
      <c r="I71" s="87">
        <f t="shared" si="5"/>
        <v>0</v>
      </c>
      <c r="J71" s="93"/>
      <c r="K71" s="94">
        <v>0</v>
      </c>
      <c r="L71" s="89">
        <f t="shared" si="6"/>
        <v>0</v>
      </c>
      <c r="M71" s="89"/>
      <c r="N71" s="89">
        <f t="shared" si="8"/>
        <v>0</v>
      </c>
    </row>
    <row r="72" spans="1:14" ht="24" customHeight="1" x14ac:dyDescent="0.5">
      <c r="A72" s="82">
        <v>29</v>
      </c>
      <c r="B72" s="96" t="s">
        <v>76</v>
      </c>
      <c r="C72" s="97" t="s">
        <v>49</v>
      </c>
      <c r="D72" s="91"/>
      <c r="E72" s="92">
        <v>0</v>
      </c>
      <c r="F72" s="86">
        <f>SUMIF('Daily Sales'!$B$69:$B$101,'MTL OP Debtor'!B72,'Daily Sales'!$G$69:$G$101)</f>
        <v>0</v>
      </c>
      <c r="G72" s="87">
        <f>SUMIF('Daily Sales'!$B$69:$B$101,'MTL OP Debtor'!B72,'Daily Sales'!$H$69:$H$101)</f>
        <v>0</v>
      </c>
      <c r="H72" s="86"/>
      <c r="I72" s="87">
        <f t="shared" si="5"/>
        <v>0</v>
      </c>
      <c r="J72" s="93"/>
      <c r="K72" s="94">
        <v>0</v>
      </c>
      <c r="L72" s="89">
        <f t="shared" si="6"/>
        <v>0</v>
      </c>
      <c r="M72" s="89"/>
      <c r="N72" s="89">
        <f t="shared" si="8"/>
        <v>0</v>
      </c>
    </row>
    <row r="73" spans="1:14" ht="24" customHeight="1" x14ac:dyDescent="0.5">
      <c r="A73" s="90">
        <v>30</v>
      </c>
      <c r="B73" s="96" t="s">
        <v>77</v>
      </c>
      <c r="C73" s="97" t="s">
        <v>78</v>
      </c>
      <c r="D73" s="91"/>
      <c r="E73" s="92">
        <v>0</v>
      </c>
      <c r="F73" s="86">
        <f>SUMIF('Daily Sales'!$B$69:$B$101,'MTL OP Debtor'!B73,'Daily Sales'!$G$69:$G$101)</f>
        <v>0</v>
      </c>
      <c r="G73" s="87">
        <f>SUMIF('Daily Sales'!$B$69:$B$101,'MTL OP Debtor'!B73,'Daily Sales'!$H$69:$H$101)</f>
        <v>0</v>
      </c>
      <c r="H73" s="86"/>
      <c r="I73" s="87">
        <f t="shared" si="5"/>
        <v>0</v>
      </c>
      <c r="J73" s="93"/>
      <c r="K73" s="94">
        <v>0</v>
      </c>
      <c r="L73" s="89">
        <f t="shared" si="6"/>
        <v>0</v>
      </c>
      <c r="M73" s="89"/>
      <c r="N73" s="89">
        <f t="shared" si="8"/>
        <v>0</v>
      </c>
    </row>
    <row r="74" spans="1:14" ht="24" customHeight="1" x14ac:dyDescent="0.5">
      <c r="A74" s="82">
        <v>31</v>
      </c>
      <c r="B74" s="83" t="s">
        <v>79</v>
      </c>
      <c r="C74" s="95" t="s">
        <v>64</v>
      </c>
      <c r="D74" s="91"/>
      <c r="E74" s="92">
        <v>0</v>
      </c>
      <c r="F74" s="86">
        <f>SUMIF('Daily Sales'!$B$69:$B$101,'MTL OP Debtor'!B74,'Daily Sales'!$G$69:$G$101)</f>
        <v>5</v>
      </c>
      <c r="G74" s="87">
        <f>SUMIF('Daily Sales'!$B$69:$B$101,'MTL OP Debtor'!B74,'Daily Sales'!$H$69:$H$101)</f>
        <v>2955000</v>
      </c>
      <c r="H74" s="86">
        <v>2955000</v>
      </c>
      <c r="I74" s="87">
        <f t="shared" si="5"/>
        <v>0</v>
      </c>
      <c r="J74" s="93"/>
      <c r="K74" s="94">
        <v>0</v>
      </c>
      <c r="L74" s="89">
        <f t="shared" si="6"/>
        <v>5</v>
      </c>
      <c r="M74" s="89">
        <v>5</v>
      </c>
      <c r="N74" s="89">
        <f t="shared" si="8"/>
        <v>0</v>
      </c>
    </row>
    <row r="75" spans="1:14" ht="24" customHeight="1" x14ac:dyDescent="0.5">
      <c r="A75" s="90">
        <v>32</v>
      </c>
      <c r="B75" s="83" t="s">
        <v>82</v>
      </c>
      <c r="C75" s="95" t="s">
        <v>64</v>
      </c>
      <c r="D75" s="91"/>
      <c r="E75" s="92">
        <v>1773000</v>
      </c>
      <c r="F75" s="86">
        <f>SUMIF('Daily Sales'!$B$69:$B$101,'MTL OP Debtor'!B75,'Daily Sales'!$G$69:$G$101)</f>
        <v>3</v>
      </c>
      <c r="G75" s="87">
        <f>SUMIF('Daily Sales'!$B$69:$B$101,'MTL OP Debtor'!B75,'Daily Sales'!$H$69:$H$101)</f>
        <v>1773000</v>
      </c>
      <c r="H75" s="86">
        <v>3546000</v>
      </c>
      <c r="I75" s="87">
        <f t="shared" si="5"/>
        <v>0</v>
      </c>
      <c r="J75" s="93"/>
      <c r="K75" s="94">
        <v>0</v>
      </c>
      <c r="L75" s="89">
        <f t="shared" si="6"/>
        <v>3</v>
      </c>
      <c r="M75" s="89">
        <v>3</v>
      </c>
      <c r="N75" s="89">
        <f t="shared" si="8"/>
        <v>0</v>
      </c>
    </row>
    <row r="76" spans="1:14" ht="24" customHeight="1" x14ac:dyDescent="0.5">
      <c r="A76" s="82">
        <v>33</v>
      </c>
      <c r="B76" s="83" t="s">
        <v>81</v>
      </c>
      <c r="C76" s="83" t="s">
        <v>36</v>
      </c>
      <c r="D76" s="91"/>
      <c r="E76" s="92">
        <v>0</v>
      </c>
      <c r="F76" s="86">
        <f>SUMIF('Daily Sales'!$B$69:$B$101,'MTL OP Debtor'!B76,'Daily Sales'!$G$69:$G$101)</f>
        <v>0</v>
      </c>
      <c r="G76" s="87">
        <f>SUMIF('Daily Sales'!$B$69:$B$101,'MTL OP Debtor'!B76,'Daily Sales'!$H$69:$H$101)</f>
        <v>0</v>
      </c>
      <c r="H76" s="86"/>
      <c r="I76" s="87">
        <f t="shared" si="5"/>
        <v>0</v>
      </c>
      <c r="J76" s="93"/>
      <c r="K76" s="94">
        <v>0</v>
      </c>
      <c r="L76" s="89">
        <f t="shared" si="6"/>
        <v>0</v>
      </c>
      <c r="M76" s="89"/>
      <c r="N76" s="89">
        <f t="shared" si="8"/>
        <v>0</v>
      </c>
    </row>
    <row r="77" spans="1:14" ht="24" customHeight="1" x14ac:dyDescent="0.5">
      <c r="A77" s="82">
        <v>34</v>
      </c>
      <c r="B77" s="83" t="s">
        <v>86</v>
      </c>
      <c r="C77" s="83" t="s">
        <v>78</v>
      </c>
      <c r="D77" s="91"/>
      <c r="E77" s="92">
        <v>0</v>
      </c>
      <c r="F77" s="86">
        <f>SUMIF('Daily Sales'!$B$69:$B$101,'MTL OP Debtor'!B77,'Daily Sales'!$G$69:$G$101)</f>
        <v>3</v>
      </c>
      <c r="G77" s="87">
        <f>SUMIF('Daily Sales'!$B$69:$B$101,'MTL OP Debtor'!B77,'Daily Sales'!$H$69:$H$101)</f>
        <v>1785000</v>
      </c>
      <c r="H77" s="86"/>
      <c r="I77" s="87">
        <f t="shared" si="5"/>
        <v>1785000</v>
      </c>
      <c r="J77" s="93"/>
      <c r="K77" s="94">
        <v>6</v>
      </c>
      <c r="L77" s="89">
        <f t="shared" si="6"/>
        <v>3</v>
      </c>
      <c r="M77" s="89">
        <v>3</v>
      </c>
      <c r="N77" s="89">
        <f t="shared" si="8"/>
        <v>6</v>
      </c>
    </row>
    <row r="78" spans="1:14" ht="24" customHeight="1" x14ac:dyDescent="0.5">
      <c r="A78" s="82">
        <v>35</v>
      </c>
      <c r="B78" s="83">
        <v>90</v>
      </c>
      <c r="C78" s="83" t="s">
        <v>49</v>
      </c>
      <c r="D78" s="91"/>
      <c r="E78" s="92">
        <v>0</v>
      </c>
      <c r="F78" s="86">
        <f>SUMIF('Daily Sales'!$B$69:$B$101,'MTL OP Debtor'!B78,'Daily Sales'!$G$69:$G$101)</f>
        <v>5</v>
      </c>
      <c r="G78" s="87">
        <f>SUMIF('Daily Sales'!$B$69:$B$101,'MTL OP Debtor'!B78,'Daily Sales'!$H$69:$H$101)</f>
        <v>3050000</v>
      </c>
      <c r="H78" s="86"/>
      <c r="I78" s="87">
        <f t="shared" si="5"/>
        <v>3050000</v>
      </c>
      <c r="J78" s="93"/>
      <c r="K78" s="94">
        <v>21</v>
      </c>
      <c r="L78" s="89">
        <f t="shared" si="6"/>
        <v>5</v>
      </c>
      <c r="M78" s="89">
        <v>20</v>
      </c>
      <c r="N78" s="89">
        <f t="shared" si="8"/>
        <v>6</v>
      </c>
    </row>
    <row r="79" spans="1:14" ht="24" customHeight="1" x14ac:dyDescent="0.5">
      <c r="A79" s="90">
        <v>36</v>
      </c>
      <c r="B79" s="83" t="s">
        <v>90</v>
      </c>
      <c r="C79" s="97" t="s">
        <v>78</v>
      </c>
      <c r="D79" s="91"/>
      <c r="E79" s="92">
        <v>0</v>
      </c>
      <c r="F79" s="86">
        <f>SUMIF('Daily Sales'!$B$69:$B$101,'MTL OP Debtor'!B79,'Daily Sales'!$G$69:$G$101)</f>
        <v>5</v>
      </c>
      <c r="G79" s="87">
        <f>SUMIF('Daily Sales'!$B$69:$B$101,'MTL OP Debtor'!B79,'Daily Sales'!$H$69:$H$101)</f>
        <v>3000000</v>
      </c>
      <c r="H79" s="86">
        <v>3000000</v>
      </c>
      <c r="I79" s="87">
        <f t="shared" si="5"/>
        <v>0</v>
      </c>
      <c r="J79" s="93"/>
      <c r="K79" s="94">
        <v>5</v>
      </c>
      <c r="L79" s="89">
        <f t="shared" si="6"/>
        <v>5</v>
      </c>
      <c r="M79" s="89">
        <v>5</v>
      </c>
      <c r="N79" s="89">
        <f t="shared" si="8"/>
        <v>5</v>
      </c>
    </row>
    <row r="80" spans="1:14" ht="24" customHeight="1" x14ac:dyDescent="0.5">
      <c r="A80" s="98"/>
      <c r="B80" s="98"/>
      <c r="C80" s="98"/>
      <c r="D80" s="99"/>
      <c r="E80" s="99">
        <f>SUM(E44:E79)</f>
        <v>140088726</v>
      </c>
      <c r="F80" s="99">
        <f t="shared" ref="F80" si="9">SUM(F44:F79)</f>
        <v>207</v>
      </c>
      <c r="G80" s="99">
        <f>SUM(G44:G79)</f>
        <v>120683000</v>
      </c>
      <c r="H80" s="99">
        <f>SUM(H44:H79)</f>
        <v>163192671</v>
      </c>
      <c r="I80" s="99">
        <f t="shared" ref="I80" si="10">SUM(I44:I79)</f>
        <v>97579055</v>
      </c>
      <c r="J80" s="100"/>
      <c r="K80" s="101">
        <f>SUM(K44:K79)</f>
        <v>287</v>
      </c>
      <c r="L80" s="101">
        <f t="shared" ref="L80:N80" si="11">SUM(L44:L79)</f>
        <v>207</v>
      </c>
      <c r="M80" s="101">
        <f t="shared" si="11"/>
        <v>217</v>
      </c>
      <c r="N80" s="101">
        <f t="shared" si="11"/>
        <v>277</v>
      </c>
    </row>
    <row r="83" spans="1:14" ht="24" customHeight="1" x14ac:dyDescent="0.5">
      <c r="A83" s="119" t="s">
        <v>100</v>
      </c>
      <c r="B83" s="119"/>
      <c r="C83" s="119"/>
      <c r="D83" s="119"/>
      <c r="E83" s="119"/>
      <c r="F83" s="119"/>
      <c r="G83" s="119"/>
      <c r="H83" s="119"/>
      <c r="I83" s="119"/>
    </row>
    <row r="84" spans="1:14" ht="46.5" customHeight="1" x14ac:dyDescent="0.5">
      <c r="A84" s="10" t="s">
        <v>0</v>
      </c>
      <c r="B84" s="10" t="s">
        <v>1</v>
      </c>
      <c r="C84" s="10" t="s">
        <v>2</v>
      </c>
      <c r="D84" s="10" t="s">
        <v>5</v>
      </c>
      <c r="E84" s="10" t="s">
        <v>12</v>
      </c>
      <c r="F84" s="11" t="s">
        <v>14</v>
      </c>
      <c r="G84" s="11" t="s">
        <v>15</v>
      </c>
      <c r="H84" s="10" t="s">
        <v>16</v>
      </c>
      <c r="I84" s="10" t="s">
        <v>13</v>
      </c>
      <c r="J84" s="12"/>
      <c r="K84" s="41" t="s">
        <v>31</v>
      </c>
      <c r="L84" s="41" t="s">
        <v>32</v>
      </c>
      <c r="M84" s="41" t="s">
        <v>33</v>
      </c>
      <c r="N84" s="41" t="s">
        <v>34</v>
      </c>
    </row>
    <row r="85" spans="1:14" ht="24" customHeight="1" x14ac:dyDescent="0.5">
      <c r="A85" s="82">
        <v>1</v>
      </c>
      <c r="B85" s="83" t="s">
        <v>35</v>
      </c>
      <c r="C85" s="83" t="s">
        <v>36</v>
      </c>
      <c r="D85" s="84"/>
      <c r="E85" s="85">
        <v>69064055</v>
      </c>
      <c r="F85" s="86">
        <f>SUMIF('Daily Sales'!$B$107:$B$139,'MTL OP Debtor'!B85,'Daily Sales'!$G$107:$G$139)</f>
        <v>105</v>
      </c>
      <c r="G85" s="87">
        <f>SUMIF('Daily Sales'!$B$107:$B$139,'MTL OP Debtor'!B85,'Daily Sales'!$H$107:$H$139)</f>
        <v>61050000</v>
      </c>
      <c r="H85" s="86">
        <v>46029137</v>
      </c>
      <c r="I85" s="87">
        <f>E85+G85-H85</f>
        <v>84084918</v>
      </c>
      <c r="J85" s="88"/>
      <c r="K85" s="89">
        <v>143</v>
      </c>
      <c r="L85" s="89">
        <f>F85</f>
        <v>105</v>
      </c>
      <c r="M85" s="89">
        <v>105</v>
      </c>
      <c r="N85" s="89">
        <f>+K85+L85-M85</f>
        <v>143</v>
      </c>
    </row>
    <row r="86" spans="1:14" ht="24" customHeight="1" x14ac:dyDescent="0.5">
      <c r="A86" s="90">
        <v>2</v>
      </c>
      <c r="B86" s="83" t="s">
        <v>37</v>
      </c>
      <c r="C86" s="83" t="s">
        <v>36</v>
      </c>
      <c r="D86" s="91"/>
      <c r="E86" s="92">
        <v>0</v>
      </c>
      <c r="F86" s="86">
        <f>SUMIF('Daily Sales'!$B$107:$B$139,'MTL OP Debtor'!B86,'Daily Sales'!$G$107:$G$139)</f>
        <v>1</v>
      </c>
      <c r="G86" s="87">
        <f>SUMIF('Daily Sales'!$B$107:$B$139,'MTL OP Debtor'!B86,'Daily Sales'!$H$107:$H$139)</f>
        <v>610000</v>
      </c>
      <c r="H86" s="86">
        <v>610000</v>
      </c>
      <c r="I86" s="87">
        <f t="shared" ref="I86:I120" si="12">E86+G86-H86</f>
        <v>0</v>
      </c>
      <c r="J86" s="93"/>
      <c r="K86" s="94">
        <v>18</v>
      </c>
      <c r="L86" s="89">
        <f t="shared" ref="L86:L120" si="13">F86</f>
        <v>1</v>
      </c>
      <c r="M86" s="89">
        <v>1</v>
      </c>
      <c r="N86" s="89">
        <f t="shared" ref="N86:N102" si="14">+K86+L86-M86</f>
        <v>18</v>
      </c>
    </row>
    <row r="87" spans="1:14" ht="24" customHeight="1" x14ac:dyDescent="0.5">
      <c r="A87" s="82">
        <v>3</v>
      </c>
      <c r="B87" s="83" t="s">
        <v>38</v>
      </c>
      <c r="C87" s="83" t="s">
        <v>39</v>
      </c>
      <c r="D87" s="91"/>
      <c r="E87" s="92">
        <v>8190000</v>
      </c>
      <c r="F87" s="86">
        <f>SUMIF('Daily Sales'!$B$107:$B$139,'MTL OP Debtor'!B87,'Daily Sales'!$G$107:$G$139)</f>
        <v>9</v>
      </c>
      <c r="G87" s="87">
        <f>SUMIF('Daily Sales'!$B$107:$B$139,'MTL OP Debtor'!B87,'Daily Sales'!$H$107:$H$139)</f>
        <v>5265000</v>
      </c>
      <c r="H87" s="86">
        <v>8190000</v>
      </c>
      <c r="I87" s="87">
        <f t="shared" si="12"/>
        <v>5265000</v>
      </c>
      <c r="J87" s="93"/>
      <c r="K87" s="94">
        <v>0</v>
      </c>
      <c r="L87" s="89">
        <f t="shared" si="13"/>
        <v>9</v>
      </c>
      <c r="M87" s="89">
        <v>9</v>
      </c>
      <c r="N87" s="89">
        <f t="shared" si="14"/>
        <v>0</v>
      </c>
    </row>
    <row r="88" spans="1:14" ht="24" customHeight="1" x14ac:dyDescent="0.5">
      <c r="A88" s="90">
        <v>4</v>
      </c>
      <c r="B88" s="83" t="s">
        <v>41</v>
      </c>
      <c r="C88" s="83" t="s">
        <v>40</v>
      </c>
      <c r="D88" s="91"/>
      <c r="E88" s="92">
        <v>0</v>
      </c>
      <c r="F88" s="86">
        <f>SUMIF('Daily Sales'!$B$107:$B$139,'MTL OP Debtor'!B88,'Daily Sales'!$G$107:$G$139)</f>
        <v>0</v>
      </c>
      <c r="G88" s="87">
        <f>SUMIF('Daily Sales'!$B$107:$B$139,'MTL OP Debtor'!B88,'Daily Sales'!$H$107:$H$139)</f>
        <v>0</v>
      </c>
      <c r="H88" s="86"/>
      <c r="I88" s="87">
        <f t="shared" si="12"/>
        <v>0</v>
      </c>
      <c r="J88" s="93"/>
      <c r="K88" s="94">
        <v>0</v>
      </c>
      <c r="L88" s="89">
        <f t="shared" si="13"/>
        <v>0</v>
      </c>
      <c r="M88" s="89"/>
      <c r="N88" s="89">
        <f t="shared" si="14"/>
        <v>0</v>
      </c>
    </row>
    <row r="89" spans="1:14" ht="24" customHeight="1" x14ac:dyDescent="0.5">
      <c r="A89" s="82">
        <v>5</v>
      </c>
      <c r="B89" s="83" t="s">
        <v>42</v>
      </c>
      <c r="C89" s="83" t="s">
        <v>43</v>
      </c>
      <c r="D89" s="91"/>
      <c r="E89" s="92">
        <v>1755000</v>
      </c>
      <c r="F89" s="86">
        <f>SUMIF('Daily Sales'!$B$107:$B$139,'MTL OP Debtor'!B89,'Daily Sales'!$G$107:$G$139)</f>
        <v>0</v>
      </c>
      <c r="G89" s="87">
        <f>SUMIF('Daily Sales'!$B$107:$B$139,'MTL OP Debtor'!B89,'Daily Sales'!$H$107:$H$139)</f>
        <v>0</v>
      </c>
      <c r="H89" s="86">
        <v>1755000</v>
      </c>
      <c r="I89" s="87">
        <f t="shared" si="12"/>
        <v>0</v>
      </c>
      <c r="J89" s="93"/>
      <c r="K89" s="94">
        <v>0</v>
      </c>
      <c r="L89" s="89">
        <f t="shared" si="13"/>
        <v>0</v>
      </c>
      <c r="M89" s="89"/>
      <c r="N89" s="89">
        <f t="shared" si="14"/>
        <v>0</v>
      </c>
    </row>
    <row r="90" spans="1:14" ht="24" customHeight="1" x14ac:dyDescent="0.5">
      <c r="A90" s="90">
        <v>6</v>
      </c>
      <c r="B90" s="83" t="s">
        <v>44</v>
      </c>
      <c r="C90" s="83" t="s">
        <v>43</v>
      </c>
      <c r="D90" s="91"/>
      <c r="E90" s="92">
        <v>0</v>
      </c>
      <c r="F90" s="86">
        <f>SUMIF('Daily Sales'!$B$107:$B$139,'MTL OP Debtor'!B90,'Daily Sales'!$G$107:$G$139)</f>
        <v>0</v>
      </c>
      <c r="G90" s="87">
        <f>SUMIF('Daily Sales'!$B$107:$B$139,'MTL OP Debtor'!B90,'Daily Sales'!$H$107:$H$139)</f>
        <v>0</v>
      </c>
      <c r="H90" s="86"/>
      <c r="I90" s="87">
        <f t="shared" si="12"/>
        <v>0</v>
      </c>
      <c r="J90" s="93"/>
      <c r="K90" s="94">
        <v>0</v>
      </c>
      <c r="L90" s="89">
        <f t="shared" si="13"/>
        <v>0</v>
      </c>
      <c r="M90" s="89"/>
      <c r="N90" s="89">
        <f t="shared" si="14"/>
        <v>0</v>
      </c>
    </row>
    <row r="91" spans="1:14" ht="24" customHeight="1" x14ac:dyDescent="0.5">
      <c r="A91" s="82">
        <v>7</v>
      </c>
      <c r="B91" s="83" t="s">
        <v>45</v>
      </c>
      <c r="C91" s="83" t="s">
        <v>46</v>
      </c>
      <c r="D91" s="91"/>
      <c r="E91" s="92">
        <v>0</v>
      </c>
      <c r="F91" s="86">
        <f>SUMIF('Daily Sales'!$B$107:$B$139,'MTL OP Debtor'!B91,'Daily Sales'!$G$107:$G$139)</f>
        <v>8</v>
      </c>
      <c r="G91" s="87">
        <f>SUMIF('Daily Sales'!$B$107:$B$139,'MTL OP Debtor'!B91,'Daily Sales'!$H$107:$H$139)</f>
        <v>4803000</v>
      </c>
      <c r="H91" s="86">
        <v>2955000</v>
      </c>
      <c r="I91" s="87">
        <f t="shared" si="12"/>
        <v>1848000</v>
      </c>
      <c r="J91" s="93"/>
      <c r="K91" s="94">
        <v>10</v>
      </c>
      <c r="L91" s="89">
        <f t="shared" si="13"/>
        <v>8</v>
      </c>
      <c r="M91" s="89">
        <v>3</v>
      </c>
      <c r="N91" s="89">
        <f t="shared" si="14"/>
        <v>15</v>
      </c>
    </row>
    <row r="92" spans="1:14" ht="24" customHeight="1" x14ac:dyDescent="0.5">
      <c r="A92" s="90">
        <v>8</v>
      </c>
      <c r="B92" s="83" t="s">
        <v>47</v>
      </c>
      <c r="C92" s="83" t="s">
        <v>46</v>
      </c>
      <c r="D92" s="91"/>
      <c r="E92" s="92">
        <v>5960000</v>
      </c>
      <c r="F92" s="86">
        <f>SUMIF('Daily Sales'!$B$107:$B$139,'MTL OP Debtor'!B92,'Daily Sales'!$G$107:$G$139)</f>
        <v>10</v>
      </c>
      <c r="G92" s="87">
        <f>SUMIF('Daily Sales'!$B$107:$B$139,'MTL OP Debtor'!B92,'Daily Sales'!$H$107:$H$139)</f>
        <v>6160000</v>
      </c>
      <c r="H92" s="86">
        <v>5960000</v>
      </c>
      <c r="I92" s="87">
        <f t="shared" si="12"/>
        <v>6160000</v>
      </c>
      <c r="J92" s="93"/>
      <c r="K92" s="94">
        <v>5</v>
      </c>
      <c r="L92" s="89">
        <f t="shared" si="13"/>
        <v>10</v>
      </c>
      <c r="M92" s="89">
        <v>10</v>
      </c>
      <c r="N92" s="89">
        <f t="shared" si="14"/>
        <v>5</v>
      </c>
    </row>
    <row r="93" spans="1:14" ht="24" customHeight="1" x14ac:dyDescent="0.5">
      <c r="A93" s="82">
        <v>9</v>
      </c>
      <c r="B93" s="83" t="s">
        <v>48</v>
      </c>
      <c r="C93" s="83" t="s">
        <v>46</v>
      </c>
      <c r="D93" s="91"/>
      <c r="E93" s="92">
        <v>0</v>
      </c>
      <c r="F93" s="86">
        <f>SUMIF('Daily Sales'!$B$107:$B$139,'MTL OP Debtor'!B93,'Daily Sales'!$G$107:$G$139)</f>
        <v>0</v>
      </c>
      <c r="G93" s="87">
        <f>SUMIF('Daily Sales'!$B$107:$B$139,'MTL OP Debtor'!B93,'Daily Sales'!$H$107:$H$139)</f>
        <v>0</v>
      </c>
      <c r="H93" s="86"/>
      <c r="I93" s="87">
        <f t="shared" si="12"/>
        <v>0</v>
      </c>
      <c r="J93" s="93"/>
      <c r="K93" s="94">
        <v>6</v>
      </c>
      <c r="L93" s="89">
        <f t="shared" si="13"/>
        <v>0</v>
      </c>
      <c r="M93" s="89"/>
      <c r="N93" s="89">
        <f t="shared" si="14"/>
        <v>6</v>
      </c>
    </row>
    <row r="94" spans="1:14" ht="24" customHeight="1" x14ac:dyDescent="0.5">
      <c r="A94" s="90">
        <v>10</v>
      </c>
      <c r="B94" s="83" t="s">
        <v>50</v>
      </c>
      <c r="C94" s="83" t="s">
        <v>49</v>
      </c>
      <c r="D94" s="91"/>
      <c r="E94" s="92">
        <v>0</v>
      </c>
      <c r="F94" s="86">
        <f>SUMIF('Daily Sales'!$B$107:$B$139,'MTL OP Debtor'!B94,'Daily Sales'!$G$107:$G$139)</f>
        <v>0</v>
      </c>
      <c r="G94" s="87">
        <f>SUMIF('Daily Sales'!$B$107:$B$139,'MTL OP Debtor'!B94,'Daily Sales'!$H$107:$H$139)</f>
        <v>0</v>
      </c>
      <c r="H94" s="86"/>
      <c r="I94" s="87">
        <f t="shared" si="12"/>
        <v>0</v>
      </c>
      <c r="J94" s="93"/>
      <c r="K94" s="94">
        <v>1</v>
      </c>
      <c r="L94" s="89">
        <f t="shared" si="13"/>
        <v>0</v>
      </c>
      <c r="M94" s="89">
        <v>1</v>
      </c>
      <c r="N94" s="89">
        <f t="shared" si="14"/>
        <v>0</v>
      </c>
    </row>
    <row r="95" spans="1:14" ht="24" customHeight="1" x14ac:dyDescent="0.5">
      <c r="A95" s="82">
        <v>11</v>
      </c>
      <c r="B95" s="83" t="s">
        <v>51</v>
      </c>
      <c r="C95" s="83" t="s">
        <v>49</v>
      </c>
      <c r="D95" s="91"/>
      <c r="E95" s="92">
        <v>6020000</v>
      </c>
      <c r="F95" s="86">
        <f>SUMIF('Daily Sales'!$B$107:$B$139,'MTL OP Debtor'!B95,'Daily Sales'!$G$107:$G$139)</f>
        <v>10</v>
      </c>
      <c r="G95" s="87">
        <f>SUMIF('Daily Sales'!$B$107:$B$139,'MTL OP Debtor'!B95,'Daily Sales'!$H$107:$H$139)</f>
        <v>6070000</v>
      </c>
      <c r="H95" s="86">
        <v>6020000</v>
      </c>
      <c r="I95" s="87">
        <f t="shared" si="12"/>
        <v>6070000</v>
      </c>
      <c r="J95" s="93"/>
      <c r="K95" s="94">
        <v>28</v>
      </c>
      <c r="L95" s="89">
        <f t="shared" si="13"/>
        <v>10</v>
      </c>
      <c r="M95" s="89">
        <v>18</v>
      </c>
      <c r="N95" s="89">
        <f t="shared" si="14"/>
        <v>20</v>
      </c>
    </row>
    <row r="96" spans="1:14" ht="24" customHeight="1" x14ac:dyDescent="0.5">
      <c r="A96" s="90">
        <v>12</v>
      </c>
      <c r="B96" s="83" t="s">
        <v>53</v>
      </c>
      <c r="C96" s="83" t="s">
        <v>52</v>
      </c>
      <c r="D96" s="91"/>
      <c r="E96" s="92">
        <v>0</v>
      </c>
      <c r="F96" s="86">
        <f>SUMIF('Daily Sales'!$B$107:$B$139,'MTL OP Debtor'!B96,'Daily Sales'!$G$107:$G$139)</f>
        <v>6</v>
      </c>
      <c r="G96" s="87">
        <f>SUMIF('Daily Sales'!$B$107:$B$139,'MTL OP Debtor'!B96,'Daily Sales'!$H$107:$H$139)</f>
        <v>3660000</v>
      </c>
      <c r="H96" s="86">
        <v>3660000</v>
      </c>
      <c r="I96" s="87">
        <f t="shared" si="12"/>
        <v>0</v>
      </c>
      <c r="J96" s="93"/>
      <c r="K96" s="94">
        <v>20</v>
      </c>
      <c r="L96" s="89">
        <f t="shared" si="13"/>
        <v>6</v>
      </c>
      <c r="M96" s="89">
        <v>6</v>
      </c>
      <c r="N96" s="89">
        <f t="shared" si="14"/>
        <v>20</v>
      </c>
    </row>
    <row r="97" spans="1:14" ht="24" customHeight="1" x14ac:dyDescent="0.5">
      <c r="A97" s="82">
        <v>13</v>
      </c>
      <c r="B97" s="83" t="s">
        <v>54</v>
      </c>
      <c r="C97" s="83" t="s">
        <v>49</v>
      </c>
      <c r="D97" s="91"/>
      <c r="E97" s="92">
        <v>0</v>
      </c>
      <c r="F97" s="86">
        <f>SUMIF('Daily Sales'!$B$107:$B$139,'MTL OP Debtor'!B97,'Daily Sales'!$G$107:$G$139)</f>
        <v>10</v>
      </c>
      <c r="G97" s="87">
        <f>SUMIF('Daily Sales'!$B$107:$B$139,'MTL OP Debtor'!B97,'Daily Sales'!$H$107:$H$139)</f>
        <v>6070000</v>
      </c>
      <c r="H97" s="86">
        <v>6070000</v>
      </c>
      <c r="I97" s="87">
        <f t="shared" si="12"/>
        <v>0</v>
      </c>
      <c r="J97" s="93"/>
      <c r="K97" s="94">
        <v>0</v>
      </c>
      <c r="L97" s="89">
        <f t="shared" si="13"/>
        <v>10</v>
      </c>
      <c r="M97" s="89">
        <v>10</v>
      </c>
      <c r="N97" s="89">
        <f t="shared" si="14"/>
        <v>0</v>
      </c>
    </row>
    <row r="98" spans="1:14" ht="24" customHeight="1" x14ac:dyDescent="0.5">
      <c r="A98" s="90">
        <v>14</v>
      </c>
      <c r="B98" s="83" t="s">
        <v>55</v>
      </c>
      <c r="C98" s="83" t="s">
        <v>36</v>
      </c>
      <c r="D98" s="91"/>
      <c r="E98" s="92">
        <v>0</v>
      </c>
      <c r="F98" s="86">
        <f>SUMIF('Daily Sales'!$B$107:$B$139,'MTL OP Debtor'!B98,'Daily Sales'!$G$107:$G$139)</f>
        <v>0</v>
      </c>
      <c r="G98" s="87">
        <f>SUMIF('Daily Sales'!$B$107:$B$139,'MTL OP Debtor'!B98,'Daily Sales'!$H$107:$H$139)</f>
        <v>0</v>
      </c>
      <c r="H98" s="86"/>
      <c r="I98" s="87">
        <f t="shared" si="12"/>
        <v>0</v>
      </c>
      <c r="J98" s="93"/>
      <c r="K98" s="94">
        <v>0</v>
      </c>
      <c r="L98" s="89">
        <f t="shared" si="13"/>
        <v>0</v>
      </c>
      <c r="M98" s="89"/>
      <c r="N98" s="89">
        <f t="shared" si="14"/>
        <v>0</v>
      </c>
    </row>
    <row r="99" spans="1:14" ht="24" customHeight="1" x14ac:dyDescent="0.5">
      <c r="A99" s="82">
        <v>15</v>
      </c>
      <c r="B99" s="83" t="s">
        <v>56</v>
      </c>
      <c r="C99" s="83" t="s">
        <v>49</v>
      </c>
      <c r="D99" s="91"/>
      <c r="E99" s="92">
        <v>0</v>
      </c>
      <c r="F99" s="86">
        <f>SUMIF('Daily Sales'!$B$107:$B$139,'MTL OP Debtor'!B99,'Daily Sales'!$G$107:$G$139)</f>
        <v>0</v>
      </c>
      <c r="G99" s="87">
        <f>SUMIF('Daily Sales'!$B$107:$B$139,'MTL OP Debtor'!B99,'Daily Sales'!$H$107:$H$139)</f>
        <v>0</v>
      </c>
      <c r="H99" s="86"/>
      <c r="I99" s="87">
        <f t="shared" si="12"/>
        <v>0</v>
      </c>
      <c r="J99" s="93"/>
      <c r="K99" s="94">
        <v>2</v>
      </c>
      <c r="L99" s="89">
        <f t="shared" si="13"/>
        <v>0</v>
      </c>
      <c r="M99" s="89"/>
      <c r="N99" s="89">
        <f t="shared" si="14"/>
        <v>2</v>
      </c>
    </row>
    <row r="100" spans="1:14" ht="24" customHeight="1" x14ac:dyDescent="0.5">
      <c r="A100" s="90">
        <v>16</v>
      </c>
      <c r="B100" s="83" t="s">
        <v>58</v>
      </c>
      <c r="C100" s="83" t="s">
        <v>57</v>
      </c>
      <c r="D100" s="91"/>
      <c r="E100" s="92">
        <v>1755000</v>
      </c>
      <c r="F100" s="86">
        <f>SUMIF('Daily Sales'!$B$107:$B$139,'MTL OP Debtor'!B100,'Daily Sales'!$G$107:$G$139)</f>
        <v>0</v>
      </c>
      <c r="G100" s="87">
        <f>SUMIF('Daily Sales'!$B$107:$B$139,'MTL OP Debtor'!B100,'Daily Sales'!$H$107:$H$139)</f>
        <v>0</v>
      </c>
      <c r="H100" s="86">
        <v>1755000</v>
      </c>
      <c r="I100" s="87">
        <f t="shared" si="12"/>
        <v>0</v>
      </c>
      <c r="J100" s="93"/>
      <c r="K100" s="94">
        <v>2</v>
      </c>
      <c r="L100" s="89">
        <f t="shared" si="13"/>
        <v>0</v>
      </c>
      <c r="M100" s="89"/>
      <c r="N100" s="89">
        <f t="shared" si="14"/>
        <v>2</v>
      </c>
    </row>
    <row r="101" spans="1:14" ht="24" customHeight="1" x14ac:dyDescent="0.5">
      <c r="A101" s="82">
        <v>17</v>
      </c>
      <c r="B101" s="83" t="s">
        <v>59</v>
      </c>
      <c r="C101" s="83" t="s">
        <v>36</v>
      </c>
      <c r="D101" s="91"/>
      <c r="E101" s="92">
        <v>0</v>
      </c>
      <c r="F101" s="86">
        <f>SUMIF('Daily Sales'!$B$107:$B$139,'MTL OP Debtor'!B101,'Daily Sales'!$G$107:$G$139)</f>
        <v>0</v>
      </c>
      <c r="G101" s="87">
        <f>SUMIF('Daily Sales'!$B$107:$B$139,'MTL OP Debtor'!B101,'Daily Sales'!$H$107:$H$139)</f>
        <v>0</v>
      </c>
      <c r="H101" s="86"/>
      <c r="I101" s="87">
        <f t="shared" si="12"/>
        <v>0</v>
      </c>
      <c r="J101" s="93"/>
      <c r="K101" s="94">
        <v>0</v>
      </c>
      <c r="L101" s="89">
        <f t="shared" si="13"/>
        <v>0</v>
      </c>
      <c r="M101" s="89"/>
      <c r="N101" s="89">
        <f t="shared" si="14"/>
        <v>0</v>
      </c>
    </row>
    <row r="102" spans="1:14" ht="24" customHeight="1" x14ac:dyDescent="0.5">
      <c r="A102" s="90">
        <v>18</v>
      </c>
      <c r="B102" s="83" t="s">
        <v>61</v>
      </c>
      <c r="C102" s="83" t="s">
        <v>60</v>
      </c>
      <c r="D102" s="91"/>
      <c r="E102" s="92">
        <v>0</v>
      </c>
      <c r="F102" s="86">
        <f>SUMIF('Daily Sales'!$B$107:$B$139,'MTL OP Debtor'!B102,'Daily Sales'!$G$107:$G$139)</f>
        <v>0</v>
      </c>
      <c r="G102" s="87">
        <f>SUMIF('Daily Sales'!$B$107:$B$139,'MTL OP Debtor'!B102,'Daily Sales'!$H$107:$H$139)</f>
        <v>0</v>
      </c>
      <c r="H102" s="86"/>
      <c r="I102" s="87">
        <f t="shared" si="12"/>
        <v>0</v>
      </c>
      <c r="J102" s="93"/>
      <c r="K102" s="94">
        <v>0</v>
      </c>
      <c r="L102" s="89">
        <f t="shared" si="13"/>
        <v>0</v>
      </c>
      <c r="M102" s="89"/>
      <c r="N102" s="89">
        <f t="shared" si="14"/>
        <v>0</v>
      </c>
    </row>
    <row r="103" spans="1:14" ht="24" customHeight="1" x14ac:dyDescent="0.5">
      <c r="A103" s="82">
        <v>19</v>
      </c>
      <c r="B103" s="83" t="s">
        <v>62</v>
      </c>
      <c r="C103" s="83" t="s">
        <v>63</v>
      </c>
      <c r="D103" s="91"/>
      <c r="E103" s="92">
        <v>0</v>
      </c>
      <c r="F103" s="86">
        <f>SUMIF('Daily Sales'!$B$107:$B$139,'MTL OP Debtor'!B103,'Daily Sales'!$G$107:$G$139)</f>
        <v>0</v>
      </c>
      <c r="G103" s="87">
        <f>SUMIF('Daily Sales'!$B$107:$B$139,'MTL OP Debtor'!B103,'Daily Sales'!$H$107:$H$139)</f>
        <v>0</v>
      </c>
      <c r="H103" s="86"/>
      <c r="I103" s="87">
        <f t="shared" si="12"/>
        <v>0</v>
      </c>
      <c r="J103" s="93"/>
      <c r="K103" s="94">
        <v>0</v>
      </c>
      <c r="L103" s="89">
        <f t="shared" si="13"/>
        <v>0</v>
      </c>
      <c r="M103" s="89"/>
      <c r="N103" s="89">
        <f>+K103+L103-M103</f>
        <v>0</v>
      </c>
    </row>
    <row r="104" spans="1:14" ht="24" customHeight="1" x14ac:dyDescent="0.5">
      <c r="A104" s="90">
        <v>20</v>
      </c>
      <c r="B104" s="83" t="s">
        <v>65</v>
      </c>
      <c r="C104" s="83" t="s">
        <v>64</v>
      </c>
      <c r="D104" s="91"/>
      <c r="E104" s="92">
        <v>0</v>
      </c>
      <c r="F104" s="86">
        <f>SUMIF('Daily Sales'!$B$107:$B$139,'MTL OP Debtor'!B104,'Daily Sales'!$G$107:$G$139)</f>
        <v>0</v>
      </c>
      <c r="G104" s="87">
        <f>SUMIF('Daily Sales'!$B$107:$B$139,'MTL OP Debtor'!B104,'Daily Sales'!$H$107:$H$139)</f>
        <v>0</v>
      </c>
      <c r="H104" s="86"/>
      <c r="I104" s="87">
        <f t="shared" si="12"/>
        <v>0</v>
      </c>
      <c r="J104" s="93"/>
      <c r="K104" s="94">
        <v>10</v>
      </c>
      <c r="L104" s="89">
        <f t="shared" si="13"/>
        <v>0</v>
      </c>
      <c r="M104" s="89"/>
      <c r="N104" s="89">
        <f t="shared" ref="N104:N120" si="15">+K104+L104-M104</f>
        <v>10</v>
      </c>
    </row>
    <row r="105" spans="1:14" ht="24" customHeight="1" x14ac:dyDescent="0.5">
      <c r="A105" s="82">
        <v>21</v>
      </c>
      <c r="B105" s="83" t="s">
        <v>66</v>
      </c>
      <c r="C105" s="83" t="s">
        <v>64</v>
      </c>
      <c r="D105" s="91"/>
      <c r="E105" s="92">
        <v>0</v>
      </c>
      <c r="F105" s="86">
        <f>SUMIF('Daily Sales'!$B$107:$B$139,'MTL OP Debtor'!B105,'Daily Sales'!$G$107:$G$139)</f>
        <v>0</v>
      </c>
      <c r="G105" s="87">
        <f>SUMIF('Daily Sales'!$B$107:$B$139,'MTL OP Debtor'!B105,'Daily Sales'!$H$107:$H$139)</f>
        <v>0</v>
      </c>
      <c r="H105" s="86"/>
      <c r="I105" s="87">
        <f t="shared" si="12"/>
        <v>0</v>
      </c>
      <c r="J105" s="93"/>
      <c r="K105" s="94">
        <v>0</v>
      </c>
      <c r="L105" s="89">
        <f t="shared" si="13"/>
        <v>0</v>
      </c>
      <c r="M105" s="89"/>
      <c r="N105" s="89">
        <f t="shared" si="15"/>
        <v>0</v>
      </c>
    </row>
    <row r="106" spans="1:14" ht="24" customHeight="1" x14ac:dyDescent="0.5">
      <c r="A106" s="90">
        <v>22</v>
      </c>
      <c r="B106" s="83" t="s">
        <v>67</v>
      </c>
      <c r="C106" s="83" t="s">
        <v>64</v>
      </c>
      <c r="D106" s="91"/>
      <c r="E106" s="92">
        <v>0</v>
      </c>
      <c r="F106" s="86">
        <f>SUMIF('Daily Sales'!$B$107:$B$139,'MTL OP Debtor'!B106,'Daily Sales'!$G$107:$G$139)</f>
        <v>0</v>
      </c>
      <c r="G106" s="87">
        <f>SUMIF('Daily Sales'!$B$107:$B$139,'MTL OP Debtor'!B106,'Daily Sales'!$H$107:$H$139)</f>
        <v>0</v>
      </c>
      <c r="H106" s="86"/>
      <c r="I106" s="87">
        <f t="shared" si="12"/>
        <v>0</v>
      </c>
      <c r="J106" s="93"/>
      <c r="K106" s="94">
        <v>0</v>
      </c>
      <c r="L106" s="89">
        <f t="shared" si="13"/>
        <v>0</v>
      </c>
      <c r="M106" s="89"/>
      <c r="N106" s="89">
        <f t="shared" si="15"/>
        <v>0</v>
      </c>
    </row>
    <row r="107" spans="1:14" ht="24" customHeight="1" x14ac:dyDescent="0.5">
      <c r="A107" s="82">
        <v>23</v>
      </c>
      <c r="B107" s="83" t="s">
        <v>68</v>
      </c>
      <c r="C107" s="83" t="s">
        <v>36</v>
      </c>
      <c r="D107" s="91"/>
      <c r="E107" s="92">
        <v>0</v>
      </c>
      <c r="F107" s="86">
        <f>SUMIF('Daily Sales'!$B$107:$B$139,'MTL OP Debtor'!B107,'Daily Sales'!$G$107:$G$139)</f>
        <v>3</v>
      </c>
      <c r="G107" s="87">
        <f>SUMIF('Daily Sales'!$B$107:$B$139,'MTL OP Debtor'!B107,'Daily Sales'!$H$107:$H$139)</f>
        <v>1830000</v>
      </c>
      <c r="H107" s="86">
        <v>1830000</v>
      </c>
      <c r="I107" s="87">
        <f t="shared" si="12"/>
        <v>0</v>
      </c>
      <c r="J107" s="93"/>
      <c r="K107" s="94">
        <v>0</v>
      </c>
      <c r="L107" s="89">
        <f t="shared" si="13"/>
        <v>3</v>
      </c>
      <c r="M107" s="89">
        <v>3</v>
      </c>
      <c r="N107" s="89">
        <f t="shared" si="15"/>
        <v>0</v>
      </c>
    </row>
    <row r="108" spans="1:14" ht="24" customHeight="1" x14ac:dyDescent="0.5">
      <c r="A108" s="90">
        <v>24</v>
      </c>
      <c r="B108" s="83" t="s">
        <v>69</v>
      </c>
      <c r="C108" s="95" t="s">
        <v>43</v>
      </c>
      <c r="D108" s="91"/>
      <c r="E108" s="92">
        <v>0</v>
      </c>
      <c r="F108" s="86">
        <f>SUMIF('Daily Sales'!$B$107:$B$139,'MTL OP Debtor'!B108,'Daily Sales'!$G$107:$G$139)</f>
        <v>0</v>
      </c>
      <c r="G108" s="87">
        <f>SUMIF('Daily Sales'!$B$107:$B$139,'MTL OP Debtor'!B108,'Daily Sales'!$H$107:$H$139)</f>
        <v>0</v>
      </c>
      <c r="H108" s="86"/>
      <c r="I108" s="87">
        <f t="shared" si="12"/>
        <v>0</v>
      </c>
      <c r="J108" s="93"/>
      <c r="K108" s="94">
        <v>0</v>
      </c>
      <c r="L108" s="89">
        <f t="shared" si="13"/>
        <v>0</v>
      </c>
      <c r="M108" s="89"/>
      <c r="N108" s="89">
        <f t="shared" si="15"/>
        <v>0</v>
      </c>
    </row>
    <row r="109" spans="1:14" ht="24" customHeight="1" x14ac:dyDescent="0.5">
      <c r="A109" s="82">
        <v>25</v>
      </c>
      <c r="B109" s="83" t="s">
        <v>72</v>
      </c>
      <c r="C109" s="95" t="s">
        <v>46</v>
      </c>
      <c r="D109" s="91"/>
      <c r="E109" s="92">
        <v>0</v>
      </c>
      <c r="F109" s="86">
        <f>SUMIF('Daily Sales'!$B$107:$B$139,'MTL OP Debtor'!B109,'Daily Sales'!$G$107:$G$139)</f>
        <v>0</v>
      </c>
      <c r="G109" s="87">
        <f>SUMIF('Daily Sales'!$B$107:$B$139,'MTL OP Debtor'!B109,'Daily Sales'!$H$107:$H$139)</f>
        <v>0</v>
      </c>
      <c r="H109" s="86"/>
      <c r="I109" s="87">
        <f t="shared" si="12"/>
        <v>0</v>
      </c>
      <c r="J109" s="93"/>
      <c r="K109" s="94">
        <v>1</v>
      </c>
      <c r="L109" s="89">
        <f t="shared" si="13"/>
        <v>0</v>
      </c>
      <c r="M109" s="89"/>
      <c r="N109" s="89">
        <f t="shared" si="15"/>
        <v>1</v>
      </c>
    </row>
    <row r="110" spans="1:14" ht="24" customHeight="1" x14ac:dyDescent="0.5">
      <c r="A110" s="90">
        <v>26</v>
      </c>
      <c r="B110" s="83" t="s">
        <v>70</v>
      </c>
      <c r="C110" s="95" t="s">
        <v>36</v>
      </c>
      <c r="D110" s="91"/>
      <c r="E110" s="92">
        <v>0</v>
      </c>
      <c r="F110" s="86">
        <f>SUMIF('Daily Sales'!$B$107:$B$139,'MTL OP Debtor'!B110,'Daily Sales'!$G$107:$G$139)</f>
        <v>0</v>
      </c>
      <c r="G110" s="87">
        <f>SUMIF('Daily Sales'!$B$107:$B$139,'MTL OP Debtor'!B110,'Daily Sales'!$H$107:$H$139)</f>
        <v>0</v>
      </c>
      <c r="H110" s="86"/>
      <c r="I110" s="87">
        <f t="shared" si="12"/>
        <v>0</v>
      </c>
      <c r="J110" s="93"/>
      <c r="K110" s="94">
        <v>14</v>
      </c>
      <c r="L110" s="89">
        <f t="shared" si="13"/>
        <v>0</v>
      </c>
      <c r="M110" s="89"/>
      <c r="N110" s="89">
        <f t="shared" si="15"/>
        <v>14</v>
      </c>
    </row>
    <row r="111" spans="1:14" ht="24" customHeight="1" x14ac:dyDescent="0.5">
      <c r="A111" s="82">
        <v>27</v>
      </c>
      <c r="B111" s="96" t="s">
        <v>74</v>
      </c>
      <c r="C111" s="97" t="s">
        <v>46</v>
      </c>
      <c r="D111" s="91"/>
      <c r="E111" s="92">
        <v>0</v>
      </c>
      <c r="F111" s="86">
        <f>SUMIF('Daily Sales'!$B$107:$B$139,'MTL OP Debtor'!B111,'Daily Sales'!$G$107:$G$139)</f>
        <v>0</v>
      </c>
      <c r="G111" s="87">
        <f>SUMIF('Daily Sales'!$B$107:$B$139,'MTL OP Debtor'!B111,'Daily Sales'!$H$107:$H$139)</f>
        <v>0</v>
      </c>
      <c r="H111" s="86"/>
      <c r="I111" s="87">
        <f t="shared" si="12"/>
        <v>0</v>
      </c>
      <c r="J111" s="93"/>
      <c r="K111" s="94">
        <v>0</v>
      </c>
      <c r="L111" s="89">
        <f t="shared" si="13"/>
        <v>0</v>
      </c>
      <c r="M111" s="89"/>
      <c r="N111" s="89">
        <f t="shared" si="15"/>
        <v>0</v>
      </c>
    </row>
    <row r="112" spans="1:14" ht="24" customHeight="1" x14ac:dyDescent="0.5">
      <c r="A112" s="90">
        <v>28</v>
      </c>
      <c r="B112" s="96" t="s">
        <v>75</v>
      </c>
      <c r="C112" s="97" t="s">
        <v>57</v>
      </c>
      <c r="D112" s="91"/>
      <c r="E112" s="92">
        <v>0</v>
      </c>
      <c r="F112" s="86">
        <f>SUMIF('Daily Sales'!$B$107:$B$139,'MTL OP Debtor'!B112,'Daily Sales'!$G$107:$G$139)</f>
        <v>0</v>
      </c>
      <c r="G112" s="87">
        <f>SUMIF('Daily Sales'!$B$107:$B$139,'MTL OP Debtor'!B112,'Daily Sales'!$H$107:$H$139)</f>
        <v>0</v>
      </c>
      <c r="H112" s="86"/>
      <c r="I112" s="87">
        <f t="shared" si="12"/>
        <v>0</v>
      </c>
      <c r="J112" s="93"/>
      <c r="K112" s="94">
        <v>0</v>
      </c>
      <c r="L112" s="89">
        <f t="shared" si="13"/>
        <v>0</v>
      </c>
      <c r="M112" s="89"/>
      <c r="N112" s="89">
        <f t="shared" si="15"/>
        <v>0</v>
      </c>
    </row>
    <row r="113" spans="1:14" ht="24" customHeight="1" x14ac:dyDescent="0.5">
      <c r="A113" s="82">
        <v>29</v>
      </c>
      <c r="B113" s="96" t="s">
        <v>76</v>
      </c>
      <c r="C113" s="97" t="s">
        <v>49</v>
      </c>
      <c r="D113" s="91"/>
      <c r="E113" s="92">
        <v>0</v>
      </c>
      <c r="F113" s="86">
        <f>SUMIF('Daily Sales'!$B$107:$B$139,'MTL OP Debtor'!B113,'Daily Sales'!$G$107:$G$139)</f>
        <v>20</v>
      </c>
      <c r="G113" s="87">
        <f>SUMIF('Daily Sales'!$B$107:$B$139,'MTL OP Debtor'!B113,'Daily Sales'!$H$107:$H$139)</f>
        <v>12140000</v>
      </c>
      <c r="H113" s="86"/>
      <c r="I113" s="87">
        <f t="shared" si="12"/>
        <v>12140000</v>
      </c>
      <c r="J113" s="93"/>
      <c r="K113" s="94">
        <v>0</v>
      </c>
      <c r="L113" s="89">
        <f t="shared" si="13"/>
        <v>20</v>
      </c>
      <c r="M113" s="89">
        <v>20</v>
      </c>
      <c r="N113" s="89">
        <f t="shared" si="15"/>
        <v>0</v>
      </c>
    </row>
    <row r="114" spans="1:14" ht="24" customHeight="1" x14ac:dyDescent="0.5">
      <c r="A114" s="90">
        <v>30</v>
      </c>
      <c r="B114" s="96" t="s">
        <v>77</v>
      </c>
      <c r="C114" s="97" t="s">
        <v>78</v>
      </c>
      <c r="D114" s="91"/>
      <c r="E114" s="92">
        <v>0</v>
      </c>
      <c r="F114" s="86">
        <f>SUMIF('Daily Sales'!$B$107:$B$139,'MTL OP Debtor'!B114,'Daily Sales'!$G$107:$G$139)</f>
        <v>0</v>
      </c>
      <c r="G114" s="87">
        <f>SUMIF('Daily Sales'!$B$107:$B$139,'MTL OP Debtor'!B114,'Daily Sales'!$H$107:$H$139)</f>
        <v>0</v>
      </c>
      <c r="H114" s="86"/>
      <c r="I114" s="87">
        <f t="shared" si="12"/>
        <v>0</v>
      </c>
      <c r="J114" s="93"/>
      <c r="K114" s="94">
        <v>0</v>
      </c>
      <c r="L114" s="89">
        <f t="shared" si="13"/>
        <v>0</v>
      </c>
      <c r="M114" s="89"/>
      <c r="N114" s="89">
        <f t="shared" si="15"/>
        <v>0</v>
      </c>
    </row>
    <row r="115" spans="1:14" ht="24" customHeight="1" x14ac:dyDescent="0.5">
      <c r="A115" s="82">
        <v>31</v>
      </c>
      <c r="B115" s="83" t="s">
        <v>79</v>
      </c>
      <c r="C115" s="95" t="s">
        <v>64</v>
      </c>
      <c r="D115" s="91"/>
      <c r="E115" s="92">
        <v>0</v>
      </c>
      <c r="F115" s="86">
        <f>SUMIF('Daily Sales'!$B$107:$B$139,'MTL OP Debtor'!B115,'Daily Sales'!$G$107:$G$139)</f>
        <v>0</v>
      </c>
      <c r="G115" s="87">
        <f>SUMIF('Daily Sales'!$B$107:$B$139,'MTL OP Debtor'!B115,'Daily Sales'!$H$107:$H$139)</f>
        <v>0</v>
      </c>
      <c r="H115" s="86"/>
      <c r="I115" s="87">
        <f t="shared" si="12"/>
        <v>0</v>
      </c>
      <c r="J115" s="93"/>
      <c r="K115" s="94">
        <v>0</v>
      </c>
      <c r="L115" s="89">
        <f t="shared" si="13"/>
        <v>0</v>
      </c>
      <c r="M115" s="89"/>
      <c r="N115" s="89">
        <f t="shared" si="15"/>
        <v>0</v>
      </c>
    </row>
    <row r="116" spans="1:14" ht="24" customHeight="1" x14ac:dyDescent="0.5">
      <c r="A116" s="90">
        <v>32</v>
      </c>
      <c r="B116" s="83" t="s">
        <v>82</v>
      </c>
      <c r="C116" s="95" t="s">
        <v>64</v>
      </c>
      <c r="D116" s="91"/>
      <c r="E116" s="92">
        <v>0</v>
      </c>
      <c r="F116" s="86">
        <f>SUMIF('Daily Sales'!$B$107:$B$139,'MTL OP Debtor'!B116,'Daily Sales'!$G$107:$G$139)</f>
        <v>3</v>
      </c>
      <c r="G116" s="87">
        <f>SUMIF('Daily Sales'!$B$107:$B$139,'MTL OP Debtor'!B116,'Daily Sales'!$H$107:$H$139)</f>
        <v>1830000</v>
      </c>
      <c r="H116" s="86">
        <v>1830000</v>
      </c>
      <c r="I116" s="87">
        <f t="shared" si="12"/>
        <v>0</v>
      </c>
      <c r="J116" s="93"/>
      <c r="K116" s="94">
        <v>0</v>
      </c>
      <c r="L116" s="89">
        <f t="shared" si="13"/>
        <v>3</v>
      </c>
      <c r="M116" s="89">
        <v>3</v>
      </c>
      <c r="N116" s="89">
        <f t="shared" si="15"/>
        <v>0</v>
      </c>
    </row>
    <row r="117" spans="1:14" ht="24" customHeight="1" x14ac:dyDescent="0.5">
      <c r="A117" s="82">
        <v>33</v>
      </c>
      <c r="B117" s="83" t="s">
        <v>81</v>
      </c>
      <c r="C117" s="83" t="s">
        <v>36</v>
      </c>
      <c r="D117" s="91"/>
      <c r="E117" s="92">
        <v>0</v>
      </c>
      <c r="F117" s="86">
        <f>SUMIF('Daily Sales'!$B$107:$B$139,'MTL OP Debtor'!B117,'Daily Sales'!$G$107:$G$139)</f>
        <v>0</v>
      </c>
      <c r="G117" s="87">
        <f>SUMIF('Daily Sales'!$B$107:$B$139,'MTL OP Debtor'!B117,'Daily Sales'!$H$107:$H$139)</f>
        <v>0</v>
      </c>
      <c r="H117" s="86"/>
      <c r="I117" s="87">
        <f t="shared" si="12"/>
        <v>0</v>
      </c>
      <c r="J117" s="93"/>
      <c r="K117" s="94">
        <v>0</v>
      </c>
      <c r="L117" s="89">
        <f t="shared" si="13"/>
        <v>0</v>
      </c>
      <c r="M117" s="89"/>
      <c r="N117" s="89">
        <f t="shared" si="15"/>
        <v>0</v>
      </c>
    </row>
    <row r="118" spans="1:14" ht="24" customHeight="1" x14ac:dyDescent="0.5">
      <c r="A118" s="82">
        <v>34</v>
      </c>
      <c r="B118" s="83" t="s">
        <v>86</v>
      </c>
      <c r="C118" s="83" t="s">
        <v>78</v>
      </c>
      <c r="D118" s="91"/>
      <c r="E118" s="92">
        <v>1785000</v>
      </c>
      <c r="F118" s="86">
        <f>SUMIF('Daily Sales'!$B$107:$B$139,'MTL OP Debtor'!B118,'Daily Sales'!$G$107:$G$139)</f>
        <v>0</v>
      </c>
      <c r="G118" s="87">
        <f>SUMIF('Daily Sales'!$B$107:$B$139,'MTL OP Debtor'!B118,'Daily Sales'!$H$107:$H$139)</f>
        <v>0</v>
      </c>
      <c r="H118" s="86">
        <v>1785000</v>
      </c>
      <c r="I118" s="87">
        <f t="shared" si="12"/>
        <v>0</v>
      </c>
      <c r="J118" s="93"/>
      <c r="K118" s="94">
        <v>6</v>
      </c>
      <c r="L118" s="89">
        <f t="shared" si="13"/>
        <v>0</v>
      </c>
      <c r="M118" s="89"/>
      <c r="N118" s="89">
        <f t="shared" si="15"/>
        <v>6</v>
      </c>
    </row>
    <row r="119" spans="1:14" ht="24" customHeight="1" x14ac:dyDescent="0.5">
      <c r="A119" s="82">
        <v>35</v>
      </c>
      <c r="B119" s="83">
        <v>90</v>
      </c>
      <c r="C119" s="83" t="s">
        <v>49</v>
      </c>
      <c r="D119" s="91"/>
      <c r="E119" s="92">
        <v>3050000</v>
      </c>
      <c r="F119" s="86">
        <f>SUMIF('Daily Sales'!$B$107:$B$139,'MTL OP Debtor'!B119,'Daily Sales'!$G$107:$G$139)</f>
        <v>0</v>
      </c>
      <c r="G119" s="87">
        <f>SUMIF('Daily Sales'!$B$107:$B$139,'MTL OP Debtor'!B119,'Daily Sales'!$H$107:$H$139)</f>
        <v>0</v>
      </c>
      <c r="H119" s="86">
        <v>3050000</v>
      </c>
      <c r="I119" s="87">
        <f t="shared" si="12"/>
        <v>0</v>
      </c>
      <c r="J119" s="93"/>
      <c r="K119" s="94">
        <v>6</v>
      </c>
      <c r="L119" s="89">
        <f t="shared" si="13"/>
        <v>0</v>
      </c>
      <c r="M119" s="89">
        <v>6</v>
      </c>
      <c r="N119" s="89">
        <f t="shared" si="15"/>
        <v>0</v>
      </c>
    </row>
    <row r="120" spans="1:14" ht="24" customHeight="1" x14ac:dyDescent="0.5">
      <c r="A120" s="90">
        <v>36</v>
      </c>
      <c r="B120" s="83" t="s">
        <v>90</v>
      </c>
      <c r="C120" s="97" t="s">
        <v>78</v>
      </c>
      <c r="D120" s="91"/>
      <c r="E120" s="92">
        <v>0</v>
      </c>
      <c r="F120" s="86">
        <f>SUMIF('Daily Sales'!$B$107:$B$139,'MTL OP Debtor'!B120,'Daily Sales'!$G$107:$G$139)</f>
        <v>0</v>
      </c>
      <c r="G120" s="87">
        <f>SUMIF('Daily Sales'!$B$107:$B$139,'MTL OP Debtor'!B120,'Daily Sales'!$H$107:$H$139)</f>
        <v>0</v>
      </c>
      <c r="H120" s="86"/>
      <c r="I120" s="87">
        <f t="shared" si="12"/>
        <v>0</v>
      </c>
      <c r="J120" s="93"/>
      <c r="K120" s="94">
        <v>5</v>
      </c>
      <c r="L120" s="89">
        <f t="shared" si="13"/>
        <v>0</v>
      </c>
      <c r="M120" s="89"/>
      <c r="N120" s="89">
        <f t="shared" si="15"/>
        <v>5</v>
      </c>
    </row>
    <row r="121" spans="1:14" ht="24" customHeight="1" x14ac:dyDescent="0.5">
      <c r="A121" s="98"/>
      <c r="B121" s="98"/>
      <c r="C121" s="98"/>
      <c r="D121" s="99"/>
      <c r="E121" s="99">
        <f>SUM(E85:E120)</f>
        <v>97579055</v>
      </c>
      <c r="F121" s="99">
        <f t="shared" ref="F121" si="16">SUM(F85:F120)</f>
        <v>185</v>
      </c>
      <c r="G121" s="99">
        <f>SUM(G85:G120)</f>
        <v>109488000</v>
      </c>
      <c r="H121" s="99">
        <f>SUM(H85:H120)</f>
        <v>91499137</v>
      </c>
      <c r="I121" s="99">
        <f t="shared" ref="I121" si="17">SUM(I85:I120)</f>
        <v>115567918</v>
      </c>
      <c r="J121" s="100"/>
      <c r="K121" s="101">
        <f>SUM(K85:K120)</f>
        <v>277</v>
      </c>
      <c r="L121" s="101">
        <f t="shared" ref="L121:N121" si="18">SUM(L85:L120)</f>
        <v>185</v>
      </c>
      <c r="M121" s="101">
        <f t="shared" si="18"/>
        <v>195</v>
      </c>
      <c r="N121" s="101">
        <f t="shared" si="18"/>
        <v>267</v>
      </c>
    </row>
  </sheetData>
  <mergeCells count="3">
    <mergeCell ref="A1:I1"/>
    <mergeCell ref="A42:I42"/>
    <mergeCell ref="A83:I8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B4623-7586-4CBD-B3E4-F98AFAC6D082}">
  <sheetPr>
    <tabColor theme="8" tint="0.79998168889431442"/>
  </sheetPr>
  <dimension ref="A1:P790"/>
  <sheetViews>
    <sheetView tabSelected="1" topLeftCell="A105" zoomScale="115" zoomScaleNormal="115" workbookViewId="0">
      <pane xSplit="2" ySplit="2" topLeftCell="C113" activePane="bottomRight" state="frozen"/>
      <selection activeCell="A105" sqref="A105"/>
      <selection pane="topRight" activeCell="C105" sqref="C105"/>
      <selection pane="bottomLeft" activeCell="A107" sqref="A107"/>
      <selection pane="bottomRight" activeCell="G129" sqref="G129"/>
    </sheetView>
  </sheetViews>
  <sheetFormatPr defaultColWidth="8.85546875" defaultRowHeight="19.5" x14ac:dyDescent="0.25"/>
  <cols>
    <col min="1" max="1" width="18.140625" style="72" customWidth="1"/>
    <col min="2" max="2" width="19.7109375" style="2" customWidth="1"/>
    <col min="3" max="3" width="22" style="2" customWidth="1"/>
    <col min="4" max="4" width="13.140625" style="2" customWidth="1"/>
    <col min="5" max="5" width="12.42578125" style="2" customWidth="1"/>
    <col min="6" max="6" width="10.7109375" style="2" customWidth="1"/>
    <col min="7" max="7" width="9.7109375" style="73" customWidth="1"/>
    <col min="8" max="8" width="14.28515625" style="2" customWidth="1"/>
    <col min="9" max="14" width="8.85546875" style="2"/>
    <col min="15" max="16" width="15.42578125" style="2" customWidth="1"/>
    <col min="17" max="16384" width="8.85546875" style="2"/>
  </cols>
  <sheetData>
    <row r="1" spans="1:16" ht="20.25" x14ac:dyDescent="0.25">
      <c r="A1" s="120" t="s">
        <v>94</v>
      </c>
      <c r="B1" s="120"/>
      <c r="C1" s="120"/>
      <c r="D1" s="120"/>
      <c r="E1" s="120"/>
      <c r="F1" s="120"/>
      <c r="G1" s="120"/>
      <c r="H1" s="120"/>
      <c r="I1" s="66"/>
      <c r="J1" s="66"/>
      <c r="K1" s="66"/>
      <c r="L1" s="66"/>
      <c r="M1" s="66"/>
      <c r="N1" s="66"/>
    </row>
    <row r="2" spans="1:16" ht="58.5" x14ac:dyDescent="0.25">
      <c r="A2" s="71" t="s">
        <v>3</v>
      </c>
      <c r="B2" s="51" t="s">
        <v>1</v>
      </c>
      <c r="C2" s="51" t="s">
        <v>2</v>
      </c>
      <c r="D2" s="51" t="s">
        <v>11</v>
      </c>
      <c r="E2" s="51" t="s">
        <v>6</v>
      </c>
      <c r="F2" s="52" t="s">
        <v>73</v>
      </c>
      <c r="G2" s="74" t="s">
        <v>4</v>
      </c>
      <c r="H2" s="52" t="s">
        <v>10</v>
      </c>
    </row>
    <row r="3" spans="1:16" x14ac:dyDescent="0.25">
      <c r="A3" s="72">
        <v>46024</v>
      </c>
      <c r="B3" s="2" t="s">
        <v>35</v>
      </c>
      <c r="C3" s="2" t="str">
        <f>VLOOKUP(B3,'Sales Price'!B:C,2,0)</f>
        <v>မိတ္ထီလာ</v>
      </c>
      <c r="E3" s="2" t="s">
        <v>8</v>
      </c>
      <c r="F3" s="63">
        <v>575000</v>
      </c>
      <c r="G3" s="75">
        <v>5</v>
      </c>
      <c r="H3" s="63">
        <f>F3*G3</f>
        <v>2875000</v>
      </c>
      <c r="I3" s="63"/>
      <c r="O3" s="2" t="s">
        <v>92</v>
      </c>
      <c r="P3" s="2" t="s">
        <v>91</v>
      </c>
    </row>
    <row r="4" spans="1:16" x14ac:dyDescent="0.25">
      <c r="A4" s="72">
        <v>46024</v>
      </c>
      <c r="B4" s="2" t="s">
        <v>38</v>
      </c>
      <c r="C4" s="2" t="str">
        <f>VLOOKUP(B4,'Sales Price'!B:C,2,0)</f>
        <v>ဝမ်းတွင်း</v>
      </c>
      <c r="E4" s="2" t="s">
        <v>8</v>
      </c>
      <c r="F4" s="63">
        <v>585000</v>
      </c>
      <c r="G4" s="75">
        <v>3</v>
      </c>
      <c r="H4" s="63">
        <f t="shared" ref="H4:H63" si="0">F4*G4</f>
        <v>1755000</v>
      </c>
      <c r="I4" s="63"/>
      <c r="O4" s="2">
        <v>575000</v>
      </c>
      <c r="P4" s="2">
        <f>SUMIF(F3:F63,O4,G3:G63)</f>
        <v>175</v>
      </c>
    </row>
    <row r="5" spans="1:16" x14ac:dyDescent="0.25">
      <c r="A5" s="72">
        <v>46025</v>
      </c>
      <c r="B5" s="2" t="s">
        <v>82</v>
      </c>
      <c r="C5" s="2" t="str">
        <f>VLOOKUP(B5,'Sales Price'!B:C,2,0)</f>
        <v>မလှိုင်</v>
      </c>
      <c r="E5" s="2" t="s">
        <v>8</v>
      </c>
      <c r="F5" s="63">
        <v>591000</v>
      </c>
      <c r="G5" s="75">
        <v>3</v>
      </c>
      <c r="H5" s="63">
        <f t="shared" si="0"/>
        <v>1773000</v>
      </c>
      <c r="I5" s="63"/>
      <c r="O5" s="2">
        <v>585000</v>
      </c>
      <c r="P5" s="2">
        <f>SUMIF(F4:F64,O5,G4:G64)</f>
        <v>69</v>
      </c>
    </row>
    <row r="6" spans="1:16" x14ac:dyDescent="0.25">
      <c r="A6" s="72">
        <v>46025</v>
      </c>
      <c r="B6" s="2" t="s">
        <v>38</v>
      </c>
      <c r="C6" s="2" t="str">
        <f>VLOOKUP(B6,'Sales Price'!B:C,2,0)</f>
        <v>ဝမ်းတွင်း</v>
      </c>
      <c r="E6" s="2" t="s">
        <v>8</v>
      </c>
      <c r="F6" s="63">
        <v>585000</v>
      </c>
      <c r="G6" s="75">
        <v>1</v>
      </c>
      <c r="H6" s="63">
        <f t="shared" si="0"/>
        <v>585000</v>
      </c>
      <c r="I6" s="63"/>
      <c r="O6" s="2">
        <v>591000</v>
      </c>
      <c r="P6" s="2">
        <f t="shared" ref="P6:P11" si="1">SUMIF(F5:F65,O6,G5:G65)</f>
        <v>22</v>
      </c>
    </row>
    <row r="7" spans="1:16" x14ac:dyDescent="0.25">
      <c r="A7" s="72">
        <v>46025</v>
      </c>
      <c r="B7" s="2" t="s">
        <v>55</v>
      </c>
      <c r="C7" s="2" t="str">
        <f>VLOOKUP(B7,'Sales Price'!B:C,2,0)</f>
        <v>မိတ္ထီလာ</v>
      </c>
      <c r="E7" s="2" t="s">
        <v>8</v>
      </c>
      <c r="F7" s="63">
        <v>585000</v>
      </c>
      <c r="G7" s="75">
        <v>1</v>
      </c>
      <c r="H7" s="63">
        <f t="shared" si="0"/>
        <v>585000</v>
      </c>
      <c r="I7" s="63"/>
      <c r="O7" s="2">
        <v>596000</v>
      </c>
      <c r="P7" s="2">
        <f t="shared" si="1"/>
        <v>13</v>
      </c>
    </row>
    <row r="8" spans="1:16" x14ac:dyDescent="0.25">
      <c r="A8" s="72">
        <v>46025</v>
      </c>
      <c r="B8" s="2" t="s">
        <v>37</v>
      </c>
      <c r="C8" s="2" t="str">
        <f>VLOOKUP(B8,'Sales Price'!B:C,2,0)</f>
        <v>မိတ္ထီလာ</v>
      </c>
      <c r="E8" s="2" t="s">
        <v>8</v>
      </c>
      <c r="F8" s="63">
        <v>585000</v>
      </c>
      <c r="G8" s="75">
        <v>1</v>
      </c>
      <c r="H8" s="63">
        <f t="shared" si="0"/>
        <v>585000</v>
      </c>
      <c r="I8" s="63"/>
      <c r="O8" s="2">
        <v>600000</v>
      </c>
      <c r="P8" s="2">
        <f t="shared" si="1"/>
        <v>0</v>
      </c>
    </row>
    <row r="9" spans="1:16" x14ac:dyDescent="0.25">
      <c r="A9" s="72">
        <v>46025</v>
      </c>
      <c r="B9" s="2" t="s">
        <v>35</v>
      </c>
      <c r="C9" s="2" t="str">
        <f>VLOOKUP(B9,'Sales Price'!B:C,2,0)</f>
        <v>မိတ္ထီလာ</v>
      </c>
      <c r="E9" s="2" t="s">
        <v>8</v>
      </c>
      <c r="F9" s="63">
        <v>575000</v>
      </c>
      <c r="G9" s="75">
        <v>10</v>
      </c>
      <c r="H9" s="63">
        <f t="shared" si="0"/>
        <v>5750000</v>
      </c>
      <c r="I9" s="63"/>
      <c r="O9" s="2">
        <v>607000</v>
      </c>
      <c r="P9" s="2">
        <f t="shared" si="1"/>
        <v>60</v>
      </c>
    </row>
    <row r="10" spans="1:16" x14ac:dyDescent="0.25">
      <c r="A10" s="72">
        <v>46027</v>
      </c>
      <c r="B10" s="2" t="s">
        <v>53</v>
      </c>
      <c r="C10" s="2" t="str">
        <f>VLOOKUP(B10,'Sales Price'!B:C,2,0)</f>
        <v>ရွှေဒါး</v>
      </c>
      <c r="E10" s="2" t="s">
        <v>7</v>
      </c>
      <c r="F10" s="63">
        <v>585000</v>
      </c>
      <c r="G10" s="75">
        <v>9</v>
      </c>
      <c r="H10" s="63">
        <f t="shared" si="0"/>
        <v>5265000</v>
      </c>
      <c r="I10" s="63"/>
      <c r="O10" s="2">
        <v>610000</v>
      </c>
      <c r="P10" s="2">
        <f t="shared" si="1"/>
        <v>10</v>
      </c>
    </row>
    <row r="11" spans="1:16" x14ac:dyDescent="0.25">
      <c r="A11" s="72">
        <v>46027</v>
      </c>
      <c r="B11" s="2" t="s">
        <v>35</v>
      </c>
      <c r="C11" s="2" t="str">
        <f>VLOOKUP(B11,'Sales Price'!B:C,2,0)</f>
        <v>မိတ္ထီလာ</v>
      </c>
      <c r="E11" s="2" t="s">
        <v>8</v>
      </c>
      <c r="F11" s="63">
        <v>575000</v>
      </c>
      <c r="G11" s="75">
        <v>5</v>
      </c>
      <c r="H11" s="63">
        <f t="shared" si="0"/>
        <v>2875000</v>
      </c>
      <c r="I11" s="63"/>
      <c r="O11" s="2">
        <v>595000</v>
      </c>
      <c r="P11" s="2">
        <f t="shared" si="1"/>
        <v>0</v>
      </c>
    </row>
    <row r="12" spans="1:16" x14ac:dyDescent="0.25">
      <c r="A12" s="72">
        <v>46027</v>
      </c>
      <c r="B12" s="2" t="s">
        <v>68</v>
      </c>
      <c r="C12" s="2" t="str">
        <f>VLOOKUP(B12,'Sales Price'!B:C,2,0)</f>
        <v>မိတ္ထီလာ</v>
      </c>
      <c r="E12" s="2" t="s">
        <v>7</v>
      </c>
      <c r="F12" s="63">
        <v>585000</v>
      </c>
      <c r="G12" s="75">
        <v>3</v>
      </c>
      <c r="H12" s="63">
        <f t="shared" si="0"/>
        <v>1755000</v>
      </c>
      <c r="I12" s="63"/>
    </row>
    <row r="13" spans="1:16" ht="20.25" thickBot="1" x14ac:dyDescent="0.3">
      <c r="A13" s="72">
        <v>46028</v>
      </c>
      <c r="B13" s="2" t="s">
        <v>45</v>
      </c>
      <c r="C13" s="2" t="str">
        <f>VLOOKUP(B13,'Sales Price'!B:C,2,0)</f>
        <v>ကျောက်ပန်းတောင်း</v>
      </c>
      <c r="E13" s="2" t="s">
        <v>8</v>
      </c>
      <c r="F13" s="63">
        <v>591000</v>
      </c>
      <c r="G13" s="75">
        <v>5</v>
      </c>
      <c r="H13" s="63">
        <f t="shared" si="0"/>
        <v>2955000</v>
      </c>
      <c r="I13" s="63"/>
      <c r="P13" s="62">
        <f>SUM(P4:P12)</f>
        <v>349</v>
      </c>
    </row>
    <row r="14" spans="1:16" ht="20.25" thickTop="1" x14ac:dyDescent="0.25">
      <c r="A14" s="72">
        <v>46028</v>
      </c>
      <c r="B14" s="2" t="s">
        <v>55</v>
      </c>
      <c r="C14" s="2" t="str">
        <f>VLOOKUP(B14,'Sales Price'!B:C,2,0)</f>
        <v>မိတ္ထီလာ</v>
      </c>
      <c r="E14" s="2" t="s">
        <v>8</v>
      </c>
      <c r="F14" s="63">
        <v>585000</v>
      </c>
      <c r="G14" s="75">
        <v>1</v>
      </c>
      <c r="H14" s="63">
        <f t="shared" si="0"/>
        <v>585000</v>
      </c>
      <c r="I14" s="63"/>
      <c r="P14" s="63">
        <f>SUMPRODUCT(O4:O12,P4:P12)</f>
        <v>204260000</v>
      </c>
    </row>
    <row r="15" spans="1:16" x14ac:dyDescent="0.25">
      <c r="A15" s="72">
        <v>46028</v>
      </c>
      <c r="B15" s="2" t="s">
        <v>35</v>
      </c>
      <c r="C15" s="2" t="str">
        <f>VLOOKUP(B15,'Sales Price'!B:C,2,0)</f>
        <v>မိတ္ထီလာ</v>
      </c>
      <c r="E15" s="2" t="s">
        <v>8</v>
      </c>
      <c r="F15" s="63">
        <v>575000</v>
      </c>
      <c r="G15" s="75">
        <v>15</v>
      </c>
      <c r="H15" s="63">
        <f t="shared" si="0"/>
        <v>8625000</v>
      </c>
      <c r="I15" s="63"/>
    </row>
    <row r="16" spans="1:16" x14ac:dyDescent="0.25">
      <c r="A16" s="72">
        <v>46029</v>
      </c>
      <c r="B16" s="2" t="s">
        <v>51</v>
      </c>
      <c r="C16" s="2" t="str">
        <f>VLOOKUP(B16,'Sales Price'!B:C,2,0)</f>
        <v>ပခုက္ကူ</v>
      </c>
      <c r="E16" s="2" t="s">
        <v>8</v>
      </c>
      <c r="F16" s="63">
        <v>607000</v>
      </c>
      <c r="G16" s="75">
        <v>20</v>
      </c>
      <c r="H16" s="63">
        <f t="shared" si="0"/>
        <v>12140000</v>
      </c>
      <c r="I16" s="63"/>
    </row>
    <row r="17" spans="1:9" x14ac:dyDescent="0.25">
      <c r="A17" s="72">
        <v>46029</v>
      </c>
      <c r="B17" s="2" t="s">
        <v>50</v>
      </c>
      <c r="C17" s="2" t="str">
        <f>VLOOKUP(B17,'Sales Price'!B:C,2,0)</f>
        <v>ပခုက္ကူ</v>
      </c>
      <c r="E17" s="2" t="s">
        <v>8</v>
      </c>
      <c r="F17" s="63">
        <v>607000</v>
      </c>
      <c r="G17" s="75">
        <v>10</v>
      </c>
      <c r="H17" s="63">
        <f t="shared" si="0"/>
        <v>6070000</v>
      </c>
      <c r="I17" s="63"/>
    </row>
    <row r="18" spans="1:9" x14ac:dyDescent="0.25">
      <c r="A18" s="72">
        <v>46029</v>
      </c>
      <c r="B18" s="2" t="s">
        <v>54</v>
      </c>
      <c r="C18" s="2" t="str">
        <f>VLOOKUP(B18,'Sales Price'!B:C,2,0)</f>
        <v>ပခုက္ကူ</v>
      </c>
      <c r="E18" s="2" t="s">
        <v>8</v>
      </c>
      <c r="F18" s="63">
        <v>607000</v>
      </c>
      <c r="G18" s="75">
        <v>10</v>
      </c>
      <c r="H18" s="63">
        <f t="shared" si="0"/>
        <v>6070000</v>
      </c>
      <c r="I18" s="63"/>
    </row>
    <row r="19" spans="1:9" x14ac:dyDescent="0.25">
      <c r="A19" s="72">
        <v>46029</v>
      </c>
      <c r="B19" s="2" t="s">
        <v>67</v>
      </c>
      <c r="C19" s="2" t="str">
        <f>VLOOKUP(B19,'Sales Price'!B:C,2,0)</f>
        <v>မလှိုင်</v>
      </c>
      <c r="E19" s="2" t="s">
        <v>8</v>
      </c>
      <c r="F19" s="63">
        <v>596000</v>
      </c>
      <c r="G19" s="75">
        <v>1</v>
      </c>
      <c r="H19" s="63">
        <f t="shared" si="0"/>
        <v>596000</v>
      </c>
      <c r="I19" s="63"/>
    </row>
    <row r="20" spans="1:9" x14ac:dyDescent="0.25">
      <c r="A20" s="72">
        <v>46029</v>
      </c>
      <c r="B20" s="2" t="s">
        <v>66</v>
      </c>
      <c r="C20" s="2" t="str">
        <f>VLOOKUP(B20,'Sales Price'!B:C,2,0)</f>
        <v>မလှိုင်</v>
      </c>
      <c r="E20" s="2" t="s">
        <v>8</v>
      </c>
      <c r="F20" s="63">
        <v>596000</v>
      </c>
      <c r="G20" s="75">
        <v>2</v>
      </c>
      <c r="H20" s="63">
        <f t="shared" si="0"/>
        <v>1192000</v>
      </c>
      <c r="I20" s="63"/>
    </row>
    <row r="21" spans="1:9" x14ac:dyDescent="0.25">
      <c r="A21" s="72">
        <v>46029</v>
      </c>
      <c r="B21" s="2" t="s">
        <v>38</v>
      </c>
      <c r="C21" s="2" t="str">
        <f>VLOOKUP(B21,'Sales Price'!B:C,2,0)</f>
        <v>ဝမ်းတွင်း</v>
      </c>
      <c r="E21" s="2" t="s">
        <v>8</v>
      </c>
      <c r="F21" s="63">
        <v>585000</v>
      </c>
      <c r="G21" s="75">
        <v>5</v>
      </c>
      <c r="H21" s="63">
        <f t="shared" si="0"/>
        <v>2925000</v>
      </c>
      <c r="I21" s="63"/>
    </row>
    <row r="22" spans="1:9" x14ac:dyDescent="0.25">
      <c r="A22" s="72">
        <v>46030</v>
      </c>
      <c r="B22" s="2" t="s">
        <v>55</v>
      </c>
      <c r="C22" s="2" t="str">
        <f>VLOOKUP(B22,'Sales Price'!B:C,2,0)</f>
        <v>မိတ္ထီလာ</v>
      </c>
      <c r="E22" s="2" t="s">
        <v>8</v>
      </c>
      <c r="F22" s="63">
        <v>585000</v>
      </c>
      <c r="G22" s="75">
        <v>1</v>
      </c>
      <c r="H22" s="63">
        <f t="shared" si="0"/>
        <v>585000</v>
      </c>
      <c r="I22" s="63"/>
    </row>
    <row r="23" spans="1:9" x14ac:dyDescent="0.25">
      <c r="A23" s="72">
        <v>46030</v>
      </c>
      <c r="B23" s="2" t="s">
        <v>35</v>
      </c>
      <c r="C23" s="2" t="str">
        <f>VLOOKUP(B23,'Sales Price'!B:C,2,0)</f>
        <v>မိတ္ထီလာ</v>
      </c>
      <c r="E23" s="2" t="s">
        <v>8</v>
      </c>
      <c r="F23" s="63">
        <v>575000</v>
      </c>
      <c r="G23" s="75">
        <v>5</v>
      </c>
      <c r="H23" s="63">
        <f t="shared" si="0"/>
        <v>2875000</v>
      </c>
      <c r="I23" s="63"/>
    </row>
    <row r="24" spans="1:9" x14ac:dyDescent="0.25">
      <c r="A24" s="72">
        <v>46031</v>
      </c>
      <c r="B24" s="2" t="s">
        <v>35</v>
      </c>
      <c r="C24" s="2" t="str">
        <f>VLOOKUP(B24,'Sales Price'!B:C,2,0)</f>
        <v>မိတ္ထီလာ</v>
      </c>
      <c r="E24" s="2" t="s">
        <v>8</v>
      </c>
      <c r="F24" s="63">
        <v>575000</v>
      </c>
      <c r="G24" s="75">
        <v>15</v>
      </c>
      <c r="H24" s="63">
        <f t="shared" si="0"/>
        <v>8625000</v>
      </c>
      <c r="I24" s="63"/>
    </row>
    <row r="25" spans="1:9" x14ac:dyDescent="0.25">
      <c r="A25" s="72">
        <v>46031</v>
      </c>
      <c r="B25" s="2" t="s">
        <v>55</v>
      </c>
      <c r="C25" s="2" t="str">
        <f>VLOOKUP(B25,'Sales Price'!B:C,2,0)</f>
        <v>မိတ္ထီလာ</v>
      </c>
      <c r="E25" s="2" t="s">
        <v>8</v>
      </c>
      <c r="F25" s="63">
        <v>585000</v>
      </c>
      <c r="G25" s="75">
        <v>1</v>
      </c>
      <c r="H25" s="63">
        <f t="shared" si="0"/>
        <v>585000</v>
      </c>
      <c r="I25" s="63"/>
    </row>
    <row r="26" spans="1:9" x14ac:dyDescent="0.25">
      <c r="A26" s="72">
        <v>46032</v>
      </c>
      <c r="B26" s="2" t="s">
        <v>35</v>
      </c>
      <c r="C26" s="2" t="str">
        <f>VLOOKUP(B26,'Sales Price'!B:C,2,0)</f>
        <v>မိတ္ထီလာ</v>
      </c>
      <c r="E26" s="2" t="s">
        <v>8</v>
      </c>
      <c r="F26" s="63">
        <v>575000</v>
      </c>
      <c r="G26" s="75">
        <v>10</v>
      </c>
      <c r="H26" s="63">
        <f t="shared" si="0"/>
        <v>5750000</v>
      </c>
      <c r="I26" s="63"/>
    </row>
    <row r="27" spans="1:9" x14ac:dyDescent="0.25">
      <c r="A27" s="72">
        <v>46034</v>
      </c>
      <c r="B27" s="2" t="s">
        <v>35</v>
      </c>
      <c r="C27" s="2" t="str">
        <f>VLOOKUP(B27,'Sales Price'!B:C,2,0)</f>
        <v>မိတ္ထီလာ</v>
      </c>
      <c r="E27" s="2" t="s">
        <v>8</v>
      </c>
      <c r="F27" s="63">
        <v>575000</v>
      </c>
      <c r="G27" s="75">
        <v>15</v>
      </c>
      <c r="H27" s="63">
        <f t="shared" si="0"/>
        <v>8625000</v>
      </c>
      <c r="I27" s="63"/>
    </row>
    <row r="28" spans="1:9" x14ac:dyDescent="0.25">
      <c r="A28" s="72">
        <v>46034</v>
      </c>
      <c r="B28" s="2" t="s">
        <v>68</v>
      </c>
      <c r="C28" s="2" t="str">
        <f>VLOOKUP(B28,'Sales Price'!B:C,2,0)</f>
        <v>မိတ္ထီလာ</v>
      </c>
      <c r="E28" s="2" t="s">
        <v>7</v>
      </c>
      <c r="F28" s="63">
        <v>585000</v>
      </c>
      <c r="G28" s="75">
        <v>3</v>
      </c>
      <c r="H28" s="63">
        <f t="shared" si="0"/>
        <v>1755000</v>
      </c>
      <c r="I28" s="63"/>
    </row>
    <row r="29" spans="1:9" x14ac:dyDescent="0.25">
      <c r="A29" s="72">
        <v>46034</v>
      </c>
      <c r="B29" s="2" t="s">
        <v>42</v>
      </c>
      <c r="C29" s="2" t="str">
        <f>VLOOKUP(B29,'Sales Price'!B:C,2,0)</f>
        <v>သာစည်</v>
      </c>
      <c r="E29" s="2" t="s">
        <v>8</v>
      </c>
      <c r="F29" s="63">
        <v>585000</v>
      </c>
      <c r="G29" s="75">
        <v>1</v>
      </c>
      <c r="H29" s="63">
        <f t="shared" si="0"/>
        <v>585000</v>
      </c>
      <c r="I29" s="63"/>
    </row>
    <row r="30" spans="1:9" x14ac:dyDescent="0.25">
      <c r="A30" s="72">
        <v>46035</v>
      </c>
      <c r="B30" s="2" t="s">
        <v>55</v>
      </c>
      <c r="C30" s="2" t="str">
        <f>VLOOKUP(B30,'Sales Price'!B:C,2,0)</f>
        <v>မိတ္ထီလာ</v>
      </c>
      <c r="E30" s="2" t="s">
        <v>8</v>
      </c>
      <c r="F30" s="63">
        <v>585000</v>
      </c>
      <c r="G30" s="75">
        <v>1</v>
      </c>
      <c r="H30" s="63">
        <f t="shared" si="0"/>
        <v>585000</v>
      </c>
      <c r="I30" s="63"/>
    </row>
    <row r="31" spans="1:9" x14ac:dyDescent="0.25">
      <c r="A31" s="72">
        <v>46036</v>
      </c>
      <c r="B31" s="2" t="s">
        <v>82</v>
      </c>
      <c r="C31" s="2" t="str">
        <f>VLOOKUP(B31,'Sales Price'!B:C,2,0)</f>
        <v>မလှိုင်</v>
      </c>
      <c r="E31" s="2" t="s">
        <v>8</v>
      </c>
      <c r="F31" s="63">
        <v>591000</v>
      </c>
      <c r="G31" s="75">
        <v>1</v>
      </c>
      <c r="H31" s="63">
        <f t="shared" si="0"/>
        <v>591000</v>
      </c>
      <c r="I31" s="63"/>
    </row>
    <row r="32" spans="1:9" x14ac:dyDescent="0.25">
      <c r="A32" s="72">
        <v>46037</v>
      </c>
      <c r="B32" s="2" t="s">
        <v>35</v>
      </c>
      <c r="C32" s="2" t="str">
        <f>VLOOKUP(B32,'Sales Price'!B:C,2,0)</f>
        <v>မိတ္ထီလာ</v>
      </c>
      <c r="E32" s="2" t="s">
        <v>8</v>
      </c>
      <c r="F32" s="63">
        <v>575000</v>
      </c>
      <c r="G32" s="75">
        <v>20</v>
      </c>
      <c r="H32" s="63">
        <f t="shared" si="0"/>
        <v>11500000</v>
      </c>
      <c r="I32" s="63"/>
    </row>
    <row r="33" spans="1:9" x14ac:dyDescent="0.25">
      <c r="A33" s="72">
        <v>46037</v>
      </c>
      <c r="B33" s="2" t="s">
        <v>38</v>
      </c>
      <c r="C33" s="2" t="str">
        <f>VLOOKUP(B33,'Sales Price'!B:C,2,0)</f>
        <v>ဝမ်းတွင်း</v>
      </c>
      <c r="E33" s="2" t="s">
        <v>8</v>
      </c>
      <c r="F33" s="63">
        <v>585000</v>
      </c>
      <c r="G33" s="75">
        <v>3</v>
      </c>
      <c r="H33" s="63">
        <f t="shared" si="0"/>
        <v>1755000</v>
      </c>
      <c r="I33" s="63"/>
    </row>
    <row r="34" spans="1:9" x14ac:dyDescent="0.25">
      <c r="A34" s="72">
        <v>46038</v>
      </c>
      <c r="B34" s="2" t="s">
        <v>68</v>
      </c>
      <c r="C34" s="2" t="str">
        <f>VLOOKUP(B34,'Sales Price'!B:C,2,0)</f>
        <v>မိတ္ထီလာ</v>
      </c>
      <c r="E34" s="2" t="s">
        <v>8</v>
      </c>
      <c r="F34" s="63">
        <v>585000</v>
      </c>
      <c r="G34" s="75">
        <v>3</v>
      </c>
      <c r="H34" s="63">
        <f t="shared" si="0"/>
        <v>1755000</v>
      </c>
      <c r="I34" s="63"/>
    </row>
    <row r="35" spans="1:9" x14ac:dyDescent="0.25">
      <c r="A35" s="72">
        <v>46039</v>
      </c>
      <c r="B35" s="2" t="s">
        <v>47</v>
      </c>
      <c r="C35" s="2" t="str">
        <f>VLOOKUP(B35,'Sales Price'!B:C,2,0)</f>
        <v>ကျောက်ပန်းတောင်း</v>
      </c>
      <c r="E35" s="2" t="s">
        <v>8</v>
      </c>
      <c r="F35" s="63">
        <v>596000</v>
      </c>
      <c r="G35" s="75">
        <v>10</v>
      </c>
      <c r="H35" s="63">
        <f t="shared" si="0"/>
        <v>5960000</v>
      </c>
      <c r="I35" s="63"/>
    </row>
    <row r="36" spans="1:9" x14ac:dyDescent="0.25">
      <c r="A36" s="72">
        <v>46039</v>
      </c>
      <c r="B36" s="2" t="s">
        <v>35</v>
      </c>
      <c r="C36" s="2" t="str">
        <f>VLOOKUP(B36,'Sales Price'!B:C,2,0)</f>
        <v>မိတ္ထီလာ</v>
      </c>
      <c r="E36" s="2" t="s">
        <v>8</v>
      </c>
      <c r="F36" s="63">
        <v>575000</v>
      </c>
      <c r="G36" s="75">
        <v>10</v>
      </c>
      <c r="H36" s="63">
        <f t="shared" si="0"/>
        <v>5750000</v>
      </c>
      <c r="I36" s="63"/>
    </row>
    <row r="37" spans="1:9" x14ac:dyDescent="0.25">
      <c r="A37" s="72">
        <v>46039</v>
      </c>
      <c r="B37" s="2" t="s">
        <v>37</v>
      </c>
      <c r="C37" s="2" t="str">
        <f>VLOOKUP(B37,'Sales Price'!B:C,2,0)</f>
        <v>မိတ္ထီလာ</v>
      </c>
      <c r="E37" s="2" t="s">
        <v>8</v>
      </c>
      <c r="F37" s="63">
        <v>585000</v>
      </c>
      <c r="G37" s="75">
        <v>1</v>
      </c>
      <c r="H37" s="63">
        <f t="shared" si="0"/>
        <v>585000</v>
      </c>
      <c r="I37" s="63"/>
    </row>
    <row r="38" spans="1:9" x14ac:dyDescent="0.25">
      <c r="A38" s="72">
        <v>46041</v>
      </c>
      <c r="B38" s="2" t="s">
        <v>41</v>
      </c>
      <c r="C38" s="2" t="str">
        <f>VLOOKUP(B38,'Sales Price'!B:C,2,0)</f>
        <v>ဝမ်းတွင်း</v>
      </c>
      <c r="E38" s="2" t="s">
        <v>8</v>
      </c>
      <c r="F38" s="63">
        <v>585000</v>
      </c>
      <c r="G38" s="75">
        <v>1</v>
      </c>
      <c r="H38" s="63">
        <f t="shared" si="0"/>
        <v>585000</v>
      </c>
      <c r="I38" s="63"/>
    </row>
    <row r="39" spans="1:9" x14ac:dyDescent="0.25">
      <c r="A39" s="72">
        <v>46041</v>
      </c>
      <c r="B39" s="2" t="s">
        <v>68</v>
      </c>
      <c r="C39" s="2" t="str">
        <f>VLOOKUP(B39,'Sales Price'!B:C,2,0)</f>
        <v>မိတ္ထီလာ</v>
      </c>
      <c r="E39" s="2" t="s">
        <v>8</v>
      </c>
      <c r="F39" s="63">
        <v>585000</v>
      </c>
      <c r="G39" s="75">
        <v>3</v>
      </c>
      <c r="H39" s="63">
        <f t="shared" si="0"/>
        <v>1755000</v>
      </c>
      <c r="I39" s="63"/>
    </row>
    <row r="40" spans="1:9" x14ac:dyDescent="0.25">
      <c r="A40" s="72">
        <v>46041</v>
      </c>
      <c r="B40" s="2" t="s">
        <v>55</v>
      </c>
      <c r="C40" s="2" t="str">
        <f>VLOOKUP(B40,'Sales Price'!B:C,2,0)</f>
        <v>မိတ္ထီလာ</v>
      </c>
      <c r="E40" s="2" t="s">
        <v>8</v>
      </c>
      <c r="F40" s="63">
        <v>585000</v>
      </c>
      <c r="G40" s="75">
        <v>1</v>
      </c>
      <c r="H40" s="63">
        <f t="shared" si="0"/>
        <v>585000</v>
      </c>
      <c r="I40" s="63"/>
    </row>
    <row r="41" spans="1:9" x14ac:dyDescent="0.25">
      <c r="A41" s="72">
        <v>46042</v>
      </c>
      <c r="B41" s="2" t="s">
        <v>35</v>
      </c>
      <c r="C41" s="2" t="str">
        <f>VLOOKUP(B41,'Sales Price'!B:C,2,0)</f>
        <v>မိတ္ထီလာ</v>
      </c>
      <c r="E41" s="2" t="s">
        <v>8</v>
      </c>
      <c r="F41" s="63">
        <v>575000</v>
      </c>
      <c r="G41" s="75">
        <v>10</v>
      </c>
      <c r="H41" s="63">
        <f t="shared" si="0"/>
        <v>5750000</v>
      </c>
      <c r="I41" s="63"/>
    </row>
    <row r="42" spans="1:9" x14ac:dyDescent="0.25">
      <c r="A42" s="72">
        <v>46043</v>
      </c>
      <c r="B42" s="2" t="s">
        <v>35</v>
      </c>
      <c r="C42" s="2" t="str">
        <f>VLOOKUP(B42,'Sales Price'!B:C,2,0)</f>
        <v>မိတ္ထီလာ</v>
      </c>
      <c r="E42" s="2" t="s">
        <v>8</v>
      </c>
      <c r="F42" s="63">
        <v>575000</v>
      </c>
      <c r="G42" s="75">
        <v>5</v>
      </c>
      <c r="H42" s="63">
        <f t="shared" si="0"/>
        <v>2875000</v>
      </c>
      <c r="I42" s="63"/>
    </row>
    <row r="43" spans="1:9" x14ac:dyDescent="0.25">
      <c r="A43" s="72">
        <v>46043</v>
      </c>
      <c r="B43" s="2" t="s">
        <v>53</v>
      </c>
      <c r="C43" s="2" t="str">
        <f>VLOOKUP(B43,'Sales Price'!B:C,2,0)</f>
        <v>ရွှေဒါး</v>
      </c>
      <c r="E43" s="2" t="s">
        <v>8</v>
      </c>
      <c r="F43" s="63">
        <v>585000</v>
      </c>
      <c r="G43" s="75">
        <v>3</v>
      </c>
      <c r="H43" s="63">
        <f t="shared" si="0"/>
        <v>1755000</v>
      </c>
      <c r="I43" s="63"/>
    </row>
    <row r="44" spans="1:9" x14ac:dyDescent="0.25">
      <c r="A44" s="72">
        <v>46043</v>
      </c>
      <c r="B44" s="2" t="s">
        <v>55</v>
      </c>
      <c r="C44" s="2" t="str">
        <f>VLOOKUP(B44,'Sales Price'!B:C,2,0)</f>
        <v>မိတ္ထီလာ</v>
      </c>
      <c r="E44" s="2" t="s">
        <v>8</v>
      </c>
      <c r="F44" s="63">
        <v>585000</v>
      </c>
      <c r="G44" s="75">
        <v>1</v>
      </c>
      <c r="H44" s="63">
        <f t="shared" si="0"/>
        <v>585000</v>
      </c>
      <c r="I44" s="63"/>
    </row>
    <row r="45" spans="1:9" x14ac:dyDescent="0.25">
      <c r="A45" s="72">
        <v>46045</v>
      </c>
      <c r="B45" s="2" t="s">
        <v>45</v>
      </c>
      <c r="C45" s="2" t="str">
        <f>VLOOKUP(B45,'Sales Price'!B:C,2,0)</f>
        <v>ကျောက်ပန်းတောင်း</v>
      </c>
      <c r="E45" s="2" t="s">
        <v>8</v>
      </c>
      <c r="F45" s="63">
        <v>591000</v>
      </c>
      <c r="G45" s="75">
        <v>5</v>
      </c>
      <c r="H45" s="63">
        <f t="shared" si="0"/>
        <v>2955000</v>
      </c>
      <c r="I45" s="63"/>
    </row>
    <row r="46" spans="1:9" x14ac:dyDescent="0.25">
      <c r="A46" s="72">
        <v>46045</v>
      </c>
      <c r="B46" s="2" t="s">
        <v>53</v>
      </c>
      <c r="C46" s="2" t="str">
        <f>VLOOKUP(B46,'Sales Price'!B:C,2,0)</f>
        <v>ရွှေဒါး</v>
      </c>
      <c r="E46" s="2" t="s">
        <v>7</v>
      </c>
      <c r="F46" s="63">
        <v>585000</v>
      </c>
      <c r="G46" s="75">
        <v>6</v>
      </c>
      <c r="H46" s="63">
        <f t="shared" si="0"/>
        <v>3510000</v>
      </c>
      <c r="I46" s="63"/>
    </row>
    <row r="47" spans="1:9" x14ac:dyDescent="0.25">
      <c r="A47" s="72">
        <v>46045</v>
      </c>
      <c r="B47" s="2" t="s">
        <v>38</v>
      </c>
      <c r="C47" s="2" t="str">
        <f>VLOOKUP(B47,'Sales Price'!B:C,2,0)</f>
        <v>ဝမ်းတွင်း</v>
      </c>
      <c r="E47" s="2" t="s">
        <v>8</v>
      </c>
      <c r="F47" s="63">
        <v>585000</v>
      </c>
      <c r="G47" s="75">
        <v>2</v>
      </c>
      <c r="H47" s="63">
        <f t="shared" si="0"/>
        <v>1170000</v>
      </c>
      <c r="I47" s="63"/>
    </row>
    <row r="48" spans="1:9" x14ac:dyDescent="0.25">
      <c r="A48" s="72">
        <v>46045</v>
      </c>
      <c r="B48" s="2" t="s">
        <v>55</v>
      </c>
      <c r="C48" s="2" t="str">
        <f>VLOOKUP(B48,'Sales Price'!B:C,2,0)</f>
        <v>မိတ္ထီလာ</v>
      </c>
      <c r="E48" s="2" t="s">
        <v>8</v>
      </c>
      <c r="F48" s="63">
        <v>585000</v>
      </c>
      <c r="G48" s="75">
        <v>1</v>
      </c>
      <c r="H48" s="63">
        <f t="shared" si="0"/>
        <v>585000</v>
      </c>
      <c r="I48" s="63"/>
    </row>
    <row r="49" spans="1:9" x14ac:dyDescent="0.25">
      <c r="A49" s="72">
        <v>46045</v>
      </c>
      <c r="B49" s="2" t="s">
        <v>35</v>
      </c>
      <c r="C49" s="2" t="str">
        <f>VLOOKUP(B49,'Sales Price'!B:C,2,0)</f>
        <v>မိတ္ထီလာ</v>
      </c>
      <c r="E49" s="2" t="s">
        <v>8</v>
      </c>
      <c r="F49" s="63">
        <v>575000</v>
      </c>
      <c r="G49" s="75">
        <v>10</v>
      </c>
      <c r="H49" s="63">
        <f t="shared" si="0"/>
        <v>5750000</v>
      </c>
      <c r="I49" s="63"/>
    </row>
    <row r="50" spans="1:9" x14ac:dyDescent="0.25">
      <c r="A50" s="72">
        <v>46046</v>
      </c>
      <c r="B50" s="2" t="s">
        <v>35</v>
      </c>
      <c r="C50" s="2" t="str">
        <f>VLOOKUP(B50,'Sales Price'!B:C,2,0)</f>
        <v>မိတ္ထီလာ</v>
      </c>
      <c r="E50" s="2" t="s">
        <v>8</v>
      </c>
      <c r="F50" s="63">
        <v>575000</v>
      </c>
      <c r="G50" s="75">
        <v>15</v>
      </c>
      <c r="H50" s="63">
        <f t="shared" si="0"/>
        <v>8625000</v>
      </c>
      <c r="I50" s="63"/>
    </row>
    <row r="51" spans="1:9" x14ac:dyDescent="0.25">
      <c r="A51" s="72">
        <v>46046</v>
      </c>
      <c r="B51" s="2" t="s">
        <v>55</v>
      </c>
      <c r="C51" s="2" t="str">
        <f>VLOOKUP(B51,'Sales Price'!B:C,2,0)</f>
        <v>မိတ္ထီလာ</v>
      </c>
      <c r="E51" s="2" t="s">
        <v>8</v>
      </c>
      <c r="F51" s="63">
        <v>585000</v>
      </c>
      <c r="G51" s="75">
        <v>1</v>
      </c>
      <c r="H51" s="63">
        <f t="shared" si="0"/>
        <v>585000</v>
      </c>
      <c r="I51" s="63"/>
    </row>
    <row r="52" spans="1:9" x14ac:dyDescent="0.25">
      <c r="A52" s="72">
        <v>46049</v>
      </c>
      <c r="B52" s="2" t="s">
        <v>53</v>
      </c>
      <c r="C52" s="2" t="str">
        <f>VLOOKUP(B52,'Sales Price'!B:C,2,0)</f>
        <v>ရွှေဒါး</v>
      </c>
      <c r="E52" s="2" t="s">
        <v>7</v>
      </c>
      <c r="F52" s="63">
        <v>585000</v>
      </c>
      <c r="G52" s="75">
        <v>6</v>
      </c>
      <c r="H52" s="63">
        <f t="shared" si="0"/>
        <v>3510000</v>
      </c>
      <c r="I52" s="63"/>
    </row>
    <row r="53" spans="1:9" x14ac:dyDescent="0.25">
      <c r="A53" s="72">
        <v>46049</v>
      </c>
      <c r="B53" s="2" t="s">
        <v>55</v>
      </c>
      <c r="C53" s="2" t="str">
        <f>VLOOKUP(B53,'Sales Price'!B:C,2,0)</f>
        <v>မိတ္ထီလာ</v>
      </c>
      <c r="E53" s="2" t="s">
        <v>8</v>
      </c>
      <c r="F53" s="63">
        <v>585000</v>
      </c>
      <c r="G53" s="75">
        <v>1</v>
      </c>
      <c r="H53" s="63">
        <f t="shared" si="0"/>
        <v>585000</v>
      </c>
      <c r="I53" s="63"/>
    </row>
    <row r="54" spans="1:9" x14ac:dyDescent="0.25">
      <c r="A54" s="72">
        <v>46049</v>
      </c>
      <c r="B54" s="2" t="s">
        <v>35</v>
      </c>
      <c r="C54" s="2" t="str">
        <f>VLOOKUP(B54,'Sales Price'!B:C,2,0)</f>
        <v>မိတ္ထီလာ</v>
      </c>
      <c r="E54" s="2" t="s">
        <v>8</v>
      </c>
      <c r="F54" s="63">
        <v>575000</v>
      </c>
      <c r="G54" s="75">
        <v>15</v>
      </c>
      <c r="H54" s="63">
        <f t="shared" si="0"/>
        <v>8625000</v>
      </c>
      <c r="I54" s="63"/>
    </row>
    <row r="55" spans="1:9" x14ac:dyDescent="0.25">
      <c r="A55" s="72">
        <v>46050</v>
      </c>
      <c r="B55" s="2" t="s">
        <v>68</v>
      </c>
      <c r="C55" s="2" t="str">
        <f>VLOOKUP(B55,'Sales Price'!B:C,2,0)</f>
        <v>မိတ္ထီလာ</v>
      </c>
      <c r="E55" s="2" t="s">
        <v>7</v>
      </c>
      <c r="F55" s="63">
        <v>585000</v>
      </c>
      <c r="G55" s="75">
        <v>3</v>
      </c>
      <c r="H55" s="63">
        <f t="shared" si="0"/>
        <v>1755000</v>
      </c>
      <c r="I55" s="63"/>
    </row>
    <row r="56" spans="1:9" x14ac:dyDescent="0.25">
      <c r="A56" s="72">
        <v>46050</v>
      </c>
      <c r="B56" s="2" t="s">
        <v>37</v>
      </c>
      <c r="C56" s="2" t="str">
        <f>VLOOKUP(B56,'Sales Price'!B:C,2,0)</f>
        <v>မိတ္ထီလာ</v>
      </c>
      <c r="E56" s="2" t="s">
        <v>8</v>
      </c>
      <c r="F56" s="63">
        <v>585000</v>
      </c>
      <c r="G56" s="75">
        <v>1</v>
      </c>
      <c r="H56" s="63">
        <f t="shared" si="0"/>
        <v>585000</v>
      </c>
      <c r="I56" s="63"/>
    </row>
    <row r="57" spans="1:9" x14ac:dyDescent="0.25">
      <c r="A57" s="72">
        <v>46051</v>
      </c>
      <c r="B57" s="2" t="s">
        <v>79</v>
      </c>
      <c r="C57" s="2" t="str">
        <f>VLOOKUP(B57,'Sales Price'!B:C,2,0)</f>
        <v>မလှိုင်</v>
      </c>
      <c r="E57" s="2" t="s">
        <v>8</v>
      </c>
      <c r="F57" s="63">
        <v>591000</v>
      </c>
      <c r="G57" s="75">
        <v>5</v>
      </c>
      <c r="H57" s="63">
        <f t="shared" si="0"/>
        <v>2955000</v>
      </c>
      <c r="I57" s="63"/>
    </row>
    <row r="58" spans="1:9" x14ac:dyDescent="0.25">
      <c r="A58" s="72">
        <v>46051</v>
      </c>
      <c r="B58" s="2" t="s">
        <v>82</v>
      </c>
      <c r="C58" s="2" t="str">
        <f>VLOOKUP(B58,'Sales Price'!B:C,2,0)</f>
        <v>မလှိုင်</v>
      </c>
      <c r="E58" s="2" t="s">
        <v>8</v>
      </c>
      <c r="F58" s="63">
        <v>591000</v>
      </c>
      <c r="G58" s="75">
        <v>3</v>
      </c>
      <c r="H58" s="63">
        <f t="shared" si="0"/>
        <v>1773000</v>
      </c>
      <c r="I58" s="63"/>
    </row>
    <row r="59" spans="1:9" x14ac:dyDescent="0.25">
      <c r="A59" s="72">
        <v>46052</v>
      </c>
      <c r="B59" s="2" t="s">
        <v>50</v>
      </c>
      <c r="C59" s="2" t="str">
        <f>VLOOKUP(B59,'Sales Price'!B:C,2,0)</f>
        <v>ပခုက္ကူ</v>
      </c>
      <c r="E59" s="2" t="s">
        <v>8</v>
      </c>
      <c r="F59" s="63">
        <v>607000</v>
      </c>
      <c r="G59" s="75">
        <v>10</v>
      </c>
      <c r="H59" s="63">
        <f t="shared" si="0"/>
        <v>6070000</v>
      </c>
      <c r="I59" s="63"/>
    </row>
    <row r="60" spans="1:9" x14ac:dyDescent="0.25">
      <c r="A60" s="72">
        <v>46052</v>
      </c>
      <c r="B60" s="2">
        <v>90</v>
      </c>
      <c r="C60" s="2" t="str">
        <f>VLOOKUP(B60,'Sales Price'!B:C,2,0)</f>
        <v>ပခုက္ကူ</v>
      </c>
      <c r="E60" s="2" t="s">
        <v>8</v>
      </c>
      <c r="F60" s="63">
        <v>610000</v>
      </c>
      <c r="G60" s="75">
        <v>10</v>
      </c>
      <c r="H60" s="63">
        <f t="shared" si="0"/>
        <v>6100000</v>
      </c>
      <c r="I60" s="63"/>
    </row>
    <row r="61" spans="1:9" x14ac:dyDescent="0.25">
      <c r="A61" s="72">
        <v>46052</v>
      </c>
      <c r="B61" s="2" t="s">
        <v>51</v>
      </c>
      <c r="C61" s="2" t="str">
        <f>VLOOKUP(B61,'Sales Price'!B:C,2,0)</f>
        <v>ပခုက္ကူ</v>
      </c>
      <c r="E61" s="2" t="s">
        <v>8</v>
      </c>
      <c r="F61" s="63">
        <v>607000</v>
      </c>
      <c r="G61" s="75">
        <v>10</v>
      </c>
      <c r="H61" s="63">
        <f t="shared" si="0"/>
        <v>6070000</v>
      </c>
      <c r="I61" s="63"/>
    </row>
    <row r="62" spans="1:9" x14ac:dyDescent="0.25">
      <c r="A62" s="72">
        <v>46052</v>
      </c>
      <c r="B62" s="2" t="s">
        <v>35</v>
      </c>
      <c r="C62" s="2" t="str">
        <f>VLOOKUP(B62,'Sales Price'!B:C,2,0)</f>
        <v>မိတ္ထီလာ</v>
      </c>
      <c r="E62" s="2" t="s">
        <v>8</v>
      </c>
      <c r="F62" s="63">
        <v>575000</v>
      </c>
      <c r="G62" s="75">
        <v>10</v>
      </c>
      <c r="H62" s="63">
        <f t="shared" si="0"/>
        <v>5750000</v>
      </c>
      <c r="I62" s="63"/>
    </row>
    <row r="63" spans="1:9" x14ac:dyDescent="0.25">
      <c r="A63" s="72">
        <v>46053</v>
      </c>
      <c r="B63" s="2" t="s">
        <v>55</v>
      </c>
      <c r="C63" s="2" t="str">
        <f>VLOOKUP(B63,'Sales Price'!B:C,2,0)</f>
        <v>မိတ္ထီလာ</v>
      </c>
      <c r="E63" s="2" t="s">
        <v>8</v>
      </c>
      <c r="F63" s="63">
        <v>585000</v>
      </c>
      <c r="G63" s="75">
        <v>1</v>
      </c>
      <c r="H63" s="63">
        <f t="shared" si="0"/>
        <v>585000</v>
      </c>
      <c r="I63" s="63"/>
    </row>
    <row r="64" spans="1:9" x14ac:dyDescent="0.25">
      <c r="F64" s="67"/>
      <c r="G64" s="76">
        <f>SUBTOTAL(9,G3:G63)</f>
        <v>349</v>
      </c>
      <c r="H64" s="68">
        <f>SUBTOTAL(9,H3:H63)</f>
        <v>204260000</v>
      </c>
    </row>
    <row r="65" spans="1:16" x14ac:dyDescent="0.25">
      <c r="F65" s="63"/>
      <c r="G65" s="77"/>
      <c r="H65" s="69"/>
    </row>
    <row r="66" spans="1:16" x14ac:dyDescent="0.25">
      <c r="F66" s="63"/>
      <c r="H66" s="70"/>
    </row>
    <row r="67" spans="1:16" ht="20.25" x14ac:dyDescent="0.25">
      <c r="A67" s="120" t="s">
        <v>96</v>
      </c>
      <c r="B67" s="120"/>
      <c r="C67" s="120"/>
      <c r="D67" s="120"/>
      <c r="E67" s="120"/>
      <c r="F67" s="120"/>
      <c r="G67" s="120"/>
      <c r="H67" s="120"/>
      <c r="I67" s="66"/>
      <c r="J67" s="66"/>
      <c r="K67" s="66"/>
      <c r="L67" s="66"/>
      <c r="M67" s="66"/>
      <c r="N67" s="66"/>
    </row>
    <row r="68" spans="1:16" ht="45.75" customHeight="1" x14ac:dyDescent="0.25">
      <c r="A68" s="78" t="s">
        <v>3</v>
      </c>
      <c r="B68" s="79" t="s">
        <v>1</v>
      </c>
      <c r="C68" s="79" t="s">
        <v>2</v>
      </c>
      <c r="D68" s="79" t="s">
        <v>11</v>
      </c>
      <c r="E68" s="79" t="s">
        <v>6</v>
      </c>
      <c r="F68" s="80" t="s">
        <v>73</v>
      </c>
      <c r="G68" s="81" t="s">
        <v>4</v>
      </c>
      <c r="H68" s="80" t="s">
        <v>10</v>
      </c>
    </row>
    <row r="69" spans="1:16" x14ac:dyDescent="0.25">
      <c r="A69" s="102">
        <v>46055</v>
      </c>
      <c r="B69" s="103" t="s">
        <v>38</v>
      </c>
      <c r="C69" s="103" t="str">
        <f>VLOOKUP(B69,'Sales Price'!B:C,2,0)</f>
        <v>ဝမ်းတွင်း</v>
      </c>
      <c r="D69" s="103"/>
      <c r="E69" s="103" t="s">
        <v>8</v>
      </c>
      <c r="F69" s="104">
        <v>585000</v>
      </c>
      <c r="G69" s="105">
        <v>3</v>
      </c>
      <c r="H69" s="104">
        <f>F69*G69</f>
        <v>1755000</v>
      </c>
      <c r="O69" s="2" t="s">
        <v>92</v>
      </c>
      <c r="P69" s="2" t="s">
        <v>91</v>
      </c>
    </row>
    <row r="70" spans="1:16" x14ac:dyDescent="0.25">
      <c r="A70" s="102">
        <v>46056</v>
      </c>
      <c r="B70" s="103" t="s">
        <v>35</v>
      </c>
      <c r="C70" s="103" t="str">
        <f>VLOOKUP(B70,'Sales Price'!B:C,2,0)</f>
        <v>မိတ္ထီလာ</v>
      </c>
      <c r="D70" s="103"/>
      <c r="E70" s="103" t="s">
        <v>8</v>
      </c>
      <c r="F70" s="104">
        <v>575000</v>
      </c>
      <c r="G70" s="105">
        <v>6</v>
      </c>
      <c r="H70" s="104">
        <f t="shared" ref="H70:H101" si="2">F70*G70</f>
        <v>3450000</v>
      </c>
      <c r="O70" s="2">
        <v>575000</v>
      </c>
      <c r="P70" s="2">
        <f t="shared" ref="P70:P78" si="3">SUMIF($F$69:$F$101,O70,$G$69:$G$101)</f>
        <v>66</v>
      </c>
    </row>
    <row r="71" spans="1:16" x14ac:dyDescent="0.25">
      <c r="A71" s="102">
        <v>46057</v>
      </c>
      <c r="B71" s="103" t="s">
        <v>35</v>
      </c>
      <c r="C71" s="103" t="str">
        <f>VLOOKUP(B71,'Sales Price'!B:C,2,0)</f>
        <v>မိတ္ထီလာ</v>
      </c>
      <c r="D71" s="103"/>
      <c r="E71" s="103" t="s">
        <v>8</v>
      </c>
      <c r="F71" s="104">
        <v>575000</v>
      </c>
      <c r="G71" s="105">
        <v>5</v>
      </c>
      <c r="H71" s="104">
        <f t="shared" si="2"/>
        <v>2875000</v>
      </c>
      <c r="O71" s="2">
        <v>585000</v>
      </c>
      <c r="P71" s="2">
        <f t="shared" si="3"/>
        <v>37</v>
      </c>
    </row>
    <row r="72" spans="1:16" x14ac:dyDescent="0.25">
      <c r="A72" s="102">
        <v>46057</v>
      </c>
      <c r="B72" s="103" t="s">
        <v>68</v>
      </c>
      <c r="C72" s="103" t="str">
        <f>VLOOKUP(B72,'Sales Price'!B:C,2,0)</f>
        <v>မိတ္ထီလာ</v>
      </c>
      <c r="D72" s="103"/>
      <c r="E72" s="103" t="s">
        <v>7</v>
      </c>
      <c r="F72" s="104">
        <v>585000</v>
      </c>
      <c r="G72" s="105">
        <v>3</v>
      </c>
      <c r="H72" s="104">
        <f t="shared" si="2"/>
        <v>1755000</v>
      </c>
      <c r="O72" s="2">
        <v>591000</v>
      </c>
      <c r="P72" s="2">
        <f t="shared" si="3"/>
        <v>13</v>
      </c>
    </row>
    <row r="73" spans="1:16" x14ac:dyDescent="0.25">
      <c r="A73" s="102">
        <v>46058</v>
      </c>
      <c r="B73" s="103" t="s">
        <v>35</v>
      </c>
      <c r="C73" s="103" t="str">
        <f>VLOOKUP(B73,'Sales Price'!B:C,2,0)</f>
        <v>မိတ္ထီလာ</v>
      </c>
      <c r="D73" s="103"/>
      <c r="E73" s="103" t="s">
        <v>8</v>
      </c>
      <c r="F73" s="104">
        <v>575000</v>
      </c>
      <c r="G73" s="105">
        <v>10</v>
      </c>
      <c r="H73" s="104">
        <f t="shared" si="2"/>
        <v>5750000</v>
      </c>
      <c r="O73" s="2">
        <v>596000</v>
      </c>
      <c r="P73" s="2">
        <f t="shared" si="3"/>
        <v>0</v>
      </c>
    </row>
    <row r="74" spans="1:16" x14ac:dyDescent="0.25">
      <c r="A74" s="102">
        <v>46059</v>
      </c>
      <c r="B74" s="103" t="s">
        <v>53</v>
      </c>
      <c r="C74" s="103" t="str">
        <f>VLOOKUP(B74,'Sales Price'!B:C,2,0)</f>
        <v>ရွှေဒါး</v>
      </c>
      <c r="D74" s="103"/>
      <c r="E74" s="103" t="s">
        <v>8</v>
      </c>
      <c r="F74" s="104">
        <v>585000</v>
      </c>
      <c r="G74" s="105">
        <v>3</v>
      </c>
      <c r="H74" s="104">
        <f t="shared" si="2"/>
        <v>1755000</v>
      </c>
      <c r="O74" s="2">
        <v>600000</v>
      </c>
      <c r="P74" s="2">
        <f t="shared" si="3"/>
        <v>5</v>
      </c>
    </row>
    <row r="75" spans="1:16" x14ac:dyDescent="0.25">
      <c r="A75" s="102">
        <v>46062</v>
      </c>
      <c r="B75" s="103" t="s">
        <v>35</v>
      </c>
      <c r="C75" s="103" t="str">
        <f>VLOOKUP(B75,'Sales Price'!B:C,2,0)</f>
        <v>မိတ္ထီလာ</v>
      </c>
      <c r="D75" s="103"/>
      <c r="E75" s="103" t="s">
        <v>8</v>
      </c>
      <c r="F75" s="104">
        <v>575000</v>
      </c>
      <c r="G75" s="105">
        <v>10</v>
      </c>
      <c r="H75" s="104">
        <f t="shared" si="2"/>
        <v>5750000</v>
      </c>
      <c r="O75" s="2">
        <v>607000</v>
      </c>
      <c r="P75" s="2">
        <f t="shared" si="3"/>
        <v>30</v>
      </c>
    </row>
    <row r="76" spans="1:16" x14ac:dyDescent="0.25">
      <c r="A76" s="102">
        <v>46063</v>
      </c>
      <c r="B76" s="103" t="s">
        <v>54</v>
      </c>
      <c r="C76" s="103" t="str">
        <f>VLOOKUP(B76,'Sales Price'!B:C,2,0)</f>
        <v>ပခုက္ကူ</v>
      </c>
      <c r="D76" s="103"/>
      <c r="E76" s="103" t="s">
        <v>8</v>
      </c>
      <c r="F76" s="104">
        <v>607000</v>
      </c>
      <c r="G76" s="105">
        <v>10</v>
      </c>
      <c r="H76" s="104">
        <f t="shared" si="2"/>
        <v>6070000</v>
      </c>
      <c r="O76" s="2">
        <v>610000</v>
      </c>
      <c r="P76" s="2">
        <f t="shared" si="3"/>
        <v>5</v>
      </c>
    </row>
    <row r="77" spans="1:16" x14ac:dyDescent="0.25">
      <c r="A77" s="102">
        <v>46063</v>
      </c>
      <c r="B77" s="103" t="s">
        <v>51</v>
      </c>
      <c r="C77" s="103" t="str">
        <f>VLOOKUP(B77,'Sales Price'!B:C,2,0)</f>
        <v>ပခုက္ကူ</v>
      </c>
      <c r="D77" s="103"/>
      <c r="E77" s="103" t="s">
        <v>8</v>
      </c>
      <c r="F77" s="104">
        <v>607000</v>
      </c>
      <c r="G77" s="105">
        <v>10</v>
      </c>
      <c r="H77" s="104">
        <f t="shared" si="2"/>
        <v>6070000</v>
      </c>
      <c r="O77" s="2">
        <v>595000</v>
      </c>
      <c r="P77" s="2">
        <f t="shared" si="3"/>
        <v>3</v>
      </c>
    </row>
    <row r="78" spans="1:16" x14ac:dyDescent="0.25">
      <c r="A78" s="102">
        <v>46063</v>
      </c>
      <c r="B78" s="103" t="s">
        <v>50</v>
      </c>
      <c r="C78" s="103" t="str">
        <f>VLOOKUP(B78,'Sales Price'!B:C,2,0)</f>
        <v>ပခုက္ကူ</v>
      </c>
      <c r="D78" s="103"/>
      <c r="E78" s="103" t="s">
        <v>8</v>
      </c>
      <c r="F78" s="104">
        <v>607000</v>
      </c>
      <c r="G78" s="105">
        <v>10</v>
      </c>
      <c r="H78" s="104">
        <f t="shared" si="2"/>
        <v>6070000</v>
      </c>
      <c r="O78" s="2">
        <v>570000</v>
      </c>
      <c r="P78" s="2">
        <f t="shared" si="3"/>
        <v>48</v>
      </c>
    </row>
    <row r="79" spans="1:16" ht="20.25" thickBot="1" x14ac:dyDescent="0.3">
      <c r="A79" s="102">
        <v>46063</v>
      </c>
      <c r="B79" s="103">
        <v>90</v>
      </c>
      <c r="C79" s="103" t="str">
        <f>VLOOKUP(B79,'Sales Price'!B:C,2,0)</f>
        <v>ပခုက္ကူ</v>
      </c>
      <c r="D79" s="103"/>
      <c r="E79" s="103" t="s">
        <v>8</v>
      </c>
      <c r="F79" s="104">
        <v>610000</v>
      </c>
      <c r="G79" s="105">
        <v>5</v>
      </c>
      <c r="H79" s="104">
        <f t="shared" si="2"/>
        <v>3050000</v>
      </c>
      <c r="P79" s="62">
        <f>SUM(P70:P78)</f>
        <v>207</v>
      </c>
    </row>
    <row r="80" spans="1:16" ht="20.25" thickTop="1" x14ac:dyDescent="0.25">
      <c r="A80" s="102">
        <v>46063</v>
      </c>
      <c r="B80" s="103" t="s">
        <v>42</v>
      </c>
      <c r="C80" s="103" t="str">
        <f>VLOOKUP(B80,'Sales Price'!B:C,2,0)</f>
        <v>သာစည်</v>
      </c>
      <c r="D80" s="103"/>
      <c r="E80" s="103" t="s">
        <v>8</v>
      </c>
      <c r="F80" s="104">
        <v>585000</v>
      </c>
      <c r="G80" s="105">
        <v>2</v>
      </c>
      <c r="H80" s="104">
        <f t="shared" si="2"/>
        <v>1170000</v>
      </c>
      <c r="P80" s="63">
        <f>SUMPRODUCT(O70:O78,P70:P78)</f>
        <v>120683000</v>
      </c>
    </row>
    <row r="81" spans="1:8" x14ac:dyDescent="0.25">
      <c r="A81" s="102">
        <v>46064</v>
      </c>
      <c r="B81" s="103" t="s">
        <v>68</v>
      </c>
      <c r="C81" s="103" t="str">
        <f>VLOOKUP(B81,'Sales Price'!B:C,2,0)</f>
        <v>မိတ္ထီလာ</v>
      </c>
      <c r="D81" s="103"/>
      <c r="E81" s="103" t="s">
        <v>7</v>
      </c>
      <c r="F81" s="104">
        <v>585000</v>
      </c>
      <c r="G81" s="105">
        <v>3</v>
      </c>
      <c r="H81" s="104">
        <f t="shared" si="2"/>
        <v>1755000</v>
      </c>
    </row>
    <row r="82" spans="1:8" x14ac:dyDescent="0.25">
      <c r="A82" s="102">
        <v>46065</v>
      </c>
      <c r="B82" s="103" t="s">
        <v>35</v>
      </c>
      <c r="C82" s="103" t="str">
        <f>VLOOKUP(B82,'Sales Price'!B:C,2,0)</f>
        <v>မိတ္ထီလာ</v>
      </c>
      <c r="D82" s="103"/>
      <c r="E82" s="103" t="s">
        <v>8</v>
      </c>
      <c r="F82" s="104">
        <v>575000</v>
      </c>
      <c r="G82" s="105">
        <v>15</v>
      </c>
      <c r="H82" s="104">
        <f t="shared" si="2"/>
        <v>8625000</v>
      </c>
    </row>
    <row r="83" spans="1:8" x14ac:dyDescent="0.25">
      <c r="A83" s="102">
        <v>46066</v>
      </c>
      <c r="B83" s="103" t="s">
        <v>82</v>
      </c>
      <c r="C83" s="103" t="str">
        <f>VLOOKUP(B83,'Sales Price'!B:C,2,0)</f>
        <v>မလှိုင်</v>
      </c>
      <c r="D83" s="103"/>
      <c r="E83" s="103" t="s">
        <v>8</v>
      </c>
      <c r="F83" s="104">
        <v>591000</v>
      </c>
      <c r="G83" s="105">
        <v>3</v>
      </c>
      <c r="H83" s="104">
        <f t="shared" si="2"/>
        <v>1773000</v>
      </c>
    </row>
    <row r="84" spans="1:8" x14ac:dyDescent="0.25">
      <c r="A84" s="102">
        <v>46067</v>
      </c>
      <c r="B84" s="103" t="s">
        <v>38</v>
      </c>
      <c r="C84" s="103" t="str">
        <f>VLOOKUP(B84,'Sales Price'!B:C,2,0)</f>
        <v>ဝမ်းတွင်း</v>
      </c>
      <c r="D84" s="103"/>
      <c r="E84" s="103" t="s">
        <v>8</v>
      </c>
      <c r="F84" s="104">
        <v>585000</v>
      </c>
      <c r="G84" s="105">
        <v>3</v>
      </c>
      <c r="H84" s="104">
        <f t="shared" si="2"/>
        <v>1755000</v>
      </c>
    </row>
    <row r="85" spans="1:8" x14ac:dyDescent="0.25">
      <c r="A85" s="102">
        <v>46067</v>
      </c>
      <c r="B85" s="103" t="s">
        <v>35</v>
      </c>
      <c r="C85" s="103" t="str">
        <f>VLOOKUP(B85,'Sales Price'!B:C,2,0)</f>
        <v>မိတ္ထီလာ</v>
      </c>
      <c r="D85" s="103"/>
      <c r="E85" s="103" t="s">
        <v>8</v>
      </c>
      <c r="F85" s="104">
        <v>575000</v>
      </c>
      <c r="G85" s="105">
        <v>10</v>
      </c>
      <c r="H85" s="104">
        <f t="shared" si="2"/>
        <v>5750000</v>
      </c>
    </row>
    <row r="86" spans="1:8" x14ac:dyDescent="0.25">
      <c r="A86" s="102">
        <v>46070</v>
      </c>
      <c r="B86" s="103" t="s">
        <v>35</v>
      </c>
      <c r="C86" s="103" t="str">
        <f>VLOOKUP(B86,'Sales Price'!B:C,2,0)</f>
        <v>မိတ္ထီလာ</v>
      </c>
      <c r="D86" s="103"/>
      <c r="E86" s="103" t="s">
        <v>8</v>
      </c>
      <c r="F86" s="104">
        <v>575000</v>
      </c>
      <c r="G86" s="105">
        <v>10</v>
      </c>
      <c r="H86" s="104">
        <f t="shared" si="2"/>
        <v>5750000</v>
      </c>
    </row>
    <row r="87" spans="1:8" x14ac:dyDescent="0.25">
      <c r="A87" s="102">
        <v>46071</v>
      </c>
      <c r="B87" s="103" t="s">
        <v>45</v>
      </c>
      <c r="C87" s="103" t="str">
        <f>VLOOKUP(B87,'Sales Price'!B:C,2,0)</f>
        <v>ကျောက်ပန်းတောင်း</v>
      </c>
      <c r="D87" s="103"/>
      <c r="E87" s="103" t="s">
        <v>8</v>
      </c>
      <c r="F87" s="104">
        <v>591000</v>
      </c>
      <c r="G87" s="105">
        <v>5</v>
      </c>
      <c r="H87" s="104">
        <f t="shared" si="2"/>
        <v>2955000</v>
      </c>
    </row>
    <row r="88" spans="1:8" x14ac:dyDescent="0.25">
      <c r="A88" s="102">
        <v>46071</v>
      </c>
      <c r="B88" s="103" t="s">
        <v>68</v>
      </c>
      <c r="C88" s="103" t="str">
        <f>VLOOKUP(B88,'Sales Price'!B:C,2,0)</f>
        <v>မိတ္ထီလာ</v>
      </c>
      <c r="D88" s="103"/>
      <c r="E88" s="103" t="s">
        <v>7</v>
      </c>
      <c r="F88" s="104">
        <v>585000</v>
      </c>
      <c r="G88" s="105">
        <v>4</v>
      </c>
      <c r="H88" s="104">
        <f t="shared" si="2"/>
        <v>2340000</v>
      </c>
    </row>
    <row r="89" spans="1:8" x14ac:dyDescent="0.25">
      <c r="A89" s="102">
        <v>46072</v>
      </c>
      <c r="B89" s="103" t="s">
        <v>35</v>
      </c>
      <c r="C89" s="103" t="str">
        <f>VLOOKUP(B89,'Sales Price'!B:C,2,0)</f>
        <v>မိတ္ထီလာ</v>
      </c>
      <c r="D89" s="103"/>
      <c r="E89" s="103" t="s">
        <v>8</v>
      </c>
      <c r="F89" s="104">
        <v>570000</v>
      </c>
      <c r="G89" s="105">
        <v>10</v>
      </c>
      <c r="H89" s="104">
        <f t="shared" si="2"/>
        <v>5700000</v>
      </c>
    </row>
    <row r="90" spans="1:8" x14ac:dyDescent="0.25">
      <c r="A90" s="102">
        <v>46072</v>
      </c>
      <c r="B90" s="103" t="s">
        <v>42</v>
      </c>
      <c r="C90" s="103" t="str">
        <f>VLOOKUP(B90,'Sales Price'!B:C,2,0)</f>
        <v>သာစည်</v>
      </c>
      <c r="D90" s="103"/>
      <c r="E90" s="103" t="s">
        <v>8</v>
      </c>
      <c r="F90" s="104">
        <v>585000</v>
      </c>
      <c r="G90" s="105">
        <v>1</v>
      </c>
      <c r="H90" s="104">
        <f t="shared" si="2"/>
        <v>585000</v>
      </c>
    </row>
    <row r="91" spans="1:8" x14ac:dyDescent="0.25">
      <c r="A91" s="102">
        <v>46073</v>
      </c>
      <c r="B91" s="103" t="s">
        <v>35</v>
      </c>
      <c r="C91" s="103" t="str">
        <f>VLOOKUP(B91,'Sales Price'!B:C,2,0)</f>
        <v>မိတ္ထီလာ</v>
      </c>
      <c r="D91" s="103"/>
      <c r="E91" s="103" t="s">
        <v>8</v>
      </c>
      <c r="F91" s="104">
        <v>570000</v>
      </c>
      <c r="G91" s="105">
        <v>15</v>
      </c>
      <c r="H91" s="104">
        <f t="shared" si="2"/>
        <v>8550000</v>
      </c>
    </row>
    <row r="92" spans="1:8" x14ac:dyDescent="0.25">
      <c r="A92" s="102">
        <v>46076</v>
      </c>
      <c r="B92" s="103" t="s">
        <v>86</v>
      </c>
      <c r="C92" s="103" t="str">
        <f>VLOOKUP(B92,'Sales Price'!B:C,2,0)</f>
        <v>ပုဂံ</v>
      </c>
      <c r="D92" s="103"/>
      <c r="E92" s="103" t="s">
        <v>8</v>
      </c>
      <c r="F92" s="104">
        <v>595000</v>
      </c>
      <c r="G92" s="105">
        <v>3</v>
      </c>
      <c r="H92" s="104">
        <f t="shared" si="2"/>
        <v>1785000</v>
      </c>
    </row>
    <row r="93" spans="1:8" x14ac:dyDescent="0.25">
      <c r="A93" s="102">
        <v>46077</v>
      </c>
      <c r="B93" s="103" t="s">
        <v>79</v>
      </c>
      <c r="C93" s="103" t="str">
        <f>VLOOKUP(B93,'Sales Price'!B:C,2,0)</f>
        <v>မလှိုင်</v>
      </c>
      <c r="D93" s="103"/>
      <c r="E93" s="103" t="s">
        <v>7</v>
      </c>
      <c r="F93" s="104">
        <v>591000</v>
      </c>
      <c r="G93" s="105">
        <v>5</v>
      </c>
      <c r="H93" s="104">
        <f t="shared" si="2"/>
        <v>2955000</v>
      </c>
    </row>
    <row r="94" spans="1:8" x14ac:dyDescent="0.25">
      <c r="A94" s="102">
        <v>46078</v>
      </c>
      <c r="B94" s="103" t="s">
        <v>53</v>
      </c>
      <c r="C94" s="103" t="str">
        <f>VLOOKUP(B94,'Sales Price'!B:C,2,0)</f>
        <v>ရွှေဒါး</v>
      </c>
      <c r="D94" s="103"/>
      <c r="E94" s="103" t="s">
        <v>8</v>
      </c>
      <c r="F94" s="104">
        <v>585000</v>
      </c>
      <c r="G94" s="105">
        <v>6</v>
      </c>
      <c r="H94" s="104">
        <f t="shared" si="2"/>
        <v>3510000</v>
      </c>
    </row>
    <row r="95" spans="1:8" x14ac:dyDescent="0.25">
      <c r="A95" s="102">
        <v>46078</v>
      </c>
      <c r="B95" s="103" t="s">
        <v>90</v>
      </c>
      <c r="C95" s="103" t="str">
        <f>VLOOKUP(B95,'Sales Price'!B:C,2,0)</f>
        <v>ပုဂံ</v>
      </c>
      <c r="D95" s="103"/>
      <c r="E95" s="103" t="s">
        <v>8</v>
      </c>
      <c r="F95" s="104">
        <v>600000</v>
      </c>
      <c r="G95" s="105">
        <v>5</v>
      </c>
      <c r="H95" s="104">
        <f t="shared" si="2"/>
        <v>3000000</v>
      </c>
    </row>
    <row r="96" spans="1:8" x14ac:dyDescent="0.25">
      <c r="A96" s="102">
        <v>46079</v>
      </c>
      <c r="B96" s="103" t="s">
        <v>68</v>
      </c>
      <c r="C96" s="103" t="str">
        <f>VLOOKUP(B96,'Sales Price'!B:C,2,0)</f>
        <v>မိတ္ထီလာ</v>
      </c>
      <c r="D96" s="103"/>
      <c r="E96" s="103" t="s">
        <v>8</v>
      </c>
      <c r="F96" s="104">
        <v>585000</v>
      </c>
      <c r="G96" s="105">
        <v>3</v>
      </c>
      <c r="H96" s="104">
        <f t="shared" si="2"/>
        <v>1755000</v>
      </c>
    </row>
    <row r="97" spans="1:16" x14ac:dyDescent="0.25">
      <c r="A97" s="102">
        <v>46079</v>
      </c>
      <c r="B97" s="103" t="s">
        <v>35</v>
      </c>
      <c r="C97" s="103" t="str">
        <f>VLOOKUP(B97,'Sales Price'!B:C,2,0)</f>
        <v>မိတ္ထီလာ</v>
      </c>
      <c r="D97" s="103"/>
      <c r="E97" s="103" t="s">
        <v>8</v>
      </c>
      <c r="F97" s="104">
        <v>570000</v>
      </c>
      <c r="G97" s="105">
        <v>10</v>
      </c>
      <c r="H97" s="104">
        <f t="shared" si="2"/>
        <v>5700000</v>
      </c>
    </row>
    <row r="98" spans="1:16" x14ac:dyDescent="0.25">
      <c r="A98" s="102">
        <v>46081</v>
      </c>
      <c r="B98" s="103" t="s">
        <v>58</v>
      </c>
      <c r="C98" s="103" t="str">
        <f>VLOOKUP(B98,'Sales Price'!B:C,2,0)</f>
        <v>ရမည်းသင်း</v>
      </c>
      <c r="D98" s="103"/>
      <c r="E98" s="103" t="s">
        <v>8</v>
      </c>
      <c r="F98" s="104">
        <v>585000</v>
      </c>
      <c r="G98" s="105">
        <v>3</v>
      </c>
      <c r="H98" s="104">
        <f t="shared" si="2"/>
        <v>1755000</v>
      </c>
    </row>
    <row r="99" spans="1:16" x14ac:dyDescent="0.25">
      <c r="A99" s="102">
        <v>46081</v>
      </c>
      <c r="B99" s="103" t="s">
        <v>35</v>
      </c>
      <c r="C99" s="103" t="str">
        <f>VLOOKUP(B99,'Sales Price'!B:C,2,0)</f>
        <v>မိတ္ထီလာ</v>
      </c>
      <c r="D99" s="103"/>
      <c r="E99" s="103" t="s">
        <v>8</v>
      </c>
      <c r="F99" s="104">
        <v>570000</v>
      </c>
      <c r="G99" s="105">
        <v>13</v>
      </c>
      <c r="H99" s="104">
        <f t="shared" si="2"/>
        <v>7410000</v>
      </c>
    </row>
    <row r="100" spans="1:16" x14ac:dyDescent="0.25">
      <c r="A100" s="102">
        <v>46081</v>
      </c>
      <c r="B100" s="103" t="s">
        <v>55</v>
      </c>
      <c r="C100" s="103" t="str">
        <f>VLOOKUP(B100,'Sales Price'!B:C,2,0)</f>
        <v>မိတ္ထီလာ</v>
      </c>
      <c r="D100" s="103"/>
      <c r="E100" s="103" t="s">
        <v>7</v>
      </c>
      <c r="F100" s="104">
        <v>585000</v>
      </c>
      <c r="G100" s="105">
        <v>1</v>
      </c>
      <c r="H100" s="104">
        <f t="shared" si="2"/>
        <v>585000</v>
      </c>
    </row>
    <row r="101" spans="1:16" x14ac:dyDescent="0.25">
      <c r="A101" s="102">
        <v>46081</v>
      </c>
      <c r="B101" s="103" t="s">
        <v>38</v>
      </c>
      <c r="C101" s="103" t="str">
        <f>VLOOKUP(B101,'Sales Price'!B:C,2,0)</f>
        <v>ဝမ်းတွင်း</v>
      </c>
      <c r="D101" s="103"/>
      <c r="E101" s="103" t="s">
        <v>8</v>
      </c>
      <c r="F101" s="104">
        <v>585000</v>
      </c>
      <c r="G101" s="105">
        <v>2</v>
      </c>
      <c r="H101" s="104">
        <f t="shared" si="2"/>
        <v>1170000</v>
      </c>
    </row>
    <row r="102" spans="1:16" x14ac:dyDescent="0.25">
      <c r="A102" s="102"/>
      <c r="B102" s="103"/>
      <c r="C102" s="103"/>
      <c r="D102" s="103"/>
      <c r="E102" s="103"/>
      <c r="F102" s="106">
        <f>SUM(F69:F101)</f>
        <v>19309000</v>
      </c>
      <c r="G102" s="106">
        <f>SUM(G69:G101)</f>
        <v>207</v>
      </c>
      <c r="H102" s="106">
        <f>SUM(H69:H101)</f>
        <v>120683000</v>
      </c>
    </row>
    <row r="103" spans="1:16" x14ac:dyDescent="0.25">
      <c r="F103" s="63"/>
      <c r="H103" s="70"/>
    </row>
    <row r="104" spans="1:16" x14ac:dyDescent="0.25">
      <c r="F104" s="63"/>
      <c r="H104" s="70"/>
    </row>
    <row r="105" spans="1:16" ht="20.25" x14ac:dyDescent="0.25">
      <c r="A105" s="120" t="s">
        <v>99</v>
      </c>
      <c r="B105" s="120"/>
      <c r="C105" s="120"/>
      <c r="D105" s="120"/>
      <c r="E105" s="120"/>
      <c r="F105" s="120"/>
      <c r="G105" s="120"/>
      <c r="H105" s="120"/>
      <c r="I105" s="66"/>
      <c r="J105" s="66"/>
      <c r="K105" s="66"/>
      <c r="L105" s="66"/>
      <c r="M105" s="66"/>
      <c r="N105" s="66"/>
    </row>
    <row r="106" spans="1:16" ht="45.75" customHeight="1" x14ac:dyDescent="0.25">
      <c r="A106" s="78" t="s">
        <v>3</v>
      </c>
      <c r="B106" s="79" t="s">
        <v>1</v>
      </c>
      <c r="C106" s="79" t="s">
        <v>2</v>
      </c>
      <c r="D106" s="79" t="s">
        <v>11</v>
      </c>
      <c r="E106" s="79" t="s">
        <v>6</v>
      </c>
      <c r="F106" s="80" t="s">
        <v>73</v>
      </c>
      <c r="G106" s="81" t="s">
        <v>4</v>
      </c>
      <c r="H106" s="80" t="s">
        <v>10</v>
      </c>
    </row>
    <row r="107" spans="1:16" x14ac:dyDescent="0.25">
      <c r="A107" s="102">
        <v>46084</v>
      </c>
      <c r="B107" s="103" t="s">
        <v>35</v>
      </c>
      <c r="C107" s="103" t="str">
        <f>VLOOKUP(B107,'Sales Price'!B:C,2,0)</f>
        <v>မိတ္ထီလာ</v>
      </c>
      <c r="D107" s="103"/>
      <c r="E107" s="103" t="s">
        <v>8</v>
      </c>
      <c r="F107" s="104">
        <v>570000</v>
      </c>
      <c r="G107" s="105">
        <v>10</v>
      </c>
      <c r="H107" s="104">
        <f>F107*G107</f>
        <v>5700000</v>
      </c>
      <c r="O107" s="2" t="s">
        <v>92</v>
      </c>
      <c r="P107" s="2" t="s">
        <v>91</v>
      </c>
    </row>
    <row r="108" spans="1:16" x14ac:dyDescent="0.25">
      <c r="A108" s="102">
        <v>46085</v>
      </c>
      <c r="B108" s="103" t="s">
        <v>35</v>
      </c>
      <c r="C108" s="103" t="str">
        <f>VLOOKUP(B108,'Sales Price'!B:C,2,0)</f>
        <v>မိတ္ထီလာ</v>
      </c>
      <c r="D108" s="103"/>
      <c r="E108" s="103" t="s">
        <v>8</v>
      </c>
      <c r="F108" s="104">
        <v>570000</v>
      </c>
      <c r="G108" s="105">
        <v>5</v>
      </c>
      <c r="H108" s="104">
        <f t="shared" ref="H108:H139" si="4">F108*G108</f>
        <v>2850000</v>
      </c>
      <c r="O108" s="2">
        <v>575000</v>
      </c>
      <c r="P108" s="2">
        <f>SUMIF($F$107:$F$139,O108,$G$107:$G$139)</f>
        <v>0</v>
      </c>
    </row>
    <row r="109" spans="1:16" x14ac:dyDescent="0.25">
      <c r="A109" s="102">
        <v>46085</v>
      </c>
      <c r="B109" s="103" t="s">
        <v>38</v>
      </c>
      <c r="C109" s="103" t="str">
        <f>VLOOKUP(B109,'Sales Price'!B:C,2,0)</f>
        <v>ဝမ်းတွင်း</v>
      </c>
      <c r="D109" s="103"/>
      <c r="E109" s="103" t="s">
        <v>8</v>
      </c>
      <c r="F109" s="104">
        <v>585000</v>
      </c>
      <c r="G109" s="105">
        <v>6</v>
      </c>
      <c r="H109" s="104">
        <f t="shared" si="4"/>
        <v>3510000</v>
      </c>
      <c r="O109" s="2">
        <v>585000</v>
      </c>
      <c r="P109" s="2">
        <f t="shared" ref="P109:P116" si="5">SUMIF($F$107:$F$139,O109,$G$107:$G$139)</f>
        <v>9</v>
      </c>
    </row>
    <row r="110" spans="1:16" x14ac:dyDescent="0.25">
      <c r="A110" s="102">
        <v>46086</v>
      </c>
      <c r="B110" s="103" t="s">
        <v>45</v>
      </c>
      <c r="C110" s="103" t="str">
        <f>VLOOKUP(B110,'Sales Price'!B:C,2,0)</f>
        <v>ကျောက်ပန်းတောင်း</v>
      </c>
      <c r="D110" s="103"/>
      <c r="E110" s="103" t="s">
        <v>8</v>
      </c>
      <c r="F110" s="104">
        <v>591000</v>
      </c>
      <c r="G110" s="105">
        <v>5</v>
      </c>
      <c r="H110" s="104">
        <f t="shared" si="4"/>
        <v>2955000</v>
      </c>
      <c r="O110" s="2">
        <v>591000</v>
      </c>
      <c r="P110" s="2">
        <f t="shared" si="5"/>
        <v>5</v>
      </c>
    </row>
    <row r="111" spans="1:16" x14ac:dyDescent="0.25">
      <c r="A111" s="102">
        <v>46086</v>
      </c>
      <c r="B111" s="103" t="s">
        <v>53</v>
      </c>
      <c r="C111" s="103" t="str">
        <f>VLOOKUP(B111,'Sales Price'!B:C,2,0)</f>
        <v>ရွှေဒါး</v>
      </c>
      <c r="D111" s="103"/>
      <c r="E111" s="103" t="s">
        <v>8</v>
      </c>
      <c r="F111" s="104">
        <v>610000</v>
      </c>
      <c r="G111" s="105">
        <v>6</v>
      </c>
      <c r="H111" s="104">
        <f t="shared" si="4"/>
        <v>3660000</v>
      </c>
      <c r="O111" s="2">
        <v>616000</v>
      </c>
      <c r="P111" s="2">
        <f t="shared" si="5"/>
        <v>13</v>
      </c>
    </row>
    <row r="112" spans="1:16" x14ac:dyDescent="0.25">
      <c r="A112" s="102">
        <v>46087</v>
      </c>
      <c r="B112" s="103" t="s">
        <v>35</v>
      </c>
      <c r="C112" s="103" t="str">
        <f>VLOOKUP(B112,'Sales Price'!B:C,2,0)</f>
        <v>မိတ္ထီလာ</v>
      </c>
      <c r="D112" s="103"/>
      <c r="E112" s="103" t="s">
        <v>8</v>
      </c>
      <c r="F112" s="104">
        <v>570000</v>
      </c>
      <c r="G112" s="105">
        <v>10</v>
      </c>
      <c r="H112" s="104">
        <f t="shared" si="4"/>
        <v>5700000</v>
      </c>
      <c r="O112" s="2">
        <v>600000</v>
      </c>
      <c r="P112" s="2">
        <f t="shared" si="5"/>
        <v>40</v>
      </c>
    </row>
    <row r="113" spans="1:16" x14ac:dyDescent="0.25">
      <c r="A113" s="102">
        <v>46087</v>
      </c>
      <c r="B113" s="103" t="s">
        <v>68</v>
      </c>
      <c r="C113" s="103" t="str">
        <f>VLOOKUP(B113,'Sales Price'!B:C,2,0)</f>
        <v>မိတ္ထီလာ</v>
      </c>
      <c r="D113" s="103"/>
      <c r="E113" s="103" t="s">
        <v>8</v>
      </c>
      <c r="F113" s="104">
        <v>610000</v>
      </c>
      <c r="G113" s="105">
        <v>3</v>
      </c>
      <c r="H113" s="104">
        <f t="shared" si="4"/>
        <v>1830000</v>
      </c>
      <c r="O113" s="2">
        <v>607000</v>
      </c>
      <c r="P113" s="2">
        <f t="shared" si="5"/>
        <v>40</v>
      </c>
    </row>
    <row r="114" spans="1:16" x14ac:dyDescent="0.25">
      <c r="A114" s="102">
        <v>46088</v>
      </c>
      <c r="B114" s="103" t="s">
        <v>35</v>
      </c>
      <c r="C114" s="103" t="str">
        <f>VLOOKUP(B114,'Sales Price'!B:C,2,0)</f>
        <v>မိတ္ထီလာ</v>
      </c>
      <c r="D114" s="103"/>
      <c r="E114" s="103" t="s">
        <v>8</v>
      </c>
      <c r="F114" s="104">
        <v>570000</v>
      </c>
      <c r="G114" s="105">
        <v>5</v>
      </c>
      <c r="H114" s="104">
        <f t="shared" si="4"/>
        <v>2850000</v>
      </c>
      <c r="O114" s="2">
        <v>610000</v>
      </c>
      <c r="P114" s="2">
        <f t="shared" si="5"/>
        <v>13</v>
      </c>
    </row>
    <row r="115" spans="1:16" x14ac:dyDescent="0.25">
      <c r="A115" s="102">
        <v>46088</v>
      </c>
      <c r="B115" s="103" t="s">
        <v>82</v>
      </c>
      <c r="C115" s="103" t="str">
        <f>VLOOKUP(B115,'Sales Price'!B:C,2,0)</f>
        <v>မလှိုင်</v>
      </c>
      <c r="D115" s="103"/>
      <c r="E115" s="103" t="s">
        <v>8</v>
      </c>
      <c r="F115" s="104">
        <v>610000</v>
      </c>
      <c r="G115" s="105">
        <v>3</v>
      </c>
      <c r="H115" s="104">
        <f t="shared" si="4"/>
        <v>1830000</v>
      </c>
      <c r="O115" s="2">
        <v>595000</v>
      </c>
      <c r="P115" s="2">
        <f t="shared" si="5"/>
        <v>0</v>
      </c>
    </row>
    <row r="116" spans="1:16" x14ac:dyDescent="0.25">
      <c r="A116" s="102">
        <v>46090</v>
      </c>
      <c r="B116" s="103" t="s">
        <v>35</v>
      </c>
      <c r="C116" s="103" t="str">
        <f>VLOOKUP(B116,'Sales Price'!B:C,2,0)</f>
        <v>မိတ္ထီလာ</v>
      </c>
      <c r="D116" s="103"/>
      <c r="E116" s="103" t="s">
        <v>8</v>
      </c>
      <c r="F116" s="104">
        <v>570000</v>
      </c>
      <c r="G116" s="105">
        <v>20</v>
      </c>
      <c r="H116" s="104">
        <f t="shared" si="4"/>
        <v>11400000</v>
      </c>
      <c r="O116" s="2">
        <v>570000</v>
      </c>
      <c r="P116" s="2">
        <f t="shared" si="5"/>
        <v>65</v>
      </c>
    </row>
    <row r="117" spans="1:16" ht="20.25" thickBot="1" x14ac:dyDescent="0.3">
      <c r="A117" s="102">
        <v>46090</v>
      </c>
      <c r="B117" s="103" t="s">
        <v>38</v>
      </c>
      <c r="C117" s="103" t="str">
        <f>VLOOKUP(B117,'Sales Price'!B:C,2,0)</f>
        <v>ဝမ်းတွင်း</v>
      </c>
      <c r="D117" s="103"/>
      <c r="E117" s="103" t="s">
        <v>8</v>
      </c>
      <c r="F117" s="104">
        <v>585000</v>
      </c>
      <c r="G117" s="105">
        <v>3</v>
      </c>
      <c r="H117" s="104">
        <f t="shared" si="4"/>
        <v>1755000</v>
      </c>
      <c r="P117" s="62">
        <f>SUM(P108:P116)</f>
        <v>185</v>
      </c>
    </row>
    <row r="118" spans="1:16" ht="20.25" thickTop="1" x14ac:dyDescent="0.25">
      <c r="A118" s="102">
        <v>46092</v>
      </c>
      <c r="B118" s="103" t="s">
        <v>51</v>
      </c>
      <c r="C118" s="103" t="str">
        <f>VLOOKUP(B118,'Sales Price'!B:C,2,0)</f>
        <v>ပခုက္ကူ</v>
      </c>
      <c r="D118" s="103"/>
      <c r="E118" s="103" t="s">
        <v>8</v>
      </c>
      <c r="F118" s="104">
        <v>607000</v>
      </c>
      <c r="G118" s="105">
        <v>10</v>
      </c>
      <c r="H118" s="104">
        <f t="shared" si="4"/>
        <v>6070000</v>
      </c>
      <c r="P118" s="63">
        <f>SUMPRODUCT(O108:O116,P108:P116)</f>
        <v>109488000</v>
      </c>
    </row>
    <row r="119" spans="1:16" x14ac:dyDescent="0.25">
      <c r="A119" s="102">
        <v>46092</v>
      </c>
      <c r="B119" s="103" t="s">
        <v>54</v>
      </c>
      <c r="C119" s="103" t="str">
        <f>VLOOKUP(B119,'Sales Price'!B:C,2,0)</f>
        <v>ပခုက္ကူ</v>
      </c>
      <c r="D119" s="103"/>
      <c r="E119" s="103" t="s">
        <v>8</v>
      </c>
      <c r="F119" s="104">
        <v>607000</v>
      </c>
      <c r="G119" s="105">
        <v>10</v>
      </c>
      <c r="H119" s="104">
        <f t="shared" si="4"/>
        <v>6070000</v>
      </c>
    </row>
    <row r="120" spans="1:16" x14ac:dyDescent="0.25">
      <c r="A120" s="102">
        <v>46092</v>
      </c>
      <c r="B120" s="103" t="s">
        <v>76</v>
      </c>
      <c r="C120" s="103" t="str">
        <f>VLOOKUP(B120,'Sales Price'!B:C,2,0)</f>
        <v>ပခုက္ကူ</v>
      </c>
      <c r="D120" s="103"/>
      <c r="E120" s="103" t="s">
        <v>8</v>
      </c>
      <c r="F120" s="104">
        <v>607000</v>
      </c>
      <c r="G120" s="105">
        <v>20</v>
      </c>
      <c r="H120" s="104">
        <f t="shared" si="4"/>
        <v>12140000</v>
      </c>
    </row>
    <row r="121" spans="1:16" x14ac:dyDescent="0.25">
      <c r="A121" s="102">
        <v>46094</v>
      </c>
      <c r="B121" s="103" t="s">
        <v>35</v>
      </c>
      <c r="C121" s="103" t="str">
        <f>VLOOKUP(B121,'Sales Price'!B:C,2,0)</f>
        <v>မိတ္ထီလာ</v>
      </c>
      <c r="D121" s="103"/>
      <c r="E121" s="103" t="s">
        <v>8</v>
      </c>
      <c r="F121" s="104">
        <v>570000</v>
      </c>
      <c r="G121" s="105">
        <v>10</v>
      </c>
      <c r="H121" s="104">
        <f t="shared" si="4"/>
        <v>5700000</v>
      </c>
    </row>
    <row r="122" spans="1:16" x14ac:dyDescent="0.25">
      <c r="A122" s="102">
        <v>46095</v>
      </c>
      <c r="B122" s="103" t="s">
        <v>35</v>
      </c>
      <c r="C122" s="103" t="str">
        <f>VLOOKUP(B122,'Sales Price'!B:C,2,0)</f>
        <v>မိတ္ထီလာ</v>
      </c>
      <c r="D122" s="103"/>
      <c r="E122" s="103" t="s">
        <v>8</v>
      </c>
      <c r="F122" s="104">
        <v>570000</v>
      </c>
      <c r="G122" s="105">
        <v>5</v>
      </c>
      <c r="H122" s="104">
        <f t="shared" si="4"/>
        <v>2850000</v>
      </c>
    </row>
    <row r="123" spans="1:16" x14ac:dyDescent="0.25">
      <c r="A123" s="102">
        <v>46095</v>
      </c>
      <c r="B123" s="103" t="s">
        <v>35</v>
      </c>
      <c r="C123" s="103" t="str">
        <f>VLOOKUP(B123,'Sales Price'!B:C,2,0)</f>
        <v>မိတ္ထီလာ</v>
      </c>
      <c r="D123" s="103"/>
      <c r="E123" s="103" t="s">
        <v>8</v>
      </c>
      <c r="F123" s="104">
        <v>600000</v>
      </c>
      <c r="G123" s="105">
        <v>15</v>
      </c>
      <c r="H123" s="104">
        <f t="shared" si="4"/>
        <v>9000000</v>
      </c>
    </row>
    <row r="124" spans="1:16" x14ac:dyDescent="0.25">
      <c r="A124" s="102">
        <v>46098</v>
      </c>
      <c r="B124" s="103" t="s">
        <v>47</v>
      </c>
      <c r="C124" s="103" t="str">
        <f>VLOOKUP(B124,'Sales Price'!B:C,2,0)</f>
        <v>ကျောက်ပန်းတောင်း</v>
      </c>
      <c r="D124" s="103"/>
      <c r="E124" s="103" t="s">
        <v>8</v>
      </c>
      <c r="F124" s="104">
        <v>616000</v>
      </c>
      <c r="G124" s="105">
        <v>10</v>
      </c>
      <c r="H124" s="104">
        <f t="shared" si="4"/>
        <v>6160000</v>
      </c>
    </row>
    <row r="125" spans="1:16" x14ac:dyDescent="0.25">
      <c r="A125" s="102">
        <v>46098</v>
      </c>
      <c r="B125" s="103" t="s">
        <v>37</v>
      </c>
      <c r="C125" s="103" t="str">
        <f>VLOOKUP(B125,'Sales Price'!B:C,2,0)</f>
        <v>မိတ္ထီလာ</v>
      </c>
      <c r="D125" s="103"/>
      <c r="E125" s="103" t="s">
        <v>8</v>
      </c>
      <c r="F125" s="104">
        <v>610000</v>
      </c>
      <c r="G125" s="105">
        <v>1</v>
      </c>
      <c r="H125" s="104">
        <f t="shared" si="4"/>
        <v>610000</v>
      </c>
    </row>
    <row r="126" spans="1:16" x14ac:dyDescent="0.25">
      <c r="A126" s="102">
        <v>46099</v>
      </c>
      <c r="B126" s="103" t="s">
        <v>35</v>
      </c>
      <c r="C126" s="103" t="str">
        <f>VLOOKUP(B126,'Sales Price'!B:C,2,0)</f>
        <v>မိတ္ထီလာ</v>
      </c>
      <c r="D126" s="103"/>
      <c r="E126" s="103" t="s">
        <v>8</v>
      </c>
      <c r="F126" s="104">
        <v>600000</v>
      </c>
      <c r="G126" s="105">
        <v>10</v>
      </c>
      <c r="H126" s="104">
        <f t="shared" si="4"/>
        <v>6000000</v>
      </c>
    </row>
    <row r="127" spans="1:16" x14ac:dyDescent="0.25">
      <c r="A127" s="102">
        <v>46101</v>
      </c>
      <c r="B127" s="103" t="s">
        <v>45</v>
      </c>
      <c r="C127" s="103" t="str">
        <f>VLOOKUP(B127,'Sales Price'!B:C,2,0)</f>
        <v>ကျောက်ပန်းတောင်း</v>
      </c>
      <c r="D127" s="103"/>
      <c r="E127" s="103" t="s">
        <v>8</v>
      </c>
      <c r="F127" s="104">
        <v>616000</v>
      </c>
      <c r="G127" s="105">
        <v>3</v>
      </c>
      <c r="H127" s="104">
        <f t="shared" si="4"/>
        <v>1848000</v>
      </c>
    </row>
    <row r="128" spans="1:16" x14ac:dyDescent="0.25">
      <c r="A128" s="102">
        <v>46101</v>
      </c>
      <c r="B128" s="103" t="s">
        <v>35</v>
      </c>
      <c r="C128" s="103" t="str">
        <f>VLOOKUP(B128,'Sales Price'!B:C,2,0)</f>
        <v>မိတ္ထီလာ</v>
      </c>
      <c r="D128" s="103"/>
      <c r="E128" s="103" t="s">
        <v>8</v>
      </c>
      <c r="F128" s="104">
        <v>600000</v>
      </c>
      <c r="G128" s="105">
        <v>15</v>
      </c>
      <c r="H128" s="104">
        <f t="shared" si="4"/>
        <v>9000000</v>
      </c>
    </row>
    <row r="129" spans="1:8" x14ac:dyDescent="0.25">
      <c r="A129" s="102"/>
      <c r="B129" s="103"/>
      <c r="C129" s="103"/>
      <c r="D129" s="103"/>
      <c r="E129" s="103"/>
      <c r="F129" s="104"/>
      <c r="G129" s="105"/>
      <c r="H129" s="104">
        <f t="shared" si="4"/>
        <v>0</v>
      </c>
    </row>
    <row r="130" spans="1:8" x14ac:dyDescent="0.25">
      <c r="A130" s="102"/>
      <c r="B130" s="103"/>
      <c r="C130" s="103"/>
      <c r="D130" s="103"/>
      <c r="E130" s="103"/>
      <c r="F130" s="104"/>
      <c r="G130" s="105"/>
      <c r="H130" s="104">
        <f t="shared" si="4"/>
        <v>0</v>
      </c>
    </row>
    <row r="131" spans="1:8" x14ac:dyDescent="0.25">
      <c r="A131" s="102"/>
      <c r="B131" s="103"/>
      <c r="C131" s="103"/>
      <c r="D131" s="103"/>
      <c r="E131" s="103"/>
      <c r="F131" s="104"/>
      <c r="G131" s="105"/>
      <c r="H131" s="104">
        <f t="shared" si="4"/>
        <v>0</v>
      </c>
    </row>
    <row r="132" spans="1:8" x14ac:dyDescent="0.25">
      <c r="A132" s="102"/>
      <c r="B132" s="103"/>
      <c r="C132" s="103"/>
      <c r="D132" s="103"/>
      <c r="E132" s="103"/>
      <c r="F132" s="104"/>
      <c r="G132" s="105"/>
      <c r="H132" s="104">
        <f t="shared" si="4"/>
        <v>0</v>
      </c>
    </row>
    <row r="133" spans="1:8" x14ac:dyDescent="0.25">
      <c r="A133" s="102"/>
      <c r="B133" s="103"/>
      <c r="C133" s="103"/>
      <c r="D133" s="103"/>
      <c r="E133" s="103"/>
      <c r="F133" s="104"/>
      <c r="G133" s="105"/>
      <c r="H133" s="104">
        <f t="shared" si="4"/>
        <v>0</v>
      </c>
    </row>
    <row r="134" spans="1:8" x14ac:dyDescent="0.25">
      <c r="A134" s="102"/>
      <c r="B134" s="103"/>
      <c r="C134" s="103"/>
      <c r="D134" s="103"/>
      <c r="E134" s="103"/>
      <c r="F134" s="104"/>
      <c r="G134" s="105"/>
      <c r="H134" s="104">
        <f t="shared" si="4"/>
        <v>0</v>
      </c>
    </row>
    <row r="135" spans="1:8" x14ac:dyDescent="0.25">
      <c r="A135" s="102"/>
      <c r="B135" s="103"/>
      <c r="C135" s="103"/>
      <c r="D135" s="103"/>
      <c r="E135" s="103"/>
      <c r="F135" s="104"/>
      <c r="G135" s="105"/>
      <c r="H135" s="104">
        <f t="shared" si="4"/>
        <v>0</v>
      </c>
    </row>
    <row r="136" spans="1:8" x14ac:dyDescent="0.25">
      <c r="A136" s="102"/>
      <c r="B136" s="103"/>
      <c r="C136" s="103"/>
      <c r="D136" s="103"/>
      <c r="E136" s="103"/>
      <c r="F136" s="104"/>
      <c r="G136" s="105"/>
      <c r="H136" s="104">
        <f t="shared" si="4"/>
        <v>0</v>
      </c>
    </row>
    <row r="137" spans="1:8" x14ac:dyDescent="0.25">
      <c r="A137" s="102"/>
      <c r="B137" s="103"/>
      <c r="C137" s="103"/>
      <c r="D137" s="103"/>
      <c r="E137" s="103"/>
      <c r="F137" s="104"/>
      <c r="G137" s="105"/>
      <c r="H137" s="104">
        <f t="shared" si="4"/>
        <v>0</v>
      </c>
    </row>
    <row r="138" spans="1:8" x14ac:dyDescent="0.25">
      <c r="A138" s="102"/>
      <c r="B138" s="103"/>
      <c r="C138" s="103"/>
      <c r="D138" s="103"/>
      <c r="E138" s="103"/>
      <c r="F138" s="104"/>
      <c r="G138" s="105"/>
      <c r="H138" s="104">
        <f t="shared" si="4"/>
        <v>0</v>
      </c>
    </row>
    <row r="139" spans="1:8" x14ac:dyDescent="0.25">
      <c r="A139" s="102"/>
      <c r="B139" s="103"/>
      <c r="C139" s="103"/>
      <c r="D139" s="103"/>
      <c r="E139" s="103"/>
      <c r="F139" s="104"/>
      <c r="G139" s="105"/>
      <c r="H139" s="104">
        <f t="shared" si="4"/>
        <v>0</v>
      </c>
    </row>
    <row r="140" spans="1:8" x14ac:dyDescent="0.25">
      <c r="A140" s="102"/>
      <c r="B140" s="103"/>
      <c r="C140" s="103"/>
      <c r="D140" s="103"/>
      <c r="E140" s="103"/>
      <c r="F140" s="106"/>
      <c r="G140" s="106">
        <f>SUM(G107:G139)</f>
        <v>185</v>
      </c>
      <c r="H140" s="106">
        <f>SUM(H107:H139)</f>
        <v>109488000</v>
      </c>
    </row>
    <row r="141" spans="1:8" x14ac:dyDescent="0.25">
      <c r="F141" s="63"/>
      <c r="H141" s="70"/>
    </row>
    <row r="142" spans="1:8" x14ac:dyDescent="0.25">
      <c r="F142" s="63"/>
      <c r="H142" s="70"/>
    </row>
    <row r="143" spans="1:8" x14ac:dyDescent="0.25">
      <c r="F143" s="63"/>
      <c r="H143" s="70"/>
    </row>
    <row r="144" spans="1:8" x14ac:dyDescent="0.25">
      <c r="F144" s="63"/>
      <c r="H144" s="70"/>
    </row>
    <row r="145" spans="6:8" x14ac:dyDescent="0.25">
      <c r="F145" s="63"/>
      <c r="H145" s="70"/>
    </row>
    <row r="146" spans="6:8" x14ac:dyDescent="0.25">
      <c r="F146" s="63"/>
      <c r="H146" s="70"/>
    </row>
    <row r="147" spans="6:8" x14ac:dyDescent="0.25">
      <c r="F147" s="63"/>
      <c r="H147" s="70"/>
    </row>
    <row r="148" spans="6:8" x14ac:dyDescent="0.25">
      <c r="F148" s="63"/>
      <c r="H148" s="70"/>
    </row>
    <row r="149" spans="6:8" x14ac:dyDescent="0.25">
      <c r="F149" s="63"/>
      <c r="H149" s="70"/>
    </row>
    <row r="150" spans="6:8" x14ac:dyDescent="0.25">
      <c r="F150" s="63"/>
      <c r="H150" s="70"/>
    </row>
    <row r="151" spans="6:8" x14ac:dyDescent="0.25">
      <c r="F151" s="63"/>
      <c r="H151" s="70"/>
    </row>
    <row r="152" spans="6:8" x14ac:dyDescent="0.25">
      <c r="F152" s="63"/>
      <c r="H152" s="70"/>
    </row>
    <row r="153" spans="6:8" x14ac:dyDescent="0.25">
      <c r="F153" s="63"/>
      <c r="H153" s="70"/>
    </row>
    <row r="154" spans="6:8" x14ac:dyDescent="0.25">
      <c r="F154" s="63"/>
      <c r="H154" s="70"/>
    </row>
    <row r="155" spans="6:8" x14ac:dyDescent="0.25">
      <c r="F155" s="63"/>
      <c r="H155" s="70"/>
    </row>
    <row r="156" spans="6:8" x14ac:dyDescent="0.25">
      <c r="F156" s="63"/>
      <c r="H156" s="70"/>
    </row>
    <row r="157" spans="6:8" x14ac:dyDescent="0.25">
      <c r="F157" s="63"/>
      <c r="H157" s="70"/>
    </row>
    <row r="158" spans="6:8" x14ac:dyDescent="0.25">
      <c r="F158" s="63"/>
      <c r="H158" s="70"/>
    </row>
    <row r="159" spans="6:8" x14ac:dyDescent="0.25">
      <c r="F159" s="63"/>
      <c r="H159" s="70"/>
    </row>
    <row r="160" spans="6:8" x14ac:dyDescent="0.25">
      <c r="F160" s="63"/>
      <c r="H160" s="70"/>
    </row>
    <row r="161" spans="6:8" x14ac:dyDescent="0.25">
      <c r="F161" s="63"/>
      <c r="H161" s="70"/>
    </row>
    <row r="162" spans="6:8" x14ac:dyDescent="0.25">
      <c r="F162" s="63"/>
      <c r="H162" s="70"/>
    </row>
    <row r="163" spans="6:8" x14ac:dyDescent="0.25">
      <c r="F163" s="63"/>
      <c r="H163" s="70"/>
    </row>
    <row r="164" spans="6:8" x14ac:dyDescent="0.25">
      <c r="F164" s="63"/>
      <c r="H164" s="70"/>
    </row>
    <row r="165" spans="6:8" x14ac:dyDescent="0.25">
      <c r="F165" s="63"/>
      <c r="H165" s="70"/>
    </row>
    <row r="166" spans="6:8" x14ac:dyDescent="0.25">
      <c r="F166" s="63"/>
      <c r="H166" s="70"/>
    </row>
    <row r="167" spans="6:8" x14ac:dyDescent="0.25">
      <c r="F167" s="63"/>
      <c r="H167" s="70"/>
    </row>
    <row r="168" spans="6:8" x14ac:dyDescent="0.25">
      <c r="F168" s="63"/>
      <c r="H168" s="70"/>
    </row>
    <row r="169" spans="6:8" x14ac:dyDescent="0.25">
      <c r="F169" s="63"/>
      <c r="H169" s="70"/>
    </row>
    <row r="170" spans="6:8" x14ac:dyDescent="0.25">
      <c r="F170" s="63"/>
      <c r="H170" s="70"/>
    </row>
    <row r="171" spans="6:8" x14ac:dyDescent="0.25">
      <c r="F171" s="63"/>
      <c r="H171" s="70"/>
    </row>
    <row r="172" spans="6:8" x14ac:dyDescent="0.25">
      <c r="F172" s="63"/>
      <c r="H172" s="70"/>
    </row>
    <row r="173" spans="6:8" x14ac:dyDescent="0.25">
      <c r="F173" s="63"/>
      <c r="H173" s="70"/>
    </row>
    <row r="174" spans="6:8" x14ac:dyDescent="0.25">
      <c r="F174" s="63"/>
      <c r="H174" s="70"/>
    </row>
    <row r="175" spans="6:8" x14ac:dyDescent="0.25">
      <c r="F175" s="63"/>
      <c r="H175" s="70"/>
    </row>
    <row r="176" spans="6:8" x14ac:dyDescent="0.25">
      <c r="F176" s="63"/>
      <c r="H176" s="70"/>
    </row>
    <row r="177" spans="6:8" x14ac:dyDescent="0.25">
      <c r="F177" s="63"/>
      <c r="H177" s="70"/>
    </row>
    <row r="178" spans="6:8" x14ac:dyDescent="0.25">
      <c r="F178" s="63"/>
      <c r="H178" s="70"/>
    </row>
    <row r="179" spans="6:8" x14ac:dyDescent="0.25">
      <c r="F179" s="63"/>
      <c r="H179" s="70"/>
    </row>
    <row r="180" spans="6:8" x14ac:dyDescent="0.25">
      <c r="F180" s="63"/>
      <c r="H180" s="70"/>
    </row>
    <row r="181" spans="6:8" x14ac:dyDescent="0.25">
      <c r="F181" s="63"/>
      <c r="H181" s="70"/>
    </row>
    <row r="182" spans="6:8" x14ac:dyDescent="0.25">
      <c r="F182" s="63"/>
      <c r="H182" s="70"/>
    </row>
    <row r="183" spans="6:8" x14ac:dyDescent="0.25">
      <c r="F183" s="63"/>
      <c r="H183" s="70"/>
    </row>
    <row r="184" spans="6:8" x14ac:dyDescent="0.25">
      <c r="F184" s="63"/>
      <c r="H184" s="70"/>
    </row>
    <row r="185" spans="6:8" x14ac:dyDescent="0.25">
      <c r="F185" s="63"/>
      <c r="H185" s="70"/>
    </row>
    <row r="186" spans="6:8" x14ac:dyDescent="0.25">
      <c r="F186" s="63"/>
      <c r="H186" s="70"/>
    </row>
    <row r="187" spans="6:8" x14ac:dyDescent="0.25">
      <c r="F187" s="63"/>
      <c r="H187" s="70"/>
    </row>
    <row r="188" spans="6:8" x14ac:dyDescent="0.25">
      <c r="F188" s="63"/>
      <c r="H188" s="70"/>
    </row>
    <row r="189" spans="6:8" x14ac:dyDescent="0.25">
      <c r="F189" s="63"/>
      <c r="H189" s="70"/>
    </row>
    <row r="190" spans="6:8" x14ac:dyDescent="0.25">
      <c r="F190" s="63"/>
      <c r="H190" s="70"/>
    </row>
    <row r="191" spans="6:8" x14ac:dyDescent="0.25">
      <c r="F191" s="63"/>
      <c r="H191" s="70"/>
    </row>
    <row r="192" spans="6:8" x14ac:dyDescent="0.25">
      <c r="F192" s="63"/>
      <c r="H192" s="70"/>
    </row>
    <row r="193" spans="6:8" x14ac:dyDescent="0.25">
      <c r="F193" s="63"/>
      <c r="H193" s="70"/>
    </row>
    <row r="194" spans="6:8" x14ac:dyDescent="0.25">
      <c r="F194" s="63"/>
      <c r="H194" s="70"/>
    </row>
    <row r="195" spans="6:8" x14ac:dyDescent="0.25">
      <c r="F195" s="63"/>
      <c r="H195" s="70"/>
    </row>
    <row r="196" spans="6:8" x14ac:dyDescent="0.25">
      <c r="F196" s="63"/>
      <c r="H196" s="70"/>
    </row>
    <row r="197" spans="6:8" x14ac:dyDescent="0.25">
      <c r="F197" s="63"/>
      <c r="H197" s="70"/>
    </row>
    <row r="198" spans="6:8" x14ac:dyDescent="0.25">
      <c r="F198" s="63"/>
      <c r="H198" s="70"/>
    </row>
    <row r="199" spans="6:8" x14ac:dyDescent="0.25">
      <c r="F199" s="63"/>
      <c r="H199" s="70"/>
    </row>
    <row r="200" spans="6:8" x14ac:dyDescent="0.25">
      <c r="F200" s="63"/>
      <c r="H200" s="70"/>
    </row>
    <row r="201" spans="6:8" x14ac:dyDescent="0.25">
      <c r="F201" s="63"/>
      <c r="H201" s="70"/>
    </row>
    <row r="202" spans="6:8" x14ac:dyDescent="0.25">
      <c r="F202" s="63"/>
      <c r="H202" s="70"/>
    </row>
    <row r="203" spans="6:8" x14ac:dyDescent="0.25">
      <c r="F203" s="63"/>
      <c r="H203" s="70"/>
    </row>
    <row r="204" spans="6:8" x14ac:dyDescent="0.25">
      <c r="F204" s="63"/>
      <c r="H204" s="70"/>
    </row>
    <row r="205" spans="6:8" x14ac:dyDescent="0.25">
      <c r="F205" s="63"/>
      <c r="H205" s="70"/>
    </row>
    <row r="206" spans="6:8" x14ac:dyDescent="0.25">
      <c r="F206" s="63"/>
      <c r="H206" s="70"/>
    </row>
    <row r="207" spans="6:8" x14ac:dyDescent="0.25">
      <c r="F207" s="63"/>
      <c r="H207" s="70"/>
    </row>
    <row r="208" spans="6:8" x14ac:dyDescent="0.25">
      <c r="F208" s="63"/>
      <c r="H208" s="70"/>
    </row>
    <row r="209" spans="6:8" x14ac:dyDescent="0.25">
      <c r="F209" s="63"/>
      <c r="H209" s="70"/>
    </row>
    <row r="210" spans="6:8" x14ac:dyDescent="0.25">
      <c r="F210" s="63"/>
      <c r="H210" s="70"/>
    </row>
    <row r="211" spans="6:8" x14ac:dyDescent="0.25">
      <c r="F211" s="63"/>
      <c r="H211" s="70"/>
    </row>
    <row r="212" spans="6:8" x14ac:dyDescent="0.25">
      <c r="F212" s="63"/>
      <c r="H212" s="70"/>
    </row>
    <row r="213" spans="6:8" x14ac:dyDescent="0.25">
      <c r="F213" s="63"/>
      <c r="H213" s="70"/>
    </row>
    <row r="214" spans="6:8" x14ac:dyDescent="0.25">
      <c r="F214" s="63"/>
      <c r="H214" s="70"/>
    </row>
    <row r="215" spans="6:8" x14ac:dyDescent="0.25">
      <c r="F215" s="63"/>
      <c r="H215" s="70"/>
    </row>
    <row r="216" spans="6:8" x14ac:dyDescent="0.25">
      <c r="F216" s="63"/>
      <c r="H216" s="70"/>
    </row>
    <row r="217" spans="6:8" x14ac:dyDescent="0.25">
      <c r="F217" s="63"/>
      <c r="H217" s="70"/>
    </row>
    <row r="218" spans="6:8" x14ac:dyDescent="0.25">
      <c r="F218" s="63"/>
      <c r="H218" s="70"/>
    </row>
    <row r="219" spans="6:8" x14ac:dyDescent="0.25">
      <c r="F219" s="63"/>
      <c r="H219" s="70"/>
    </row>
    <row r="220" spans="6:8" x14ac:dyDescent="0.25">
      <c r="F220" s="63"/>
      <c r="H220" s="70"/>
    </row>
    <row r="221" spans="6:8" x14ac:dyDescent="0.25">
      <c r="F221" s="63"/>
      <c r="H221" s="70"/>
    </row>
    <row r="222" spans="6:8" x14ac:dyDescent="0.25">
      <c r="F222" s="63"/>
      <c r="H222" s="70"/>
    </row>
    <row r="223" spans="6:8" x14ac:dyDescent="0.25">
      <c r="F223" s="63"/>
      <c r="H223" s="70"/>
    </row>
    <row r="224" spans="6:8" x14ac:dyDescent="0.25">
      <c r="F224" s="63"/>
      <c r="H224" s="70"/>
    </row>
    <row r="225" spans="6:8" x14ac:dyDescent="0.25">
      <c r="F225" s="63"/>
      <c r="H225" s="70"/>
    </row>
    <row r="226" spans="6:8" x14ac:dyDescent="0.25">
      <c r="F226" s="63"/>
      <c r="H226" s="70"/>
    </row>
    <row r="227" spans="6:8" x14ac:dyDescent="0.25">
      <c r="F227" s="63"/>
      <c r="H227" s="70"/>
    </row>
    <row r="228" spans="6:8" x14ac:dyDescent="0.25">
      <c r="F228" s="63"/>
      <c r="H228" s="70"/>
    </row>
    <row r="229" spans="6:8" x14ac:dyDescent="0.25">
      <c r="F229" s="63"/>
      <c r="H229" s="70"/>
    </row>
    <row r="230" spans="6:8" x14ac:dyDescent="0.25">
      <c r="F230" s="63"/>
      <c r="H230" s="70"/>
    </row>
    <row r="231" spans="6:8" x14ac:dyDescent="0.25">
      <c r="F231" s="63"/>
      <c r="H231" s="70"/>
    </row>
    <row r="232" spans="6:8" x14ac:dyDescent="0.25">
      <c r="F232" s="63"/>
      <c r="H232" s="70"/>
    </row>
    <row r="233" spans="6:8" x14ac:dyDescent="0.25">
      <c r="F233" s="63"/>
      <c r="H233" s="70"/>
    </row>
    <row r="234" spans="6:8" x14ac:dyDescent="0.25">
      <c r="F234" s="63"/>
      <c r="H234" s="70"/>
    </row>
    <row r="235" spans="6:8" x14ac:dyDescent="0.25">
      <c r="F235" s="63"/>
      <c r="H235" s="70"/>
    </row>
    <row r="236" spans="6:8" x14ac:dyDescent="0.25">
      <c r="F236" s="63"/>
      <c r="H236" s="70"/>
    </row>
    <row r="237" spans="6:8" x14ac:dyDescent="0.25">
      <c r="F237" s="63"/>
      <c r="H237" s="70"/>
    </row>
    <row r="238" spans="6:8" x14ac:dyDescent="0.25">
      <c r="F238" s="63"/>
      <c r="H238" s="70"/>
    </row>
    <row r="239" spans="6:8" x14ac:dyDescent="0.25">
      <c r="F239" s="63"/>
      <c r="H239" s="70"/>
    </row>
    <row r="240" spans="6:8" x14ac:dyDescent="0.25">
      <c r="F240" s="63"/>
      <c r="H240" s="70"/>
    </row>
    <row r="241" spans="6:8" x14ac:dyDescent="0.25">
      <c r="F241" s="63"/>
      <c r="H241" s="70"/>
    </row>
    <row r="242" spans="6:8" x14ac:dyDescent="0.25">
      <c r="F242" s="63"/>
      <c r="H242" s="70"/>
    </row>
    <row r="243" spans="6:8" x14ac:dyDescent="0.25">
      <c r="F243" s="63"/>
      <c r="H243" s="70"/>
    </row>
    <row r="244" spans="6:8" x14ac:dyDescent="0.25">
      <c r="F244" s="63"/>
      <c r="H244" s="70"/>
    </row>
    <row r="245" spans="6:8" x14ac:dyDescent="0.25">
      <c r="F245" s="63"/>
      <c r="H245" s="70"/>
    </row>
    <row r="246" spans="6:8" x14ac:dyDescent="0.25">
      <c r="F246" s="63"/>
      <c r="H246" s="70"/>
    </row>
    <row r="247" spans="6:8" x14ac:dyDescent="0.25">
      <c r="F247" s="63"/>
      <c r="H247" s="70"/>
    </row>
    <row r="248" spans="6:8" x14ac:dyDescent="0.25">
      <c r="F248" s="63"/>
      <c r="H248" s="70"/>
    </row>
    <row r="249" spans="6:8" x14ac:dyDescent="0.25">
      <c r="F249" s="63"/>
      <c r="H249" s="70"/>
    </row>
    <row r="250" spans="6:8" x14ac:dyDescent="0.25">
      <c r="F250" s="63"/>
      <c r="H250" s="70"/>
    </row>
    <row r="251" spans="6:8" x14ac:dyDescent="0.25">
      <c r="F251" s="63"/>
      <c r="H251" s="70"/>
    </row>
    <row r="252" spans="6:8" x14ac:dyDescent="0.25">
      <c r="F252" s="63"/>
      <c r="H252" s="70"/>
    </row>
    <row r="253" spans="6:8" x14ac:dyDescent="0.25">
      <c r="F253" s="63"/>
      <c r="H253" s="70"/>
    </row>
    <row r="254" spans="6:8" x14ac:dyDescent="0.25">
      <c r="F254" s="63"/>
      <c r="H254" s="70"/>
    </row>
    <row r="255" spans="6:8" x14ac:dyDescent="0.25">
      <c r="F255" s="63"/>
      <c r="H255" s="70"/>
    </row>
    <row r="256" spans="6:8" x14ac:dyDescent="0.25">
      <c r="F256" s="63"/>
      <c r="H256" s="70"/>
    </row>
    <row r="257" spans="6:8" x14ac:dyDescent="0.25">
      <c r="F257" s="63"/>
      <c r="H257" s="70"/>
    </row>
    <row r="258" spans="6:8" x14ac:dyDescent="0.25">
      <c r="F258" s="63"/>
      <c r="H258" s="70"/>
    </row>
    <row r="259" spans="6:8" x14ac:dyDescent="0.25">
      <c r="F259" s="63"/>
      <c r="H259" s="70"/>
    </row>
    <row r="260" spans="6:8" x14ac:dyDescent="0.25">
      <c r="F260" s="63"/>
      <c r="H260" s="70"/>
    </row>
    <row r="261" spans="6:8" x14ac:dyDescent="0.25">
      <c r="F261" s="63"/>
      <c r="H261" s="70"/>
    </row>
    <row r="262" spans="6:8" x14ac:dyDescent="0.25">
      <c r="F262" s="63"/>
      <c r="H262" s="70"/>
    </row>
    <row r="263" spans="6:8" x14ac:dyDescent="0.25">
      <c r="F263" s="63"/>
      <c r="H263" s="70"/>
    </row>
    <row r="264" spans="6:8" x14ac:dyDescent="0.25">
      <c r="F264" s="63"/>
      <c r="H264" s="70"/>
    </row>
    <row r="265" spans="6:8" x14ac:dyDescent="0.25">
      <c r="F265" s="63"/>
      <c r="H265" s="70"/>
    </row>
    <row r="266" spans="6:8" x14ac:dyDescent="0.25">
      <c r="F266" s="63"/>
      <c r="H266" s="70"/>
    </row>
    <row r="267" spans="6:8" x14ac:dyDescent="0.25">
      <c r="F267" s="63"/>
      <c r="H267" s="70"/>
    </row>
    <row r="268" spans="6:8" x14ac:dyDescent="0.25">
      <c r="F268" s="63"/>
      <c r="H268" s="70"/>
    </row>
    <row r="269" spans="6:8" x14ac:dyDescent="0.25">
      <c r="F269" s="63"/>
      <c r="H269" s="70"/>
    </row>
    <row r="270" spans="6:8" x14ac:dyDescent="0.25">
      <c r="F270" s="63"/>
      <c r="H270" s="70"/>
    </row>
    <row r="271" spans="6:8" x14ac:dyDescent="0.25">
      <c r="F271" s="63"/>
      <c r="H271" s="70"/>
    </row>
    <row r="272" spans="6:8" x14ac:dyDescent="0.25">
      <c r="F272" s="63"/>
      <c r="H272" s="70"/>
    </row>
    <row r="273" spans="6:8" x14ac:dyDescent="0.25">
      <c r="F273" s="63"/>
      <c r="H273" s="70"/>
    </row>
    <row r="274" spans="6:8" x14ac:dyDescent="0.25">
      <c r="F274" s="63"/>
      <c r="H274" s="70"/>
    </row>
    <row r="275" spans="6:8" x14ac:dyDescent="0.25">
      <c r="F275" s="63"/>
      <c r="H275" s="70"/>
    </row>
    <row r="276" spans="6:8" x14ac:dyDescent="0.25">
      <c r="F276" s="63"/>
      <c r="H276" s="70"/>
    </row>
    <row r="277" spans="6:8" x14ac:dyDescent="0.25">
      <c r="F277" s="63"/>
      <c r="H277" s="70"/>
    </row>
    <row r="278" spans="6:8" x14ac:dyDescent="0.25">
      <c r="F278" s="63"/>
      <c r="H278" s="70"/>
    </row>
    <row r="279" spans="6:8" x14ac:dyDescent="0.25">
      <c r="F279" s="63"/>
      <c r="H279" s="70"/>
    </row>
    <row r="280" spans="6:8" x14ac:dyDescent="0.25">
      <c r="F280" s="63"/>
      <c r="H280" s="70"/>
    </row>
    <row r="281" spans="6:8" x14ac:dyDescent="0.25">
      <c r="F281" s="63"/>
      <c r="H281" s="70"/>
    </row>
    <row r="282" spans="6:8" x14ac:dyDescent="0.25">
      <c r="F282" s="63"/>
      <c r="H282" s="70"/>
    </row>
    <row r="283" spans="6:8" x14ac:dyDescent="0.25">
      <c r="F283" s="63"/>
      <c r="H283" s="70"/>
    </row>
    <row r="284" spans="6:8" x14ac:dyDescent="0.25">
      <c r="F284" s="63"/>
      <c r="H284" s="70"/>
    </row>
    <row r="285" spans="6:8" x14ac:dyDescent="0.25">
      <c r="F285" s="63"/>
      <c r="H285" s="70"/>
    </row>
    <row r="286" spans="6:8" x14ac:dyDescent="0.25">
      <c r="F286" s="63"/>
      <c r="H286" s="70"/>
    </row>
    <row r="287" spans="6:8" x14ac:dyDescent="0.25">
      <c r="F287" s="63"/>
      <c r="H287" s="70"/>
    </row>
    <row r="288" spans="6:8" x14ac:dyDescent="0.25">
      <c r="F288" s="63"/>
      <c r="H288" s="70"/>
    </row>
    <row r="289" spans="6:8" x14ac:dyDescent="0.25">
      <c r="F289" s="63"/>
      <c r="H289" s="70"/>
    </row>
    <row r="290" spans="6:8" x14ac:dyDescent="0.25">
      <c r="F290" s="63"/>
      <c r="H290" s="70"/>
    </row>
    <row r="291" spans="6:8" x14ac:dyDescent="0.25">
      <c r="F291" s="63"/>
      <c r="H291" s="70"/>
    </row>
    <row r="292" spans="6:8" x14ac:dyDescent="0.25">
      <c r="F292" s="63"/>
      <c r="H292" s="70"/>
    </row>
    <row r="293" spans="6:8" x14ac:dyDescent="0.25">
      <c r="F293" s="63"/>
      <c r="H293" s="70"/>
    </row>
    <row r="294" spans="6:8" x14ac:dyDescent="0.25">
      <c r="F294" s="63"/>
      <c r="H294" s="70"/>
    </row>
    <row r="295" spans="6:8" x14ac:dyDescent="0.25">
      <c r="F295" s="63"/>
      <c r="H295" s="70"/>
    </row>
    <row r="296" spans="6:8" x14ac:dyDescent="0.25">
      <c r="F296" s="63"/>
      <c r="H296" s="70"/>
    </row>
    <row r="297" spans="6:8" x14ac:dyDescent="0.25">
      <c r="F297" s="63"/>
      <c r="H297" s="70"/>
    </row>
    <row r="298" spans="6:8" x14ac:dyDescent="0.25">
      <c r="F298" s="63"/>
      <c r="H298" s="70"/>
    </row>
    <row r="299" spans="6:8" x14ac:dyDescent="0.25">
      <c r="F299" s="63"/>
      <c r="H299" s="70"/>
    </row>
    <row r="300" spans="6:8" x14ac:dyDescent="0.25">
      <c r="F300" s="63"/>
      <c r="H300" s="70"/>
    </row>
    <row r="301" spans="6:8" x14ac:dyDescent="0.25">
      <c r="F301" s="63"/>
      <c r="H301" s="70"/>
    </row>
    <row r="302" spans="6:8" x14ac:dyDescent="0.25">
      <c r="F302" s="63"/>
      <c r="H302" s="70"/>
    </row>
    <row r="303" spans="6:8" x14ac:dyDescent="0.25">
      <c r="F303" s="63"/>
      <c r="H303" s="70"/>
    </row>
    <row r="304" spans="6:8" x14ac:dyDescent="0.25">
      <c r="F304" s="63"/>
      <c r="H304" s="70"/>
    </row>
    <row r="305" spans="6:8" x14ac:dyDescent="0.25">
      <c r="F305" s="63"/>
      <c r="H305" s="70"/>
    </row>
    <row r="306" spans="6:8" x14ac:dyDescent="0.25">
      <c r="F306" s="63"/>
      <c r="H306" s="70"/>
    </row>
    <row r="307" spans="6:8" x14ac:dyDescent="0.25">
      <c r="F307" s="63"/>
      <c r="H307" s="70"/>
    </row>
    <row r="308" spans="6:8" x14ac:dyDescent="0.25">
      <c r="F308" s="63"/>
      <c r="H308" s="70"/>
    </row>
    <row r="309" spans="6:8" x14ac:dyDescent="0.25">
      <c r="F309" s="63"/>
      <c r="H309" s="70"/>
    </row>
    <row r="310" spans="6:8" x14ac:dyDescent="0.25">
      <c r="F310" s="63"/>
      <c r="H310" s="70"/>
    </row>
    <row r="311" spans="6:8" x14ac:dyDescent="0.25">
      <c r="F311" s="63"/>
      <c r="H311" s="70"/>
    </row>
    <row r="312" spans="6:8" x14ac:dyDescent="0.25">
      <c r="F312" s="63"/>
      <c r="H312" s="70"/>
    </row>
    <row r="313" spans="6:8" x14ac:dyDescent="0.25">
      <c r="F313" s="63"/>
      <c r="H313" s="70"/>
    </row>
    <row r="314" spans="6:8" x14ac:dyDescent="0.25">
      <c r="F314" s="63"/>
      <c r="H314" s="70"/>
    </row>
    <row r="315" spans="6:8" x14ac:dyDescent="0.25">
      <c r="F315" s="63"/>
      <c r="H315" s="70"/>
    </row>
    <row r="316" spans="6:8" x14ac:dyDescent="0.25">
      <c r="F316" s="63"/>
      <c r="H316" s="70"/>
    </row>
    <row r="317" spans="6:8" x14ac:dyDescent="0.25">
      <c r="F317" s="63"/>
      <c r="H317" s="70"/>
    </row>
    <row r="318" spans="6:8" x14ac:dyDescent="0.25">
      <c r="F318" s="63"/>
      <c r="H318" s="70"/>
    </row>
    <row r="319" spans="6:8" x14ac:dyDescent="0.25">
      <c r="F319" s="63"/>
      <c r="H319" s="70"/>
    </row>
    <row r="320" spans="6:8" x14ac:dyDescent="0.25">
      <c r="F320" s="63"/>
      <c r="H320" s="70"/>
    </row>
    <row r="321" spans="6:8" x14ac:dyDescent="0.25">
      <c r="F321" s="63"/>
      <c r="H321" s="70"/>
    </row>
    <row r="322" spans="6:8" x14ac:dyDescent="0.25">
      <c r="F322" s="63"/>
      <c r="H322" s="70"/>
    </row>
    <row r="323" spans="6:8" x14ac:dyDescent="0.25">
      <c r="F323" s="63"/>
      <c r="H323" s="70"/>
    </row>
    <row r="324" spans="6:8" x14ac:dyDescent="0.25">
      <c r="F324" s="63"/>
      <c r="H324" s="70"/>
    </row>
    <row r="325" spans="6:8" x14ac:dyDescent="0.25">
      <c r="F325" s="63"/>
      <c r="H325" s="70"/>
    </row>
    <row r="326" spans="6:8" x14ac:dyDescent="0.25">
      <c r="F326" s="63"/>
      <c r="H326" s="70"/>
    </row>
    <row r="327" spans="6:8" x14ac:dyDescent="0.25">
      <c r="F327" s="63"/>
      <c r="H327" s="70"/>
    </row>
    <row r="328" spans="6:8" x14ac:dyDescent="0.25">
      <c r="F328" s="63"/>
      <c r="H328" s="70"/>
    </row>
    <row r="329" spans="6:8" x14ac:dyDescent="0.25">
      <c r="F329" s="63"/>
      <c r="H329" s="70"/>
    </row>
    <row r="330" spans="6:8" x14ac:dyDescent="0.25">
      <c r="F330" s="63"/>
      <c r="H330" s="70"/>
    </row>
    <row r="331" spans="6:8" x14ac:dyDescent="0.25">
      <c r="F331" s="63"/>
      <c r="H331" s="70"/>
    </row>
    <row r="332" spans="6:8" x14ac:dyDescent="0.25">
      <c r="F332" s="63"/>
      <c r="H332" s="70"/>
    </row>
    <row r="333" spans="6:8" x14ac:dyDescent="0.25">
      <c r="F333" s="63"/>
      <c r="H333" s="70"/>
    </row>
    <row r="334" spans="6:8" x14ac:dyDescent="0.25">
      <c r="F334" s="63"/>
      <c r="H334" s="70"/>
    </row>
    <row r="335" spans="6:8" x14ac:dyDescent="0.25">
      <c r="F335" s="63"/>
      <c r="H335" s="70"/>
    </row>
    <row r="336" spans="6:8" x14ac:dyDescent="0.25">
      <c r="F336" s="63"/>
      <c r="H336" s="70"/>
    </row>
    <row r="337" spans="6:8" x14ac:dyDescent="0.25">
      <c r="F337" s="63"/>
      <c r="H337" s="70"/>
    </row>
    <row r="338" spans="6:8" x14ac:dyDescent="0.25">
      <c r="F338" s="63"/>
      <c r="H338" s="70"/>
    </row>
    <row r="339" spans="6:8" x14ac:dyDescent="0.25">
      <c r="F339" s="63"/>
      <c r="H339" s="70"/>
    </row>
    <row r="340" spans="6:8" x14ac:dyDescent="0.25">
      <c r="F340" s="63"/>
      <c r="H340" s="70"/>
    </row>
    <row r="341" spans="6:8" x14ac:dyDescent="0.25">
      <c r="F341" s="63"/>
      <c r="H341" s="70"/>
    </row>
    <row r="342" spans="6:8" x14ac:dyDescent="0.25">
      <c r="F342" s="63"/>
      <c r="H342" s="70"/>
    </row>
    <row r="343" spans="6:8" x14ac:dyDescent="0.25">
      <c r="F343" s="63"/>
      <c r="H343" s="70"/>
    </row>
    <row r="344" spans="6:8" x14ac:dyDescent="0.25">
      <c r="F344" s="63"/>
      <c r="H344" s="70"/>
    </row>
    <row r="345" spans="6:8" x14ac:dyDescent="0.25">
      <c r="F345" s="63"/>
      <c r="H345" s="70"/>
    </row>
    <row r="346" spans="6:8" x14ac:dyDescent="0.25">
      <c r="F346" s="63"/>
      <c r="H346" s="70"/>
    </row>
    <row r="347" spans="6:8" x14ac:dyDescent="0.25">
      <c r="F347" s="63"/>
      <c r="H347" s="70"/>
    </row>
    <row r="348" spans="6:8" x14ac:dyDescent="0.25">
      <c r="F348" s="63"/>
      <c r="H348" s="70"/>
    </row>
    <row r="349" spans="6:8" x14ac:dyDescent="0.25">
      <c r="F349" s="63"/>
      <c r="H349" s="70"/>
    </row>
    <row r="350" spans="6:8" x14ac:dyDescent="0.25">
      <c r="F350" s="63"/>
      <c r="H350" s="70"/>
    </row>
    <row r="351" spans="6:8" x14ac:dyDescent="0.25">
      <c r="F351" s="63"/>
      <c r="H351" s="70"/>
    </row>
    <row r="352" spans="6:8" x14ac:dyDescent="0.25">
      <c r="F352" s="63"/>
      <c r="H352" s="70"/>
    </row>
    <row r="353" spans="6:8" x14ac:dyDescent="0.25">
      <c r="F353" s="63"/>
      <c r="H353" s="70"/>
    </row>
    <row r="354" spans="6:8" x14ac:dyDescent="0.25">
      <c r="F354" s="63"/>
      <c r="H354" s="70"/>
    </row>
    <row r="355" spans="6:8" x14ac:dyDescent="0.25">
      <c r="F355" s="63"/>
      <c r="H355" s="70"/>
    </row>
    <row r="356" spans="6:8" x14ac:dyDescent="0.25">
      <c r="F356" s="63"/>
      <c r="H356" s="70"/>
    </row>
    <row r="357" spans="6:8" x14ac:dyDescent="0.25">
      <c r="F357" s="63"/>
      <c r="H357" s="70"/>
    </row>
    <row r="358" spans="6:8" x14ac:dyDescent="0.25">
      <c r="F358" s="63"/>
      <c r="H358" s="70"/>
    </row>
    <row r="359" spans="6:8" x14ac:dyDescent="0.25">
      <c r="F359" s="63"/>
      <c r="H359" s="70"/>
    </row>
    <row r="360" spans="6:8" x14ac:dyDescent="0.25">
      <c r="F360" s="63"/>
      <c r="H360" s="70"/>
    </row>
    <row r="361" spans="6:8" x14ac:dyDescent="0.25">
      <c r="F361" s="63"/>
      <c r="H361" s="70"/>
    </row>
    <row r="362" spans="6:8" x14ac:dyDescent="0.25">
      <c r="F362" s="63"/>
      <c r="H362" s="70"/>
    </row>
    <row r="363" spans="6:8" x14ac:dyDescent="0.25">
      <c r="F363" s="63"/>
      <c r="H363" s="70"/>
    </row>
    <row r="364" spans="6:8" x14ac:dyDescent="0.25">
      <c r="F364" s="63"/>
      <c r="H364" s="70"/>
    </row>
    <row r="365" spans="6:8" x14ac:dyDescent="0.25">
      <c r="F365" s="63"/>
      <c r="H365" s="70"/>
    </row>
    <row r="366" spans="6:8" x14ac:dyDescent="0.25">
      <c r="F366" s="63"/>
      <c r="H366" s="70"/>
    </row>
    <row r="367" spans="6:8" x14ac:dyDescent="0.25">
      <c r="F367" s="63"/>
      <c r="H367" s="70"/>
    </row>
    <row r="368" spans="6:8" x14ac:dyDescent="0.25">
      <c r="F368" s="63"/>
      <c r="H368" s="70"/>
    </row>
    <row r="369" spans="6:8" x14ac:dyDescent="0.25">
      <c r="F369" s="63"/>
      <c r="H369" s="70"/>
    </row>
    <row r="370" spans="6:8" x14ac:dyDescent="0.25">
      <c r="F370" s="63"/>
      <c r="H370" s="70"/>
    </row>
    <row r="371" spans="6:8" x14ac:dyDescent="0.25">
      <c r="F371" s="63"/>
      <c r="H371" s="70"/>
    </row>
    <row r="372" spans="6:8" x14ac:dyDescent="0.25">
      <c r="F372" s="63"/>
      <c r="H372" s="70"/>
    </row>
    <row r="373" spans="6:8" x14ac:dyDescent="0.25">
      <c r="F373" s="63"/>
      <c r="H373" s="70"/>
    </row>
    <row r="374" spans="6:8" x14ac:dyDescent="0.25">
      <c r="F374" s="63"/>
      <c r="H374" s="70"/>
    </row>
    <row r="375" spans="6:8" x14ac:dyDescent="0.25">
      <c r="F375" s="63"/>
      <c r="H375" s="70"/>
    </row>
    <row r="376" spans="6:8" x14ac:dyDescent="0.25">
      <c r="F376" s="63"/>
      <c r="H376" s="70"/>
    </row>
    <row r="377" spans="6:8" x14ac:dyDescent="0.25">
      <c r="F377" s="63"/>
      <c r="H377" s="70"/>
    </row>
    <row r="378" spans="6:8" x14ac:dyDescent="0.25">
      <c r="F378" s="63"/>
      <c r="H378" s="70"/>
    </row>
    <row r="379" spans="6:8" x14ac:dyDescent="0.25">
      <c r="F379" s="63"/>
      <c r="H379" s="70"/>
    </row>
    <row r="380" spans="6:8" x14ac:dyDescent="0.25">
      <c r="F380" s="63"/>
      <c r="H380" s="70"/>
    </row>
    <row r="381" spans="6:8" x14ac:dyDescent="0.25">
      <c r="F381" s="63"/>
      <c r="H381" s="70"/>
    </row>
    <row r="382" spans="6:8" x14ac:dyDescent="0.25">
      <c r="F382" s="63"/>
      <c r="H382" s="70"/>
    </row>
    <row r="383" spans="6:8" x14ac:dyDescent="0.25">
      <c r="F383" s="63"/>
      <c r="H383" s="70"/>
    </row>
    <row r="384" spans="6:8" x14ac:dyDescent="0.25">
      <c r="F384" s="63"/>
      <c r="H384" s="70"/>
    </row>
    <row r="385" spans="6:8" x14ac:dyDescent="0.25">
      <c r="F385" s="63"/>
      <c r="H385" s="70"/>
    </row>
    <row r="386" spans="6:8" x14ac:dyDescent="0.25">
      <c r="F386" s="63"/>
      <c r="H386" s="70"/>
    </row>
    <row r="387" spans="6:8" x14ac:dyDescent="0.25">
      <c r="F387" s="63"/>
      <c r="H387" s="70"/>
    </row>
    <row r="388" spans="6:8" x14ac:dyDescent="0.25">
      <c r="F388" s="63"/>
      <c r="H388" s="70"/>
    </row>
    <row r="389" spans="6:8" x14ac:dyDescent="0.25">
      <c r="F389" s="63"/>
      <c r="H389" s="70"/>
    </row>
    <row r="390" spans="6:8" x14ac:dyDescent="0.25">
      <c r="F390" s="63"/>
      <c r="H390" s="70"/>
    </row>
    <row r="391" spans="6:8" x14ac:dyDescent="0.25">
      <c r="F391" s="63"/>
      <c r="H391" s="70"/>
    </row>
    <row r="392" spans="6:8" x14ac:dyDescent="0.25">
      <c r="F392" s="63"/>
      <c r="H392" s="70"/>
    </row>
    <row r="393" spans="6:8" x14ac:dyDescent="0.25">
      <c r="F393" s="63"/>
      <c r="H393" s="70"/>
    </row>
    <row r="394" spans="6:8" x14ac:dyDescent="0.25">
      <c r="F394" s="63"/>
      <c r="H394" s="70"/>
    </row>
    <row r="395" spans="6:8" x14ac:dyDescent="0.25">
      <c r="F395" s="63"/>
      <c r="H395" s="70"/>
    </row>
    <row r="396" spans="6:8" x14ac:dyDescent="0.25">
      <c r="F396" s="63"/>
      <c r="H396" s="70"/>
    </row>
    <row r="397" spans="6:8" x14ac:dyDescent="0.25">
      <c r="F397" s="63"/>
      <c r="H397" s="70"/>
    </row>
    <row r="398" spans="6:8" x14ac:dyDescent="0.25">
      <c r="F398" s="63"/>
    </row>
    <row r="399" spans="6:8" x14ac:dyDescent="0.25">
      <c r="F399" s="63"/>
    </row>
    <row r="400" spans="6:8" x14ac:dyDescent="0.25">
      <c r="F400" s="63"/>
    </row>
    <row r="401" spans="6:6" x14ac:dyDescent="0.25">
      <c r="F401" s="63"/>
    </row>
    <row r="402" spans="6:6" x14ac:dyDescent="0.25">
      <c r="F402" s="63"/>
    </row>
    <row r="403" spans="6:6" x14ac:dyDescent="0.25">
      <c r="F403" s="63"/>
    </row>
    <row r="404" spans="6:6" x14ac:dyDescent="0.25">
      <c r="F404" s="63"/>
    </row>
    <row r="405" spans="6:6" x14ac:dyDescent="0.25">
      <c r="F405" s="63"/>
    </row>
    <row r="406" spans="6:6" x14ac:dyDescent="0.25">
      <c r="F406" s="63"/>
    </row>
    <row r="407" spans="6:6" x14ac:dyDescent="0.25">
      <c r="F407" s="63"/>
    </row>
    <row r="408" spans="6:6" x14ac:dyDescent="0.25">
      <c r="F408" s="63"/>
    </row>
    <row r="409" spans="6:6" x14ac:dyDescent="0.25">
      <c r="F409" s="63"/>
    </row>
    <row r="410" spans="6:6" x14ac:dyDescent="0.25">
      <c r="F410" s="63"/>
    </row>
    <row r="411" spans="6:6" x14ac:dyDescent="0.25">
      <c r="F411" s="63"/>
    </row>
    <row r="412" spans="6:6" x14ac:dyDescent="0.25">
      <c r="F412" s="63"/>
    </row>
    <row r="413" spans="6:6" x14ac:dyDescent="0.25">
      <c r="F413" s="63"/>
    </row>
    <row r="414" spans="6:6" x14ac:dyDescent="0.25">
      <c r="F414" s="63"/>
    </row>
    <row r="415" spans="6:6" x14ac:dyDescent="0.25">
      <c r="F415" s="63"/>
    </row>
    <row r="416" spans="6:6" x14ac:dyDescent="0.25">
      <c r="F416" s="63"/>
    </row>
    <row r="417" spans="6:6" x14ac:dyDescent="0.25">
      <c r="F417" s="63"/>
    </row>
    <row r="418" spans="6:6" x14ac:dyDescent="0.25">
      <c r="F418" s="63"/>
    </row>
    <row r="419" spans="6:6" x14ac:dyDescent="0.25">
      <c r="F419" s="63"/>
    </row>
    <row r="420" spans="6:6" x14ac:dyDescent="0.25">
      <c r="F420" s="63"/>
    </row>
    <row r="421" spans="6:6" x14ac:dyDescent="0.25">
      <c r="F421" s="63"/>
    </row>
    <row r="422" spans="6:6" x14ac:dyDescent="0.25">
      <c r="F422" s="63"/>
    </row>
    <row r="423" spans="6:6" x14ac:dyDescent="0.25">
      <c r="F423" s="63"/>
    </row>
    <row r="424" spans="6:6" x14ac:dyDescent="0.25">
      <c r="F424" s="63"/>
    </row>
    <row r="425" spans="6:6" x14ac:dyDescent="0.25">
      <c r="F425" s="63"/>
    </row>
    <row r="426" spans="6:6" x14ac:dyDescent="0.25">
      <c r="F426" s="63"/>
    </row>
    <row r="427" spans="6:6" x14ac:dyDescent="0.25">
      <c r="F427" s="63"/>
    </row>
    <row r="428" spans="6:6" x14ac:dyDescent="0.25">
      <c r="F428" s="63"/>
    </row>
    <row r="429" spans="6:6" x14ac:dyDescent="0.25">
      <c r="F429" s="63"/>
    </row>
    <row r="430" spans="6:6" x14ac:dyDescent="0.25">
      <c r="F430" s="63"/>
    </row>
    <row r="431" spans="6:6" x14ac:dyDescent="0.25">
      <c r="F431" s="63"/>
    </row>
    <row r="432" spans="6:6" x14ac:dyDescent="0.25">
      <c r="F432" s="63"/>
    </row>
    <row r="433" spans="6:6" x14ac:dyDescent="0.25">
      <c r="F433" s="63"/>
    </row>
    <row r="434" spans="6:6" x14ac:dyDescent="0.25">
      <c r="F434" s="63"/>
    </row>
    <row r="435" spans="6:6" x14ac:dyDescent="0.25">
      <c r="F435" s="63"/>
    </row>
    <row r="436" spans="6:6" x14ac:dyDescent="0.25">
      <c r="F436" s="63"/>
    </row>
    <row r="437" spans="6:6" x14ac:dyDescent="0.25">
      <c r="F437" s="63"/>
    </row>
    <row r="438" spans="6:6" x14ac:dyDescent="0.25">
      <c r="F438" s="63"/>
    </row>
    <row r="439" spans="6:6" x14ac:dyDescent="0.25">
      <c r="F439" s="63"/>
    </row>
    <row r="440" spans="6:6" x14ac:dyDescent="0.25">
      <c r="F440" s="63"/>
    </row>
    <row r="441" spans="6:6" x14ac:dyDescent="0.25">
      <c r="F441" s="63"/>
    </row>
    <row r="442" spans="6:6" x14ac:dyDescent="0.25">
      <c r="F442" s="63"/>
    </row>
    <row r="443" spans="6:6" x14ac:dyDescent="0.25">
      <c r="F443" s="63"/>
    </row>
    <row r="444" spans="6:6" x14ac:dyDescent="0.25">
      <c r="F444" s="63"/>
    </row>
    <row r="445" spans="6:6" x14ac:dyDescent="0.25">
      <c r="F445" s="63"/>
    </row>
    <row r="446" spans="6:6" x14ac:dyDescent="0.25">
      <c r="F446" s="63"/>
    </row>
    <row r="447" spans="6:6" x14ac:dyDescent="0.25">
      <c r="F447" s="63"/>
    </row>
    <row r="448" spans="6:6" x14ac:dyDescent="0.25">
      <c r="F448" s="63"/>
    </row>
    <row r="449" spans="6:6" x14ac:dyDescent="0.25">
      <c r="F449" s="63"/>
    </row>
    <row r="450" spans="6:6" x14ac:dyDescent="0.25">
      <c r="F450" s="63"/>
    </row>
    <row r="451" spans="6:6" x14ac:dyDescent="0.25">
      <c r="F451" s="63"/>
    </row>
    <row r="452" spans="6:6" x14ac:dyDescent="0.25">
      <c r="F452" s="63"/>
    </row>
    <row r="453" spans="6:6" x14ac:dyDescent="0.25">
      <c r="F453" s="63"/>
    </row>
    <row r="454" spans="6:6" x14ac:dyDescent="0.25">
      <c r="F454" s="63"/>
    </row>
    <row r="455" spans="6:6" x14ac:dyDescent="0.25">
      <c r="F455" s="63"/>
    </row>
    <row r="456" spans="6:6" x14ac:dyDescent="0.25">
      <c r="F456" s="63"/>
    </row>
    <row r="457" spans="6:6" x14ac:dyDescent="0.25">
      <c r="F457" s="63"/>
    </row>
    <row r="458" spans="6:6" x14ac:dyDescent="0.25">
      <c r="F458" s="63"/>
    </row>
    <row r="459" spans="6:6" x14ac:dyDescent="0.25">
      <c r="F459" s="63"/>
    </row>
    <row r="460" spans="6:6" x14ac:dyDescent="0.25">
      <c r="F460" s="63"/>
    </row>
    <row r="461" spans="6:6" x14ac:dyDescent="0.25">
      <c r="F461" s="63"/>
    </row>
    <row r="462" spans="6:6" x14ac:dyDescent="0.25">
      <c r="F462" s="63"/>
    </row>
    <row r="463" spans="6:6" x14ac:dyDescent="0.25">
      <c r="F463" s="63"/>
    </row>
    <row r="464" spans="6:6" x14ac:dyDescent="0.25">
      <c r="F464" s="63"/>
    </row>
    <row r="465" spans="6:6" x14ac:dyDescent="0.25">
      <c r="F465" s="63"/>
    </row>
    <row r="466" spans="6:6" x14ac:dyDescent="0.25">
      <c r="F466" s="63"/>
    </row>
    <row r="467" spans="6:6" x14ac:dyDescent="0.25">
      <c r="F467" s="63"/>
    </row>
    <row r="468" spans="6:6" x14ac:dyDescent="0.25">
      <c r="F468" s="63"/>
    </row>
    <row r="469" spans="6:6" x14ac:dyDescent="0.25">
      <c r="F469" s="63"/>
    </row>
    <row r="470" spans="6:6" x14ac:dyDescent="0.25">
      <c r="F470" s="63"/>
    </row>
    <row r="471" spans="6:6" x14ac:dyDescent="0.25">
      <c r="F471" s="63"/>
    </row>
    <row r="472" spans="6:6" x14ac:dyDescent="0.25">
      <c r="F472" s="63"/>
    </row>
    <row r="473" spans="6:6" x14ac:dyDescent="0.25">
      <c r="F473" s="63"/>
    </row>
    <row r="474" spans="6:6" x14ac:dyDescent="0.25">
      <c r="F474" s="63"/>
    </row>
    <row r="475" spans="6:6" x14ac:dyDescent="0.25">
      <c r="F475" s="63"/>
    </row>
    <row r="476" spans="6:6" x14ac:dyDescent="0.25">
      <c r="F476" s="63"/>
    </row>
    <row r="477" spans="6:6" x14ac:dyDescent="0.25">
      <c r="F477" s="63"/>
    </row>
    <row r="478" spans="6:6" x14ac:dyDescent="0.25">
      <c r="F478" s="63"/>
    </row>
    <row r="479" spans="6:6" x14ac:dyDescent="0.25">
      <c r="F479" s="63"/>
    </row>
    <row r="480" spans="6:6" x14ac:dyDescent="0.25">
      <c r="F480" s="63"/>
    </row>
    <row r="481" spans="6:6" x14ac:dyDescent="0.25">
      <c r="F481" s="63"/>
    </row>
    <row r="482" spans="6:6" x14ac:dyDescent="0.25">
      <c r="F482" s="63"/>
    </row>
    <row r="483" spans="6:6" x14ac:dyDescent="0.25">
      <c r="F483" s="63"/>
    </row>
    <row r="484" spans="6:6" x14ac:dyDescent="0.25">
      <c r="F484" s="63"/>
    </row>
    <row r="485" spans="6:6" x14ac:dyDescent="0.25">
      <c r="F485" s="63"/>
    </row>
    <row r="486" spans="6:6" x14ac:dyDescent="0.25">
      <c r="F486" s="63"/>
    </row>
    <row r="487" spans="6:6" x14ac:dyDescent="0.25">
      <c r="F487" s="63"/>
    </row>
    <row r="488" spans="6:6" x14ac:dyDescent="0.25">
      <c r="F488" s="63"/>
    </row>
    <row r="489" spans="6:6" x14ac:dyDescent="0.25">
      <c r="F489" s="63"/>
    </row>
    <row r="490" spans="6:6" x14ac:dyDescent="0.25">
      <c r="F490" s="63"/>
    </row>
    <row r="491" spans="6:6" x14ac:dyDescent="0.25">
      <c r="F491" s="63"/>
    </row>
    <row r="492" spans="6:6" x14ac:dyDescent="0.25">
      <c r="F492" s="63"/>
    </row>
    <row r="493" spans="6:6" x14ac:dyDescent="0.25">
      <c r="F493" s="63"/>
    </row>
    <row r="494" spans="6:6" x14ac:dyDescent="0.25">
      <c r="F494" s="63"/>
    </row>
    <row r="495" spans="6:6" x14ac:dyDescent="0.25">
      <c r="F495" s="63"/>
    </row>
    <row r="496" spans="6:6" x14ac:dyDescent="0.25">
      <c r="F496" s="63"/>
    </row>
    <row r="497" spans="6:6" x14ac:dyDescent="0.25">
      <c r="F497" s="63"/>
    </row>
    <row r="498" spans="6:6" x14ac:dyDescent="0.25">
      <c r="F498" s="63"/>
    </row>
    <row r="499" spans="6:6" x14ac:dyDescent="0.25">
      <c r="F499" s="63"/>
    </row>
    <row r="500" spans="6:6" x14ac:dyDescent="0.25">
      <c r="F500" s="63"/>
    </row>
    <row r="501" spans="6:6" x14ac:dyDescent="0.25">
      <c r="F501" s="63"/>
    </row>
    <row r="502" spans="6:6" x14ac:dyDescent="0.25">
      <c r="F502" s="63"/>
    </row>
    <row r="503" spans="6:6" x14ac:dyDescent="0.25">
      <c r="F503" s="63"/>
    </row>
    <row r="504" spans="6:6" x14ac:dyDescent="0.25">
      <c r="F504" s="63"/>
    </row>
    <row r="505" spans="6:6" x14ac:dyDescent="0.25">
      <c r="F505" s="63"/>
    </row>
    <row r="506" spans="6:6" x14ac:dyDescent="0.25">
      <c r="F506" s="63"/>
    </row>
    <row r="507" spans="6:6" x14ac:dyDescent="0.25">
      <c r="F507" s="63"/>
    </row>
    <row r="508" spans="6:6" x14ac:dyDescent="0.25">
      <c r="F508" s="63"/>
    </row>
    <row r="509" spans="6:6" x14ac:dyDescent="0.25">
      <c r="F509" s="63"/>
    </row>
    <row r="510" spans="6:6" x14ac:dyDescent="0.25">
      <c r="F510" s="63"/>
    </row>
    <row r="511" spans="6:6" x14ac:dyDescent="0.25">
      <c r="F511" s="63"/>
    </row>
    <row r="512" spans="6:6" x14ac:dyDescent="0.25">
      <c r="F512" s="63"/>
    </row>
    <row r="513" spans="6:6" x14ac:dyDescent="0.25">
      <c r="F513" s="63"/>
    </row>
    <row r="514" spans="6:6" x14ac:dyDescent="0.25">
      <c r="F514" s="63"/>
    </row>
    <row r="515" spans="6:6" x14ac:dyDescent="0.25">
      <c r="F515" s="63"/>
    </row>
    <row r="516" spans="6:6" x14ac:dyDescent="0.25">
      <c r="F516" s="63"/>
    </row>
    <row r="517" spans="6:6" x14ac:dyDescent="0.25">
      <c r="F517" s="63"/>
    </row>
    <row r="518" spans="6:6" x14ac:dyDescent="0.25">
      <c r="F518" s="63"/>
    </row>
    <row r="519" spans="6:6" x14ac:dyDescent="0.25">
      <c r="F519" s="63"/>
    </row>
    <row r="520" spans="6:6" x14ac:dyDescent="0.25">
      <c r="F520" s="63"/>
    </row>
    <row r="521" spans="6:6" x14ac:dyDescent="0.25">
      <c r="F521" s="63"/>
    </row>
    <row r="522" spans="6:6" x14ac:dyDescent="0.25">
      <c r="F522" s="63"/>
    </row>
    <row r="523" spans="6:6" x14ac:dyDescent="0.25">
      <c r="F523" s="63"/>
    </row>
    <row r="524" spans="6:6" x14ac:dyDescent="0.25">
      <c r="F524" s="63"/>
    </row>
    <row r="525" spans="6:6" x14ac:dyDescent="0.25">
      <c r="F525" s="63"/>
    </row>
    <row r="526" spans="6:6" x14ac:dyDescent="0.25">
      <c r="F526" s="63"/>
    </row>
    <row r="527" spans="6:6" x14ac:dyDescent="0.25">
      <c r="F527" s="63"/>
    </row>
    <row r="528" spans="6:6" x14ac:dyDescent="0.25">
      <c r="F528" s="63"/>
    </row>
    <row r="529" spans="6:6" x14ac:dyDescent="0.25">
      <c r="F529" s="63"/>
    </row>
    <row r="530" spans="6:6" x14ac:dyDescent="0.25">
      <c r="F530" s="63"/>
    </row>
    <row r="531" spans="6:6" x14ac:dyDescent="0.25">
      <c r="F531" s="63"/>
    </row>
    <row r="532" spans="6:6" x14ac:dyDescent="0.25">
      <c r="F532" s="63"/>
    </row>
    <row r="533" spans="6:6" x14ac:dyDescent="0.25">
      <c r="F533" s="63"/>
    </row>
    <row r="534" spans="6:6" x14ac:dyDescent="0.25">
      <c r="F534" s="63"/>
    </row>
    <row r="535" spans="6:6" x14ac:dyDescent="0.25">
      <c r="F535" s="63"/>
    </row>
    <row r="536" spans="6:6" x14ac:dyDescent="0.25">
      <c r="F536" s="63"/>
    </row>
    <row r="537" spans="6:6" x14ac:dyDescent="0.25">
      <c r="F537" s="63"/>
    </row>
    <row r="538" spans="6:6" x14ac:dyDescent="0.25">
      <c r="F538" s="63"/>
    </row>
    <row r="539" spans="6:6" x14ac:dyDescent="0.25">
      <c r="F539" s="63"/>
    </row>
    <row r="540" spans="6:6" x14ac:dyDescent="0.25">
      <c r="F540" s="63"/>
    </row>
    <row r="541" spans="6:6" x14ac:dyDescent="0.25">
      <c r="F541" s="63"/>
    </row>
    <row r="542" spans="6:6" x14ac:dyDescent="0.25">
      <c r="F542" s="63"/>
    </row>
    <row r="543" spans="6:6" x14ac:dyDescent="0.25">
      <c r="F543" s="63"/>
    </row>
    <row r="544" spans="6:6" x14ac:dyDescent="0.25">
      <c r="F544" s="63"/>
    </row>
    <row r="545" spans="6:6" x14ac:dyDescent="0.25">
      <c r="F545" s="63"/>
    </row>
    <row r="546" spans="6:6" x14ac:dyDescent="0.25">
      <c r="F546" s="63"/>
    </row>
    <row r="547" spans="6:6" x14ac:dyDescent="0.25">
      <c r="F547" s="63"/>
    </row>
    <row r="548" spans="6:6" x14ac:dyDescent="0.25">
      <c r="F548" s="63"/>
    </row>
    <row r="549" spans="6:6" x14ac:dyDescent="0.25">
      <c r="F549" s="63"/>
    </row>
    <row r="550" spans="6:6" x14ac:dyDescent="0.25">
      <c r="F550" s="63"/>
    </row>
    <row r="551" spans="6:6" x14ac:dyDescent="0.25">
      <c r="F551" s="63"/>
    </row>
    <row r="552" spans="6:6" x14ac:dyDescent="0.25">
      <c r="F552" s="63"/>
    </row>
    <row r="553" spans="6:6" x14ac:dyDescent="0.25">
      <c r="F553" s="63"/>
    </row>
    <row r="554" spans="6:6" x14ac:dyDescent="0.25">
      <c r="F554" s="63"/>
    </row>
    <row r="555" spans="6:6" x14ac:dyDescent="0.25">
      <c r="F555" s="63"/>
    </row>
    <row r="556" spans="6:6" x14ac:dyDescent="0.25">
      <c r="F556" s="63"/>
    </row>
    <row r="557" spans="6:6" x14ac:dyDescent="0.25">
      <c r="F557" s="63"/>
    </row>
    <row r="558" spans="6:6" x14ac:dyDescent="0.25">
      <c r="F558" s="63"/>
    </row>
    <row r="559" spans="6:6" x14ac:dyDescent="0.25">
      <c r="F559" s="63"/>
    </row>
    <row r="560" spans="6:6" x14ac:dyDescent="0.25">
      <c r="F560" s="63"/>
    </row>
    <row r="561" spans="6:6" x14ac:dyDescent="0.25">
      <c r="F561" s="63"/>
    </row>
    <row r="562" spans="6:6" x14ac:dyDescent="0.25">
      <c r="F562" s="63"/>
    </row>
    <row r="563" spans="6:6" x14ac:dyDescent="0.25">
      <c r="F563" s="63"/>
    </row>
    <row r="564" spans="6:6" x14ac:dyDescent="0.25">
      <c r="F564" s="63"/>
    </row>
    <row r="565" spans="6:6" x14ac:dyDescent="0.25">
      <c r="F565" s="63"/>
    </row>
    <row r="566" spans="6:6" x14ac:dyDescent="0.25">
      <c r="F566" s="63"/>
    </row>
    <row r="567" spans="6:6" x14ac:dyDescent="0.25">
      <c r="F567" s="63"/>
    </row>
    <row r="568" spans="6:6" x14ac:dyDescent="0.25">
      <c r="F568" s="63"/>
    </row>
    <row r="569" spans="6:6" x14ac:dyDescent="0.25">
      <c r="F569" s="63"/>
    </row>
    <row r="570" spans="6:6" x14ac:dyDescent="0.25">
      <c r="F570" s="63"/>
    </row>
    <row r="571" spans="6:6" x14ac:dyDescent="0.25">
      <c r="F571" s="63"/>
    </row>
    <row r="572" spans="6:6" x14ac:dyDescent="0.25">
      <c r="F572" s="63"/>
    </row>
    <row r="573" spans="6:6" x14ac:dyDescent="0.25">
      <c r="F573" s="63"/>
    </row>
    <row r="574" spans="6:6" x14ac:dyDescent="0.25">
      <c r="F574" s="63"/>
    </row>
    <row r="575" spans="6:6" x14ac:dyDescent="0.25">
      <c r="F575" s="63"/>
    </row>
    <row r="576" spans="6:6" x14ac:dyDescent="0.25">
      <c r="F576" s="63"/>
    </row>
    <row r="577" spans="6:6" x14ac:dyDescent="0.25">
      <c r="F577" s="63"/>
    </row>
    <row r="578" spans="6:6" x14ac:dyDescent="0.25">
      <c r="F578" s="63"/>
    </row>
    <row r="579" spans="6:6" x14ac:dyDescent="0.25">
      <c r="F579" s="63"/>
    </row>
    <row r="580" spans="6:6" x14ac:dyDescent="0.25">
      <c r="F580" s="63"/>
    </row>
    <row r="581" spans="6:6" x14ac:dyDescent="0.25">
      <c r="F581" s="63"/>
    </row>
    <row r="582" spans="6:6" x14ac:dyDescent="0.25">
      <c r="F582" s="63"/>
    </row>
    <row r="583" spans="6:6" x14ac:dyDescent="0.25">
      <c r="F583" s="63"/>
    </row>
    <row r="584" spans="6:6" x14ac:dyDescent="0.25">
      <c r="F584" s="63"/>
    </row>
    <row r="585" spans="6:6" x14ac:dyDescent="0.25">
      <c r="F585" s="63"/>
    </row>
    <row r="586" spans="6:6" x14ac:dyDescent="0.25">
      <c r="F586" s="63"/>
    </row>
    <row r="587" spans="6:6" x14ac:dyDescent="0.25">
      <c r="F587" s="63"/>
    </row>
    <row r="588" spans="6:6" x14ac:dyDescent="0.25">
      <c r="F588" s="63"/>
    </row>
    <row r="589" spans="6:6" x14ac:dyDescent="0.25">
      <c r="F589" s="63"/>
    </row>
    <row r="590" spans="6:6" x14ac:dyDescent="0.25">
      <c r="F590" s="63"/>
    </row>
    <row r="591" spans="6:6" x14ac:dyDescent="0.25">
      <c r="F591" s="63"/>
    </row>
    <row r="592" spans="6:6" x14ac:dyDescent="0.25">
      <c r="F592" s="63"/>
    </row>
    <row r="593" spans="6:6" x14ac:dyDescent="0.25">
      <c r="F593" s="63"/>
    </row>
    <row r="594" spans="6:6" x14ac:dyDescent="0.25">
      <c r="F594" s="63"/>
    </row>
    <row r="595" spans="6:6" x14ac:dyDescent="0.25">
      <c r="F595" s="63"/>
    </row>
    <row r="596" spans="6:6" x14ac:dyDescent="0.25">
      <c r="F596" s="63"/>
    </row>
    <row r="597" spans="6:6" x14ac:dyDescent="0.25">
      <c r="F597" s="63"/>
    </row>
    <row r="598" spans="6:6" x14ac:dyDescent="0.25">
      <c r="F598" s="63"/>
    </row>
    <row r="599" spans="6:6" x14ac:dyDescent="0.25">
      <c r="F599" s="63"/>
    </row>
    <row r="600" spans="6:6" x14ac:dyDescent="0.25">
      <c r="F600" s="63"/>
    </row>
    <row r="601" spans="6:6" x14ac:dyDescent="0.25">
      <c r="F601" s="63"/>
    </row>
    <row r="602" spans="6:6" x14ac:dyDescent="0.25">
      <c r="F602" s="63"/>
    </row>
    <row r="603" spans="6:6" x14ac:dyDescent="0.25">
      <c r="F603" s="63"/>
    </row>
    <row r="604" spans="6:6" x14ac:dyDescent="0.25">
      <c r="F604" s="63"/>
    </row>
    <row r="605" spans="6:6" x14ac:dyDescent="0.25">
      <c r="F605" s="63"/>
    </row>
    <row r="606" spans="6:6" x14ac:dyDescent="0.25">
      <c r="F606" s="63"/>
    </row>
    <row r="607" spans="6:6" x14ac:dyDescent="0.25">
      <c r="F607" s="63"/>
    </row>
    <row r="608" spans="6:6" x14ac:dyDescent="0.25">
      <c r="F608" s="63"/>
    </row>
    <row r="609" spans="6:6" x14ac:dyDescent="0.25">
      <c r="F609" s="63"/>
    </row>
    <row r="610" spans="6:6" x14ac:dyDescent="0.25">
      <c r="F610" s="63"/>
    </row>
    <row r="611" spans="6:6" x14ac:dyDescent="0.25">
      <c r="F611" s="63"/>
    </row>
    <row r="612" spans="6:6" x14ac:dyDescent="0.25">
      <c r="F612" s="63"/>
    </row>
    <row r="613" spans="6:6" x14ac:dyDescent="0.25">
      <c r="F613" s="63"/>
    </row>
    <row r="614" spans="6:6" x14ac:dyDescent="0.25">
      <c r="F614" s="63"/>
    </row>
    <row r="615" spans="6:6" x14ac:dyDescent="0.25">
      <c r="F615" s="63"/>
    </row>
    <row r="616" spans="6:6" x14ac:dyDescent="0.25">
      <c r="F616" s="63"/>
    </row>
    <row r="617" spans="6:6" x14ac:dyDescent="0.25">
      <c r="F617" s="63"/>
    </row>
    <row r="618" spans="6:6" x14ac:dyDescent="0.25">
      <c r="F618" s="63"/>
    </row>
    <row r="619" spans="6:6" x14ac:dyDescent="0.25">
      <c r="F619" s="63"/>
    </row>
    <row r="620" spans="6:6" x14ac:dyDescent="0.25">
      <c r="F620" s="63"/>
    </row>
    <row r="621" spans="6:6" x14ac:dyDescent="0.25">
      <c r="F621" s="63"/>
    </row>
    <row r="622" spans="6:6" x14ac:dyDescent="0.25">
      <c r="F622" s="63"/>
    </row>
    <row r="623" spans="6:6" x14ac:dyDescent="0.25">
      <c r="F623" s="63"/>
    </row>
    <row r="624" spans="6:6" x14ac:dyDescent="0.25">
      <c r="F624" s="63"/>
    </row>
    <row r="625" spans="6:6" x14ac:dyDescent="0.25">
      <c r="F625" s="63"/>
    </row>
    <row r="626" spans="6:6" x14ac:dyDescent="0.25">
      <c r="F626" s="63"/>
    </row>
    <row r="627" spans="6:6" x14ac:dyDescent="0.25">
      <c r="F627" s="63"/>
    </row>
    <row r="628" spans="6:6" x14ac:dyDescent="0.25">
      <c r="F628" s="63"/>
    </row>
    <row r="629" spans="6:6" x14ac:dyDescent="0.25">
      <c r="F629" s="63"/>
    </row>
    <row r="630" spans="6:6" x14ac:dyDescent="0.25">
      <c r="F630" s="63"/>
    </row>
    <row r="631" spans="6:6" x14ac:dyDescent="0.25">
      <c r="F631" s="63"/>
    </row>
    <row r="632" spans="6:6" x14ac:dyDescent="0.25">
      <c r="F632" s="63"/>
    </row>
    <row r="633" spans="6:6" x14ac:dyDescent="0.25">
      <c r="F633" s="63"/>
    </row>
    <row r="634" spans="6:6" x14ac:dyDescent="0.25">
      <c r="F634" s="63"/>
    </row>
    <row r="635" spans="6:6" x14ac:dyDescent="0.25">
      <c r="F635" s="63"/>
    </row>
    <row r="636" spans="6:6" x14ac:dyDescent="0.25">
      <c r="F636" s="63"/>
    </row>
    <row r="637" spans="6:6" x14ac:dyDescent="0.25">
      <c r="F637" s="63"/>
    </row>
    <row r="638" spans="6:6" x14ac:dyDescent="0.25">
      <c r="F638" s="63"/>
    </row>
    <row r="639" spans="6:6" x14ac:dyDescent="0.25">
      <c r="F639" s="63"/>
    </row>
    <row r="640" spans="6:6" x14ac:dyDescent="0.25">
      <c r="F640" s="63"/>
    </row>
    <row r="641" spans="6:6" x14ac:dyDescent="0.25">
      <c r="F641" s="63"/>
    </row>
    <row r="642" spans="6:6" x14ac:dyDescent="0.25">
      <c r="F642" s="63"/>
    </row>
    <row r="643" spans="6:6" x14ac:dyDescent="0.25">
      <c r="F643" s="63"/>
    </row>
    <row r="644" spans="6:6" x14ac:dyDescent="0.25">
      <c r="F644" s="63"/>
    </row>
    <row r="645" spans="6:6" x14ac:dyDescent="0.25">
      <c r="F645" s="63"/>
    </row>
    <row r="646" spans="6:6" x14ac:dyDescent="0.25">
      <c r="F646" s="63"/>
    </row>
    <row r="647" spans="6:6" x14ac:dyDescent="0.25">
      <c r="F647" s="63"/>
    </row>
    <row r="648" spans="6:6" x14ac:dyDescent="0.25">
      <c r="F648" s="63"/>
    </row>
    <row r="649" spans="6:6" x14ac:dyDescent="0.25">
      <c r="F649" s="63"/>
    </row>
    <row r="650" spans="6:6" x14ac:dyDescent="0.25">
      <c r="F650" s="63"/>
    </row>
    <row r="651" spans="6:6" x14ac:dyDescent="0.25">
      <c r="F651" s="63"/>
    </row>
    <row r="652" spans="6:6" x14ac:dyDescent="0.25">
      <c r="F652" s="63"/>
    </row>
    <row r="653" spans="6:6" x14ac:dyDescent="0.25">
      <c r="F653" s="63" t="str">
        <f>IFERROR(INDEX('Sales Price'!#REF!,MATCH('Daily Sales'!B653,'Sales Price'!B:B,0)),"-")</f>
        <v>-</v>
      </c>
    </row>
    <row r="654" spans="6:6" x14ac:dyDescent="0.25">
      <c r="F654" s="63" t="str">
        <f>IFERROR(INDEX('Sales Price'!#REF!,MATCH('Daily Sales'!B654,'Sales Price'!B:B,0)),"-")</f>
        <v>-</v>
      </c>
    </row>
    <row r="655" spans="6:6" x14ac:dyDescent="0.25">
      <c r="F655" s="63" t="str">
        <f>IFERROR(INDEX('Sales Price'!#REF!,MATCH('Daily Sales'!B655,'Sales Price'!B:B,0)),"-")</f>
        <v>-</v>
      </c>
    </row>
    <row r="656" spans="6:6" x14ac:dyDescent="0.25">
      <c r="F656" s="63" t="str">
        <f>IFERROR(INDEX('Sales Price'!#REF!,MATCH('Daily Sales'!B656,'Sales Price'!B:B,0)),"-")</f>
        <v>-</v>
      </c>
    </row>
    <row r="657" spans="6:6" x14ac:dyDescent="0.25">
      <c r="F657" s="63" t="str">
        <f>IFERROR(INDEX('Sales Price'!#REF!,MATCH('Daily Sales'!B657,'Sales Price'!B:B,0)),"-")</f>
        <v>-</v>
      </c>
    </row>
    <row r="658" spans="6:6" x14ac:dyDescent="0.25">
      <c r="F658" s="63" t="str">
        <f>IFERROR(INDEX('Sales Price'!#REF!,MATCH('Daily Sales'!B658,'Sales Price'!B:B,0)),"-")</f>
        <v>-</v>
      </c>
    </row>
    <row r="659" spans="6:6" x14ac:dyDescent="0.25">
      <c r="F659" s="63" t="str">
        <f>IFERROR(INDEX('Sales Price'!#REF!,MATCH('Daily Sales'!B659,'Sales Price'!B:B,0)),"-")</f>
        <v>-</v>
      </c>
    </row>
    <row r="660" spans="6:6" x14ac:dyDescent="0.25">
      <c r="F660" s="63" t="str">
        <f>IFERROR(INDEX('Sales Price'!#REF!,MATCH('Daily Sales'!B660,'Sales Price'!B:B,0)),"-")</f>
        <v>-</v>
      </c>
    </row>
    <row r="661" spans="6:6" x14ac:dyDescent="0.25">
      <c r="F661" s="63" t="str">
        <f>IFERROR(INDEX('Sales Price'!#REF!,MATCH('Daily Sales'!B661,'Sales Price'!B:B,0)),"-")</f>
        <v>-</v>
      </c>
    </row>
    <row r="662" spans="6:6" x14ac:dyDescent="0.25">
      <c r="F662" s="63" t="str">
        <f>IFERROR(INDEX('Sales Price'!#REF!,MATCH('Daily Sales'!B662,'Sales Price'!B:B,0)),"-")</f>
        <v>-</v>
      </c>
    </row>
    <row r="663" spans="6:6" x14ac:dyDescent="0.25">
      <c r="F663" s="63" t="str">
        <f>IFERROR(INDEX('Sales Price'!#REF!,MATCH('Daily Sales'!B663,'Sales Price'!B:B,0)),"-")</f>
        <v>-</v>
      </c>
    </row>
    <row r="664" spans="6:6" x14ac:dyDescent="0.25">
      <c r="F664" s="63" t="str">
        <f>IFERROR(INDEX('Sales Price'!#REF!,MATCH('Daily Sales'!B664,'Sales Price'!B:B,0)),"-")</f>
        <v>-</v>
      </c>
    </row>
    <row r="665" spans="6:6" x14ac:dyDescent="0.25">
      <c r="F665" s="63" t="str">
        <f>IFERROR(INDEX('Sales Price'!#REF!,MATCH('Daily Sales'!B665,'Sales Price'!B:B,0)),"-")</f>
        <v>-</v>
      </c>
    </row>
    <row r="666" spans="6:6" x14ac:dyDescent="0.25">
      <c r="F666" s="63" t="str">
        <f>IFERROR(INDEX('Sales Price'!#REF!,MATCH('Daily Sales'!B666,'Sales Price'!B:B,0)),"-")</f>
        <v>-</v>
      </c>
    </row>
    <row r="667" spans="6:6" x14ac:dyDescent="0.25">
      <c r="F667" s="63" t="str">
        <f>IFERROR(INDEX('Sales Price'!#REF!,MATCH('Daily Sales'!B667,'Sales Price'!B:B,0)),"-")</f>
        <v>-</v>
      </c>
    </row>
    <row r="668" spans="6:6" x14ac:dyDescent="0.25">
      <c r="F668" s="63" t="str">
        <f>IFERROR(INDEX('Sales Price'!#REF!,MATCH('Daily Sales'!B668,'Sales Price'!B:B,0)),"-")</f>
        <v>-</v>
      </c>
    </row>
    <row r="669" spans="6:6" x14ac:dyDescent="0.25">
      <c r="F669" s="63" t="str">
        <f>IFERROR(INDEX('Sales Price'!#REF!,MATCH('Daily Sales'!B669,'Sales Price'!B:B,0)),"-")</f>
        <v>-</v>
      </c>
    </row>
    <row r="670" spans="6:6" x14ac:dyDescent="0.25">
      <c r="F670" s="63" t="str">
        <f>IFERROR(INDEX('Sales Price'!#REF!,MATCH('Daily Sales'!B670,'Sales Price'!B:B,0)),"-")</f>
        <v>-</v>
      </c>
    </row>
    <row r="671" spans="6:6" x14ac:dyDescent="0.25">
      <c r="F671" s="63" t="str">
        <f>IFERROR(INDEX('Sales Price'!#REF!,MATCH('Daily Sales'!B671,'Sales Price'!B:B,0)),"-")</f>
        <v>-</v>
      </c>
    </row>
    <row r="672" spans="6:6" x14ac:dyDescent="0.25">
      <c r="F672" s="63" t="str">
        <f>IFERROR(INDEX('Sales Price'!#REF!,MATCH('Daily Sales'!B672,'Sales Price'!B:B,0)),"-")</f>
        <v>-</v>
      </c>
    </row>
    <row r="673" spans="6:6" x14ac:dyDescent="0.25">
      <c r="F673" s="63" t="str">
        <f>IFERROR(INDEX('Sales Price'!#REF!,MATCH('Daily Sales'!B673,'Sales Price'!B:B,0)),"-")</f>
        <v>-</v>
      </c>
    </row>
    <row r="674" spans="6:6" x14ac:dyDescent="0.25">
      <c r="F674" s="63" t="str">
        <f>IFERROR(INDEX('Sales Price'!#REF!,MATCH('Daily Sales'!B674,'Sales Price'!B:B,0)),"-")</f>
        <v>-</v>
      </c>
    </row>
    <row r="675" spans="6:6" x14ac:dyDescent="0.25">
      <c r="F675" s="63" t="str">
        <f>IFERROR(INDEX('Sales Price'!#REF!,MATCH('Daily Sales'!B675,'Sales Price'!B:B,0)),"-")</f>
        <v>-</v>
      </c>
    </row>
    <row r="676" spans="6:6" x14ac:dyDescent="0.25">
      <c r="F676" s="63" t="str">
        <f>IFERROR(INDEX('Sales Price'!#REF!,MATCH('Daily Sales'!B676,'Sales Price'!B:B,0)),"-")</f>
        <v>-</v>
      </c>
    </row>
    <row r="677" spans="6:6" x14ac:dyDescent="0.25">
      <c r="F677" s="63" t="str">
        <f>IFERROR(INDEX('Sales Price'!#REF!,MATCH('Daily Sales'!B677,'Sales Price'!B:B,0)),"-")</f>
        <v>-</v>
      </c>
    </row>
    <row r="678" spans="6:6" x14ac:dyDescent="0.25">
      <c r="F678" s="63" t="str">
        <f>IFERROR(INDEX('Sales Price'!#REF!,MATCH('Daily Sales'!B678,'Sales Price'!B:B,0)),"-")</f>
        <v>-</v>
      </c>
    </row>
    <row r="679" spans="6:6" x14ac:dyDescent="0.25">
      <c r="F679" s="63" t="str">
        <f>IFERROR(INDEX('Sales Price'!#REF!,MATCH('Daily Sales'!B679,'Sales Price'!B:B,0)),"-")</f>
        <v>-</v>
      </c>
    </row>
    <row r="680" spans="6:6" x14ac:dyDescent="0.25">
      <c r="F680" s="63" t="str">
        <f>IFERROR(INDEX('Sales Price'!#REF!,MATCH('Daily Sales'!B680,'Sales Price'!B:B,0)),"-")</f>
        <v>-</v>
      </c>
    </row>
    <row r="681" spans="6:6" x14ac:dyDescent="0.25">
      <c r="F681" s="63" t="str">
        <f>IFERROR(INDEX('Sales Price'!#REF!,MATCH('Daily Sales'!B681,'Sales Price'!B:B,0)),"-")</f>
        <v>-</v>
      </c>
    </row>
    <row r="682" spans="6:6" x14ac:dyDescent="0.25">
      <c r="F682" s="63" t="str">
        <f>IFERROR(INDEX('Sales Price'!#REF!,MATCH('Daily Sales'!B682,'Sales Price'!B:B,0)),"-")</f>
        <v>-</v>
      </c>
    </row>
    <row r="683" spans="6:6" x14ac:dyDescent="0.25">
      <c r="F683" s="63" t="str">
        <f>IFERROR(INDEX('Sales Price'!#REF!,MATCH('Daily Sales'!B683,'Sales Price'!B:B,0)),"-")</f>
        <v>-</v>
      </c>
    </row>
    <row r="684" spans="6:6" x14ac:dyDescent="0.25">
      <c r="F684" s="63" t="str">
        <f>IFERROR(INDEX('Sales Price'!#REF!,MATCH('Daily Sales'!B684,'Sales Price'!B:B,0)),"-")</f>
        <v>-</v>
      </c>
    </row>
    <row r="685" spans="6:6" x14ac:dyDescent="0.25">
      <c r="F685" s="63" t="str">
        <f>IFERROR(INDEX('Sales Price'!#REF!,MATCH('Daily Sales'!B685,'Sales Price'!B:B,0)),"-")</f>
        <v>-</v>
      </c>
    </row>
    <row r="686" spans="6:6" x14ac:dyDescent="0.25">
      <c r="F686" s="63" t="str">
        <f>IFERROR(INDEX('Sales Price'!#REF!,MATCH('Daily Sales'!B686,'Sales Price'!B:B,0)),"-")</f>
        <v>-</v>
      </c>
    </row>
    <row r="687" spans="6:6" x14ac:dyDescent="0.25">
      <c r="F687" s="63" t="str">
        <f>IFERROR(INDEX('Sales Price'!#REF!,MATCH('Daily Sales'!B687,'Sales Price'!B:B,0)),"-")</f>
        <v>-</v>
      </c>
    </row>
    <row r="688" spans="6:6" x14ac:dyDescent="0.25">
      <c r="F688" s="63" t="str">
        <f>IFERROR(INDEX('Sales Price'!#REF!,MATCH('Daily Sales'!B688,'Sales Price'!B:B,0)),"-")</f>
        <v>-</v>
      </c>
    </row>
    <row r="689" spans="6:6" x14ac:dyDescent="0.25">
      <c r="F689" s="63" t="str">
        <f>IFERROR(INDEX('Sales Price'!#REF!,MATCH('Daily Sales'!B689,'Sales Price'!B:B,0)),"-")</f>
        <v>-</v>
      </c>
    </row>
    <row r="690" spans="6:6" x14ac:dyDescent="0.25">
      <c r="F690" s="63" t="str">
        <f>IFERROR(INDEX('Sales Price'!#REF!,MATCH('Daily Sales'!B690,'Sales Price'!B:B,0)),"-")</f>
        <v>-</v>
      </c>
    </row>
    <row r="691" spans="6:6" x14ac:dyDescent="0.25">
      <c r="F691" s="63" t="str">
        <f>IFERROR(INDEX('Sales Price'!#REF!,MATCH('Daily Sales'!B691,'Sales Price'!B:B,0)),"-")</f>
        <v>-</v>
      </c>
    </row>
    <row r="692" spans="6:6" x14ac:dyDescent="0.25">
      <c r="F692" s="63" t="str">
        <f>IFERROR(INDEX('Sales Price'!#REF!,MATCH('Daily Sales'!B692,'Sales Price'!B:B,0)),"-")</f>
        <v>-</v>
      </c>
    </row>
    <row r="693" spans="6:6" x14ac:dyDescent="0.25">
      <c r="F693" s="63" t="str">
        <f>IFERROR(INDEX('Sales Price'!#REF!,MATCH('Daily Sales'!B693,'Sales Price'!B:B,0)),"-")</f>
        <v>-</v>
      </c>
    </row>
    <row r="694" spans="6:6" x14ac:dyDescent="0.25">
      <c r="F694" s="63" t="str">
        <f>IFERROR(INDEX('Sales Price'!#REF!,MATCH('Daily Sales'!B694,'Sales Price'!B:B,0)),"-")</f>
        <v>-</v>
      </c>
    </row>
    <row r="695" spans="6:6" x14ac:dyDescent="0.25">
      <c r="F695" s="63" t="str">
        <f>IFERROR(INDEX('Sales Price'!#REF!,MATCH('Daily Sales'!B695,'Sales Price'!B:B,0)),"-")</f>
        <v>-</v>
      </c>
    </row>
    <row r="696" spans="6:6" x14ac:dyDescent="0.25">
      <c r="F696" s="63" t="str">
        <f>IFERROR(INDEX('Sales Price'!#REF!,MATCH('Daily Sales'!B696,'Sales Price'!B:B,0)),"-")</f>
        <v>-</v>
      </c>
    </row>
    <row r="697" spans="6:6" x14ac:dyDescent="0.25">
      <c r="F697" s="63" t="str">
        <f>IFERROR(INDEX('Sales Price'!#REF!,MATCH('Daily Sales'!B697,'Sales Price'!B:B,0)),"-")</f>
        <v>-</v>
      </c>
    </row>
    <row r="698" spans="6:6" x14ac:dyDescent="0.25">
      <c r="F698" s="63" t="str">
        <f>IFERROR(INDEX('Sales Price'!#REF!,MATCH('Daily Sales'!B698,'Sales Price'!B:B,0)),"-")</f>
        <v>-</v>
      </c>
    </row>
    <row r="699" spans="6:6" x14ac:dyDescent="0.25">
      <c r="F699" s="63" t="str">
        <f>IFERROR(INDEX('Sales Price'!#REF!,MATCH('Daily Sales'!B699,'Sales Price'!B:B,0)),"-")</f>
        <v>-</v>
      </c>
    </row>
    <row r="700" spans="6:6" x14ac:dyDescent="0.25">
      <c r="F700" s="63" t="str">
        <f>IFERROR(INDEX('Sales Price'!#REF!,MATCH('Daily Sales'!B700,'Sales Price'!B:B,0)),"-")</f>
        <v>-</v>
      </c>
    </row>
    <row r="701" spans="6:6" x14ac:dyDescent="0.25">
      <c r="F701" s="63" t="str">
        <f>IFERROR(INDEX('Sales Price'!#REF!,MATCH('Daily Sales'!B701,'Sales Price'!B:B,0)),"-")</f>
        <v>-</v>
      </c>
    </row>
    <row r="702" spans="6:6" x14ac:dyDescent="0.25">
      <c r="F702" s="63" t="str">
        <f>IFERROR(INDEX('Sales Price'!#REF!,MATCH('Daily Sales'!B702,'Sales Price'!B:B,0)),"-")</f>
        <v>-</v>
      </c>
    </row>
    <row r="703" spans="6:6" x14ac:dyDescent="0.25">
      <c r="F703" s="63" t="str">
        <f>IFERROR(INDEX('Sales Price'!#REF!,MATCH('Daily Sales'!B703,'Sales Price'!B:B,0)),"-")</f>
        <v>-</v>
      </c>
    </row>
    <row r="704" spans="6:6" x14ac:dyDescent="0.25">
      <c r="F704" s="63" t="str">
        <f>IFERROR(INDEX('Sales Price'!#REF!,MATCH('Daily Sales'!B704,'Sales Price'!B:B,0)),"-")</f>
        <v>-</v>
      </c>
    </row>
    <row r="705" spans="6:6" x14ac:dyDescent="0.25">
      <c r="F705" s="63" t="str">
        <f>IFERROR(INDEX('Sales Price'!#REF!,MATCH('Daily Sales'!B705,'Sales Price'!B:B,0)),"-")</f>
        <v>-</v>
      </c>
    </row>
    <row r="706" spans="6:6" x14ac:dyDescent="0.25">
      <c r="F706" s="63" t="str">
        <f>IFERROR(INDEX('Sales Price'!#REF!,MATCH('Daily Sales'!B706,'Sales Price'!B:B,0)),"-")</f>
        <v>-</v>
      </c>
    </row>
    <row r="707" spans="6:6" x14ac:dyDescent="0.25">
      <c r="F707" s="63" t="str">
        <f>IFERROR(INDEX('Sales Price'!#REF!,MATCH('Daily Sales'!B707,'Sales Price'!B:B,0)),"-")</f>
        <v>-</v>
      </c>
    </row>
    <row r="708" spans="6:6" x14ac:dyDescent="0.25">
      <c r="F708" s="63" t="str">
        <f>IFERROR(INDEX('Sales Price'!#REF!,MATCH('Daily Sales'!B708,'Sales Price'!B:B,0)),"-")</f>
        <v>-</v>
      </c>
    </row>
    <row r="709" spans="6:6" x14ac:dyDescent="0.25">
      <c r="F709" s="63" t="str">
        <f>IFERROR(INDEX('Sales Price'!#REF!,MATCH('Daily Sales'!B709,'Sales Price'!B:B,0)),"-")</f>
        <v>-</v>
      </c>
    </row>
    <row r="710" spans="6:6" x14ac:dyDescent="0.25">
      <c r="F710" s="63" t="str">
        <f>IFERROR(INDEX('Sales Price'!#REF!,MATCH('Daily Sales'!B710,'Sales Price'!B:B,0)),"-")</f>
        <v>-</v>
      </c>
    </row>
    <row r="711" spans="6:6" x14ac:dyDescent="0.25">
      <c r="F711" s="63" t="str">
        <f>IFERROR(INDEX('Sales Price'!#REF!,MATCH('Daily Sales'!B711,'Sales Price'!B:B,0)),"-")</f>
        <v>-</v>
      </c>
    </row>
    <row r="712" spans="6:6" x14ac:dyDescent="0.25">
      <c r="F712" s="63" t="str">
        <f>IFERROR(INDEX('Sales Price'!#REF!,MATCH('Daily Sales'!B712,'Sales Price'!B:B,0)),"-")</f>
        <v>-</v>
      </c>
    </row>
    <row r="713" spans="6:6" x14ac:dyDescent="0.25">
      <c r="F713" s="63" t="str">
        <f>IFERROR(INDEX('Sales Price'!#REF!,MATCH('Daily Sales'!B713,'Sales Price'!B:B,0)),"-")</f>
        <v>-</v>
      </c>
    </row>
    <row r="714" spans="6:6" x14ac:dyDescent="0.25">
      <c r="F714" s="63" t="str">
        <f>IFERROR(INDEX('Sales Price'!#REF!,MATCH('Daily Sales'!B714,'Sales Price'!B:B,0)),"-")</f>
        <v>-</v>
      </c>
    </row>
    <row r="715" spans="6:6" x14ac:dyDescent="0.25">
      <c r="F715" s="63" t="str">
        <f>IFERROR(INDEX('Sales Price'!#REF!,MATCH('Daily Sales'!B715,'Sales Price'!B:B,0)),"-")</f>
        <v>-</v>
      </c>
    </row>
    <row r="716" spans="6:6" x14ac:dyDescent="0.25">
      <c r="F716" s="63" t="str">
        <f>IFERROR(INDEX('Sales Price'!#REF!,MATCH('Daily Sales'!B716,'Sales Price'!B:B,0)),"-")</f>
        <v>-</v>
      </c>
    </row>
    <row r="717" spans="6:6" x14ac:dyDescent="0.25">
      <c r="F717" s="63" t="str">
        <f>IFERROR(INDEX('Sales Price'!#REF!,MATCH('Daily Sales'!B717,'Sales Price'!B:B,0)),"-")</f>
        <v>-</v>
      </c>
    </row>
    <row r="718" spans="6:6" x14ac:dyDescent="0.25">
      <c r="F718" s="63" t="str">
        <f>IFERROR(INDEX('Sales Price'!#REF!,MATCH('Daily Sales'!B718,'Sales Price'!B:B,0)),"-")</f>
        <v>-</v>
      </c>
    </row>
    <row r="719" spans="6:6" x14ac:dyDescent="0.25">
      <c r="F719" s="63" t="str">
        <f>IFERROR(INDEX('Sales Price'!#REF!,MATCH('Daily Sales'!B719,'Sales Price'!B:B,0)),"-")</f>
        <v>-</v>
      </c>
    </row>
    <row r="720" spans="6:6" x14ac:dyDescent="0.25">
      <c r="F720" s="63" t="str">
        <f>IFERROR(INDEX('Sales Price'!#REF!,MATCH('Daily Sales'!B720,'Sales Price'!B:B,0)),"-")</f>
        <v>-</v>
      </c>
    </row>
    <row r="721" spans="6:6" x14ac:dyDescent="0.25">
      <c r="F721" s="63" t="str">
        <f>IFERROR(INDEX('Sales Price'!#REF!,MATCH('Daily Sales'!B721,'Sales Price'!B:B,0)),"-")</f>
        <v>-</v>
      </c>
    </row>
    <row r="722" spans="6:6" x14ac:dyDescent="0.25">
      <c r="F722" s="63" t="str">
        <f>IFERROR(INDEX('Sales Price'!#REF!,MATCH('Daily Sales'!B722,'Sales Price'!B:B,0)),"-")</f>
        <v>-</v>
      </c>
    </row>
    <row r="723" spans="6:6" x14ac:dyDescent="0.25">
      <c r="F723" s="63" t="str">
        <f>IFERROR(INDEX('Sales Price'!#REF!,MATCH('Daily Sales'!B723,'Sales Price'!B:B,0)),"-")</f>
        <v>-</v>
      </c>
    </row>
    <row r="724" spans="6:6" x14ac:dyDescent="0.25">
      <c r="F724" s="63" t="str">
        <f>IFERROR(INDEX('Sales Price'!#REF!,MATCH('Daily Sales'!B724,'Sales Price'!B:B,0)),"-")</f>
        <v>-</v>
      </c>
    </row>
    <row r="725" spans="6:6" x14ac:dyDescent="0.25">
      <c r="F725" s="63" t="str">
        <f>IFERROR(INDEX('Sales Price'!#REF!,MATCH('Daily Sales'!B725,'Sales Price'!B:B,0)),"-")</f>
        <v>-</v>
      </c>
    </row>
    <row r="726" spans="6:6" x14ac:dyDescent="0.25">
      <c r="F726" s="63" t="str">
        <f>IFERROR(INDEX('Sales Price'!#REF!,MATCH('Daily Sales'!B726,'Sales Price'!B:B,0)),"-")</f>
        <v>-</v>
      </c>
    </row>
    <row r="727" spans="6:6" x14ac:dyDescent="0.25">
      <c r="F727" s="63" t="str">
        <f>IFERROR(INDEX('Sales Price'!#REF!,MATCH('Daily Sales'!B727,'Sales Price'!B:B,0)),"-")</f>
        <v>-</v>
      </c>
    </row>
    <row r="728" spans="6:6" x14ac:dyDescent="0.25">
      <c r="F728" s="63" t="str">
        <f>IFERROR(INDEX('Sales Price'!#REF!,MATCH('Daily Sales'!B728,'Sales Price'!B:B,0)),"-")</f>
        <v>-</v>
      </c>
    </row>
    <row r="729" spans="6:6" x14ac:dyDescent="0.25">
      <c r="F729" s="63" t="str">
        <f>IFERROR(INDEX('Sales Price'!#REF!,MATCH('Daily Sales'!B729,'Sales Price'!B:B,0)),"-")</f>
        <v>-</v>
      </c>
    </row>
    <row r="730" spans="6:6" x14ac:dyDescent="0.25">
      <c r="F730" s="63" t="str">
        <f>IFERROR(INDEX('Sales Price'!#REF!,MATCH('Daily Sales'!B730,'Sales Price'!B:B,0)),"-")</f>
        <v>-</v>
      </c>
    </row>
    <row r="731" spans="6:6" x14ac:dyDescent="0.25">
      <c r="F731" s="63" t="str">
        <f>IFERROR(INDEX('Sales Price'!#REF!,MATCH('Daily Sales'!B731,'Sales Price'!B:B,0)),"-")</f>
        <v>-</v>
      </c>
    </row>
    <row r="732" spans="6:6" x14ac:dyDescent="0.25">
      <c r="F732" s="63" t="str">
        <f>IFERROR(INDEX('Sales Price'!#REF!,MATCH('Daily Sales'!B732,'Sales Price'!B:B,0)),"-")</f>
        <v>-</v>
      </c>
    </row>
    <row r="733" spans="6:6" x14ac:dyDescent="0.25">
      <c r="F733" s="63" t="str">
        <f>IFERROR(INDEX('Sales Price'!#REF!,MATCH('Daily Sales'!B733,'Sales Price'!B:B,0)),"-")</f>
        <v>-</v>
      </c>
    </row>
    <row r="734" spans="6:6" x14ac:dyDescent="0.25">
      <c r="F734" s="63" t="str">
        <f>IFERROR(INDEX('Sales Price'!#REF!,MATCH('Daily Sales'!B734,'Sales Price'!B:B,0)),"-")</f>
        <v>-</v>
      </c>
    </row>
    <row r="735" spans="6:6" x14ac:dyDescent="0.25">
      <c r="F735" s="63" t="str">
        <f>IFERROR(INDEX('Sales Price'!#REF!,MATCH('Daily Sales'!B735,'Sales Price'!B:B,0)),"-")</f>
        <v>-</v>
      </c>
    </row>
    <row r="736" spans="6:6" x14ac:dyDescent="0.25">
      <c r="F736" s="63" t="str">
        <f>IFERROR(INDEX('Sales Price'!#REF!,MATCH('Daily Sales'!B736,'Sales Price'!B:B,0)),"-")</f>
        <v>-</v>
      </c>
    </row>
    <row r="737" spans="6:6" x14ac:dyDescent="0.25">
      <c r="F737" s="63" t="str">
        <f>IFERROR(INDEX('Sales Price'!#REF!,MATCH('Daily Sales'!B737,'Sales Price'!B:B,0)),"-")</f>
        <v>-</v>
      </c>
    </row>
    <row r="738" spans="6:6" x14ac:dyDescent="0.25">
      <c r="F738" s="63" t="str">
        <f>IFERROR(INDEX('Sales Price'!#REF!,MATCH('Daily Sales'!B738,'Sales Price'!B:B,0)),"-")</f>
        <v>-</v>
      </c>
    </row>
    <row r="739" spans="6:6" x14ac:dyDescent="0.25">
      <c r="F739" s="63" t="str">
        <f>IFERROR(INDEX('Sales Price'!#REF!,MATCH('Daily Sales'!B739,'Sales Price'!B:B,0)),"-")</f>
        <v>-</v>
      </c>
    </row>
    <row r="740" spans="6:6" x14ac:dyDescent="0.25">
      <c r="F740" s="63" t="str">
        <f>IFERROR(INDEX('Sales Price'!#REF!,MATCH('Daily Sales'!B740,'Sales Price'!B:B,0)),"-")</f>
        <v>-</v>
      </c>
    </row>
    <row r="741" spans="6:6" x14ac:dyDescent="0.25">
      <c r="F741" s="63" t="str">
        <f>IFERROR(INDEX('Sales Price'!#REF!,MATCH('Daily Sales'!B741,'Sales Price'!B:B,0)),"-")</f>
        <v>-</v>
      </c>
    </row>
    <row r="742" spans="6:6" x14ac:dyDescent="0.25">
      <c r="F742" s="63" t="str">
        <f>IFERROR(INDEX('Sales Price'!#REF!,MATCH('Daily Sales'!B742,'Sales Price'!B:B,0)),"-")</f>
        <v>-</v>
      </c>
    </row>
    <row r="743" spans="6:6" x14ac:dyDescent="0.25">
      <c r="F743" s="63" t="str">
        <f>IFERROR(INDEX('Sales Price'!#REF!,MATCH('Daily Sales'!B743,'Sales Price'!B:B,0)),"-")</f>
        <v>-</v>
      </c>
    </row>
    <row r="744" spans="6:6" x14ac:dyDescent="0.25">
      <c r="F744" s="63" t="str">
        <f>IFERROR(INDEX('Sales Price'!#REF!,MATCH('Daily Sales'!B744,'Sales Price'!B:B,0)),"-")</f>
        <v>-</v>
      </c>
    </row>
    <row r="745" spans="6:6" x14ac:dyDescent="0.25">
      <c r="F745" s="63" t="str">
        <f>IFERROR(INDEX('Sales Price'!#REF!,MATCH('Daily Sales'!B745,'Sales Price'!B:B,0)),"-")</f>
        <v>-</v>
      </c>
    </row>
    <row r="746" spans="6:6" x14ac:dyDescent="0.25">
      <c r="F746" s="63" t="str">
        <f>IFERROR(INDEX('Sales Price'!#REF!,MATCH('Daily Sales'!B746,'Sales Price'!B:B,0)),"-")</f>
        <v>-</v>
      </c>
    </row>
    <row r="747" spans="6:6" x14ac:dyDescent="0.25">
      <c r="F747" s="63" t="str">
        <f>IFERROR(INDEX('Sales Price'!#REF!,MATCH('Daily Sales'!B747,'Sales Price'!B:B,0)),"-")</f>
        <v>-</v>
      </c>
    </row>
    <row r="748" spans="6:6" x14ac:dyDescent="0.25">
      <c r="F748" s="63" t="str">
        <f>IFERROR(INDEX('Sales Price'!#REF!,MATCH('Daily Sales'!B748,'Sales Price'!B:B,0)),"-")</f>
        <v>-</v>
      </c>
    </row>
    <row r="749" spans="6:6" x14ac:dyDescent="0.25">
      <c r="F749" s="63" t="str">
        <f>IFERROR(INDEX('Sales Price'!#REF!,MATCH('Daily Sales'!B749,'Sales Price'!B:B,0)),"-")</f>
        <v>-</v>
      </c>
    </row>
    <row r="750" spans="6:6" x14ac:dyDescent="0.25">
      <c r="F750" s="63" t="str">
        <f>IFERROR(INDEX('Sales Price'!#REF!,MATCH('Daily Sales'!B750,'Sales Price'!B:B,0)),"-")</f>
        <v>-</v>
      </c>
    </row>
    <row r="751" spans="6:6" x14ac:dyDescent="0.25">
      <c r="F751" s="63" t="str">
        <f>IFERROR(INDEX('Sales Price'!#REF!,MATCH('Daily Sales'!B751,'Sales Price'!B:B,0)),"-")</f>
        <v>-</v>
      </c>
    </row>
    <row r="752" spans="6:6" x14ac:dyDescent="0.25">
      <c r="F752" s="63" t="str">
        <f>IFERROR(INDEX('Sales Price'!#REF!,MATCH('Daily Sales'!B752,'Sales Price'!B:B,0)),"-")</f>
        <v>-</v>
      </c>
    </row>
    <row r="753" spans="6:6" x14ac:dyDescent="0.25">
      <c r="F753" s="63" t="str">
        <f>IFERROR(INDEX('Sales Price'!#REF!,MATCH('Daily Sales'!B753,'Sales Price'!B:B,0)),"-")</f>
        <v>-</v>
      </c>
    </row>
    <row r="754" spans="6:6" x14ac:dyDescent="0.25">
      <c r="F754" s="63" t="str">
        <f>IFERROR(INDEX('Sales Price'!#REF!,MATCH('Daily Sales'!B754,'Sales Price'!B:B,0)),"-")</f>
        <v>-</v>
      </c>
    </row>
    <row r="755" spans="6:6" x14ac:dyDescent="0.25">
      <c r="F755" s="63" t="str">
        <f>IFERROR(INDEX('Sales Price'!#REF!,MATCH('Daily Sales'!B755,'Sales Price'!B:B,0)),"-")</f>
        <v>-</v>
      </c>
    </row>
    <row r="756" spans="6:6" x14ac:dyDescent="0.25">
      <c r="F756" s="63" t="str">
        <f>IFERROR(INDEX('Sales Price'!#REF!,MATCH('Daily Sales'!B756,'Sales Price'!B:B,0)),"-")</f>
        <v>-</v>
      </c>
    </row>
    <row r="757" spans="6:6" x14ac:dyDescent="0.25">
      <c r="F757" s="63" t="str">
        <f>IFERROR(INDEX('Sales Price'!#REF!,MATCH('Daily Sales'!B757,'Sales Price'!B:B,0)),"-")</f>
        <v>-</v>
      </c>
    </row>
    <row r="758" spans="6:6" x14ac:dyDescent="0.25">
      <c r="F758" s="63" t="str">
        <f>IFERROR(INDEX('Sales Price'!#REF!,MATCH('Daily Sales'!B758,'Sales Price'!B:B,0)),"-")</f>
        <v>-</v>
      </c>
    </row>
    <row r="759" spans="6:6" x14ac:dyDescent="0.25">
      <c r="F759" s="63" t="str">
        <f>IFERROR(INDEX('Sales Price'!#REF!,MATCH('Daily Sales'!B759,'Sales Price'!B:B,0)),"-")</f>
        <v>-</v>
      </c>
    </row>
    <row r="760" spans="6:6" x14ac:dyDescent="0.25">
      <c r="F760" s="63" t="str">
        <f>IFERROR(INDEX('Sales Price'!#REF!,MATCH('Daily Sales'!B760,'Sales Price'!B:B,0)),"-")</f>
        <v>-</v>
      </c>
    </row>
    <row r="761" spans="6:6" x14ac:dyDescent="0.25">
      <c r="F761" s="63" t="str">
        <f>IFERROR(INDEX('Sales Price'!#REF!,MATCH('Daily Sales'!B761,'Sales Price'!B:B,0)),"-")</f>
        <v>-</v>
      </c>
    </row>
    <row r="762" spans="6:6" x14ac:dyDescent="0.25">
      <c r="F762" s="63" t="str">
        <f>IFERROR(INDEX('Sales Price'!#REF!,MATCH('Daily Sales'!B762,'Sales Price'!B:B,0)),"-")</f>
        <v>-</v>
      </c>
    </row>
    <row r="763" spans="6:6" x14ac:dyDescent="0.25">
      <c r="F763" s="63" t="str">
        <f>IFERROR(INDEX('Sales Price'!#REF!,MATCH('Daily Sales'!B763,'Sales Price'!B:B,0)),"-")</f>
        <v>-</v>
      </c>
    </row>
    <row r="764" spans="6:6" x14ac:dyDescent="0.25">
      <c r="F764" s="63" t="str">
        <f>IFERROR(INDEX('Sales Price'!#REF!,MATCH('Daily Sales'!B764,'Sales Price'!B:B,0)),"-")</f>
        <v>-</v>
      </c>
    </row>
    <row r="765" spans="6:6" x14ac:dyDescent="0.25">
      <c r="F765" s="63" t="str">
        <f>IFERROR(INDEX('Sales Price'!#REF!,MATCH('Daily Sales'!B765,'Sales Price'!B:B,0)),"-")</f>
        <v>-</v>
      </c>
    </row>
    <row r="766" spans="6:6" x14ac:dyDescent="0.25">
      <c r="F766" s="63" t="str">
        <f>IFERROR(INDEX('Sales Price'!#REF!,MATCH('Daily Sales'!B766,'Sales Price'!B:B,0)),"-")</f>
        <v>-</v>
      </c>
    </row>
    <row r="767" spans="6:6" x14ac:dyDescent="0.25">
      <c r="F767" s="63" t="str">
        <f>IFERROR(INDEX('Sales Price'!#REF!,MATCH('Daily Sales'!B767,'Sales Price'!B:B,0)),"-")</f>
        <v>-</v>
      </c>
    </row>
    <row r="768" spans="6:6" x14ac:dyDescent="0.25">
      <c r="F768" s="63" t="str">
        <f>IFERROR(INDEX('Sales Price'!#REF!,MATCH('Daily Sales'!B768,'Sales Price'!B:B,0)),"-")</f>
        <v>-</v>
      </c>
    </row>
    <row r="769" spans="6:6" x14ac:dyDescent="0.25">
      <c r="F769" s="63" t="str">
        <f>IFERROR(INDEX('Sales Price'!#REF!,MATCH('Daily Sales'!B769,'Sales Price'!B:B,0)),"-")</f>
        <v>-</v>
      </c>
    </row>
    <row r="770" spans="6:6" x14ac:dyDescent="0.25">
      <c r="F770" s="63" t="str">
        <f>IFERROR(INDEX('Sales Price'!#REF!,MATCH('Daily Sales'!B770,'Sales Price'!B:B,0)),"-")</f>
        <v>-</v>
      </c>
    </row>
    <row r="771" spans="6:6" x14ac:dyDescent="0.25">
      <c r="F771" s="63" t="str">
        <f>IFERROR(INDEX('Sales Price'!#REF!,MATCH('Daily Sales'!B771,'Sales Price'!B:B,0)),"-")</f>
        <v>-</v>
      </c>
    </row>
    <row r="772" spans="6:6" x14ac:dyDescent="0.25">
      <c r="F772" s="63" t="str">
        <f>IFERROR(INDEX('Sales Price'!#REF!,MATCH('Daily Sales'!B772,'Sales Price'!B:B,0)),"-")</f>
        <v>-</v>
      </c>
    </row>
    <row r="773" spans="6:6" x14ac:dyDescent="0.25">
      <c r="F773" s="63" t="str">
        <f>IFERROR(INDEX('Sales Price'!#REF!,MATCH('Daily Sales'!B773,'Sales Price'!B:B,0)),"-")</f>
        <v>-</v>
      </c>
    </row>
    <row r="774" spans="6:6" x14ac:dyDescent="0.25">
      <c r="F774" s="63" t="str">
        <f>IFERROR(INDEX('Sales Price'!#REF!,MATCH('Daily Sales'!B774,'Sales Price'!B:B,0)),"-")</f>
        <v>-</v>
      </c>
    </row>
    <row r="775" spans="6:6" x14ac:dyDescent="0.25">
      <c r="F775" s="63" t="str">
        <f>IFERROR(INDEX('Sales Price'!#REF!,MATCH('Daily Sales'!B775,'Sales Price'!B:B,0)),"-")</f>
        <v>-</v>
      </c>
    </row>
    <row r="776" spans="6:6" x14ac:dyDescent="0.25">
      <c r="F776" s="63" t="str">
        <f>IFERROR(INDEX('Sales Price'!#REF!,MATCH('Daily Sales'!B776,'Sales Price'!B:B,0)),"-")</f>
        <v>-</v>
      </c>
    </row>
    <row r="777" spans="6:6" x14ac:dyDescent="0.25">
      <c r="F777" s="63" t="str">
        <f>IFERROR(INDEX('Sales Price'!#REF!,MATCH('Daily Sales'!B777,'Sales Price'!B:B,0)),"-")</f>
        <v>-</v>
      </c>
    </row>
    <row r="778" spans="6:6" x14ac:dyDescent="0.25">
      <c r="F778" s="63" t="str">
        <f>IFERROR(INDEX('Sales Price'!#REF!,MATCH('Daily Sales'!B778,'Sales Price'!B:B,0)),"-")</f>
        <v>-</v>
      </c>
    </row>
    <row r="779" spans="6:6" x14ac:dyDescent="0.25">
      <c r="F779" s="63" t="str">
        <f>IFERROR(INDEX('Sales Price'!#REF!,MATCH('Daily Sales'!B779,'Sales Price'!B:B,0)),"-")</f>
        <v>-</v>
      </c>
    </row>
    <row r="780" spans="6:6" x14ac:dyDescent="0.25">
      <c r="F780" s="63" t="str">
        <f>IFERROR(INDEX('Sales Price'!#REF!,MATCH('Daily Sales'!B780,'Sales Price'!B:B,0)),"-")</f>
        <v>-</v>
      </c>
    </row>
    <row r="781" spans="6:6" x14ac:dyDescent="0.25">
      <c r="F781" s="63" t="str">
        <f>IFERROR(INDEX('Sales Price'!#REF!,MATCH('Daily Sales'!B781,'Sales Price'!B:B,0)),"-")</f>
        <v>-</v>
      </c>
    </row>
    <row r="782" spans="6:6" x14ac:dyDescent="0.25">
      <c r="F782" s="63" t="str">
        <f>IFERROR(INDEX('Sales Price'!#REF!,MATCH('Daily Sales'!B782,'Sales Price'!B:B,0)),"-")</f>
        <v>-</v>
      </c>
    </row>
    <row r="783" spans="6:6" x14ac:dyDescent="0.25">
      <c r="F783" s="63" t="str">
        <f>IFERROR(INDEX('Sales Price'!#REF!,MATCH('Daily Sales'!B783,'Sales Price'!B:B,0)),"-")</f>
        <v>-</v>
      </c>
    </row>
    <row r="784" spans="6:6" x14ac:dyDescent="0.25">
      <c r="F784" s="63" t="str">
        <f>IFERROR(INDEX('Sales Price'!#REF!,MATCH('Daily Sales'!B784,'Sales Price'!B:B,0)),"-")</f>
        <v>-</v>
      </c>
    </row>
    <row r="785" spans="6:6" x14ac:dyDescent="0.25">
      <c r="F785" s="63" t="str">
        <f>IFERROR(INDEX('Sales Price'!#REF!,MATCH('Daily Sales'!B785,'Sales Price'!B:B,0)),"-")</f>
        <v>-</v>
      </c>
    </row>
    <row r="786" spans="6:6" x14ac:dyDescent="0.25">
      <c r="F786" s="63" t="str">
        <f>IFERROR(INDEX('Sales Price'!#REF!,MATCH('Daily Sales'!B786,'Sales Price'!B:B,0)),"-")</f>
        <v>-</v>
      </c>
    </row>
    <row r="787" spans="6:6" x14ac:dyDescent="0.25">
      <c r="F787" s="63" t="str">
        <f>IFERROR(INDEX('Sales Price'!#REF!,MATCH('Daily Sales'!B787,'Sales Price'!B:B,0)),"-")</f>
        <v>-</v>
      </c>
    </row>
    <row r="788" spans="6:6" x14ac:dyDescent="0.25">
      <c r="F788" s="63" t="str">
        <f>IFERROR(INDEX('Sales Price'!#REF!,MATCH('Daily Sales'!B788,'Sales Price'!B:B,0)),"-")</f>
        <v>-</v>
      </c>
    </row>
    <row r="789" spans="6:6" x14ac:dyDescent="0.25">
      <c r="F789" s="63" t="str">
        <f>IFERROR(INDEX('Sales Price'!#REF!,MATCH('Daily Sales'!B789,'Sales Price'!B:B,0)),"-")</f>
        <v>-</v>
      </c>
    </row>
    <row r="790" spans="6:6" x14ac:dyDescent="0.25">
      <c r="F790" s="63" t="str">
        <f>IFERROR(INDEX('Sales Price'!#REF!,MATCH('Daily Sales'!B790,'Sales Price'!B:B,0)),"-")</f>
        <v>-</v>
      </c>
    </row>
  </sheetData>
  <autoFilter ref="A68:H68" xr:uid="{A32B4623-7586-4CBD-B3E4-F98AFAC6D082}"/>
  <mergeCells count="3">
    <mergeCell ref="A1:H1"/>
    <mergeCell ref="A67:H67"/>
    <mergeCell ref="A105:H105"/>
  </mergeCell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F69971E-D692-4A1A-9513-0619970DA6F7}">
          <x14:formula1>
            <xm:f>'Sales Price'!$G$2:$G$10</xm:f>
          </x14:formula1>
          <xm:sqref>D3:E63 E64:E66 E69:E104 E107:E415</xm:sqref>
        </x14:dataValidation>
        <x14:dataValidation type="list" allowBlank="1" showInputMessage="1" showErrorMessage="1" xr:uid="{057AC60B-DE57-4847-9017-A6361402ED8A}">
          <x14:formula1>
            <xm:f>'Sales Price'!$B:$B</xm:f>
          </x14:formula1>
          <xm:sqref>B3:B66 B69:B104 B107:B542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Price</vt:lpstr>
      <vt:lpstr>MTL Sales Summary</vt:lpstr>
      <vt:lpstr>MTL OP Debtor</vt:lpstr>
      <vt:lpstr>Daily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2026-03-06T05:41:57Z</cp:lastPrinted>
  <dcterms:created xsi:type="dcterms:W3CDTF">2024-11-01T06:50:47Z</dcterms:created>
  <dcterms:modified xsi:type="dcterms:W3CDTF">2026-03-21T01:52:00Z</dcterms:modified>
</cp:coreProperties>
</file>